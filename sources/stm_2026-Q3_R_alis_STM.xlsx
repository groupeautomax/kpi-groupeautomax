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Disques partagés\Ste-Marie Automobiles - Contrôleurs\1- Dossier de fin de mois\a) Réalisé\2026\"/>
    </mc:Choice>
  </mc:AlternateContent>
  <xr:revisionPtr revIDLastSave="0" documentId="13_ncr:1_{64C6E501-C4EF-438B-A95E-F0A7E0C61045}" xr6:coauthVersionLast="47" xr6:coauthVersionMax="47" xr10:uidLastSave="{00000000-0000-0000-0000-000000000000}"/>
  <bookViews>
    <workbookView xWindow="-96" yWindow="0" windowWidth="11712" windowHeight="13776" activeTab="1" xr2:uid="{508BF4A0-C9FC-49F5-A5A9-A2907877ABE5}"/>
  </bookViews>
  <sheets>
    <sheet name="Paramètre" sheetId="2" r:id="rId1"/>
    <sheet name="Conso" sheetId="1" r:id="rId2"/>
    <sheet name="START" sheetId="3" r:id="rId3"/>
    <sheet name="Mois 1" sheetId="15" r:id="rId4"/>
    <sheet name="Mois 2" sheetId="5" r:id="rId5"/>
    <sheet name="Mois 3" sheetId="6" r:id="rId6"/>
    <sheet name="END" sheetId="4" r:id="rId7"/>
  </sheets>
  <externalReferences>
    <externalReference r:id="rId8"/>
    <externalReference r:id="rId9"/>
    <externalReference r:id="rId10"/>
  </externalReferences>
  <definedNames>
    <definedName name="_Dates_Conc">#REF!</definedName>
    <definedName name="_Order1" hidden="1">0</definedName>
    <definedName name="_scen">#REF!</definedName>
    <definedName name="_scen1">#REF!</definedName>
    <definedName name="_scen2">#REF!</definedName>
    <definedName name="_SCenarios">#REF!</definedName>
    <definedName name="_Sens1">#REF!</definedName>
    <definedName name="_Sens2">#REF!</definedName>
    <definedName name="_sensRes1">#REF!</definedName>
    <definedName name="_sensRes2">#REF!</definedName>
    <definedName name="_sensRes3">#REF!</definedName>
    <definedName name="_sensRes4">#REF!</definedName>
    <definedName name="_sensRes5">#REF!</definedName>
    <definedName name="_sensRes6">#REF!</definedName>
    <definedName name="_sensRes7">#REF!</definedName>
    <definedName name="a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3" hidden="1">{"Page1",#N/A,FALSE,"CompCo";"Page2",#N/A,FALSE,"CompCo"}</definedName>
    <definedName name="Compco1" localSheetId="4" hidden="1">{"Page1",#N/A,FALSE,"CompCo";"Page2",#N/A,FALSE,"CompCo"}</definedName>
    <definedName name="Compco1" localSheetId="5" hidden="1">{"Page1",#N/A,FALSE,"CompCo";"Page2",#N/A,FALSE,"CompCo"}</definedName>
    <definedName name="Compco1" hidden="1">{"Page1",#N/A,FALSE,"CompCo";"Page2",#N/A,FALSE,"CompCo"}</definedName>
    <definedName name="Compco2" localSheetId="3" hidden="1">{"Page1",#N/A,FALSE,"CompCo";"Page2",#N/A,FALSE,"CompCo"}</definedName>
    <definedName name="Compco2" localSheetId="4" hidden="1">{"Page1",#N/A,FALSE,"CompCo";"Page2",#N/A,FALSE,"CompCo"}</definedName>
    <definedName name="Compco2" localSheetId="5" hidden="1">{"Page1",#N/A,FALSE,"CompCo";"Page2",#N/A,FALSE,"CompCo"}</definedName>
    <definedName name="Compco2" hidden="1">{"Page1",#N/A,FALSE,"CompCo";"Page2",#N/A,FALSE,"CompCo"}</definedName>
    <definedName name="DateRange">#REF!</definedName>
    <definedName name="DateRangePr" localSheetId="3" hidden="1">OFFSET(#REF!,5,0,COUNTA(#REF!)-COUNTA(#REF!),1)</definedName>
    <definedName name="DateRangePr" hidden="1">OFFSET(#REF!,5,0,COUNTA(#REF!)-COUNTA(#REF!),1)</definedName>
    <definedName name="DateRangePrice" localSheetId="3" hidden="1">OFFSET(#REF!,5,0,COUNTA(#REF!)-COUNTA(#REF!),1)</definedName>
    <definedName name="DateRangePrice" hidden="1">OFFSET(#REF!,5,0,COUNTA(#REF!)-COUNTA(#REF!),1)</definedName>
    <definedName name="DateRangePrice1" localSheetId="3" hidden="1">OFFSET(#REF!,5,0,COUNTA(#REF!)-COUNTA(#REF!),1)</definedName>
    <definedName name="DateRangePrice1" hidden="1">OFFSET(#REF!,5,0,COUNTA(#REF!)-COUNTA(#REF!),1)</definedName>
    <definedName name="DateRangePrice2" localSheetId="3" hidden="1">OFFSET(#REF!,5,0,COUNTA(#REF!)-COUNTA(#REF!),1)</definedName>
    <definedName name="DateRangePrice2" hidden="1">OFFSET(#REF!,5,0,COUNTA(#REF!)-COUNTA(#REF!),1)</definedName>
    <definedName name="ERT" localSheetId="3" hidden="1">{"execsum",#N/A,FALSE,"ExecSum";"finstatement",#N/A,FALSE,"Fin_St"}</definedName>
    <definedName name="ERT" localSheetId="4" hidden="1">{"execsum",#N/A,FALSE,"ExecSum";"finstatement",#N/A,FALSE,"Fin_St"}</definedName>
    <definedName name="ERT" localSheetId="5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hidden="1">#REF!,#REF!,#REF!,#REF!,#REF!</definedName>
    <definedName name="hn.ModelVersion" hidden="1">1</definedName>
    <definedName name="hn.NoUpload" hidden="1">0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3" hidden="1">{"finana",#N/A,FALSE,"Fin"}</definedName>
    <definedName name="kjjkghkhj" localSheetId="4" hidden="1">{"finana",#N/A,FALSE,"Fin"}</definedName>
    <definedName name="kjjkghkhj" localSheetId="5" hidden="1">{"finana",#N/A,FALSE,"Fin"}</definedName>
    <definedName name="kjjkghkhj" hidden="1">{"finana",#N/A,FALSE,"Fin"}</definedName>
    <definedName name="limcount" hidden="1">1</definedName>
    <definedName name="lkhkhj" localSheetId="3" hidden="1">{"sub1",#N/A,FALSE,"Subs";"pac1",#N/A,FALSE,"Packages";"rev1",#N/A,FALSE,"2. Revenues"}</definedName>
    <definedName name="lkhkhj" localSheetId="4" hidden="1">{"sub1",#N/A,FALSE,"Subs";"pac1",#N/A,FALSE,"Packages";"rev1",#N/A,FALSE,"2. Revenues"}</definedName>
    <definedName name="lkhkhj" localSheetId="5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>#REF!</definedName>
    <definedName name="Months">#REF!</definedName>
    <definedName name="Outpu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3" hidden="1">OFFSET(#REF!,5,0,COUNTA(#REF!)-COUNTA(#REF!),1)</definedName>
    <definedName name="PriceRange" hidden="1">OFFSET(#REF!,5,0,COUNTA(#REF!)-COUNTA(#REF!),1)</definedName>
    <definedName name="PriceRange2" localSheetId="3" hidden="1">OFFSET(#REF!,5,0,COUNTA(#REF!)-COUNTA(#REF!),1)</definedName>
    <definedName name="PriceRange2" hidden="1">OFFSET(#REF!,5,0,COUNTA(#REF!)-COUNTA(#REF!),1)</definedName>
    <definedName name="Rng_Dealers_Names">#REF!</definedName>
    <definedName name="Rng_Dlr_Dates">#REF!</definedName>
    <definedName name="sencount" hidden="1">1</definedName>
    <definedName name="SLEVI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3" hidden="1">{"execsum",#N/A,FALSE,"ExecSum";"finstatement",#N/A,FALSE,"Fin_St"}</definedName>
    <definedName name="test" localSheetId="4" hidden="1">{"execsum",#N/A,FALSE,"ExecSum";"finstatement",#N/A,FALSE,"Fin_St"}</definedName>
    <definedName name="test" localSheetId="5" hidden="1">{"execsum",#N/A,FALSE,"ExecSum";"finstatement",#N/A,FALSE,"Fin_St"}</definedName>
    <definedName name="test" hidden="1">{"execsum",#N/A,FALSE,"ExecSum";"finstatement",#N/A,FALSE,"Fin_St"}</definedName>
    <definedName name="test21" localSheetId="3" hidden="1">OFFSET(#REF!,5,0,COUNTA(#REF!)-COUNTA(#REF!),1)</definedName>
    <definedName name="test21" hidden="1">OFFSET(#REF!,5,0,COUNTA(#REF!)-COUNTA(#REF!),1)</definedName>
    <definedName name="Ticker" hidden="1">#N/A</definedName>
    <definedName name="Titre">#REF!</definedName>
    <definedName name="value" localSheetId="3" hidden="1">OFFSET(#REF!,5,0,COUNTA(#REF!)-COUNTA(#REF!),1)</definedName>
    <definedName name="value" hidden="1">OFFSET(#REF!,5,0,COUNTA(#REF!)-COUNTA(#REF!),1)</definedName>
    <definedName name="value2" localSheetId="3" hidden="1">OFFSET(#REF!,5,0,COUNTA(#REF!)-COUNTA(#REF!),1)</definedName>
    <definedName name="value2" hidden="1">OFFSET(#REF!,5,0,COUNTA(#REF!)-COUNTA(#REF!),1)</definedName>
    <definedName name="wrn.amendement." localSheetId="3" hidden="1">{#N/A,#N/A,FALSE,"amendement"}</definedName>
    <definedName name="wrn.amendement." localSheetId="4" hidden="1">{#N/A,#N/A,FALSE,"amendement"}</definedName>
    <definedName name="wrn.amendement." localSheetId="5" hidden="1">{#N/A,#N/A,FALSE,"amendement"}</definedName>
    <definedName name="wrn.amendement." hidden="1">{#N/A,#N/A,FALSE,"amendement"}</definedName>
    <definedName name="wrn.amendement.." localSheetId="3" hidden="1">{#N/A,#N/A,FALSE,"amendement"}</definedName>
    <definedName name="wrn.amendement.." localSheetId="4" hidden="1">{#N/A,#N/A,FALSE,"amendement"}</definedName>
    <definedName name="wrn.amendement.." localSheetId="5" hidden="1">{#N/A,#N/A,FALSE,"amendement"}</definedName>
    <definedName name="wrn.amendement.." hidden="1">{#N/A,#N/A,FALSE,"amendement"}</definedName>
    <definedName name="wrn.COMPCO." localSheetId="3" hidden="1">{"Page1",#N/A,FALSE,"CompCo";"Page2",#N/A,FALSE,"CompCo"}</definedName>
    <definedName name="wrn.COMPCO." localSheetId="4" hidden="1">{"Page1",#N/A,FALSE,"CompCo";"Page2",#N/A,FALSE,"CompCo"}</definedName>
    <definedName name="wrn.COMPCO." localSheetId="5" hidden="1">{"Page1",#N/A,FALSE,"CompCo";"Page2",#N/A,FALSE,"CompCo"}</definedName>
    <definedName name="wrn.COMPCO." hidden="1">{"Page1",#N/A,FALSE,"CompCo";"Page2",#N/A,FALSE,"CompCo"}</definedName>
    <definedName name="wrn.Delchamps.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5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3" hidden="1">{"Build1",#N/A,FALSE,"Buildup";"Build2",#N/A,FALSE,"Buildup";"Build3",#N/A,FALSE,"Buildup"}</definedName>
    <definedName name="wrn.detail." localSheetId="4" hidden="1">{"Build1",#N/A,FALSE,"Buildup";"Build2",#N/A,FALSE,"Buildup";"Build3",#N/A,FALSE,"Buildup"}</definedName>
    <definedName name="wrn.detail." localSheetId="5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3" hidden="1">{"execsum",#N/A,FALSE,"ExecSum";"finstatement",#N/A,FALSE,"Fin_St"}</definedName>
    <definedName name="wrn.execsum." localSheetId="4" hidden="1">{"execsum",#N/A,FALSE,"ExecSum";"finstatement",#N/A,FALSE,"Fin_St"}</definedName>
    <definedName name="wrn.execsum." localSheetId="5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3" hidden="1">{"finana",#N/A,FALSE,"Fin"}</definedName>
    <definedName name="wrn.Finanalysis." localSheetId="4" hidden="1">{"finana",#N/A,FALSE,"Fin"}</definedName>
    <definedName name="wrn.Finanalysis." localSheetId="5" hidden="1">{"finana",#N/A,FALSE,"Fin"}</definedName>
    <definedName name="wrn.Finanalysis." hidden="1">{"finana",#N/A,FALSE,"Fin"}</definedName>
    <definedName name="wrn.full._.report.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3" hidden="1">{"sub1",#N/A,FALSE,"Subs";"pac1",#N/A,FALSE,"Packages";"rev1",#N/A,FALSE,"2. Revenues"}</definedName>
    <definedName name="wrn.magicrep." localSheetId="4" hidden="1">{"sub1",#N/A,FALSE,"Subs";"pac1",#N/A,FALSE,"Packages";"rev1",#N/A,FALSE,"2. Revenues"}</definedName>
    <definedName name="wrn.magicrep." localSheetId="5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3" hidden="1">{"volu1",#N/A,FALSE,"Volumes";"headcount",#N/A,FALSE,"Headcount";"emprpt",#N/A,FALSE,"Output"}</definedName>
    <definedName name="wrn.persrep." localSheetId="4" hidden="1">{"volu1",#N/A,FALSE,"Volumes";"headcount",#N/A,FALSE,"Headcount";"emprpt",#N/A,FALSE,"Output"}</definedName>
    <definedName name="wrn.persrep." localSheetId="5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3" hidden="1">{"PA1",#N/A,FALSE,"BORDMW";"pa2",#N/A,FALSE,"BORDMW";"PA3",#N/A,FALSE,"BORDMW";"PA4",#N/A,FALSE,"BORDMW"}</definedName>
    <definedName name="wrn.PrintAll." localSheetId="4" hidden="1">{"PA1",#N/A,FALSE,"BORDMW";"pa2",#N/A,FALSE,"BORDMW";"PA3",#N/A,FALSE,"BORDMW";"PA4",#N/A,FALSE,"BORDMW"}</definedName>
    <definedName name="wrn.PrintAll." localSheetId="5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3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5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">Conso!$C$1:$S$486,Conso!$V$489:$AO$585</definedName>
    <definedName name="_xlnm.Print_Area" localSheetId="3">'Mois 1'!#REF!,'Mois 1'!#REF!,'Mois 1'!#REF!,'Mois 1'!#REF!,'Mois 1'!#REF!,'Mois 1'!#REF!</definedName>
    <definedName name="_xlnm.Print_Area" localSheetId="4">'Mois 2'!#REF!,'Mois 2'!#REF!,'Mois 2'!#REF!,'Mois 2'!#REF!,'Mois 2'!#REF!,'Mois 2'!#REF!</definedName>
    <definedName name="_xlnm.Print_Area" localSheetId="5">'Mois 3'!$C$1:$T$698,'Mois 3'!$U$402:$AO$498</definedName>
    <definedName name="_xlnm.Print_Area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48" i="1" l="1"/>
  <c r="Q446" i="1"/>
  <c r="AL584" i="6"/>
  <c r="AO584" i="6" s="1"/>
  <c r="AL583" i="6"/>
  <c r="AO583" i="6" s="1"/>
  <c r="AI583" i="6"/>
  <c r="Z583" i="6" a="1"/>
  <c r="Z583" i="6" s="1"/>
  <c r="A583" i="6"/>
  <c r="AL582" i="6"/>
  <c r="AO582" i="6" s="1"/>
  <c r="AL581" i="6"/>
  <c r="AO581" i="6" s="1"/>
  <c r="Z581" i="6" a="1"/>
  <c r="Z581" i="6" s="1"/>
  <c r="AI581" i="6" s="1"/>
  <c r="AO580" i="6"/>
  <c r="AL580" i="6"/>
  <c r="Z580" i="6"/>
  <c r="AI580" i="6" s="1"/>
  <c r="Z580" i="6" a="1"/>
  <c r="AL579" i="6"/>
  <c r="AO579" i="6" s="1"/>
  <c r="Z579" i="6"/>
  <c r="AI579" i="6" s="1"/>
  <c r="Z579" i="6" a="1"/>
  <c r="AL578" i="6"/>
  <c r="Z578" i="6"/>
  <c r="AI578" i="6" s="1"/>
  <c r="Z578" i="6" a="1"/>
  <c r="AL567" i="6"/>
  <c r="AO567" i="6" s="1"/>
  <c r="AJ567" i="6"/>
  <c r="AO566" i="6"/>
  <c r="AL566" i="6"/>
  <c r="AL565" i="6"/>
  <c r="AO565" i="6" s="1"/>
  <c r="AL564" i="6"/>
  <c r="AO564" i="6" s="1"/>
  <c r="Z564" i="6" a="1"/>
  <c r="Z564" i="6" s="1"/>
  <c r="AL563" i="6"/>
  <c r="AO563" i="6" s="1"/>
  <c r="AL562" i="6"/>
  <c r="AO561" i="6"/>
  <c r="AL561" i="6"/>
  <c r="AL560" i="6"/>
  <c r="AO560" i="6" s="1"/>
  <c r="AL559" i="6"/>
  <c r="AO559" i="6" s="1"/>
  <c r="AL558" i="6"/>
  <c r="AO557" i="6"/>
  <c r="AL557" i="6"/>
  <c r="AL556" i="6"/>
  <c r="Z556" i="6"/>
  <c r="Z556" i="6" a="1"/>
  <c r="AH554" i="6"/>
  <c r="AO552" i="6"/>
  <c r="AL552" i="6"/>
  <c r="AL551" i="6"/>
  <c r="AO551" i="6" s="1"/>
  <c r="AL550" i="6"/>
  <c r="AO550" i="6" s="1"/>
  <c r="AO549" i="6"/>
  <c r="AL549" i="6"/>
  <c r="AL548" i="6"/>
  <c r="AI548" i="6"/>
  <c r="Z548" i="6" a="1"/>
  <c r="Z548" i="6" s="1"/>
  <c r="AL547" i="6"/>
  <c r="Z547" i="6" a="1"/>
  <c r="Z547" i="6" s="1"/>
  <c r="AL546" i="6"/>
  <c r="Z546" i="6" a="1"/>
  <c r="Z546" i="6" s="1"/>
  <c r="AL545" i="6"/>
  <c r="Z545" i="6" a="1"/>
  <c r="Z545" i="6" s="1"/>
  <c r="AI545" i="6" s="1"/>
  <c r="AL544" i="6"/>
  <c r="Z544" i="6" a="1"/>
  <c r="Z544" i="6" s="1"/>
  <c r="AO543" i="6"/>
  <c r="AL543" i="6"/>
  <c r="Z543" i="6" a="1"/>
  <c r="Z543" i="6" s="1"/>
  <c r="AL542" i="6"/>
  <c r="AI542" i="6"/>
  <c r="Z542" i="6" a="1"/>
  <c r="Z542" i="6" s="1"/>
  <c r="AL541" i="6"/>
  <c r="AI541" i="6"/>
  <c r="Z541" i="6" a="1"/>
  <c r="Z541" i="6" s="1"/>
  <c r="AL540" i="6"/>
  <c r="Z540" i="6" a="1"/>
  <c r="Z540" i="6" s="1"/>
  <c r="AL535" i="6"/>
  <c r="AL534" i="6"/>
  <c r="AL533" i="6"/>
  <c r="AL532" i="6"/>
  <c r="AL531" i="6"/>
  <c r="AL530" i="6"/>
  <c r="AO529" i="6"/>
  <c r="AL529" i="6"/>
  <c r="AL528" i="6"/>
  <c r="AO527" i="6"/>
  <c r="AL527" i="6"/>
  <c r="AL526" i="6"/>
  <c r="AL525" i="6"/>
  <c r="AL524" i="6"/>
  <c r="AL523" i="6"/>
  <c r="AL522" i="6"/>
  <c r="AL521" i="6"/>
  <c r="AL518" i="6"/>
  <c r="AL517" i="6"/>
  <c r="AL516" i="6"/>
  <c r="AL515" i="6"/>
  <c r="AL514" i="6"/>
  <c r="AO514" i="6" s="1"/>
  <c r="AL513" i="6"/>
  <c r="AO513" i="6" s="1"/>
  <c r="AO512" i="6"/>
  <c r="AL512" i="6"/>
  <c r="AO511" i="6"/>
  <c r="AL511" i="6"/>
  <c r="AL510" i="6"/>
  <c r="AL509" i="6"/>
  <c r="AL508" i="6"/>
  <c r="AL507" i="6"/>
  <c r="Z507" i="6"/>
  <c r="Z507" i="6" a="1"/>
  <c r="AO504" i="6"/>
  <c r="AL504" i="6"/>
  <c r="AK504" i="6"/>
  <c r="AL503" i="6"/>
  <c r="AL502" i="6"/>
  <c r="AL501" i="6"/>
  <c r="AO500" i="6"/>
  <c r="AL500" i="6"/>
  <c r="AK500" i="6" s="1"/>
  <c r="AL499" i="6"/>
  <c r="AL498" i="6"/>
  <c r="AL497" i="6"/>
  <c r="AL496" i="6"/>
  <c r="Q481" i="6"/>
  <c r="F481" i="6" a="1"/>
  <c r="F481" i="6" s="1"/>
  <c r="Q480" i="6"/>
  <c r="F480" i="6"/>
  <c r="F480" i="6" a="1"/>
  <c r="Q479" i="6"/>
  <c r="F479" i="6"/>
  <c r="F479" i="6" a="1"/>
  <c r="Q478" i="6"/>
  <c r="F478" i="6" a="1"/>
  <c r="F478" i="6" s="1"/>
  <c r="Q477" i="6"/>
  <c r="F477" i="6" a="1"/>
  <c r="F477" i="6" s="1"/>
  <c r="Q476" i="6"/>
  <c r="F476" i="6" a="1"/>
  <c r="F476" i="6" s="1"/>
  <c r="Q475" i="6"/>
  <c r="F475" i="6" a="1"/>
  <c r="F475" i="6" s="1"/>
  <c r="Q474" i="6"/>
  <c r="F474" i="6" a="1"/>
  <c r="F474" i="6" s="1"/>
  <c r="Q473" i="6"/>
  <c r="F473" i="6" a="1"/>
  <c r="F473" i="6" s="1"/>
  <c r="Q472" i="6"/>
  <c r="F472" i="6"/>
  <c r="F472" i="6" a="1"/>
  <c r="Q471" i="6"/>
  <c r="F471" i="6"/>
  <c r="F471" i="6" a="1"/>
  <c r="Q470" i="6"/>
  <c r="F470" i="6"/>
  <c r="F470" i="6" a="1"/>
  <c r="Q469" i="6"/>
  <c r="F469" i="6" a="1"/>
  <c r="F469" i="6" s="1"/>
  <c r="Q468" i="6"/>
  <c r="F468" i="6"/>
  <c r="F468" i="6" a="1"/>
  <c r="Q467" i="6"/>
  <c r="F467" i="6"/>
  <c r="F467" i="6" a="1"/>
  <c r="Q466" i="6"/>
  <c r="F466" i="6" a="1"/>
  <c r="F466" i="6" s="1"/>
  <c r="Q465" i="6"/>
  <c r="F465" i="6" a="1"/>
  <c r="F465" i="6" s="1"/>
  <c r="Q463" i="6"/>
  <c r="F463" i="6" a="1"/>
  <c r="F463" i="6" s="1"/>
  <c r="Q462" i="6"/>
  <c r="F462" i="6"/>
  <c r="F462" i="6" a="1"/>
  <c r="Q461" i="6"/>
  <c r="F461" i="6" a="1"/>
  <c r="F461" i="6" s="1"/>
  <c r="Q460" i="6"/>
  <c r="F460" i="6" a="1"/>
  <c r="F460" i="6" s="1"/>
  <c r="Q459" i="6"/>
  <c r="F459" i="6" a="1"/>
  <c r="F459" i="6" s="1"/>
  <c r="Q458" i="6"/>
  <c r="F458" i="6" a="1"/>
  <c r="F458" i="6" s="1"/>
  <c r="Q457" i="6"/>
  <c r="F457" i="6"/>
  <c r="F457" i="6" a="1"/>
  <c r="Q456" i="6"/>
  <c r="F456" i="6"/>
  <c r="F456" i="6" a="1"/>
  <c r="Q455" i="6"/>
  <c r="F455" i="6"/>
  <c r="F455" i="6" a="1"/>
  <c r="Q454" i="6"/>
  <c r="F454" i="6"/>
  <c r="F454" i="6" a="1"/>
  <c r="Q453" i="6"/>
  <c r="F453" i="6"/>
  <c r="F453" i="6" a="1"/>
  <c r="Q452" i="6"/>
  <c r="F452" i="6" a="1"/>
  <c r="F452" i="6" s="1"/>
  <c r="R448" i="6"/>
  <c r="F448" i="6"/>
  <c r="E448" i="6" s="1"/>
  <c r="F448" i="6" a="1"/>
  <c r="D448" i="6" a="1"/>
  <c r="D448" i="6" s="1"/>
  <c r="Q446" i="6"/>
  <c r="P445" i="6"/>
  <c r="Q444" i="6"/>
  <c r="F444" i="6"/>
  <c r="Q443" i="6"/>
  <c r="P443" i="6"/>
  <c r="O443" i="6"/>
  <c r="P442" i="6"/>
  <c r="Q440" i="6"/>
  <c r="Q448" i="6" s="1"/>
  <c r="P440" i="6"/>
  <c r="O440" i="6"/>
  <c r="F440" i="6" a="1"/>
  <c r="F440" i="6" s="1"/>
  <c r="E440" i="6" a="1"/>
  <c r="E440" i="6" s="1"/>
  <c r="D440" i="6"/>
  <c r="D440" i="6" a="1"/>
  <c r="Q437" i="6"/>
  <c r="P437" i="6"/>
  <c r="O437" i="6"/>
  <c r="R437" i="6" s="1"/>
  <c r="F437" i="6"/>
  <c r="F437" i="6" a="1"/>
  <c r="E437" i="6" a="1"/>
  <c r="E437" i="6" s="1"/>
  <c r="D437" i="6" a="1"/>
  <c r="D437" i="6" s="1"/>
  <c r="N428" i="6"/>
  <c r="Q424" i="6"/>
  <c r="F424" i="6"/>
  <c r="F424" i="6" a="1"/>
  <c r="Q423" i="6"/>
  <c r="F423" i="6" a="1"/>
  <c r="F423" i="6" s="1"/>
  <c r="Q422" i="6"/>
  <c r="F422" i="6" a="1"/>
  <c r="F422" i="6" s="1"/>
  <c r="Q421" i="6"/>
  <c r="F421" i="6" a="1"/>
  <c r="F421" i="6" s="1"/>
  <c r="Q420" i="6"/>
  <c r="F420" i="6" a="1"/>
  <c r="F420" i="6" s="1"/>
  <c r="Q419" i="6"/>
  <c r="F419" i="6" a="1"/>
  <c r="F419" i="6" s="1"/>
  <c r="Q418" i="6"/>
  <c r="F418" i="6" a="1"/>
  <c r="F418" i="6" s="1"/>
  <c r="Q417" i="6"/>
  <c r="F417" i="6" a="1"/>
  <c r="F417" i="6" s="1"/>
  <c r="Q416" i="6"/>
  <c r="F416" i="6" a="1"/>
  <c r="F416" i="6" s="1"/>
  <c r="Q415" i="6"/>
  <c r="F415" i="6" a="1"/>
  <c r="F415" i="6" s="1"/>
  <c r="Q414" i="6"/>
  <c r="F414" i="6" a="1"/>
  <c r="F414" i="6" s="1"/>
  <c r="Q413" i="6"/>
  <c r="Q412" i="6"/>
  <c r="F412" i="6"/>
  <c r="F412" i="6" a="1"/>
  <c r="Q411" i="6"/>
  <c r="F411" i="6" a="1"/>
  <c r="F411" i="6" s="1"/>
  <c r="Q410" i="6"/>
  <c r="F410" i="6" a="1"/>
  <c r="F410" i="6" s="1"/>
  <c r="Q409" i="6"/>
  <c r="F409" i="6" a="1"/>
  <c r="F409" i="6" s="1"/>
  <c r="Q408" i="6"/>
  <c r="F408" i="6"/>
  <c r="F408" i="6" a="1"/>
  <c r="Q407" i="6"/>
  <c r="F407" i="6" a="1"/>
  <c r="F407" i="6" s="1"/>
  <c r="Q406" i="6"/>
  <c r="Q405" i="6"/>
  <c r="F405" i="6" a="1"/>
  <c r="F405" i="6" s="1"/>
  <c r="Q404" i="6"/>
  <c r="F404" i="6" a="1"/>
  <c r="F404" i="6" s="1"/>
  <c r="Q403" i="6"/>
  <c r="F403" i="6" a="1"/>
  <c r="F403" i="6" s="1"/>
  <c r="Q402" i="6"/>
  <c r="F402" i="6"/>
  <c r="F402" i="6" a="1"/>
  <c r="Q401" i="6"/>
  <c r="F401" i="6" a="1"/>
  <c r="F401" i="6" s="1"/>
  <c r="Q400" i="6"/>
  <c r="F400" i="6" a="1"/>
  <c r="F400" i="6" s="1"/>
  <c r="Q399" i="6"/>
  <c r="F399" i="6" a="1"/>
  <c r="F399" i="6" s="1"/>
  <c r="Q398" i="6"/>
  <c r="F398" i="6" a="1"/>
  <c r="F398" i="6" s="1"/>
  <c r="Q397" i="6"/>
  <c r="F397" i="6" a="1"/>
  <c r="F397" i="6" s="1"/>
  <c r="Q396" i="6"/>
  <c r="F396" i="6" a="1"/>
  <c r="F396" i="6" s="1"/>
  <c r="Q395" i="6"/>
  <c r="F395" i="6" a="1"/>
  <c r="F395" i="6" s="1"/>
  <c r="Q394" i="6"/>
  <c r="F394" i="6"/>
  <c r="F394" i="6" a="1"/>
  <c r="Q388" i="6"/>
  <c r="P388" i="6"/>
  <c r="O388" i="6"/>
  <c r="F388" i="6"/>
  <c r="M388" i="6" s="1"/>
  <c r="F388" i="6" a="1"/>
  <c r="D388" i="6" a="1"/>
  <c r="D388" i="6" s="1"/>
  <c r="E388" i="6" s="1"/>
  <c r="Q384" i="6"/>
  <c r="O384" i="6"/>
  <c r="P384" i="6" s="1"/>
  <c r="F384" i="6" a="1"/>
  <c r="F384" i="6" s="1"/>
  <c r="D384" i="6"/>
  <c r="E384" i="6" s="1"/>
  <c r="D384" i="6" a="1"/>
  <c r="Q383" i="6"/>
  <c r="P383" i="6"/>
  <c r="O383" i="6"/>
  <c r="F383" i="6" a="1"/>
  <c r="F383" i="6" s="1"/>
  <c r="E383" i="6"/>
  <c r="D383" i="6"/>
  <c r="D383" i="6" a="1"/>
  <c r="O380" i="6"/>
  <c r="R379" i="6"/>
  <c r="Q379" i="6"/>
  <c r="P379" i="6"/>
  <c r="O379" i="6"/>
  <c r="F379" i="6"/>
  <c r="F379" i="6" a="1"/>
  <c r="D379" i="6" a="1"/>
  <c r="D379" i="6" s="1"/>
  <c r="E379" i="6" s="1"/>
  <c r="R378" i="6"/>
  <c r="Q378" i="6"/>
  <c r="P378" i="6"/>
  <c r="O378" i="6"/>
  <c r="F378" i="6" a="1"/>
  <c r="F378" i="6" s="1"/>
  <c r="E378" i="6"/>
  <c r="D378" i="6" a="1"/>
  <c r="D378" i="6" s="1"/>
  <c r="R377" i="6"/>
  <c r="Q377" i="6"/>
  <c r="P377" i="6"/>
  <c r="O377" i="6"/>
  <c r="F377" i="6" a="1"/>
  <c r="F377" i="6" s="1"/>
  <c r="D377" i="6"/>
  <c r="E377" i="6" s="1"/>
  <c r="D377" i="6" a="1"/>
  <c r="Q376" i="6"/>
  <c r="O376" i="6"/>
  <c r="F376" i="6"/>
  <c r="F376" i="6" a="1"/>
  <c r="D376" i="6" a="1"/>
  <c r="D376" i="6" s="1"/>
  <c r="E376" i="6" s="1"/>
  <c r="Q375" i="6"/>
  <c r="P375" i="6" s="1"/>
  <c r="O375" i="6"/>
  <c r="F375" i="6" a="1"/>
  <c r="F375" i="6" s="1"/>
  <c r="D375" i="6" a="1"/>
  <c r="D375" i="6" s="1"/>
  <c r="E375" i="6" s="1"/>
  <c r="Q374" i="6"/>
  <c r="P374" i="6"/>
  <c r="O374" i="6"/>
  <c r="F374" i="6" a="1"/>
  <c r="F374" i="6" s="1"/>
  <c r="D374" i="6" a="1"/>
  <c r="D374" i="6" s="1"/>
  <c r="Q373" i="6"/>
  <c r="P373" i="6" s="1"/>
  <c r="O373" i="6"/>
  <c r="F373" i="6" a="1"/>
  <c r="F373" i="6" s="1"/>
  <c r="D373" i="6" a="1"/>
  <c r="D373" i="6" s="1"/>
  <c r="E373" i="6" s="1"/>
  <c r="Q372" i="6"/>
  <c r="O372" i="6"/>
  <c r="R372" i="6" s="1"/>
  <c r="F372" i="6"/>
  <c r="F372" i="6" a="1"/>
  <c r="D372" i="6" a="1"/>
  <c r="D372" i="6" s="1"/>
  <c r="E372" i="6" s="1"/>
  <c r="Q371" i="6"/>
  <c r="P371" i="6"/>
  <c r="O371" i="6"/>
  <c r="F371" i="6" a="1"/>
  <c r="F371" i="6" s="1"/>
  <c r="D371" i="6" a="1"/>
  <c r="D371" i="6" s="1"/>
  <c r="N364" i="6"/>
  <c r="Q361" i="6"/>
  <c r="Q360" i="6"/>
  <c r="F360" i="6" a="1"/>
  <c r="F360" i="6" s="1"/>
  <c r="Q359" i="6"/>
  <c r="F359" i="6" a="1"/>
  <c r="F359" i="6" s="1"/>
  <c r="Q358" i="6"/>
  <c r="F358" i="6"/>
  <c r="F358" i="6" a="1"/>
  <c r="Q357" i="6"/>
  <c r="F357" i="6" a="1"/>
  <c r="F357" i="6" s="1"/>
  <c r="Q356" i="6"/>
  <c r="F356" i="6" a="1"/>
  <c r="F356" i="6" s="1"/>
  <c r="Q355" i="6"/>
  <c r="F355" i="6" a="1"/>
  <c r="F355" i="6" s="1"/>
  <c r="Q354" i="6"/>
  <c r="F354" i="6"/>
  <c r="F354" i="6" a="1"/>
  <c r="Q353" i="6"/>
  <c r="F353" i="6" a="1"/>
  <c r="F353" i="6" s="1"/>
  <c r="Q352" i="6"/>
  <c r="F352" i="6" a="1"/>
  <c r="F352" i="6" s="1"/>
  <c r="Q351" i="6"/>
  <c r="F351" i="6" a="1"/>
  <c r="F351" i="6" s="1"/>
  <c r="Q350" i="6"/>
  <c r="F350" i="6" a="1"/>
  <c r="F350" i="6" s="1"/>
  <c r="Q349" i="6"/>
  <c r="Q348" i="6"/>
  <c r="F348" i="6" a="1"/>
  <c r="F348" i="6" s="1"/>
  <c r="Q347" i="6"/>
  <c r="F347" i="6" a="1"/>
  <c r="F347" i="6" s="1"/>
  <c r="Q346" i="6"/>
  <c r="F346" i="6"/>
  <c r="F346" i="6" a="1"/>
  <c r="Q345" i="6"/>
  <c r="F345" i="6" a="1"/>
  <c r="F345" i="6" s="1"/>
  <c r="Q344" i="6"/>
  <c r="F344" i="6"/>
  <c r="F344" i="6" a="1"/>
  <c r="Q343" i="6"/>
  <c r="F343" i="6" a="1"/>
  <c r="F343" i="6" s="1"/>
  <c r="Q341" i="6"/>
  <c r="F341" i="6" a="1"/>
  <c r="F341" i="6" s="1"/>
  <c r="Q340" i="6"/>
  <c r="F340" i="6" a="1"/>
  <c r="F340" i="6" s="1"/>
  <c r="Q339" i="6"/>
  <c r="F339" i="6" a="1"/>
  <c r="F339" i="6" s="1"/>
  <c r="Q338" i="6"/>
  <c r="F338" i="6"/>
  <c r="F338" i="6" a="1"/>
  <c r="Q337" i="6"/>
  <c r="F337" i="6" a="1"/>
  <c r="F337" i="6" s="1"/>
  <c r="Q336" i="6"/>
  <c r="F336" i="6" a="1"/>
  <c r="F336" i="6" s="1"/>
  <c r="Q335" i="6"/>
  <c r="F335" i="6" a="1"/>
  <c r="F335" i="6" s="1"/>
  <c r="Q334" i="6"/>
  <c r="F334" i="6" a="1"/>
  <c r="F334" i="6" s="1"/>
  <c r="Q333" i="6"/>
  <c r="F333" i="6" a="1"/>
  <c r="F333" i="6" s="1"/>
  <c r="Q332" i="6"/>
  <c r="F332" i="6" a="1"/>
  <c r="F332" i="6" s="1"/>
  <c r="Q331" i="6"/>
  <c r="F331" i="6" a="1"/>
  <c r="F331" i="6" s="1"/>
  <c r="Q330" i="6"/>
  <c r="F330" i="6"/>
  <c r="F330" i="6" a="1"/>
  <c r="P326" i="6"/>
  <c r="R324" i="6"/>
  <c r="Q324" i="6"/>
  <c r="S322" i="6"/>
  <c r="Q322" i="6"/>
  <c r="F322" i="6"/>
  <c r="R321" i="6"/>
  <c r="Q321" i="6"/>
  <c r="P321" i="6"/>
  <c r="Q319" i="6"/>
  <c r="R318" i="6"/>
  <c r="Q318" i="6"/>
  <c r="P318" i="6"/>
  <c r="F318" i="6"/>
  <c r="F318" i="6" a="1"/>
  <c r="E318" i="6" a="1"/>
  <c r="E318" i="6" s="1"/>
  <c r="D318" i="6" a="1"/>
  <c r="D318" i="6" s="1"/>
  <c r="R315" i="6"/>
  <c r="Q315" i="6"/>
  <c r="P315" i="6"/>
  <c r="F315" i="6"/>
  <c r="F315" i="6" a="1"/>
  <c r="E315" i="6"/>
  <c r="E315" i="6" a="1"/>
  <c r="D315" i="6" a="1"/>
  <c r="D315" i="6" s="1"/>
  <c r="N306" i="6"/>
  <c r="Q302" i="6"/>
  <c r="F302" i="6"/>
  <c r="F302" i="6" a="1"/>
  <c r="Q301" i="6"/>
  <c r="F301" i="6" a="1"/>
  <c r="F301" i="6" s="1"/>
  <c r="Q300" i="6"/>
  <c r="F300" i="6"/>
  <c r="F300" i="6" a="1"/>
  <c r="Q299" i="6"/>
  <c r="F299" i="6" a="1"/>
  <c r="F299" i="6" s="1"/>
  <c r="Q298" i="6"/>
  <c r="F298" i="6"/>
  <c r="F298" i="6" a="1"/>
  <c r="Q297" i="6"/>
  <c r="F297" i="6" a="1"/>
  <c r="F297" i="6" s="1"/>
  <c r="Q296" i="6"/>
  <c r="F296" i="6"/>
  <c r="F296" i="6" a="1"/>
  <c r="Q295" i="6"/>
  <c r="F295" i="6" a="1"/>
  <c r="F295" i="6" s="1"/>
  <c r="Q294" i="6"/>
  <c r="F294" i="6"/>
  <c r="F294" i="6" a="1"/>
  <c r="Q293" i="6"/>
  <c r="F293" i="6" a="1"/>
  <c r="F293" i="6" s="1"/>
  <c r="Q292" i="6"/>
  <c r="F292" i="6"/>
  <c r="F292" i="6" a="1"/>
  <c r="Q291" i="6"/>
  <c r="Q290" i="6"/>
  <c r="F290" i="6"/>
  <c r="F290" i="6" a="1"/>
  <c r="Q289" i="6"/>
  <c r="F289" i="6"/>
  <c r="F289" i="6" a="1"/>
  <c r="Q288" i="6"/>
  <c r="F288" i="6"/>
  <c r="F288" i="6" a="1"/>
  <c r="Q287" i="6"/>
  <c r="F287" i="6"/>
  <c r="F287" i="6" a="1"/>
  <c r="Q286" i="6"/>
  <c r="F286" i="6"/>
  <c r="F286" i="6" a="1"/>
  <c r="Q285" i="6"/>
  <c r="F285" i="6"/>
  <c r="F285" i="6" a="1"/>
  <c r="Q283" i="6"/>
  <c r="F283" i="6"/>
  <c r="F283" i="6" a="1"/>
  <c r="Q282" i="6"/>
  <c r="F282" i="6"/>
  <c r="F282" i="6" a="1"/>
  <c r="Q281" i="6"/>
  <c r="F281" i="6"/>
  <c r="F281" i="6" a="1"/>
  <c r="Q280" i="6"/>
  <c r="F280" i="6"/>
  <c r="F280" i="6" a="1"/>
  <c r="Q279" i="6"/>
  <c r="F279" i="6"/>
  <c r="F279" i="6" a="1"/>
  <c r="Q278" i="6"/>
  <c r="F278" i="6"/>
  <c r="F278" i="6" a="1"/>
  <c r="Q277" i="6"/>
  <c r="F277" i="6"/>
  <c r="F277" i="6" a="1"/>
  <c r="Q276" i="6"/>
  <c r="F276" i="6"/>
  <c r="F276" i="6" a="1"/>
  <c r="Q275" i="6"/>
  <c r="F275" i="6"/>
  <c r="F275" i="6" a="1"/>
  <c r="Q274" i="6"/>
  <c r="F274" i="6" a="1"/>
  <c r="F274" i="6" s="1"/>
  <c r="Q273" i="6"/>
  <c r="F273" i="6"/>
  <c r="F273" i="6" a="1"/>
  <c r="Q272" i="6"/>
  <c r="F272" i="6" a="1"/>
  <c r="F272" i="6" s="1"/>
  <c r="Q265" i="6"/>
  <c r="Q266" i="6" s="1"/>
  <c r="P265" i="6"/>
  <c r="O265" i="6"/>
  <c r="R265" i="6" s="1"/>
  <c r="F265" i="6" a="1"/>
  <c r="F265" i="6" s="1"/>
  <c r="F266" i="6" s="1"/>
  <c r="E265" i="6"/>
  <c r="M265" i="6" s="1"/>
  <c r="E265" i="6" a="1"/>
  <c r="Q262" i="6"/>
  <c r="Q263" i="6" s="1"/>
  <c r="P262" i="6"/>
  <c r="O262" i="6"/>
  <c r="F262" i="6"/>
  <c r="F262" i="6" a="1"/>
  <c r="E262" i="6"/>
  <c r="M262" i="6" s="1"/>
  <c r="E262" i="6" a="1"/>
  <c r="E259" i="6"/>
  <c r="E268" i="6" s="1"/>
  <c r="Q258" i="6"/>
  <c r="F258" i="6"/>
  <c r="F258" i="6" a="1"/>
  <c r="Q256" i="6"/>
  <c r="M256" i="6"/>
  <c r="F256" i="6"/>
  <c r="Q255" i="6"/>
  <c r="S256" i="6" s="1"/>
  <c r="P255" i="6"/>
  <c r="O255" i="6"/>
  <c r="R255" i="6" s="1"/>
  <c r="F255" i="6"/>
  <c r="F255" i="6" a="1"/>
  <c r="E255" i="6" a="1"/>
  <c r="E255" i="6" s="1"/>
  <c r="M255" i="6" s="1"/>
  <c r="D255" i="6"/>
  <c r="D255" i="6" a="1"/>
  <c r="P254" i="6"/>
  <c r="E254" i="6"/>
  <c r="Q252" i="6"/>
  <c r="P252" i="6"/>
  <c r="O252" i="6"/>
  <c r="F252" i="6" a="1"/>
  <c r="F252" i="6" s="1"/>
  <c r="E252" i="6" a="1"/>
  <c r="E252" i="6" s="1"/>
  <c r="D252" i="6" a="1"/>
  <c r="D252" i="6" s="1"/>
  <c r="Q250" i="6"/>
  <c r="Q249" i="6"/>
  <c r="P249" i="6"/>
  <c r="P251" i="6" s="1"/>
  <c r="O249" i="6"/>
  <c r="F249" i="6"/>
  <c r="F249" i="6" a="1"/>
  <c r="E249" i="6"/>
  <c r="E249" i="6" a="1"/>
  <c r="D249" i="6" a="1"/>
  <c r="D249" i="6" s="1"/>
  <c r="E251" i="6" s="1"/>
  <c r="Q247" i="6"/>
  <c r="Q246" i="6"/>
  <c r="P246" i="6"/>
  <c r="O246" i="6"/>
  <c r="F246" i="6"/>
  <c r="F247" i="6" s="1"/>
  <c r="F246" i="6" a="1"/>
  <c r="E246" i="6" a="1"/>
  <c r="E246" i="6" s="1"/>
  <c r="E248" i="6" s="1"/>
  <c r="D246" i="6" a="1"/>
  <c r="D246" i="6" s="1"/>
  <c r="Q237" i="6"/>
  <c r="Q236" i="6"/>
  <c r="F236" i="6"/>
  <c r="F236" i="6" a="1"/>
  <c r="Q235" i="6"/>
  <c r="F235" i="6" a="1"/>
  <c r="F235" i="6" s="1"/>
  <c r="Q234" i="6"/>
  <c r="F234" i="6" a="1"/>
  <c r="F234" i="6" s="1"/>
  <c r="Q233" i="6"/>
  <c r="F233" i="6" a="1"/>
  <c r="F233" i="6" s="1"/>
  <c r="E233" i="6" s="1"/>
  <c r="D233" i="6" s="1"/>
  <c r="Q232" i="6"/>
  <c r="F232" i="6"/>
  <c r="F232" i="6" a="1"/>
  <c r="Q231" i="6"/>
  <c r="F231" i="6"/>
  <c r="F231" i="6" a="1"/>
  <c r="S230" i="6"/>
  <c r="F230" i="6" a="1"/>
  <c r="F230" i="6" s="1"/>
  <c r="Q226" i="6"/>
  <c r="F226" i="6"/>
  <c r="F226" i="6" a="1"/>
  <c r="Q225" i="6"/>
  <c r="F225" i="6" a="1"/>
  <c r="F225" i="6" s="1"/>
  <c r="Q224" i="6"/>
  <c r="F224" i="6" a="1"/>
  <c r="F224" i="6" s="1"/>
  <c r="Q223" i="6"/>
  <c r="F223" i="6"/>
  <c r="F223" i="6" a="1"/>
  <c r="Q222" i="6"/>
  <c r="F222" i="6"/>
  <c r="F222" i="6" a="1"/>
  <c r="Q221" i="6"/>
  <c r="F221" i="6" a="1"/>
  <c r="F221" i="6" s="1"/>
  <c r="Q220" i="6"/>
  <c r="F220" i="6" a="1"/>
  <c r="F220" i="6" s="1"/>
  <c r="Q219" i="6"/>
  <c r="F219" i="6" a="1"/>
  <c r="F219" i="6" s="1"/>
  <c r="Q218" i="6"/>
  <c r="F218" i="6"/>
  <c r="F218" i="6" a="1"/>
  <c r="Q217" i="6"/>
  <c r="F217" i="6" a="1"/>
  <c r="F217" i="6" s="1"/>
  <c r="Q216" i="6"/>
  <c r="F216" i="6"/>
  <c r="F216" i="6" a="1"/>
  <c r="Q215" i="6"/>
  <c r="F215" i="6" a="1"/>
  <c r="F215" i="6" s="1"/>
  <c r="Q214" i="6"/>
  <c r="F214" i="6" a="1"/>
  <c r="F214" i="6" s="1"/>
  <c r="Q213" i="6"/>
  <c r="F213" i="6"/>
  <c r="F213" i="6" a="1"/>
  <c r="Q212" i="6"/>
  <c r="F212" i="6"/>
  <c r="F212" i="6" a="1"/>
  <c r="Q211" i="6"/>
  <c r="F211" i="6"/>
  <c r="F211" i="6" a="1"/>
  <c r="Q210" i="6"/>
  <c r="F210" i="6" a="1"/>
  <c r="F210" i="6" s="1"/>
  <c r="Q209" i="6"/>
  <c r="F209" i="6"/>
  <c r="Q208" i="6"/>
  <c r="F208" i="6" a="1"/>
  <c r="F208" i="6" s="1"/>
  <c r="Q207" i="6"/>
  <c r="F207" i="6"/>
  <c r="F207" i="6" a="1"/>
  <c r="Q206" i="6"/>
  <c r="F206" i="6" a="1"/>
  <c r="F206" i="6" s="1"/>
  <c r="Q205" i="6"/>
  <c r="F205" i="6"/>
  <c r="F205" i="6" a="1"/>
  <c r="Q204" i="6"/>
  <c r="F204" i="6" a="1"/>
  <c r="F204" i="6" s="1"/>
  <c r="Q203" i="6"/>
  <c r="F203" i="6"/>
  <c r="F203" i="6" a="1"/>
  <c r="Q202" i="6"/>
  <c r="F202" i="6" a="1"/>
  <c r="F202" i="6" s="1"/>
  <c r="Q201" i="6"/>
  <c r="F201" i="6"/>
  <c r="F201" i="6" a="1"/>
  <c r="Q200" i="6"/>
  <c r="F200" i="6" a="1"/>
  <c r="F200" i="6" s="1"/>
  <c r="Q199" i="6"/>
  <c r="F199" i="6"/>
  <c r="F199" i="6" a="1"/>
  <c r="Q198" i="6"/>
  <c r="F198" i="6" a="1"/>
  <c r="F198" i="6" s="1"/>
  <c r="Q197" i="6"/>
  <c r="F197" i="6"/>
  <c r="F197" i="6" a="1"/>
  <c r="Q195" i="6"/>
  <c r="F195" i="6" a="1"/>
  <c r="F195" i="6" s="1"/>
  <c r="Q194" i="6"/>
  <c r="F194" i="6" a="1"/>
  <c r="F194" i="6" s="1"/>
  <c r="Q193" i="6"/>
  <c r="F193" i="6"/>
  <c r="F193" i="6" a="1"/>
  <c r="T192" i="6"/>
  <c r="Q192" i="6"/>
  <c r="F192" i="6"/>
  <c r="F192" i="6" a="1"/>
  <c r="Q191" i="6"/>
  <c r="F191" i="6"/>
  <c r="F191" i="6" a="1"/>
  <c r="Q190" i="6"/>
  <c r="F190" i="6" a="1"/>
  <c r="F190" i="6" s="1"/>
  <c r="Q189" i="6"/>
  <c r="F189" i="6" a="1"/>
  <c r="F189" i="6" s="1"/>
  <c r="Q188" i="6"/>
  <c r="F188" i="6" a="1"/>
  <c r="F188" i="6" s="1"/>
  <c r="Q187" i="6"/>
  <c r="F187" i="6"/>
  <c r="F187" i="6" a="1"/>
  <c r="Q186" i="6"/>
  <c r="F186" i="6"/>
  <c r="F186" i="6" a="1"/>
  <c r="D186" i="6"/>
  <c r="U182" i="6"/>
  <c r="F182" i="6"/>
  <c r="N180" i="6"/>
  <c r="Q179" i="6"/>
  <c r="O179" i="6"/>
  <c r="P179" i="6" s="1"/>
  <c r="D179" i="6"/>
  <c r="E179" i="6" s="1"/>
  <c r="D179" i="6" a="1"/>
  <c r="A179" i="6"/>
  <c r="F179" i="6" s="1" a="1"/>
  <c r="F179" i="6" s="1"/>
  <c r="S178" i="6"/>
  <c r="Q177" i="6"/>
  <c r="O177" i="6"/>
  <c r="P177" i="6" s="1"/>
  <c r="F177" i="6" a="1"/>
  <c r="F177" i="6" s="1"/>
  <c r="E177" i="6"/>
  <c r="D177" i="6" a="1"/>
  <c r="D177" i="6" s="1"/>
  <c r="Q175" i="6"/>
  <c r="P175" i="6" s="1"/>
  <c r="O175" i="6"/>
  <c r="F175" i="6" a="1"/>
  <c r="F175" i="6" s="1"/>
  <c r="D175" i="6"/>
  <c r="D175" i="6" a="1"/>
  <c r="Q173" i="6"/>
  <c r="F173" i="6" a="1"/>
  <c r="F173" i="6" s="1"/>
  <c r="Q163" i="6"/>
  <c r="F163" i="6" a="1"/>
  <c r="F163" i="6" s="1"/>
  <c r="Q162" i="6"/>
  <c r="F162" i="6" a="1"/>
  <c r="F162" i="6" s="1"/>
  <c r="Q161" i="6"/>
  <c r="F161" i="6" a="1"/>
  <c r="F161" i="6" s="1"/>
  <c r="Q160" i="6"/>
  <c r="F160" i="6"/>
  <c r="F160" i="6" a="1"/>
  <c r="Q159" i="6"/>
  <c r="F159" i="6" a="1"/>
  <c r="F159" i="6" s="1"/>
  <c r="Q158" i="6"/>
  <c r="F158" i="6"/>
  <c r="F158" i="6" a="1"/>
  <c r="S157" i="6"/>
  <c r="F157" i="6"/>
  <c r="F157" i="6" a="1"/>
  <c r="Q153" i="6"/>
  <c r="F153" i="6" a="1"/>
  <c r="F153" i="6" s="1"/>
  <c r="Q152" i="6"/>
  <c r="F152" i="6" a="1"/>
  <c r="F152" i="6" s="1"/>
  <c r="Q151" i="6"/>
  <c r="F151" i="6" a="1"/>
  <c r="F151" i="6" s="1"/>
  <c r="Q150" i="6"/>
  <c r="F150" i="6" a="1"/>
  <c r="F150" i="6" s="1"/>
  <c r="Q149" i="6"/>
  <c r="F149" i="6" a="1"/>
  <c r="F149" i="6" s="1"/>
  <c r="Q148" i="6"/>
  <c r="F148" i="6" a="1"/>
  <c r="F148" i="6" s="1"/>
  <c r="Q147" i="6"/>
  <c r="F147" i="6" a="1"/>
  <c r="F147" i="6" s="1"/>
  <c r="Q146" i="6"/>
  <c r="F146" i="6" a="1"/>
  <c r="F146" i="6" s="1"/>
  <c r="Q145" i="6"/>
  <c r="F145" i="6" a="1"/>
  <c r="F145" i="6" s="1"/>
  <c r="Q144" i="6"/>
  <c r="F144" i="6" a="1"/>
  <c r="F144" i="6" s="1"/>
  <c r="Q143" i="6"/>
  <c r="F143" i="6" a="1"/>
  <c r="F143" i="6" s="1"/>
  <c r="Q142" i="6"/>
  <c r="F142" i="6" a="1"/>
  <c r="F142" i="6" s="1"/>
  <c r="Q141" i="6"/>
  <c r="F141" i="6" a="1"/>
  <c r="F141" i="6" s="1"/>
  <c r="Q140" i="6"/>
  <c r="F140" i="6" a="1"/>
  <c r="F140" i="6" s="1"/>
  <c r="Q139" i="6"/>
  <c r="F139" i="6" a="1"/>
  <c r="F139" i="6" s="1"/>
  <c r="Q138" i="6"/>
  <c r="F138" i="6" a="1"/>
  <c r="F138" i="6" s="1"/>
  <c r="Q137" i="6"/>
  <c r="F137" i="6" a="1"/>
  <c r="F137" i="6" s="1"/>
  <c r="Q135" i="6"/>
  <c r="F135" i="6" a="1"/>
  <c r="F135" i="6" s="1"/>
  <c r="Q134" i="6"/>
  <c r="F134" i="6" a="1"/>
  <c r="F134" i="6" s="1"/>
  <c r="Q133" i="6"/>
  <c r="F133" i="6" a="1"/>
  <c r="F133" i="6" s="1"/>
  <c r="Q132" i="6"/>
  <c r="F132" i="6" a="1"/>
  <c r="F132" i="6" s="1"/>
  <c r="Q131" i="6"/>
  <c r="F131" i="6" a="1"/>
  <c r="F131" i="6" s="1"/>
  <c r="Q130" i="6"/>
  <c r="F130" i="6" a="1"/>
  <c r="F130" i="6" s="1"/>
  <c r="Q129" i="6"/>
  <c r="Q136" i="6" s="1"/>
  <c r="F129" i="6" a="1"/>
  <c r="F129" i="6" s="1"/>
  <c r="Q128" i="6"/>
  <c r="F128" i="6" a="1"/>
  <c r="F128" i="6" s="1"/>
  <c r="Q127" i="6"/>
  <c r="F127" i="6" a="1"/>
  <c r="F127" i="6" s="1"/>
  <c r="Q126" i="6"/>
  <c r="F126" i="6" a="1"/>
  <c r="F126" i="6" s="1"/>
  <c r="Q125" i="6"/>
  <c r="F125" i="6" a="1"/>
  <c r="F125" i="6" s="1"/>
  <c r="Q124" i="6"/>
  <c r="F124" i="6" a="1"/>
  <c r="F124" i="6" s="1"/>
  <c r="Q122" i="6"/>
  <c r="F122" i="6" a="1"/>
  <c r="F122" i="6" s="1"/>
  <c r="Q121" i="6"/>
  <c r="F121" i="6" a="1"/>
  <c r="F121" i="6" s="1"/>
  <c r="Q120" i="6"/>
  <c r="F120" i="6"/>
  <c r="F120" i="6" a="1"/>
  <c r="T119" i="6"/>
  <c r="Q119" i="6"/>
  <c r="F119" i="6" a="1"/>
  <c r="F119" i="6" s="1"/>
  <c r="Q118" i="6"/>
  <c r="F118" i="6"/>
  <c r="F118" i="6" a="1"/>
  <c r="Q117" i="6"/>
  <c r="F117" i="6"/>
  <c r="F117" i="6" a="1"/>
  <c r="Q116" i="6"/>
  <c r="F116" i="6"/>
  <c r="F116" i="6" a="1"/>
  <c r="Q115" i="6"/>
  <c r="F115" i="6" a="1"/>
  <c r="F115" i="6" s="1"/>
  <c r="Q114" i="6"/>
  <c r="F114" i="6"/>
  <c r="F114" i="6" a="1"/>
  <c r="Q113" i="6"/>
  <c r="Q123" i="6" s="1"/>
  <c r="F113" i="6"/>
  <c r="F113" i="6" a="1"/>
  <c r="U109" i="6"/>
  <c r="Q105" i="6"/>
  <c r="F105" i="6"/>
  <c r="F105" i="6" a="1"/>
  <c r="E105" i="6"/>
  <c r="D105" i="6" a="1"/>
  <c r="D105" i="6" s="1"/>
  <c r="Q104" i="6"/>
  <c r="F104" i="6" a="1"/>
  <c r="F104" i="6" s="1"/>
  <c r="D104" i="6"/>
  <c r="E104" i="6" s="1"/>
  <c r="D104" i="6" a="1"/>
  <c r="Q103" i="6"/>
  <c r="F103" i="6"/>
  <c r="F103" i="6" a="1"/>
  <c r="D103" i="6" a="1"/>
  <c r="D103" i="6" s="1"/>
  <c r="E103" i="6" s="1"/>
  <c r="Q101" i="6"/>
  <c r="P101" i="6" s="1"/>
  <c r="O101" i="6"/>
  <c r="F101" i="6"/>
  <c r="F101" i="6" a="1"/>
  <c r="D101" i="6" a="1"/>
  <c r="D101" i="6" s="1"/>
  <c r="E101" i="6" s="1"/>
  <c r="A100" i="6"/>
  <c r="R99" i="6"/>
  <c r="Q99" i="6"/>
  <c r="P99" i="6"/>
  <c r="M99" i="6"/>
  <c r="K99" i="6"/>
  <c r="A99" i="6"/>
  <c r="E98" i="6"/>
  <c r="A98" i="6"/>
  <c r="A97" i="6"/>
  <c r="Q96" i="6"/>
  <c r="O96" i="6"/>
  <c r="P96" i="6" s="1"/>
  <c r="F96" i="6" a="1"/>
  <c r="F96" i="6" s="1"/>
  <c r="F97" i="6" s="1"/>
  <c r="D96" i="6"/>
  <c r="E96" i="6" s="1"/>
  <c r="D96" i="6" a="1"/>
  <c r="A96" i="6"/>
  <c r="Q95" i="6"/>
  <c r="P95" i="6"/>
  <c r="O95" i="6"/>
  <c r="F95" i="6"/>
  <c r="F95" i="6" a="1"/>
  <c r="D95" i="6"/>
  <c r="E95" i="6" s="1"/>
  <c r="D95" i="6" a="1"/>
  <c r="Q94" i="6"/>
  <c r="O94" i="6"/>
  <c r="F94" i="6" a="1"/>
  <c r="F94" i="6" s="1"/>
  <c r="D94" i="6" a="1"/>
  <c r="D94" i="6" s="1"/>
  <c r="E94" i="6" s="1"/>
  <c r="Q93" i="6"/>
  <c r="F93" i="6"/>
  <c r="F93" i="6" a="1"/>
  <c r="S89" i="6"/>
  <c r="Q82" i="6"/>
  <c r="F82" i="6" a="1"/>
  <c r="F82" i="6" s="1"/>
  <c r="Q81" i="6"/>
  <c r="F81" i="6" a="1"/>
  <c r="F81" i="6" s="1"/>
  <c r="Q80" i="6"/>
  <c r="F80" i="6" a="1"/>
  <c r="F80" i="6" s="1"/>
  <c r="Q79" i="6"/>
  <c r="F79" i="6" a="1"/>
  <c r="F79" i="6" s="1"/>
  <c r="Q78" i="6"/>
  <c r="Q83" i="6" s="1"/>
  <c r="F78" i="6"/>
  <c r="F78" i="6" a="1"/>
  <c r="Q77" i="6"/>
  <c r="F77" i="6" a="1"/>
  <c r="F77" i="6" s="1"/>
  <c r="Q76" i="6"/>
  <c r="F76" i="6" a="1"/>
  <c r="F76" i="6" s="1"/>
  <c r="Q75" i="6"/>
  <c r="F75" i="6" a="1"/>
  <c r="F75" i="6" s="1"/>
  <c r="F83" i="6" s="1"/>
  <c r="Q71" i="6"/>
  <c r="F71" i="6" a="1"/>
  <c r="F71" i="6" s="1"/>
  <c r="Q70" i="6"/>
  <c r="F70" i="6"/>
  <c r="F70" i="6" a="1"/>
  <c r="S69" i="6"/>
  <c r="N69" i="6"/>
  <c r="F69" i="6" a="1"/>
  <c r="F69" i="6" s="1"/>
  <c r="Q68" i="6"/>
  <c r="F68" i="6" a="1"/>
  <c r="F68" i="6" s="1"/>
  <c r="Q67" i="6"/>
  <c r="F67" i="6"/>
  <c r="F67" i="6" a="1"/>
  <c r="Q66" i="6"/>
  <c r="F66" i="6"/>
  <c r="F66" i="6" a="1"/>
  <c r="Q65" i="6"/>
  <c r="F65" i="6" a="1"/>
  <c r="F65" i="6" s="1"/>
  <c r="Q64" i="6"/>
  <c r="F64" i="6" a="1"/>
  <c r="F64" i="6" s="1"/>
  <c r="Q63" i="6"/>
  <c r="F63" i="6"/>
  <c r="F63" i="6" a="1"/>
  <c r="Q62" i="6"/>
  <c r="F62" i="6"/>
  <c r="F62" i="6" a="1"/>
  <c r="Q61" i="6"/>
  <c r="F61" i="6" a="1"/>
  <c r="F61" i="6" s="1"/>
  <c r="Q60" i="6"/>
  <c r="F60" i="6" a="1"/>
  <c r="F60" i="6" s="1"/>
  <c r="Q59" i="6"/>
  <c r="F59" i="6"/>
  <c r="F59" i="6" a="1"/>
  <c r="Q58" i="6"/>
  <c r="F58" i="6" a="1"/>
  <c r="F58" i="6" s="1"/>
  <c r="Q57" i="6"/>
  <c r="F57" i="6" a="1"/>
  <c r="F57" i="6" s="1"/>
  <c r="Q56" i="6"/>
  <c r="F56" i="6" a="1"/>
  <c r="F56" i="6" s="1"/>
  <c r="Q55" i="6"/>
  <c r="F55" i="6" a="1"/>
  <c r="F55" i="6" s="1"/>
  <c r="F72" i="6" s="1"/>
  <c r="Q53" i="6"/>
  <c r="F53" i="6" a="1"/>
  <c r="F53" i="6" s="1"/>
  <c r="D53" i="6"/>
  <c r="Q52" i="6"/>
  <c r="F52" i="6"/>
  <c r="F52" i="6" a="1"/>
  <c r="Q51" i="6"/>
  <c r="F51" i="6"/>
  <c r="F51" i="6" a="1"/>
  <c r="Q50" i="6"/>
  <c r="F50" i="6"/>
  <c r="F50" i="6" a="1"/>
  <c r="Q49" i="6"/>
  <c r="F49" i="6"/>
  <c r="F49" i="6" a="1"/>
  <c r="Q48" i="6"/>
  <c r="F48" i="6"/>
  <c r="F48" i="6" a="1"/>
  <c r="Q47" i="6"/>
  <c r="F47" i="6"/>
  <c r="F47" i="6" a="1"/>
  <c r="Q46" i="6"/>
  <c r="F46" i="6"/>
  <c r="F46" i="6" a="1"/>
  <c r="Q45" i="6"/>
  <c r="F45" i="6"/>
  <c r="F45" i="6" a="1"/>
  <c r="Q44" i="6"/>
  <c r="F44" i="6"/>
  <c r="F44" i="6" a="1"/>
  <c r="Q43" i="6"/>
  <c r="Q54" i="6" s="1"/>
  <c r="F43" i="6"/>
  <c r="F43" i="6" a="1"/>
  <c r="Q42" i="6"/>
  <c r="F42" i="6"/>
  <c r="F42" i="6" a="1"/>
  <c r="Q40" i="6"/>
  <c r="P40" i="6"/>
  <c r="F40" i="6"/>
  <c r="F40" i="6" a="1"/>
  <c r="Q39" i="6"/>
  <c r="P39" i="6" s="1"/>
  <c r="F39" i="6"/>
  <c r="F39" i="6" a="1"/>
  <c r="Q38" i="6"/>
  <c r="F38" i="6" a="1"/>
  <c r="F38" i="6" s="1"/>
  <c r="Q37" i="6"/>
  <c r="Q41" i="6" s="1"/>
  <c r="F37" i="6"/>
  <c r="F37" i="6" a="1"/>
  <c r="Q36" i="6"/>
  <c r="F36" i="6" a="1"/>
  <c r="F36" i="6" s="1"/>
  <c r="Q35" i="6"/>
  <c r="P35" i="6" s="1"/>
  <c r="F35" i="6" a="1"/>
  <c r="F35" i="6" s="1"/>
  <c r="Q34" i="6"/>
  <c r="F34" i="6"/>
  <c r="F34" i="6" a="1"/>
  <c r="T33" i="6"/>
  <c r="Q33" i="6"/>
  <c r="F33" i="6"/>
  <c r="F33" i="6" a="1"/>
  <c r="Q32" i="6"/>
  <c r="F32" i="6"/>
  <c r="F32" i="6" a="1"/>
  <c r="Q31" i="6"/>
  <c r="F31" i="6"/>
  <c r="F31" i="6" a="1"/>
  <c r="U27" i="6"/>
  <c r="Q23" i="6"/>
  <c r="F23" i="6"/>
  <c r="F23" i="6" a="1"/>
  <c r="D23" i="6" a="1"/>
  <c r="D23" i="6" s="1"/>
  <c r="E23" i="6" s="1"/>
  <c r="Q22" i="6"/>
  <c r="F22" i="6"/>
  <c r="F22" i="6" a="1"/>
  <c r="D22" i="6"/>
  <c r="E22" i="6" s="1"/>
  <c r="D22" i="6" a="1"/>
  <c r="Q21" i="6"/>
  <c r="F21" i="6" a="1"/>
  <c r="F21" i="6" s="1"/>
  <c r="F24" i="6" s="1"/>
  <c r="D21" i="6" a="1"/>
  <c r="D21" i="6" s="1"/>
  <c r="E21" i="6" s="1"/>
  <c r="Q17" i="6"/>
  <c r="O17" i="6"/>
  <c r="F17" i="6" a="1"/>
  <c r="F17" i="6" s="1"/>
  <c r="D17" i="6" a="1"/>
  <c r="D17" i="6" s="1"/>
  <c r="Q15" i="6"/>
  <c r="P15" i="6"/>
  <c r="O15" i="6"/>
  <c r="F15" i="6" a="1"/>
  <c r="F15" i="6" s="1"/>
  <c r="D15" i="6" a="1"/>
  <c r="D15" i="6" s="1"/>
  <c r="Q12" i="6"/>
  <c r="O12" i="6"/>
  <c r="P12" i="6" s="1"/>
  <c r="F12" i="6"/>
  <c r="F12" i="6" a="1"/>
  <c r="E12" i="6"/>
  <c r="D12" i="6"/>
  <c r="D12" i="6" a="1"/>
  <c r="Q11" i="6"/>
  <c r="O11" i="6"/>
  <c r="P11" i="6" s="1"/>
  <c r="F11" i="6"/>
  <c r="F11" i="6" a="1"/>
  <c r="D11" i="6"/>
  <c r="E11" i="6" s="1"/>
  <c r="D11" i="6" a="1"/>
  <c r="Q10" i="6"/>
  <c r="O10" i="6"/>
  <c r="F10" i="6"/>
  <c r="F10" i="6" a="1"/>
  <c r="D10" i="6" a="1"/>
  <c r="D10" i="6" s="1"/>
  <c r="Q9" i="6"/>
  <c r="O9" i="6"/>
  <c r="P9" i="6" s="1"/>
  <c r="F9" i="6" a="1"/>
  <c r="F9" i="6" s="1"/>
  <c r="D9" i="6"/>
  <c r="E9" i="6" s="1"/>
  <c r="D9" i="6" a="1"/>
  <c r="W8" i="6"/>
  <c r="Q8" i="6"/>
  <c r="P8" i="6"/>
  <c r="O8" i="6"/>
  <c r="F8" i="6"/>
  <c r="F8" i="6" a="1"/>
  <c r="E8" i="6"/>
  <c r="D8" i="6"/>
  <c r="D8" i="6" a="1"/>
  <c r="Q7" i="6"/>
  <c r="O7" i="6"/>
  <c r="P7" i="6" s="1"/>
  <c r="F7" i="6"/>
  <c r="F7" i="6" a="1"/>
  <c r="D7" i="6" a="1"/>
  <c r="D7" i="6" s="1"/>
  <c r="Q6" i="6"/>
  <c r="Q13" i="6" s="1"/>
  <c r="P6" i="6"/>
  <c r="O6" i="6"/>
  <c r="F6" i="6" a="1"/>
  <c r="F6" i="6" s="1"/>
  <c r="D6" i="6"/>
  <c r="D6" i="6" a="1"/>
  <c r="Q5" i="6"/>
  <c r="F5" i="6"/>
  <c r="F5" i="6" a="1"/>
  <c r="S1" i="6"/>
  <c r="C1" i="6"/>
  <c r="AL584" i="5"/>
  <c r="AO584" i="5" s="1"/>
  <c r="AO583" i="5"/>
  <c r="AN583" i="5"/>
  <c r="AL583" i="5"/>
  <c r="AI583" i="5"/>
  <c r="AF583" i="5"/>
  <c r="AH583" i="5" s="1"/>
  <c r="A583" i="5"/>
  <c r="Z583" i="5" s="1"/>
  <c r="AL582" i="5"/>
  <c r="AO582" i="5" s="1"/>
  <c r="AO581" i="5"/>
  <c r="AL581" i="5"/>
  <c r="AH581" i="5"/>
  <c r="AF581" i="5"/>
  <c r="AN581" i="5" s="1"/>
  <c r="Z581" i="5"/>
  <c r="AI581" i="5" s="1"/>
  <c r="AR580" i="5"/>
  <c r="AO580" i="5"/>
  <c r="AL580" i="5"/>
  <c r="AN580" i="5" s="1"/>
  <c r="AI580" i="5"/>
  <c r="AH580" i="5"/>
  <c r="AF580" i="5"/>
  <c r="Z580" i="5"/>
  <c r="AN579" i="5"/>
  <c r="AL579" i="5"/>
  <c r="AO579" i="5" s="1"/>
  <c r="AF579" i="5"/>
  <c r="Z579" i="5"/>
  <c r="AI579" i="5" s="1"/>
  <c r="AL578" i="5"/>
  <c r="AN578" i="5" s="1"/>
  <c r="AF578" i="5"/>
  <c r="Z578" i="5"/>
  <c r="Z568" i="5"/>
  <c r="AO567" i="5"/>
  <c r="AL567" i="5"/>
  <c r="AJ567" i="5" s="1"/>
  <c r="AL566" i="5"/>
  <c r="AO566" i="5" s="1"/>
  <c r="AL565" i="5"/>
  <c r="AO565" i="5" s="1"/>
  <c r="AO564" i="5"/>
  <c r="AL564" i="5"/>
  <c r="Z564" i="5"/>
  <c r="AL563" i="5"/>
  <c r="AO563" i="5" s="1"/>
  <c r="AL562" i="5"/>
  <c r="AO562" i="5" s="1"/>
  <c r="AO561" i="5"/>
  <c r="AL561" i="5"/>
  <c r="AO560" i="5"/>
  <c r="AL560" i="5"/>
  <c r="AO559" i="5"/>
  <c r="AL559" i="5"/>
  <c r="AL558" i="5"/>
  <c r="Z558" i="5"/>
  <c r="AO557" i="5"/>
  <c r="AL557" i="5"/>
  <c r="AL556" i="5"/>
  <c r="AL568" i="5" s="1"/>
  <c r="AH556" i="5"/>
  <c r="AI556" i="5" s="1"/>
  <c r="AF556" i="5"/>
  <c r="Z556" i="5"/>
  <c r="AH554" i="5"/>
  <c r="Z553" i="5"/>
  <c r="AO552" i="5"/>
  <c r="AL552" i="5"/>
  <c r="AL551" i="5"/>
  <c r="AO551" i="5" s="1"/>
  <c r="AL550" i="5"/>
  <c r="AO550" i="5" s="1"/>
  <c r="AO549" i="5"/>
  <c r="AN549" i="5"/>
  <c r="AL549" i="5"/>
  <c r="AF549" i="5"/>
  <c r="AN548" i="5"/>
  <c r="AO548" i="5" s="1"/>
  <c r="AL548" i="5"/>
  <c r="AI548" i="5"/>
  <c r="AF548" i="5"/>
  <c r="AH548" i="5" s="1"/>
  <c r="Z548" i="5"/>
  <c r="AL547" i="5"/>
  <c r="AI547" i="5"/>
  <c r="AH547" i="5"/>
  <c r="AF547" i="5"/>
  <c r="Z547" i="5"/>
  <c r="AL546" i="5"/>
  <c r="AF546" i="5"/>
  <c r="Z546" i="5"/>
  <c r="AI546" i="5" s="1"/>
  <c r="AL545" i="5"/>
  <c r="AN545" i="5" s="1"/>
  <c r="AF545" i="5"/>
  <c r="Z545" i="5"/>
  <c r="AL544" i="5"/>
  <c r="AI544" i="5"/>
  <c r="AH544" i="5"/>
  <c r="AF544" i="5"/>
  <c r="AN544" i="5" s="1"/>
  <c r="Z544" i="5"/>
  <c r="AO543" i="5"/>
  <c r="AL543" i="5"/>
  <c r="AN543" i="5" s="1"/>
  <c r="AI543" i="5"/>
  <c r="AH543" i="5"/>
  <c r="AF543" i="5"/>
  <c r="Z543" i="5"/>
  <c r="AL542" i="5"/>
  <c r="AI542" i="5"/>
  <c r="AF542" i="5"/>
  <c r="Z542" i="5"/>
  <c r="AL541" i="5"/>
  <c r="AF541" i="5"/>
  <c r="AN541" i="5" s="1"/>
  <c r="Z541" i="5"/>
  <c r="AI541" i="5" s="1"/>
  <c r="AO540" i="5"/>
  <c r="AN540" i="5"/>
  <c r="AL540" i="5"/>
  <c r="AI540" i="5"/>
  <c r="AF540" i="5"/>
  <c r="AH540" i="5" s="1"/>
  <c r="AH553" i="5" s="1"/>
  <c r="Z540" i="5"/>
  <c r="AL535" i="5"/>
  <c r="AF535" i="5"/>
  <c r="AL534" i="5"/>
  <c r="AL533" i="5"/>
  <c r="AF533" i="5"/>
  <c r="AN533" i="5" s="1"/>
  <c r="AL532" i="5"/>
  <c r="AL531" i="5"/>
  <c r="AL530" i="5"/>
  <c r="AL529" i="5"/>
  <c r="AO529" i="5" s="1"/>
  <c r="AL528" i="5"/>
  <c r="AO527" i="5"/>
  <c r="AL527" i="5"/>
  <c r="AL526" i="5"/>
  <c r="AF526" i="5"/>
  <c r="AL525" i="5"/>
  <c r="AL524" i="5"/>
  <c r="AL523" i="5"/>
  <c r="AL522" i="5"/>
  <c r="AL521" i="5"/>
  <c r="Z521" i="5"/>
  <c r="AI521" i="5" s="1"/>
  <c r="AL518" i="5"/>
  <c r="AL517" i="5"/>
  <c r="AL516" i="5"/>
  <c r="AL515" i="5"/>
  <c r="AO514" i="5"/>
  <c r="AL514" i="5"/>
  <c r="AO513" i="5"/>
  <c r="AL513" i="5"/>
  <c r="AO512" i="5"/>
  <c r="AL512" i="5"/>
  <c r="AL511" i="5"/>
  <c r="AO511" i="5" s="1"/>
  <c r="AL510" i="5"/>
  <c r="AL509" i="5"/>
  <c r="AL508" i="5"/>
  <c r="AL507" i="5"/>
  <c r="AF507" i="5"/>
  <c r="Z507" i="5"/>
  <c r="AO504" i="5"/>
  <c r="AL504" i="5"/>
  <c r="AK504" i="5"/>
  <c r="AL503" i="5"/>
  <c r="AL502" i="5"/>
  <c r="AL501" i="5"/>
  <c r="AL500" i="5"/>
  <c r="AO500" i="5" s="1"/>
  <c r="AL499" i="5"/>
  <c r="AL498" i="5"/>
  <c r="AL497" i="5"/>
  <c r="AL496" i="5"/>
  <c r="Q482" i="5"/>
  <c r="P482" i="5" s="1"/>
  <c r="Q481" i="5"/>
  <c r="L481" i="5"/>
  <c r="S481" i="5" s="1"/>
  <c r="F481" i="5"/>
  <c r="Q480" i="5"/>
  <c r="L480" i="5"/>
  <c r="S480" i="5" s="1"/>
  <c r="F480" i="5"/>
  <c r="Q479" i="5"/>
  <c r="L479" i="5"/>
  <c r="S479" i="5" s="1"/>
  <c r="F479" i="5"/>
  <c r="Q478" i="5"/>
  <c r="L478" i="5"/>
  <c r="S478" i="5" s="1"/>
  <c r="F478" i="5"/>
  <c r="Q477" i="5"/>
  <c r="L477" i="5"/>
  <c r="S477" i="5" s="1"/>
  <c r="F477" i="5"/>
  <c r="S476" i="5"/>
  <c r="Q476" i="5"/>
  <c r="L476" i="5"/>
  <c r="F476" i="5"/>
  <c r="Q475" i="5"/>
  <c r="L475" i="5"/>
  <c r="S475" i="5" s="1"/>
  <c r="F475" i="5"/>
  <c r="Q474" i="5"/>
  <c r="L474" i="5"/>
  <c r="S474" i="5" s="1"/>
  <c r="F474" i="5"/>
  <c r="Q473" i="5"/>
  <c r="L473" i="5"/>
  <c r="S473" i="5" s="1"/>
  <c r="F473" i="5"/>
  <c r="Q472" i="5"/>
  <c r="L472" i="5"/>
  <c r="S472" i="5" s="1"/>
  <c r="F472" i="5"/>
  <c r="Q471" i="5"/>
  <c r="L471" i="5"/>
  <c r="S471" i="5" s="1"/>
  <c r="F471" i="5"/>
  <c r="Q470" i="5"/>
  <c r="L470" i="5"/>
  <c r="S470" i="5" s="1"/>
  <c r="F470" i="5"/>
  <c r="Q469" i="5"/>
  <c r="L469" i="5"/>
  <c r="S469" i="5" s="1"/>
  <c r="F469" i="5"/>
  <c r="Q468" i="5"/>
  <c r="L468" i="5"/>
  <c r="S468" i="5" s="1"/>
  <c r="F468" i="5"/>
  <c r="S467" i="5"/>
  <c r="Q467" i="5"/>
  <c r="L467" i="5"/>
  <c r="F467" i="5"/>
  <c r="Q466" i="5"/>
  <c r="L466" i="5"/>
  <c r="S466" i="5" s="1"/>
  <c r="F466" i="5"/>
  <c r="Q465" i="5"/>
  <c r="L465" i="5"/>
  <c r="S465" i="5" s="1"/>
  <c r="F465" i="5"/>
  <c r="F482" i="5" s="1"/>
  <c r="E482" i="5" s="1"/>
  <c r="E464" i="5"/>
  <c r="Q463" i="5"/>
  <c r="L463" i="5"/>
  <c r="S463" i="5" s="1"/>
  <c r="F463" i="5"/>
  <c r="S462" i="5"/>
  <c r="Q462" i="5"/>
  <c r="L462" i="5"/>
  <c r="F462" i="5"/>
  <c r="Q461" i="5"/>
  <c r="L461" i="5"/>
  <c r="S461" i="5" s="1"/>
  <c r="F461" i="5"/>
  <c r="Q460" i="5"/>
  <c r="L460" i="5"/>
  <c r="S460" i="5" s="1"/>
  <c r="F460" i="5"/>
  <c r="S459" i="5"/>
  <c r="Q459" i="5"/>
  <c r="L459" i="5"/>
  <c r="F459" i="5"/>
  <c r="Q458" i="5"/>
  <c r="L458" i="5"/>
  <c r="S458" i="5" s="1"/>
  <c r="F458" i="5"/>
  <c r="Q457" i="5"/>
  <c r="L457" i="5"/>
  <c r="S457" i="5" s="1"/>
  <c r="F457" i="5"/>
  <c r="S456" i="5"/>
  <c r="Q456" i="5"/>
  <c r="L456" i="5"/>
  <c r="F456" i="5"/>
  <c r="Q455" i="5"/>
  <c r="L455" i="5"/>
  <c r="S455" i="5" s="1"/>
  <c r="F455" i="5"/>
  <c r="Q454" i="5"/>
  <c r="L454" i="5"/>
  <c r="S454" i="5" s="1"/>
  <c r="F454" i="5"/>
  <c r="Q453" i="5"/>
  <c r="Q464" i="5" s="1"/>
  <c r="L453" i="5"/>
  <c r="F453" i="5"/>
  <c r="Q452" i="5"/>
  <c r="L452" i="5"/>
  <c r="L464" i="5" s="1"/>
  <c r="F452" i="5"/>
  <c r="F464" i="5" s="1"/>
  <c r="R448" i="5"/>
  <c r="Q448" i="5"/>
  <c r="F448" i="5"/>
  <c r="D448" i="5"/>
  <c r="E448" i="5" s="1"/>
  <c r="Q446" i="5"/>
  <c r="L446" i="5"/>
  <c r="S446" i="5" s="1"/>
  <c r="P445" i="5"/>
  <c r="F444" i="5"/>
  <c r="Q443" i="5"/>
  <c r="Q444" i="5" s="1"/>
  <c r="P443" i="5"/>
  <c r="O443" i="5"/>
  <c r="R443" i="5" s="1"/>
  <c r="L443" i="5"/>
  <c r="K443" i="5"/>
  <c r="J443" i="5"/>
  <c r="L441" i="5"/>
  <c r="Q440" i="5"/>
  <c r="P440" i="5"/>
  <c r="P442" i="5" s="1"/>
  <c r="O440" i="5"/>
  <c r="R440" i="5" s="1"/>
  <c r="M440" i="5"/>
  <c r="L440" i="5"/>
  <c r="K440" i="5"/>
  <c r="K442" i="5" s="1"/>
  <c r="J440" i="5"/>
  <c r="F440" i="5"/>
  <c r="E440" i="5"/>
  <c r="D440" i="5"/>
  <c r="F438" i="5"/>
  <c r="R437" i="5"/>
  <c r="Q437" i="5"/>
  <c r="P437" i="5"/>
  <c r="O437" i="5"/>
  <c r="L437" i="5"/>
  <c r="K437" i="5"/>
  <c r="J437" i="5"/>
  <c r="F437" i="5"/>
  <c r="E437" i="5"/>
  <c r="D437" i="5"/>
  <c r="N428" i="5"/>
  <c r="F425" i="5"/>
  <c r="Q424" i="5"/>
  <c r="S424" i="5" s="1"/>
  <c r="N424" i="5"/>
  <c r="L424" i="5"/>
  <c r="F424" i="5"/>
  <c r="Q423" i="5"/>
  <c r="L423" i="5"/>
  <c r="F423" i="5"/>
  <c r="S422" i="5"/>
  <c r="Q422" i="5"/>
  <c r="L422" i="5"/>
  <c r="N422" i="5" s="1"/>
  <c r="F422" i="5"/>
  <c r="Q421" i="5"/>
  <c r="L421" i="5"/>
  <c r="F421" i="5"/>
  <c r="S420" i="5"/>
  <c r="Q420" i="5"/>
  <c r="N420" i="5"/>
  <c r="L420" i="5"/>
  <c r="F420" i="5"/>
  <c r="Q419" i="5"/>
  <c r="S419" i="5" s="1"/>
  <c r="L419" i="5"/>
  <c r="N419" i="5" s="1"/>
  <c r="F419" i="5"/>
  <c r="S418" i="5"/>
  <c r="Q418" i="5"/>
  <c r="N418" i="5"/>
  <c r="L418" i="5"/>
  <c r="F418" i="5"/>
  <c r="Q417" i="5"/>
  <c r="L417" i="5"/>
  <c r="F417" i="5"/>
  <c r="Q416" i="5"/>
  <c r="L416" i="5"/>
  <c r="F416" i="5"/>
  <c r="S415" i="5"/>
  <c r="Q415" i="5"/>
  <c r="N415" i="5"/>
  <c r="L415" i="5"/>
  <c r="F415" i="5"/>
  <c r="S414" i="5"/>
  <c r="Q414" i="5"/>
  <c r="L414" i="5"/>
  <c r="N414" i="5" s="1"/>
  <c r="F414" i="5"/>
  <c r="Q413" i="5"/>
  <c r="N413" i="5"/>
  <c r="L413" i="5"/>
  <c r="L425" i="5" s="1"/>
  <c r="Q412" i="5"/>
  <c r="L412" i="5"/>
  <c r="F412" i="5"/>
  <c r="Q411" i="5"/>
  <c r="L411" i="5"/>
  <c r="S411" i="5" s="1"/>
  <c r="F411" i="5"/>
  <c r="Q410" i="5"/>
  <c r="S410" i="5" s="1"/>
  <c r="N410" i="5"/>
  <c r="L410" i="5"/>
  <c r="F410" i="5"/>
  <c r="S409" i="5"/>
  <c r="Q409" i="5"/>
  <c r="L409" i="5"/>
  <c r="N409" i="5" s="1"/>
  <c r="F409" i="5"/>
  <c r="Q408" i="5"/>
  <c r="N408" i="5"/>
  <c r="L408" i="5"/>
  <c r="S408" i="5" s="1"/>
  <c r="F408" i="5"/>
  <c r="Q407" i="5"/>
  <c r="S407" i="5" s="1"/>
  <c r="N407" i="5"/>
  <c r="N425" i="5" s="1"/>
  <c r="L407" i="5"/>
  <c r="F407" i="5"/>
  <c r="F406" i="5"/>
  <c r="Q405" i="5"/>
  <c r="S405" i="5" s="1"/>
  <c r="L405" i="5"/>
  <c r="N405" i="5" s="1"/>
  <c r="F405" i="5"/>
  <c r="S404" i="5"/>
  <c r="Q404" i="5"/>
  <c r="L404" i="5"/>
  <c r="N404" i="5" s="1"/>
  <c r="F404" i="5"/>
  <c r="Q403" i="5"/>
  <c r="L403" i="5"/>
  <c r="F403" i="5"/>
  <c r="Q402" i="5"/>
  <c r="L402" i="5"/>
  <c r="S402" i="5" s="1"/>
  <c r="F402" i="5"/>
  <c r="S401" i="5"/>
  <c r="Q401" i="5"/>
  <c r="N401" i="5"/>
  <c r="L401" i="5"/>
  <c r="F401" i="5"/>
  <c r="S400" i="5"/>
  <c r="Q400" i="5"/>
  <c r="L400" i="5"/>
  <c r="F400" i="5"/>
  <c r="Q399" i="5"/>
  <c r="Q406" i="5" s="1"/>
  <c r="N399" i="5"/>
  <c r="L399" i="5"/>
  <c r="S399" i="5" s="1"/>
  <c r="F399" i="5"/>
  <c r="Q398" i="5"/>
  <c r="S398" i="5" s="1"/>
  <c r="N398" i="5"/>
  <c r="L398" i="5"/>
  <c r="F398" i="5"/>
  <c r="Q397" i="5"/>
  <c r="L397" i="5"/>
  <c r="F397" i="5"/>
  <c r="S396" i="5"/>
  <c r="Q396" i="5"/>
  <c r="L396" i="5"/>
  <c r="N396" i="5" s="1"/>
  <c r="F396" i="5"/>
  <c r="Q395" i="5"/>
  <c r="L395" i="5"/>
  <c r="F395" i="5"/>
  <c r="Q394" i="5"/>
  <c r="S394" i="5" s="1"/>
  <c r="N394" i="5"/>
  <c r="L394" i="5"/>
  <c r="F394" i="5"/>
  <c r="Q388" i="5"/>
  <c r="O388" i="5"/>
  <c r="P388" i="5" s="1"/>
  <c r="L388" i="5"/>
  <c r="S388" i="5" s="1"/>
  <c r="R388" i="5" s="1"/>
  <c r="J388" i="5"/>
  <c r="K388" i="5" s="1"/>
  <c r="F388" i="5"/>
  <c r="M388" i="5" s="1"/>
  <c r="D388" i="5"/>
  <c r="E388" i="5" s="1"/>
  <c r="R384" i="5"/>
  <c r="Q384" i="5"/>
  <c r="O384" i="5"/>
  <c r="L384" i="5"/>
  <c r="J384" i="5"/>
  <c r="K384" i="5" s="1"/>
  <c r="F384" i="5"/>
  <c r="N384" i="5" s="1"/>
  <c r="D384" i="5"/>
  <c r="M384" i="5" s="1"/>
  <c r="S383" i="5"/>
  <c r="R383" i="5"/>
  <c r="Q383" i="5"/>
  <c r="O383" i="5"/>
  <c r="P383" i="5" s="1"/>
  <c r="N383" i="5"/>
  <c r="L383" i="5"/>
  <c r="J383" i="5"/>
  <c r="F383" i="5"/>
  <c r="D383" i="5"/>
  <c r="E383" i="5" s="1"/>
  <c r="J380" i="5"/>
  <c r="F380" i="5"/>
  <c r="F385" i="5" s="1"/>
  <c r="R379" i="5"/>
  <c r="Q379" i="5"/>
  <c r="O379" i="5"/>
  <c r="P379" i="5" s="1"/>
  <c r="L379" i="5"/>
  <c r="S379" i="5" s="1"/>
  <c r="J379" i="5"/>
  <c r="K379" i="5" s="1"/>
  <c r="F379" i="5"/>
  <c r="E379" i="5"/>
  <c r="D379" i="5"/>
  <c r="R378" i="5"/>
  <c r="Q378" i="5"/>
  <c r="O378" i="5"/>
  <c r="P378" i="5" s="1"/>
  <c r="L378" i="5"/>
  <c r="S378" i="5" s="1"/>
  <c r="J378" i="5"/>
  <c r="K378" i="5" s="1"/>
  <c r="F378" i="5"/>
  <c r="E378" i="5"/>
  <c r="D378" i="5"/>
  <c r="R377" i="5"/>
  <c r="Q377" i="5"/>
  <c r="O377" i="5"/>
  <c r="P377" i="5" s="1"/>
  <c r="N377" i="5"/>
  <c r="M377" i="5"/>
  <c r="L377" i="5"/>
  <c r="S377" i="5" s="1"/>
  <c r="K377" i="5"/>
  <c r="J377" i="5"/>
  <c r="F377" i="5"/>
  <c r="D377" i="5"/>
  <c r="E377" i="5" s="1"/>
  <c r="Q376" i="5"/>
  <c r="O376" i="5"/>
  <c r="M376" i="5"/>
  <c r="L376" i="5"/>
  <c r="K376" i="5" s="1"/>
  <c r="J376" i="5"/>
  <c r="F376" i="5"/>
  <c r="D376" i="5"/>
  <c r="E376" i="5" s="1"/>
  <c r="Q375" i="5"/>
  <c r="O375" i="5"/>
  <c r="R375" i="5" s="1"/>
  <c r="N375" i="5"/>
  <c r="M375" i="5"/>
  <c r="L375" i="5"/>
  <c r="J375" i="5"/>
  <c r="F375" i="5"/>
  <c r="E375" i="5"/>
  <c r="D375" i="5"/>
  <c r="Q374" i="5"/>
  <c r="O374" i="5"/>
  <c r="R374" i="5" s="1"/>
  <c r="M374" i="5"/>
  <c r="L374" i="5"/>
  <c r="S374" i="5" s="1"/>
  <c r="J374" i="5"/>
  <c r="K374" i="5" s="1"/>
  <c r="F374" i="5"/>
  <c r="N374" i="5" s="1"/>
  <c r="D374" i="5"/>
  <c r="E374" i="5" s="1"/>
  <c r="R373" i="5"/>
  <c r="Q373" i="5"/>
  <c r="S373" i="5" s="1"/>
  <c r="O373" i="5"/>
  <c r="P373" i="5" s="1"/>
  <c r="N373" i="5"/>
  <c r="L373" i="5"/>
  <c r="J373" i="5"/>
  <c r="K373" i="5" s="1"/>
  <c r="F373" i="5"/>
  <c r="D373" i="5"/>
  <c r="E373" i="5" s="1"/>
  <c r="R372" i="5"/>
  <c r="Q372" i="5"/>
  <c r="S372" i="5" s="1"/>
  <c r="P372" i="5"/>
  <c r="O372" i="5"/>
  <c r="N372" i="5"/>
  <c r="L372" i="5"/>
  <c r="K372" i="5"/>
  <c r="J372" i="5"/>
  <c r="F372" i="5"/>
  <c r="D372" i="5"/>
  <c r="Q371" i="5"/>
  <c r="P371" i="5" s="1"/>
  <c r="O371" i="5"/>
  <c r="L371" i="5"/>
  <c r="N371" i="5" s="1"/>
  <c r="J371" i="5"/>
  <c r="K371" i="5" s="1"/>
  <c r="F371" i="5"/>
  <c r="E371" i="5"/>
  <c r="D371" i="5"/>
  <c r="C367" i="5"/>
  <c r="C432" i="5" s="1"/>
  <c r="N364" i="5"/>
  <c r="F361" i="5"/>
  <c r="Q360" i="5"/>
  <c r="L360" i="5"/>
  <c r="F360" i="5"/>
  <c r="Q359" i="5"/>
  <c r="S359" i="5" s="1"/>
  <c r="L359" i="5"/>
  <c r="N359" i="5" s="1"/>
  <c r="F359" i="5"/>
  <c r="Q358" i="5"/>
  <c r="N358" i="5"/>
  <c r="L358" i="5"/>
  <c r="S358" i="5" s="1"/>
  <c r="F358" i="5"/>
  <c r="S357" i="5"/>
  <c r="Q357" i="5"/>
  <c r="L357" i="5"/>
  <c r="N357" i="5" s="1"/>
  <c r="F357" i="5"/>
  <c r="Q356" i="5"/>
  <c r="L356" i="5"/>
  <c r="S356" i="5" s="1"/>
  <c r="F356" i="5"/>
  <c r="Q355" i="5"/>
  <c r="S355" i="5" s="1"/>
  <c r="N355" i="5"/>
  <c r="L355" i="5"/>
  <c r="F355" i="5"/>
  <c r="S354" i="5"/>
  <c r="Q354" i="5"/>
  <c r="L354" i="5"/>
  <c r="F354" i="5"/>
  <c r="Q353" i="5"/>
  <c r="L353" i="5"/>
  <c r="S353" i="5" s="1"/>
  <c r="F353" i="5"/>
  <c r="S352" i="5"/>
  <c r="Q352" i="5"/>
  <c r="N352" i="5"/>
  <c r="L352" i="5"/>
  <c r="F352" i="5"/>
  <c r="Q351" i="5"/>
  <c r="L351" i="5"/>
  <c r="S351" i="5" s="1"/>
  <c r="F351" i="5"/>
  <c r="Q350" i="5"/>
  <c r="S350" i="5" s="1"/>
  <c r="L350" i="5"/>
  <c r="F350" i="5"/>
  <c r="Q349" i="5"/>
  <c r="L349" i="5"/>
  <c r="S349" i="5" s="1"/>
  <c r="Q348" i="5"/>
  <c r="L348" i="5"/>
  <c r="S348" i="5" s="1"/>
  <c r="F348" i="5"/>
  <c r="Q347" i="5"/>
  <c r="N347" i="5"/>
  <c r="L347" i="5"/>
  <c r="S347" i="5" s="1"/>
  <c r="F347" i="5"/>
  <c r="S346" i="5"/>
  <c r="Q346" i="5"/>
  <c r="N346" i="5"/>
  <c r="L346" i="5"/>
  <c r="F346" i="5"/>
  <c r="Q345" i="5"/>
  <c r="S345" i="5" s="1"/>
  <c r="L345" i="5"/>
  <c r="F345" i="5"/>
  <c r="Q344" i="5"/>
  <c r="L344" i="5"/>
  <c r="S344" i="5" s="1"/>
  <c r="F344" i="5"/>
  <c r="Q343" i="5"/>
  <c r="Q361" i="5" s="1"/>
  <c r="L343" i="5"/>
  <c r="F343" i="5"/>
  <c r="F342" i="5"/>
  <c r="Q341" i="5"/>
  <c r="S341" i="5" s="1"/>
  <c r="N341" i="5"/>
  <c r="L341" i="5"/>
  <c r="F341" i="5"/>
  <c r="S340" i="5"/>
  <c r="Q340" i="5"/>
  <c r="L340" i="5"/>
  <c r="N340" i="5" s="1"/>
  <c r="F340" i="5"/>
  <c r="Q339" i="5"/>
  <c r="S339" i="5" s="1"/>
  <c r="L339" i="5"/>
  <c r="F339" i="5"/>
  <c r="Q338" i="5"/>
  <c r="N338" i="5"/>
  <c r="L338" i="5"/>
  <c r="S338" i="5" s="1"/>
  <c r="F338" i="5"/>
  <c r="Q337" i="5"/>
  <c r="L337" i="5"/>
  <c r="S337" i="5" s="1"/>
  <c r="F337" i="5"/>
  <c r="Q336" i="5"/>
  <c r="L336" i="5"/>
  <c r="F336" i="5"/>
  <c r="Q335" i="5"/>
  <c r="L335" i="5"/>
  <c r="S335" i="5" s="1"/>
  <c r="F335" i="5"/>
  <c r="Q334" i="5"/>
  <c r="L334" i="5"/>
  <c r="F334" i="5"/>
  <c r="Q333" i="5"/>
  <c r="S333" i="5" s="1"/>
  <c r="L333" i="5"/>
  <c r="F333" i="5"/>
  <c r="N333" i="5" s="1"/>
  <c r="Q332" i="5"/>
  <c r="L332" i="5"/>
  <c r="S332" i="5" s="1"/>
  <c r="F332" i="5"/>
  <c r="S331" i="5"/>
  <c r="Q331" i="5"/>
  <c r="L331" i="5"/>
  <c r="N331" i="5" s="1"/>
  <c r="F331" i="5"/>
  <c r="Q330" i="5"/>
  <c r="N330" i="5"/>
  <c r="L330" i="5"/>
  <c r="L342" i="5" s="1"/>
  <c r="F330" i="5"/>
  <c r="K326" i="5"/>
  <c r="R324" i="5"/>
  <c r="Q324" i="5"/>
  <c r="L324" i="5"/>
  <c r="S324" i="5" s="1"/>
  <c r="N322" i="5"/>
  <c r="F322" i="5"/>
  <c r="S321" i="5"/>
  <c r="R321" i="5"/>
  <c r="Q321" i="5"/>
  <c r="P321" i="5"/>
  <c r="N321" i="5"/>
  <c r="L321" i="5"/>
  <c r="L322" i="5" s="1"/>
  <c r="K321" i="5"/>
  <c r="M321" i="5" s="1"/>
  <c r="R318" i="5"/>
  <c r="Q318" i="5"/>
  <c r="P318" i="5"/>
  <c r="L318" i="5"/>
  <c r="K318" i="5"/>
  <c r="F318" i="5"/>
  <c r="E318" i="5"/>
  <c r="D318" i="5"/>
  <c r="Q316" i="5"/>
  <c r="L316" i="5"/>
  <c r="R315" i="5"/>
  <c r="Q315" i="5"/>
  <c r="S315" i="5" s="1"/>
  <c r="P315" i="5"/>
  <c r="N315" i="5"/>
  <c r="N316" i="5" s="1"/>
  <c r="L315" i="5"/>
  <c r="K315" i="5"/>
  <c r="F315" i="5"/>
  <c r="E315" i="5"/>
  <c r="M315" i="5" s="1"/>
  <c r="D315" i="5"/>
  <c r="N306" i="5"/>
  <c r="F303" i="5"/>
  <c r="Q302" i="5"/>
  <c r="L302" i="5"/>
  <c r="S302" i="5" s="1"/>
  <c r="F302" i="5"/>
  <c r="Q301" i="5"/>
  <c r="S301" i="5" s="1"/>
  <c r="L301" i="5"/>
  <c r="F301" i="5"/>
  <c r="Q300" i="5"/>
  <c r="S300" i="5" s="1"/>
  <c r="L300" i="5"/>
  <c r="N300" i="5" s="1"/>
  <c r="F300" i="5"/>
  <c r="Q299" i="5"/>
  <c r="L299" i="5"/>
  <c r="S299" i="5" s="1"/>
  <c r="F299" i="5"/>
  <c r="Q298" i="5"/>
  <c r="N298" i="5"/>
  <c r="L298" i="5"/>
  <c r="S298" i="5" s="1"/>
  <c r="F298" i="5"/>
  <c r="S297" i="5"/>
  <c r="Q297" i="5"/>
  <c r="L297" i="5"/>
  <c r="F297" i="5"/>
  <c r="N297" i="5" s="1"/>
  <c r="Q296" i="5"/>
  <c r="L296" i="5"/>
  <c r="N296" i="5" s="1"/>
  <c r="F296" i="5"/>
  <c r="S295" i="5"/>
  <c r="Q295" i="5"/>
  <c r="L295" i="5"/>
  <c r="F295" i="5"/>
  <c r="N295" i="5" s="1"/>
  <c r="Q294" i="5"/>
  <c r="S294" i="5" s="1"/>
  <c r="N294" i="5"/>
  <c r="L294" i="5"/>
  <c r="F294" i="5"/>
  <c r="S293" i="5"/>
  <c r="Q293" i="5"/>
  <c r="N293" i="5"/>
  <c r="L293" i="5"/>
  <c r="F293" i="5"/>
  <c r="Q292" i="5"/>
  <c r="L292" i="5"/>
  <c r="F292" i="5"/>
  <c r="Q291" i="5"/>
  <c r="N291" i="5"/>
  <c r="L291" i="5"/>
  <c r="S291" i="5" s="1"/>
  <c r="S290" i="5"/>
  <c r="Q290" i="5"/>
  <c r="L290" i="5"/>
  <c r="F290" i="5"/>
  <c r="N290" i="5" s="1"/>
  <c r="Q289" i="5"/>
  <c r="S289" i="5" s="1"/>
  <c r="N289" i="5"/>
  <c r="L289" i="5"/>
  <c r="F289" i="5"/>
  <c r="S288" i="5"/>
  <c r="Q288" i="5"/>
  <c r="Q303" i="5" s="1"/>
  <c r="N288" i="5"/>
  <c r="L288" i="5"/>
  <c r="F288" i="5"/>
  <c r="Q287" i="5"/>
  <c r="L287" i="5"/>
  <c r="F287" i="5"/>
  <c r="Q286" i="5"/>
  <c r="L286" i="5"/>
  <c r="F286" i="5"/>
  <c r="Q285" i="5"/>
  <c r="L285" i="5"/>
  <c r="S285" i="5" s="1"/>
  <c r="F285" i="5"/>
  <c r="F284" i="5"/>
  <c r="S283" i="5"/>
  <c r="Q283" i="5"/>
  <c r="L283" i="5"/>
  <c r="F283" i="5"/>
  <c r="N283" i="5" s="1"/>
  <c r="S282" i="5"/>
  <c r="Q282" i="5"/>
  <c r="L282" i="5"/>
  <c r="N282" i="5" s="1"/>
  <c r="F282" i="5"/>
  <c r="S281" i="5"/>
  <c r="Q281" i="5"/>
  <c r="L281" i="5"/>
  <c r="F281" i="5"/>
  <c r="N281" i="5" s="1"/>
  <c r="Q280" i="5"/>
  <c r="S280" i="5" s="1"/>
  <c r="N280" i="5"/>
  <c r="L280" i="5"/>
  <c r="F280" i="5"/>
  <c r="S279" i="5"/>
  <c r="Q279" i="5"/>
  <c r="N279" i="5"/>
  <c r="L279" i="5"/>
  <c r="F279" i="5"/>
  <c r="Q278" i="5"/>
  <c r="L278" i="5"/>
  <c r="F278" i="5"/>
  <c r="Q277" i="5"/>
  <c r="L277" i="5"/>
  <c r="F277" i="5"/>
  <c r="Q276" i="5"/>
  <c r="L276" i="5"/>
  <c r="S276" i="5" s="1"/>
  <c r="F276" i="5"/>
  <c r="Q275" i="5"/>
  <c r="S275" i="5" s="1"/>
  <c r="L275" i="5"/>
  <c r="N275" i="5" s="1"/>
  <c r="F275" i="5"/>
  <c r="E275" i="5"/>
  <c r="S274" i="5"/>
  <c r="Q274" i="5"/>
  <c r="L274" i="5"/>
  <c r="F274" i="5"/>
  <c r="N274" i="5" s="1"/>
  <c r="Q273" i="5"/>
  <c r="S273" i="5" s="1"/>
  <c r="N273" i="5"/>
  <c r="L273" i="5"/>
  <c r="F273" i="5"/>
  <c r="Q272" i="5"/>
  <c r="N272" i="5"/>
  <c r="L272" i="5"/>
  <c r="F272" i="5"/>
  <c r="L266" i="5"/>
  <c r="Q265" i="5"/>
  <c r="P265" i="5"/>
  <c r="O265" i="5"/>
  <c r="R265" i="5" s="1"/>
  <c r="L265" i="5"/>
  <c r="K265" i="5"/>
  <c r="J265" i="5"/>
  <c r="F265" i="5"/>
  <c r="E265" i="5"/>
  <c r="M265" i="5" s="1"/>
  <c r="L263" i="5"/>
  <c r="Q262" i="5"/>
  <c r="P262" i="5"/>
  <c r="O262" i="5"/>
  <c r="R262" i="5" s="1"/>
  <c r="L262" i="5"/>
  <c r="K262" i="5"/>
  <c r="J262" i="5"/>
  <c r="F262" i="5"/>
  <c r="F263" i="5" s="1"/>
  <c r="E262" i="5"/>
  <c r="M262" i="5" s="1"/>
  <c r="O259" i="5"/>
  <c r="D259" i="5"/>
  <c r="Q258" i="5"/>
  <c r="L258" i="5"/>
  <c r="S258" i="5" s="1"/>
  <c r="F258" i="5"/>
  <c r="Q256" i="5"/>
  <c r="M256" i="5"/>
  <c r="L256" i="5"/>
  <c r="Q255" i="5"/>
  <c r="S256" i="5" s="1"/>
  <c r="P255" i="5"/>
  <c r="P257" i="5" s="1"/>
  <c r="O255" i="5"/>
  <c r="R255" i="5" s="1"/>
  <c r="L255" i="5"/>
  <c r="S255" i="5" s="1"/>
  <c r="K255" i="5"/>
  <c r="K257" i="5" s="1"/>
  <c r="J255" i="5"/>
  <c r="F255" i="5"/>
  <c r="E255" i="5"/>
  <c r="M255" i="5" s="1"/>
  <c r="D255" i="5"/>
  <c r="K254" i="5"/>
  <c r="R252" i="5"/>
  <c r="Q252" i="5"/>
  <c r="Q253" i="5" s="1"/>
  <c r="P252" i="5"/>
  <c r="O252" i="5"/>
  <c r="P254" i="5" s="1"/>
  <c r="N252" i="5"/>
  <c r="M252" i="5"/>
  <c r="L252" i="5"/>
  <c r="K252" i="5"/>
  <c r="J252" i="5"/>
  <c r="F252" i="5"/>
  <c r="E252" i="5"/>
  <c r="E254" i="5" s="1"/>
  <c r="D252" i="5"/>
  <c r="P251" i="5"/>
  <c r="S250" i="5"/>
  <c r="Q250" i="5"/>
  <c r="L250" i="5"/>
  <c r="S249" i="5"/>
  <c r="Q249" i="5"/>
  <c r="P249" i="5"/>
  <c r="O249" i="5"/>
  <c r="L249" i="5"/>
  <c r="K249" i="5"/>
  <c r="J249" i="5"/>
  <c r="R249" i="5" s="1"/>
  <c r="F249" i="5"/>
  <c r="N249" i="5" s="1"/>
  <c r="E249" i="5"/>
  <c r="D249" i="5"/>
  <c r="E248" i="5"/>
  <c r="Q246" i="5"/>
  <c r="P246" i="5"/>
  <c r="P248" i="5" s="1"/>
  <c r="O246" i="5"/>
  <c r="L246" i="5"/>
  <c r="K246" i="5"/>
  <c r="J246" i="5"/>
  <c r="F246" i="5"/>
  <c r="E246" i="5"/>
  <c r="D246" i="5"/>
  <c r="F237" i="5"/>
  <c r="Q236" i="5"/>
  <c r="S236" i="5" s="1"/>
  <c r="N236" i="5"/>
  <c r="L236" i="5"/>
  <c r="F236" i="5"/>
  <c r="Q235" i="5"/>
  <c r="L235" i="5"/>
  <c r="F235" i="5"/>
  <c r="Q234" i="5"/>
  <c r="L234" i="5"/>
  <c r="S234" i="5" s="1"/>
  <c r="F234" i="5"/>
  <c r="Q233" i="5"/>
  <c r="L233" i="5"/>
  <c r="F233" i="5"/>
  <c r="E233" i="5"/>
  <c r="D233" i="5" s="1"/>
  <c r="Q232" i="5"/>
  <c r="L232" i="5"/>
  <c r="S232" i="5" s="1"/>
  <c r="F232" i="5"/>
  <c r="N232" i="5" s="1"/>
  <c r="Q231" i="5"/>
  <c r="L231" i="5"/>
  <c r="F231" i="5"/>
  <c r="S230" i="5"/>
  <c r="N230" i="5"/>
  <c r="N237" i="5" s="1"/>
  <c r="F230" i="5"/>
  <c r="F227" i="5"/>
  <c r="Q226" i="5"/>
  <c r="L226" i="5"/>
  <c r="F226" i="5"/>
  <c r="Q225" i="5"/>
  <c r="S225" i="5" s="1"/>
  <c r="L225" i="5"/>
  <c r="N225" i="5" s="1"/>
  <c r="F225" i="5"/>
  <c r="Q224" i="5"/>
  <c r="L224" i="5"/>
  <c r="N224" i="5" s="1"/>
  <c r="F224" i="5"/>
  <c r="Q223" i="5"/>
  <c r="L223" i="5"/>
  <c r="S223" i="5" s="1"/>
  <c r="F223" i="5"/>
  <c r="Q222" i="5"/>
  <c r="L222" i="5"/>
  <c r="S222" i="5" s="1"/>
  <c r="F222" i="5"/>
  <c r="S221" i="5"/>
  <c r="Q221" i="5"/>
  <c r="L221" i="5"/>
  <c r="F221" i="5"/>
  <c r="N221" i="5" s="1"/>
  <c r="S220" i="5"/>
  <c r="Q220" i="5"/>
  <c r="N220" i="5"/>
  <c r="L220" i="5"/>
  <c r="F220" i="5"/>
  <c r="S219" i="5"/>
  <c r="Q219" i="5"/>
  <c r="N219" i="5"/>
  <c r="L219" i="5"/>
  <c r="F219" i="5"/>
  <c r="Q218" i="5"/>
  <c r="S218" i="5" s="1"/>
  <c r="N218" i="5"/>
  <c r="L218" i="5"/>
  <c r="F218" i="5"/>
  <c r="Q217" i="5"/>
  <c r="S217" i="5" s="1"/>
  <c r="N217" i="5"/>
  <c r="L217" i="5"/>
  <c r="F217" i="5"/>
  <c r="Q216" i="5"/>
  <c r="L216" i="5"/>
  <c r="F216" i="5"/>
  <c r="Q215" i="5"/>
  <c r="L215" i="5"/>
  <c r="S215" i="5" s="1"/>
  <c r="F215" i="5"/>
  <c r="Q214" i="5"/>
  <c r="L214" i="5"/>
  <c r="F214" i="5"/>
  <c r="Q213" i="5"/>
  <c r="L213" i="5"/>
  <c r="N213" i="5" s="1"/>
  <c r="F213" i="5"/>
  <c r="Q212" i="5"/>
  <c r="L212" i="5"/>
  <c r="F212" i="5"/>
  <c r="Q211" i="5"/>
  <c r="N211" i="5"/>
  <c r="L211" i="5"/>
  <c r="S211" i="5" s="1"/>
  <c r="F211" i="5"/>
  <c r="Q210" i="5"/>
  <c r="Q227" i="5" s="1"/>
  <c r="L210" i="5"/>
  <c r="F210" i="5"/>
  <c r="Q208" i="5"/>
  <c r="S208" i="5" s="1"/>
  <c r="L208" i="5"/>
  <c r="F208" i="5"/>
  <c r="N208" i="5" s="1"/>
  <c r="Q207" i="5"/>
  <c r="L207" i="5"/>
  <c r="F207" i="5"/>
  <c r="Q206" i="5"/>
  <c r="L206" i="5"/>
  <c r="F206" i="5"/>
  <c r="Q205" i="5"/>
  <c r="L205" i="5"/>
  <c r="F205" i="5"/>
  <c r="S204" i="5"/>
  <c r="Q204" i="5"/>
  <c r="L204" i="5"/>
  <c r="F204" i="5"/>
  <c r="S203" i="5"/>
  <c r="Q203" i="5"/>
  <c r="L203" i="5"/>
  <c r="N203" i="5" s="1"/>
  <c r="F203" i="5"/>
  <c r="S202" i="5"/>
  <c r="Q202" i="5"/>
  <c r="N202" i="5"/>
  <c r="L202" i="5"/>
  <c r="F202" i="5"/>
  <c r="Q201" i="5"/>
  <c r="L201" i="5"/>
  <c r="S201" i="5" s="1"/>
  <c r="F201" i="5"/>
  <c r="S200" i="5"/>
  <c r="Q200" i="5"/>
  <c r="L200" i="5"/>
  <c r="F200" i="5"/>
  <c r="N200" i="5" s="1"/>
  <c r="Q199" i="5"/>
  <c r="L199" i="5"/>
  <c r="F199" i="5"/>
  <c r="S198" i="5"/>
  <c r="Q198" i="5"/>
  <c r="L198" i="5"/>
  <c r="F198" i="5"/>
  <c r="N198" i="5" s="1"/>
  <c r="Q197" i="5"/>
  <c r="L197" i="5"/>
  <c r="F197" i="5"/>
  <c r="L196" i="5"/>
  <c r="F196" i="5"/>
  <c r="Q195" i="5"/>
  <c r="N195" i="5"/>
  <c r="L195" i="5"/>
  <c r="S195" i="5" s="1"/>
  <c r="F195" i="5"/>
  <c r="Q194" i="5"/>
  <c r="L194" i="5"/>
  <c r="N194" i="5" s="1"/>
  <c r="F194" i="5"/>
  <c r="Q193" i="5"/>
  <c r="L193" i="5"/>
  <c r="N193" i="5" s="1"/>
  <c r="F193" i="5"/>
  <c r="Q192" i="5"/>
  <c r="L192" i="5"/>
  <c r="N192" i="5" s="1"/>
  <c r="F192" i="5"/>
  <c r="Q191" i="5"/>
  <c r="L191" i="5"/>
  <c r="N191" i="5" s="1"/>
  <c r="F191" i="5"/>
  <c r="Q190" i="5"/>
  <c r="L190" i="5"/>
  <c r="F190" i="5"/>
  <c r="Q189" i="5"/>
  <c r="N189" i="5"/>
  <c r="L189" i="5"/>
  <c r="S189" i="5" s="1"/>
  <c r="F189" i="5"/>
  <c r="Q188" i="5"/>
  <c r="L188" i="5"/>
  <c r="N188" i="5" s="1"/>
  <c r="F188" i="5"/>
  <c r="S187" i="5"/>
  <c r="Q187" i="5"/>
  <c r="N187" i="5"/>
  <c r="L187" i="5"/>
  <c r="F187" i="5"/>
  <c r="Q186" i="5"/>
  <c r="L186" i="5"/>
  <c r="N186" i="5" s="1"/>
  <c r="F186" i="5"/>
  <c r="U182" i="5"/>
  <c r="F182" i="5"/>
  <c r="N180" i="5"/>
  <c r="V179" i="5"/>
  <c r="Q179" i="5"/>
  <c r="O179" i="5"/>
  <c r="P179" i="5" s="1"/>
  <c r="L179" i="5"/>
  <c r="J179" i="5"/>
  <c r="A179" i="5"/>
  <c r="V177" i="5"/>
  <c r="R177" i="5"/>
  <c r="R178" i="5" s="1"/>
  <c r="Q177" i="5"/>
  <c r="S177" i="5" s="1"/>
  <c r="O177" i="5"/>
  <c r="P177" i="5" s="1"/>
  <c r="L177" i="5"/>
  <c r="N177" i="5" s="1"/>
  <c r="K177" i="5"/>
  <c r="J177" i="5"/>
  <c r="F177" i="5"/>
  <c r="D177" i="5"/>
  <c r="E177" i="5" s="1"/>
  <c r="S175" i="5"/>
  <c r="Q175" i="5"/>
  <c r="Q182" i="5" s="1"/>
  <c r="O175" i="5"/>
  <c r="L175" i="5"/>
  <c r="V175" i="5" s="1"/>
  <c r="J175" i="5"/>
  <c r="F175" i="5"/>
  <c r="D175" i="5"/>
  <c r="E175" i="5" s="1"/>
  <c r="Q173" i="5"/>
  <c r="L173" i="5"/>
  <c r="F173" i="5"/>
  <c r="S169" i="5"/>
  <c r="C169" i="5"/>
  <c r="Q163" i="5"/>
  <c r="L163" i="5"/>
  <c r="F163" i="5"/>
  <c r="Q162" i="5"/>
  <c r="S162" i="5" s="1"/>
  <c r="L162" i="5"/>
  <c r="N162" i="5" s="1"/>
  <c r="F162" i="5"/>
  <c r="S161" i="5"/>
  <c r="Q161" i="5"/>
  <c r="L161" i="5"/>
  <c r="N161" i="5" s="1"/>
  <c r="F161" i="5"/>
  <c r="T160" i="5"/>
  <c r="Q160" i="5"/>
  <c r="S160" i="5" s="1"/>
  <c r="N160" i="5"/>
  <c r="L160" i="5"/>
  <c r="F160" i="5"/>
  <c r="S159" i="5"/>
  <c r="Q159" i="5"/>
  <c r="N159" i="5"/>
  <c r="L159" i="5"/>
  <c r="L164" i="5" s="1"/>
  <c r="F159" i="5"/>
  <c r="Q158" i="5"/>
  <c r="Q164" i="5" s="1"/>
  <c r="N158" i="5"/>
  <c r="L158" i="5"/>
  <c r="F158" i="5"/>
  <c r="S157" i="5"/>
  <c r="F157" i="5"/>
  <c r="Q153" i="5"/>
  <c r="L153" i="5"/>
  <c r="N153" i="5" s="1"/>
  <c r="F153" i="5"/>
  <c r="S152" i="5"/>
  <c r="Q152" i="5"/>
  <c r="L152" i="5"/>
  <c r="N152" i="5" s="1"/>
  <c r="F152" i="5"/>
  <c r="Q151" i="5"/>
  <c r="N151" i="5"/>
  <c r="L151" i="5"/>
  <c r="S151" i="5" s="1"/>
  <c r="F151" i="5"/>
  <c r="Q150" i="5"/>
  <c r="S150" i="5" s="1"/>
  <c r="N150" i="5"/>
  <c r="L150" i="5"/>
  <c r="F150" i="5"/>
  <c r="Q149" i="5"/>
  <c r="S149" i="5" s="1"/>
  <c r="L149" i="5"/>
  <c r="F149" i="5"/>
  <c r="N149" i="5" s="1"/>
  <c r="Q148" i="5"/>
  <c r="L148" i="5"/>
  <c r="S148" i="5" s="1"/>
  <c r="F148" i="5"/>
  <c r="Q147" i="5"/>
  <c r="L147" i="5"/>
  <c r="S147" i="5" s="1"/>
  <c r="F147" i="5"/>
  <c r="Q146" i="5"/>
  <c r="N146" i="5"/>
  <c r="L146" i="5"/>
  <c r="S146" i="5" s="1"/>
  <c r="F146" i="5"/>
  <c r="Q145" i="5"/>
  <c r="L145" i="5"/>
  <c r="N145" i="5" s="1"/>
  <c r="F145" i="5"/>
  <c r="Q144" i="5"/>
  <c r="N144" i="5"/>
  <c r="L144" i="5"/>
  <c r="S144" i="5" s="1"/>
  <c r="F144" i="5"/>
  <c r="S143" i="5"/>
  <c r="Q143" i="5"/>
  <c r="L143" i="5"/>
  <c r="N143" i="5" s="1"/>
  <c r="F143" i="5"/>
  <c r="S142" i="5"/>
  <c r="Q142" i="5"/>
  <c r="L142" i="5"/>
  <c r="N142" i="5" s="1"/>
  <c r="F142" i="5"/>
  <c r="Q141" i="5"/>
  <c r="N141" i="5"/>
  <c r="L141" i="5"/>
  <c r="S141" i="5" s="1"/>
  <c r="F141" i="5"/>
  <c r="S140" i="5"/>
  <c r="Q140" i="5"/>
  <c r="N140" i="5"/>
  <c r="L140" i="5"/>
  <c r="F140" i="5"/>
  <c r="S139" i="5"/>
  <c r="Q139" i="5"/>
  <c r="L139" i="5"/>
  <c r="N139" i="5" s="1"/>
  <c r="F139" i="5"/>
  <c r="Q138" i="5"/>
  <c r="L138" i="5"/>
  <c r="S138" i="5" s="1"/>
  <c r="F138" i="5"/>
  <c r="Q137" i="5"/>
  <c r="N137" i="5"/>
  <c r="L137" i="5"/>
  <c r="S137" i="5" s="1"/>
  <c r="F137" i="5"/>
  <c r="F154" i="5" s="1"/>
  <c r="F136" i="5"/>
  <c r="Q135" i="5"/>
  <c r="N135" i="5"/>
  <c r="L135" i="5"/>
  <c r="S135" i="5" s="1"/>
  <c r="F135" i="5"/>
  <c r="Q134" i="5"/>
  <c r="L134" i="5"/>
  <c r="N134" i="5" s="1"/>
  <c r="F134" i="5"/>
  <c r="S133" i="5"/>
  <c r="Q133" i="5"/>
  <c r="L133" i="5"/>
  <c r="N133" i="5" s="1"/>
  <c r="F133" i="5"/>
  <c r="Q132" i="5"/>
  <c r="N132" i="5"/>
  <c r="L132" i="5"/>
  <c r="S132" i="5" s="1"/>
  <c r="F132" i="5"/>
  <c r="Q131" i="5"/>
  <c r="S131" i="5" s="1"/>
  <c r="N131" i="5"/>
  <c r="L131" i="5"/>
  <c r="F131" i="5"/>
  <c r="Q130" i="5"/>
  <c r="S130" i="5" s="1"/>
  <c r="L130" i="5"/>
  <c r="N130" i="5" s="1"/>
  <c r="F130" i="5"/>
  <c r="Q129" i="5"/>
  <c r="L129" i="5"/>
  <c r="S129" i="5" s="1"/>
  <c r="F129" i="5"/>
  <c r="Q128" i="5"/>
  <c r="L128" i="5"/>
  <c r="S128" i="5" s="1"/>
  <c r="F128" i="5"/>
  <c r="Q127" i="5"/>
  <c r="L127" i="5"/>
  <c r="F127" i="5"/>
  <c r="N127" i="5" s="1"/>
  <c r="S126" i="5"/>
  <c r="Q126" i="5"/>
  <c r="L126" i="5"/>
  <c r="N126" i="5" s="1"/>
  <c r="F126" i="5"/>
  <c r="Q125" i="5"/>
  <c r="L125" i="5"/>
  <c r="F125" i="5"/>
  <c r="Q124" i="5"/>
  <c r="Q136" i="5" s="1"/>
  <c r="L124" i="5"/>
  <c r="S124" i="5" s="1"/>
  <c r="F124" i="5"/>
  <c r="F123" i="5"/>
  <c r="Q122" i="5"/>
  <c r="S122" i="5" s="1"/>
  <c r="L122" i="5"/>
  <c r="N122" i="5" s="1"/>
  <c r="F122" i="5"/>
  <c r="Q121" i="5"/>
  <c r="L121" i="5"/>
  <c r="F121" i="5"/>
  <c r="Q120" i="5"/>
  <c r="L120" i="5"/>
  <c r="S120" i="5" s="1"/>
  <c r="F120" i="5"/>
  <c r="Q119" i="5"/>
  <c r="S119" i="5" s="1"/>
  <c r="L119" i="5"/>
  <c r="N119" i="5" s="1"/>
  <c r="F119" i="5"/>
  <c r="Q118" i="5"/>
  <c r="L118" i="5"/>
  <c r="F118" i="5"/>
  <c r="Q117" i="5"/>
  <c r="L117" i="5"/>
  <c r="S117" i="5" s="1"/>
  <c r="F117" i="5"/>
  <c r="Q116" i="5"/>
  <c r="S116" i="5" s="1"/>
  <c r="L116" i="5"/>
  <c r="N116" i="5" s="1"/>
  <c r="F116" i="5"/>
  <c r="Q115" i="5"/>
  <c r="L115" i="5"/>
  <c r="F115" i="5"/>
  <c r="Q114" i="5"/>
  <c r="L114" i="5"/>
  <c r="F114" i="5"/>
  <c r="D114" i="5"/>
  <c r="Q113" i="5"/>
  <c r="L113" i="5"/>
  <c r="S113" i="5" s="1"/>
  <c r="F113" i="5"/>
  <c r="U109" i="5"/>
  <c r="Q105" i="5"/>
  <c r="L105" i="5"/>
  <c r="N105" i="5" s="1"/>
  <c r="F105" i="5"/>
  <c r="D105" i="5"/>
  <c r="E105" i="5" s="1"/>
  <c r="S104" i="5"/>
  <c r="Q104" i="5"/>
  <c r="N104" i="5"/>
  <c r="L104" i="5"/>
  <c r="F104" i="5"/>
  <c r="D104" i="5"/>
  <c r="E104" i="5" s="1"/>
  <c r="Q103" i="5"/>
  <c r="Q106" i="5" s="1"/>
  <c r="L103" i="5"/>
  <c r="F103" i="5"/>
  <c r="F106" i="5" s="1"/>
  <c r="D103" i="5"/>
  <c r="E103" i="5" s="1"/>
  <c r="Q101" i="5"/>
  <c r="P101" i="5"/>
  <c r="O101" i="5"/>
  <c r="R101" i="5" s="1"/>
  <c r="M101" i="5"/>
  <c r="L101" i="5"/>
  <c r="K101" i="5" s="1"/>
  <c r="J101" i="5"/>
  <c r="F101" i="5"/>
  <c r="D101" i="5"/>
  <c r="E101" i="5" s="1"/>
  <c r="A100" i="5"/>
  <c r="R99" i="5"/>
  <c r="Q99" i="5"/>
  <c r="P99" i="5"/>
  <c r="M99" i="5"/>
  <c r="L99" i="5"/>
  <c r="S99" i="5" s="1"/>
  <c r="K99" i="5"/>
  <c r="A99" i="5"/>
  <c r="E98" i="5"/>
  <c r="A98" i="5"/>
  <c r="Q97" i="5"/>
  <c r="O97" i="5"/>
  <c r="P160" i="5" s="1"/>
  <c r="O160" i="5" s="1"/>
  <c r="A97" i="5"/>
  <c r="R96" i="5"/>
  <c r="Q96" i="5"/>
  <c r="S96" i="5" s="1"/>
  <c r="O96" i="5"/>
  <c r="P96" i="5" s="1"/>
  <c r="L96" i="5"/>
  <c r="J96" i="5"/>
  <c r="D96" i="5"/>
  <c r="E96" i="5" s="1"/>
  <c r="A96" i="5"/>
  <c r="F96" i="5" s="1"/>
  <c r="N96" i="5" s="1"/>
  <c r="S95" i="5"/>
  <c r="Q95" i="5"/>
  <c r="O95" i="5"/>
  <c r="P95" i="5" s="1"/>
  <c r="L95" i="5"/>
  <c r="J95" i="5"/>
  <c r="R95" i="5" s="1"/>
  <c r="F95" i="5"/>
  <c r="E95" i="5"/>
  <c r="D95" i="5"/>
  <c r="Q94" i="5"/>
  <c r="P94" i="5"/>
  <c r="O94" i="5"/>
  <c r="L94" i="5"/>
  <c r="S94" i="5" s="1"/>
  <c r="S97" i="5" s="1"/>
  <c r="J94" i="5"/>
  <c r="M94" i="5" s="1"/>
  <c r="F94" i="5"/>
  <c r="F97" i="5" s="1"/>
  <c r="F109" i="5" s="1"/>
  <c r="E94" i="5"/>
  <c r="D94" i="5"/>
  <c r="Q93" i="5"/>
  <c r="L93" i="5"/>
  <c r="F93" i="5"/>
  <c r="T82" i="5"/>
  <c r="Q82" i="5"/>
  <c r="N82" i="5"/>
  <c r="L82" i="5"/>
  <c r="F82" i="5"/>
  <c r="Q81" i="5"/>
  <c r="N81" i="5"/>
  <c r="L81" i="5"/>
  <c r="S81" i="5" s="1"/>
  <c r="F81" i="5"/>
  <c r="Q80" i="5"/>
  <c r="S80" i="5" s="1"/>
  <c r="N80" i="5"/>
  <c r="L80" i="5"/>
  <c r="F80" i="5"/>
  <c r="Q79" i="5"/>
  <c r="L79" i="5"/>
  <c r="S79" i="5" s="1"/>
  <c r="F79" i="5"/>
  <c r="Q78" i="5"/>
  <c r="L78" i="5"/>
  <c r="F78" i="5"/>
  <c r="Q77" i="5"/>
  <c r="L77" i="5"/>
  <c r="F77" i="5"/>
  <c r="Q76" i="5"/>
  <c r="N76" i="5"/>
  <c r="L76" i="5"/>
  <c r="F76" i="5"/>
  <c r="Q75" i="5"/>
  <c r="L75" i="5"/>
  <c r="F75" i="5"/>
  <c r="F83" i="5" s="1"/>
  <c r="L72" i="5"/>
  <c r="S71" i="5"/>
  <c r="Q71" i="5"/>
  <c r="L71" i="5"/>
  <c r="N71" i="5" s="1"/>
  <c r="F71" i="5"/>
  <c r="Q70" i="5"/>
  <c r="L70" i="5"/>
  <c r="F70" i="5"/>
  <c r="S69" i="5"/>
  <c r="F69" i="5"/>
  <c r="N69" i="5" s="1"/>
  <c r="S68" i="5"/>
  <c r="Q68" i="5"/>
  <c r="L68" i="5"/>
  <c r="N68" i="5" s="1"/>
  <c r="F68" i="5"/>
  <c r="Q67" i="5"/>
  <c r="N67" i="5"/>
  <c r="L67" i="5"/>
  <c r="S67" i="5" s="1"/>
  <c r="F67" i="5"/>
  <c r="Q66" i="5"/>
  <c r="S66" i="5" s="1"/>
  <c r="N66" i="5"/>
  <c r="L66" i="5"/>
  <c r="F66" i="5"/>
  <c r="Q65" i="5"/>
  <c r="L65" i="5"/>
  <c r="S65" i="5" s="1"/>
  <c r="F65" i="5"/>
  <c r="Q64" i="5"/>
  <c r="N64" i="5"/>
  <c r="L64" i="5"/>
  <c r="S64" i="5" s="1"/>
  <c r="F64" i="5"/>
  <c r="Q63" i="5"/>
  <c r="L63" i="5"/>
  <c r="S63" i="5" s="1"/>
  <c r="F63" i="5"/>
  <c r="Q62" i="5"/>
  <c r="S62" i="5" s="1"/>
  <c r="L62" i="5"/>
  <c r="F62" i="5"/>
  <c r="N62" i="5" s="1"/>
  <c r="S61" i="5"/>
  <c r="Q61" i="5"/>
  <c r="L61" i="5"/>
  <c r="N61" i="5" s="1"/>
  <c r="F61" i="5"/>
  <c r="Q60" i="5"/>
  <c r="L60" i="5"/>
  <c r="F60" i="5"/>
  <c r="Q59" i="5"/>
  <c r="L59" i="5"/>
  <c r="S59" i="5" s="1"/>
  <c r="F59" i="5"/>
  <c r="Q58" i="5"/>
  <c r="S58" i="5" s="1"/>
  <c r="L58" i="5"/>
  <c r="F58" i="5"/>
  <c r="N58" i="5" s="1"/>
  <c r="Q57" i="5"/>
  <c r="L57" i="5"/>
  <c r="N57" i="5" s="1"/>
  <c r="F57" i="5"/>
  <c r="S56" i="5"/>
  <c r="Q56" i="5"/>
  <c r="L56" i="5"/>
  <c r="N56" i="5" s="1"/>
  <c r="F56" i="5"/>
  <c r="Q55" i="5"/>
  <c r="Q72" i="5" s="1"/>
  <c r="N55" i="5"/>
  <c r="N72" i="5" s="1"/>
  <c r="L55" i="5"/>
  <c r="S55" i="5" s="1"/>
  <c r="F55" i="5"/>
  <c r="F72" i="5" s="1"/>
  <c r="Q53" i="5"/>
  <c r="S53" i="5" s="1"/>
  <c r="L53" i="5"/>
  <c r="F53" i="5"/>
  <c r="N53" i="5" s="1"/>
  <c r="D53" i="5"/>
  <c r="S52" i="5"/>
  <c r="Q52" i="5"/>
  <c r="L52" i="5"/>
  <c r="N52" i="5" s="1"/>
  <c r="F52" i="5"/>
  <c r="Q51" i="5"/>
  <c r="N51" i="5"/>
  <c r="L51" i="5"/>
  <c r="S51" i="5" s="1"/>
  <c r="F51" i="5"/>
  <c r="Q50" i="5"/>
  <c r="S50" i="5" s="1"/>
  <c r="N50" i="5"/>
  <c r="L50" i="5"/>
  <c r="F50" i="5"/>
  <c r="S49" i="5"/>
  <c r="Q49" i="5"/>
  <c r="L49" i="5"/>
  <c r="N49" i="5" s="1"/>
  <c r="F49" i="5"/>
  <c r="Q48" i="5"/>
  <c r="L48" i="5"/>
  <c r="S48" i="5" s="1"/>
  <c r="F48" i="5"/>
  <c r="Q47" i="5"/>
  <c r="N47" i="5"/>
  <c r="L47" i="5"/>
  <c r="S47" i="5" s="1"/>
  <c r="F47" i="5"/>
  <c r="Q46" i="5"/>
  <c r="S46" i="5" s="1"/>
  <c r="L46" i="5"/>
  <c r="N46" i="5" s="1"/>
  <c r="F46" i="5"/>
  <c r="Q45" i="5"/>
  <c r="S45" i="5" s="1"/>
  <c r="L45" i="5"/>
  <c r="N45" i="5" s="1"/>
  <c r="F45" i="5"/>
  <c r="Q44" i="5"/>
  <c r="L44" i="5"/>
  <c r="F44" i="5"/>
  <c r="Q43" i="5"/>
  <c r="Q54" i="5" s="1"/>
  <c r="L43" i="5"/>
  <c r="N43" i="5" s="1"/>
  <c r="F43" i="5"/>
  <c r="Q42" i="5"/>
  <c r="S42" i="5" s="1"/>
  <c r="L42" i="5"/>
  <c r="F42" i="5"/>
  <c r="F54" i="5" s="1"/>
  <c r="Q40" i="5"/>
  <c r="P40" i="5" s="1"/>
  <c r="L40" i="5"/>
  <c r="F40" i="5"/>
  <c r="E40" i="5"/>
  <c r="U39" i="5"/>
  <c r="S39" i="5"/>
  <c r="Q39" i="5"/>
  <c r="P39" i="5"/>
  <c r="N39" i="5"/>
  <c r="L39" i="5"/>
  <c r="F39" i="5"/>
  <c r="Q38" i="5"/>
  <c r="L38" i="5"/>
  <c r="N38" i="5" s="1"/>
  <c r="F38" i="5"/>
  <c r="S37" i="5"/>
  <c r="Q37" i="5"/>
  <c r="L37" i="5"/>
  <c r="F37" i="5"/>
  <c r="N37" i="5" s="1"/>
  <c r="S36" i="5"/>
  <c r="Q36" i="5"/>
  <c r="L36" i="5"/>
  <c r="N36" i="5" s="1"/>
  <c r="F36" i="5"/>
  <c r="E36" i="5"/>
  <c r="Q35" i="5"/>
  <c r="P35" i="5"/>
  <c r="L35" i="5"/>
  <c r="L41" i="5" s="1"/>
  <c r="F35" i="5"/>
  <c r="S34" i="5"/>
  <c r="Q34" i="5"/>
  <c r="L34" i="5"/>
  <c r="K34" i="5"/>
  <c r="F34" i="5"/>
  <c r="N34" i="5" s="1"/>
  <c r="E34" i="5"/>
  <c r="T33" i="5"/>
  <c r="Q33" i="5"/>
  <c r="L33" i="5"/>
  <c r="S33" i="5" s="1"/>
  <c r="F33" i="5"/>
  <c r="Q32" i="5"/>
  <c r="S32" i="5" s="1"/>
  <c r="L32" i="5"/>
  <c r="N32" i="5" s="1"/>
  <c r="F32" i="5"/>
  <c r="Q31" i="5"/>
  <c r="Q41" i="5" s="1"/>
  <c r="N31" i="5"/>
  <c r="L31" i="5"/>
  <c r="F31" i="5"/>
  <c r="F41" i="5" s="1"/>
  <c r="U27" i="5"/>
  <c r="D27" i="5"/>
  <c r="E27" i="5" s="1"/>
  <c r="Q23" i="5"/>
  <c r="L23" i="5"/>
  <c r="S23" i="5" s="1"/>
  <c r="F23" i="5"/>
  <c r="E23" i="5"/>
  <c r="D23" i="5"/>
  <c r="Q22" i="5"/>
  <c r="L22" i="5"/>
  <c r="F22" i="5"/>
  <c r="D22" i="5"/>
  <c r="E22" i="5" s="1"/>
  <c r="S21" i="5"/>
  <c r="Q21" i="5"/>
  <c r="Q24" i="5" s="1"/>
  <c r="L21" i="5"/>
  <c r="F21" i="5"/>
  <c r="D21" i="5"/>
  <c r="E21" i="5" s="1"/>
  <c r="V17" i="5"/>
  <c r="S17" i="5"/>
  <c r="R17" i="5"/>
  <c r="Q17" i="5"/>
  <c r="O17" i="5"/>
  <c r="P17" i="5" s="1"/>
  <c r="L17" i="5"/>
  <c r="K17" i="5"/>
  <c r="J17" i="5"/>
  <c r="M17" i="5" s="1"/>
  <c r="F17" i="5"/>
  <c r="N17" i="5" s="1"/>
  <c r="D17" i="5"/>
  <c r="E17" i="5" s="1"/>
  <c r="Q15" i="5"/>
  <c r="O15" i="5"/>
  <c r="P15" i="5" s="1"/>
  <c r="L15" i="5"/>
  <c r="J15" i="5"/>
  <c r="R15" i="5" s="1"/>
  <c r="F15" i="5"/>
  <c r="D15" i="5"/>
  <c r="D24" i="5" s="1"/>
  <c r="E39" i="5" s="1"/>
  <c r="M14" i="5"/>
  <c r="D13" i="5"/>
  <c r="E13" i="5" s="1"/>
  <c r="S12" i="5"/>
  <c r="Q12" i="5"/>
  <c r="P12" i="5"/>
  <c r="O12" i="5"/>
  <c r="N12" i="5"/>
  <c r="L12" i="5"/>
  <c r="J12" i="5"/>
  <c r="M12" i="5" s="1"/>
  <c r="F12" i="5"/>
  <c r="D12" i="5"/>
  <c r="E12" i="5" s="1"/>
  <c r="Q11" i="5"/>
  <c r="O11" i="5"/>
  <c r="R11" i="5" s="1"/>
  <c r="L11" i="5"/>
  <c r="N11" i="5" s="1"/>
  <c r="K11" i="5"/>
  <c r="J11" i="5"/>
  <c r="M11" i="5" s="1"/>
  <c r="F11" i="5"/>
  <c r="E11" i="5"/>
  <c r="D11" i="5"/>
  <c r="R10" i="5"/>
  <c r="Q10" i="5"/>
  <c r="P10" i="5"/>
  <c r="O10" i="5"/>
  <c r="L10" i="5"/>
  <c r="J10" i="5"/>
  <c r="M10" i="5" s="1"/>
  <c r="F10" i="5"/>
  <c r="D10" i="5"/>
  <c r="E10" i="5" s="1"/>
  <c r="S9" i="5"/>
  <c r="Q9" i="5"/>
  <c r="O9" i="5"/>
  <c r="P9" i="5" s="1"/>
  <c r="L9" i="5"/>
  <c r="N9" i="5" s="1"/>
  <c r="J9" i="5"/>
  <c r="F9" i="5"/>
  <c r="D9" i="5"/>
  <c r="E9" i="5" s="1"/>
  <c r="W8" i="5"/>
  <c r="Q8" i="5"/>
  <c r="O8" i="5"/>
  <c r="P8" i="5" s="1"/>
  <c r="L8" i="5"/>
  <c r="N8" i="5" s="1"/>
  <c r="J8" i="5"/>
  <c r="R8" i="5" s="1"/>
  <c r="F8" i="5"/>
  <c r="D8" i="5"/>
  <c r="E8" i="5" s="1"/>
  <c r="Q7" i="5"/>
  <c r="P7" i="5"/>
  <c r="O7" i="5"/>
  <c r="L7" i="5"/>
  <c r="S7" i="5" s="1"/>
  <c r="J7" i="5"/>
  <c r="F7" i="5"/>
  <c r="N7" i="5" s="1"/>
  <c r="E7" i="5"/>
  <c r="D7" i="5"/>
  <c r="Q6" i="5"/>
  <c r="O6" i="5"/>
  <c r="P6" i="5" s="1"/>
  <c r="L6" i="5"/>
  <c r="J6" i="5"/>
  <c r="F6" i="5"/>
  <c r="F13" i="5" s="1"/>
  <c r="D6" i="5"/>
  <c r="E6" i="5" s="1"/>
  <c r="Q5" i="5"/>
  <c r="L5" i="5"/>
  <c r="F5" i="5"/>
  <c r="S1" i="5"/>
  <c r="C1" i="5"/>
  <c r="AL584" i="15"/>
  <c r="AO584" i="15" s="1"/>
  <c r="AL583" i="15"/>
  <c r="AO583" i="15" s="1"/>
  <c r="AF583" i="15"/>
  <c r="AN583" i="15" s="1"/>
  <c r="A583" i="15"/>
  <c r="Z583" i="15" s="1"/>
  <c r="AI583" i="15" s="1"/>
  <c r="AL582" i="15"/>
  <c r="AO582" i="15" s="1"/>
  <c r="AO581" i="15"/>
  <c r="AN581" i="15"/>
  <c r="AL581" i="15"/>
  <c r="AF581" i="15"/>
  <c r="AH581" i="15" s="1"/>
  <c r="Z581" i="15"/>
  <c r="AI581" i="15" s="1"/>
  <c r="AO580" i="15"/>
  <c r="AL580" i="15"/>
  <c r="AF580" i="15"/>
  <c r="AN580" i="15" s="1"/>
  <c r="Z580" i="15"/>
  <c r="AI580" i="15" s="1"/>
  <c r="AO579" i="15"/>
  <c r="AL579" i="15"/>
  <c r="AF579" i="15"/>
  <c r="AN579" i="15" s="1"/>
  <c r="Z579" i="15"/>
  <c r="AI579" i="15" s="1"/>
  <c r="AL578" i="15"/>
  <c r="AI578" i="15"/>
  <c r="AH578" i="15"/>
  <c r="AF578" i="15"/>
  <c r="AN578" i="15" s="1"/>
  <c r="Z578" i="15"/>
  <c r="AL567" i="15"/>
  <c r="AL566" i="15"/>
  <c r="AO566" i="15" s="1"/>
  <c r="AO565" i="15"/>
  <c r="AL565" i="15"/>
  <c r="AL564" i="15"/>
  <c r="AO564" i="15" s="1"/>
  <c r="Z564" i="15"/>
  <c r="AL563" i="15"/>
  <c r="AO563" i="15" s="1"/>
  <c r="AO562" i="15"/>
  <c r="AL562" i="15"/>
  <c r="AO561" i="15"/>
  <c r="AL561" i="15"/>
  <c r="AL560" i="15"/>
  <c r="AO560" i="15" s="1"/>
  <c r="AL559" i="15"/>
  <c r="AO559" i="15" s="1"/>
  <c r="AL558" i="15"/>
  <c r="AO557" i="15"/>
  <c r="AL557" i="15"/>
  <c r="AN556" i="15"/>
  <c r="AO556" i="15" s="1"/>
  <c r="AL556" i="15"/>
  <c r="AF556" i="15"/>
  <c r="Z556" i="15"/>
  <c r="AH554" i="15"/>
  <c r="AL552" i="15"/>
  <c r="AO552" i="15" s="1"/>
  <c r="AL551" i="15"/>
  <c r="AO551" i="15" s="1"/>
  <c r="AO550" i="15"/>
  <c r="AL550" i="15"/>
  <c r="AO549" i="15"/>
  <c r="AL549" i="15"/>
  <c r="AF549" i="15"/>
  <c r="AN549" i="15" s="1"/>
  <c r="AN548" i="15"/>
  <c r="AO548" i="15" s="1"/>
  <c r="AL548" i="15"/>
  <c r="AI548" i="15"/>
  <c r="AF548" i="15"/>
  <c r="AH548" i="15" s="1"/>
  <c r="Z548" i="15"/>
  <c r="AL547" i="15"/>
  <c r="AF547" i="15"/>
  <c r="AN547" i="15" s="1"/>
  <c r="AO547" i="15" s="1"/>
  <c r="Z547" i="15"/>
  <c r="AI547" i="15" s="1"/>
  <c r="AL546" i="15"/>
  <c r="AF546" i="15"/>
  <c r="AN546" i="15" s="1"/>
  <c r="AO546" i="15" s="1"/>
  <c r="Z546" i="15"/>
  <c r="AI546" i="15" s="1"/>
  <c r="AL545" i="15"/>
  <c r="AI545" i="15"/>
  <c r="AH545" i="15"/>
  <c r="AF545" i="15"/>
  <c r="Z545" i="15"/>
  <c r="AN544" i="15"/>
  <c r="AL544" i="15"/>
  <c r="AO544" i="15" s="1"/>
  <c r="AI544" i="15"/>
  <c r="AH544" i="15"/>
  <c r="AF544" i="15"/>
  <c r="Z544" i="15"/>
  <c r="AL543" i="15"/>
  <c r="AI543" i="15"/>
  <c r="AF543" i="15"/>
  <c r="Z543" i="15"/>
  <c r="AH543" i="15" s="1"/>
  <c r="AL542" i="15"/>
  <c r="AF542" i="15"/>
  <c r="Z542" i="15"/>
  <c r="AI542" i="15" s="1"/>
  <c r="AO541" i="15"/>
  <c r="AN541" i="15"/>
  <c r="AL541" i="15"/>
  <c r="AF541" i="15"/>
  <c r="Z541" i="15"/>
  <c r="AI541" i="15" s="1"/>
  <c r="AL540" i="15"/>
  <c r="AI540" i="15"/>
  <c r="AF540" i="15"/>
  <c r="Z540" i="15"/>
  <c r="AL535" i="15"/>
  <c r="AF535" i="15"/>
  <c r="AL534" i="15"/>
  <c r="AO533" i="15"/>
  <c r="AN533" i="15"/>
  <c r="AL533" i="15"/>
  <c r="AF533" i="15"/>
  <c r="AL532" i="15"/>
  <c r="AL531" i="15"/>
  <c r="AL530" i="15"/>
  <c r="AL529" i="15"/>
  <c r="AO529" i="15" s="1"/>
  <c r="AL528" i="15"/>
  <c r="AO527" i="15"/>
  <c r="AL527" i="15"/>
  <c r="AL526" i="15"/>
  <c r="AF526" i="15"/>
  <c r="AN526" i="15" s="1"/>
  <c r="AO526" i="15" s="1"/>
  <c r="AL525" i="15"/>
  <c r="AL524" i="15"/>
  <c r="AL523" i="15"/>
  <c r="AL522" i="15"/>
  <c r="AL521" i="15"/>
  <c r="AL518" i="15"/>
  <c r="AL517" i="15"/>
  <c r="AL516" i="15"/>
  <c r="AL515" i="15"/>
  <c r="AO514" i="15"/>
  <c r="AL514" i="15"/>
  <c r="AL513" i="15"/>
  <c r="AO513" i="15" s="1"/>
  <c r="AL512" i="15"/>
  <c r="AO512" i="15" s="1"/>
  <c r="AL511" i="15"/>
  <c r="AO511" i="15" s="1"/>
  <c r="AL510" i="15"/>
  <c r="AL509" i="15"/>
  <c r="AL508" i="15"/>
  <c r="AL507" i="15"/>
  <c r="AI507" i="15"/>
  <c r="AH507" i="15"/>
  <c r="AF507" i="15"/>
  <c r="Z507" i="15"/>
  <c r="AO504" i="15"/>
  <c r="AL504" i="15"/>
  <c r="AK504" i="15" s="1"/>
  <c r="AL503" i="15"/>
  <c r="AL502" i="15"/>
  <c r="AL501" i="15"/>
  <c r="AL500" i="15"/>
  <c r="AO500" i="15" s="1"/>
  <c r="AL499" i="15"/>
  <c r="AL498" i="15"/>
  <c r="AL497" i="15"/>
  <c r="AL496" i="15"/>
  <c r="Q482" i="15"/>
  <c r="S481" i="15"/>
  <c r="Q481" i="15"/>
  <c r="L481" i="15"/>
  <c r="F481" i="15"/>
  <c r="Q480" i="15"/>
  <c r="L480" i="15"/>
  <c r="S480" i="15" s="1"/>
  <c r="F480" i="15"/>
  <c r="Q479" i="15"/>
  <c r="L479" i="15"/>
  <c r="S479" i="15" s="1"/>
  <c r="F479" i="15"/>
  <c r="S478" i="15"/>
  <c r="Q478" i="15"/>
  <c r="L478" i="15"/>
  <c r="F478" i="15"/>
  <c r="Q477" i="15"/>
  <c r="L477" i="15"/>
  <c r="S477" i="15" s="1"/>
  <c r="F477" i="15"/>
  <c r="Q476" i="15"/>
  <c r="L476" i="15"/>
  <c r="S476" i="15" s="1"/>
  <c r="F476" i="15"/>
  <c r="S475" i="15"/>
  <c r="Q475" i="15"/>
  <c r="L475" i="15"/>
  <c r="F475" i="15"/>
  <c r="Q474" i="15"/>
  <c r="L474" i="15"/>
  <c r="S474" i="15" s="1"/>
  <c r="F474" i="15"/>
  <c r="Q473" i="15"/>
  <c r="L473" i="15"/>
  <c r="S473" i="15" s="1"/>
  <c r="F473" i="15"/>
  <c r="S472" i="15"/>
  <c r="Q472" i="15"/>
  <c r="L472" i="15"/>
  <c r="F472" i="15"/>
  <c r="Q471" i="15"/>
  <c r="L471" i="15"/>
  <c r="S471" i="15" s="1"/>
  <c r="F471" i="15"/>
  <c r="Q470" i="15"/>
  <c r="L470" i="15"/>
  <c r="S470" i="15" s="1"/>
  <c r="F470" i="15"/>
  <c r="S469" i="15"/>
  <c r="Q469" i="15"/>
  <c r="L469" i="15"/>
  <c r="F469" i="15"/>
  <c r="Q468" i="15"/>
  <c r="L468" i="15"/>
  <c r="S468" i="15" s="1"/>
  <c r="F468" i="15"/>
  <c r="Q467" i="15"/>
  <c r="L467" i="15"/>
  <c r="S467" i="15" s="1"/>
  <c r="F467" i="15"/>
  <c r="S466" i="15"/>
  <c r="Q466" i="15"/>
  <c r="L466" i="15"/>
  <c r="F466" i="15"/>
  <c r="Q465" i="15"/>
  <c r="L465" i="15"/>
  <c r="S465" i="15" s="1"/>
  <c r="F465" i="15"/>
  <c r="F482" i="15" s="1"/>
  <c r="E482" i="15" s="1"/>
  <c r="L464" i="15"/>
  <c r="Q463" i="15"/>
  <c r="L463" i="15"/>
  <c r="S463" i="15" s="1"/>
  <c r="F463" i="15"/>
  <c r="S462" i="15"/>
  <c r="Q462" i="15"/>
  <c r="L462" i="15"/>
  <c r="F462" i="15"/>
  <c r="Q461" i="15"/>
  <c r="S461" i="15" s="1"/>
  <c r="L461" i="15"/>
  <c r="F461" i="15"/>
  <c r="Q460" i="15"/>
  <c r="L460" i="15"/>
  <c r="S460" i="15" s="1"/>
  <c r="F460" i="15"/>
  <c r="S459" i="15"/>
  <c r="Q459" i="15"/>
  <c r="L459" i="15"/>
  <c r="F459" i="15"/>
  <c r="S458" i="15"/>
  <c r="Q458" i="15"/>
  <c r="L458" i="15"/>
  <c r="F458" i="15"/>
  <c r="Q457" i="15"/>
  <c r="L457" i="15"/>
  <c r="S457" i="15" s="1"/>
  <c r="F457" i="15"/>
  <c r="S456" i="15"/>
  <c r="Q456" i="15"/>
  <c r="L456" i="15"/>
  <c r="F456" i="15"/>
  <c r="Q455" i="15"/>
  <c r="S455" i="15" s="1"/>
  <c r="L455" i="15"/>
  <c r="F455" i="15"/>
  <c r="Q454" i="15"/>
  <c r="L454" i="15"/>
  <c r="S454" i="15" s="1"/>
  <c r="F454" i="15"/>
  <c r="S453" i="15"/>
  <c r="Q453" i="15"/>
  <c r="L453" i="15"/>
  <c r="F453" i="15"/>
  <c r="Q452" i="15"/>
  <c r="L452" i="15"/>
  <c r="F452" i="15"/>
  <c r="R448" i="15"/>
  <c r="F448" i="15"/>
  <c r="E448" i="15" s="1"/>
  <c r="D448" i="15"/>
  <c r="Q446" i="15"/>
  <c r="L446" i="15"/>
  <c r="S446" i="15" s="1"/>
  <c r="P445" i="15"/>
  <c r="K445" i="15"/>
  <c r="F444" i="15"/>
  <c r="R443" i="15"/>
  <c r="Q443" i="15"/>
  <c r="Q444" i="15" s="1"/>
  <c r="P443" i="15"/>
  <c r="O443" i="15"/>
  <c r="M443" i="15"/>
  <c r="L443" i="15"/>
  <c r="K443" i="15"/>
  <c r="J443" i="15"/>
  <c r="Q441" i="15"/>
  <c r="Q440" i="15"/>
  <c r="P440" i="15"/>
  <c r="P442" i="15" s="1"/>
  <c r="O440" i="15"/>
  <c r="L440" i="15"/>
  <c r="K440" i="15"/>
  <c r="J440" i="15"/>
  <c r="R440" i="15" s="1"/>
  <c r="F440" i="15"/>
  <c r="F441" i="15" s="1"/>
  <c r="E440" i="15"/>
  <c r="D440" i="15"/>
  <c r="Q438" i="15"/>
  <c r="F438" i="15"/>
  <c r="R437" i="15"/>
  <c r="Q437" i="15"/>
  <c r="Q448" i="15" s="1"/>
  <c r="P437" i="15"/>
  <c r="P439" i="15" s="1"/>
  <c r="O437" i="15"/>
  <c r="L437" i="15"/>
  <c r="K437" i="15"/>
  <c r="J437" i="15"/>
  <c r="F437" i="15"/>
  <c r="E437" i="15"/>
  <c r="D437" i="15"/>
  <c r="N428" i="15"/>
  <c r="F425" i="15"/>
  <c r="S424" i="15"/>
  <c r="Q424" i="15"/>
  <c r="L424" i="15"/>
  <c r="F424" i="15"/>
  <c r="N424" i="15" s="1"/>
  <c r="Q423" i="15"/>
  <c r="S423" i="15" s="1"/>
  <c r="N423" i="15"/>
  <c r="L423" i="15"/>
  <c r="F423" i="15"/>
  <c r="Q422" i="15"/>
  <c r="S422" i="15" s="1"/>
  <c r="N422" i="15"/>
  <c r="L422" i="15"/>
  <c r="F422" i="15"/>
  <c r="Q421" i="15"/>
  <c r="L421" i="15"/>
  <c r="F421" i="15"/>
  <c r="Q420" i="15"/>
  <c r="L420" i="15"/>
  <c r="S420" i="15" s="1"/>
  <c r="F420" i="15"/>
  <c r="N420" i="15" s="1"/>
  <c r="S419" i="15"/>
  <c r="Q419" i="15"/>
  <c r="L419" i="15"/>
  <c r="N419" i="15" s="1"/>
  <c r="F419" i="15"/>
  <c r="Q418" i="15"/>
  <c r="S418" i="15" s="1"/>
  <c r="L418" i="15"/>
  <c r="F418" i="15"/>
  <c r="Q417" i="15"/>
  <c r="S417" i="15" s="1"/>
  <c r="N417" i="15"/>
  <c r="L417" i="15"/>
  <c r="F417" i="15"/>
  <c r="Q416" i="15"/>
  <c r="N416" i="15"/>
  <c r="L416" i="15"/>
  <c r="S416" i="15" s="1"/>
  <c r="F416" i="15"/>
  <c r="Q415" i="15"/>
  <c r="L415" i="15"/>
  <c r="F415" i="15"/>
  <c r="S414" i="15"/>
  <c r="Q414" i="15"/>
  <c r="L414" i="15"/>
  <c r="F414" i="15"/>
  <c r="N414" i="15" s="1"/>
  <c r="S413" i="15"/>
  <c r="Q413" i="15"/>
  <c r="L413" i="15"/>
  <c r="N413" i="15" s="1"/>
  <c r="Q412" i="15"/>
  <c r="S412" i="15" s="1"/>
  <c r="N412" i="15"/>
  <c r="L412" i="15"/>
  <c r="F412" i="15"/>
  <c r="Q411" i="15"/>
  <c r="L411" i="15"/>
  <c r="F411" i="15"/>
  <c r="Q410" i="15"/>
  <c r="N410" i="15"/>
  <c r="L410" i="15"/>
  <c r="F410" i="15"/>
  <c r="S409" i="15"/>
  <c r="Q409" i="15"/>
  <c r="L409" i="15"/>
  <c r="N409" i="15" s="1"/>
  <c r="F409" i="15"/>
  <c r="Q408" i="15"/>
  <c r="L408" i="15"/>
  <c r="F408" i="15"/>
  <c r="S407" i="15"/>
  <c r="Q407" i="15"/>
  <c r="N407" i="15"/>
  <c r="L407" i="15"/>
  <c r="F407" i="15"/>
  <c r="S405" i="15"/>
  <c r="Q405" i="15"/>
  <c r="L405" i="15"/>
  <c r="N405" i="15" s="1"/>
  <c r="F405" i="15"/>
  <c r="S404" i="15"/>
  <c r="Q404" i="15"/>
  <c r="L404" i="15"/>
  <c r="N404" i="15" s="1"/>
  <c r="F404" i="15"/>
  <c r="S403" i="15"/>
  <c r="Q403" i="15"/>
  <c r="N403" i="15"/>
  <c r="L403" i="15"/>
  <c r="F403" i="15"/>
  <c r="Q402" i="15"/>
  <c r="L402" i="15"/>
  <c r="F402" i="15"/>
  <c r="Q401" i="15"/>
  <c r="N401" i="15"/>
  <c r="L401" i="15"/>
  <c r="S401" i="15" s="1"/>
  <c r="F401" i="15"/>
  <c r="Q400" i="15"/>
  <c r="L400" i="15"/>
  <c r="S400" i="15" s="1"/>
  <c r="F400" i="15"/>
  <c r="Q399" i="15"/>
  <c r="L399" i="15"/>
  <c r="F399" i="15"/>
  <c r="S398" i="15"/>
  <c r="Q398" i="15"/>
  <c r="N398" i="15"/>
  <c r="L398" i="15"/>
  <c r="F398" i="15"/>
  <c r="Q397" i="15"/>
  <c r="S397" i="15" s="1"/>
  <c r="N397" i="15"/>
  <c r="L397" i="15"/>
  <c r="F397" i="15"/>
  <c r="Q396" i="15"/>
  <c r="Q406" i="15" s="1"/>
  <c r="N396" i="15"/>
  <c r="L396" i="15"/>
  <c r="F396" i="15"/>
  <c r="Q395" i="15"/>
  <c r="L395" i="15"/>
  <c r="F395" i="15"/>
  <c r="Q394" i="15"/>
  <c r="L394" i="15"/>
  <c r="F394" i="15"/>
  <c r="Q388" i="15"/>
  <c r="P388" i="15"/>
  <c r="O388" i="15"/>
  <c r="M388" i="15"/>
  <c r="L388" i="15"/>
  <c r="K388" i="15"/>
  <c r="J388" i="15"/>
  <c r="F388" i="15"/>
  <c r="D388" i="15"/>
  <c r="E388" i="15" s="1"/>
  <c r="Q384" i="15"/>
  <c r="S384" i="15" s="1"/>
  <c r="O384" i="15"/>
  <c r="L384" i="15"/>
  <c r="J384" i="15"/>
  <c r="M384" i="15" s="1"/>
  <c r="F384" i="15"/>
  <c r="N384" i="15" s="1"/>
  <c r="E384" i="15"/>
  <c r="D384" i="15"/>
  <c r="R383" i="15"/>
  <c r="Q383" i="15"/>
  <c r="P383" i="15" s="1"/>
  <c r="O383" i="15"/>
  <c r="L383" i="15"/>
  <c r="J383" i="15"/>
  <c r="F383" i="15"/>
  <c r="D383" i="15"/>
  <c r="E383" i="15" s="1"/>
  <c r="Q379" i="15"/>
  <c r="O379" i="15"/>
  <c r="R379" i="15" s="1"/>
  <c r="L379" i="15"/>
  <c r="S379" i="15" s="1"/>
  <c r="J379" i="15"/>
  <c r="K379" i="15" s="1"/>
  <c r="F379" i="15"/>
  <c r="E379" i="15"/>
  <c r="D379" i="15"/>
  <c r="Q378" i="15"/>
  <c r="O378" i="15"/>
  <c r="R378" i="15" s="1"/>
  <c r="N378" i="15"/>
  <c r="L378" i="15"/>
  <c r="S378" i="15" s="1"/>
  <c r="J378" i="15"/>
  <c r="K378" i="15" s="1"/>
  <c r="F378" i="15"/>
  <c r="D378" i="15"/>
  <c r="E378" i="15" s="1"/>
  <c r="S377" i="15"/>
  <c r="Q377" i="15"/>
  <c r="O377" i="15"/>
  <c r="R377" i="15" s="1"/>
  <c r="M377" i="15"/>
  <c r="L377" i="15"/>
  <c r="J377" i="15"/>
  <c r="K377" i="15" s="1"/>
  <c r="F377" i="15"/>
  <c r="N377" i="15" s="1"/>
  <c r="E377" i="15"/>
  <c r="D377" i="15"/>
  <c r="Q376" i="15"/>
  <c r="O376" i="15"/>
  <c r="N376" i="15"/>
  <c r="L376" i="15"/>
  <c r="S376" i="15" s="1"/>
  <c r="K376" i="15"/>
  <c r="J376" i="15"/>
  <c r="M376" i="15" s="1"/>
  <c r="F376" i="15"/>
  <c r="E376" i="15"/>
  <c r="D376" i="15"/>
  <c r="Q375" i="15"/>
  <c r="P375" i="15"/>
  <c r="O375" i="15"/>
  <c r="L375" i="15"/>
  <c r="J375" i="15"/>
  <c r="M375" i="15" s="1"/>
  <c r="F375" i="15"/>
  <c r="E375" i="15"/>
  <c r="D375" i="15"/>
  <c r="Q374" i="15"/>
  <c r="P374" i="15" s="1"/>
  <c r="O374" i="15"/>
  <c r="M374" i="15"/>
  <c r="L374" i="15"/>
  <c r="K374" i="15" s="1"/>
  <c r="J374" i="15"/>
  <c r="R374" i="15" s="1"/>
  <c r="F374" i="15"/>
  <c r="D374" i="15"/>
  <c r="E374" i="15" s="1"/>
  <c r="R373" i="15"/>
  <c r="Q373" i="15"/>
  <c r="O373" i="15"/>
  <c r="N373" i="15"/>
  <c r="M373" i="15"/>
  <c r="L373" i="15"/>
  <c r="S373" i="15" s="1"/>
  <c r="J373" i="15"/>
  <c r="F373" i="15"/>
  <c r="D373" i="15"/>
  <c r="E373" i="15" s="1"/>
  <c r="S372" i="15"/>
  <c r="R372" i="15"/>
  <c r="Q372" i="15"/>
  <c r="O372" i="15"/>
  <c r="P372" i="15" s="1"/>
  <c r="M372" i="15"/>
  <c r="L372" i="15"/>
  <c r="N372" i="15" s="1"/>
  <c r="K372" i="15"/>
  <c r="J372" i="15"/>
  <c r="F372" i="15"/>
  <c r="D372" i="15"/>
  <c r="E372" i="15" s="1"/>
  <c r="S371" i="15"/>
  <c r="Q371" i="15"/>
  <c r="Q380" i="15" s="1"/>
  <c r="Q385" i="15" s="1"/>
  <c r="O371" i="15"/>
  <c r="N371" i="15"/>
  <c r="L371" i="15"/>
  <c r="J371" i="15"/>
  <c r="K371" i="15" s="1"/>
  <c r="F371" i="15"/>
  <c r="D371" i="15"/>
  <c r="M371" i="15" s="1"/>
  <c r="N364" i="15"/>
  <c r="Q360" i="15"/>
  <c r="L360" i="15"/>
  <c r="S360" i="15" s="1"/>
  <c r="F360" i="15"/>
  <c r="S359" i="15"/>
  <c r="Q359" i="15"/>
  <c r="L359" i="15"/>
  <c r="N359" i="15" s="1"/>
  <c r="F359" i="15"/>
  <c r="S358" i="15"/>
  <c r="Q358" i="15"/>
  <c r="L358" i="15"/>
  <c r="N358" i="15" s="1"/>
  <c r="F358" i="15"/>
  <c r="S357" i="15"/>
  <c r="Q357" i="15"/>
  <c r="N357" i="15"/>
  <c r="L357" i="15"/>
  <c r="F357" i="15"/>
  <c r="Q356" i="15"/>
  <c r="N356" i="15"/>
  <c r="L356" i="15"/>
  <c r="S356" i="15" s="1"/>
  <c r="F356" i="15"/>
  <c r="Q355" i="15"/>
  <c r="L355" i="15"/>
  <c r="F355" i="15"/>
  <c r="N355" i="15" s="1"/>
  <c r="Q354" i="15"/>
  <c r="L354" i="15"/>
  <c r="F354" i="15"/>
  <c r="Q353" i="15"/>
  <c r="L353" i="15"/>
  <c r="N353" i="15" s="1"/>
  <c r="F353" i="15"/>
  <c r="S352" i="15"/>
  <c r="Q352" i="15"/>
  <c r="L352" i="15"/>
  <c r="F352" i="15"/>
  <c r="N352" i="15" s="1"/>
  <c r="Q351" i="15"/>
  <c r="S351" i="15" s="1"/>
  <c r="N351" i="15"/>
  <c r="L351" i="15"/>
  <c r="F351" i="15"/>
  <c r="Q350" i="15"/>
  <c r="L350" i="15"/>
  <c r="S350" i="15" s="1"/>
  <c r="F350" i="15"/>
  <c r="Q349" i="15"/>
  <c r="L349" i="15"/>
  <c r="S348" i="15"/>
  <c r="Q348" i="15"/>
  <c r="L348" i="15"/>
  <c r="N348" i="15" s="1"/>
  <c r="F348" i="15"/>
  <c r="Q347" i="15"/>
  <c r="S347" i="15" s="1"/>
  <c r="L347" i="15"/>
  <c r="F347" i="15"/>
  <c r="N347" i="15" s="1"/>
  <c r="S346" i="15"/>
  <c r="Q346" i="15"/>
  <c r="N346" i="15"/>
  <c r="L346" i="15"/>
  <c r="F346" i="15"/>
  <c r="S345" i="15"/>
  <c r="Q345" i="15"/>
  <c r="N345" i="15"/>
  <c r="L345" i="15"/>
  <c r="F345" i="15"/>
  <c r="Q344" i="15"/>
  <c r="Q361" i="15" s="1"/>
  <c r="N344" i="15"/>
  <c r="L344" i="15"/>
  <c r="F344" i="15"/>
  <c r="Q343" i="15"/>
  <c r="N343" i="15"/>
  <c r="L343" i="15"/>
  <c r="F343" i="15"/>
  <c r="Q341" i="15"/>
  <c r="L341" i="15"/>
  <c r="F341" i="15"/>
  <c r="S340" i="15"/>
  <c r="Q340" i="15"/>
  <c r="L340" i="15"/>
  <c r="N340" i="15" s="1"/>
  <c r="F340" i="15"/>
  <c r="Q339" i="15"/>
  <c r="S339" i="15" s="1"/>
  <c r="L339" i="15"/>
  <c r="N339" i="15" s="1"/>
  <c r="F339" i="15"/>
  <c r="Q338" i="15"/>
  <c r="S338" i="15" s="1"/>
  <c r="N338" i="15"/>
  <c r="L338" i="15"/>
  <c r="F338" i="15"/>
  <c r="S337" i="15"/>
  <c r="Q337" i="15"/>
  <c r="L337" i="15"/>
  <c r="N337" i="15" s="1"/>
  <c r="F337" i="15"/>
  <c r="Q336" i="15"/>
  <c r="L336" i="15"/>
  <c r="F336" i="15"/>
  <c r="Q335" i="15"/>
  <c r="L335" i="15"/>
  <c r="S335" i="15" s="1"/>
  <c r="F335" i="15"/>
  <c r="Q334" i="15"/>
  <c r="S334" i="15" s="1"/>
  <c r="L334" i="15"/>
  <c r="N334" i="15" s="1"/>
  <c r="F334" i="15"/>
  <c r="Q333" i="15"/>
  <c r="L333" i="15"/>
  <c r="N333" i="15" s="1"/>
  <c r="F333" i="15"/>
  <c r="Q332" i="15"/>
  <c r="L332" i="15"/>
  <c r="S332" i="15" s="1"/>
  <c r="F332" i="15"/>
  <c r="Q331" i="15"/>
  <c r="L331" i="15"/>
  <c r="S331" i="15" s="1"/>
  <c r="F331" i="15"/>
  <c r="S330" i="15"/>
  <c r="Q330" i="15"/>
  <c r="L330" i="15"/>
  <c r="N330" i="15" s="1"/>
  <c r="F330" i="15"/>
  <c r="R324" i="15"/>
  <c r="Q324" i="15"/>
  <c r="L324" i="15"/>
  <c r="S324" i="15" s="1"/>
  <c r="S322" i="15"/>
  <c r="Q322" i="15"/>
  <c r="F322" i="15"/>
  <c r="R321" i="15"/>
  <c r="Q321" i="15"/>
  <c r="P321" i="15"/>
  <c r="M321" i="15"/>
  <c r="L321" i="15"/>
  <c r="K321" i="15"/>
  <c r="F319" i="15"/>
  <c r="R318" i="15"/>
  <c r="Q318" i="15"/>
  <c r="Q319" i="15" s="1"/>
  <c r="P318" i="15"/>
  <c r="M318" i="15"/>
  <c r="L318" i="15"/>
  <c r="K318" i="15"/>
  <c r="K326" i="15" s="1"/>
  <c r="F318" i="15"/>
  <c r="E318" i="15"/>
  <c r="D318" i="15"/>
  <c r="R315" i="15"/>
  <c r="Q315" i="15"/>
  <c r="P315" i="15"/>
  <c r="P326" i="15" s="1"/>
  <c r="L315" i="15"/>
  <c r="N315" i="15" s="1"/>
  <c r="N316" i="15" s="1"/>
  <c r="K315" i="15"/>
  <c r="M315" i="15" s="1"/>
  <c r="F315" i="15"/>
  <c r="F326" i="15" s="1"/>
  <c r="F327" i="15" s="1"/>
  <c r="E315" i="15"/>
  <c r="E326" i="15" s="1"/>
  <c r="D315" i="15"/>
  <c r="N306" i="15"/>
  <c r="Q302" i="15"/>
  <c r="N302" i="15"/>
  <c r="L302" i="15"/>
  <c r="F302" i="15"/>
  <c r="Q301" i="15"/>
  <c r="N301" i="15"/>
  <c r="L301" i="15"/>
  <c r="S301" i="15" s="1"/>
  <c r="F301" i="15"/>
  <c r="Q300" i="15"/>
  <c r="L300" i="15"/>
  <c r="F300" i="15"/>
  <c r="Q299" i="15"/>
  <c r="S299" i="15" s="1"/>
  <c r="L299" i="15"/>
  <c r="F299" i="15"/>
  <c r="N299" i="15" s="1"/>
  <c r="S298" i="15"/>
  <c r="Q298" i="15"/>
  <c r="N298" i="15"/>
  <c r="L298" i="15"/>
  <c r="F298" i="15"/>
  <c r="Q297" i="15"/>
  <c r="S297" i="15" s="1"/>
  <c r="L297" i="15"/>
  <c r="N297" i="15" s="1"/>
  <c r="F297" i="15"/>
  <c r="Q296" i="15"/>
  <c r="L296" i="15"/>
  <c r="S296" i="15" s="1"/>
  <c r="F296" i="15"/>
  <c r="N296" i="15" s="1"/>
  <c r="Q295" i="15"/>
  <c r="L295" i="15"/>
  <c r="S295" i="15" s="1"/>
  <c r="F295" i="15"/>
  <c r="S294" i="15"/>
  <c r="Q294" i="15"/>
  <c r="L294" i="15"/>
  <c r="N294" i="15" s="1"/>
  <c r="F294" i="15"/>
  <c r="Q293" i="15"/>
  <c r="L293" i="15"/>
  <c r="S293" i="15" s="1"/>
  <c r="F293" i="15"/>
  <c r="S292" i="15"/>
  <c r="Q292" i="15"/>
  <c r="N292" i="15"/>
  <c r="L292" i="15"/>
  <c r="F292" i="15"/>
  <c r="S291" i="15"/>
  <c r="Q291" i="15"/>
  <c r="L291" i="15"/>
  <c r="N291" i="15" s="1"/>
  <c r="Q290" i="15"/>
  <c r="L290" i="15"/>
  <c r="S290" i="15" s="1"/>
  <c r="F290" i="15"/>
  <c r="S289" i="15"/>
  <c r="Q289" i="15"/>
  <c r="L289" i="15"/>
  <c r="N289" i="15" s="1"/>
  <c r="F289" i="15"/>
  <c r="Q288" i="15"/>
  <c r="L288" i="15"/>
  <c r="S288" i="15" s="1"/>
  <c r="F288" i="15"/>
  <c r="Q287" i="15"/>
  <c r="S287" i="15" s="1"/>
  <c r="N287" i="15"/>
  <c r="L287" i="15"/>
  <c r="F287" i="15"/>
  <c r="S286" i="15"/>
  <c r="Q286" i="15"/>
  <c r="L286" i="15"/>
  <c r="N286" i="15" s="1"/>
  <c r="F286" i="15"/>
  <c r="Q285" i="15"/>
  <c r="L285" i="15"/>
  <c r="F285" i="15"/>
  <c r="Q283" i="15"/>
  <c r="N283" i="15"/>
  <c r="L283" i="15"/>
  <c r="S283" i="15" s="1"/>
  <c r="F283" i="15"/>
  <c r="Q282" i="15"/>
  <c r="L282" i="15"/>
  <c r="S282" i="15" s="1"/>
  <c r="F282" i="15"/>
  <c r="N282" i="15" s="1"/>
  <c r="Q281" i="15"/>
  <c r="L281" i="15"/>
  <c r="S281" i="15" s="1"/>
  <c r="F281" i="15"/>
  <c r="S280" i="15"/>
  <c r="Q280" i="15"/>
  <c r="L280" i="15"/>
  <c r="N280" i="15" s="1"/>
  <c r="F280" i="15"/>
  <c r="Q279" i="15"/>
  <c r="L279" i="15"/>
  <c r="S279" i="15" s="1"/>
  <c r="F279" i="15"/>
  <c r="Q278" i="15"/>
  <c r="S278" i="15" s="1"/>
  <c r="N278" i="15"/>
  <c r="L278" i="15"/>
  <c r="F278" i="15"/>
  <c r="S277" i="15"/>
  <c r="Q277" i="15"/>
  <c r="L277" i="15"/>
  <c r="N277" i="15" s="1"/>
  <c r="F277" i="15"/>
  <c r="Q276" i="15"/>
  <c r="L276" i="15"/>
  <c r="F276" i="15"/>
  <c r="Q275" i="15"/>
  <c r="N275" i="15"/>
  <c r="L275" i="15"/>
  <c r="S275" i="15" s="1"/>
  <c r="F275" i="15"/>
  <c r="Q274" i="15"/>
  <c r="L274" i="15"/>
  <c r="S274" i="15" s="1"/>
  <c r="F274" i="15"/>
  <c r="S273" i="15"/>
  <c r="Q273" i="15"/>
  <c r="L273" i="15"/>
  <c r="N273" i="15" s="1"/>
  <c r="F273" i="15"/>
  <c r="Q272" i="15"/>
  <c r="Q284" i="15" s="1"/>
  <c r="L272" i="15"/>
  <c r="F272" i="15"/>
  <c r="F284" i="15" s="1"/>
  <c r="Q266" i="15"/>
  <c r="R265" i="15"/>
  <c r="Q265" i="15"/>
  <c r="P265" i="15"/>
  <c r="O265" i="15"/>
  <c r="M265" i="15"/>
  <c r="L265" i="15"/>
  <c r="K265" i="15"/>
  <c r="J265" i="15"/>
  <c r="F265" i="15"/>
  <c r="F266" i="15" s="1"/>
  <c r="E265" i="15"/>
  <c r="Q262" i="15"/>
  <c r="P262" i="15"/>
  <c r="O262" i="15"/>
  <c r="R262" i="15" s="1"/>
  <c r="N262" i="15"/>
  <c r="L262" i="15"/>
  <c r="K262" i="15"/>
  <c r="L263" i="15" s="1"/>
  <c r="J262" i="15"/>
  <c r="F262" i="15"/>
  <c r="E262" i="15"/>
  <c r="M262" i="15" s="1"/>
  <c r="J259" i="15"/>
  <c r="F259" i="15"/>
  <c r="S258" i="15"/>
  <c r="Q258" i="15"/>
  <c r="L258" i="15"/>
  <c r="N258" i="15" s="1"/>
  <c r="F258" i="15"/>
  <c r="S256" i="15"/>
  <c r="Q256" i="15"/>
  <c r="M256" i="15"/>
  <c r="R255" i="15"/>
  <c r="Q255" i="15"/>
  <c r="P255" i="15"/>
  <c r="P257" i="15" s="1"/>
  <c r="O255" i="15"/>
  <c r="M255" i="15"/>
  <c r="L255" i="15"/>
  <c r="S255" i="15" s="1"/>
  <c r="K255" i="15"/>
  <c r="J255" i="15"/>
  <c r="K257" i="15" s="1"/>
  <c r="F255" i="15"/>
  <c r="F256" i="15" s="1"/>
  <c r="E255" i="15"/>
  <c r="D255" i="15"/>
  <c r="L253" i="15"/>
  <c r="N253" i="15" s="1"/>
  <c r="F253" i="15"/>
  <c r="S252" i="15"/>
  <c r="S253" i="15" s="1"/>
  <c r="Q252" i="15"/>
  <c r="P252" i="15"/>
  <c r="O252" i="15"/>
  <c r="R252" i="15" s="1"/>
  <c r="L252" i="15"/>
  <c r="N252" i="15" s="1"/>
  <c r="K252" i="15"/>
  <c r="K254" i="15" s="1"/>
  <c r="J252" i="15"/>
  <c r="F252" i="15"/>
  <c r="E252" i="15"/>
  <c r="M252" i="15" s="1"/>
  <c r="D252" i="15"/>
  <c r="E251" i="15"/>
  <c r="L250" i="15"/>
  <c r="Q249" i="15"/>
  <c r="P249" i="15"/>
  <c r="O249" i="15"/>
  <c r="O259" i="15" s="1"/>
  <c r="L249" i="15"/>
  <c r="K249" i="15"/>
  <c r="K251" i="15" s="1"/>
  <c r="J249" i="15"/>
  <c r="F249" i="15"/>
  <c r="F250" i="15" s="1"/>
  <c r="E249" i="15"/>
  <c r="D249" i="15"/>
  <c r="P248" i="15"/>
  <c r="K248" i="15"/>
  <c r="F247" i="15"/>
  <c r="Q246" i="15"/>
  <c r="P246" i="15"/>
  <c r="O246" i="15"/>
  <c r="R246" i="15" s="1"/>
  <c r="L246" i="15"/>
  <c r="K246" i="15"/>
  <c r="J246" i="15"/>
  <c r="F246" i="15"/>
  <c r="E246" i="15"/>
  <c r="D246" i="15"/>
  <c r="Q236" i="15"/>
  <c r="L236" i="15"/>
  <c r="S236" i="15" s="1"/>
  <c r="F236" i="15"/>
  <c r="S235" i="15"/>
  <c r="Q235" i="15"/>
  <c r="N235" i="15"/>
  <c r="L235" i="15"/>
  <c r="F235" i="15"/>
  <c r="S234" i="15"/>
  <c r="Q234" i="15"/>
  <c r="L234" i="15"/>
  <c r="N234" i="15" s="1"/>
  <c r="F234" i="15"/>
  <c r="Q233" i="15"/>
  <c r="N233" i="15"/>
  <c r="L233" i="15"/>
  <c r="S233" i="15" s="1"/>
  <c r="F233" i="15"/>
  <c r="E233" i="15" s="1"/>
  <c r="D233" i="15" s="1"/>
  <c r="Q232" i="15"/>
  <c r="L232" i="15"/>
  <c r="N232" i="15" s="1"/>
  <c r="F232" i="15"/>
  <c r="Q231" i="15"/>
  <c r="L231" i="15"/>
  <c r="L237" i="15" s="1"/>
  <c r="F231" i="15"/>
  <c r="S230" i="15"/>
  <c r="F230" i="15"/>
  <c r="Q226" i="15"/>
  <c r="L226" i="15"/>
  <c r="S226" i="15" s="1"/>
  <c r="F226" i="15"/>
  <c r="N226" i="15" s="1"/>
  <c r="Q225" i="15"/>
  <c r="N225" i="15"/>
  <c r="L225" i="15"/>
  <c r="S225" i="15" s="1"/>
  <c r="F225" i="15"/>
  <c r="Q224" i="15"/>
  <c r="L224" i="15"/>
  <c r="N224" i="15" s="1"/>
  <c r="F224" i="15"/>
  <c r="Q223" i="15"/>
  <c r="S223" i="15" s="1"/>
  <c r="L223" i="15"/>
  <c r="F223" i="15"/>
  <c r="N223" i="15" s="1"/>
  <c r="S222" i="15"/>
  <c r="Q222" i="15"/>
  <c r="N222" i="15"/>
  <c r="L222" i="15"/>
  <c r="F222" i="15"/>
  <c r="Q221" i="15"/>
  <c r="S221" i="15" s="1"/>
  <c r="N221" i="15"/>
  <c r="L221" i="15"/>
  <c r="F221" i="15"/>
  <c r="Q220" i="15"/>
  <c r="L220" i="15"/>
  <c r="S220" i="15" s="1"/>
  <c r="F220" i="15"/>
  <c r="N220" i="15" s="1"/>
  <c r="Q219" i="15"/>
  <c r="N219" i="15"/>
  <c r="L219" i="15"/>
  <c r="S219" i="15" s="1"/>
  <c r="F219" i="15"/>
  <c r="S218" i="15"/>
  <c r="Q218" i="15"/>
  <c r="L218" i="15"/>
  <c r="N218" i="15" s="1"/>
  <c r="F218" i="15"/>
  <c r="Q217" i="15"/>
  <c r="L217" i="15"/>
  <c r="F217" i="15"/>
  <c r="Q216" i="15"/>
  <c r="S216" i="15" s="1"/>
  <c r="N216" i="15"/>
  <c r="L216" i="15"/>
  <c r="F216" i="15"/>
  <c r="S215" i="15"/>
  <c r="Q215" i="15"/>
  <c r="L215" i="15"/>
  <c r="N215" i="15" s="1"/>
  <c r="F215" i="15"/>
  <c r="Q214" i="15"/>
  <c r="L214" i="15"/>
  <c r="S214" i="15" s="1"/>
  <c r="F214" i="15"/>
  <c r="Q213" i="15"/>
  <c r="N213" i="15"/>
  <c r="L213" i="15"/>
  <c r="S213" i="15" s="1"/>
  <c r="F213" i="15"/>
  <c r="Q212" i="15"/>
  <c r="L212" i="15"/>
  <c r="F212" i="15"/>
  <c r="S211" i="15"/>
  <c r="Q211" i="15"/>
  <c r="L211" i="15"/>
  <c r="F211" i="15"/>
  <c r="S210" i="15"/>
  <c r="Q210" i="15"/>
  <c r="N210" i="15"/>
  <c r="L210" i="15"/>
  <c r="F210" i="15"/>
  <c r="Q208" i="15"/>
  <c r="L208" i="15"/>
  <c r="F208" i="15"/>
  <c r="Q207" i="15"/>
  <c r="S207" i="15" s="1"/>
  <c r="N207" i="15"/>
  <c r="L207" i="15"/>
  <c r="F207" i="15"/>
  <c r="Q206" i="15"/>
  <c r="L206" i="15"/>
  <c r="N206" i="15" s="1"/>
  <c r="F206" i="15"/>
  <c r="Q205" i="15"/>
  <c r="S205" i="15" s="1"/>
  <c r="N205" i="15"/>
  <c r="L205" i="15"/>
  <c r="F205" i="15"/>
  <c r="Q204" i="15"/>
  <c r="N204" i="15"/>
  <c r="L204" i="15"/>
  <c r="S204" i="15" s="1"/>
  <c r="F204" i="15"/>
  <c r="Q203" i="15"/>
  <c r="L203" i="15"/>
  <c r="F203" i="15"/>
  <c r="S202" i="15"/>
  <c r="Q202" i="15"/>
  <c r="L202" i="15"/>
  <c r="F202" i="15"/>
  <c r="N202" i="15" s="1"/>
  <c r="S201" i="15"/>
  <c r="Q201" i="15"/>
  <c r="L201" i="15"/>
  <c r="F201" i="15"/>
  <c r="N201" i="15" s="1"/>
  <c r="Q200" i="15"/>
  <c r="N200" i="15"/>
  <c r="L200" i="15"/>
  <c r="F200" i="15"/>
  <c r="Q199" i="15"/>
  <c r="L199" i="15"/>
  <c r="S199" i="15" s="1"/>
  <c r="F199" i="15"/>
  <c r="N199" i="15" s="1"/>
  <c r="Q198" i="15"/>
  <c r="L198" i="15"/>
  <c r="S198" i="15" s="1"/>
  <c r="F198" i="15"/>
  <c r="S197" i="15"/>
  <c r="Q197" i="15"/>
  <c r="L197" i="15"/>
  <c r="F197" i="15"/>
  <c r="F209" i="15" s="1"/>
  <c r="Q195" i="15"/>
  <c r="N195" i="15"/>
  <c r="L195" i="15"/>
  <c r="S195" i="15" s="1"/>
  <c r="F195" i="15"/>
  <c r="S194" i="15"/>
  <c r="Q194" i="15"/>
  <c r="L194" i="15"/>
  <c r="F194" i="15"/>
  <c r="N194" i="15" s="1"/>
  <c r="Q193" i="15"/>
  <c r="L193" i="15"/>
  <c r="F193" i="15"/>
  <c r="S192" i="15"/>
  <c r="Q192" i="15"/>
  <c r="N192" i="15"/>
  <c r="L192" i="15"/>
  <c r="F192" i="15"/>
  <c r="Q191" i="15"/>
  <c r="S191" i="15" s="1"/>
  <c r="L191" i="15"/>
  <c r="N191" i="15" s="1"/>
  <c r="F191" i="15"/>
  <c r="Q190" i="15"/>
  <c r="S190" i="15" s="1"/>
  <c r="L190" i="15"/>
  <c r="N190" i="15" s="1"/>
  <c r="F190" i="15"/>
  <c r="Q189" i="15"/>
  <c r="L189" i="15"/>
  <c r="F189" i="15"/>
  <c r="Q188" i="15"/>
  <c r="S188" i="15" s="1"/>
  <c r="N188" i="15"/>
  <c r="L188" i="15"/>
  <c r="F188" i="15"/>
  <c r="Q187" i="15"/>
  <c r="L187" i="15"/>
  <c r="N187" i="15" s="1"/>
  <c r="F187" i="15"/>
  <c r="D187" i="15" s="1"/>
  <c r="Q186" i="15"/>
  <c r="N186" i="15"/>
  <c r="L186" i="15"/>
  <c r="F186" i="15"/>
  <c r="D186" i="15" s="1"/>
  <c r="U182" i="15"/>
  <c r="F182" i="15"/>
  <c r="N180" i="15"/>
  <c r="V179" i="15"/>
  <c r="Q179" i="15"/>
  <c r="P179" i="15"/>
  <c r="O179" i="15"/>
  <c r="L179" i="15"/>
  <c r="S179" i="15" s="1"/>
  <c r="S180" i="15" s="1"/>
  <c r="J179" i="15"/>
  <c r="F179" i="15"/>
  <c r="E179" i="15"/>
  <c r="A179" i="15"/>
  <c r="D179" i="15" s="1"/>
  <c r="Q177" i="15"/>
  <c r="S178" i="15" s="1"/>
  <c r="O177" i="15"/>
  <c r="R177" i="15" s="1"/>
  <c r="R178" i="15" s="1"/>
  <c r="N177" i="15"/>
  <c r="M177" i="15"/>
  <c r="L177" i="15"/>
  <c r="J177" i="15"/>
  <c r="F177" i="15"/>
  <c r="E177" i="15"/>
  <c r="D177" i="15"/>
  <c r="R175" i="15"/>
  <c r="R176" i="15" s="1"/>
  <c r="Q175" i="15"/>
  <c r="Q182" i="15" s="1"/>
  <c r="O175" i="15"/>
  <c r="O182" i="15" s="1"/>
  <c r="L175" i="15"/>
  <c r="V175" i="15" s="1"/>
  <c r="K175" i="15"/>
  <c r="J175" i="15"/>
  <c r="M175" i="15" s="1"/>
  <c r="F175" i="15"/>
  <c r="E175" i="15"/>
  <c r="D175" i="15"/>
  <c r="Q173" i="15"/>
  <c r="L173" i="15"/>
  <c r="F173" i="15"/>
  <c r="S169" i="15"/>
  <c r="L164" i="15"/>
  <c r="S163" i="15"/>
  <c r="Q163" i="15"/>
  <c r="L163" i="15"/>
  <c r="N163" i="15" s="1"/>
  <c r="F163" i="15"/>
  <c r="S162" i="15"/>
  <c r="Q162" i="15"/>
  <c r="L162" i="15"/>
  <c r="N162" i="15" s="1"/>
  <c r="F162" i="15"/>
  <c r="Q161" i="15"/>
  <c r="S161" i="15" s="1"/>
  <c r="N161" i="15"/>
  <c r="L161" i="15"/>
  <c r="F161" i="15"/>
  <c r="Q160" i="15"/>
  <c r="L160" i="15"/>
  <c r="S160" i="15" s="1"/>
  <c r="F160" i="15"/>
  <c r="S159" i="15"/>
  <c r="Q159" i="15"/>
  <c r="L159" i="15"/>
  <c r="N159" i="15" s="1"/>
  <c r="F159" i="15"/>
  <c r="S158" i="15"/>
  <c r="Q158" i="15"/>
  <c r="L158" i="15"/>
  <c r="F158" i="15"/>
  <c r="N158" i="15" s="1"/>
  <c r="S157" i="15"/>
  <c r="F157" i="15"/>
  <c r="N157" i="15" s="1"/>
  <c r="Q153" i="15"/>
  <c r="L153" i="15"/>
  <c r="S153" i="15" s="1"/>
  <c r="F153" i="15"/>
  <c r="Q152" i="15"/>
  <c r="N152" i="15"/>
  <c r="L152" i="15"/>
  <c r="F152" i="15"/>
  <c r="Q151" i="15"/>
  <c r="L151" i="15"/>
  <c r="S151" i="15" s="1"/>
  <c r="F151" i="15"/>
  <c r="Q150" i="15"/>
  <c r="L150" i="15"/>
  <c r="F150" i="15"/>
  <c r="S149" i="15"/>
  <c r="Q149" i="15"/>
  <c r="L149" i="15"/>
  <c r="N149" i="15" s="1"/>
  <c r="F149" i="15"/>
  <c r="S148" i="15"/>
  <c r="Q148" i="15"/>
  <c r="L148" i="15"/>
  <c r="F148" i="15"/>
  <c r="N148" i="15" s="1"/>
  <c r="Q147" i="15"/>
  <c r="S147" i="15" s="1"/>
  <c r="N147" i="15"/>
  <c r="L147" i="15"/>
  <c r="F147" i="15"/>
  <c r="Q146" i="15"/>
  <c r="S146" i="15" s="1"/>
  <c r="N146" i="15"/>
  <c r="L146" i="15"/>
  <c r="F146" i="15"/>
  <c r="Q145" i="15"/>
  <c r="L145" i="15"/>
  <c r="S145" i="15" s="1"/>
  <c r="F145" i="15"/>
  <c r="Q144" i="15"/>
  <c r="L144" i="15"/>
  <c r="S144" i="15" s="1"/>
  <c r="F144" i="15"/>
  <c r="Q143" i="15"/>
  <c r="L143" i="15"/>
  <c r="S143" i="15" s="1"/>
  <c r="F143" i="15"/>
  <c r="Q142" i="15"/>
  <c r="S142" i="15" s="1"/>
  <c r="L142" i="15"/>
  <c r="N142" i="15" s="1"/>
  <c r="F142" i="15"/>
  <c r="S141" i="15"/>
  <c r="Q141" i="15"/>
  <c r="L141" i="15"/>
  <c r="N141" i="15" s="1"/>
  <c r="F141" i="15"/>
  <c r="Q140" i="15"/>
  <c r="L140" i="15"/>
  <c r="S140" i="15" s="1"/>
  <c r="F140" i="15"/>
  <c r="Q139" i="15"/>
  <c r="N139" i="15"/>
  <c r="L139" i="15"/>
  <c r="S139" i="15" s="1"/>
  <c r="F139" i="15"/>
  <c r="Q138" i="15"/>
  <c r="L138" i="15"/>
  <c r="L154" i="15" s="1"/>
  <c r="F138" i="15"/>
  <c r="S137" i="15"/>
  <c r="Q137" i="15"/>
  <c r="L137" i="15"/>
  <c r="N137" i="15" s="1"/>
  <c r="F137" i="15"/>
  <c r="Q135" i="15"/>
  <c r="L135" i="15"/>
  <c r="S135" i="15" s="1"/>
  <c r="F135" i="15"/>
  <c r="Q134" i="15"/>
  <c r="L134" i="15"/>
  <c r="S134" i="15" s="1"/>
  <c r="F134" i="15"/>
  <c r="Q133" i="15"/>
  <c r="S133" i="15" s="1"/>
  <c r="L133" i="15"/>
  <c r="N133" i="15" s="1"/>
  <c r="F133" i="15"/>
  <c r="S132" i="15"/>
  <c r="Q132" i="15"/>
  <c r="L132" i="15"/>
  <c r="N132" i="15" s="1"/>
  <c r="F132" i="15"/>
  <c r="Q131" i="15"/>
  <c r="L131" i="15"/>
  <c r="F131" i="15"/>
  <c r="Q130" i="15"/>
  <c r="N130" i="15"/>
  <c r="L130" i="15"/>
  <c r="S130" i="15" s="1"/>
  <c r="F130" i="15"/>
  <c r="Q129" i="15"/>
  <c r="L129" i="15"/>
  <c r="F129" i="15"/>
  <c r="S128" i="15"/>
  <c r="Q128" i="15"/>
  <c r="L128" i="15"/>
  <c r="N128" i="15" s="1"/>
  <c r="F128" i="15"/>
  <c r="S127" i="15"/>
  <c r="Q127" i="15"/>
  <c r="L127" i="15"/>
  <c r="F127" i="15"/>
  <c r="N127" i="15" s="1"/>
  <c r="S126" i="15"/>
  <c r="Q126" i="15"/>
  <c r="N126" i="15"/>
  <c r="L126" i="15"/>
  <c r="F126" i="15"/>
  <c r="Q125" i="15"/>
  <c r="S125" i="15" s="1"/>
  <c r="N125" i="15"/>
  <c r="L125" i="15"/>
  <c r="F125" i="15"/>
  <c r="Q124" i="15"/>
  <c r="L124" i="15"/>
  <c r="F124" i="15"/>
  <c r="F136" i="15" s="1"/>
  <c r="Q122" i="15"/>
  <c r="S122" i="15" s="1"/>
  <c r="N122" i="15"/>
  <c r="L122" i="15"/>
  <c r="F122" i="15"/>
  <c r="Q121" i="15"/>
  <c r="L121" i="15"/>
  <c r="S121" i="15" s="1"/>
  <c r="F121" i="15"/>
  <c r="Q120" i="15"/>
  <c r="N120" i="15"/>
  <c r="L120" i="15"/>
  <c r="S120" i="15" s="1"/>
  <c r="F120" i="15"/>
  <c r="Q119" i="15"/>
  <c r="S119" i="15" s="1"/>
  <c r="N119" i="15"/>
  <c r="L119" i="15"/>
  <c r="F119" i="15"/>
  <c r="Q118" i="15"/>
  <c r="L118" i="15"/>
  <c r="S118" i="15" s="1"/>
  <c r="F118" i="15"/>
  <c r="Q117" i="15"/>
  <c r="L117" i="15"/>
  <c r="S117" i="15" s="1"/>
  <c r="F117" i="15"/>
  <c r="Q116" i="15"/>
  <c r="S116" i="15" s="1"/>
  <c r="N116" i="15"/>
  <c r="L116" i="15"/>
  <c r="F116" i="15"/>
  <c r="Q115" i="15"/>
  <c r="L115" i="15"/>
  <c r="S115" i="15" s="1"/>
  <c r="F115" i="15"/>
  <c r="S114" i="15"/>
  <c r="Q114" i="15"/>
  <c r="L114" i="15"/>
  <c r="J114" i="15" s="1"/>
  <c r="F114" i="15"/>
  <c r="N114" i="15" s="1"/>
  <c r="S113" i="15"/>
  <c r="Q113" i="15"/>
  <c r="L113" i="15"/>
  <c r="N113" i="15" s="1"/>
  <c r="F113" i="15"/>
  <c r="U109" i="15"/>
  <c r="Q105" i="15"/>
  <c r="Q106" i="15" s="1"/>
  <c r="P105" i="15"/>
  <c r="N105" i="15"/>
  <c r="L105" i="15"/>
  <c r="F105" i="15"/>
  <c r="D105" i="15"/>
  <c r="E105" i="15" s="1"/>
  <c r="Q104" i="15"/>
  <c r="N104" i="15"/>
  <c r="L104" i="15"/>
  <c r="S104" i="15" s="1"/>
  <c r="F104" i="15"/>
  <c r="D104" i="15"/>
  <c r="E104" i="15" s="1"/>
  <c r="Q103" i="15"/>
  <c r="L103" i="15"/>
  <c r="L106" i="15" s="1"/>
  <c r="F103" i="15"/>
  <c r="F106" i="15" s="1"/>
  <c r="D114" i="15" s="1"/>
  <c r="E103" i="15"/>
  <c r="D103" i="15"/>
  <c r="Q101" i="15"/>
  <c r="O101" i="15"/>
  <c r="P101" i="15" s="1"/>
  <c r="L101" i="15"/>
  <c r="K101" i="15" s="1"/>
  <c r="J101" i="15"/>
  <c r="F101" i="15"/>
  <c r="D101" i="15"/>
  <c r="E101" i="15" s="1"/>
  <c r="A100" i="15"/>
  <c r="R99" i="15"/>
  <c r="Q99" i="15"/>
  <c r="P99" i="15"/>
  <c r="M99" i="15"/>
  <c r="L99" i="15"/>
  <c r="K99" i="15"/>
  <c r="A99" i="15"/>
  <c r="E98" i="15"/>
  <c r="A98" i="15"/>
  <c r="O97" i="15"/>
  <c r="A97" i="15"/>
  <c r="R96" i="15"/>
  <c r="Q96" i="15"/>
  <c r="P96" i="15"/>
  <c r="O96" i="15"/>
  <c r="L96" i="15"/>
  <c r="K96" i="15"/>
  <c r="J96" i="15"/>
  <c r="A96" i="15"/>
  <c r="S95" i="15"/>
  <c r="R95" i="15"/>
  <c r="Q95" i="15"/>
  <c r="O95" i="15"/>
  <c r="P95" i="15" s="1"/>
  <c r="L95" i="15"/>
  <c r="K95" i="15"/>
  <c r="J95" i="15"/>
  <c r="F95" i="15"/>
  <c r="N95" i="15" s="1"/>
  <c r="E95" i="15"/>
  <c r="D95" i="15"/>
  <c r="S94" i="15"/>
  <c r="S97" i="15" s="1"/>
  <c r="Q94" i="15"/>
  <c r="O94" i="15"/>
  <c r="P94" i="15" s="1"/>
  <c r="L94" i="15"/>
  <c r="L97" i="15" s="1"/>
  <c r="V97" i="15" s="1"/>
  <c r="J94" i="15"/>
  <c r="R94" i="15" s="1"/>
  <c r="R97" i="15" s="1"/>
  <c r="R98" i="15" s="1"/>
  <c r="F94" i="15"/>
  <c r="D94" i="15"/>
  <c r="E94" i="15" s="1"/>
  <c r="Q93" i="15"/>
  <c r="L93" i="15"/>
  <c r="F93" i="15"/>
  <c r="Q83" i="15"/>
  <c r="Q82" i="15"/>
  <c r="L82" i="15"/>
  <c r="S82" i="15" s="1"/>
  <c r="F82" i="15"/>
  <c r="Q81" i="15"/>
  <c r="S81" i="15" s="1"/>
  <c r="N81" i="15"/>
  <c r="L81" i="15"/>
  <c r="F81" i="15"/>
  <c r="Q80" i="15"/>
  <c r="L80" i="15"/>
  <c r="S80" i="15" s="1"/>
  <c r="F80" i="15"/>
  <c r="Q79" i="15"/>
  <c r="L79" i="15"/>
  <c r="S79" i="15" s="1"/>
  <c r="F79" i="15"/>
  <c r="Q78" i="15"/>
  <c r="L78" i="15"/>
  <c r="F78" i="15"/>
  <c r="Q77" i="15"/>
  <c r="L77" i="15"/>
  <c r="S77" i="15" s="1"/>
  <c r="F77" i="15"/>
  <c r="Q76" i="15"/>
  <c r="L76" i="15"/>
  <c r="F76" i="15"/>
  <c r="S75" i="15"/>
  <c r="Q75" i="15"/>
  <c r="L75" i="15"/>
  <c r="F75" i="15"/>
  <c r="Q71" i="15"/>
  <c r="L71" i="15"/>
  <c r="F71" i="15"/>
  <c r="Q70" i="15"/>
  <c r="L70" i="15"/>
  <c r="S70" i="15" s="1"/>
  <c r="F70" i="15"/>
  <c r="S69" i="15"/>
  <c r="F69" i="15"/>
  <c r="N69" i="15" s="1"/>
  <c r="Q68" i="15"/>
  <c r="S68" i="15" s="1"/>
  <c r="N68" i="15"/>
  <c r="L68" i="15"/>
  <c r="F68" i="15"/>
  <c r="Q67" i="15"/>
  <c r="S67" i="15" s="1"/>
  <c r="N67" i="15"/>
  <c r="L67" i="15"/>
  <c r="F67" i="15"/>
  <c r="Q66" i="15"/>
  <c r="L66" i="15"/>
  <c r="S66" i="15" s="1"/>
  <c r="F66" i="15"/>
  <c r="Q65" i="15"/>
  <c r="L65" i="15"/>
  <c r="S65" i="15" s="1"/>
  <c r="F65" i="15"/>
  <c r="Q64" i="15"/>
  <c r="L64" i="15"/>
  <c r="S64" i="15" s="1"/>
  <c r="F64" i="15"/>
  <c r="Q63" i="15"/>
  <c r="S63" i="15" s="1"/>
  <c r="L63" i="15"/>
  <c r="F63" i="15"/>
  <c r="N63" i="15" s="1"/>
  <c r="Q62" i="15"/>
  <c r="S62" i="15" s="1"/>
  <c r="L62" i="15"/>
  <c r="N62" i="15" s="1"/>
  <c r="F62" i="15"/>
  <c r="Q61" i="15"/>
  <c r="N61" i="15"/>
  <c r="L61" i="15"/>
  <c r="F61" i="15"/>
  <c r="Q60" i="15"/>
  <c r="L60" i="15"/>
  <c r="S60" i="15" s="1"/>
  <c r="F60" i="15"/>
  <c r="Q59" i="15"/>
  <c r="L59" i="15"/>
  <c r="F59" i="15"/>
  <c r="S58" i="15"/>
  <c r="Q58" i="15"/>
  <c r="L58" i="15"/>
  <c r="N58" i="15" s="1"/>
  <c r="F58" i="15"/>
  <c r="S57" i="15"/>
  <c r="Q57" i="15"/>
  <c r="L57" i="15"/>
  <c r="F57" i="15"/>
  <c r="N57" i="15" s="1"/>
  <c r="Q56" i="15"/>
  <c r="S56" i="15" s="1"/>
  <c r="N56" i="15"/>
  <c r="L56" i="15"/>
  <c r="L72" i="15" s="1"/>
  <c r="F56" i="15"/>
  <c r="Q55" i="15"/>
  <c r="N55" i="15"/>
  <c r="L55" i="15"/>
  <c r="F55" i="15"/>
  <c r="Q53" i="15"/>
  <c r="S53" i="15" s="1"/>
  <c r="L53" i="15"/>
  <c r="N53" i="15" s="1"/>
  <c r="F53" i="15"/>
  <c r="D53" i="15"/>
  <c r="Q52" i="15"/>
  <c r="S52" i="15" s="1"/>
  <c r="N52" i="15"/>
  <c r="L52" i="15"/>
  <c r="F52" i="15"/>
  <c r="Q51" i="15"/>
  <c r="S51" i="15" s="1"/>
  <c r="N51" i="15"/>
  <c r="L51" i="15"/>
  <c r="F51" i="15"/>
  <c r="Q50" i="15"/>
  <c r="L50" i="15"/>
  <c r="S50" i="15" s="1"/>
  <c r="F50" i="15"/>
  <c r="Q49" i="15"/>
  <c r="L49" i="15"/>
  <c r="S49" i="15" s="1"/>
  <c r="F49" i="15"/>
  <c r="Q48" i="15"/>
  <c r="L48" i="15"/>
  <c r="S48" i="15" s="1"/>
  <c r="F48" i="15"/>
  <c r="Q47" i="15"/>
  <c r="S47" i="15" s="1"/>
  <c r="L47" i="15"/>
  <c r="F47" i="15"/>
  <c r="N47" i="15" s="1"/>
  <c r="Q46" i="15"/>
  <c r="S46" i="15" s="1"/>
  <c r="L46" i="15"/>
  <c r="N46" i="15" s="1"/>
  <c r="F46" i="15"/>
  <c r="Q45" i="15"/>
  <c r="Q54" i="15" s="1"/>
  <c r="N45" i="15"/>
  <c r="L45" i="15"/>
  <c r="F45" i="15"/>
  <c r="Q44" i="15"/>
  <c r="L44" i="15"/>
  <c r="S44" i="15" s="1"/>
  <c r="F44" i="15"/>
  <c r="Q43" i="15"/>
  <c r="L43" i="15"/>
  <c r="F43" i="15"/>
  <c r="S42" i="15"/>
  <c r="Q42" i="15"/>
  <c r="L42" i="15"/>
  <c r="N42" i="15" s="1"/>
  <c r="F42" i="15"/>
  <c r="Q40" i="15"/>
  <c r="P40" i="15"/>
  <c r="L40" i="15"/>
  <c r="S40" i="15" s="1"/>
  <c r="F40" i="15"/>
  <c r="U39" i="15"/>
  <c r="Q39" i="15"/>
  <c r="S39" i="15" s="1"/>
  <c r="P39" i="15"/>
  <c r="L39" i="15"/>
  <c r="F39" i="15"/>
  <c r="N39" i="15" s="1"/>
  <c r="Q38" i="15"/>
  <c r="L38" i="15"/>
  <c r="K38" i="15" s="1"/>
  <c r="F38" i="15"/>
  <c r="Q37" i="15"/>
  <c r="N37" i="15"/>
  <c r="L37" i="15"/>
  <c r="S37" i="15" s="1"/>
  <c r="F37" i="15"/>
  <c r="Q36" i="15"/>
  <c r="L36" i="15"/>
  <c r="F36" i="15"/>
  <c r="N36" i="15" s="1"/>
  <c r="Q35" i="15"/>
  <c r="P35" i="15" s="1"/>
  <c r="L35" i="15"/>
  <c r="F35" i="15"/>
  <c r="Q34" i="15"/>
  <c r="N34" i="15"/>
  <c r="L34" i="15"/>
  <c r="S34" i="15" s="1"/>
  <c r="F34" i="15"/>
  <c r="S33" i="15"/>
  <c r="Q33" i="15"/>
  <c r="L33" i="15"/>
  <c r="F33" i="15"/>
  <c r="N33" i="15" s="1"/>
  <c r="Q32" i="15"/>
  <c r="L32" i="15"/>
  <c r="K32" i="15" s="1"/>
  <c r="F32" i="15"/>
  <c r="Q31" i="15"/>
  <c r="L31" i="15"/>
  <c r="K31" i="15"/>
  <c r="F31" i="15"/>
  <c r="U27" i="15"/>
  <c r="V24" i="15"/>
  <c r="L24" i="15"/>
  <c r="J24" i="15"/>
  <c r="F24" i="15"/>
  <c r="Q23" i="15"/>
  <c r="N23" i="15"/>
  <c r="L23" i="15"/>
  <c r="S23" i="15" s="1"/>
  <c r="F23" i="15"/>
  <c r="E23" i="15"/>
  <c r="D23" i="15"/>
  <c r="S22" i="15"/>
  <c r="Q22" i="15"/>
  <c r="N22" i="15"/>
  <c r="L22" i="15"/>
  <c r="F22" i="15"/>
  <c r="E22" i="15"/>
  <c r="D22" i="15"/>
  <c r="Q21" i="15"/>
  <c r="Q24" i="15" s="1"/>
  <c r="S24" i="15" s="1"/>
  <c r="L21" i="15"/>
  <c r="F21" i="15"/>
  <c r="N21" i="15" s="1"/>
  <c r="E21" i="15"/>
  <c r="D21" i="15"/>
  <c r="R17" i="15"/>
  <c r="Q17" i="15"/>
  <c r="O17" i="15"/>
  <c r="P17" i="15" s="1"/>
  <c r="L17" i="15"/>
  <c r="N17" i="15" s="1"/>
  <c r="J17" i="15"/>
  <c r="M17" i="15" s="1"/>
  <c r="F17" i="15"/>
  <c r="E17" i="15"/>
  <c r="D17" i="15"/>
  <c r="R15" i="15"/>
  <c r="Q15" i="15"/>
  <c r="S15" i="15" s="1"/>
  <c r="P15" i="15"/>
  <c r="O15" i="15"/>
  <c r="L15" i="15"/>
  <c r="N15" i="15" s="1"/>
  <c r="K15" i="15"/>
  <c r="J15" i="15"/>
  <c r="F15" i="15"/>
  <c r="D15" i="15"/>
  <c r="N14" i="15"/>
  <c r="L13" i="15"/>
  <c r="J13" i="15"/>
  <c r="R12" i="15"/>
  <c r="Q12" i="15"/>
  <c r="P12" i="15"/>
  <c r="O12" i="15"/>
  <c r="M12" i="15"/>
  <c r="L12" i="15"/>
  <c r="S12" i="15" s="1"/>
  <c r="K12" i="15"/>
  <c r="J12" i="15"/>
  <c r="F12" i="15"/>
  <c r="D12" i="15"/>
  <c r="E12" i="15" s="1"/>
  <c r="Q11" i="15"/>
  <c r="O11" i="15"/>
  <c r="M11" i="15"/>
  <c r="L11" i="15"/>
  <c r="S11" i="15" s="1"/>
  <c r="K11" i="15"/>
  <c r="J11" i="15"/>
  <c r="F11" i="15"/>
  <c r="D11" i="15"/>
  <c r="E11" i="15" s="1"/>
  <c r="S10" i="15"/>
  <c r="Q10" i="15"/>
  <c r="O10" i="15"/>
  <c r="P10" i="15" s="1"/>
  <c r="N10" i="15"/>
  <c r="M10" i="15"/>
  <c r="L10" i="15"/>
  <c r="J10" i="15"/>
  <c r="K10" i="15" s="1"/>
  <c r="F10" i="15"/>
  <c r="E10" i="15"/>
  <c r="D10" i="15"/>
  <c r="Q9" i="15"/>
  <c r="S9" i="15" s="1"/>
  <c r="O9" i="15"/>
  <c r="P9" i="15" s="1"/>
  <c r="N9" i="15"/>
  <c r="L9" i="15"/>
  <c r="J9" i="15"/>
  <c r="M9" i="15" s="1"/>
  <c r="F9" i="15"/>
  <c r="E9" i="15"/>
  <c r="D9" i="15"/>
  <c r="W8" i="15"/>
  <c r="R8" i="15"/>
  <c r="Q8" i="15"/>
  <c r="S8" i="15" s="1"/>
  <c r="P8" i="15"/>
  <c r="O8" i="15"/>
  <c r="L8" i="15"/>
  <c r="N8" i="15" s="1"/>
  <c r="K8" i="15"/>
  <c r="J8" i="15"/>
  <c r="F8" i="15"/>
  <c r="D8" i="15"/>
  <c r="E8" i="15" s="1"/>
  <c r="R7" i="15"/>
  <c r="Q7" i="15"/>
  <c r="P7" i="15" s="1"/>
  <c r="O7" i="15"/>
  <c r="L7" i="15"/>
  <c r="N7" i="15" s="1"/>
  <c r="J7" i="15"/>
  <c r="K7" i="15" s="1"/>
  <c r="F7" i="15"/>
  <c r="D7" i="15"/>
  <c r="M7" i="15" s="1"/>
  <c r="S6" i="15"/>
  <c r="R6" i="15"/>
  <c r="Q6" i="15"/>
  <c r="O6" i="15"/>
  <c r="P6" i="15" s="1"/>
  <c r="L6" i="15"/>
  <c r="N6" i="15" s="1"/>
  <c r="J6" i="15"/>
  <c r="F6" i="15"/>
  <c r="F13" i="15" s="1"/>
  <c r="D6" i="15"/>
  <c r="Q5" i="15"/>
  <c r="L5" i="15"/>
  <c r="F5" i="15"/>
  <c r="S1" i="15"/>
  <c r="S89" i="15" s="1"/>
  <c r="C1" i="15"/>
  <c r="C242" i="15" s="1"/>
  <c r="AI544" i="6" l="1"/>
  <c r="E7" i="6"/>
  <c r="D113" i="6"/>
  <c r="E17" i="6"/>
  <c r="E10" i="6"/>
  <c r="O31" i="6"/>
  <c r="Q156" i="6"/>
  <c r="O114" i="6"/>
  <c r="F13" i="6"/>
  <c r="E15" i="6"/>
  <c r="Q24" i="6"/>
  <c r="Q164" i="6"/>
  <c r="F406" i="6"/>
  <c r="P10" i="6"/>
  <c r="P17" i="6"/>
  <c r="F253" i="6"/>
  <c r="P257" i="6"/>
  <c r="D97" i="6"/>
  <c r="E114" i="6" s="1"/>
  <c r="F106" i="6"/>
  <c r="D114" i="6" s="1"/>
  <c r="Q154" i="6"/>
  <c r="Q284" i="6"/>
  <c r="Q342" i="6"/>
  <c r="Q363" i="6" s="1"/>
  <c r="Z505" i="6"/>
  <c r="Z559" i="6"/>
  <c r="C367" i="6"/>
  <c r="C432" i="6" s="1"/>
  <c r="V489" i="6"/>
  <c r="C89" i="6"/>
  <c r="Z567" i="6" s="1"/>
  <c r="V572" i="6"/>
  <c r="C310" i="6"/>
  <c r="C242" i="6"/>
  <c r="C169" i="6"/>
  <c r="F41" i="6"/>
  <c r="F164" i="6"/>
  <c r="F227" i="6"/>
  <c r="F250" i="6"/>
  <c r="AO572" i="6"/>
  <c r="AO489" i="6"/>
  <c r="S432" i="6"/>
  <c r="S310" i="6"/>
  <c r="S242" i="6"/>
  <c r="S169" i="6"/>
  <c r="S367" i="6"/>
  <c r="F136" i="6"/>
  <c r="O385" i="6"/>
  <c r="AO562" i="6"/>
  <c r="AL568" i="6"/>
  <c r="Q106" i="6"/>
  <c r="O97" i="6"/>
  <c r="P94" i="6"/>
  <c r="E6" i="6"/>
  <c r="Q97" i="6"/>
  <c r="D13" i="6"/>
  <c r="D24" i="6" s="1"/>
  <c r="D31" i="6"/>
  <c r="D32" i="6"/>
  <c r="Q72" i="6"/>
  <c r="O259" i="6"/>
  <c r="E374" i="6"/>
  <c r="F54" i="6"/>
  <c r="F342" i="6"/>
  <c r="F154" i="6"/>
  <c r="F326" i="6"/>
  <c r="F319" i="6"/>
  <c r="D187" i="6"/>
  <c r="F237" i="6"/>
  <c r="N230" i="6"/>
  <c r="AI547" i="6"/>
  <c r="O13" i="6"/>
  <c r="Q253" i="6"/>
  <c r="F123" i="6"/>
  <c r="E194" i="6"/>
  <c r="F316" i="6"/>
  <c r="Q380" i="6"/>
  <c r="P380" i="6" s="1"/>
  <c r="O187" i="6"/>
  <c r="P248" i="6"/>
  <c r="F196" i="6"/>
  <c r="Q326" i="6"/>
  <c r="Q464" i="6"/>
  <c r="E275" i="6"/>
  <c r="F303" i="6"/>
  <c r="E371" i="6"/>
  <c r="D380" i="6"/>
  <c r="E195" i="6"/>
  <c r="Q316" i="6"/>
  <c r="N157" i="6"/>
  <c r="O186" i="6"/>
  <c r="Q196" i="6"/>
  <c r="F284" i="6"/>
  <c r="F361" i="6"/>
  <c r="E361" i="6" s="1"/>
  <c r="D182" i="6"/>
  <c r="E182" i="6" s="1"/>
  <c r="O182" i="6"/>
  <c r="Q227" i="6"/>
  <c r="E326" i="6"/>
  <c r="AI540" i="6"/>
  <c r="E175" i="6"/>
  <c r="Q182" i="6"/>
  <c r="F259" i="6"/>
  <c r="D259" i="6"/>
  <c r="P259" i="6"/>
  <c r="P268" i="6" s="1"/>
  <c r="F263" i="6"/>
  <c r="F482" i="6"/>
  <c r="E482" i="6" s="1"/>
  <c r="F380" i="6"/>
  <c r="F385" i="6" s="1"/>
  <c r="F390" i="6" s="1"/>
  <c r="F425" i="6"/>
  <c r="E425" i="6" s="1"/>
  <c r="P448" i="6"/>
  <c r="Q449" i="6" s="1"/>
  <c r="P439" i="6"/>
  <c r="Q438" i="6"/>
  <c r="Q303" i="6"/>
  <c r="Q425" i="6"/>
  <c r="Q259" i="6"/>
  <c r="AI546" i="6"/>
  <c r="F441" i="6"/>
  <c r="Q482" i="6"/>
  <c r="P482" i="6" s="1"/>
  <c r="P372" i="6"/>
  <c r="P376" i="6"/>
  <c r="AK502" i="6"/>
  <c r="AI507" i="6"/>
  <c r="Q441" i="6"/>
  <c r="AI543" i="6"/>
  <c r="AL553" i="6"/>
  <c r="F464" i="6"/>
  <c r="F438" i="6"/>
  <c r="S41" i="5"/>
  <c r="N41" i="5"/>
  <c r="L74" i="5"/>
  <c r="R7" i="5"/>
  <c r="K7" i="5"/>
  <c r="Q74" i="5"/>
  <c r="S98" i="5"/>
  <c r="O113" i="5"/>
  <c r="Q109" i="5"/>
  <c r="S114" i="5"/>
  <c r="N114" i="5"/>
  <c r="J114" i="5"/>
  <c r="E120" i="5"/>
  <c r="E136" i="5"/>
  <c r="S164" i="5"/>
  <c r="M177" i="5"/>
  <c r="Q342" i="5"/>
  <c r="Q363" i="5" s="1"/>
  <c r="S334" i="5"/>
  <c r="N334" i="5"/>
  <c r="K448" i="5"/>
  <c r="M437" i="5"/>
  <c r="K439" i="5"/>
  <c r="L229" i="5"/>
  <c r="N196" i="5"/>
  <c r="L54" i="5"/>
  <c r="S43" i="5"/>
  <c r="J13" i="5"/>
  <c r="R6" i="5"/>
  <c r="M6" i="5"/>
  <c r="M13" i="5" s="1"/>
  <c r="S44" i="5"/>
  <c r="S54" i="5" s="1"/>
  <c r="N44" i="5"/>
  <c r="S78" i="5"/>
  <c r="E115" i="5"/>
  <c r="L136" i="5"/>
  <c r="N148" i="5"/>
  <c r="F156" i="5"/>
  <c r="E156" i="5" s="1"/>
  <c r="O186" i="5"/>
  <c r="Q196" i="5"/>
  <c r="S188" i="5"/>
  <c r="N215" i="5"/>
  <c r="J259" i="5"/>
  <c r="R246" i="5"/>
  <c r="S397" i="5"/>
  <c r="N397" i="5"/>
  <c r="S425" i="5"/>
  <c r="N15" i="5"/>
  <c r="S158" i="5"/>
  <c r="N223" i="5"/>
  <c r="E251" i="5"/>
  <c r="M249" i="5"/>
  <c r="E259" i="5"/>
  <c r="E268" i="5" s="1"/>
  <c r="S342" i="5"/>
  <c r="N342" i="5"/>
  <c r="L363" i="5"/>
  <c r="S40" i="5"/>
  <c r="N40" i="5"/>
  <c r="K40" i="5"/>
  <c r="N59" i="5"/>
  <c r="E78" i="5"/>
  <c r="S207" i="5"/>
  <c r="N207" i="5"/>
  <c r="F259" i="5"/>
  <c r="F247" i="5"/>
  <c r="F24" i="5"/>
  <c r="D32" i="5" s="1"/>
  <c r="N21" i="5"/>
  <c r="M96" i="5"/>
  <c r="K96" i="5"/>
  <c r="K6" i="5"/>
  <c r="O13" i="5"/>
  <c r="O32" i="5"/>
  <c r="E37" i="5"/>
  <c r="S60" i="5"/>
  <c r="N60" i="5"/>
  <c r="S70" i="5"/>
  <c r="N70" i="5"/>
  <c r="N78" i="5"/>
  <c r="D113" i="5"/>
  <c r="E118" i="5"/>
  <c r="S127" i="5"/>
  <c r="S186" i="5"/>
  <c r="S194" i="5"/>
  <c r="N201" i="5"/>
  <c r="N255" i="5"/>
  <c r="F256" i="5"/>
  <c r="N258" i="5"/>
  <c r="N301" i="5"/>
  <c r="S22" i="5"/>
  <c r="N22" i="5"/>
  <c r="F166" i="5"/>
  <c r="E227" i="5"/>
  <c r="S38" i="5"/>
  <c r="S233" i="5"/>
  <c r="N233" i="5"/>
  <c r="R179" i="5"/>
  <c r="R180" i="5" s="1"/>
  <c r="M95" i="5"/>
  <c r="D97" i="5"/>
  <c r="S115" i="5"/>
  <c r="N115" i="5"/>
  <c r="E121" i="5"/>
  <c r="E154" i="5"/>
  <c r="S145" i="5"/>
  <c r="N212" i="5"/>
  <c r="S212" i="5"/>
  <c r="P384" i="5"/>
  <c r="S384" i="5"/>
  <c r="P97" i="5"/>
  <c r="V101" i="5"/>
  <c r="S101" i="5"/>
  <c r="N101" i="5"/>
  <c r="O106" i="5"/>
  <c r="P106" i="5" s="1"/>
  <c r="S118" i="5"/>
  <c r="N118" i="5"/>
  <c r="N124" i="5"/>
  <c r="Q237" i="5"/>
  <c r="R94" i="5"/>
  <c r="R97" i="5" s="1"/>
  <c r="R98" i="5" s="1"/>
  <c r="J97" i="5"/>
  <c r="K94" i="5"/>
  <c r="S77" i="5"/>
  <c r="N77" i="5"/>
  <c r="S8" i="5"/>
  <c r="N14" i="5"/>
  <c r="M7" i="5"/>
  <c r="N10" i="5"/>
  <c r="P11" i="5"/>
  <c r="S15" i="5"/>
  <c r="S277" i="5"/>
  <c r="L284" i="5"/>
  <c r="N277" i="5"/>
  <c r="L13" i="5"/>
  <c r="S35" i="5"/>
  <c r="S121" i="5"/>
  <c r="N121" i="5"/>
  <c r="O182" i="5"/>
  <c r="N265" i="5"/>
  <c r="F266" i="5"/>
  <c r="S292" i="5"/>
  <c r="N292" i="5"/>
  <c r="Q326" i="5"/>
  <c r="S319" i="5"/>
  <c r="Q319" i="5"/>
  <c r="S318" i="5"/>
  <c r="S376" i="5"/>
  <c r="N376" i="5"/>
  <c r="N129" i="5"/>
  <c r="N138" i="5"/>
  <c r="S153" i="5"/>
  <c r="F209" i="5"/>
  <c r="E209" i="5" s="1"/>
  <c r="N197" i="5"/>
  <c r="L106" i="5"/>
  <c r="S103" i="5"/>
  <c r="N103" i="5"/>
  <c r="P105" i="5"/>
  <c r="O114" i="5"/>
  <c r="E123" i="5"/>
  <c r="N6" i="5"/>
  <c r="N13" i="5" s="1"/>
  <c r="N48" i="5"/>
  <c r="Q83" i="5"/>
  <c r="E24" i="5"/>
  <c r="E38" i="5"/>
  <c r="E35" i="5"/>
  <c r="E32" i="5"/>
  <c r="F74" i="5"/>
  <c r="N33" i="5"/>
  <c r="E33" i="5"/>
  <c r="S57" i="5"/>
  <c r="E82" i="5"/>
  <c r="D82" i="5" s="1"/>
  <c r="Q13" i="5"/>
  <c r="E15" i="5"/>
  <c r="N35" i="5"/>
  <c r="L83" i="5"/>
  <c r="S76" i="5"/>
  <c r="P104" i="5"/>
  <c r="E119" i="5"/>
  <c r="S134" i="5"/>
  <c r="Q154" i="5"/>
  <c r="P175" i="5"/>
  <c r="S178" i="5"/>
  <c r="S192" i="5"/>
  <c r="L209" i="5"/>
  <c r="S226" i="5"/>
  <c r="N226" i="5"/>
  <c r="F250" i="5"/>
  <c r="O109" i="5"/>
  <c r="P103" i="5"/>
  <c r="M9" i="5"/>
  <c r="K9" i="5"/>
  <c r="AO572" i="5"/>
  <c r="S432" i="5"/>
  <c r="S310" i="5"/>
  <c r="AO489" i="5"/>
  <c r="S367" i="5"/>
  <c r="S242" i="5"/>
  <c r="S89" i="5"/>
  <c r="R9" i="5"/>
  <c r="L24" i="5"/>
  <c r="S72" i="5"/>
  <c r="S82" i="5"/>
  <c r="N95" i="5"/>
  <c r="K95" i="5"/>
  <c r="N99" i="5"/>
  <c r="Q123" i="5"/>
  <c r="S125" i="5"/>
  <c r="N125" i="5"/>
  <c r="S176" i="5"/>
  <c r="N190" i="5"/>
  <c r="S190" i="5"/>
  <c r="F229" i="5"/>
  <c r="E229" i="5" s="1"/>
  <c r="E196" i="5"/>
  <c r="Q284" i="5"/>
  <c r="S286" i="5"/>
  <c r="N286" i="5"/>
  <c r="S105" i="5"/>
  <c r="N204" i="5"/>
  <c r="L227" i="5"/>
  <c r="S237" i="5"/>
  <c r="K259" i="5"/>
  <c r="Q484" i="5"/>
  <c r="P484" i="5" s="1"/>
  <c r="P464" i="5"/>
  <c r="AI553" i="5"/>
  <c r="S10" i="5"/>
  <c r="Z551" i="5"/>
  <c r="AI551" i="5" s="1"/>
  <c r="Z534" i="5"/>
  <c r="AI534" i="5" s="1"/>
  <c r="Z522" i="5"/>
  <c r="AI522" i="5" s="1"/>
  <c r="Z519" i="5"/>
  <c r="AI519" i="5" s="1"/>
  <c r="Z505" i="5"/>
  <c r="Z504" i="5"/>
  <c r="Z503" i="5"/>
  <c r="Z502" i="5"/>
  <c r="Z501" i="5"/>
  <c r="Z500" i="5"/>
  <c r="Z499" i="5"/>
  <c r="Z498" i="5"/>
  <c r="Z497" i="5"/>
  <c r="Z496" i="5"/>
  <c r="V572" i="5"/>
  <c r="Z509" i="5"/>
  <c r="AI509" i="5" s="1"/>
  <c r="Z537" i="5"/>
  <c r="AI537" i="5" s="1"/>
  <c r="Z532" i="5"/>
  <c r="AI532" i="5" s="1"/>
  <c r="AF525" i="5"/>
  <c r="Z517" i="5"/>
  <c r="Z514" i="5"/>
  <c r="AI514" i="5" s="1"/>
  <c r="Z559" i="5"/>
  <c r="Z535" i="5"/>
  <c r="Z530" i="5"/>
  <c r="AI530" i="5" s="1"/>
  <c r="Z512" i="5"/>
  <c r="AI512" i="5" s="1"/>
  <c r="V489" i="5"/>
  <c r="AF557" i="5"/>
  <c r="Z552" i="5"/>
  <c r="AI552" i="5" s="1"/>
  <c r="Z523" i="5"/>
  <c r="AI523" i="5" s="1"/>
  <c r="Z557" i="5"/>
  <c r="AI557" i="5" s="1"/>
  <c r="AF538" i="5"/>
  <c r="Z528" i="5"/>
  <c r="AI528" i="5" s="1"/>
  <c r="Z515" i="5"/>
  <c r="Z510" i="5"/>
  <c r="AI510" i="5" s="1"/>
  <c r="Z582" i="5"/>
  <c r="AI582" i="5" s="1"/>
  <c r="Z565" i="5"/>
  <c r="Z524" i="5"/>
  <c r="AI524" i="5" s="1"/>
  <c r="Z516" i="5"/>
  <c r="AF531" i="5"/>
  <c r="Z508" i="5"/>
  <c r="AI508" i="5" s="1"/>
  <c r="Z567" i="5"/>
  <c r="Z531" i="5"/>
  <c r="AI531" i="5" s="1"/>
  <c r="C310" i="5"/>
  <c r="Z511" i="5"/>
  <c r="AI511" i="5" s="1"/>
  <c r="Z560" i="5"/>
  <c r="Z550" i="5"/>
  <c r="AI550" i="5" s="1"/>
  <c r="AF582" i="5"/>
  <c r="Z566" i="5"/>
  <c r="Z533" i="5"/>
  <c r="AI533" i="5" s="1"/>
  <c r="Z529" i="5"/>
  <c r="AI529" i="5" s="1"/>
  <c r="AF522" i="5"/>
  <c r="Z518" i="5"/>
  <c r="AI518" i="5" s="1"/>
  <c r="K8" i="5"/>
  <c r="S11" i="5"/>
  <c r="R12" i="5"/>
  <c r="AL538" i="5" s="1"/>
  <c r="AO538" i="5" s="1"/>
  <c r="K15" i="5"/>
  <c r="N23" i="5"/>
  <c r="S31" i="5"/>
  <c r="J113" i="5"/>
  <c r="N163" i="5"/>
  <c r="D187" i="5"/>
  <c r="N199" i="5"/>
  <c r="N210" i="5"/>
  <c r="S216" i="5"/>
  <c r="N216" i="5"/>
  <c r="L259" i="5"/>
  <c r="N246" i="5"/>
  <c r="S246" i="5"/>
  <c r="K251" i="5"/>
  <c r="F363" i="5"/>
  <c r="E363" i="5" s="1"/>
  <c r="E342" i="5"/>
  <c r="N349" i="5"/>
  <c r="S453" i="5"/>
  <c r="S464" i="5"/>
  <c r="AH546" i="5"/>
  <c r="AN546" i="5"/>
  <c r="AO546" i="5" s="1"/>
  <c r="S231" i="5"/>
  <c r="N231" i="5"/>
  <c r="L237" i="5"/>
  <c r="P439" i="5"/>
  <c r="P448" i="5"/>
  <c r="Q438" i="5"/>
  <c r="M8" i="5"/>
  <c r="M15" i="5"/>
  <c r="D31" i="5"/>
  <c r="C89" i="5"/>
  <c r="AF514" i="5" s="1"/>
  <c r="N94" i="5"/>
  <c r="L123" i="5"/>
  <c r="S163" i="5"/>
  <c r="F179" i="5"/>
  <c r="N179" i="5" s="1"/>
  <c r="D179" i="5"/>
  <c r="D182" i="5" s="1"/>
  <c r="E182" i="5" s="1"/>
  <c r="D186" i="5"/>
  <c r="J187" i="5"/>
  <c r="E193" i="5"/>
  <c r="E195" i="5"/>
  <c r="S199" i="5"/>
  <c r="S210" i="5"/>
  <c r="N234" i="5"/>
  <c r="F253" i="5"/>
  <c r="S278" i="5"/>
  <c r="N278" i="5"/>
  <c r="S287" i="5"/>
  <c r="N287" i="5"/>
  <c r="N299" i="5"/>
  <c r="N339" i="5"/>
  <c r="L406" i="5"/>
  <c r="F427" i="5"/>
  <c r="AH535" i="5"/>
  <c r="AN535" i="5"/>
  <c r="AO535" i="5" s="1"/>
  <c r="K10" i="5"/>
  <c r="E31" i="5"/>
  <c r="N65" i="5"/>
  <c r="N79" i="5"/>
  <c r="N113" i="5"/>
  <c r="N117" i="5"/>
  <c r="N120" i="5"/>
  <c r="S205" i="5"/>
  <c r="N205" i="5"/>
  <c r="S213" i="5"/>
  <c r="S224" i="5"/>
  <c r="S247" i="5"/>
  <c r="Q259" i="5"/>
  <c r="R259" i="5"/>
  <c r="S296" i="5"/>
  <c r="L326" i="5"/>
  <c r="P361" i="5"/>
  <c r="S360" i="5"/>
  <c r="F390" i="5"/>
  <c r="E406" i="5" s="1"/>
  <c r="N388" i="5"/>
  <c r="N42" i="5"/>
  <c r="N54" i="5" s="1"/>
  <c r="N75" i="5"/>
  <c r="N83" i="5" s="1"/>
  <c r="F164" i="5"/>
  <c r="N157" i="5"/>
  <c r="N164" i="5" s="1"/>
  <c r="R175" i="5"/>
  <c r="R176" i="5" s="1"/>
  <c r="M175" i="5"/>
  <c r="K179" i="5"/>
  <c r="Q209" i="5"/>
  <c r="P209" i="5" s="1"/>
  <c r="S197" i="5"/>
  <c r="N222" i="5"/>
  <c r="P259" i="5"/>
  <c r="P268" i="5" s="1"/>
  <c r="Q266" i="5"/>
  <c r="S265" i="5"/>
  <c r="S272" i="5"/>
  <c r="F316" i="5"/>
  <c r="E326" i="5"/>
  <c r="M318" i="5"/>
  <c r="N336" i="5"/>
  <c r="S336" i="5"/>
  <c r="S343" i="5"/>
  <c r="N360" i="5"/>
  <c r="O380" i="5"/>
  <c r="R371" i="5"/>
  <c r="J385" i="5"/>
  <c r="S413" i="5"/>
  <c r="Q449" i="5"/>
  <c r="Q486" i="5"/>
  <c r="Z525" i="5"/>
  <c r="AI525" i="5" s="1"/>
  <c r="Z538" i="5"/>
  <c r="AI538" i="5" s="1"/>
  <c r="N63" i="5"/>
  <c r="L97" i="5"/>
  <c r="N128" i="5"/>
  <c r="L154" i="5"/>
  <c r="K175" i="5"/>
  <c r="S179" i="5"/>
  <c r="S180" i="5" s="1"/>
  <c r="J182" i="5"/>
  <c r="J186" i="5"/>
  <c r="O187" i="5"/>
  <c r="S214" i="5"/>
  <c r="N214" i="5"/>
  <c r="S235" i="5"/>
  <c r="N235" i="5"/>
  <c r="C242" i="5"/>
  <c r="L247" i="5"/>
  <c r="F326" i="5"/>
  <c r="F319" i="5"/>
  <c r="S416" i="5"/>
  <c r="N416" i="5"/>
  <c r="K445" i="5"/>
  <c r="M443" i="5"/>
  <c r="N262" i="5"/>
  <c r="S75" i="5"/>
  <c r="N147" i="5"/>
  <c r="L182" i="5"/>
  <c r="S193" i="5"/>
  <c r="S206" i="5"/>
  <c r="Q247" i="5"/>
  <c r="S262" i="5"/>
  <c r="S263" i="5" s="1"/>
  <c r="S322" i="5"/>
  <c r="Q322" i="5"/>
  <c r="E361" i="5"/>
  <c r="Q380" i="5"/>
  <c r="S371" i="5"/>
  <c r="S443" i="5"/>
  <c r="N443" i="5"/>
  <c r="L444" i="5"/>
  <c r="L482" i="5"/>
  <c r="K482" i="5" s="1"/>
  <c r="Z513" i="5"/>
  <c r="AI513" i="5" s="1"/>
  <c r="Z526" i="5"/>
  <c r="AI526" i="5" s="1"/>
  <c r="Z539" i="5"/>
  <c r="AH542" i="5"/>
  <c r="AN542" i="5"/>
  <c r="AO547" i="5"/>
  <c r="AO578" i="5"/>
  <c r="Z584" i="5"/>
  <c r="AI584" i="5" s="1"/>
  <c r="F305" i="5"/>
  <c r="K12" i="5"/>
  <c r="S6" i="5"/>
  <c r="S13" i="5" s="1"/>
  <c r="N175" i="5"/>
  <c r="S191" i="5"/>
  <c r="N206" i="5"/>
  <c r="L253" i="5"/>
  <c r="N253" i="5" s="1"/>
  <c r="S252" i="5"/>
  <c r="S253" i="5" s="1"/>
  <c r="N318" i="5"/>
  <c r="N319" i="5" s="1"/>
  <c r="M372" i="5"/>
  <c r="E372" i="5"/>
  <c r="S423" i="5"/>
  <c r="N423" i="5"/>
  <c r="F441" i="5"/>
  <c r="N440" i="5"/>
  <c r="N441" i="5" s="1"/>
  <c r="Q263" i="5"/>
  <c r="L303" i="5"/>
  <c r="S316" i="5"/>
  <c r="K375" i="5"/>
  <c r="S375" i="5"/>
  <c r="S437" i="5"/>
  <c r="N437" i="5"/>
  <c r="N438" i="5" s="1"/>
  <c r="L438" i="5"/>
  <c r="AO541" i="5"/>
  <c r="AH579" i="5"/>
  <c r="L319" i="5"/>
  <c r="N344" i="5"/>
  <c r="N350" i="5"/>
  <c r="R376" i="5"/>
  <c r="P376" i="5"/>
  <c r="L380" i="5"/>
  <c r="N402" i="5"/>
  <c r="L448" i="5"/>
  <c r="S482" i="5"/>
  <c r="N400" i="5"/>
  <c r="S417" i="5"/>
  <c r="N417" i="5"/>
  <c r="N337" i="5"/>
  <c r="N345" i="5"/>
  <c r="N353" i="5"/>
  <c r="D380" i="5"/>
  <c r="M371" i="5"/>
  <c r="P375" i="5"/>
  <c r="E384" i="5"/>
  <c r="S403" i="5"/>
  <c r="N403" i="5"/>
  <c r="N411" i="5"/>
  <c r="AI507" i="5"/>
  <c r="AH507" i="5"/>
  <c r="Z520" i="5"/>
  <c r="AO542" i="5"/>
  <c r="AO544" i="5"/>
  <c r="AN556" i="5"/>
  <c r="AO556" i="5" s="1"/>
  <c r="M373" i="5"/>
  <c r="F484" i="5"/>
  <c r="AN526" i="5"/>
  <c r="AO526" i="5" s="1"/>
  <c r="AI545" i="5"/>
  <c r="AH545" i="5"/>
  <c r="AL553" i="5"/>
  <c r="M246" i="5"/>
  <c r="K248" i="5"/>
  <c r="N276" i="5"/>
  <c r="N285" i="5"/>
  <c r="N302" i="5"/>
  <c r="N332" i="5"/>
  <c r="N348" i="5"/>
  <c r="N351" i="5"/>
  <c r="N356" i="5"/>
  <c r="P374" i="5"/>
  <c r="N379" i="5"/>
  <c r="Q441" i="5"/>
  <c r="S440" i="5"/>
  <c r="K464" i="5"/>
  <c r="L484" i="5"/>
  <c r="AN507" i="5"/>
  <c r="AO507" i="5" s="1"/>
  <c r="AO533" i="5"/>
  <c r="AN547" i="5"/>
  <c r="L361" i="5"/>
  <c r="S395" i="5"/>
  <c r="N395" i="5"/>
  <c r="S412" i="5"/>
  <c r="N412" i="5"/>
  <c r="S421" i="5"/>
  <c r="N421" i="5"/>
  <c r="AI578" i="5"/>
  <c r="AH578" i="5"/>
  <c r="P326" i="5"/>
  <c r="S330" i="5"/>
  <c r="N335" i="5"/>
  <c r="N343" i="5"/>
  <c r="N361" i="5" s="1"/>
  <c r="N354" i="5"/>
  <c r="N378" i="5"/>
  <c r="M383" i="5"/>
  <c r="K383" i="5"/>
  <c r="AO545" i="5"/>
  <c r="Q425" i="5"/>
  <c r="AK496" i="5"/>
  <c r="AK497" i="5"/>
  <c r="AK498" i="5"/>
  <c r="AK499" i="5"/>
  <c r="AK500" i="5"/>
  <c r="AH533" i="5"/>
  <c r="AH541" i="5"/>
  <c r="S452" i="5"/>
  <c r="O186" i="15"/>
  <c r="P182" i="15"/>
  <c r="E115" i="15"/>
  <c r="D24" i="15"/>
  <c r="E31" i="15" s="1"/>
  <c r="S83" i="15"/>
  <c r="K154" i="15"/>
  <c r="O187" i="15"/>
  <c r="E160" i="15"/>
  <c r="D160" i="15" s="1"/>
  <c r="S99" i="15"/>
  <c r="N99" i="15"/>
  <c r="L109" i="15"/>
  <c r="Q41" i="15"/>
  <c r="F83" i="15"/>
  <c r="N78" i="15"/>
  <c r="S78" i="15"/>
  <c r="Q97" i="15"/>
  <c r="S96" i="15"/>
  <c r="E120" i="15"/>
  <c r="N129" i="15"/>
  <c r="S129" i="15"/>
  <c r="S152" i="15"/>
  <c r="F164" i="15"/>
  <c r="O380" i="15"/>
  <c r="R371" i="15"/>
  <c r="Q72" i="15"/>
  <c r="N331" i="15"/>
  <c r="D31" i="15"/>
  <c r="F27" i="15"/>
  <c r="E40" i="15"/>
  <c r="N43" i="15"/>
  <c r="N54" i="15" s="1"/>
  <c r="S43" i="15"/>
  <c r="N50" i="15"/>
  <c r="S59" i="15"/>
  <c r="N59" i="15"/>
  <c r="N66" i="15"/>
  <c r="L83" i="15"/>
  <c r="E82" i="15"/>
  <c r="D82" i="15" s="1"/>
  <c r="S105" i="15"/>
  <c r="P175" i="15"/>
  <c r="S200" i="15"/>
  <c r="S203" i="15"/>
  <c r="N203" i="15"/>
  <c r="Q227" i="15"/>
  <c r="P371" i="15"/>
  <c r="V13" i="15"/>
  <c r="L27" i="15"/>
  <c r="D32" i="15"/>
  <c r="N24" i="15"/>
  <c r="N25" i="15" s="1"/>
  <c r="F260" i="15"/>
  <c r="F268" i="15"/>
  <c r="E284" i="15" s="1"/>
  <c r="S300" i="15"/>
  <c r="N300" i="15"/>
  <c r="Q209" i="15"/>
  <c r="N211" i="15"/>
  <c r="F227" i="15"/>
  <c r="L303" i="15"/>
  <c r="S285" i="15"/>
  <c r="N96" i="15"/>
  <c r="N164" i="15"/>
  <c r="Q390" i="15"/>
  <c r="S7" i="15"/>
  <c r="L136" i="15"/>
  <c r="S124" i="15"/>
  <c r="F154" i="15"/>
  <c r="N35" i="15"/>
  <c r="S35" i="15"/>
  <c r="L54" i="15"/>
  <c r="K54" i="15" s="1"/>
  <c r="P160" i="15"/>
  <c r="O160" i="15" s="1"/>
  <c r="O109" i="15"/>
  <c r="P103" i="15"/>
  <c r="P104" i="15"/>
  <c r="O114" i="15"/>
  <c r="N124" i="15"/>
  <c r="N140" i="15"/>
  <c r="R179" i="15"/>
  <c r="R180" i="15" s="1"/>
  <c r="M179" i="15"/>
  <c r="K179" i="15"/>
  <c r="N230" i="15"/>
  <c r="N237" i="15" s="1"/>
  <c r="F237" i="15"/>
  <c r="N285" i="15"/>
  <c r="S354" i="15"/>
  <c r="N354" i="15"/>
  <c r="N360" i="15"/>
  <c r="AL553" i="15"/>
  <c r="S189" i="15"/>
  <c r="N189" i="15"/>
  <c r="D13" i="15"/>
  <c r="M6" i="15"/>
  <c r="K39" i="15"/>
  <c r="K36" i="15"/>
  <c r="K33" i="15"/>
  <c r="K37" i="15"/>
  <c r="K34" i="15"/>
  <c r="K24" i="15"/>
  <c r="E6" i="15"/>
  <c r="S175" i="15"/>
  <c r="S176" i="15" s="1"/>
  <c r="K82" i="15"/>
  <c r="J82" i="15" s="1"/>
  <c r="V106" i="15"/>
  <c r="S106" i="15"/>
  <c r="S107" i="15" s="1"/>
  <c r="N38" i="15"/>
  <c r="S38" i="15"/>
  <c r="N76" i="15"/>
  <c r="S76" i="15"/>
  <c r="P97" i="15"/>
  <c r="N106" i="15"/>
  <c r="N107" i="15" s="1"/>
  <c r="Q123" i="15"/>
  <c r="Q136" i="15"/>
  <c r="Q154" i="15"/>
  <c r="N281" i="15"/>
  <c r="Q303" i="15"/>
  <c r="S316" i="15"/>
  <c r="Q316" i="15"/>
  <c r="Q326" i="15"/>
  <c r="S315" i="15"/>
  <c r="P361" i="15"/>
  <c r="S402" i="15"/>
  <c r="N402" i="15"/>
  <c r="AO543" i="15"/>
  <c r="AN543" i="15"/>
  <c r="N145" i="15"/>
  <c r="J32" i="15"/>
  <c r="S32" i="15"/>
  <c r="N94" i="15"/>
  <c r="N408" i="15"/>
  <c r="S408" i="15"/>
  <c r="Q13" i="15"/>
  <c r="S21" i="15"/>
  <c r="N11" i="15"/>
  <c r="N13" i="15" s="1"/>
  <c r="S13" i="15"/>
  <c r="M8" i="15"/>
  <c r="R11" i="15"/>
  <c r="AL537" i="15" s="1"/>
  <c r="AO537" i="15" s="1"/>
  <c r="P11" i="15"/>
  <c r="F41" i="15"/>
  <c r="S71" i="15"/>
  <c r="F96" i="15"/>
  <c r="F97" i="15" s="1"/>
  <c r="D96" i="15"/>
  <c r="R101" i="15"/>
  <c r="M101" i="15"/>
  <c r="O106" i="15"/>
  <c r="P106" i="15" s="1"/>
  <c r="S150" i="15"/>
  <c r="N150" i="15"/>
  <c r="Q164" i="15"/>
  <c r="S164" i="15" s="1"/>
  <c r="D182" i="15"/>
  <c r="E182" i="15" s="1"/>
  <c r="L196" i="15"/>
  <c r="S186" i="15"/>
  <c r="L41" i="15"/>
  <c r="N31" i="15"/>
  <c r="S31" i="15"/>
  <c r="S36" i="15"/>
  <c r="P260" i="15"/>
  <c r="K260" i="15"/>
  <c r="O32" i="15"/>
  <c r="S25" i="15"/>
  <c r="Q196" i="15"/>
  <c r="S187" i="15"/>
  <c r="K21" i="15"/>
  <c r="J27" i="15"/>
  <c r="K22" i="15"/>
  <c r="K23" i="15"/>
  <c r="S45" i="15"/>
  <c r="S54" i="15" s="1"/>
  <c r="F72" i="15"/>
  <c r="S61" i="15"/>
  <c r="N71" i="15"/>
  <c r="N80" i="15"/>
  <c r="S131" i="15"/>
  <c r="N12" i="15"/>
  <c r="M15" i="15"/>
  <c r="E15" i="15"/>
  <c r="N32" i="15"/>
  <c r="K35" i="15"/>
  <c r="E38" i="15"/>
  <c r="E7" i="15"/>
  <c r="K13" i="15"/>
  <c r="J31" i="15"/>
  <c r="F54" i="15"/>
  <c r="M95" i="15"/>
  <c r="D97" i="15"/>
  <c r="V101" i="15"/>
  <c r="S101" i="15"/>
  <c r="N101" i="15"/>
  <c r="N131" i="15"/>
  <c r="N138" i="15"/>
  <c r="S138" i="15"/>
  <c r="K177" i="15"/>
  <c r="V177" i="15"/>
  <c r="S177" i="15"/>
  <c r="S208" i="15"/>
  <c r="M246" i="15"/>
  <c r="K259" i="15"/>
  <c r="L284" i="15"/>
  <c r="S341" i="15"/>
  <c r="N341" i="15"/>
  <c r="L247" i="15"/>
  <c r="S246" i="15"/>
  <c r="S247" i="15" s="1"/>
  <c r="R384" i="15"/>
  <c r="P384" i="15"/>
  <c r="P406" i="15"/>
  <c r="N399" i="15"/>
  <c r="R9" i="15"/>
  <c r="R13" i="15" s="1"/>
  <c r="R14" i="15" s="1"/>
  <c r="S17" i="15"/>
  <c r="O31" i="15"/>
  <c r="N48" i="15"/>
  <c r="N64" i="15"/>
  <c r="N82" i="15"/>
  <c r="K94" i="15"/>
  <c r="N103" i="15"/>
  <c r="N115" i="15"/>
  <c r="N118" i="15"/>
  <c r="N121" i="15"/>
  <c r="N134" i="15"/>
  <c r="N143" i="15"/>
  <c r="K160" i="15"/>
  <c r="J160" i="15" s="1"/>
  <c r="P177" i="15"/>
  <c r="F196" i="15"/>
  <c r="N198" i="15"/>
  <c r="N214" i="15"/>
  <c r="S217" i="15"/>
  <c r="E254" i="15"/>
  <c r="L259" i="15"/>
  <c r="S276" i="15"/>
  <c r="N295" i="15"/>
  <c r="S396" i="15"/>
  <c r="K6" i="15"/>
  <c r="R10" i="15"/>
  <c r="AL519" i="15" s="1"/>
  <c r="O13" i="15"/>
  <c r="AK501" i="15" s="1"/>
  <c r="V17" i="15"/>
  <c r="J113" i="15"/>
  <c r="F123" i="15"/>
  <c r="S231" i="15"/>
  <c r="N246" i="15"/>
  <c r="R259" i="15"/>
  <c r="N276" i="15"/>
  <c r="L322" i="15"/>
  <c r="S321" i="15"/>
  <c r="N321" i="15"/>
  <c r="N322" i="15" s="1"/>
  <c r="F380" i="15"/>
  <c r="F385" i="15" s="1"/>
  <c r="F390" i="15" s="1"/>
  <c r="E425" i="15" s="1"/>
  <c r="S399" i="15"/>
  <c r="AL568" i="15"/>
  <c r="K40" i="15"/>
  <c r="M94" i="15"/>
  <c r="N153" i="15"/>
  <c r="N160" i="15"/>
  <c r="N179" i="15"/>
  <c r="S206" i="15"/>
  <c r="N231" i="15"/>
  <c r="Q263" i="15"/>
  <c r="S262" i="15"/>
  <c r="S263" i="15" s="1"/>
  <c r="C310" i="15"/>
  <c r="S336" i="15"/>
  <c r="F361" i="15"/>
  <c r="E361" i="15" s="1"/>
  <c r="F406" i="15"/>
  <c r="N394" i="15"/>
  <c r="N443" i="15"/>
  <c r="N444" i="15" s="1"/>
  <c r="L444" i="15"/>
  <c r="S443" i="15"/>
  <c r="AO507" i="15"/>
  <c r="C89" i="15"/>
  <c r="L123" i="15"/>
  <c r="J182" i="15"/>
  <c r="L227" i="15"/>
  <c r="N212" i="15"/>
  <c r="Q237" i="15"/>
  <c r="P259" i="15"/>
  <c r="P268" i="15" s="1"/>
  <c r="N249" i="15"/>
  <c r="S249" i="15"/>
  <c r="S250" i="15" s="1"/>
  <c r="S302" i="15"/>
  <c r="N336" i="15"/>
  <c r="L361" i="15"/>
  <c r="S343" i="15"/>
  <c r="S349" i="15"/>
  <c r="N349" i="15"/>
  <c r="K17" i="15"/>
  <c r="N40" i="15"/>
  <c r="N44" i="15"/>
  <c r="N60" i="15"/>
  <c r="N72" i="15" s="1"/>
  <c r="N70" i="15"/>
  <c r="N77" i="15"/>
  <c r="J97" i="15"/>
  <c r="S103" i="15"/>
  <c r="N117" i="15"/>
  <c r="N151" i="15"/>
  <c r="Q247" i="15"/>
  <c r="Q259" i="15"/>
  <c r="L326" i="15"/>
  <c r="L319" i="15"/>
  <c r="S318" i="15"/>
  <c r="S319" i="15" s="1"/>
  <c r="F342" i="15"/>
  <c r="N361" i="15"/>
  <c r="AO489" i="15"/>
  <c r="S367" i="15"/>
  <c r="S432" i="15"/>
  <c r="AO572" i="15"/>
  <c r="S242" i="15"/>
  <c r="S310" i="15"/>
  <c r="N49" i="15"/>
  <c r="S55" i="15"/>
  <c r="S72" i="15" s="1"/>
  <c r="N65" i="15"/>
  <c r="N79" i="15"/>
  <c r="N135" i="15"/>
  <c r="N144" i="15"/>
  <c r="L182" i="15"/>
  <c r="N175" i="15"/>
  <c r="S193" i="15"/>
  <c r="S212" i="15"/>
  <c r="P251" i="15"/>
  <c r="N274" i="15"/>
  <c r="N290" i="15"/>
  <c r="Q425" i="15"/>
  <c r="P425" i="15" s="1"/>
  <c r="AH580" i="15"/>
  <c r="AH583" i="15"/>
  <c r="AF530" i="15"/>
  <c r="V489" i="15"/>
  <c r="AF557" i="15"/>
  <c r="Z528" i="15"/>
  <c r="AI528" i="15" s="1"/>
  <c r="AF508" i="15"/>
  <c r="AF529" i="15"/>
  <c r="AF497" i="15"/>
  <c r="C367" i="15"/>
  <c r="C432" i="15" s="1"/>
  <c r="C169" i="15"/>
  <c r="AF522" i="15" s="1"/>
  <c r="V572" i="15"/>
  <c r="AF509" i="15"/>
  <c r="K9" i="15"/>
  <c r="N75" i="15"/>
  <c r="N193" i="15"/>
  <c r="S224" i="15"/>
  <c r="D259" i="15"/>
  <c r="Q250" i="15"/>
  <c r="P254" i="15"/>
  <c r="Q253" i="15"/>
  <c r="L256" i="15"/>
  <c r="N255" i="15"/>
  <c r="N318" i="15"/>
  <c r="N319" i="15" s="1"/>
  <c r="Q342" i="15"/>
  <c r="Q363" i="15" s="1"/>
  <c r="P363" i="15" s="1"/>
  <c r="S333" i="15"/>
  <c r="K375" i="15"/>
  <c r="R376" i="15"/>
  <c r="P376" i="15"/>
  <c r="N379" i="15"/>
  <c r="M437" i="15"/>
  <c r="K439" i="15"/>
  <c r="K448" i="15"/>
  <c r="K442" i="15"/>
  <c r="M440" i="15"/>
  <c r="L209" i="15"/>
  <c r="N197" i="15"/>
  <c r="S232" i="15"/>
  <c r="E259" i="15"/>
  <c r="E268" i="15" s="1"/>
  <c r="E275" i="15"/>
  <c r="E248" i="15"/>
  <c r="R249" i="15"/>
  <c r="L266" i="15"/>
  <c r="S265" i="15"/>
  <c r="N265" i="15"/>
  <c r="F303" i="15"/>
  <c r="E303" i="15" s="1"/>
  <c r="S375" i="15"/>
  <c r="N375" i="15"/>
  <c r="L380" i="15"/>
  <c r="S411" i="15"/>
  <c r="N411" i="15"/>
  <c r="N437" i="15"/>
  <c r="L438" i="15"/>
  <c r="S437" i="15"/>
  <c r="S448" i="15" s="1"/>
  <c r="L448" i="15"/>
  <c r="K464" i="15" s="1"/>
  <c r="F316" i="15"/>
  <c r="S355" i="15"/>
  <c r="R375" i="15"/>
  <c r="M383" i="15"/>
  <c r="K383" i="15"/>
  <c r="S394" i="15"/>
  <c r="L406" i="15"/>
  <c r="L441" i="15"/>
  <c r="S440" i="15"/>
  <c r="N440" i="15"/>
  <c r="N208" i="15"/>
  <c r="N217" i="15"/>
  <c r="N236" i="15"/>
  <c r="N272" i="15"/>
  <c r="N279" i="15"/>
  <c r="N288" i="15"/>
  <c r="N293" i="15"/>
  <c r="L316" i="15"/>
  <c r="S374" i="15"/>
  <c r="N374" i="15"/>
  <c r="N383" i="15"/>
  <c r="S388" i="15"/>
  <c r="R388" i="15" s="1"/>
  <c r="N388" i="15"/>
  <c r="S449" i="15"/>
  <c r="Q449" i="15"/>
  <c r="L484" i="15"/>
  <c r="S464" i="15"/>
  <c r="F263" i="15"/>
  <c r="S344" i="15"/>
  <c r="E371" i="15"/>
  <c r="K373" i="15"/>
  <c r="D380" i="15"/>
  <c r="P482" i="15"/>
  <c r="AO578" i="15"/>
  <c r="S272" i="15"/>
  <c r="S415" i="15"/>
  <c r="N332" i="15"/>
  <c r="N350" i="15"/>
  <c r="S395" i="15"/>
  <c r="N395" i="15"/>
  <c r="N415" i="15"/>
  <c r="N418" i="15"/>
  <c r="S421" i="15"/>
  <c r="N421" i="15"/>
  <c r="F464" i="15"/>
  <c r="S482" i="15"/>
  <c r="AN542" i="15"/>
  <c r="AH542" i="15"/>
  <c r="AH547" i="15"/>
  <c r="L342" i="15"/>
  <c r="AN540" i="15"/>
  <c r="AO540" i="15" s="1"/>
  <c r="AO542" i="15"/>
  <c r="M249" i="15"/>
  <c r="N335" i="15"/>
  <c r="P373" i="15"/>
  <c r="L425" i="15"/>
  <c r="Q464" i="15"/>
  <c r="AN535" i="15"/>
  <c r="AO535" i="15" s="1"/>
  <c r="AH540" i="15"/>
  <c r="S353" i="15"/>
  <c r="S410" i="15"/>
  <c r="S425" i="15" s="1"/>
  <c r="S452" i="15"/>
  <c r="AN545" i="15"/>
  <c r="AO545" i="15" s="1"/>
  <c r="AH556" i="15"/>
  <c r="AI556" i="15" s="1"/>
  <c r="AJ567" i="15"/>
  <c r="AO567" i="15"/>
  <c r="J380" i="15"/>
  <c r="S383" i="15"/>
  <c r="P448" i="15"/>
  <c r="AN507" i="15"/>
  <c r="L482" i="15"/>
  <c r="AK500" i="15"/>
  <c r="AH546" i="15"/>
  <c r="AH579" i="15"/>
  <c r="P377" i="15"/>
  <c r="P378" i="15"/>
  <c r="P379" i="15"/>
  <c r="K384" i="15"/>
  <c r="N400" i="15"/>
  <c r="AH541" i="15"/>
  <c r="E24" i="6" l="1"/>
  <c r="E39" i="6"/>
  <c r="E32" i="6"/>
  <c r="E38" i="6"/>
  <c r="E33" i="6"/>
  <c r="E37" i="6"/>
  <c r="E34" i="6"/>
  <c r="E82" i="6"/>
  <c r="D82" i="6" s="1"/>
  <c r="E31" i="6"/>
  <c r="E40" i="6"/>
  <c r="E36" i="6"/>
  <c r="E35" i="6"/>
  <c r="AI505" i="6"/>
  <c r="Y505" i="6"/>
  <c r="O32" i="6"/>
  <c r="Z550" i="6"/>
  <c r="E113" i="6"/>
  <c r="Z566" i="6"/>
  <c r="F268" i="6"/>
  <c r="F260" i="6"/>
  <c r="Q365" i="6"/>
  <c r="P342" i="6"/>
  <c r="Q327" i="6"/>
  <c r="E122" i="6"/>
  <c r="Z537" i="6"/>
  <c r="AI537" i="6" s="1"/>
  <c r="Z518" i="6"/>
  <c r="AI518" i="6" s="1"/>
  <c r="Z496" i="6"/>
  <c r="Z526" i="6"/>
  <c r="AK496" i="6"/>
  <c r="AK498" i="6"/>
  <c r="AK501" i="6"/>
  <c r="P23" i="6"/>
  <c r="P22" i="6"/>
  <c r="P13" i="6"/>
  <c r="AK567" i="6" s="1"/>
  <c r="O27" i="6"/>
  <c r="P21" i="6"/>
  <c r="O106" i="6"/>
  <c r="P106" i="6" s="1"/>
  <c r="O109" i="6"/>
  <c r="P104" i="6"/>
  <c r="P105" i="6"/>
  <c r="P97" i="6"/>
  <c r="P103" i="6"/>
  <c r="Z525" i="6"/>
  <c r="AI525" i="6" s="1"/>
  <c r="E193" i="6"/>
  <c r="E97" i="6"/>
  <c r="D109" i="6"/>
  <c r="E109" i="6" s="1"/>
  <c r="E120" i="6"/>
  <c r="E116" i="6"/>
  <c r="D106" i="6"/>
  <c r="E106" i="6" s="1"/>
  <c r="E115" i="6"/>
  <c r="AK503" i="6"/>
  <c r="AK497" i="6"/>
  <c r="Z563" i="6"/>
  <c r="Z528" i="6"/>
  <c r="AI528" i="6" s="1"/>
  <c r="Z497" i="6"/>
  <c r="Z527" i="6"/>
  <c r="AI527" i="6" s="1"/>
  <c r="Z529" i="6"/>
  <c r="AI529" i="6" s="1"/>
  <c r="Z513" i="6"/>
  <c r="AI513" i="6" s="1"/>
  <c r="Q305" i="6"/>
  <c r="Z534" i="6"/>
  <c r="AI534" i="6" s="1"/>
  <c r="F363" i="6"/>
  <c r="E363" i="6" s="1"/>
  <c r="E342" i="6"/>
  <c r="M14" i="6"/>
  <c r="E13" i="6"/>
  <c r="D27" i="6"/>
  <c r="E160" i="6"/>
  <c r="D160" i="6" s="1"/>
  <c r="Z498" i="6"/>
  <c r="E380" i="6"/>
  <c r="D385" i="6"/>
  <c r="Z533" i="6"/>
  <c r="Z538" i="6"/>
  <c r="AI538" i="6" s="1"/>
  <c r="Z551" i="6"/>
  <c r="AI551" i="6" s="1"/>
  <c r="Z499" i="6"/>
  <c r="Z560" i="6"/>
  <c r="Z552" i="6"/>
  <c r="AI552" i="6" s="1"/>
  <c r="P160" i="6"/>
  <c r="O160" i="6" s="1"/>
  <c r="Z561" i="6"/>
  <c r="E406" i="6"/>
  <c r="F427" i="6"/>
  <c r="E427" i="6" s="1"/>
  <c r="Q239" i="6"/>
  <c r="AK499" i="6"/>
  <c r="Q484" i="6"/>
  <c r="P464" i="6"/>
  <c r="AF561" i="6"/>
  <c r="Z500" i="6"/>
  <c r="Z558" i="6"/>
  <c r="Z565" i="6"/>
  <c r="Z531" i="6"/>
  <c r="AI531" i="6" s="1"/>
  <c r="Z557" i="6"/>
  <c r="E119" i="6"/>
  <c r="Z508" i="6"/>
  <c r="Z511" i="6"/>
  <c r="AI511" i="6" s="1"/>
  <c r="E303" i="6"/>
  <c r="E123" i="6"/>
  <c r="F156" i="6"/>
  <c r="O390" i="6"/>
  <c r="F74" i="6"/>
  <c r="Z517" i="6"/>
  <c r="Z501" i="6"/>
  <c r="Z536" i="6"/>
  <c r="AI536" i="6" s="1"/>
  <c r="E121" i="6"/>
  <c r="P260" i="6"/>
  <c r="Z515" i="6"/>
  <c r="Q385" i="6"/>
  <c r="O113" i="6"/>
  <c r="Q109" i="6"/>
  <c r="P154" i="6" s="1"/>
  <c r="Q260" i="6"/>
  <c r="Q268" i="6"/>
  <c r="P284" i="6" s="1"/>
  <c r="P182" i="6"/>
  <c r="E284" i="6"/>
  <c r="F305" i="6"/>
  <c r="Q427" i="6"/>
  <c r="Z523" i="6"/>
  <c r="AI523" i="6" s="1"/>
  <c r="AL536" i="6"/>
  <c r="Z521" i="6"/>
  <c r="Z512" i="6"/>
  <c r="AI512" i="6" s="1"/>
  <c r="Z502" i="6"/>
  <c r="Z516" i="6"/>
  <c r="E118" i="6"/>
  <c r="N14" i="6"/>
  <c r="F27" i="6"/>
  <c r="Q74" i="6"/>
  <c r="O24" i="6"/>
  <c r="Z509" i="6"/>
  <c r="AI509" i="6" s="1"/>
  <c r="E117" i="6"/>
  <c r="F109" i="6"/>
  <c r="F229" i="6"/>
  <c r="Z503" i="6"/>
  <c r="Z519" i="6"/>
  <c r="AI519" i="6" s="1"/>
  <c r="Z524" i="6"/>
  <c r="AI524" i="6" s="1"/>
  <c r="Z562" i="6"/>
  <c r="P363" i="6"/>
  <c r="Z582" i="6"/>
  <c r="AI582" i="6" s="1"/>
  <c r="F365" i="6"/>
  <c r="F327" i="6"/>
  <c r="Z535" i="6"/>
  <c r="Z584" i="6"/>
  <c r="AI584" i="6" s="1"/>
  <c r="Z510" i="6"/>
  <c r="AI510" i="6" s="1"/>
  <c r="E464" i="6"/>
  <c r="F484" i="6"/>
  <c r="F429" i="6"/>
  <c r="F487" i="6"/>
  <c r="Q229" i="6"/>
  <c r="P361" i="6"/>
  <c r="Z532" i="6"/>
  <c r="AI532" i="6" s="1"/>
  <c r="Z514" i="6"/>
  <c r="AI514" i="6" s="1"/>
  <c r="Z530" i="6"/>
  <c r="AI530" i="6" s="1"/>
  <c r="Z504" i="6"/>
  <c r="Z522" i="6"/>
  <c r="AI522" i="6" s="1"/>
  <c r="Q27" i="6"/>
  <c r="P72" i="6" s="1"/>
  <c r="AH514" i="5"/>
  <c r="AN514" i="5"/>
  <c r="AN531" i="5"/>
  <c r="AO531" i="5" s="1"/>
  <c r="AH531" i="5"/>
  <c r="Z506" i="5"/>
  <c r="Y496" i="5"/>
  <c r="AI496" i="5"/>
  <c r="P109" i="5"/>
  <c r="V13" i="5"/>
  <c r="L27" i="5"/>
  <c r="AF498" i="5"/>
  <c r="M259" i="5"/>
  <c r="K268" i="5"/>
  <c r="L305" i="5"/>
  <c r="N284" i="5"/>
  <c r="S284" i="5"/>
  <c r="E192" i="5"/>
  <c r="E189" i="5"/>
  <c r="K193" i="5"/>
  <c r="K190" i="5"/>
  <c r="K186" i="5"/>
  <c r="E190" i="5"/>
  <c r="P195" i="5"/>
  <c r="P192" i="5"/>
  <c r="P189" i="5"/>
  <c r="E188" i="5"/>
  <c r="K160" i="5"/>
  <c r="J160" i="5" s="1"/>
  <c r="J109" i="5"/>
  <c r="K104" i="5"/>
  <c r="R104" i="5" s="1"/>
  <c r="M97" i="5"/>
  <c r="P191" i="5"/>
  <c r="K122" i="5"/>
  <c r="K119" i="5"/>
  <c r="K116" i="5"/>
  <c r="P113" i="5"/>
  <c r="K105" i="5"/>
  <c r="P193" i="5"/>
  <c r="P187" i="5"/>
  <c r="P120" i="5"/>
  <c r="P117" i="5"/>
  <c r="P114" i="5"/>
  <c r="K97" i="5"/>
  <c r="K195" i="5"/>
  <c r="K191" i="5"/>
  <c r="K189" i="5"/>
  <c r="E186" i="5"/>
  <c r="J106" i="5"/>
  <c r="P121" i="5"/>
  <c r="P118" i="5"/>
  <c r="P115" i="5"/>
  <c r="K114" i="5"/>
  <c r="P194" i="5"/>
  <c r="P188" i="5"/>
  <c r="E187" i="5"/>
  <c r="P116" i="5"/>
  <c r="E191" i="5"/>
  <c r="K188" i="5"/>
  <c r="P190" i="5"/>
  <c r="K120" i="5"/>
  <c r="P122" i="5"/>
  <c r="K113" i="5"/>
  <c r="K187" i="5"/>
  <c r="K121" i="5"/>
  <c r="P119" i="5"/>
  <c r="K192" i="5"/>
  <c r="K118" i="5"/>
  <c r="P186" i="5"/>
  <c r="K115" i="5"/>
  <c r="K194" i="5"/>
  <c r="K117" i="5"/>
  <c r="K103" i="5"/>
  <c r="E194" i="5"/>
  <c r="E160" i="5"/>
  <c r="D160" i="5" s="1"/>
  <c r="D109" i="5"/>
  <c r="E109" i="5" s="1"/>
  <c r="D106" i="5"/>
  <c r="E106" i="5" s="1"/>
  <c r="E114" i="5"/>
  <c r="E113" i="5"/>
  <c r="E97" i="5"/>
  <c r="F268" i="5"/>
  <c r="F260" i="5"/>
  <c r="K260" i="5"/>
  <c r="AN557" i="5"/>
  <c r="AH557" i="5"/>
  <c r="AF496" i="5"/>
  <c r="AF527" i="5"/>
  <c r="AF560" i="5"/>
  <c r="L239" i="5"/>
  <c r="N182" i="5"/>
  <c r="V182" i="5"/>
  <c r="S182" i="5"/>
  <c r="S183" i="5" s="1"/>
  <c r="Y500" i="5"/>
  <c r="AI500" i="5"/>
  <c r="Z563" i="5"/>
  <c r="S227" i="5"/>
  <c r="N227" i="5"/>
  <c r="Q166" i="5"/>
  <c r="AH525" i="5"/>
  <c r="AN525" i="5"/>
  <c r="AO525" i="5" s="1"/>
  <c r="R105" i="5"/>
  <c r="E427" i="5"/>
  <c r="AF567" i="5"/>
  <c r="V24" i="5"/>
  <c r="S24" i="5"/>
  <c r="S25" i="5" s="1"/>
  <c r="J32" i="5"/>
  <c r="N24" i="5"/>
  <c r="N25" i="5" s="1"/>
  <c r="S484" i="5"/>
  <c r="K484" i="5"/>
  <c r="AF497" i="5"/>
  <c r="L427" i="5"/>
  <c r="S406" i="5"/>
  <c r="N406" i="5"/>
  <c r="L449" i="5"/>
  <c r="L486" i="5"/>
  <c r="S486" i="5" s="1"/>
  <c r="R182" i="5"/>
  <c r="K182" i="5"/>
  <c r="M182" i="5"/>
  <c r="AF523" i="5"/>
  <c r="AF516" i="5"/>
  <c r="AF500" i="5"/>
  <c r="AL505" i="5"/>
  <c r="S380" i="5"/>
  <c r="S381" i="5" s="1"/>
  <c r="N380" i="5"/>
  <c r="N381" i="5" s="1"/>
  <c r="L385" i="5"/>
  <c r="F327" i="5"/>
  <c r="F365" i="5"/>
  <c r="K380" i="5"/>
  <c r="P260" i="5"/>
  <c r="AF536" i="5"/>
  <c r="AF524" i="5"/>
  <c r="AF501" i="5"/>
  <c r="AF510" i="5"/>
  <c r="AI535" i="5"/>
  <c r="Y501" i="5"/>
  <c r="AI501" i="5"/>
  <c r="E122" i="5"/>
  <c r="N209" i="5"/>
  <c r="K209" i="5"/>
  <c r="S209" i="5"/>
  <c r="Q27" i="5"/>
  <c r="S14" i="5"/>
  <c r="O31" i="5"/>
  <c r="R13" i="5"/>
  <c r="R14" i="5" s="1"/>
  <c r="P136" i="5"/>
  <c r="F487" i="5"/>
  <c r="F429" i="5"/>
  <c r="Z562" i="5"/>
  <c r="AF508" i="5"/>
  <c r="P342" i="5"/>
  <c r="Q327" i="5"/>
  <c r="Q365" i="5"/>
  <c r="AF562" i="5"/>
  <c r="N106" i="5"/>
  <c r="N107" i="5" s="1"/>
  <c r="S106" i="5"/>
  <c r="S107" i="5" s="1"/>
  <c r="V106" i="5"/>
  <c r="N444" i="5"/>
  <c r="AF558" i="5"/>
  <c r="Z536" i="5"/>
  <c r="AI536" i="5" s="1"/>
  <c r="Q260" i="5"/>
  <c r="Q268" i="5"/>
  <c r="M179" i="5"/>
  <c r="E179" i="5"/>
  <c r="AL519" i="5"/>
  <c r="AF502" i="5"/>
  <c r="AF515" i="5"/>
  <c r="AF552" i="5"/>
  <c r="AF517" i="5"/>
  <c r="Y502" i="5"/>
  <c r="AI502" i="5"/>
  <c r="P123" i="5"/>
  <c r="Q156" i="5"/>
  <c r="P156" i="5" s="1"/>
  <c r="P182" i="5"/>
  <c r="R183" i="5"/>
  <c r="F239" i="5"/>
  <c r="Q229" i="5"/>
  <c r="P196" i="5"/>
  <c r="K13" i="5"/>
  <c r="K21" i="5"/>
  <c r="J27" i="5"/>
  <c r="K22" i="5"/>
  <c r="J24" i="5"/>
  <c r="K23" i="5"/>
  <c r="AH522" i="5"/>
  <c r="AN522" i="5"/>
  <c r="AO522" i="5" s="1"/>
  <c r="AL537" i="5"/>
  <c r="AO537" i="5" s="1"/>
  <c r="AF513" i="5"/>
  <c r="AF534" i="5"/>
  <c r="AF503" i="5"/>
  <c r="AI515" i="5"/>
  <c r="Y515" i="5"/>
  <c r="Z527" i="5"/>
  <c r="AI527" i="5" s="1"/>
  <c r="Y503" i="5"/>
  <c r="AI503" i="5"/>
  <c r="P227" i="5"/>
  <c r="E117" i="5"/>
  <c r="P363" i="5"/>
  <c r="N74" i="5"/>
  <c r="S74" i="5"/>
  <c r="AN582" i="5"/>
  <c r="AH582" i="5"/>
  <c r="AF550" i="5"/>
  <c r="E425" i="5"/>
  <c r="Y497" i="5"/>
  <c r="AI497" i="5"/>
  <c r="L365" i="5"/>
  <c r="K342" i="5"/>
  <c r="S326" i="5"/>
  <c r="S327" i="5" s="1"/>
  <c r="N326" i="5"/>
  <c r="N327" i="5" s="1"/>
  <c r="L327" i="5"/>
  <c r="M326" i="5" s="1"/>
  <c r="AF519" i="5"/>
  <c r="AF499" i="5"/>
  <c r="Y499" i="5"/>
  <c r="AI499" i="5"/>
  <c r="AH526" i="5"/>
  <c r="S83" i="5"/>
  <c r="J390" i="5"/>
  <c r="K385" i="5"/>
  <c r="AF530" i="5"/>
  <c r="S303" i="5"/>
  <c r="N303" i="5"/>
  <c r="K303" i="5"/>
  <c r="Q385" i="5"/>
  <c r="N97" i="5"/>
  <c r="V97" i="5"/>
  <c r="L109" i="5"/>
  <c r="K227" i="5" s="1"/>
  <c r="O385" i="5"/>
  <c r="R380" i="5"/>
  <c r="P380" i="5"/>
  <c r="AF512" i="5"/>
  <c r="L268" i="5"/>
  <c r="K284" i="5" s="1"/>
  <c r="L260" i="5"/>
  <c r="S259" i="5"/>
  <c r="S260" i="5" s="1"/>
  <c r="N259" i="5"/>
  <c r="N260" i="5" s="1"/>
  <c r="AF551" i="5"/>
  <c r="AF504" i="5"/>
  <c r="AF518" i="5"/>
  <c r="AF528" i="5"/>
  <c r="AF564" i="5"/>
  <c r="AF532" i="5"/>
  <c r="Y504" i="5"/>
  <c r="AI504" i="5"/>
  <c r="AK503" i="5"/>
  <c r="AK502" i="5"/>
  <c r="AK501" i="5"/>
  <c r="O27" i="5"/>
  <c r="P21" i="5"/>
  <c r="R21" i="5" s="1"/>
  <c r="P22" i="5"/>
  <c r="R22" i="5" s="1"/>
  <c r="P13" i="5"/>
  <c r="AK567" i="5" s="1"/>
  <c r="P23" i="5"/>
  <c r="R23" i="5" s="1"/>
  <c r="O24" i="5"/>
  <c r="AN538" i="5"/>
  <c r="AH538" i="5"/>
  <c r="S363" i="5"/>
  <c r="N363" i="5"/>
  <c r="K363" i="5"/>
  <c r="E380" i="5"/>
  <c r="D385" i="5"/>
  <c r="M380" i="5"/>
  <c r="AF529" i="5"/>
  <c r="N229" i="5"/>
  <c r="K229" i="5"/>
  <c r="Z561" i="5"/>
  <c r="AF584" i="5"/>
  <c r="S448" i="5"/>
  <c r="S449" i="5" s="1"/>
  <c r="N154" i="5"/>
  <c r="K154" i="5"/>
  <c r="S154" i="5"/>
  <c r="S123" i="5"/>
  <c r="N123" i="5"/>
  <c r="L156" i="5"/>
  <c r="K123" i="5"/>
  <c r="AF563" i="5"/>
  <c r="AF505" i="5"/>
  <c r="AF521" i="5"/>
  <c r="AL536" i="5"/>
  <c r="AF537" i="5"/>
  <c r="Y505" i="5"/>
  <c r="AI505" i="5"/>
  <c r="P284" i="5"/>
  <c r="Q305" i="5"/>
  <c r="P305" i="5" s="1"/>
  <c r="P154" i="5"/>
  <c r="E116" i="5"/>
  <c r="F27" i="5"/>
  <c r="E74" i="5" s="1"/>
  <c r="AI516" i="5"/>
  <c r="R103" i="5"/>
  <c r="AF565" i="5"/>
  <c r="AF559" i="5"/>
  <c r="Y498" i="5"/>
  <c r="AI498" i="5"/>
  <c r="AF566" i="5"/>
  <c r="Q427" i="5"/>
  <c r="S361" i="5"/>
  <c r="K361" i="5"/>
  <c r="E484" i="5"/>
  <c r="F486" i="5"/>
  <c r="AF511" i="5"/>
  <c r="AI517" i="5"/>
  <c r="AF561" i="5"/>
  <c r="AF509" i="5"/>
  <c r="J31" i="5"/>
  <c r="S136" i="5"/>
  <c r="N136" i="5"/>
  <c r="K136" i="5"/>
  <c r="S196" i="5"/>
  <c r="AN522" i="15"/>
  <c r="AO522" i="15" s="1"/>
  <c r="F109" i="15"/>
  <c r="E154" i="15" s="1"/>
  <c r="D113" i="15"/>
  <c r="N97" i="15"/>
  <c r="AO519" i="15"/>
  <c r="AL520" i="15"/>
  <c r="AN497" i="15"/>
  <c r="AO497" i="15" s="1"/>
  <c r="AE497" i="15"/>
  <c r="AH497" i="15"/>
  <c r="AF498" i="15"/>
  <c r="AF558" i="15"/>
  <c r="AF500" i="15"/>
  <c r="Z502" i="15"/>
  <c r="Z514" i="15"/>
  <c r="AI514" i="15" s="1"/>
  <c r="N326" i="15"/>
  <c r="N327" i="15" s="1"/>
  <c r="K342" i="15"/>
  <c r="L327" i="15"/>
  <c r="M326" i="15" s="1"/>
  <c r="S326" i="15"/>
  <c r="S327" i="15" s="1"/>
  <c r="Z522" i="15"/>
  <c r="AI522" i="15" s="1"/>
  <c r="F305" i="15"/>
  <c r="E305" i="15" s="1"/>
  <c r="E35" i="15"/>
  <c r="M14" i="15"/>
  <c r="E13" i="15"/>
  <c r="D27" i="15"/>
  <c r="E227" i="15"/>
  <c r="AH557" i="15"/>
  <c r="AN557" i="15"/>
  <c r="Z584" i="15"/>
  <c r="AI584" i="15" s="1"/>
  <c r="AF519" i="15"/>
  <c r="Z557" i="15"/>
  <c r="AF582" i="15"/>
  <c r="Z496" i="15"/>
  <c r="Z499" i="15"/>
  <c r="Z526" i="15"/>
  <c r="AF502" i="15"/>
  <c r="Z513" i="15"/>
  <c r="AI513" i="15" s="1"/>
  <c r="Z550" i="15"/>
  <c r="AL505" i="15"/>
  <c r="Z530" i="15"/>
  <c r="AI530" i="15" s="1"/>
  <c r="Z517" i="15"/>
  <c r="Q268" i="15"/>
  <c r="Q260" i="15"/>
  <c r="S284" i="15"/>
  <c r="N284" i="15"/>
  <c r="L305" i="15"/>
  <c r="Q156" i="15"/>
  <c r="P156" i="15" s="1"/>
  <c r="Z519" i="15"/>
  <c r="AI519" i="15" s="1"/>
  <c r="P72" i="15"/>
  <c r="S98" i="15"/>
  <c r="O113" i="15"/>
  <c r="Q109" i="15"/>
  <c r="P136" i="15" s="1"/>
  <c r="AN529" i="15"/>
  <c r="AL538" i="15"/>
  <c r="AO538" i="15" s="1"/>
  <c r="P22" i="15"/>
  <c r="R22" i="15" s="1"/>
  <c r="O24" i="15"/>
  <c r="P23" i="15"/>
  <c r="R23" i="15" s="1"/>
  <c r="P13" i="15"/>
  <c r="AK567" i="15" s="1"/>
  <c r="O27" i="15"/>
  <c r="P21" i="15"/>
  <c r="R21" i="15" s="1"/>
  <c r="AF499" i="15"/>
  <c r="Z565" i="15"/>
  <c r="Z534" i="15"/>
  <c r="AI534" i="15" s="1"/>
  <c r="AF562" i="15"/>
  <c r="N441" i="15"/>
  <c r="Q484" i="15"/>
  <c r="P464" i="15"/>
  <c r="Z509" i="15"/>
  <c r="AI509" i="15" s="1"/>
  <c r="AF517" i="15"/>
  <c r="Z529" i="15"/>
  <c r="AI529" i="15" s="1"/>
  <c r="AF503" i="15"/>
  <c r="AF516" i="15"/>
  <c r="Z562" i="15"/>
  <c r="AF510" i="15"/>
  <c r="AF520" i="15" s="1"/>
  <c r="Z535" i="15"/>
  <c r="AF525" i="15"/>
  <c r="Z508" i="15"/>
  <c r="M259" i="15"/>
  <c r="K268" i="15"/>
  <c r="E113" i="15"/>
  <c r="D109" i="15"/>
  <c r="E109" i="15" s="1"/>
  <c r="E195" i="15"/>
  <c r="E122" i="15"/>
  <c r="E119" i="15"/>
  <c r="E116" i="15"/>
  <c r="E97" i="15"/>
  <c r="D106" i="15"/>
  <c r="E106" i="15" s="1"/>
  <c r="E114" i="15"/>
  <c r="E194" i="15"/>
  <c r="E121" i="15"/>
  <c r="E118" i="15"/>
  <c r="M96" i="15"/>
  <c r="E96" i="15"/>
  <c r="S136" i="15"/>
  <c r="N136" i="15"/>
  <c r="K136" i="15"/>
  <c r="P209" i="15"/>
  <c r="AN509" i="15"/>
  <c r="AO509" i="15" s="1"/>
  <c r="AF538" i="15"/>
  <c r="AF559" i="15"/>
  <c r="Z512" i="15"/>
  <c r="AI512" i="15" s="1"/>
  <c r="L449" i="15"/>
  <c r="L486" i="15"/>
  <c r="AF501" i="15"/>
  <c r="AF584" i="15"/>
  <c r="AF515" i="15"/>
  <c r="AF552" i="15"/>
  <c r="Z532" i="15"/>
  <c r="AI532" i="15" s="1"/>
  <c r="AK502" i="15"/>
  <c r="K227" i="15"/>
  <c r="S227" i="15"/>
  <c r="N227" i="15"/>
  <c r="L74" i="15"/>
  <c r="S41" i="15"/>
  <c r="N41" i="15"/>
  <c r="K41" i="15"/>
  <c r="Q27" i="15"/>
  <c r="S14" i="15"/>
  <c r="P227" i="15"/>
  <c r="AF567" i="15"/>
  <c r="AF550" i="15"/>
  <c r="Z582" i="15"/>
  <c r="AI582" i="15" s="1"/>
  <c r="Z533" i="15"/>
  <c r="P154" i="15"/>
  <c r="N303" i="15"/>
  <c r="K303" i="15"/>
  <c r="S303" i="15"/>
  <c r="E37" i="15"/>
  <c r="E34" i="15"/>
  <c r="E32" i="15"/>
  <c r="E39" i="15"/>
  <c r="E36" i="15"/>
  <c r="E33" i="15"/>
  <c r="E24" i="15"/>
  <c r="Z538" i="15"/>
  <c r="AI538" i="15" s="1"/>
  <c r="AK499" i="15"/>
  <c r="AK498" i="15"/>
  <c r="E380" i="15"/>
  <c r="D385" i="15"/>
  <c r="Z563" i="15"/>
  <c r="AF504" i="15"/>
  <c r="AF551" i="15"/>
  <c r="AF505" i="15"/>
  <c r="Z531" i="15"/>
  <c r="AI531" i="15" s="1"/>
  <c r="Z510" i="15"/>
  <c r="AI510" i="15" s="1"/>
  <c r="Z523" i="15"/>
  <c r="AI523" i="15" s="1"/>
  <c r="Z559" i="15"/>
  <c r="Z537" i="15"/>
  <c r="AI537" i="15" s="1"/>
  <c r="M182" i="15"/>
  <c r="K182" i="15"/>
  <c r="R182" i="15"/>
  <c r="R183" i="15" s="1"/>
  <c r="F427" i="15"/>
  <c r="E427" i="15" s="1"/>
  <c r="E406" i="15"/>
  <c r="S259" i="15"/>
  <c r="S260" i="15" s="1"/>
  <c r="N259" i="15"/>
  <c r="N260" i="15" s="1"/>
  <c r="L268" i="15"/>
  <c r="K284" i="15" s="1"/>
  <c r="L260" i="15"/>
  <c r="E54" i="15"/>
  <c r="M27" i="15"/>
  <c r="K27" i="15"/>
  <c r="K78" i="15"/>
  <c r="R380" i="15"/>
  <c r="P380" i="15"/>
  <c r="O385" i="15"/>
  <c r="Z505" i="15"/>
  <c r="AN530" i="15"/>
  <c r="AO530" i="15" s="1"/>
  <c r="Z518" i="15"/>
  <c r="AI518" i="15" s="1"/>
  <c r="F487" i="15"/>
  <c r="F229" i="15"/>
  <c r="E196" i="15"/>
  <c r="V109" i="15"/>
  <c r="S109" i="15"/>
  <c r="L166" i="15"/>
  <c r="N109" i="15"/>
  <c r="Z521" i="15"/>
  <c r="Z566" i="15"/>
  <c r="E72" i="15"/>
  <c r="M13" i="15"/>
  <c r="N27" i="15"/>
  <c r="V27" i="15"/>
  <c r="L85" i="15"/>
  <c r="L363" i="15"/>
  <c r="N342" i="15"/>
  <c r="S342" i="15"/>
  <c r="AF532" i="15"/>
  <c r="AF523" i="15"/>
  <c r="AK497" i="15"/>
  <c r="N438" i="15"/>
  <c r="AF536" i="15"/>
  <c r="AF524" i="15"/>
  <c r="AK496" i="15"/>
  <c r="S406" i="15"/>
  <c r="N406" i="15"/>
  <c r="L427" i="15"/>
  <c r="AF531" i="15"/>
  <c r="Z504" i="15"/>
  <c r="K482" i="15"/>
  <c r="AF534" i="15"/>
  <c r="AF514" i="15"/>
  <c r="AF560" i="15"/>
  <c r="AF511" i="15"/>
  <c r="Z536" i="15"/>
  <c r="AI536" i="15" s="1"/>
  <c r="Z515" i="15"/>
  <c r="AF528" i="15"/>
  <c r="AF564" i="15"/>
  <c r="Z561" i="15"/>
  <c r="N182" i="15"/>
  <c r="J187" i="15"/>
  <c r="V182" i="15"/>
  <c r="S182" i="15"/>
  <c r="S183" i="15" s="1"/>
  <c r="S123" i="15"/>
  <c r="L156" i="15"/>
  <c r="N123" i="15"/>
  <c r="K123" i="15"/>
  <c r="S237" i="15"/>
  <c r="Q427" i="15"/>
  <c r="P427" i="15" s="1"/>
  <c r="S196" i="15"/>
  <c r="L229" i="15"/>
  <c r="L239" i="15" s="1"/>
  <c r="N196" i="15"/>
  <c r="K196" i="15"/>
  <c r="E41" i="15"/>
  <c r="F74" i="15"/>
  <c r="E74" i="15" s="1"/>
  <c r="N425" i="15"/>
  <c r="Q305" i="15"/>
  <c r="P305" i="15" s="1"/>
  <c r="K72" i="15"/>
  <c r="Q74" i="15"/>
  <c r="P74" i="15" s="1"/>
  <c r="P41" i="15"/>
  <c r="J385" i="15"/>
  <c r="K380" i="15"/>
  <c r="M380" i="15"/>
  <c r="K484" i="15"/>
  <c r="S484" i="15"/>
  <c r="F363" i="15"/>
  <c r="E342" i="15"/>
  <c r="Z503" i="15"/>
  <c r="AF513" i="15"/>
  <c r="L385" i="15"/>
  <c r="N380" i="15"/>
  <c r="N381" i="15" s="1"/>
  <c r="S380" i="15"/>
  <c r="S381" i="15" s="1"/>
  <c r="AF563" i="15"/>
  <c r="Z560" i="15"/>
  <c r="AF518" i="15"/>
  <c r="AL536" i="15"/>
  <c r="AF512" i="15"/>
  <c r="AF566" i="15"/>
  <c r="K194" i="15"/>
  <c r="K191" i="15"/>
  <c r="K188" i="15"/>
  <c r="E187" i="15"/>
  <c r="P193" i="15"/>
  <c r="E189" i="15"/>
  <c r="K186" i="15"/>
  <c r="M97" i="15"/>
  <c r="K195" i="15"/>
  <c r="E192" i="15"/>
  <c r="K122" i="15"/>
  <c r="K119" i="15"/>
  <c r="K116" i="15"/>
  <c r="P113" i="15"/>
  <c r="K105" i="15"/>
  <c r="R105" i="15" s="1"/>
  <c r="K190" i="15"/>
  <c r="K187" i="15"/>
  <c r="P120" i="15"/>
  <c r="P117" i="15"/>
  <c r="P114" i="15"/>
  <c r="K97" i="15"/>
  <c r="K193" i="15"/>
  <c r="P188" i="15"/>
  <c r="E186" i="15"/>
  <c r="J106" i="15"/>
  <c r="P191" i="15"/>
  <c r="E190" i="15"/>
  <c r="K120" i="15"/>
  <c r="K117" i="15"/>
  <c r="K113" i="15"/>
  <c r="P194" i="15"/>
  <c r="P121" i="15"/>
  <c r="P118" i="15"/>
  <c r="P115" i="15"/>
  <c r="K114" i="15"/>
  <c r="P189" i="15"/>
  <c r="E188" i="15"/>
  <c r="P192" i="15"/>
  <c r="E191" i="15"/>
  <c r="P186" i="15"/>
  <c r="K192" i="15"/>
  <c r="K189" i="15"/>
  <c r="J109" i="15"/>
  <c r="K104" i="15"/>
  <c r="R104" i="15" s="1"/>
  <c r="K121" i="15"/>
  <c r="K103" i="15"/>
  <c r="P119" i="15"/>
  <c r="K115" i="15"/>
  <c r="K118" i="15"/>
  <c r="P116" i="15"/>
  <c r="P190" i="15"/>
  <c r="P187" i="15"/>
  <c r="P195" i="15"/>
  <c r="P122" i="15"/>
  <c r="AF527" i="15"/>
  <c r="Z527" i="15"/>
  <c r="AI527" i="15" s="1"/>
  <c r="Z511" i="15"/>
  <c r="AI511" i="15" s="1"/>
  <c r="F156" i="15"/>
  <c r="E156" i="15" s="1"/>
  <c r="E123" i="15"/>
  <c r="J186" i="15"/>
  <c r="P342" i="15"/>
  <c r="Q327" i="15"/>
  <c r="Q365" i="15"/>
  <c r="R103" i="15"/>
  <c r="E117" i="15"/>
  <c r="N154" i="15"/>
  <c r="AN508" i="15"/>
  <c r="AO508" i="15" s="1"/>
  <c r="AH508" i="15"/>
  <c r="Z497" i="15"/>
  <c r="Z551" i="15"/>
  <c r="AI551" i="15" s="1"/>
  <c r="AF561" i="15"/>
  <c r="Z558" i="15"/>
  <c r="Z516" i="15"/>
  <c r="E464" i="15"/>
  <c r="F484" i="15"/>
  <c r="AK503" i="15"/>
  <c r="K209" i="15"/>
  <c r="S209" i="15"/>
  <c r="N209" i="15"/>
  <c r="N83" i="15"/>
  <c r="Z501" i="15"/>
  <c r="Z567" i="15"/>
  <c r="AF496" i="15"/>
  <c r="Z524" i="15"/>
  <c r="AI524" i="15" s="1"/>
  <c r="AF565" i="15"/>
  <c r="AF521" i="15"/>
  <c r="Z552" i="15"/>
  <c r="AI552" i="15" s="1"/>
  <c r="Z525" i="15"/>
  <c r="AI525" i="15" s="1"/>
  <c r="Z498" i="15"/>
  <c r="K361" i="15"/>
  <c r="S361" i="15"/>
  <c r="AF537" i="15"/>
  <c r="Q229" i="15"/>
  <c r="P196" i="15"/>
  <c r="M24" i="15"/>
  <c r="P109" i="15"/>
  <c r="F307" i="15"/>
  <c r="F269" i="15"/>
  <c r="E193" i="15"/>
  <c r="S154" i="15"/>
  <c r="Z500" i="15"/>
  <c r="F166" i="6" l="1"/>
  <c r="E209" i="6"/>
  <c r="AI517" i="6"/>
  <c r="Y517" i="6"/>
  <c r="E136" i="6"/>
  <c r="D390" i="6"/>
  <c r="E385" i="6"/>
  <c r="F269" i="6"/>
  <c r="F307" i="6"/>
  <c r="E154" i="6"/>
  <c r="AI497" i="6"/>
  <c r="Y497" i="6"/>
  <c r="P27" i="6"/>
  <c r="P78" i="6"/>
  <c r="P303" i="6"/>
  <c r="AI533" i="6"/>
  <c r="P196" i="6"/>
  <c r="E74" i="6"/>
  <c r="AI496" i="6"/>
  <c r="Z506" i="6"/>
  <c r="Y496" i="6"/>
  <c r="P229" i="6"/>
  <c r="AI498" i="6"/>
  <c r="Y498" i="6"/>
  <c r="E196" i="6"/>
  <c r="Q390" i="6"/>
  <c r="P427" i="6" s="1"/>
  <c r="P385" i="6"/>
  <c r="P484" i="6"/>
  <c r="Q486" i="6"/>
  <c r="E27" i="6"/>
  <c r="E78" i="6"/>
  <c r="Z494" i="6"/>
  <c r="F85" i="6"/>
  <c r="E72" i="6"/>
  <c r="AI535" i="6"/>
  <c r="E229" i="6"/>
  <c r="F239" i="6"/>
  <c r="AI502" i="6"/>
  <c r="Y502" i="6"/>
  <c r="AL493" i="6"/>
  <c r="AI526" i="6"/>
  <c r="Q85" i="6"/>
  <c r="P41" i="6"/>
  <c r="P54" i="6"/>
  <c r="E305" i="6"/>
  <c r="AI500" i="6"/>
  <c r="Y500" i="6"/>
  <c r="AI499" i="6"/>
  <c r="Y499" i="6"/>
  <c r="P305" i="6"/>
  <c r="P109" i="6"/>
  <c r="AI550" i="6"/>
  <c r="Z553" i="6"/>
  <c r="AI557" i="6"/>
  <c r="Z568" i="6"/>
  <c r="X568" i="6" s="1"/>
  <c r="P156" i="6"/>
  <c r="Y516" i="6"/>
  <c r="AI516" i="6"/>
  <c r="E41" i="6"/>
  <c r="Z539" i="6"/>
  <c r="X539" i="6" s="1"/>
  <c r="AI521" i="6"/>
  <c r="AN561" i="6"/>
  <c r="AH561" i="6"/>
  <c r="AI561" i="6" s="1"/>
  <c r="E227" i="6"/>
  <c r="Q307" i="6"/>
  <c r="Q269" i="6"/>
  <c r="P82" i="6"/>
  <c r="O82" i="6" s="1"/>
  <c r="P24" i="6"/>
  <c r="P38" i="6"/>
  <c r="P32" i="6"/>
  <c r="P31" i="6"/>
  <c r="P33" i="6"/>
  <c r="P34" i="6"/>
  <c r="P36" i="6"/>
  <c r="P37" i="6"/>
  <c r="AO536" i="6"/>
  <c r="Y515" i="6"/>
  <c r="AI515" i="6"/>
  <c r="E54" i="6"/>
  <c r="Q166" i="6"/>
  <c r="P136" i="6"/>
  <c r="P123" i="6"/>
  <c r="P209" i="6"/>
  <c r="AI504" i="6"/>
  <c r="Y504" i="6"/>
  <c r="F488" i="6"/>
  <c r="F486" i="6"/>
  <c r="E484" i="6"/>
  <c r="AI503" i="6"/>
  <c r="Y503" i="6"/>
  <c r="P74" i="6"/>
  <c r="AI501" i="6"/>
  <c r="Y501" i="6"/>
  <c r="E156" i="6"/>
  <c r="AI508" i="6"/>
  <c r="Z520" i="6"/>
  <c r="X520" i="6" s="1"/>
  <c r="P227" i="6"/>
  <c r="AH566" i="5"/>
  <c r="AI566" i="5" s="1"/>
  <c r="AN566" i="5"/>
  <c r="AH503" i="5"/>
  <c r="AE503" i="5"/>
  <c r="AN503" i="5"/>
  <c r="AO503" i="5" s="1"/>
  <c r="AN502" i="5"/>
  <c r="AO502" i="5" s="1"/>
  <c r="AH502" i="5"/>
  <c r="AE502" i="5"/>
  <c r="AH559" i="5"/>
  <c r="AI559" i="5" s="1"/>
  <c r="AN559" i="5"/>
  <c r="AN513" i="5"/>
  <c r="AH513" i="5"/>
  <c r="P229" i="5"/>
  <c r="Q239" i="5"/>
  <c r="AO519" i="5"/>
  <c r="AL520" i="5"/>
  <c r="AN524" i="5"/>
  <c r="AO524" i="5" s="1"/>
  <c r="AH524" i="5"/>
  <c r="AN500" i="5"/>
  <c r="AH500" i="5"/>
  <c r="AE500" i="5"/>
  <c r="N427" i="5"/>
  <c r="K427" i="5"/>
  <c r="S427" i="5"/>
  <c r="R109" i="5"/>
  <c r="R110" i="5" s="1"/>
  <c r="K109" i="5"/>
  <c r="M109" i="5"/>
  <c r="AH517" i="5"/>
  <c r="AN517" i="5"/>
  <c r="AO517" i="5" s="1"/>
  <c r="D390" i="5"/>
  <c r="E385" i="5"/>
  <c r="AH567" i="5"/>
  <c r="AI567" i="5" s="1"/>
  <c r="AE567" i="5"/>
  <c r="AD567" i="5"/>
  <c r="AN567" i="5"/>
  <c r="E303" i="5"/>
  <c r="F307" i="5"/>
  <c r="F269" i="5"/>
  <c r="E284" i="5"/>
  <c r="AN510" i="5"/>
  <c r="AO510" i="5" s="1"/>
  <c r="AH510" i="5"/>
  <c r="AH501" i="5"/>
  <c r="AE501" i="5"/>
  <c r="AN501" i="5"/>
  <c r="AO501" i="5" s="1"/>
  <c r="AN536" i="5"/>
  <c r="AH536" i="5"/>
  <c r="AH512" i="5"/>
  <c r="AN512" i="5"/>
  <c r="AH530" i="5"/>
  <c r="AN530" i="5"/>
  <c r="AO530" i="5" s="1"/>
  <c r="AN560" i="5"/>
  <c r="AH560" i="5"/>
  <c r="AI560" i="5" s="1"/>
  <c r="Z555" i="5"/>
  <c r="AN550" i="5"/>
  <c r="AH550" i="5"/>
  <c r="AF553" i="5"/>
  <c r="AH499" i="5"/>
  <c r="AE499" i="5"/>
  <c r="AN499" i="5"/>
  <c r="AO499" i="5" s="1"/>
  <c r="AN562" i="5"/>
  <c r="AH562" i="5"/>
  <c r="AI562" i="5" s="1"/>
  <c r="AN511" i="5"/>
  <c r="AH511" i="5"/>
  <c r="AN523" i="5"/>
  <c r="AO523" i="5" s="1"/>
  <c r="AH523" i="5"/>
  <c r="AN527" i="5"/>
  <c r="AH527" i="5"/>
  <c r="K305" i="5"/>
  <c r="S305" i="5"/>
  <c r="N305" i="5"/>
  <c r="P427" i="5"/>
  <c r="AH561" i="5"/>
  <c r="AI561" i="5" s="1"/>
  <c r="AN561" i="5"/>
  <c r="Q85" i="5"/>
  <c r="P54" i="5"/>
  <c r="P41" i="5"/>
  <c r="P72" i="5"/>
  <c r="AE505" i="5"/>
  <c r="AN505" i="5"/>
  <c r="AH505" i="5"/>
  <c r="P74" i="5"/>
  <c r="AH532" i="5"/>
  <c r="AN532" i="5"/>
  <c r="AO532" i="5" s="1"/>
  <c r="M385" i="5"/>
  <c r="N365" i="5"/>
  <c r="S365" i="5"/>
  <c r="AF506" i="5"/>
  <c r="AN496" i="5"/>
  <c r="AO496" i="5" s="1"/>
  <c r="AH496" i="5"/>
  <c r="AE496" i="5"/>
  <c r="AF493" i="5"/>
  <c r="U5" i="5" s="1"/>
  <c r="AH551" i="5"/>
  <c r="AN551" i="5"/>
  <c r="AN515" i="5"/>
  <c r="AO515" i="5" s="1"/>
  <c r="AH515" i="5"/>
  <c r="AH534" i="5"/>
  <c r="AN534" i="5"/>
  <c r="AO534" i="5" s="1"/>
  <c r="AH537" i="5"/>
  <c r="AN537" i="5"/>
  <c r="AN516" i="5"/>
  <c r="AO516" i="5" s="1"/>
  <c r="AH516" i="5"/>
  <c r="AO536" i="5"/>
  <c r="AL539" i="5"/>
  <c r="AH563" i="5"/>
  <c r="AI563" i="5" s="1"/>
  <c r="AN563" i="5"/>
  <c r="P36" i="5"/>
  <c r="P33" i="5"/>
  <c r="P37" i="5"/>
  <c r="P34" i="5"/>
  <c r="P24" i="5"/>
  <c r="P38" i="5"/>
  <c r="P31" i="5"/>
  <c r="P32" i="5"/>
  <c r="P82" i="5"/>
  <c r="O82" i="5" s="1"/>
  <c r="AN564" i="5"/>
  <c r="AH564" i="5"/>
  <c r="AI564" i="5" s="1"/>
  <c r="R385" i="5"/>
  <c r="P385" i="5"/>
  <c r="O390" i="5"/>
  <c r="M390" i="5"/>
  <c r="AH508" i="5"/>
  <c r="AN508" i="5"/>
  <c r="AO508" i="5" s="1"/>
  <c r="AF520" i="5"/>
  <c r="M106" i="5"/>
  <c r="K106" i="5"/>
  <c r="R106" i="5" s="1"/>
  <c r="AN504" i="5"/>
  <c r="AH504" i="5"/>
  <c r="AE504" i="5"/>
  <c r="M27" i="5"/>
  <c r="K27" i="5"/>
  <c r="R27" i="5"/>
  <c r="R28" i="5" s="1"/>
  <c r="K78" i="5"/>
  <c r="AF494" i="5"/>
  <c r="N27" i="5"/>
  <c r="N85" i="5" s="1"/>
  <c r="V27" i="5"/>
  <c r="S27" i="5"/>
  <c r="S85" i="5" s="1"/>
  <c r="L85" i="5"/>
  <c r="K41" i="5"/>
  <c r="K72" i="5"/>
  <c r="AH509" i="5"/>
  <c r="AN509" i="5"/>
  <c r="AO509" i="5" s="1"/>
  <c r="P27" i="5"/>
  <c r="P78" i="5"/>
  <c r="Q390" i="5"/>
  <c r="AL494" i="5" s="1"/>
  <c r="AO505" i="5"/>
  <c r="AK505" i="5"/>
  <c r="AL506" i="5"/>
  <c r="Y517" i="5"/>
  <c r="AH497" i="5"/>
  <c r="AE497" i="5"/>
  <c r="AN497" i="5"/>
  <c r="AO497" i="5" s="1"/>
  <c r="N239" i="5"/>
  <c r="S239" i="5"/>
  <c r="AN521" i="5"/>
  <c r="AO521" i="5" s="1"/>
  <c r="AH521" i="5"/>
  <c r="AH539" i="5" s="1"/>
  <c r="AI539" i="5" s="1"/>
  <c r="AF539" i="5"/>
  <c r="AN528" i="5"/>
  <c r="AO528" i="5" s="1"/>
  <c r="AH528" i="5"/>
  <c r="L166" i="5"/>
  <c r="V109" i="5"/>
  <c r="S109" i="5"/>
  <c r="S110" i="5" s="1"/>
  <c r="N109" i="5"/>
  <c r="K196" i="5"/>
  <c r="K31" i="5"/>
  <c r="K32" i="5"/>
  <c r="K33" i="5"/>
  <c r="K37" i="5"/>
  <c r="M24" i="5"/>
  <c r="K24" i="5"/>
  <c r="K82" i="5"/>
  <c r="J82" i="5" s="1"/>
  <c r="K38" i="5"/>
  <c r="K35" i="5"/>
  <c r="K39" i="5"/>
  <c r="K36" i="5"/>
  <c r="AN558" i="5"/>
  <c r="AO558" i="5" s="1"/>
  <c r="AH558" i="5"/>
  <c r="AI558" i="5" s="1"/>
  <c r="N385" i="5"/>
  <c r="N386" i="5" s="1"/>
  <c r="L390" i="5"/>
  <c r="S385" i="5"/>
  <c r="S386" i="5" s="1"/>
  <c r="AN498" i="5"/>
  <c r="AO498" i="5" s="1"/>
  <c r="AH498" i="5"/>
  <c r="AE498" i="5"/>
  <c r="AN552" i="5"/>
  <c r="AH552" i="5"/>
  <c r="AH519" i="5"/>
  <c r="AN519" i="5"/>
  <c r="K74" i="5"/>
  <c r="AN565" i="5"/>
  <c r="AH565" i="5"/>
  <c r="AI565" i="5" s="1"/>
  <c r="S268" i="5"/>
  <c r="S269" i="5" s="1"/>
  <c r="L307" i="5"/>
  <c r="L269" i="5"/>
  <c r="M268" i="5" s="1"/>
  <c r="N268" i="5"/>
  <c r="N269" i="5" s="1"/>
  <c r="AN584" i="5"/>
  <c r="AH584" i="5"/>
  <c r="Y516" i="5"/>
  <c r="Q307" i="5"/>
  <c r="Q269" i="5"/>
  <c r="P303" i="5"/>
  <c r="AF568" i="5"/>
  <c r="K54" i="5"/>
  <c r="Z494" i="5"/>
  <c r="X506" i="5" s="1"/>
  <c r="F85" i="5"/>
  <c r="E72" i="5"/>
  <c r="E54" i="5"/>
  <c r="E41" i="5"/>
  <c r="S229" i="5"/>
  <c r="N156" i="5"/>
  <c r="S156" i="5"/>
  <c r="K156" i="5"/>
  <c r="AN529" i="5"/>
  <c r="AH529" i="5"/>
  <c r="AN518" i="5"/>
  <c r="AO518" i="5" s="1"/>
  <c r="AH518" i="5"/>
  <c r="F488" i="5"/>
  <c r="E305" i="5"/>
  <c r="AN520" i="15"/>
  <c r="AI516" i="15"/>
  <c r="Y516" i="15"/>
  <c r="S385" i="15"/>
  <c r="S386" i="15" s="1"/>
  <c r="N385" i="15"/>
  <c r="N386" i="15" s="1"/>
  <c r="L390" i="15"/>
  <c r="AL494" i="15"/>
  <c r="S28" i="15"/>
  <c r="Q85" i="15"/>
  <c r="P54" i="15"/>
  <c r="AI550" i="15"/>
  <c r="Z553" i="15"/>
  <c r="AN496" i="15"/>
  <c r="AO496" i="15" s="1"/>
  <c r="AF506" i="15"/>
  <c r="AH496" i="15"/>
  <c r="AE496" i="15"/>
  <c r="AN561" i="15"/>
  <c r="AH561" i="15"/>
  <c r="AI561" i="15" s="1"/>
  <c r="AN513" i="15"/>
  <c r="AH513" i="15"/>
  <c r="AN501" i="15"/>
  <c r="AO501" i="15" s="1"/>
  <c r="AH501" i="15"/>
  <c r="AE501" i="15"/>
  <c r="AN517" i="15"/>
  <c r="AO517" i="15" s="1"/>
  <c r="AH517" i="15"/>
  <c r="P123" i="15"/>
  <c r="AO520" i="15"/>
  <c r="AN503" i="15"/>
  <c r="AO503" i="15" s="1"/>
  <c r="AH503" i="15"/>
  <c r="AE503" i="15"/>
  <c r="P27" i="15"/>
  <c r="P78" i="15"/>
  <c r="AN584" i="15"/>
  <c r="AH584" i="15"/>
  <c r="AI503" i="15"/>
  <c r="Y503" i="15"/>
  <c r="N156" i="15"/>
  <c r="K156" i="15"/>
  <c r="S156" i="15"/>
  <c r="AN511" i="15"/>
  <c r="AH511" i="15"/>
  <c r="AN524" i="15"/>
  <c r="AO524" i="15" s="1"/>
  <c r="AH524" i="15"/>
  <c r="S27" i="15"/>
  <c r="S85" i="15" s="1"/>
  <c r="E229" i="15"/>
  <c r="F239" i="15"/>
  <c r="N239" i="15" s="1"/>
  <c r="P24" i="15"/>
  <c r="R24" i="15" s="1"/>
  <c r="P31" i="15"/>
  <c r="P38" i="15"/>
  <c r="P82" i="15"/>
  <c r="O82" i="15" s="1"/>
  <c r="P37" i="15"/>
  <c r="P34" i="15"/>
  <c r="P33" i="15"/>
  <c r="P32" i="15"/>
  <c r="P36" i="15"/>
  <c r="AN502" i="15"/>
  <c r="AO502" i="15" s="1"/>
  <c r="AH502" i="15"/>
  <c r="AE502" i="15"/>
  <c r="E27" i="15"/>
  <c r="E78" i="15"/>
  <c r="AH552" i="15"/>
  <c r="AN552" i="15"/>
  <c r="AN521" i="15"/>
  <c r="AO521" i="15" s="1"/>
  <c r="AH521" i="15"/>
  <c r="AF539" i="15"/>
  <c r="AH515" i="15"/>
  <c r="AN515" i="15"/>
  <c r="AO515" i="15" s="1"/>
  <c r="AI501" i="15"/>
  <c r="Y501" i="15"/>
  <c r="M106" i="15"/>
  <c r="K106" i="15"/>
  <c r="R106" i="15" s="1"/>
  <c r="AI502" i="15"/>
  <c r="Y502" i="15"/>
  <c r="AN514" i="15"/>
  <c r="AH514" i="15"/>
  <c r="N85" i="15"/>
  <c r="AI533" i="15"/>
  <c r="AH533" i="15"/>
  <c r="S74" i="15"/>
  <c r="N74" i="15"/>
  <c r="K74" i="15"/>
  <c r="P484" i="15"/>
  <c r="Q486" i="15"/>
  <c r="S486" i="15" s="1"/>
  <c r="AI499" i="15"/>
  <c r="Y499" i="15"/>
  <c r="AN500" i="15"/>
  <c r="AH500" i="15"/>
  <c r="AE500" i="15"/>
  <c r="AN565" i="15"/>
  <c r="AH565" i="15"/>
  <c r="AI565" i="15" s="1"/>
  <c r="S305" i="15"/>
  <c r="N305" i="15"/>
  <c r="K305" i="15"/>
  <c r="AN537" i="15"/>
  <c r="AH537" i="15"/>
  <c r="E363" i="15"/>
  <c r="F365" i="15"/>
  <c r="AH512" i="15"/>
  <c r="AN512" i="15"/>
  <c r="AN534" i="15"/>
  <c r="AO534" i="15" s="1"/>
  <c r="AH534" i="15"/>
  <c r="AH559" i="15"/>
  <c r="AI559" i="15" s="1"/>
  <c r="AN559" i="15"/>
  <c r="AI508" i="15"/>
  <c r="Z520" i="15"/>
  <c r="AI496" i="15"/>
  <c r="Z506" i="15"/>
  <c r="Y496" i="15"/>
  <c r="F85" i="15"/>
  <c r="F166" i="15"/>
  <c r="N166" i="15" s="1"/>
  <c r="E209" i="15"/>
  <c r="E136" i="15"/>
  <c r="AH564" i="15"/>
  <c r="AI564" i="15" s="1"/>
  <c r="AN564" i="15"/>
  <c r="AH528" i="15"/>
  <c r="AN528" i="15"/>
  <c r="AO528" i="15" s="1"/>
  <c r="S363" i="15"/>
  <c r="K363" i="15"/>
  <c r="N363" i="15"/>
  <c r="D390" i="15"/>
  <c r="E385" i="15"/>
  <c r="AI515" i="15"/>
  <c r="Y515" i="15"/>
  <c r="P229" i="15"/>
  <c r="Q239" i="15"/>
  <c r="S239" i="15" s="1"/>
  <c r="AN560" i="15"/>
  <c r="AH560" i="15"/>
  <c r="AI560" i="15" s="1"/>
  <c r="AI526" i="15"/>
  <c r="AH526" i="15"/>
  <c r="AN566" i="15"/>
  <c r="AH566" i="15"/>
  <c r="AI566" i="15" s="1"/>
  <c r="AI500" i="15"/>
  <c r="Y500" i="15"/>
  <c r="AO536" i="15"/>
  <c r="AL539" i="15"/>
  <c r="L307" i="15"/>
  <c r="L269" i="15"/>
  <c r="M268" i="15" s="1"/>
  <c r="S268" i="15"/>
  <c r="N268" i="15"/>
  <c r="N269" i="15" s="1"/>
  <c r="S269" i="15"/>
  <c r="AN550" i="15"/>
  <c r="AH550" i="15"/>
  <c r="AF553" i="15"/>
  <c r="AN538" i="15"/>
  <c r="AH538" i="15"/>
  <c r="AN525" i="15"/>
  <c r="AO525" i="15" s="1"/>
  <c r="AH525" i="15"/>
  <c r="AN562" i="15"/>
  <c r="AH562" i="15"/>
  <c r="AI562" i="15" s="1"/>
  <c r="AH529" i="15"/>
  <c r="AN582" i="15"/>
  <c r="AH582" i="15"/>
  <c r="Z494" i="15"/>
  <c r="AO505" i="15"/>
  <c r="AK505" i="15"/>
  <c r="AL506" i="15"/>
  <c r="AM497" i="15"/>
  <c r="AG497" i="15"/>
  <c r="AI497" i="15"/>
  <c r="Y497" i="15"/>
  <c r="AN536" i="15"/>
  <c r="AH536" i="15"/>
  <c r="F429" i="15"/>
  <c r="R27" i="15"/>
  <c r="R28" i="15" s="1"/>
  <c r="AI498" i="15"/>
  <c r="Y498" i="15"/>
  <c r="AN518" i="15"/>
  <c r="AO518" i="15" s="1"/>
  <c r="AH518" i="15"/>
  <c r="AI504" i="15"/>
  <c r="Y504" i="15"/>
  <c r="AH523" i="15"/>
  <c r="AN523" i="15"/>
  <c r="AO523" i="15" s="1"/>
  <c r="AH530" i="15"/>
  <c r="AN505" i="15"/>
  <c r="AH505" i="15"/>
  <c r="AE505" i="15"/>
  <c r="AH567" i="15"/>
  <c r="AI567" i="15" s="1"/>
  <c r="AE567" i="15"/>
  <c r="AD567" i="15"/>
  <c r="AN567" i="15"/>
  <c r="AH509" i="15"/>
  <c r="AH535" i="15"/>
  <c r="AI535" i="15"/>
  <c r="AI557" i="15"/>
  <c r="Z568" i="15"/>
  <c r="AN558" i="15"/>
  <c r="AO558" i="15" s="1"/>
  <c r="AH558" i="15"/>
  <c r="AI558" i="15" s="1"/>
  <c r="AF568" i="15"/>
  <c r="Q429" i="15"/>
  <c r="S229" i="15"/>
  <c r="N229" i="15"/>
  <c r="K229" i="15"/>
  <c r="AN531" i="15"/>
  <c r="AO531" i="15" s="1"/>
  <c r="AH531" i="15"/>
  <c r="AN532" i="15"/>
  <c r="AO532" i="15" s="1"/>
  <c r="AH532" i="15"/>
  <c r="AI521" i="15"/>
  <c r="Z539" i="15"/>
  <c r="AI505" i="15"/>
  <c r="Y505" i="15"/>
  <c r="AN551" i="15"/>
  <c r="AH551" i="15"/>
  <c r="AH510" i="15"/>
  <c r="AN510" i="15"/>
  <c r="AO510" i="15" s="1"/>
  <c r="Q166" i="15"/>
  <c r="S166" i="15" s="1"/>
  <c r="S110" i="15"/>
  <c r="Q269" i="15"/>
  <c r="Q307" i="15"/>
  <c r="P284" i="15"/>
  <c r="AN519" i="15"/>
  <c r="AH519" i="15"/>
  <c r="P303" i="15"/>
  <c r="AH522" i="15"/>
  <c r="AN516" i="15"/>
  <c r="AO516" i="15" s="1"/>
  <c r="AH516" i="15"/>
  <c r="E484" i="15"/>
  <c r="F486" i="15"/>
  <c r="AN527" i="15"/>
  <c r="AH527" i="15"/>
  <c r="M109" i="15"/>
  <c r="R109" i="15"/>
  <c r="R110" i="15" s="1"/>
  <c r="K109" i="15"/>
  <c r="AN563" i="15"/>
  <c r="AH563" i="15"/>
  <c r="AI563" i="15" s="1"/>
  <c r="M385" i="15"/>
  <c r="K385" i="15"/>
  <c r="J390" i="15"/>
  <c r="AF493" i="15" s="1"/>
  <c r="K427" i="15"/>
  <c r="S427" i="15"/>
  <c r="N427" i="15"/>
  <c r="R385" i="15"/>
  <c r="P385" i="15"/>
  <c r="O390" i="15"/>
  <c r="AN504" i="15"/>
  <c r="AH504" i="15"/>
  <c r="AE504" i="15"/>
  <c r="AN499" i="15"/>
  <c r="AO499" i="15" s="1"/>
  <c r="AH499" i="15"/>
  <c r="AE499" i="15"/>
  <c r="Y517" i="15"/>
  <c r="AI517" i="15"/>
  <c r="L365" i="15"/>
  <c r="AN498" i="15"/>
  <c r="AO498" i="15" s="1"/>
  <c r="AH498" i="15"/>
  <c r="AE498" i="15"/>
  <c r="AL494" i="6" l="1"/>
  <c r="AI553" i="6"/>
  <c r="X553" i="6"/>
  <c r="E390" i="6"/>
  <c r="Z493" i="6"/>
  <c r="Y535" i="6" s="1"/>
  <c r="X494" i="6"/>
  <c r="Q429" i="6"/>
  <c r="P406" i="6"/>
  <c r="P425" i="6"/>
  <c r="P390" i="6"/>
  <c r="Z555" i="6"/>
  <c r="X555" i="6" s="1"/>
  <c r="X506" i="6"/>
  <c r="AJ568" i="5"/>
  <c r="AJ553" i="5"/>
  <c r="AL555" i="5"/>
  <c r="AJ506" i="5"/>
  <c r="AM502" i="5"/>
  <c r="AG502" i="5"/>
  <c r="AM504" i="5"/>
  <c r="AG504" i="5"/>
  <c r="AM500" i="5"/>
  <c r="AG500" i="5"/>
  <c r="AM498" i="5"/>
  <c r="AG498" i="5"/>
  <c r="AH520" i="5"/>
  <c r="AI520" i="5" s="1"/>
  <c r="AN520" i="5"/>
  <c r="AD520" i="5"/>
  <c r="AM501" i="5"/>
  <c r="AG501" i="5"/>
  <c r="S166" i="5"/>
  <c r="N166" i="5"/>
  <c r="AN506" i="5"/>
  <c r="AO506" i="5" s="1"/>
  <c r="AH506" i="5"/>
  <c r="AI506" i="5" s="1"/>
  <c r="AD506" i="5"/>
  <c r="AF555" i="5"/>
  <c r="X555" i="5"/>
  <c r="E390" i="5"/>
  <c r="Z493" i="5"/>
  <c r="Y535" i="5" s="1"/>
  <c r="AM497" i="5"/>
  <c r="AG497" i="5"/>
  <c r="AM505" i="5"/>
  <c r="AG505" i="5"/>
  <c r="S307" i="5"/>
  <c r="N307" i="5"/>
  <c r="AN539" i="5"/>
  <c r="AD539" i="5"/>
  <c r="AF570" i="5"/>
  <c r="AD494" i="5"/>
  <c r="AH494" i="5"/>
  <c r="AI494" i="5" s="1"/>
  <c r="AN494" i="5"/>
  <c r="AO494" i="5" s="1"/>
  <c r="R24" i="5"/>
  <c r="S28" i="5"/>
  <c r="AJ520" i="5"/>
  <c r="AO520" i="5"/>
  <c r="AM503" i="5"/>
  <c r="AG503" i="5"/>
  <c r="AM496" i="5"/>
  <c r="AG496" i="5"/>
  <c r="S390" i="5"/>
  <c r="L429" i="5"/>
  <c r="N390" i="5"/>
  <c r="N391" i="5" s="1"/>
  <c r="K425" i="5"/>
  <c r="K406" i="5"/>
  <c r="K390" i="5"/>
  <c r="S391" i="5"/>
  <c r="Q429" i="5"/>
  <c r="P406" i="5"/>
  <c r="P425" i="5"/>
  <c r="AM499" i="5"/>
  <c r="AG499" i="5"/>
  <c r="AJ539" i="5"/>
  <c r="AO539" i="5"/>
  <c r="AN553" i="5"/>
  <c r="AO553" i="5" s="1"/>
  <c r="AD553" i="5"/>
  <c r="Z570" i="5"/>
  <c r="X553" i="5"/>
  <c r="X568" i="5"/>
  <c r="X539" i="5"/>
  <c r="X520" i="5"/>
  <c r="AN568" i="5"/>
  <c r="AO568" i="5" s="1"/>
  <c r="AH568" i="5"/>
  <c r="AI568" i="5" s="1"/>
  <c r="AD568" i="5"/>
  <c r="R390" i="5"/>
  <c r="P390" i="5"/>
  <c r="AL493" i="5"/>
  <c r="AM500" i="15"/>
  <c r="AG500" i="15"/>
  <c r="AM499" i="15"/>
  <c r="AG499" i="15"/>
  <c r="S390" i="15"/>
  <c r="S391" i="15" s="1"/>
  <c r="L429" i="15"/>
  <c r="N390" i="15"/>
  <c r="N391" i="15" s="1"/>
  <c r="K406" i="15"/>
  <c r="K425" i="15"/>
  <c r="AN539" i="15"/>
  <c r="AO539" i="15" s="1"/>
  <c r="AD539" i="15"/>
  <c r="AM503" i="15"/>
  <c r="AG503" i="15"/>
  <c r="AJ494" i="15"/>
  <c r="AJ568" i="15"/>
  <c r="AJ553" i="15"/>
  <c r="AH539" i="15"/>
  <c r="AI539" i="15" s="1"/>
  <c r="AL555" i="15"/>
  <c r="AJ506" i="15"/>
  <c r="AH553" i="15"/>
  <c r="AM496" i="15"/>
  <c r="AG496" i="15"/>
  <c r="AH568" i="15"/>
  <c r="AI568" i="15" s="1"/>
  <c r="AN568" i="15"/>
  <c r="AO568" i="15" s="1"/>
  <c r="AM505" i="15"/>
  <c r="AG505" i="15"/>
  <c r="AN506" i="15"/>
  <c r="AO506" i="15" s="1"/>
  <c r="AH506" i="15"/>
  <c r="AI506" i="15" s="1"/>
  <c r="AF555" i="15"/>
  <c r="Z570" i="15"/>
  <c r="X520" i="15"/>
  <c r="AM502" i="15"/>
  <c r="AG502" i="15"/>
  <c r="AH520" i="15"/>
  <c r="AI520" i="15" s="1"/>
  <c r="AM501" i="15"/>
  <c r="AG501" i="15"/>
  <c r="AI553" i="15"/>
  <c r="X553" i="15"/>
  <c r="AJ520" i="15"/>
  <c r="F488" i="15"/>
  <c r="E390" i="15"/>
  <c r="Z493" i="15"/>
  <c r="Y535" i="15" s="1"/>
  <c r="AN553" i="15"/>
  <c r="AO553" i="15" s="1"/>
  <c r="Z555" i="15"/>
  <c r="X555" i="15" s="1"/>
  <c r="X506" i="15"/>
  <c r="X568" i="15"/>
  <c r="S307" i="15"/>
  <c r="N307" i="15"/>
  <c r="M390" i="15"/>
  <c r="K390" i="15"/>
  <c r="AM504" i="15"/>
  <c r="AG504" i="15"/>
  <c r="X539" i="15"/>
  <c r="AM498" i="15"/>
  <c r="AG498" i="15"/>
  <c r="R390" i="15"/>
  <c r="P390" i="15"/>
  <c r="AL493" i="15"/>
  <c r="S365" i="15"/>
  <c r="N365" i="15"/>
  <c r="AJ539" i="15"/>
  <c r="AF494" i="15"/>
  <c r="AD553" i="15" s="1"/>
  <c r="AJ494" i="6" l="1"/>
  <c r="AJ553" i="6"/>
  <c r="AJ568" i="6"/>
  <c r="Z570" i="6"/>
  <c r="X494" i="5"/>
  <c r="AJ555" i="5"/>
  <c r="N429" i="5"/>
  <c r="S429" i="5"/>
  <c r="Z576" i="5"/>
  <c r="Y570" i="5"/>
  <c r="AF576" i="5"/>
  <c r="AH570" i="5"/>
  <c r="AI570" i="5" s="1"/>
  <c r="AE570" i="5"/>
  <c r="AD555" i="5"/>
  <c r="AH555" i="5"/>
  <c r="AI555" i="5" s="1"/>
  <c r="AN555" i="5"/>
  <c r="AO555" i="5" s="1"/>
  <c r="AJ494" i="5"/>
  <c r="AL570" i="5"/>
  <c r="X494" i="15"/>
  <c r="AN555" i="15"/>
  <c r="AH555" i="15"/>
  <c r="AI555" i="15" s="1"/>
  <c r="AD555" i="15"/>
  <c r="AO555" i="15"/>
  <c r="AJ555" i="15"/>
  <c r="Z576" i="15"/>
  <c r="Y570" i="15"/>
  <c r="AD506" i="15"/>
  <c r="S429" i="15"/>
  <c r="N429" i="15"/>
  <c r="AD568" i="15"/>
  <c r="AL570" i="15"/>
  <c r="AN494" i="15"/>
  <c r="AO494" i="15" s="1"/>
  <c r="AH494" i="15"/>
  <c r="AI494" i="15" s="1"/>
  <c r="AD494" i="15"/>
  <c r="AF570" i="15"/>
  <c r="AD520" i="15"/>
  <c r="Y570" i="6" l="1"/>
  <c r="Z576" i="6"/>
  <c r="AF585" i="5"/>
  <c r="AH576" i="5"/>
  <c r="AI576" i="5" s="1"/>
  <c r="AE576" i="5"/>
  <c r="AF575" i="5"/>
  <c r="Y576" i="5"/>
  <c r="Z575" i="5"/>
  <c r="Y575" i="5" s="1"/>
  <c r="Z585" i="5"/>
  <c r="Y585" i="5" s="1"/>
  <c r="AK570" i="5"/>
  <c r="AL576" i="5"/>
  <c r="AN570" i="5"/>
  <c r="AO570" i="5" s="1"/>
  <c r="AN570" i="15"/>
  <c r="AH570" i="15"/>
  <c r="AI570" i="15" s="1"/>
  <c r="AE570" i="15"/>
  <c r="AF576" i="15"/>
  <c r="Z575" i="15"/>
  <c r="Y575" i="15" s="1"/>
  <c r="Y576" i="15"/>
  <c r="Z585" i="15"/>
  <c r="Y585" i="15" s="1"/>
  <c r="AO570" i="15"/>
  <c r="AK570" i="15"/>
  <c r="AL576" i="15"/>
  <c r="Z575" i="6" l="1"/>
  <c r="Y575" i="6" s="1"/>
  <c r="Z585" i="6"/>
  <c r="Y585" i="6" s="1"/>
  <c r="Y576" i="6"/>
  <c r="AL575" i="5"/>
  <c r="AL585" i="5"/>
  <c r="AK576" i="5"/>
  <c r="AH575" i="5"/>
  <c r="AI575" i="5" s="1"/>
  <c r="AE575" i="5"/>
  <c r="AN575" i="5"/>
  <c r="AF597" i="5"/>
  <c r="AF591" i="5"/>
  <c r="AN585" i="5"/>
  <c r="AE585" i="5"/>
  <c r="AH585" i="5"/>
  <c r="AI585" i="5" s="1"/>
  <c r="AN576" i="5"/>
  <c r="AO576" i="5" s="1"/>
  <c r="AL575" i="15"/>
  <c r="AL585" i="15"/>
  <c r="AK576" i="15"/>
  <c r="AN576" i="15"/>
  <c r="AO576" i="15" s="1"/>
  <c r="AH576" i="15"/>
  <c r="AI576" i="15" s="1"/>
  <c r="AF585" i="15"/>
  <c r="AF575" i="15"/>
  <c r="AE576" i="15"/>
  <c r="AL591" i="5" l="1"/>
  <c r="AO585" i="5"/>
  <c r="AK585" i="5"/>
  <c r="AO575" i="5"/>
  <c r="AK575" i="5"/>
  <c r="AN575" i="15"/>
  <c r="AH575" i="15"/>
  <c r="AI575" i="15" s="1"/>
  <c r="AE575" i="15"/>
  <c r="AF591" i="15"/>
  <c r="AN585" i="15"/>
  <c r="AH585" i="15"/>
  <c r="AI585" i="15" s="1"/>
  <c r="AE585" i="15"/>
  <c r="AL591" i="15"/>
  <c r="AO585" i="15"/>
  <c r="AK585" i="15"/>
  <c r="AO575" i="15"/>
  <c r="AK575" i="15"/>
  <c r="V572" i="1" l="1"/>
  <c r="V489" i="1"/>
  <c r="C432" i="1"/>
  <c r="C367" i="1"/>
  <c r="C310" i="1"/>
  <c r="C242" i="1"/>
  <c r="A492" i="1"/>
  <c r="Q403" i="1"/>
  <c r="Q400" i="1"/>
  <c r="F400" i="1"/>
  <c r="Q373" i="1"/>
  <c r="Q357" i="1"/>
  <c r="F357" i="1"/>
  <c r="F354" i="1"/>
  <c r="Q346" i="1"/>
  <c r="F340" i="1"/>
  <c r="F337" i="1"/>
  <c r="Q334" i="1"/>
  <c r="Q296" i="1"/>
  <c r="F282" i="1"/>
  <c r="F277" i="1"/>
  <c r="Q222" i="1"/>
  <c r="Q216" i="1"/>
  <c r="F213" i="1"/>
  <c r="F199" i="1"/>
  <c r="F173" i="1"/>
  <c r="F456" i="1"/>
  <c r="O377" i="1"/>
  <c r="Q279" i="1"/>
  <c r="Q214" i="1"/>
  <c r="R448" i="1"/>
  <c r="Q478" i="1"/>
  <c r="Q477" i="1"/>
  <c r="Q476" i="1"/>
  <c r="Q475" i="1"/>
  <c r="Q474" i="1"/>
  <c r="Q473" i="1"/>
  <c r="Q472" i="1"/>
  <c r="Q471" i="1"/>
  <c r="Q470" i="1"/>
  <c r="Q469" i="1"/>
  <c r="Q468" i="1"/>
  <c r="Q466" i="1"/>
  <c r="Q465" i="1"/>
  <c r="Q462" i="1"/>
  <c r="Q461" i="1"/>
  <c r="Q460" i="1"/>
  <c r="Q459" i="1"/>
  <c r="Q458" i="1"/>
  <c r="Q457" i="1"/>
  <c r="Q456" i="1"/>
  <c r="Q455" i="1"/>
  <c r="Q454" i="1"/>
  <c r="Q453" i="1"/>
  <c r="Q452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2" i="1"/>
  <c r="F461" i="1"/>
  <c r="F460" i="1"/>
  <c r="F459" i="1"/>
  <c r="F458" i="1"/>
  <c r="F457" i="1"/>
  <c r="F455" i="1"/>
  <c r="F454" i="1"/>
  <c r="F453" i="1"/>
  <c r="F452" i="1"/>
  <c r="Q443" i="1"/>
  <c r="P443" i="1"/>
  <c r="O443" i="1"/>
  <c r="Q440" i="1"/>
  <c r="P440" i="1"/>
  <c r="O440" i="1"/>
  <c r="Q437" i="1"/>
  <c r="P437" i="1"/>
  <c r="O437" i="1"/>
  <c r="R437" i="1" s="1"/>
  <c r="F446" i="1"/>
  <c r="F443" i="1"/>
  <c r="E443" i="1"/>
  <c r="D443" i="1"/>
  <c r="F440" i="1"/>
  <c r="E440" i="1"/>
  <c r="D440" i="1"/>
  <c r="F437" i="1"/>
  <c r="E437" i="1"/>
  <c r="D437" i="1"/>
  <c r="S481" i="1"/>
  <c r="S480" i="1"/>
  <c r="S479" i="1"/>
  <c r="S463" i="1"/>
  <c r="A491" i="1"/>
  <c r="A495" i="1"/>
  <c r="A496" i="1"/>
  <c r="AC496" i="1"/>
  <c r="A497" i="1"/>
  <c r="AC497" i="1"/>
  <c r="AB497" i="1" s="1"/>
  <c r="A498" i="1"/>
  <c r="AC498" i="1"/>
  <c r="AB498" i="1" s="1"/>
  <c r="A499" i="1"/>
  <c r="AC499" i="1"/>
  <c r="AB499" i="1" s="1"/>
  <c r="A500" i="1"/>
  <c r="AC500" i="1"/>
  <c r="AB500" i="1" s="1"/>
  <c r="A501" i="1"/>
  <c r="AC501" i="1"/>
  <c r="AB501" i="1" s="1"/>
  <c r="A502" i="1"/>
  <c r="AC502" i="1"/>
  <c r="AB502" i="1" s="1"/>
  <c r="A503" i="1"/>
  <c r="AC503" i="1"/>
  <c r="AB503" i="1" s="1"/>
  <c r="A504" i="1"/>
  <c r="AC504" i="1"/>
  <c r="AB504" i="1" s="1"/>
  <c r="A505" i="1"/>
  <c r="AC505" i="1"/>
  <c r="AB505" i="1" s="1"/>
  <c r="AO505" i="1"/>
  <c r="A506" i="1"/>
  <c r="AJ506" i="1"/>
  <c r="A507" i="1"/>
  <c r="Z507" i="1"/>
  <c r="AI507" i="1" s="1"/>
  <c r="AC507" i="1"/>
  <c r="AB507" i="1" s="1"/>
  <c r="AL507" i="1"/>
  <c r="A508" i="1"/>
  <c r="AC508" i="1"/>
  <c r="A509" i="1"/>
  <c r="AC509" i="1"/>
  <c r="AB509" i="1" s="1"/>
  <c r="A510" i="1"/>
  <c r="AC510" i="1"/>
  <c r="AB510" i="1" s="1"/>
  <c r="A511" i="1"/>
  <c r="AC511" i="1"/>
  <c r="AB511" i="1" s="1"/>
  <c r="A512" i="1"/>
  <c r="AC512" i="1"/>
  <c r="AB512" i="1" s="1"/>
  <c r="AO512" i="1"/>
  <c r="A513" i="1"/>
  <c r="AC513" i="1"/>
  <c r="AB513" i="1" s="1"/>
  <c r="AO513" i="1"/>
  <c r="A514" i="1"/>
  <c r="AC514" i="1"/>
  <c r="AB514" i="1" s="1"/>
  <c r="AO514" i="1"/>
  <c r="A515" i="1"/>
  <c r="AC515" i="1"/>
  <c r="AB515" i="1" s="1"/>
  <c r="A516" i="1"/>
  <c r="AC516" i="1"/>
  <c r="AB516" i="1" s="1"/>
  <c r="A517" i="1"/>
  <c r="AC517" i="1"/>
  <c r="AB517" i="1" s="1"/>
  <c r="A518" i="1"/>
  <c r="AC518" i="1"/>
  <c r="AB518" i="1" s="1"/>
  <c r="A519" i="1"/>
  <c r="AC519" i="1"/>
  <c r="AB519" i="1" s="1"/>
  <c r="A520" i="1"/>
  <c r="AJ520" i="1"/>
  <c r="A521" i="1"/>
  <c r="AC521" i="1"/>
  <c r="AB521" i="1" s="1"/>
  <c r="A522" i="1"/>
  <c r="AC522" i="1"/>
  <c r="AB522" i="1" s="1"/>
  <c r="A523" i="1"/>
  <c r="AC523" i="1"/>
  <c r="AB523" i="1" s="1"/>
  <c r="A524" i="1"/>
  <c r="AC524" i="1"/>
  <c r="AB524" i="1" s="1"/>
  <c r="A525" i="1"/>
  <c r="AC525" i="1"/>
  <c r="AB525" i="1" s="1"/>
  <c r="A526" i="1"/>
  <c r="AC526" i="1"/>
  <c r="AB526" i="1" s="1"/>
  <c r="AC527" i="1"/>
  <c r="AB527" i="1" s="1"/>
  <c r="A528" i="1"/>
  <c r="AC528" i="1"/>
  <c r="AB528" i="1" s="1"/>
  <c r="A529" i="1"/>
  <c r="AC529" i="1"/>
  <c r="AB529" i="1" s="1"/>
  <c r="A530" i="1"/>
  <c r="AC530" i="1"/>
  <c r="AB530" i="1" s="1"/>
  <c r="A531" i="1"/>
  <c r="AC531" i="1"/>
  <c r="AB531" i="1" s="1"/>
  <c r="A532" i="1"/>
  <c r="AC532" i="1"/>
  <c r="AB532" i="1" s="1"/>
  <c r="A533" i="1"/>
  <c r="AC533" i="1"/>
  <c r="AB533" i="1" s="1"/>
  <c r="A534" i="1"/>
  <c r="AC534" i="1"/>
  <c r="AB534" i="1" s="1"/>
  <c r="A535" i="1"/>
  <c r="AC535" i="1"/>
  <c r="AB535" i="1" s="1"/>
  <c r="AL535" i="1"/>
  <c r="A536" i="1"/>
  <c r="AC536" i="1"/>
  <c r="AB536" i="1" s="1"/>
  <c r="A537" i="1"/>
  <c r="AC537" i="1"/>
  <c r="AB537" i="1" s="1"/>
  <c r="AO537" i="1"/>
  <c r="A538" i="1"/>
  <c r="AC538" i="1"/>
  <c r="AB538" i="1" s="1"/>
  <c r="AO538" i="1"/>
  <c r="A539" i="1"/>
  <c r="AC539" i="1"/>
  <c r="AA539" i="1" s="1"/>
  <c r="AJ539" i="1"/>
  <c r="A540" i="1"/>
  <c r="Z540" i="1"/>
  <c r="AC540" i="1"/>
  <c r="AB540" i="1" s="1"/>
  <c r="A541" i="1"/>
  <c r="Z541" i="1"/>
  <c r="AI541" i="1" s="1"/>
  <c r="AC541" i="1"/>
  <c r="AB541" i="1" s="1"/>
  <c r="AL541" i="1"/>
  <c r="A542" i="1"/>
  <c r="Z542" i="1"/>
  <c r="AI542" i="1" s="1"/>
  <c r="AC542" i="1"/>
  <c r="AB542" i="1" s="1"/>
  <c r="AL542" i="1"/>
  <c r="A543" i="1"/>
  <c r="Z543" i="1"/>
  <c r="AC543" i="1"/>
  <c r="AB543" i="1" s="1"/>
  <c r="AL543" i="1"/>
  <c r="AO543" i="1" s="1"/>
  <c r="A544" i="1"/>
  <c r="Z544" i="1"/>
  <c r="AI544" i="1" s="1"/>
  <c r="AC544" i="1"/>
  <c r="AB544" i="1" s="1"/>
  <c r="AL544" i="1"/>
  <c r="A545" i="1"/>
  <c r="Z545" i="1"/>
  <c r="AI545" i="1" s="1"/>
  <c r="AC545" i="1"/>
  <c r="AB545" i="1" s="1"/>
  <c r="AL545" i="1"/>
  <c r="A546" i="1"/>
  <c r="Z546" i="1"/>
  <c r="AI546" i="1" s="1"/>
  <c r="AC546" i="1"/>
  <c r="AB546" i="1" s="1"/>
  <c r="AL546" i="1"/>
  <c r="A547" i="1"/>
  <c r="Z547" i="1"/>
  <c r="AI547" i="1" s="1"/>
  <c r="AC547" i="1"/>
  <c r="AB547" i="1" s="1"/>
  <c r="AL547" i="1"/>
  <c r="A548" i="1"/>
  <c r="Z548" i="1"/>
  <c r="AI548" i="1" s="1"/>
  <c r="AC548" i="1"/>
  <c r="AB548" i="1" s="1"/>
  <c r="AL548" i="1"/>
  <c r="A549" i="1"/>
  <c r="Z549" i="1"/>
  <c r="AC549" i="1"/>
  <c r="AB549" i="1" s="1"/>
  <c r="AL549" i="1"/>
  <c r="A550" i="1"/>
  <c r="Z550" i="1"/>
  <c r="AI550" i="1" s="1"/>
  <c r="AC550" i="1"/>
  <c r="AL550" i="1"/>
  <c r="A551" i="1"/>
  <c r="AC551" i="1"/>
  <c r="AL551" i="1"/>
  <c r="A552" i="1"/>
  <c r="AC552" i="1"/>
  <c r="AL552" i="1"/>
  <c r="A553" i="1"/>
  <c r="AJ553" i="1"/>
  <c r="A554" i="1"/>
  <c r="AH554" i="1"/>
  <c r="AN554" i="1"/>
  <c r="AO554" i="1"/>
  <c r="A555" i="1"/>
  <c r="AJ555" i="1"/>
  <c r="A556" i="1"/>
  <c r="Z556" i="1"/>
  <c r="AC556" i="1"/>
  <c r="AB556" i="1" s="1"/>
  <c r="AL556" i="1"/>
  <c r="A557" i="1"/>
  <c r="AC557" i="1"/>
  <c r="AB557" i="1" s="1"/>
  <c r="AL557" i="1"/>
  <c r="AO557" i="1" s="1"/>
  <c r="A558" i="1"/>
  <c r="AC558" i="1"/>
  <c r="AB558" i="1" s="1"/>
  <c r="AL558" i="1"/>
  <c r="A559" i="1"/>
  <c r="AC559" i="1"/>
  <c r="AB559" i="1" s="1"/>
  <c r="AL559" i="1"/>
  <c r="AO559" i="1" s="1"/>
  <c r="A560" i="1"/>
  <c r="AC560" i="1"/>
  <c r="AB560" i="1" s="1"/>
  <c r="AL560" i="1"/>
  <c r="AO560" i="1" s="1"/>
  <c r="A561" i="1"/>
  <c r="AC561" i="1"/>
  <c r="AB561" i="1" s="1"/>
  <c r="A562" i="1"/>
  <c r="AC562" i="1"/>
  <c r="AB562" i="1" s="1"/>
  <c r="AL562" i="1"/>
  <c r="AO562" i="1" s="1"/>
  <c r="A563" i="1"/>
  <c r="AC563" i="1"/>
  <c r="AB563" i="1" s="1"/>
  <c r="AL563" i="1"/>
  <c r="AO563" i="1" s="1"/>
  <c r="A564" i="1"/>
  <c r="Z564" i="1"/>
  <c r="AC564" i="1"/>
  <c r="AB564" i="1" s="1"/>
  <c r="AL564" i="1"/>
  <c r="AO564" i="1" s="1"/>
  <c r="A565" i="1"/>
  <c r="AC565" i="1"/>
  <c r="AB565" i="1" s="1"/>
  <c r="AL565" i="1"/>
  <c r="AO565" i="1" s="1"/>
  <c r="A566" i="1"/>
  <c r="AC566" i="1"/>
  <c r="AB566" i="1" s="1"/>
  <c r="AL566" i="1"/>
  <c r="A567" i="1"/>
  <c r="AC567" i="1"/>
  <c r="AB567" i="1" s="1"/>
  <c r="AL567" i="1"/>
  <c r="AO567" i="1" s="1"/>
  <c r="A568" i="1"/>
  <c r="A569" i="1"/>
  <c r="AN569" i="1"/>
  <c r="AO569" i="1"/>
  <c r="A570" i="1"/>
  <c r="AK570" i="1"/>
  <c r="A571" i="1"/>
  <c r="A572" i="1"/>
  <c r="A573" i="1"/>
  <c r="A574" i="1"/>
  <c r="A575" i="1"/>
  <c r="A576" i="1"/>
  <c r="AK576" i="1"/>
  <c r="A577" i="1"/>
  <c r="A578" i="1"/>
  <c r="Z578" i="1"/>
  <c r="AI578" i="1" s="1"/>
  <c r="AC578" i="1"/>
  <c r="AB578" i="1" s="1"/>
  <c r="AL578" i="1"/>
  <c r="A579" i="1"/>
  <c r="Z579" i="1"/>
  <c r="AI579" i="1" s="1"/>
  <c r="AC579" i="1"/>
  <c r="AB579" i="1" s="1"/>
  <c r="AL579" i="1"/>
  <c r="AO579" i="1" s="1"/>
  <c r="A580" i="1"/>
  <c r="Z580" i="1"/>
  <c r="AI580" i="1" s="1"/>
  <c r="AC580" i="1"/>
  <c r="AB580" i="1" s="1"/>
  <c r="AL580" i="1"/>
  <c r="A581" i="1"/>
  <c r="Z581" i="1"/>
  <c r="AI581" i="1" s="1"/>
  <c r="AC581" i="1"/>
  <c r="AB581" i="1" s="1"/>
  <c r="AL581" i="1"/>
  <c r="AO581" i="1" s="1"/>
  <c r="A582" i="1"/>
  <c r="AC582" i="1"/>
  <c r="AB582" i="1" s="1"/>
  <c r="AL582" i="1"/>
  <c r="AO582" i="1" s="1"/>
  <c r="A583" i="1"/>
  <c r="Z583" i="1"/>
  <c r="AI583" i="1" s="1"/>
  <c r="AC583" i="1"/>
  <c r="AB583" i="1" s="1"/>
  <c r="AL583" i="1"/>
  <c r="AO583" i="1" s="1"/>
  <c r="A584" i="1"/>
  <c r="AC584" i="1"/>
  <c r="AB584" i="1" s="1"/>
  <c r="AL584" i="1"/>
  <c r="A585" i="1"/>
  <c r="AK585" i="1"/>
  <c r="A586" i="1"/>
  <c r="Q324" i="1"/>
  <c r="F324" i="1"/>
  <c r="Q388" i="1"/>
  <c r="Q384" i="1"/>
  <c r="Q383" i="1"/>
  <c r="F359" i="1"/>
  <c r="Q349" i="1"/>
  <c r="Q298" i="1"/>
  <c r="F289" i="1"/>
  <c r="Q258" i="1"/>
  <c r="Q219" i="1"/>
  <c r="Q207" i="1"/>
  <c r="Q191" i="1"/>
  <c r="F189" i="1"/>
  <c r="R324" i="1"/>
  <c r="A328" i="1"/>
  <c r="A329" i="1"/>
  <c r="A330" i="1"/>
  <c r="F330" i="1"/>
  <c r="I330" i="1"/>
  <c r="Q330" i="1"/>
  <c r="A331" i="1"/>
  <c r="F331" i="1"/>
  <c r="I331" i="1"/>
  <c r="Q331" i="1"/>
  <c r="A332" i="1"/>
  <c r="F332" i="1"/>
  <c r="I332" i="1"/>
  <c r="Q332" i="1"/>
  <c r="A333" i="1"/>
  <c r="F333" i="1"/>
  <c r="I333" i="1"/>
  <c r="Q333" i="1"/>
  <c r="A334" i="1"/>
  <c r="F334" i="1"/>
  <c r="I334" i="1"/>
  <c r="A335" i="1"/>
  <c r="F335" i="1"/>
  <c r="I335" i="1"/>
  <c r="Q335" i="1"/>
  <c r="A336" i="1"/>
  <c r="F336" i="1"/>
  <c r="I336" i="1"/>
  <c r="Q336" i="1"/>
  <c r="A337" i="1"/>
  <c r="I337" i="1"/>
  <c r="Q337" i="1"/>
  <c r="A338" i="1"/>
  <c r="F338" i="1"/>
  <c r="I338" i="1"/>
  <c r="Q338" i="1"/>
  <c r="A339" i="1"/>
  <c r="F339" i="1"/>
  <c r="I339" i="1"/>
  <c r="Q339" i="1"/>
  <c r="A340" i="1"/>
  <c r="I340" i="1"/>
  <c r="Q340" i="1"/>
  <c r="A341" i="1"/>
  <c r="F341" i="1"/>
  <c r="I341" i="1"/>
  <c r="Q341" i="1"/>
  <c r="A342" i="1"/>
  <c r="K342" i="1"/>
  <c r="P342" i="1"/>
  <c r="A343" i="1"/>
  <c r="F343" i="1"/>
  <c r="I343" i="1"/>
  <c r="Q343" i="1"/>
  <c r="A344" i="1"/>
  <c r="F344" i="1"/>
  <c r="I344" i="1"/>
  <c r="Q344" i="1"/>
  <c r="A345" i="1"/>
  <c r="F345" i="1"/>
  <c r="I345" i="1"/>
  <c r="Q345" i="1"/>
  <c r="A346" i="1"/>
  <c r="F346" i="1"/>
  <c r="I346" i="1"/>
  <c r="A347" i="1"/>
  <c r="F347" i="1"/>
  <c r="I347" i="1"/>
  <c r="Q347" i="1"/>
  <c r="A348" i="1"/>
  <c r="F348" i="1"/>
  <c r="I348" i="1"/>
  <c r="Q348" i="1"/>
  <c r="A349" i="1"/>
  <c r="F349" i="1"/>
  <c r="I349" i="1"/>
  <c r="A350" i="1"/>
  <c r="F350" i="1"/>
  <c r="I350" i="1"/>
  <c r="Q350" i="1"/>
  <c r="A351" i="1"/>
  <c r="F351" i="1"/>
  <c r="I351" i="1"/>
  <c r="Q351" i="1"/>
  <c r="A352" i="1"/>
  <c r="F352" i="1"/>
  <c r="I352" i="1"/>
  <c r="Q352" i="1"/>
  <c r="A353" i="1"/>
  <c r="F353" i="1"/>
  <c r="I353" i="1"/>
  <c r="Q353" i="1"/>
  <c r="A354" i="1"/>
  <c r="I354" i="1"/>
  <c r="Q354" i="1"/>
  <c r="A355" i="1"/>
  <c r="F355" i="1"/>
  <c r="I355" i="1"/>
  <c r="Q355" i="1"/>
  <c r="A356" i="1"/>
  <c r="F356" i="1"/>
  <c r="I356" i="1"/>
  <c r="Q356" i="1"/>
  <c r="A357" i="1"/>
  <c r="I357" i="1"/>
  <c r="A358" i="1"/>
  <c r="F358" i="1"/>
  <c r="I358" i="1"/>
  <c r="Q358" i="1"/>
  <c r="A359" i="1"/>
  <c r="I359" i="1"/>
  <c r="Q359" i="1"/>
  <c r="A360" i="1"/>
  <c r="F360" i="1"/>
  <c r="I360" i="1"/>
  <c r="Q360" i="1"/>
  <c r="N364" i="1"/>
  <c r="A370" i="1"/>
  <c r="A371" i="1"/>
  <c r="D371" i="1"/>
  <c r="E371" i="1" s="1"/>
  <c r="F371" i="1"/>
  <c r="G371" i="1"/>
  <c r="H371" i="1" s="1"/>
  <c r="I371" i="1"/>
  <c r="O371" i="1"/>
  <c r="Q371" i="1"/>
  <c r="A372" i="1"/>
  <c r="D372" i="1"/>
  <c r="E372" i="1" s="1"/>
  <c r="F372" i="1"/>
  <c r="G372" i="1"/>
  <c r="H372" i="1" s="1"/>
  <c r="I372" i="1"/>
  <c r="O372" i="1"/>
  <c r="Q372" i="1"/>
  <c r="A373" i="1"/>
  <c r="D373" i="1"/>
  <c r="E373" i="1" s="1"/>
  <c r="F373" i="1"/>
  <c r="G373" i="1"/>
  <c r="H373" i="1" s="1"/>
  <c r="I373" i="1"/>
  <c r="O373" i="1"/>
  <c r="A374" i="1"/>
  <c r="D374" i="1"/>
  <c r="E374" i="1" s="1"/>
  <c r="F374" i="1"/>
  <c r="G374" i="1"/>
  <c r="H374" i="1" s="1"/>
  <c r="I374" i="1"/>
  <c r="O374" i="1"/>
  <c r="Q374" i="1"/>
  <c r="A375" i="1"/>
  <c r="D375" i="1"/>
  <c r="E375" i="1" s="1"/>
  <c r="F375" i="1"/>
  <c r="G375" i="1"/>
  <c r="H375" i="1" s="1"/>
  <c r="I375" i="1"/>
  <c r="O375" i="1"/>
  <c r="Q375" i="1"/>
  <c r="A376" i="1"/>
  <c r="D376" i="1"/>
  <c r="E376" i="1" s="1"/>
  <c r="F376" i="1"/>
  <c r="G376" i="1"/>
  <c r="H376" i="1" s="1"/>
  <c r="I376" i="1"/>
  <c r="Q376" i="1"/>
  <c r="A377" i="1"/>
  <c r="D377" i="1"/>
  <c r="E377" i="1" s="1"/>
  <c r="F377" i="1"/>
  <c r="G377" i="1"/>
  <c r="H377" i="1" s="1"/>
  <c r="I377" i="1"/>
  <c r="A378" i="1"/>
  <c r="F378" i="1"/>
  <c r="G378" i="1"/>
  <c r="H378" i="1" s="1"/>
  <c r="I378" i="1"/>
  <c r="O378" i="1"/>
  <c r="P378" i="1" s="1"/>
  <c r="Q378" i="1"/>
  <c r="A379" i="1"/>
  <c r="D379" i="1"/>
  <c r="E379" i="1" s="1"/>
  <c r="G379" i="1"/>
  <c r="H379" i="1" s="1"/>
  <c r="I379" i="1"/>
  <c r="O379" i="1"/>
  <c r="Q379" i="1"/>
  <c r="A380" i="1"/>
  <c r="A381" i="1"/>
  <c r="A382" i="1"/>
  <c r="A383" i="1"/>
  <c r="D383" i="1"/>
  <c r="E383" i="1" s="1"/>
  <c r="F383" i="1"/>
  <c r="G383" i="1"/>
  <c r="H383" i="1" s="1"/>
  <c r="I383" i="1"/>
  <c r="O383" i="1"/>
  <c r="A384" i="1"/>
  <c r="D384" i="1"/>
  <c r="F384" i="1"/>
  <c r="G384" i="1"/>
  <c r="H384" i="1" s="1"/>
  <c r="I384" i="1"/>
  <c r="O384" i="1"/>
  <c r="P384" i="1" s="1"/>
  <c r="A385" i="1"/>
  <c r="A386" i="1"/>
  <c r="A387" i="1"/>
  <c r="D387" i="1"/>
  <c r="E387" i="1" s="1"/>
  <c r="F387" i="1"/>
  <c r="G387" i="1"/>
  <c r="H387" i="1" s="1"/>
  <c r="I387" i="1"/>
  <c r="J387" i="1"/>
  <c r="K387" i="1" s="1"/>
  <c r="L387" i="1"/>
  <c r="O387" i="1"/>
  <c r="P387" i="1" s="1"/>
  <c r="Q387" i="1"/>
  <c r="A388" i="1"/>
  <c r="D388" i="1"/>
  <c r="E388" i="1" s="1"/>
  <c r="F388" i="1"/>
  <c r="G388" i="1"/>
  <c r="H388" i="1" s="1"/>
  <c r="I388" i="1"/>
  <c r="O388" i="1"/>
  <c r="P388" i="1" s="1"/>
  <c r="A389" i="1"/>
  <c r="A390" i="1"/>
  <c r="A391" i="1"/>
  <c r="A392" i="1"/>
  <c r="A393" i="1"/>
  <c r="A394" i="1"/>
  <c r="F394" i="1"/>
  <c r="I394" i="1"/>
  <c r="Q394" i="1"/>
  <c r="A395" i="1"/>
  <c r="F395" i="1"/>
  <c r="I395" i="1"/>
  <c r="Q395" i="1"/>
  <c r="A396" i="1"/>
  <c r="F396" i="1"/>
  <c r="I396" i="1"/>
  <c r="Q396" i="1"/>
  <c r="A397" i="1"/>
  <c r="F397" i="1"/>
  <c r="I397" i="1"/>
  <c r="Q397" i="1"/>
  <c r="A398" i="1"/>
  <c r="F398" i="1"/>
  <c r="I398" i="1"/>
  <c r="Q398" i="1"/>
  <c r="A399" i="1"/>
  <c r="F399" i="1"/>
  <c r="I399" i="1"/>
  <c r="Q399" i="1"/>
  <c r="A400" i="1"/>
  <c r="I400" i="1"/>
  <c r="A401" i="1"/>
  <c r="I401" i="1"/>
  <c r="Q401" i="1"/>
  <c r="A402" i="1"/>
  <c r="F402" i="1"/>
  <c r="I402" i="1"/>
  <c r="Q402" i="1"/>
  <c r="A403" i="1"/>
  <c r="F403" i="1"/>
  <c r="I403" i="1"/>
  <c r="A404" i="1"/>
  <c r="I404" i="1"/>
  <c r="Q404" i="1"/>
  <c r="A405" i="1"/>
  <c r="F405" i="1"/>
  <c r="I405" i="1"/>
  <c r="Q405" i="1"/>
  <c r="A406" i="1"/>
  <c r="A407" i="1"/>
  <c r="F407" i="1"/>
  <c r="I407" i="1"/>
  <c r="Q407" i="1"/>
  <c r="A408" i="1"/>
  <c r="F408" i="1"/>
  <c r="I408" i="1"/>
  <c r="Q408" i="1"/>
  <c r="A409" i="1"/>
  <c r="F409" i="1"/>
  <c r="I409" i="1"/>
  <c r="Q409" i="1"/>
  <c r="A410" i="1"/>
  <c r="F410" i="1"/>
  <c r="I410" i="1"/>
  <c r="Q410" i="1"/>
  <c r="A411" i="1"/>
  <c r="F411" i="1"/>
  <c r="I411" i="1"/>
  <c r="Q411" i="1"/>
  <c r="A412" i="1"/>
  <c r="F412" i="1"/>
  <c r="I412" i="1"/>
  <c r="A413" i="1"/>
  <c r="F413" i="1"/>
  <c r="I413" i="1"/>
  <c r="Q413" i="1"/>
  <c r="A414" i="1"/>
  <c r="F414" i="1"/>
  <c r="I414" i="1"/>
  <c r="Q414" i="1"/>
  <c r="A415" i="1"/>
  <c r="F415" i="1"/>
  <c r="I415" i="1"/>
  <c r="Q415" i="1"/>
  <c r="A416" i="1"/>
  <c r="F416" i="1"/>
  <c r="I416" i="1"/>
  <c r="Q416" i="1"/>
  <c r="A417" i="1"/>
  <c r="F417" i="1"/>
  <c r="I417" i="1"/>
  <c r="Q417" i="1"/>
  <c r="A418" i="1"/>
  <c r="F418" i="1"/>
  <c r="I418" i="1"/>
  <c r="Q418" i="1"/>
  <c r="A419" i="1"/>
  <c r="F419" i="1"/>
  <c r="I419" i="1"/>
  <c r="Q419" i="1"/>
  <c r="A420" i="1"/>
  <c r="F420" i="1"/>
  <c r="I420" i="1"/>
  <c r="Q420" i="1"/>
  <c r="A421" i="1"/>
  <c r="F421" i="1"/>
  <c r="I421" i="1"/>
  <c r="Q421" i="1"/>
  <c r="A422" i="1"/>
  <c r="F422" i="1"/>
  <c r="I422" i="1"/>
  <c r="Q422" i="1"/>
  <c r="A423" i="1"/>
  <c r="F423" i="1"/>
  <c r="I423" i="1"/>
  <c r="Q423" i="1"/>
  <c r="A424" i="1"/>
  <c r="F424" i="1"/>
  <c r="I424" i="1"/>
  <c r="Q424" i="1"/>
  <c r="N428" i="1"/>
  <c r="F280" i="1"/>
  <c r="F221" i="1"/>
  <c r="Q173" i="1"/>
  <c r="F182" i="1"/>
  <c r="Q223" i="1"/>
  <c r="Q221" i="1"/>
  <c r="Q220" i="1"/>
  <c r="Q218" i="1"/>
  <c r="Q217" i="1"/>
  <c r="Q215" i="1"/>
  <c r="Q213" i="1"/>
  <c r="Q212" i="1"/>
  <c r="Q206" i="1"/>
  <c r="Q205" i="1"/>
  <c r="Q204" i="1"/>
  <c r="Q203" i="1"/>
  <c r="Q202" i="1"/>
  <c r="Q201" i="1"/>
  <c r="Q200" i="1"/>
  <c r="Q199" i="1"/>
  <c r="Q198" i="1"/>
  <c r="Q197" i="1"/>
  <c r="Q192" i="1"/>
  <c r="Q189" i="1"/>
  <c r="Q188" i="1"/>
  <c r="Q187" i="1"/>
  <c r="Q186" i="1"/>
  <c r="F223" i="1"/>
  <c r="F222" i="1"/>
  <c r="F220" i="1"/>
  <c r="F219" i="1"/>
  <c r="F218" i="1"/>
  <c r="F217" i="1"/>
  <c r="F216" i="1"/>
  <c r="F215" i="1"/>
  <c r="F214" i="1"/>
  <c r="F212" i="1"/>
  <c r="F207" i="1"/>
  <c r="F206" i="1"/>
  <c r="F205" i="1"/>
  <c r="F204" i="1"/>
  <c r="F203" i="1"/>
  <c r="F202" i="1"/>
  <c r="F201" i="1"/>
  <c r="F198" i="1"/>
  <c r="F197" i="1"/>
  <c r="F192" i="1"/>
  <c r="F191" i="1"/>
  <c r="F188" i="1"/>
  <c r="F186" i="1"/>
  <c r="O179" i="1"/>
  <c r="Q177" i="1"/>
  <c r="S178" i="1" s="1"/>
  <c r="O177" i="1"/>
  <c r="P175" i="1"/>
  <c r="O175" i="1"/>
  <c r="F177" i="1"/>
  <c r="E177" i="1"/>
  <c r="D177" i="1"/>
  <c r="F175" i="1"/>
  <c r="D175" i="1"/>
  <c r="S235" i="1"/>
  <c r="S234" i="1"/>
  <c r="S233" i="1"/>
  <c r="E233" i="1"/>
  <c r="D233" i="1"/>
  <c r="S231" i="1"/>
  <c r="S230" i="1"/>
  <c r="N230" i="1"/>
  <c r="S225" i="1"/>
  <c r="S224" i="1"/>
  <c r="S211" i="1"/>
  <c r="N210" i="1"/>
  <c r="N208" i="1"/>
  <c r="N193" i="1"/>
  <c r="N180" i="1"/>
  <c r="A179" i="1"/>
  <c r="C169" i="1"/>
  <c r="A245" i="1"/>
  <c r="A246" i="1"/>
  <c r="E246" i="1"/>
  <c r="F246" i="1"/>
  <c r="G246" i="1"/>
  <c r="H246" i="1"/>
  <c r="I246" i="1"/>
  <c r="O246" i="1"/>
  <c r="P246" i="1"/>
  <c r="Q246" i="1"/>
  <c r="A247" i="1"/>
  <c r="A248" i="1"/>
  <c r="A249" i="1"/>
  <c r="D249" i="1"/>
  <c r="E249" i="1"/>
  <c r="F249" i="1"/>
  <c r="G249" i="1"/>
  <c r="H249" i="1"/>
  <c r="I249" i="1"/>
  <c r="O249" i="1"/>
  <c r="A250" i="1"/>
  <c r="A251" i="1"/>
  <c r="A252" i="1"/>
  <c r="D252" i="1"/>
  <c r="E252" i="1"/>
  <c r="F252" i="1"/>
  <c r="G252" i="1"/>
  <c r="H252" i="1"/>
  <c r="I252" i="1"/>
  <c r="O252" i="1"/>
  <c r="P252" i="1"/>
  <c r="Q252" i="1"/>
  <c r="A253" i="1"/>
  <c r="R253" i="1"/>
  <c r="A254" i="1"/>
  <c r="A255" i="1"/>
  <c r="D255" i="1"/>
  <c r="E255" i="1"/>
  <c r="M255" i="1" s="1"/>
  <c r="F255" i="1"/>
  <c r="G255" i="1"/>
  <c r="H255" i="1"/>
  <c r="I255" i="1"/>
  <c r="O255" i="1"/>
  <c r="R255" i="1" s="1"/>
  <c r="A256" i="1"/>
  <c r="M256" i="1"/>
  <c r="A257" i="1"/>
  <c r="A258" i="1"/>
  <c r="F258" i="1"/>
  <c r="I258" i="1"/>
  <c r="A259" i="1"/>
  <c r="R259" i="1"/>
  <c r="A260" i="1"/>
  <c r="S260" i="1"/>
  <c r="A261" i="1"/>
  <c r="A262" i="1"/>
  <c r="E262" i="1"/>
  <c r="F262" i="1"/>
  <c r="H262" i="1"/>
  <c r="I262" i="1"/>
  <c r="P262" i="1"/>
  <c r="Q262" i="1"/>
  <c r="R262" i="1"/>
  <c r="A263" i="1"/>
  <c r="A264" i="1"/>
  <c r="A265" i="1"/>
  <c r="E265" i="1"/>
  <c r="F265" i="1"/>
  <c r="F266" i="1" s="1"/>
  <c r="H265" i="1"/>
  <c r="I265" i="1"/>
  <c r="I266" i="1" s="1"/>
  <c r="P265" i="1"/>
  <c r="Q265" i="1"/>
  <c r="Q266" i="1" s="1"/>
  <c r="A266" i="1"/>
  <c r="A267" i="1"/>
  <c r="A268" i="1"/>
  <c r="A269" i="1"/>
  <c r="A270" i="1"/>
  <c r="A271" i="1"/>
  <c r="A272" i="1"/>
  <c r="F272" i="1"/>
  <c r="I272" i="1"/>
  <c r="Q272" i="1"/>
  <c r="A273" i="1"/>
  <c r="I273" i="1"/>
  <c r="A274" i="1"/>
  <c r="F274" i="1"/>
  <c r="I274" i="1"/>
  <c r="Q274" i="1"/>
  <c r="A275" i="1"/>
  <c r="F275" i="1"/>
  <c r="I275" i="1"/>
  <c r="A276" i="1"/>
  <c r="F276" i="1"/>
  <c r="I276" i="1"/>
  <c r="Q276" i="1"/>
  <c r="A277" i="1"/>
  <c r="I277" i="1"/>
  <c r="A278" i="1"/>
  <c r="F278" i="1"/>
  <c r="I278" i="1"/>
  <c r="Q278" i="1"/>
  <c r="A279" i="1"/>
  <c r="F279" i="1"/>
  <c r="I279" i="1"/>
  <c r="A280" i="1"/>
  <c r="I280" i="1"/>
  <c r="Q280" i="1"/>
  <c r="A281" i="1"/>
  <c r="F281" i="1"/>
  <c r="I281" i="1"/>
  <c r="Q281" i="1"/>
  <c r="A282" i="1"/>
  <c r="I282" i="1"/>
  <c r="Q282" i="1"/>
  <c r="A283" i="1"/>
  <c r="F283" i="1"/>
  <c r="I283" i="1"/>
  <c r="Q283" i="1"/>
  <c r="A284" i="1"/>
  <c r="A285" i="1"/>
  <c r="F285" i="1"/>
  <c r="I285" i="1"/>
  <c r="Q285" i="1"/>
  <c r="A286" i="1"/>
  <c r="F286" i="1"/>
  <c r="I286" i="1"/>
  <c r="A287" i="1"/>
  <c r="F287" i="1"/>
  <c r="I287" i="1"/>
  <c r="Q287" i="1"/>
  <c r="A288" i="1"/>
  <c r="F288" i="1"/>
  <c r="I288" i="1"/>
  <c r="Q288" i="1"/>
  <c r="A289" i="1"/>
  <c r="I289" i="1"/>
  <c r="Q289" i="1"/>
  <c r="A290" i="1"/>
  <c r="F290" i="1"/>
  <c r="I290" i="1"/>
  <c r="Q290" i="1"/>
  <c r="A291" i="1"/>
  <c r="F291" i="1"/>
  <c r="I291" i="1"/>
  <c r="Q291" i="1"/>
  <c r="A292" i="1"/>
  <c r="F292" i="1"/>
  <c r="I292" i="1"/>
  <c r="A293" i="1"/>
  <c r="F293" i="1"/>
  <c r="I293" i="1"/>
  <c r="Q293" i="1"/>
  <c r="A294" i="1"/>
  <c r="F294" i="1"/>
  <c r="I294" i="1"/>
  <c r="Q294" i="1"/>
  <c r="A295" i="1"/>
  <c r="F295" i="1"/>
  <c r="I295" i="1"/>
  <c r="Q295" i="1"/>
  <c r="A296" i="1"/>
  <c r="F296" i="1"/>
  <c r="I296" i="1"/>
  <c r="A297" i="1"/>
  <c r="F297" i="1"/>
  <c r="I297" i="1"/>
  <c r="Q297" i="1"/>
  <c r="A298" i="1"/>
  <c r="F298" i="1"/>
  <c r="I298" i="1"/>
  <c r="A299" i="1"/>
  <c r="F299" i="1"/>
  <c r="I299" i="1"/>
  <c r="Q299" i="1"/>
  <c r="A300" i="1"/>
  <c r="F300" i="1"/>
  <c r="I300" i="1"/>
  <c r="Q300" i="1"/>
  <c r="F301" i="1"/>
  <c r="I301" i="1"/>
  <c r="Q301" i="1"/>
  <c r="A302" i="1"/>
  <c r="F302" i="1"/>
  <c r="I302" i="1"/>
  <c r="Q302" i="1"/>
  <c r="N306" i="1"/>
  <c r="A313" i="1"/>
  <c r="A314" i="1"/>
  <c r="A315" i="1"/>
  <c r="D315" i="1"/>
  <c r="E315" i="1"/>
  <c r="F315" i="1"/>
  <c r="G315" i="1"/>
  <c r="H315" i="1"/>
  <c r="I315" i="1"/>
  <c r="J315" i="1"/>
  <c r="O315" i="1"/>
  <c r="R315" i="1" s="1"/>
  <c r="P315" i="1"/>
  <c r="Q315" i="1"/>
  <c r="A316" i="1"/>
  <c r="A317" i="1"/>
  <c r="A318" i="1"/>
  <c r="D318" i="1"/>
  <c r="E318" i="1"/>
  <c r="F318" i="1"/>
  <c r="G318" i="1"/>
  <c r="H318" i="1"/>
  <c r="I318" i="1"/>
  <c r="J318" i="1"/>
  <c r="O318" i="1"/>
  <c r="R318" i="1" s="1"/>
  <c r="P318" i="1"/>
  <c r="Q318" i="1"/>
  <c r="A319" i="1"/>
  <c r="A320" i="1"/>
  <c r="A321" i="1"/>
  <c r="D321" i="1"/>
  <c r="E321" i="1"/>
  <c r="F321" i="1"/>
  <c r="G321" i="1"/>
  <c r="H321" i="1"/>
  <c r="I321" i="1"/>
  <c r="J321" i="1"/>
  <c r="O321" i="1"/>
  <c r="R321" i="1" s="1"/>
  <c r="P321" i="1"/>
  <c r="Q321" i="1"/>
  <c r="A322" i="1"/>
  <c r="A323" i="1"/>
  <c r="P371" i="1" l="1"/>
  <c r="P375" i="1"/>
  <c r="P373" i="1"/>
  <c r="I263" i="1"/>
  <c r="P448" i="1"/>
  <c r="Q441" i="1"/>
  <c r="O182" i="1"/>
  <c r="Q438" i="1"/>
  <c r="Q444" i="1"/>
  <c r="R378" i="1"/>
  <c r="F441" i="1"/>
  <c r="Q316" i="1"/>
  <c r="S232" i="1"/>
  <c r="N236" i="1"/>
  <c r="N224" i="1"/>
  <c r="S193" i="1"/>
  <c r="S210" i="1"/>
  <c r="S236" i="1"/>
  <c r="S194" i="1"/>
  <c r="S226" i="1"/>
  <c r="F237" i="1"/>
  <c r="S208" i="1"/>
  <c r="Q237" i="1"/>
  <c r="S195" i="1"/>
  <c r="Q277" i="1"/>
  <c r="P383" i="1"/>
  <c r="Q190" i="1"/>
  <c r="Q196" i="1" s="1"/>
  <c r="Q467" i="1"/>
  <c r="Q175" i="1"/>
  <c r="E448" i="1"/>
  <c r="F464" i="1"/>
  <c r="Q412" i="1"/>
  <c r="F190" i="1"/>
  <c r="F179" i="1"/>
  <c r="D378" i="1"/>
  <c r="E378" i="1" s="1"/>
  <c r="AL540" i="1"/>
  <c r="F404" i="1"/>
  <c r="F448" i="1"/>
  <c r="E175" i="1"/>
  <c r="Q326" i="1"/>
  <c r="Q263" i="1"/>
  <c r="E326" i="1"/>
  <c r="F316" i="1"/>
  <c r="P377" i="1"/>
  <c r="R377" i="1"/>
  <c r="AO566" i="1"/>
  <c r="AC520" i="1"/>
  <c r="AA520" i="1" s="1"/>
  <c r="AC506" i="1"/>
  <c r="F444" i="1"/>
  <c r="D186" i="1"/>
  <c r="AO580" i="1"/>
  <c r="AI540" i="1"/>
  <c r="I322" i="1"/>
  <c r="I253" i="1"/>
  <c r="F438" i="1"/>
  <c r="Q179" i="1"/>
  <c r="P372" i="1"/>
  <c r="R372" i="1"/>
  <c r="Q377" i="1"/>
  <c r="F273" i="1"/>
  <c r="F284" i="1" s="1"/>
  <c r="F326" i="1"/>
  <c r="Q275" i="1"/>
  <c r="Q255" i="1"/>
  <c r="P255" i="1"/>
  <c r="F482" i="1"/>
  <c r="AC553" i="1"/>
  <c r="AA553" i="1" s="1"/>
  <c r="AL561" i="1"/>
  <c r="AO561" i="1" s="1"/>
  <c r="Q464" i="1"/>
  <c r="AB496" i="1"/>
  <c r="AB508" i="1"/>
  <c r="AC568" i="1"/>
  <c r="AA568" i="1" s="1"/>
  <c r="AO584" i="1"/>
  <c r="AI543" i="1"/>
  <c r="F303" i="1"/>
  <c r="E303" i="1" s="1"/>
  <c r="F401" i="1"/>
  <c r="F200" i="1"/>
  <c r="F209" i="1" s="1"/>
  <c r="F379" i="1"/>
  <c r="P179" i="1"/>
  <c r="E384" i="1"/>
  <c r="Q286" i="1"/>
  <c r="Q249" i="1"/>
  <c r="O376" i="1"/>
  <c r="D246" i="1"/>
  <c r="E248" i="1" s="1"/>
  <c r="I425" i="1"/>
  <c r="H425" i="1" s="1"/>
  <c r="I256" i="1"/>
  <c r="P326" i="1"/>
  <c r="G380" i="1"/>
  <c r="G385" i="1" s="1"/>
  <c r="I380" i="1"/>
  <c r="I385" i="1" s="1"/>
  <c r="I390" i="1" s="1"/>
  <c r="Q292" i="1"/>
  <c r="Q247" i="1"/>
  <c r="F253" i="1"/>
  <c r="P374" i="1"/>
  <c r="I342" i="1"/>
  <c r="H342" i="1" s="1"/>
  <c r="F361" i="1"/>
  <c r="M388" i="1"/>
  <c r="Q361" i="1"/>
  <c r="Q342" i="1"/>
  <c r="I406" i="1"/>
  <c r="F342" i="1"/>
  <c r="F425" i="1"/>
  <c r="E425" i="1" s="1"/>
  <c r="Q406" i="1"/>
  <c r="P379" i="1"/>
  <c r="R379" i="1"/>
  <c r="I361" i="1"/>
  <c r="I284" i="1"/>
  <c r="H284" i="1" s="1"/>
  <c r="F187" i="1"/>
  <c r="D187" i="1" s="1"/>
  <c r="P248" i="1"/>
  <c r="P249" i="1"/>
  <c r="Q209" i="1"/>
  <c r="F259" i="1"/>
  <c r="F268" i="1" s="1"/>
  <c r="F247" i="1"/>
  <c r="Q253" i="1"/>
  <c r="I250" i="1"/>
  <c r="I319" i="1"/>
  <c r="Q273" i="1"/>
  <c r="P177" i="1"/>
  <c r="F227" i="1"/>
  <c r="S237" i="1"/>
  <c r="N195" i="1"/>
  <c r="N225" i="1"/>
  <c r="L237" i="1"/>
  <c r="N211" i="1"/>
  <c r="Q227" i="1"/>
  <c r="N194" i="1"/>
  <c r="N235" i="1"/>
  <c r="N226" i="1"/>
  <c r="N231" i="1"/>
  <c r="N233" i="1"/>
  <c r="N232" i="1"/>
  <c r="N234" i="1"/>
  <c r="F322" i="1"/>
  <c r="I259" i="1"/>
  <c r="I247" i="1"/>
  <c r="H248" i="1"/>
  <c r="H259" i="1"/>
  <c r="H268" i="1" s="1"/>
  <c r="Q322" i="1"/>
  <c r="S322" i="1"/>
  <c r="F319" i="1"/>
  <c r="F256" i="1"/>
  <c r="F250" i="1"/>
  <c r="Q319" i="1"/>
  <c r="F263" i="1"/>
  <c r="M262" i="1"/>
  <c r="I316" i="1"/>
  <c r="I303" i="1"/>
  <c r="H303" i="1" s="1"/>
  <c r="E259" i="1"/>
  <c r="E268" i="1" s="1"/>
  <c r="Q380" i="1" l="1"/>
  <c r="AL568" i="1"/>
  <c r="Q182" i="1"/>
  <c r="H380" i="1"/>
  <c r="Q482" i="1"/>
  <c r="Q484" i="1" s="1"/>
  <c r="P484" i="1" s="1"/>
  <c r="Q449" i="1"/>
  <c r="E464" i="1"/>
  <c r="Q425" i="1"/>
  <c r="P425" i="1" s="1"/>
  <c r="F406" i="1"/>
  <c r="F427" i="1" s="1"/>
  <c r="E427" i="1" s="1"/>
  <c r="AC555" i="1"/>
  <c r="AC570" i="1" s="1"/>
  <c r="D380" i="1"/>
  <c r="D385" i="1" s="1"/>
  <c r="N237" i="1"/>
  <c r="F449" i="1"/>
  <c r="AA506" i="1"/>
  <c r="Z566" i="1"/>
  <c r="AL553" i="1"/>
  <c r="E482" i="1"/>
  <c r="E179" i="1"/>
  <c r="Z558" i="1"/>
  <c r="Q256" i="1"/>
  <c r="F327" i="1"/>
  <c r="M326" i="1" s="1"/>
  <c r="Z499" i="1"/>
  <c r="Z563" i="1"/>
  <c r="F269" i="1"/>
  <c r="H361" i="1"/>
  <c r="F484" i="1"/>
  <c r="F486" i="1" s="1"/>
  <c r="Z505" i="1"/>
  <c r="P259" i="1"/>
  <c r="P268" i="1" s="1"/>
  <c r="Q363" i="1"/>
  <c r="Q365" i="1" s="1"/>
  <c r="Z560" i="1"/>
  <c r="Z562" i="1"/>
  <c r="Z527" i="1"/>
  <c r="AI527" i="1" s="1"/>
  <c r="F196" i="1"/>
  <c r="F229" i="1" s="1"/>
  <c r="F239" i="1" s="1"/>
  <c r="Z509" i="1"/>
  <c r="AI509" i="1" s="1"/>
  <c r="Z528" i="1"/>
  <c r="AI528" i="1" s="1"/>
  <c r="Z559" i="1"/>
  <c r="Z525" i="1"/>
  <c r="D179" i="1"/>
  <c r="D182" i="1" s="1"/>
  <c r="E182" i="1" s="1"/>
  <c r="E361" i="1"/>
  <c r="Z567" i="1"/>
  <c r="Z565" i="1"/>
  <c r="Z561" i="1"/>
  <c r="E484" i="1"/>
  <c r="P464" i="1"/>
  <c r="Q259" i="1"/>
  <c r="Q303" i="1"/>
  <c r="P303" i="1" s="1"/>
  <c r="Q250" i="1"/>
  <c r="P361" i="1" s="1"/>
  <c r="P376" i="1"/>
  <c r="O380" i="1"/>
  <c r="P380" i="1" s="1"/>
  <c r="F260" i="1"/>
  <c r="F380" i="1"/>
  <c r="F385" i="1" s="1"/>
  <c r="F390" i="1" s="1"/>
  <c r="P406" i="1"/>
  <c r="Q385" i="1"/>
  <c r="F363" i="1"/>
  <c r="E342" i="1"/>
  <c r="I363" i="1"/>
  <c r="I427" i="1"/>
  <c r="H406" i="1"/>
  <c r="H385" i="1"/>
  <c r="G390" i="1"/>
  <c r="H390" i="1" s="1"/>
  <c r="Q284" i="1"/>
  <c r="Q229" i="1"/>
  <c r="E284" i="1"/>
  <c r="F305" i="1"/>
  <c r="I268" i="1"/>
  <c r="I260" i="1"/>
  <c r="I305" i="1"/>
  <c r="H305" i="1" s="1"/>
  <c r="P182" i="1" l="1"/>
  <c r="O186" i="1"/>
  <c r="Q427" i="1"/>
  <c r="P427" i="1" s="1"/>
  <c r="O187" i="1"/>
  <c r="AA555" i="1"/>
  <c r="E380" i="1"/>
  <c r="P482" i="1"/>
  <c r="E406" i="1"/>
  <c r="Q486" i="1"/>
  <c r="P363" i="1"/>
  <c r="Z519" i="1"/>
  <c r="AI519" i="1" s="1"/>
  <c r="Z518" i="1"/>
  <c r="AI518" i="1" s="1"/>
  <c r="Z534" i="1"/>
  <c r="AI534" i="1" s="1"/>
  <c r="Z551" i="1"/>
  <c r="Z532" i="1"/>
  <c r="AI532" i="1" s="1"/>
  <c r="Z552" i="1"/>
  <c r="AI552" i="1" s="1"/>
  <c r="Z531" i="1"/>
  <c r="AI531" i="1" s="1"/>
  <c r="Z514" i="1"/>
  <c r="AI514" i="1" s="1"/>
  <c r="Z516" i="1"/>
  <c r="AI516" i="1" s="1"/>
  <c r="Z510" i="1"/>
  <c r="AI510" i="1" s="1"/>
  <c r="AI499" i="1"/>
  <c r="Z535" i="1"/>
  <c r="Z497" i="1"/>
  <c r="Z496" i="1"/>
  <c r="Z511" i="1"/>
  <c r="AI511" i="1" s="1"/>
  <c r="Z524" i="1"/>
  <c r="Z502" i="1"/>
  <c r="Z500" i="1"/>
  <c r="Z517" i="1"/>
  <c r="AI517" i="1" s="1"/>
  <c r="Z522" i="1"/>
  <c r="AI522" i="1" s="1"/>
  <c r="Z513" i="1"/>
  <c r="Z584" i="1"/>
  <c r="AI584" i="1" s="1"/>
  <c r="AI525" i="1"/>
  <c r="Z557" i="1"/>
  <c r="Z498" i="1"/>
  <c r="AF561" i="1"/>
  <c r="Z537" i="1"/>
  <c r="AI537" i="1" s="1"/>
  <c r="Z538" i="1"/>
  <c r="AI538" i="1" s="1"/>
  <c r="Z521" i="1"/>
  <c r="AI521" i="1" s="1"/>
  <c r="Z533" i="1"/>
  <c r="Z501" i="1"/>
  <c r="Z523" i="1"/>
  <c r="AI523" i="1" s="1"/>
  <c r="Z503" i="1"/>
  <c r="Z512" i="1"/>
  <c r="AI512" i="1" s="1"/>
  <c r="Z508" i="1"/>
  <c r="AI505" i="1"/>
  <c r="Z529" i="1"/>
  <c r="AI529" i="1" s="1"/>
  <c r="Z582" i="1"/>
  <c r="Z530" i="1"/>
  <c r="AI530" i="1" s="1"/>
  <c r="Z526" i="1"/>
  <c r="Z515" i="1"/>
  <c r="AI515" i="1" s="1"/>
  <c r="Z536" i="1"/>
  <c r="Z504" i="1"/>
  <c r="AC576" i="1"/>
  <c r="AB576" i="1" s="1"/>
  <c r="AB570" i="1"/>
  <c r="Q260" i="1"/>
  <c r="Q268" i="1"/>
  <c r="Q269" i="1" s="1"/>
  <c r="F429" i="1"/>
  <c r="O385" i="1"/>
  <c r="P385" i="1" s="1"/>
  <c r="Q305" i="1"/>
  <c r="P305" i="1" s="1"/>
  <c r="P284" i="1"/>
  <c r="Q390" i="1"/>
  <c r="H427" i="1"/>
  <c r="I429" i="1"/>
  <c r="F365" i="1"/>
  <c r="E363" i="1"/>
  <c r="E385" i="1"/>
  <c r="D390" i="1"/>
  <c r="I365" i="1"/>
  <c r="H363" i="1"/>
  <c r="Q239" i="1"/>
  <c r="I307" i="1"/>
  <c r="I269" i="1"/>
  <c r="E305" i="1"/>
  <c r="F307" i="1"/>
  <c r="O390" i="1" l="1"/>
  <c r="P390" i="1" s="1"/>
  <c r="AI536" i="1"/>
  <c r="AI498" i="1"/>
  <c r="Z506" i="1"/>
  <c r="AI496" i="1"/>
  <c r="AI508" i="1"/>
  <c r="Z520" i="1"/>
  <c r="AI500" i="1"/>
  <c r="AI535" i="1"/>
  <c r="Q307" i="1"/>
  <c r="AI526" i="1"/>
  <c r="AI582" i="1"/>
  <c r="AI551" i="1"/>
  <c r="Z553" i="1"/>
  <c r="AI501" i="1"/>
  <c r="AI513" i="1"/>
  <c r="AI497" i="1"/>
  <c r="AI557" i="1"/>
  <c r="Z568" i="1"/>
  <c r="Z539" i="1"/>
  <c r="AI524" i="1"/>
  <c r="AI504" i="1"/>
  <c r="AI503" i="1"/>
  <c r="AI502" i="1"/>
  <c r="AI533" i="1"/>
  <c r="AH561" i="1"/>
  <c r="AI561" i="1" s="1"/>
  <c r="AN561" i="1"/>
  <c r="E390" i="1"/>
  <c r="Q429" i="1"/>
  <c r="AI553" i="1" l="1"/>
  <c r="Z555" i="1"/>
  <c r="A110" i="1" l="1"/>
  <c r="A109" i="1"/>
  <c r="R99" i="1" l="1"/>
  <c r="Q99" i="1"/>
  <c r="I99" i="1"/>
  <c r="F99" i="1"/>
  <c r="B99" i="1"/>
  <c r="A99" i="1" s="1"/>
  <c r="A100" i="1"/>
  <c r="D100" i="1"/>
  <c r="F100" i="1"/>
  <c r="G100" i="1"/>
  <c r="H100" i="1" s="1"/>
  <c r="I100" i="1"/>
  <c r="J100" i="1"/>
  <c r="L100" i="1"/>
  <c r="O100" i="1"/>
  <c r="Q100" i="1"/>
  <c r="A101" i="1"/>
  <c r="D101" i="1"/>
  <c r="E101" i="1" s="1"/>
  <c r="F101" i="1"/>
  <c r="G101" i="1"/>
  <c r="I101" i="1"/>
  <c r="O101" i="1"/>
  <c r="Q101" i="1"/>
  <c r="A102" i="1"/>
  <c r="A103" i="1"/>
  <c r="D103" i="1"/>
  <c r="E103" i="1" s="1"/>
  <c r="F103" i="1"/>
  <c r="G103" i="1"/>
  <c r="H103" i="1" s="1"/>
  <c r="I103" i="1"/>
  <c r="J103" i="1"/>
  <c r="K103" i="1" s="1"/>
  <c r="O103" i="1"/>
  <c r="P103" i="1" s="1"/>
  <c r="Q103" i="1"/>
  <c r="A104" i="1"/>
  <c r="D104" i="1"/>
  <c r="E104" i="1" s="1"/>
  <c r="F104" i="1"/>
  <c r="G104" i="1"/>
  <c r="H104" i="1" s="1"/>
  <c r="I104" i="1"/>
  <c r="J104" i="1"/>
  <c r="K104" i="1" s="1"/>
  <c r="O104" i="1"/>
  <c r="P104" i="1" s="1"/>
  <c r="Q104" i="1"/>
  <c r="A105" i="1"/>
  <c r="D105" i="1"/>
  <c r="F105" i="1"/>
  <c r="G105" i="1"/>
  <c r="H105" i="1" s="1"/>
  <c r="I105" i="1"/>
  <c r="J105" i="1"/>
  <c r="O105" i="1"/>
  <c r="Q105" i="1"/>
  <c r="A106" i="1"/>
  <c r="D106" i="1"/>
  <c r="E106" i="1" s="1"/>
  <c r="G106" i="1"/>
  <c r="H106" i="1"/>
  <c r="J106" i="1"/>
  <c r="K106" i="1"/>
  <c r="M106" i="1"/>
  <c r="O106" i="1"/>
  <c r="P106" i="1" s="1"/>
  <c r="A107" i="1"/>
  <c r="A108" i="1"/>
  <c r="A111" i="1"/>
  <c r="A112" i="1"/>
  <c r="A113" i="1"/>
  <c r="F113" i="1"/>
  <c r="I113" i="1"/>
  <c r="G113" i="1" s="1"/>
  <c r="Q113" i="1"/>
  <c r="A114" i="1"/>
  <c r="F114" i="1"/>
  <c r="I114" i="1"/>
  <c r="Q114" i="1"/>
  <c r="A115" i="1"/>
  <c r="F115" i="1"/>
  <c r="I115" i="1"/>
  <c r="Q115" i="1"/>
  <c r="A116" i="1"/>
  <c r="F116" i="1"/>
  <c r="I116" i="1"/>
  <c r="Q116" i="1"/>
  <c r="A117" i="1"/>
  <c r="F117" i="1"/>
  <c r="I117" i="1"/>
  <c r="Q117" i="1"/>
  <c r="A118" i="1"/>
  <c r="F118" i="1"/>
  <c r="I118" i="1"/>
  <c r="Q118" i="1"/>
  <c r="A119" i="1"/>
  <c r="F119" i="1"/>
  <c r="I119" i="1"/>
  <c r="Q119" i="1"/>
  <c r="A120" i="1"/>
  <c r="F120" i="1"/>
  <c r="I120" i="1"/>
  <c r="Q120" i="1"/>
  <c r="A121" i="1"/>
  <c r="F121" i="1"/>
  <c r="I121" i="1"/>
  <c r="Q121" i="1"/>
  <c r="A122" i="1"/>
  <c r="F122" i="1"/>
  <c r="I122" i="1"/>
  <c r="Q122" i="1"/>
  <c r="A123" i="1"/>
  <c r="A124" i="1"/>
  <c r="F124" i="1"/>
  <c r="I124" i="1"/>
  <c r="Q124" i="1"/>
  <c r="A125" i="1"/>
  <c r="F125" i="1"/>
  <c r="I125" i="1"/>
  <c r="Q125" i="1"/>
  <c r="A126" i="1"/>
  <c r="F126" i="1"/>
  <c r="I126" i="1"/>
  <c r="Q126" i="1"/>
  <c r="A127" i="1"/>
  <c r="F127" i="1"/>
  <c r="I127" i="1"/>
  <c r="Q127" i="1"/>
  <c r="A128" i="1"/>
  <c r="F128" i="1"/>
  <c r="I128" i="1"/>
  <c r="Q128" i="1"/>
  <c r="A129" i="1"/>
  <c r="F129" i="1"/>
  <c r="I129" i="1"/>
  <c r="Q129" i="1"/>
  <c r="A130" i="1"/>
  <c r="F130" i="1"/>
  <c r="I130" i="1"/>
  <c r="Q130" i="1"/>
  <c r="A131" i="1"/>
  <c r="F131" i="1"/>
  <c r="I131" i="1"/>
  <c r="Q131" i="1"/>
  <c r="A132" i="1"/>
  <c r="F132" i="1"/>
  <c r="I132" i="1"/>
  <c r="Q132" i="1"/>
  <c r="A133" i="1"/>
  <c r="F133" i="1"/>
  <c r="I133" i="1"/>
  <c r="Q133" i="1"/>
  <c r="A134" i="1"/>
  <c r="F134" i="1"/>
  <c r="I134" i="1"/>
  <c r="Q134" i="1"/>
  <c r="A135" i="1"/>
  <c r="F135" i="1"/>
  <c r="I135" i="1"/>
  <c r="Q135" i="1"/>
  <c r="A136" i="1"/>
  <c r="A137" i="1"/>
  <c r="F137" i="1"/>
  <c r="I137" i="1"/>
  <c r="Q137" i="1"/>
  <c r="A138" i="1"/>
  <c r="F138" i="1"/>
  <c r="I138" i="1"/>
  <c r="Q138" i="1"/>
  <c r="A139" i="1"/>
  <c r="F139" i="1"/>
  <c r="I139" i="1"/>
  <c r="Q139" i="1"/>
  <c r="A140" i="1"/>
  <c r="F140" i="1"/>
  <c r="I140" i="1"/>
  <c r="Q140" i="1"/>
  <c r="A141" i="1"/>
  <c r="F141" i="1"/>
  <c r="I141" i="1"/>
  <c r="Q141" i="1"/>
  <c r="A142" i="1"/>
  <c r="F142" i="1"/>
  <c r="I142" i="1"/>
  <c r="Q142" i="1"/>
  <c r="A143" i="1"/>
  <c r="F143" i="1"/>
  <c r="I143" i="1"/>
  <c r="Q143" i="1"/>
  <c r="A144" i="1"/>
  <c r="F144" i="1"/>
  <c r="I144" i="1"/>
  <c r="Q144" i="1"/>
  <c r="A145" i="1"/>
  <c r="F145" i="1"/>
  <c r="I145" i="1"/>
  <c r="Q145" i="1"/>
  <c r="A146" i="1"/>
  <c r="F146" i="1"/>
  <c r="I146" i="1"/>
  <c r="Q146" i="1"/>
  <c r="A147" i="1"/>
  <c r="F147" i="1"/>
  <c r="I147" i="1"/>
  <c r="Q147" i="1"/>
  <c r="A148" i="1"/>
  <c r="F148" i="1"/>
  <c r="I148" i="1"/>
  <c r="Q148" i="1"/>
  <c r="A149" i="1"/>
  <c r="F149" i="1"/>
  <c r="I149" i="1"/>
  <c r="Q149" i="1"/>
  <c r="A150" i="1"/>
  <c r="F150" i="1"/>
  <c r="I150" i="1"/>
  <c r="Q150" i="1"/>
  <c r="A151" i="1"/>
  <c r="F151" i="1"/>
  <c r="I151" i="1"/>
  <c r="Q151" i="1"/>
  <c r="A152" i="1"/>
  <c r="F152" i="1"/>
  <c r="I152" i="1"/>
  <c r="Q152" i="1"/>
  <c r="A153" i="1"/>
  <c r="F153" i="1"/>
  <c r="I153" i="1"/>
  <c r="Q153" i="1"/>
  <c r="A154" i="1"/>
  <c r="A155" i="1"/>
  <c r="A156" i="1"/>
  <c r="A157" i="1"/>
  <c r="F157" i="1"/>
  <c r="I157" i="1"/>
  <c r="L157" i="1"/>
  <c r="Q157" i="1"/>
  <c r="A158" i="1"/>
  <c r="F158" i="1"/>
  <c r="I158" i="1"/>
  <c r="Q158" i="1"/>
  <c r="A159" i="1"/>
  <c r="F159" i="1"/>
  <c r="I159" i="1"/>
  <c r="Q159" i="1"/>
  <c r="A160" i="1"/>
  <c r="F160" i="1"/>
  <c r="I160" i="1"/>
  <c r="Q160" i="1"/>
  <c r="A161" i="1"/>
  <c r="F161" i="1"/>
  <c r="I161" i="1"/>
  <c r="Q161" i="1"/>
  <c r="A162" i="1"/>
  <c r="F162" i="1"/>
  <c r="I162" i="1"/>
  <c r="Q162" i="1"/>
  <c r="A163" i="1"/>
  <c r="F163" i="1"/>
  <c r="I163" i="1"/>
  <c r="Q163" i="1"/>
  <c r="B19" i="1"/>
  <c r="A19" i="1" s="1"/>
  <c r="F19" i="1"/>
  <c r="I19" i="1"/>
  <c r="L19" i="1"/>
  <c r="Q19" i="1"/>
  <c r="R19" i="1"/>
  <c r="O113" i="1" l="1"/>
  <c r="N19" i="1"/>
  <c r="N157" i="1"/>
  <c r="I106" i="1"/>
  <c r="R104" i="1"/>
  <c r="Q106" i="1"/>
  <c r="O114" i="1" s="1"/>
  <c r="P101" i="1"/>
  <c r="I136" i="1"/>
  <c r="H136" i="1" s="1"/>
  <c r="S19" i="1"/>
  <c r="P105" i="1"/>
  <c r="F123" i="1"/>
  <c r="F106" i="1"/>
  <c r="D113" i="1" s="1"/>
  <c r="F136" i="1"/>
  <c r="E136" i="1" s="1"/>
  <c r="K100" i="1"/>
  <c r="I154" i="1"/>
  <c r="H154" i="1" s="1"/>
  <c r="E100" i="1"/>
  <c r="F164" i="1"/>
  <c r="Q164" i="1"/>
  <c r="E105" i="1"/>
  <c r="P100" i="1"/>
  <c r="F154" i="1"/>
  <c r="E154" i="1" s="1"/>
  <c r="S157" i="1"/>
  <c r="I164" i="1"/>
  <c r="I123" i="1"/>
  <c r="G114" i="1"/>
  <c r="K105" i="1"/>
  <c r="R105" i="1" s="1"/>
  <c r="Q154" i="1"/>
  <c r="P154" i="1" s="1"/>
  <c r="Q136" i="1"/>
  <c r="P136" i="1" s="1"/>
  <c r="Q123" i="1"/>
  <c r="H101" i="1"/>
  <c r="R103" i="1"/>
  <c r="N164" i="1" l="1"/>
  <c r="F156" i="1"/>
  <c r="E156" i="1" s="1"/>
  <c r="E123" i="1"/>
  <c r="D114" i="1"/>
  <c r="I156" i="1"/>
  <c r="H123" i="1"/>
  <c r="Q156" i="1"/>
  <c r="P123" i="1"/>
  <c r="P156" i="1" l="1"/>
  <c r="H156" i="1"/>
  <c r="I166" i="1"/>
  <c r="S1" i="1" l="1"/>
  <c r="S242" i="1" l="1"/>
  <c r="S432" i="1"/>
  <c r="S367" i="1"/>
  <c r="S310" i="1"/>
  <c r="AO489" i="1"/>
  <c r="AO572" i="1"/>
  <c r="S169" i="1"/>
  <c r="S89" i="1"/>
  <c r="D96" i="1" l="1"/>
  <c r="F96" i="1"/>
  <c r="G96" i="1"/>
  <c r="H96" i="1" s="1"/>
  <c r="I96" i="1"/>
  <c r="A96" i="1"/>
  <c r="E96" i="1" l="1"/>
  <c r="O96" i="1" l="1"/>
  <c r="Q96" i="1"/>
  <c r="P96" i="1" l="1"/>
  <c r="Q11" i="2" l="1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K12" i="2" l="1"/>
  <c r="L12" i="2" l="1"/>
  <c r="N12" i="2"/>
  <c r="O12" i="2"/>
  <c r="J12" i="2"/>
  <c r="C12" i="2" l="1"/>
  <c r="P12" i="2"/>
  <c r="F12" i="2"/>
  <c r="B12" i="2"/>
  <c r="D12" i="2"/>
  <c r="G12" i="2" l="1"/>
  <c r="H12" i="2"/>
  <c r="M12" i="2"/>
  <c r="Q12" i="2" l="1"/>
  <c r="E12" i="2" l="1"/>
  <c r="I12" i="2"/>
  <c r="F93" i="1" l="1"/>
  <c r="Q95" i="1" l="1"/>
  <c r="O95" i="1"/>
  <c r="Q94" i="1"/>
  <c r="O94" i="1"/>
  <c r="I95" i="1"/>
  <c r="G95" i="1"/>
  <c r="I94" i="1"/>
  <c r="G94" i="1"/>
  <c r="F95" i="1"/>
  <c r="F94" i="1"/>
  <c r="D95" i="1"/>
  <c r="D94" i="1"/>
  <c r="Q93" i="1"/>
  <c r="I93" i="1"/>
  <c r="Q82" i="1"/>
  <c r="Q81" i="1"/>
  <c r="Q80" i="1"/>
  <c r="Q79" i="1"/>
  <c r="Q78" i="1"/>
  <c r="Q77" i="1"/>
  <c r="Q76" i="1"/>
  <c r="Q75" i="1"/>
  <c r="I82" i="1"/>
  <c r="I81" i="1"/>
  <c r="I80" i="1"/>
  <c r="I79" i="1"/>
  <c r="I78" i="1"/>
  <c r="I77" i="1"/>
  <c r="I76" i="1"/>
  <c r="I75" i="1"/>
  <c r="F82" i="1"/>
  <c r="F81" i="1"/>
  <c r="F80" i="1"/>
  <c r="F79" i="1"/>
  <c r="F78" i="1"/>
  <c r="F77" i="1"/>
  <c r="F76" i="1"/>
  <c r="F75" i="1"/>
  <c r="I97" i="1" l="1"/>
  <c r="G97" i="1"/>
  <c r="D97" i="1"/>
  <c r="F97" i="1"/>
  <c r="F109" i="1" s="1"/>
  <c r="Q97" i="1"/>
  <c r="Q109" i="1" s="1"/>
  <c r="O97" i="1"/>
  <c r="O109" i="1" s="1"/>
  <c r="H94" i="1"/>
  <c r="P94" i="1"/>
  <c r="H95" i="1"/>
  <c r="P95" i="1"/>
  <c r="Q83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L69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Q53" i="1"/>
  <c r="Q52" i="1"/>
  <c r="Q51" i="1"/>
  <c r="Q50" i="1"/>
  <c r="Q49" i="1"/>
  <c r="Q48" i="1"/>
  <c r="Q47" i="1"/>
  <c r="Q46" i="1"/>
  <c r="Q45" i="1"/>
  <c r="Q44" i="1"/>
  <c r="Q43" i="1"/>
  <c r="Q42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Q40" i="1"/>
  <c r="Q39" i="1"/>
  <c r="AL504" i="1" s="1"/>
  <c r="Q38" i="1"/>
  <c r="AL503" i="1" s="1"/>
  <c r="Q37" i="1"/>
  <c r="Q36" i="1"/>
  <c r="Q35" i="1"/>
  <c r="Q34" i="1"/>
  <c r="Q33" i="1"/>
  <c r="Q32" i="1"/>
  <c r="Q31" i="1"/>
  <c r="I40" i="1"/>
  <c r="I39" i="1"/>
  <c r="I38" i="1"/>
  <c r="I37" i="1"/>
  <c r="I36" i="1"/>
  <c r="I35" i="1"/>
  <c r="I34" i="1"/>
  <c r="I33" i="1"/>
  <c r="I32" i="1"/>
  <c r="I31" i="1"/>
  <c r="F40" i="1"/>
  <c r="F39" i="1"/>
  <c r="F38" i="1"/>
  <c r="F37" i="1"/>
  <c r="F36" i="1"/>
  <c r="F35" i="1"/>
  <c r="F34" i="1"/>
  <c r="F33" i="1"/>
  <c r="F32" i="1"/>
  <c r="F31" i="1"/>
  <c r="Q23" i="1"/>
  <c r="Q22" i="1"/>
  <c r="Q21" i="1"/>
  <c r="I23" i="1"/>
  <c r="I22" i="1"/>
  <c r="I21" i="1"/>
  <c r="F23" i="1"/>
  <c r="F22" i="1"/>
  <c r="F21" i="1"/>
  <c r="Q17" i="1"/>
  <c r="O17" i="1"/>
  <c r="I17" i="1"/>
  <c r="G17" i="1"/>
  <c r="F17" i="1"/>
  <c r="D17" i="1"/>
  <c r="Q15" i="1"/>
  <c r="O15" i="1"/>
  <c r="I15" i="1"/>
  <c r="G15" i="1"/>
  <c r="F15" i="1"/>
  <c r="D15" i="1"/>
  <c r="Q12" i="1"/>
  <c r="Q11" i="1"/>
  <c r="Q10" i="1"/>
  <c r="Q9" i="1"/>
  <c r="Q8" i="1"/>
  <c r="Q7" i="1"/>
  <c r="Q6" i="1"/>
  <c r="O12" i="1"/>
  <c r="O11" i="1"/>
  <c r="O10" i="1"/>
  <c r="O9" i="1"/>
  <c r="O8" i="1"/>
  <c r="O7" i="1"/>
  <c r="O6" i="1"/>
  <c r="I12" i="1"/>
  <c r="I11" i="1"/>
  <c r="I10" i="1"/>
  <c r="I9" i="1"/>
  <c r="I8" i="1"/>
  <c r="I7" i="1"/>
  <c r="I6" i="1"/>
  <c r="G12" i="1"/>
  <c r="G11" i="1"/>
  <c r="G10" i="1"/>
  <c r="G9" i="1"/>
  <c r="G8" i="1"/>
  <c r="G7" i="1"/>
  <c r="G6" i="1"/>
  <c r="F12" i="1"/>
  <c r="F11" i="1"/>
  <c r="F10" i="1"/>
  <c r="F9" i="1"/>
  <c r="F8" i="1"/>
  <c r="F7" i="1"/>
  <c r="F6" i="1"/>
  <c r="D12" i="1"/>
  <c r="D11" i="1"/>
  <c r="D10" i="1"/>
  <c r="D9" i="1"/>
  <c r="D8" i="1"/>
  <c r="D7" i="1"/>
  <c r="D6" i="1"/>
  <c r="Q5" i="1"/>
  <c r="AL493" i="1" s="1"/>
  <c r="I5" i="1"/>
  <c r="F5" i="1"/>
  <c r="Z493" i="1" s="1"/>
  <c r="Q166" i="1" l="1"/>
  <c r="P209" i="1"/>
  <c r="P227" i="1"/>
  <c r="P196" i="1"/>
  <c r="P229" i="1"/>
  <c r="F166" i="1"/>
  <c r="E229" i="1"/>
  <c r="E227" i="1"/>
  <c r="E196" i="1"/>
  <c r="E209" i="1"/>
  <c r="E194" i="1"/>
  <c r="E195" i="1"/>
  <c r="E193" i="1"/>
  <c r="P109" i="1"/>
  <c r="D109" i="1"/>
  <c r="E109" i="1" s="1"/>
  <c r="E117" i="1"/>
  <c r="E116" i="1"/>
  <c r="E114" i="1"/>
  <c r="E120" i="1"/>
  <c r="E113" i="1"/>
  <c r="E119" i="1"/>
  <c r="E115" i="1"/>
  <c r="E122" i="1"/>
  <c r="E118" i="1"/>
  <c r="E121" i="1"/>
  <c r="H97" i="1"/>
  <c r="H121" i="1"/>
  <c r="H116" i="1"/>
  <c r="H113" i="1"/>
  <c r="H120" i="1"/>
  <c r="H118" i="1"/>
  <c r="H115" i="1"/>
  <c r="H119" i="1"/>
  <c r="H114" i="1"/>
  <c r="H122" i="1"/>
  <c r="H117" i="1"/>
  <c r="N69" i="1"/>
  <c r="S69" i="1"/>
  <c r="O13" i="2" l="1"/>
  <c r="O10" i="2" l="1"/>
  <c r="N13" i="2"/>
  <c r="J13" i="2"/>
  <c r="J10" i="2" l="1"/>
  <c r="N10" i="2"/>
  <c r="K13" i="2"/>
  <c r="C13" i="2"/>
  <c r="F13" i="2"/>
  <c r="L13" i="2"/>
  <c r="G13" i="2"/>
  <c r="B13" i="2"/>
  <c r="B10" i="2" s="1"/>
  <c r="F10" i="2" l="1"/>
  <c r="G10" i="2"/>
  <c r="K10" i="2"/>
  <c r="P13" i="2"/>
  <c r="P10" i="2" l="1"/>
  <c r="D13" i="2"/>
  <c r="H13" i="2"/>
  <c r="Q13" i="2"/>
  <c r="H10" i="2" l="1"/>
  <c r="Q10" i="2"/>
  <c r="I13" i="2"/>
  <c r="E13" i="2"/>
  <c r="H98" i="1"/>
  <c r="A98" i="1"/>
  <c r="A97" i="1"/>
  <c r="A95" i="1"/>
  <c r="A94" i="1"/>
  <c r="A93" i="1"/>
  <c r="B85" i="1"/>
  <c r="A85" i="1" s="1"/>
  <c r="B84" i="1"/>
  <c r="A84" i="1" s="1"/>
  <c r="B83" i="1"/>
  <c r="A83" i="1" s="1"/>
  <c r="B82" i="1"/>
  <c r="B81" i="1"/>
  <c r="B80" i="1"/>
  <c r="B79" i="1"/>
  <c r="B78" i="1"/>
  <c r="B77" i="1"/>
  <c r="B76" i="1"/>
  <c r="B75" i="1"/>
  <c r="A75" i="1" s="1"/>
  <c r="B74" i="1"/>
  <c r="A74" i="1" s="1"/>
  <c r="B73" i="1"/>
  <c r="A73" i="1" s="1"/>
  <c r="B72" i="1"/>
  <c r="A72" i="1" s="1"/>
  <c r="B71" i="1"/>
  <c r="A71" i="1" s="1"/>
  <c r="B70" i="1"/>
  <c r="A70" i="1" s="1"/>
  <c r="B69" i="1"/>
  <c r="A69" i="1" s="1"/>
  <c r="B68" i="1"/>
  <c r="A68" i="1" s="1"/>
  <c r="B67" i="1"/>
  <c r="A67" i="1" s="1"/>
  <c r="B66" i="1"/>
  <c r="A66" i="1" s="1"/>
  <c r="B65" i="1"/>
  <c r="A65" i="1" s="1"/>
  <c r="B64" i="1"/>
  <c r="A64" i="1" s="1"/>
  <c r="B63" i="1"/>
  <c r="A63" i="1" s="1"/>
  <c r="B62" i="1"/>
  <c r="A62" i="1" s="1"/>
  <c r="B61" i="1"/>
  <c r="A61" i="1" s="1"/>
  <c r="B60" i="1"/>
  <c r="A60" i="1" s="1"/>
  <c r="B59" i="1"/>
  <c r="A59" i="1" s="1"/>
  <c r="B58" i="1"/>
  <c r="A58" i="1" s="1"/>
  <c r="B57" i="1"/>
  <c r="A57" i="1" s="1"/>
  <c r="B56" i="1"/>
  <c r="A56" i="1" s="1"/>
  <c r="I72" i="1" s="1"/>
  <c r="Q72" i="1"/>
  <c r="B55" i="1"/>
  <c r="A55" i="1" s="1"/>
  <c r="B54" i="1"/>
  <c r="A54" i="1" s="1"/>
  <c r="B53" i="1"/>
  <c r="A53" i="1" s="1"/>
  <c r="B52" i="1"/>
  <c r="B51" i="1"/>
  <c r="A51" i="1" s="1"/>
  <c r="B50" i="1"/>
  <c r="A50" i="1" s="1"/>
  <c r="B49" i="1"/>
  <c r="A49" i="1" s="1"/>
  <c r="B48" i="1"/>
  <c r="A48" i="1" s="1"/>
  <c r="B47" i="1"/>
  <c r="A47" i="1" s="1"/>
  <c r="B46" i="1"/>
  <c r="B45" i="1"/>
  <c r="A45" i="1" s="1"/>
  <c r="B44" i="1"/>
  <c r="B43" i="1"/>
  <c r="A43" i="1" s="1"/>
  <c r="B42" i="1"/>
  <c r="B41" i="1"/>
  <c r="A41" i="1" s="1"/>
  <c r="B40" i="1"/>
  <c r="A40" i="1" s="1"/>
  <c r="B39" i="1"/>
  <c r="B38" i="1"/>
  <c r="A38" i="1" s="1"/>
  <c r="B37" i="1"/>
  <c r="A37" i="1" s="1"/>
  <c r="B36" i="1"/>
  <c r="A36" i="1" s="1"/>
  <c r="B35" i="1"/>
  <c r="B34" i="1"/>
  <c r="A34" i="1" s="1"/>
  <c r="B33" i="1"/>
  <c r="B32" i="1"/>
  <c r="B31" i="1"/>
  <c r="A31" i="1" s="1"/>
  <c r="B30" i="1"/>
  <c r="A30" i="1" s="1"/>
  <c r="B29" i="1"/>
  <c r="A29" i="1" s="1"/>
  <c r="B28" i="1"/>
  <c r="A28" i="1" s="1"/>
  <c r="B27" i="1"/>
  <c r="A27" i="1" s="1"/>
  <c r="B26" i="1"/>
  <c r="A26" i="1" s="1"/>
  <c r="B25" i="1"/>
  <c r="A25" i="1" s="1"/>
  <c r="B24" i="1"/>
  <c r="A24" i="1" s="1"/>
  <c r="B23" i="1"/>
  <c r="B22" i="1"/>
  <c r="A22" i="1" s="1"/>
  <c r="E22" i="1" s="1"/>
  <c r="H21" i="1"/>
  <c r="B21" i="1"/>
  <c r="B20" i="1"/>
  <c r="A20" i="1" s="1"/>
  <c r="B18" i="1"/>
  <c r="A18" i="1" s="1"/>
  <c r="P17" i="1"/>
  <c r="E17" i="1"/>
  <c r="B17" i="1"/>
  <c r="A17" i="1" s="1"/>
  <c r="B16" i="1"/>
  <c r="A16" i="1" s="1"/>
  <c r="B15" i="1"/>
  <c r="P15" i="1" s="1"/>
  <c r="B14" i="1"/>
  <c r="A14" i="1" s="1"/>
  <c r="O13" i="1"/>
  <c r="B13" i="1"/>
  <c r="A13" i="1" s="1"/>
  <c r="P12" i="1"/>
  <c r="B12" i="1"/>
  <c r="A12" i="1" s="1"/>
  <c r="P11" i="1"/>
  <c r="B11" i="1"/>
  <c r="P10" i="1"/>
  <c r="B10" i="1"/>
  <c r="A10" i="1" s="1"/>
  <c r="P9" i="1"/>
  <c r="B9" i="1"/>
  <c r="P8" i="1"/>
  <c r="B8" i="1"/>
  <c r="A8" i="1" s="1"/>
  <c r="B7" i="1"/>
  <c r="P7" i="1" s="1"/>
  <c r="B6" i="1"/>
  <c r="A6" i="1" s="1"/>
  <c r="B5" i="1"/>
  <c r="A5" i="1" s="1"/>
  <c r="AK504" i="1" l="1"/>
  <c r="AK519" i="1"/>
  <c r="AK505" i="1"/>
  <c r="AK503" i="1"/>
  <c r="AK584" i="1"/>
  <c r="A7" i="1"/>
  <c r="I10" i="2"/>
  <c r="A21" i="1"/>
  <c r="A23" i="1"/>
  <c r="O24" i="1"/>
  <c r="A33" i="1"/>
  <c r="A15" i="1"/>
  <c r="P6" i="1"/>
  <c r="H6" i="1"/>
  <c r="H22" i="1"/>
  <c r="A32" i="1"/>
  <c r="A44" i="1"/>
  <c r="A52" i="1"/>
  <c r="A76" i="1"/>
  <c r="E95" i="1"/>
  <c r="C89" i="1"/>
  <c r="A81" i="1"/>
  <c r="P21" i="1"/>
  <c r="A9" i="1"/>
  <c r="H17" i="1"/>
  <c r="E21" i="1"/>
  <c r="I24" i="1"/>
  <c r="E23" i="1"/>
  <c r="A39" i="1"/>
  <c r="P39" i="1"/>
  <c r="Q54" i="1"/>
  <c r="A46" i="1"/>
  <c r="F72" i="1"/>
  <c r="A78" i="1"/>
  <c r="P97" i="1"/>
  <c r="E12" i="1"/>
  <c r="A11" i="1"/>
  <c r="F24" i="1"/>
  <c r="D32" i="1" s="1"/>
  <c r="H23" i="1"/>
  <c r="A35" i="1"/>
  <c r="A80" i="1"/>
  <c r="E94" i="1"/>
  <c r="A77" i="1"/>
  <c r="Q24" i="1"/>
  <c r="O32" i="1" s="1"/>
  <c r="A42" i="1"/>
  <c r="A82" i="1"/>
  <c r="E10" i="1"/>
  <c r="O27" i="1"/>
  <c r="P23" i="1"/>
  <c r="A79" i="1"/>
  <c r="AL536" i="1" l="1"/>
  <c r="AL527" i="1"/>
  <c r="AL529" i="1"/>
  <c r="AL510" i="1"/>
  <c r="AL515" i="1"/>
  <c r="AL498" i="1"/>
  <c r="AL518" i="1"/>
  <c r="AL502" i="1"/>
  <c r="AL521" i="1"/>
  <c r="AL526" i="1"/>
  <c r="AL524" i="1"/>
  <c r="AL516" i="1"/>
  <c r="AL534" i="1"/>
  <c r="AL528" i="1"/>
  <c r="AL511" i="1"/>
  <c r="AL517" i="1"/>
  <c r="AL522" i="1"/>
  <c r="AL531" i="1"/>
  <c r="AL530" i="1"/>
  <c r="AL499" i="1"/>
  <c r="AL508" i="1"/>
  <c r="AL523" i="1"/>
  <c r="AL532" i="1"/>
  <c r="AL509" i="1"/>
  <c r="AL500" i="1"/>
  <c r="AL533" i="1"/>
  <c r="AL525" i="1"/>
  <c r="AL496" i="1"/>
  <c r="AL501" i="1"/>
  <c r="AL497" i="1"/>
  <c r="P38" i="1"/>
  <c r="P40" i="1"/>
  <c r="P32" i="1"/>
  <c r="P35" i="1"/>
  <c r="P33" i="1"/>
  <c r="P36" i="1"/>
  <c r="P34" i="1"/>
  <c r="P31" i="1"/>
  <c r="P37" i="1"/>
  <c r="H12" i="1"/>
  <c r="H15" i="1"/>
  <c r="I13" i="1"/>
  <c r="E11" i="1"/>
  <c r="H7" i="1"/>
  <c r="H8" i="1"/>
  <c r="P22" i="1"/>
  <c r="E7" i="1"/>
  <c r="E15" i="1"/>
  <c r="P24" i="1"/>
  <c r="E6" i="1"/>
  <c r="E9" i="1"/>
  <c r="G13" i="1"/>
  <c r="E8" i="1"/>
  <c r="H10" i="1"/>
  <c r="E97" i="1"/>
  <c r="F41" i="1"/>
  <c r="Q41" i="1"/>
  <c r="Q13" i="1"/>
  <c r="F13" i="1"/>
  <c r="AK502" i="1" l="1"/>
  <c r="AL506" i="1"/>
  <c r="AL555" i="1" s="1"/>
  <c r="AK496" i="1"/>
  <c r="AK499" i="1"/>
  <c r="AL520" i="1"/>
  <c r="AK497" i="1"/>
  <c r="AK498" i="1"/>
  <c r="AK501" i="1"/>
  <c r="AO511" i="1"/>
  <c r="AO529" i="1"/>
  <c r="AO527" i="1"/>
  <c r="AL539" i="1"/>
  <c r="AO500" i="1"/>
  <c r="AK500" i="1"/>
  <c r="AO536" i="1"/>
  <c r="N14" i="1"/>
  <c r="F27" i="1"/>
  <c r="Z494" i="1" s="1"/>
  <c r="D31" i="1"/>
  <c r="O31" i="1"/>
  <c r="N9" i="2"/>
  <c r="N8" i="2" s="1"/>
  <c r="G27" i="1"/>
  <c r="H13" i="1"/>
  <c r="G24" i="1"/>
  <c r="H39" i="1" s="1"/>
  <c r="I54" i="1"/>
  <c r="I27" i="1"/>
  <c r="F54" i="1"/>
  <c r="D13" i="1"/>
  <c r="H11" i="1"/>
  <c r="Q27" i="1"/>
  <c r="AL494" i="1" s="1"/>
  <c r="P13" i="1"/>
  <c r="Q74" i="1"/>
  <c r="H9" i="1"/>
  <c r="I83" i="1"/>
  <c r="F83" i="1"/>
  <c r="I41" i="1"/>
  <c r="X494" i="1" l="1"/>
  <c r="X506" i="1"/>
  <c r="X520" i="1"/>
  <c r="X539" i="1"/>
  <c r="X553" i="1"/>
  <c r="X555" i="1"/>
  <c r="Z570" i="1"/>
  <c r="X568" i="1"/>
  <c r="AL570" i="1"/>
  <c r="AJ494" i="1"/>
  <c r="Y505" i="1"/>
  <c r="Y499" i="1"/>
  <c r="Y496" i="1"/>
  <c r="Y504" i="1"/>
  <c r="Y498" i="1"/>
  <c r="Y500" i="1"/>
  <c r="Y502" i="1"/>
  <c r="Y503" i="1"/>
  <c r="Y501" i="1"/>
  <c r="Y497" i="1"/>
  <c r="E41" i="1"/>
  <c r="M14" i="1"/>
  <c r="P41" i="1"/>
  <c r="E54" i="1"/>
  <c r="E72" i="1"/>
  <c r="H35" i="1"/>
  <c r="H32" i="1"/>
  <c r="P74" i="1"/>
  <c r="H54" i="1"/>
  <c r="Q85" i="1"/>
  <c r="P72" i="1"/>
  <c r="P27" i="1"/>
  <c r="P54" i="1"/>
  <c r="I74" i="1"/>
  <c r="I85" i="1" s="1"/>
  <c r="H41" i="1"/>
  <c r="G9" i="2"/>
  <c r="G8" i="2" s="1"/>
  <c r="H72" i="1"/>
  <c r="H33" i="1"/>
  <c r="H40" i="1"/>
  <c r="H24" i="1"/>
  <c r="H37" i="1"/>
  <c r="H38" i="1"/>
  <c r="H34" i="1"/>
  <c r="H31" i="1"/>
  <c r="H36" i="1"/>
  <c r="F74" i="1"/>
  <c r="D27" i="1"/>
  <c r="E13" i="1"/>
  <c r="D24" i="1"/>
  <c r="H27" i="1"/>
  <c r="Z576" i="1" l="1"/>
  <c r="Y570" i="1"/>
  <c r="AL576" i="1"/>
  <c r="J9" i="2"/>
  <c r="J8" i="2" s="1"/>
  <c r="O9" i="2"/>
  <c r="O8" i="2" s="1"/>
  <c r="E27" i="1"/>
  <c r="K9" i="2"/>
  <c r="K8" i="2" s="1"/>
  <c r="C10" i="2"/>
  <c r="E74" i="1"/>
  <c r="F85" i="1"/>
  <c r="E40" i="1"/>
  <c r="E24" i="1"/>
  <c r="E34" i="1"/>
  <c r="E36" i="1"/>
  <c r="E38" i="1"/>
  <c r="E37" i="1"/>
  <c r="E31" i="1"/>
  <c r="E33" i="1"/>
  <c r="E35" i="1"/>
  <c r="E32" i="1"/>
  <c r="E39" i="1"/>
  <c r="F9" i="2"/>
  <c r="F8" i="2" s="1"/>
  <c r="H74" i="1"/>
  <c r="AL585" i="1" l="1"/>
  <c r="AL575" i="1"/>
  <c r="Z585" i="1"/>
  <c r="Y585" i="1" s="1"/>
  <c r="Y576" i="1"/>
  <c r="Z575" i="1"/>
  <c r="Y575" i="1" s="1"/>
  <c r="C9" i="2"/>
  <c r="C8" i="2" s="1"/>
  <c r="P9" i="2"/>
  <c r="P8" i="2" s="1"/>
  <c r="B9" i="2"/>
  <c r="AK575" i="1" l="1"/>
  <c r="H9" i="2"/>
  <c r="H8" i="2" s="1"/>
  <c r="D9" i="2"/>
  <c r="B8" i="2"/>
  <c r="Q9" i="2" l="1"/>
  <c r="D10" i="2"/>
  <c r="D8" i="2" s="1"/>
  <c r="I9" i="2" l="1"/>
  <c r="I8" i="2" s="1"/>
  <c r="Q8" i="2"/>
  <c r="E9" i="2"/>
  <c r="E10" i="2" l="1"/>
  <c r="E8" i="2" s="1"/>
  <c r="L11" i="2" l="1"/>
  <c r="L10" i="2" l="1"/>
  <c r="M11" i="2" l="1"/>
  <c r="L9" i="2" l="1"/>
  <c r="L8" i="2" s="1"/>
  <c r="J377" i="6" l="1"/>
  <c r="K377" i="6" s="1"/>
  <c r="J374" i="6"/>
  <c r="J373" i="6"/>
  <c r="K252" i="6"/>
  <c r="J383" i="6"/>
  <c r="K318" i="6"/>
  <c r="J378" i="6"/>
  <c r="AF547" i="6"/>
  <c r="AF541" i="6"/>
  <c r="AF540" i="6"/>
  <c r="AF548" i="6"/>
  <c r="AF507" i="6"/>
  <c r="AF580" i="6"/>
  <c r="AF546" i="6"/>
  <c r="AF543" i="6"/>
  <c r="AF549" i="6"/>
  <c r="AF545" i="6"/>
  <c r="AF583" i="6"/>
  <c r="AF542" i="6"/>
  <c r="AF579" i="6"/>
  <c r="AF556" i="6"/>
  <c r="AF535" i="6"/>
  <c r="AF526" i="6"/>
  <c r="AF533" i="6"/>
  <c r="AF578" i="6"/>
  <c r="AF581" i="6"/>
  <c r="AF544" i="6"/>
  <c r="J375" i="6"/>
  <c r="K437" i="6"/>
  <c r="J384" i="6"/>
  <c r="K440" i="6"/>
  <c r="K443" i="6"/>
  <c r="L173" i="6"/>
  <c r="L173" i="1" s="1"/>
  <c r="K315" i="6"/>
  <c r="K249" i="6"/>
  <c r="J379" i="6"/>
  <c r="K321" i="6"/>
  <c r="L93" i="6"/>
  <c r="L93" i="1" s="1"/>
  <c r="J388" i="6"/>
  <c r="K262" i="6"/>
  <c r="K262" i="1" s="1"/>
  <c r="K255" i="6"/>
  <c r="K265" i="6"/>
  <c r="K265" i="1" s="1"/>
  <c r="L480" i="6"/>
  <c r="S480" i="6" s="1"/>
  <c r="L473" i="6"/>
  <c r="L420" i="6"/>
  <c r="L409" i="6"/>
  <c r="L352" i="6"/>
  <c r="L348" i="6"/>
  <c r="L340" i="6"/>
  <c r="L333" i="6"/>
  <c r="L321" i="6"/>
  <c r="L280" i="6"/>
  <c r="L258" i="6"/>
  <c r="L249" i="6"/>
  <c r="L226" i="6"/>
  <c r="L216" i="6"/>
  <c r="L192" i="6"/>
  <c r="L179" i="6"/>
  <c r="L147" i="6"/>
  <c r="L119" i="6"/>
  <c r="L82" i="6"/>
  <c r="L78" i="6"/>
  <c r="L59" i="6"/>
  <c r="L49" i="6"/>
  <c r="J9" i="6"/>
  <c r="L400" i="6"/>
  <c r="L293" i="6"/>
  <c r="J252" i="6"/>
  <c r="L218" i="6"/>
  <c r="L191" i="6"/>
  <c r="L129" i="6"/>
  <c r="L103" i="6"/>
  <c r="L43" i="6"/>
  <c r="J10" i="6"/>
  <c r="L52" i="6"/>
  <c r="L462" i="6"/>
  <c r="L455" i="6"/>
  <c r="L437" i="6"/>
  <c r="L416" i="6"/>
  <c r="L412" i="6"/>
  <c r="L401" i="6"/>
  <c r="L378" i="6"/>
  <c r="L355" i="6"/>
  <c r="L302" i="6"/>
  <c r="L277" i="6"/>
  <c r="L272" i="6"/>
  <c r="J255" i="6"/>
  <c r="J255" i="1" s="1"/>
  <c r="L219" i="6"/>
  <c r="L202" i="6"/>
  <c r="L189" i="6"/>
  <c r="L186" i="6"/>
  <c r="J179" i="6"/>
  <c r="L160" i="6"/>
  <c r="L143" i="6"/>
  <c r="L139" i="6"/>
  <c r="L134" i="6"/>
  <c r="L130" i="6"/>
  <c r="L126" i="6"/>
  <c r="L75" i="6"/>
  <c r="L55" i="6"/>
  <c r="L40" i="6"/>
  <c r="L32" i="6"/>
  <c r="L15" i="6"/>
  <c r="L354" i="6"/>
  <c r="L279" i="6"/>
  <c r="L235" i="6"/>
  <c r="L208" i="6"/>
  <c r="L163" i="6"/>
  <c r="L133" i="6"/>
  <c r="L105" i="6"/>
  <c r="L53" i="6"/>
  <c r="L11" i="6"/>
  <c r="L463" i="6"/>
  <c r="S463" i="6" s="1"/>
  <c r="L421" i="6"/>
  <c r="L341" i="6"/>
  <c r="L190" i="6"/>
  <c r="L33" i="6"/>
  <c r="L458" i="6"/>
  <c r="L452" i="6"/>
  <c r="L423" i="6"/>
  <c r="L397" i="6"/>
  <c r="L394" i="6"/>
  <c r="L383" i="6"/>
  <c r="L374" i="6"/>
  <c r="L372" i="6"/>
  <c r="L344" i="6"/>
  <c r="L336" i="6"/>
  <c r="L296" i="6"/>
  <c r="L291" i="6"/>
  <c r="L288" i="6"/>
  <c r="L252" i="6"/>
  <c r="J249" i="6"/>
  <c r="L246" i="6"/>
  <c r="L232" i="6"/>
  <c r="L222" i="6"/>
  <c r="L212" i="6"/>
  <c r="L205" i="6"/>
  <c r="L94" i="6"/>
  <c r="L68" i="6"/>
  <c r="L65" i="6"/>
  <c r="L62" i="6"/>
  <c r="L51" i="6"/>
  <c r="L46" i="6"/>
  <c r="J15" i="6"/>
  <c r="L10" i="6"/>
  <c r="L415" i="6"/>
  <c r="L315" i="6"/>
  <c r="L274" i="6"/>
  <c r="J246" i="6"/>
  <c r="L215" i="6"/>
  <c r="L188" i="6"/>
  <c r="L138" i="6"/>
  <c r="L115" i="6"/>
  <c r="L58" i="6"/>
  <c r="L17" i="6"/>
  <c r="J6" i="6"/>
  <c r="L334" i="6"/>
  <c r="J177" i="6"/>
  <c r="L60" i="6"/>
  <c r="L476" i="6"/>
  <c r="L472" i="6"/>
  <c r="L469" i="6"/>
  <c r="L466" i="6"/>
  <c r="L440" i="6"/>
  <c r="J437" i="6"/>
  <c r="J437" i="1" s="1"/>
  <c r="L419" i="6"/>
  <c r="L408" i="6"/>
  <c r="L404" i="6"/>
  <c r="L379" i="6"/>
  <c r="L358" i="6"/>
  <c r="L351" i="6"/>
  <c r="L347" i="6"/>
  <c r="L339" i="6"/>
  <c r="L332" i="6"/>
  <c r="L324" i="6"/>
  <c r="L299" i="6"/>
  <c r="L282" i="6"/>
  <c r="L262" i="6"/>
  <c r="L198" i="6"/>
  <c r="L194" i="6"/>
  <c r="L150" i="6"/>
  <c r="L146" i="6"/>
  <c r="L121" i="6"/>
  <c r="L118" i="6"/>
  <c r="J94" i="6"/>
  <c r="L81" i="6"/>
  <c r="L37" i="6"/>
  <c r="L34" i="6"/>
  <c r="L6" i="6"/>
  <c r="L479" i="6"/>
  <c r="S479" i="6" s="1"/>
  <c r="L290" i="6"/>
  <c r="L225" i="6"/>
  <c r="L201" i="6"/>
  <c r="L142" i="6"/>
  <c r="L125" i="6"/>
  <c r="L71" i="6"/>
  <c r="L22" i="6"/>
  <c r="L402" i="6"/>
  <c r="L289" i="6"/>
  <c r="L148" i="6"/>
  <c r="L461" i="6"/>
  <c r="L457" i="6"/>
  <c r="J440" i="6"/>
  <c r="L411" i="6"/>
  <c r="L384" i="6"/>
  <c r="L375" i="6"/>
  <c r="L335" i="6"/>
  <c r="L285" i="6"/>
  <c r="J262" i="6"/>
  <c r="R262" i="6" s="1"/>
  <c r="L153" i="6"/>
  <c r="L77" i="6"/>
  <c r="L67" i="6"/>
  <c r="L64" i="6"/>
  <c r="L48" i="6"/>
  <c r="L31" i="6"/>
  <c r="L7" i="6"/>
  <c r="L481" i="6"/>
  <c r="S481" i="6" s="1"/>
  <c r="L376" i="6"/>
  <c r="L353" i="6"/>
  <c r="L281" i="6"/>
  <c r="L187" i="6"/>
  <c r="L152" i="6"/>
  <c r="L42" i="6"/>
  <c r="L456" i="6"/>
  <c r="L330" i="6"/>
  <c r="L217" i="6"/>
  <c r="J8" i="6"/>
  <c r="L475" i="6"/>
  <c r="L465" i="6"/>
  <c r="L454" i="6"/>
  <c r="L422" i="6"/>
  <c r="L418" i="6"/>
  <c r="L403" i="6"/>
  <c r="L396" i="6"/>
  <c r="L346" i="6"/>
  <c r="L343" i="6"/>
  <c r="L338" i="6"/>
  <c r="L331" i="6"/>
  <c r="L318" i="6"/>
  <c r="L301" i="6"/>
  <c r="L298" i="6"/>
  <c r="L276" i="6"/>
  <c r="L265" i="6"/>
  <c r="L231" i="6"/>
  <c r="L204" i="6"/>
  <c r="L197" i="6"/>
  <c r="L193" i="6"/>
  <c r="L175" i="6"/>
  <c r="L159" i="6"/>
  <c r="L149" i="6"/>
  <c r="L145" i="6"/>
  <c r="L95" i="6"/>
  <c r="L80" i="6"/>
  <c r="L61" i="6"/>
  <c r="L39" i="6"/>
  <c r="J17" i="6"/>
  <c r="J11" i="6"/>
  <c r="J7" i="6"/>
  <c r="L460" i="6"/>
  <c r="L410" i="6"/>
  <c r="L373" i="6"/>
  <c r="L295" i="6"/>
  <c r="J265" i="6"/>
  <c r="L177" i="6"/>
  <c r="L63" i="6"/>
  <c r="J12" i="6"/>
  <c r="J443" i="6"/>
  <c r="L395" i="6"/>
  <c r="L278" i="6"/>
  <c r="L79" i="6"/>
  <c r="L471" i="6"/>
  <c r="L468" i="6"/>
  <c r="L443" i="6"/>
  <c r="L407" i="6"/>
  <c r="L399" i="6"/>
  <c r="L360" i="6"/>
  <c r="L357" i="6"/>
  <c r="L350" i="6"/>
  <c r="L287" i="6"/>
  <c r="L234" i="6"/>
  <c r="L224" i="6"/>
  <c r="L221" i="6"/>
  <c r="L214" i="6"/>
  <c r="L211" i="6"/>
  <c r="L207" i="6"/>
  <c r="L162" i="6"/>
  <c r="L141" i="6"/>
  <c r="L137" i="6"/>
  <c r="L132" i="6"/>
  <c r="L128" i="6"/>
  <c r="L124" i="6"/>
  <c r="L120" i="6"/>
  <c r="L117" i="6"/>
  <c r="L114" i="6"/>
  <c r="L96" i="6"/>
  <c r="J95" i="6"/>
  <c r="L70" i="6"/>
  <c r="L57" i="6"/>
  <c r="L50" i="6"/>
  <c r="L45" i="6"/>
  <c r="L36" i="6"/>
  <c r="L12" i="6"/>
  <c r="L478" i="6"/>
  <c r="L414" i="6"/>
  <c r="L388" i="6"/>
  <c r="L292" i="6"/>
  <c r="L273" i="6"/>
  <c r="L200" i="6"/>
  <c r="J175" i="6"/>
  <c r="J96" i="6"/>
  <c r="L8" i="6"/>
  <c r="L474" i="6"/>
  <c r="L417" i="6"/>
  <c r="L203" i="6"/>
  <c r="L297" i="6"/>
  <c r="L236" i="6"/>
  <c r="L206" i="6"/>
  <c r="L131" i="6"/>
  <c r="L116" i="6"/>
  <c r="L195" i="6"/>
  <c r="L44" i="6"/>
  <c r="L35" i="6"/>
  <c r="L359" i="6"/>
  <c r="L470" i="6"/>
  <c r="L405" i="6"/>
  <c r="L337" i="6"/>
  <c r="L300" i="6"/>
  <c r="L66" i="6"/>
  <c r="L9" i="6"/>
  <c r="L220" i="6"/>
  <c r="L371" i="6"/>
  <c r="L283" i="6"/>
  <c r="L255" i="6"/>
  <c r="L223" i="6"/>
  <c r="L210" i="6"/>
  <c r="L135" i="6"/>
  <c r="L113" i="6"/>
  <c r="L459" i="6"/>
  <c r="L275" i="6"/>
  <c r="L213" i="6"/>
  <c r="L99" i="6"/>
  <c r="L398" i="6"/>
  <c r="L56" i="6"/>
  <c r="L47" i="6"/>
  <c r="L104" i="6"/>
  <c r="L144" i="6"/>
  <c r="L76" i="6"/>
  <c r="L161" i="6"/>
  <c r="L356" i="6"/>
  <c r="L199" i="6"/>
  <c r="L151" i="6"/>
  <c r="L140" i="6"/>
  <c r="L101" i="6"/>
  <c r="L294" i="6"/>
  <c r="L38" i="6"/>
  <c r="L453" i="6"/>
  <c r="L127" i="6"/>
  <c r="L23" i="6"/>
  <c r="L446" i="6"/>
  <c r="L424" i="6"/>
  <c r="L413" i="6"/>
  <c r="L377" i="6"/>
  <c r="L286" i="6"/>
  <c r="L158" i="6"/>
  <c r="L122" i="6"/>
  <c r="J101" i="6"/>
  <c r="L21" i="6"/>
  <c r="L477" i="6"/>
  <c r="L345" i="6"/>
  <c r="L233" i="6"/>
  <c r="L467" i="6"/>
  <c r="L349" i="6"/>
  <c r="J376" i="6"/>
  <c r="J372" i="6"/>
  <c r="J371" i="6"/>
  <c r="L5" i="6"/>
  <c r="K246" i="6"/>
  <c r="J377" i="1" l="1"/>
  <c r="M377" i="6"/>
  <c r="N345" i="6"/>
  <c r="S345" i="6"/>
  <c r="L345" i="1"/>
  <c r="N127" i="6"/>
  <c r="S127" i="6"/>
  <c r="L127" i="1"/>
  <c r="N104" i="6"/>
  <c r="S104" i="6"/>
  <c r="L104" i="1"/>
  <c r="L256" i="6"/>
  <c r="N255" i="6"/>
  <c r="S255" i="6"/>
  <c r="L255" i="1"/>
  <c r="S44" i="6"/>
  <c r="N44" i="6"/>
  <c r="AF510" i="6"/>
  <c r="L44" i="1"/>
  <c r="R175" i="6"/>
  <c r="R176" i="6" s="1"/>
  <c r="K175" i="6"/>
  <c r="K175" i="1" s="1"/>
  <c r="M175" i="6"/>
  <c r="J182" i="6"/>
  <c r="J175" i="1"/>
  <c r="N70" i="6"/>
  <c r="S70" i="6"/>
  <c r="L70" i="1"/>
  <c r="S207" i="6"/>
  <c r="N207" i="6"/>
  <c r="L207" i="1"/>
  <c r="S443" i="6"/>
  <c r="N443" i="6"/>
  <c r="L444" i="6"/>
  <c r="L443" i="1"/>
  <c r="N373" i="6"/>
  <c r="S373" i="6"/>
  <c r="L373" i="1"/>
  <c r="S159" i="6"/>
  <c r="N159" i="6"/>
  <c r="AF563" i="6"/>
  <c r="L159" i="1"/>
  <c r="S338" i="6"/>
  <c r="N338" i="6"/>
  <c r="L338" i="1"/>
  <c r="S330" i="6"/>
  <c r="N330" i="6"/>
  <c r="L342" i="6"/>
  <c r="L330" i="1"/>
  <c r="S64" i="6"/>
  <c r="N64" i="6"/>
  <c r="AF531" i="6"/>
  <c r="L64" i="1"/>
  <c r="S461" i="6"/>
  <c r="L461" i="1"/>
  <c r="S461" i="1" s="1"/>
  <c r="N6" i="6"/>
  <c r="S6" i="6"/>
  <c r="L13" i="6"/>
  <c r="J31" i="6" s="1"/>
  <c r="L6" i="1"/>
  <c r="N282" i="6"/>
  <c r="S282" i="6"/>
  <c r="L282" i="1"/>
  <c r="S115" i="6"/>
  <c r="N115" i="6"/>
  <c r="L115" i="1"/>
  <c r="N62" i="6"/>
  <c r="S62" i="6"/>
  <c r="AF529" i="6"/>
  <c r="L62" i="1"/>
  <c r="N291" i="6"/>
  <c r="S291" i="6"/>
  <c r="AF527" i="6"/>
  <c r="L291" i="1"/>
  <c r="N33" i="6"/>
  <c r="S33" i="6"/>
  <c r="AF498" i="6"/>
  <c r="L33" i="1"/>
  <c r="S279" i="6"/>
  <c r="N279" i="6"/>
  <c r="L279" i="1"/>
  <c r="N160" i="6"/>
  <c r="S160" i="6"/>
  <c r="L160" i="1"/>
  <c r="S401" i="6"/>
  <c r="N401" i="6"/>
  <c r="L401" i="1"/>
  <c r="S218" i="6"/>
  <c r="N218" i="6"/>
  <c r="L218" i="1"/>
  <c r="S192" i="6"/>
  <c r="N192" i="6"/>
  <c r="L192" i="1"/>
  <c r="N420" i="6"/>
  <c r="S420" i="6"/>
  <c r="L420" i="1"/>
  <c r="AH556" i="6"/>
  <c r="AI556" i="6" s="1"/>
  <c r="AN556" i="6"/>
  <c r="AO556" i="6" s="1"/>
  <c r="AF556" i="1"/>
  <c r="AN541" i="6"/>
  <c r="AO541" i="6" s="1"/>
  <c r="AH541" i="6"/>
  <c r="AF541" i="1"/>
  <c r="R96" i="6"/>
  <c r="M96" i="6"/>
  <c r="K96" i="6"/>
  <c r="J96" i="1"/>
  <c r="S457" i="6"/>
  <c r="L457" i="1"/>
  <c r="S457" i="1" s="1"/>
  <c r="S378" i="6"/>
  <c r="N378" i="6"/>
  <c r="L378" i="1"/>
  <c r="S477" i="6"/>
  <c r="L477" i="1"/>
  <c r="S477" i="1" s="1"/>
  <c r="S453" i="6"/>
  <c r="L453" i="1"/>
  <c r="S453" i="1" s="1"/>
  <c r="N47" i="6"/>
  <c r="S47" i="6"/>
  <c r="L47" i="1"/>
  <c r="N283" i="6"/>
  <c r="S283" i="6"/>
  <c r="L283" i="1"/>
  <c r="S195" i="6"/>
  <c r="N195" i="6"/>
  <c r="S200" i="6"/>
  <c r="N200" i="6"/>
  <c r="L200" i="1"/>
  <c r="R95" i="6"/>
  <c r="M95" i="6"/>
  <c r="K95" i="6"/>
  <c r="J95" i="1"/>
  <c r="S211" i="6"/>
  <c r="N211" i="6"/>
  <c r="S468" i="6"/>
  <c r="L468" i="1"/>
  <c r="S468" i="1" s="1"/>
  <c r="S410" i="6"/>
  <c r="N410" i="6"/>
  <c r="L410" i="1"/>
  <c r="V175" i="6"/>
  <c r="N175" i="6"/>
  <c r="L182" i="6"/>
  <c r="S175" i="6"/>
  <c r="S176" i="6" s="1"/>
  <c r="L175" i="1"/>
  <c r="L361" i="6"/>
  <c r="S343" i="6"/>
  <c r="N343" i="6"/>
  <c r="L343" i="1"/>
  <c r="S456" i="6"/>
  <c r="L456" i="1"/>
  <c r="S456" i="1" s="1"/>
  <c r="N67" i="6"/>
  <c r="S67" i="6"/>
  <c r="AF534" i="6"/>
  <c r="L67" i="1"/>
  <c r="N148" i="6"/>
  <c r="S148" i="6"/>
  <c r="L148" i="1"/>
  <c r="S34" i="6"/>
  <c r="N34" i="6"/>
  <c r="AF499" i="6"/>
  <c r="L34" i="1"/>
  <c r="S299" i="6"/>
  <c r="N299" i="6"/>
  <c r="L299" i="1"/>
  <c r="L441" i="6"/>
  <c r="N440" i="6"/>
  <c r="S440" i="6"/>
  <c r="L440" i="1"/>
  <c r="S138" i="6"/>
  <c r="N138" i="6"/>
  <c r="L138" i="1"/>
  <c r="N65" i="6"/>
  <c r="S65" i="6"/>
  <c r="AF532" i="6"/>
  <c r="L65" i="1"/>
  <c r="S296" i="6"/>
  <c r="N296" i="6"/>
  <c r="L296" i="1"/>
  <c r="N190" i="6"/>
  <c r="S190" i="6"/>
  <c r="L190" i="1"/>
  <c r="S354" i="6"/>
  <c r="N354" i="6"/>
  <c r="L354" i="1"/>
  <c r="R179" i="6"/>
  <c r="R180" i="6" s="1"/>
  <c r="M179" i="6"/>
  <c r="K179" i="6"/>
  <c r="K179" i="1" s="1"/>
  <c r="J179" i="1"/>
  <c r="N412" i="6"/>
  <c r="S412" i="6"/>
  <c r="L412" i="1"/>
  <c r="R252" i="6"/>
  <c r="J252" i="1"/>
  <c r="R252" i="1" s="1"/>
  <c r="S216" i="6"/>
  <c r="N216" i="6"/>
  <c r="L216" i="1"/>
  <c r="S473" i="6"/>
  <c r="L473" i="1"/>
  <c r="S473" i="1" s="1"/>
  <c r="M443" i="6"/>
  <c r="K445" i="6"/>
  <c r="K443" i="1"/>
  <c r="M443" i="1" s="1"/>
  <c r="AH579" i="6"/>
  <c r="AN579" i="6"/>
  <c r="AF579" i="1"/>
  <c r="AN547" i="6"/>
  <c r="AO547" i="6" s="1"/>
  <c r="AH547" i="6"/>
  <c r="AF547" i="1"/>
  <c r="S233" i="6"/>
  <c r="N233" i="6"/>
  <c r="S407" i="6"/>
  <c r="N407" i="6"/>
  <c r="L425" i="6"/>
  <c r="L407" i="1"/>
  <c r="S262" i="6"/>
  <c r="S263" i="6" s="1"/>
  <c r="N262" i="6"/>
  <c r="L263" i="6"/>
  <c r="L262" i="1"/>
  <c r="N409" i="6"/>
  <c r="S409" i="6"/>
  <c r="L409" i="1"/>
  <c r="L24" i="6"/>
  <c r="N21" i="6"/>
  <c r="S21" i="6"/>
  <c r="L21" i="1"/>
  <c r="S38" i="6"/>
  <c r="N38" i="6"/>
  <c r="AF503" i="6"/>
  <c r="L38" i="1"/>
  <c r="N56" i="6"/>
  <c r="S56" i="6"/>
  <c r="AF522" i="6"/>
  <c r="L56" i="1"/>
  <c r="K371" i="6"/>
  <c r="N371" i="6"/>
  <c r="L380" i="6"/>
  <c r="S371" i="6"/>
  <c r="L371" i="1"/>
  <c r="S116" i="6"/>
  <c r="N116" i="6"/>
  <c r="L116" i="1"/>
  <c r="S273" i="6"/>
  <c r="N273" i="6"/>
  <c r="L273" i="1"/>
  <c r="N96" i="6"/>
  <c r="S96" i="6"/>
  <c r="L96" i="1"/>
  <c r="S214" i="6"/>
  <c r="N214" i="6"/>
  <c r="L214" i="1"/>
  <c r="S471" i="6"/>
  <c r="L471" i="1"/>
  <c r="S471" i="1" s="1"/>
  <c r="S460" i="6"/>
  <c r="L460" i="1"/>
  <c r="S460" i="1" s="1"/>
  <c r="N193" i="6"/>
  <c r="S193" i="6"/>
  <c r="S346" i="6"/>
  <c r="N346" i="6"/>
  <c r="L346" i="1"/>
  <c r="L54" i="6"/>
  <c r="N42" i="6"/>
  <c r="S42" i="6"/>
  <c r="AF508" i="6"/>
  <c r="L42" i="1"/>
  <c r="S77" i="6"/>
  <c r="N77" i="6"/>
  <c r="AF560" i="6"/>
  <c r="L77" i="1"/>
  <c r="S289" i="6"/>
  <c r="N289" i="6"/>
  <c r="L289" i="1"/>
  <c r="N37" i="6"/>
  <c r="S37" i="6"/>
  <c r="AF502" i="6"/>
  <c r="L37" i="1"/>
  <c r="S324" i="6"/>
  <c r="L324" i="1"/>
  <c r="S324" i="1" s="1"/>
  <c r="S466" i="6"/>
  <c r="L466" i="1"/>
  <c r="S466" i="1" s="1"/>
  <c r="S188" i="6"/>
  <c r="N188" i="6"/>
  <c r="L188" i="1"/>
  <c r="S68" i="6"/>
  <c r="N68" i="6"/>
  <c r="L68" i="1"/>
  <c r="N336" i="6"/>
  <c r="S336" i="6"/>
  <c r="L336" i="1"/>
  <c r="S341" i="6"/>
  <c r="N341" i="6"/>
  <c r="L341" i="1"/>
  <c r="S15" i="6"/>
  <c r="N15" i="6"/>
  <c r="L15" i="1"/>
  <c r="S186" i="6"/>
  <c r="N186" i="6"/>
  <c r="L196" i="6"/>
  <c r="J186" i="6"/>
  <c r="L186" i="1"/>
  <c r="S416" i="6"/>
  <c r="N416" i="6"/>
  <c r="L416" i="1"/>
  <c r="S293" i="6"/>
  <c r="N293" i="6"/>
  <c r="L293" i="1"/>
  <c r="S226" i="6"/>
  <c r="N226" i="6"/>
  <c r="K442" i="6"/>
  <c r="M440" i="6"/>
  <c r="K440" i="1"/>
  <c r="M440" i="1" s="1"/>
  <c r="AN542" i="6"/>
  <c r="AO542" i="6" s="1"/>
  <c r="AH542" i="6"/>
  <c r="AF542" i="1"/>
  <c r="K378" i="6"/>
  <c r="J378" i="1"/>
  <c r="K378" i="1" s="1"/>
  <c r="S57" i="6"/>
  <c r="N57" i="6"/>
  <c r="AF523" i="6"/>
  <c r="L57" i="1"/>
  <c r="N51" i="6"/>
  <c r="S51" i="6"/>
  <c r="AF517" i="6"/>
  <c r="L51" i="1"/>
  <c r="M315" i="6"/>
  <c r="K315" i="1"/>
  <c r="M315" i="1" s="1"/>
  <c r="R101" i="6"/>
  <c r="M101" i="6"/>
  <c r="K101" i="6"/>
  <c r="J101" i="1"/>
  <c r="N294" i="6"/>
  <c r="S294" i="6"/>
  <c r="L294" i="1"/>
  <c r="S398" i="6"/>
  <c r="N398" i="6"/>
  <c r="L398" i="1"/>
  <c r="S220" i="6"/>
  <c r="N220" i="6"/>
  <c r="L220" i="1"/>
  <c r="N131" i="6"/>
  <c r="S131" i="6"/>
  <c r="L131" i="1"/>
  <c r="S292" i="6"/>
  <c r="N292" i="6"/>
  <c r="L292" i="1"/>
  <c r="S114" i="6"/>
  <c r="N114" i="6"/>
  <c r="L114" i="1"/>
  <c r="S221" i="6"/>
  <c r="N221" i="6"/>
  <c r="L221" i="1"/>
  <c r="S79" i="6"/>
  <c r="N79" i="6"/>
  <c r="L79" i="1"/>
  <c r="K7" i="6"/>
  <c r="M7" i="6"/>
  <c r="R7" i="6"/>
  <c r="J7" i="1"/>
  <c r="S197" i="6"/>
  <c r="N197" i="6"/>
  <c r="L209" i="6"/>
  <c r="L197" i="1"/>
  <c r="S396" i="6"/>
  <c r="N396" i="6"/>
  <c r="L396" i="1"/>
  <c r="S152" i="6"/>
  <c r="N152" i="6"/>
  <c r="L152" i="1"/>
  <c r="N153" i="6"/>
  <c r="S153" i="6"/>
  <c r="L153" i="1"/>
  <c r="N402" i="6"/>
  <c r="S402" i="6"/>
  <c r="L402" i="1"/>
  <c r="S81" i="6"/>
  <c r="N81" i="6"/>
  <c r="L81" i="1"/>
  <c r="S332" i="6"/>
  <c r="N332" i="6"/>
  <c r="L332" i="1"/>
  <c r="S469" i="6"/>
  <c r="L469" i="1"/>
  <c r="S469" i="1" s="1"/>
  <c r="N215" i="6"/>
  <c r="S215" i="6"/>
  <c r="L215" i="1"/>
  <c r="L97" i="6"/>
  <c r="J113" i="6" s="1"/>
  <c r="N94" i="6"/>
  <c r="S94" i="6"/>
  <c r="L94" i="1"/>
  <c r="S344" i="6"/>
  <c r="N344" i="6"/>
  <c r="L344" i="1"/>
  <c r="S421" i="6"/>
  <c r="N421" i="6"/>
  <c r="L421" i="1"/>
  <c r="S32" i="6"/>
  <c r="J32" i="6"/>
  <c r="N32" i="6"/>
  <c r="AF497" i="6"/>
  <c r="L32" i="1"/>
  <c r="S189" i="6"/>
  <c r="N189" i="6"/>
  <c r="L189" i="1"/>
  <c r="L448" i="6"/>
  <c r="L438" i="6"/>
  <c r="N437" i="6"/>
  <c r="S437" i="6"/>
  <c r="L437" i="1"/>
  <c r="S400" i="6"/>
  <c r="N400" i="6"/>
  <c r="L400" i="1"/>
  <c r="L250" i="6"/>
  <c r="S249" i="6"/>
  <c r="S250" i="6" s="1"/>
  <c r="N249" i="6"/>
  <c r="L249" i="1"/>
  <c r="R384" i="6"/>
  <c r="K384" i="6"/>
  <c r="M384" i="6"/>
  <c r="J384" i="1"/>
  <c r="AH583" i="6"/>
  <c r="AN583" i="6"/>
  <c r="AF583" i="1"/>
  <c r="K326" i="6"/>
  <c r="M318" i="6"/>
  <c r="K318" i="1"/>
  <c r="S144" i="6"/>
  <c r="N144" i="6"/>
  <c r="L144" i="1"/>
  <c r="S58" i="6"/>
  <c r="N58" i="6"/>
  <c r="AF524" i="6"/>
  <c r="L58" i="1"/>
  <c r="K259" i="6"/>
  <c r="M246" i="6"/>
  <c r="K248" i="6"/>
  <c r="K246" i="1"/>
  <c r="N122" i="6"/>
  <c r="S122" i="6"/>
  <c r="L122" i="1"/>
  <c r="N101" i="6"/>
  <c r="S101" i="6"/>
  <c r="V101" i="6"/>
  <c r="L101" i="1"/>
  <c r="S99" i="6"/>
  <c r="N99" i="6"/>
  <c r="L99" i="1"/>
  <c r="N9" i="6"/>
  <c r="S9" i="6"/>
  <c r="L9" i="1"/>
  <c r="S206" i="6"/>
  <c r="N206" i="6"/>
  <c r="L206" i="1"/>
  <c r="N388" i="6"/>
  <c r="S388" i="6"/>
  <c r="R388" i="6" s="1"/>
  <c r="L388" i="1"/>
  <c r="S117" i="6"/>
  <c r="N117" i="6"/>
  <c r="L117" i="1"/>
  <c r="S224" i="6"/>
  <c r="N224" i="6"/>
  <c r="S278" i="6"/>
  <c r="N278" i="6"/>
  <c r="L278" i="1"/>
  <c r="R11" i="6"/>
  <c r="K11" i="6"/>
  <c r="M11" i="6"/>
  <c r="J11" i="1"/>
  <c r="S204" i="6"/>
  <c r="N204" i="6"/>
  <c r="L204" i="1"/>
  <c r="N403" i="6"/>
  <c r="S403" i="6"/>
  <c r="L403" i="1"/>
  <c r="S187" i="6"/>
  <c r="N187" i="6"/>
  <c r="J187" i="6"/>
  <c r="L187" i="1"/>
  <c r="N22" i="6"/>
  <c r="S22" i="6"/>
  <c r="L22" i="1"/>
  <c r="K94" i="6"/>
  <c r="J97" i="6"/>
  <c r="K160" i="6" s="1"/>
  <c r="J160" i="6" s="1"/>
  <c r="M94" i="6"/>
  <c r="R94" i="6"/>
  <c r="R97" i="6" s="1"/>
  <c r="R98" i="6" s="1"/>
  <c r="J94" i="1"/>
  <c r="S339" i="6"/>
  <c r="N339" i="6"/>
  <c r="L339" i="1"/>
  <c r="S472" i="6"/>
  <c r="L472" i="1"/>
  <c r="S472" i="1" s="1"/>
  <c r="J259" i="6"/>
  <c r="R246" i="6"/>
  <c r="J246" i="1"/>
  <c r="R246" i="1" s="1"/>
  <c r="S205" i="6"/>
  <c r="N205" i="6"/>
  <c r="L205" i="1"/>
  <c r="S372" i="6"/>
  <c r="N372" i="6"/>
  <c r="L372" i="1"/>
  <c r="K40" i="6"/>
  <c r="N40" i="6"/>
  <c r="S40" i="6"/>
  <c r="L40" i="1"/>
  <c r="S202" i="6"/>
  <c r="N202" i="6"/>
  <c r="L202" i="1"/>
  <c r="S455" i="6"/>
  <c r="L455" i="1"/>
  <c r="S455" i="1" s="1"/>
  <c r="M9" i="6"/>
  <c r="R9" i="6"/>
  <c r="K9" i="6"/>
  <c r="J9" i="1"/>
  <c r="N258" i="6"/>
  <c r="S258" i="6"/>
  <c r="L258" i="1"/>
  <c r="K257" i="6"/>
  <c r="K255" i="1"/>
  <c r="K439" i="6"/>
  <c r="K448" i="6"/>
  <c r="M437" i="6"/>
  <c r="K437" i="1"/>
  <c r="AH545" i="6"/>
  <c r="AN545" i="6"/>
  <c r="AO545" i="6" s="1"/>
  <c r="AF545" i="1"/>
  <c r="M383" i="6"/>
  <c r="R383" i="6"/>
  <c r="K383" i="6"/>
  <c r="J383" i="1"/>
  <c r="N23" i="6"/>
  <c r="S23" i="6"/>
  <c r="L23" i="1"/>
  <c r="S295" i="6"/>
  <c r="N295" i="6"/>
  <c r="L295" i="1"/>
  <c r="S191" i="6"/>
  <c r="N191" i="6"/>
  <c r="L191" i="1"/>
  <c r="L5" i="1"/>
  <c r="N158" i="6"/>
  <c r="L164" i="6"/>
  <c r="S164" i="6" s="1"/>
  <c r="S158" i="6"/>
  <c r="AF562" i="6"/>
  <c r="L158" i="1"/>
  <c r="S140" i="6"/>
  <c r="N140" i="6"/>
  <c r="L140" i="1"/>
  <c r="S213" i="6"/>
  <c r="N213" i="6"/>
  <c r="L213" i="1"/>
  <c r="S66" i="6"/>
  <c r="N66" i="6"/>
  <c r="L66" i="1"/>
  <c r="S236" i="6"/>
  <c r="N236" i="6"/>
  <c r="S414" i="6"/>
  <c r="N414" i="6"/>
  <c r="L414" i="1"/>
  <c r="S120" i="6"/>
  <c r="N120" i="6"/>
  <c r="L120" i="1"/>
  <c r="S234" i="6"/>
  <c r="N234" i="6"/>
  <c r="S395" i="6"/>
  <c r="N395" i="6"/>
  <c r="L395" i="1"/>
  <c r="R17" i="6"/>
  <c r="K17" i="6"/>
  <c r="M17" i="6"/>
  <c r="J17" i="1"/>
  <c r="S231" i="6"/>
  <c r="N231" i="6"/>
  <c r="L237" i="6"/>
  <c r="S418" i="6"/>
  <c r="N418" i="6"/>
  <c r="L418" i="1"/>
  <c r="S281" i="6"/>
  <c r="N281" i="6"/>
  <c r="L281" i="1"/>
  <c r="N285" i="6"/>
  <c r="S285" i="6"/>
  <c r="L303" i="6"/>
  <c r="L285" i="1"/>
  <c r="N71" i="6"/>
  <c r="S71" i="6"/>
  <c r="L71" i="1"/>
  <c r="N118" i="6"/>
  <c r="S118" i="6"/>
  <c r="L118" i="1"/>
  <c r="S347" i="6"/>
  <c r="N347" i="6"/>
  <c r="L347" i="1"/>
  <c r="S476" i="6"/>
  <c r="L476" i="1"/>
  <c r="S476" i="1" s="1"/>
  <c r="N274" i="6"/>
  <c r="S274" i="6"/>
  <c r="L274" i="1"/>
  <c r="S212" i="6"/>
  <c r="N212" i="6"/>
  <c r="L212" i="1"/>
  <c r="N374" i="6"/>
  <c r="S374" i="6"/>
  <c r="L374" i="1"/>
  <c r="S11" i="6"/>
  <c r="N11" i="6"/>
  <c r="L11" i="1"/>
  <c r="S55" i="6"/>
  <c r="AF521" i="6"/>
  <c r="N55" i="6"/>
  <c r="L72" i="6"/>
  <c r="L55" i="1"/>
  <c r="N219" i="6"/>
  <c r="S219" i="6"/>
  <c r="L219" i="1"/>
  <c r="S462" i="6"/>
  <c r="L462" i="1"/>
  <c r="S462" i="1" s="1"/>
  <c r="N49" i="6"/>
  <c r="S49" i="6"/>
  <c r="AF515" i="6"/>
  <c r="L49" i="1"/>
  <c r="S280" i="6"/>
  <c r="N280" i="6"/>
  <c r="L280" i="1"/>
  <c r="M375" i="6"/>
  <c r="K375" i="6"/>
  <c r="R375" i="6"/>
  <c r="J375" i="1"/>
  <c r="AN549" i="6"/>
  <c r="AF550" i="1"/>
  <c r="AH550" i="1" s="1"/>
  <c r="AF549" i="1"/>
  <c r="K254" i="6"/>
  <c r="M252" i="6"/>
  <c r="K252" i="1"/>
  <c r="M252" i="1" s="1"/>
  <c r="S162" i="6"/>
  <c r="N162" i="6"/>
  <c r="L162" i="1"/>
  <c r="N419" i="6"/>
  <c r="S419" i="6"/>
  <c r="L419" i="1"/>
  <c r="S179" i="6"/>
  <c r="S180" i="6" s="1"/>
  <c r="V179" i="6"/>
  <c r="N179" i="6"/>
  <c r="L179" i="1"/>
  <c r="R371" i="6"/>
  <c r="J380" i="6"/>
  <c r="M371" i="6"/>
  <c r="J371" i="1"/>
  <c r="S286" i="6"/>
  <c r="N286" i="6"/>
  <c r="L286" i="1"/>
  <c r="S151" i="6"/>
  <c r="N151" i="6"/>
  <c r="L151" i="1"/>
  <c r="S275" i="6"/>
  <c r="N275" i="6"/>
  <c r="L275" i="1"/>
  <c r="S300" i="6"/>
  <c r="N300" i="6"/>
  <c r="L300" i="1"/>
  <c r="S297" i="6"/>
  <c r="N297" i="6"/>
  <c r="L297" i="1"/>
  <c r="S478" i="6"/>
  <c r="L478" i="1"/>
  <c r="S478" i="1" s="1"/>
  <c r="S124" i="6"/>
  <c r="L136" i="6"/>
  <c r="N124" i="6"/>
  <c r="L124" i="1"/>
  <c r="S287" i="6"/>
  <c r="N287" i="6"/>
  <c r="L287" i="1"/>
  <c r="R443" i="6"/>
  <c r="J443" i="1"/>
  <c r="R443" i="1" s="1"/>
  <c r="U39" i="6"/>
  <c r="S39" i="6"/>
  <c r="N39" i="6"/>
  <c r="AF504" i="6"/>
  <c r="L39" i="1"/>
  <c r="L266" i="6"/>
  <c r="S265" i="6"/>
  <c r="N265" i="6"/>
  <c r="L265" i="1"/>
  <c r="L266" i="1" s="1"/>
  <c r="S422" i="6"/>
  <c r="N422" i="6"/>
  <c r="L422" i="1"/>
  <c r="S353" i="6"/>
  <c r="N353" i="6"/>
  <c r="L353" i="1"/>
  <c r="S335" i="6"/>
  <c r="N335" i="6"/>
  <c r="L335" i="1"/>
  <c r="S125" i="6"/>
  <c r="N125" i="6"/>
  <c r="L125" i="1"/>
  <c r="S121" i="6"/>
  <c r="N121" i="6"/>
  <c r="L121" i="1"/>
  <c r="S351" i="6"/>
  <c r="N351" i="6"/>
  <c r="L351" i="1"/>
  <c r="S60" i="6"/>
  <c r="N60" i="6"/>
  <c r="L60" i="1"/>
  <c r="L316" i="6"/>
  <c r="N315" i="6"/>
  <c r="N316" i="6" s="1"/>
  <c r="S315" i="6"/>
  <c r="S316" i="6" s="1"/>
  <c r="L315" i="1"/>
  <c r="S222" i="6"/>
  <c r="N222" i="6"/>
  <c r="L222" i="1"/>
  <c r="S383" i="6"/>
  <c r="N383" i="6"/>
  <c r="L383" i="1"/>
  <c r="S53" i="6"/>
  <c r="N53" i="6"/>
  <c r="L53" i="1"/>
  <c r="L83" i="6"/>
  <c r="S75" i="6"/>
  <c r="N75" i="6"/>
  <c r="AF558" i="6"/>
  <c r="L75" i="1"/>
  <c r="S52" i="6"/>
  <c r="N52" i="6"/>
  <c r="AF518" i="6"/>
  <c r="L52" i="1"/>
  <c r="S59" i="6"/>
  <c r="N59" i="6"/>
  <c r="AF525" i="6"/>
  <c r="L59" i="1"/>
  <c r="S321" i="6"/>
  <c r="L322" i="6"/>
  <c r="N321" i="6"/>
  <c r="N322" i="6" s="1"/>
  <c r="L321" i="1"/>
  <c r="K388" i="6"/>
  <c r="J388" i="1"/>
  <c r="K388" i="1" s="1"/>
  <c r="AN544" i="6"/>
  <c r="AO544" i="6" s="1"/>
  <c r="AH544" i="6"/>
  <c r="AF544" i="1"/>
  <c r="AN543" i="6"/>
  <c r="AH543" i="6"/>
  <c r="AF543" i="1"/>
  <c r="K373" i="6"/>
  <c r="M373" i="6"/>
  <c r="R373" i="6"/>
  <c r="J373" i="1"/>
  <c r="S48" i="6"/>
  <c r="N48" i="6"/>
  <c r="L48" i="1"/>
  <c r="N143" i="6"/>
  <c r="S143" i="6"/>
  <c r="L143" i="1"/>
  <c r="K372" i="6"/>
  <c r="M372" i="6"/>
  <c r="J372" i="1"/>
  <c r="N377" i="6"/>
  <c r="S377" i="6"/>
  <c r="L377" i="1"/>
  <c r="S199" i="6"/>
  <c r="N199" i="6"/>
  <c r="L199" i="1"/>
  <c r="S459" i="6"/>
  <c r="L459" i="1"/>
  <c r="S459" i="1" s="1"/>
  <c r="S337" i="6"/>
  <c r="N337" i="6"/>
  <c r="L337" i="1"/>
  <c r="S203" i="6"/>
  <c r="N203" i="6"/>
  <c r="L203" i="1"/>
  <c r="S12" i="6"/>
  <c r="N12" i="6"/>
  <c r="L12" i="1"/>
  <c r="N128" i="6"/>
  <c r="S128" i="6"/>
  <c r="L128" i="1"/>
  <c r="S350" i="6"/>
  <c r="N350" i="6"/>
  <c r="L350" i="1"/>
  <c r="M12" i="6"/>
  <c r="R12" i="6"/>
  <c r="K12" i="6"/>
  <c r="J12" i="1"/>
  <c r="S61" i="6"/>
  <c r="N61" i="6"/>
  <c r="AF528" i="6"/>
  <c r="L61" i="1"/>
  <c r="N276" i="6"/>
  <c r="S276" i="6"/>
  <c r="L276" i="1"/>
  <c r="S454" i="6"/>
  <c r="L454" i="1"/>
  <c r="S454" i="1" s="1"/>
  <c r="S376" i="6"/>
  <c r="N376" i="6"/>
  <c r="L376" i="1"/>
  <c r="S375" i="6"/>
  <c r="N375" i="6"/>
  <c r="L375" i="1"/>
  <c r="S142" i="6"/>
  <c r="N142" i="6"/>
  <c r="L142" i="1"/>
  <c r="S146" i="6"/>
  <c r="N146" i="6"/>
  <c r="L146" i="1"/>
  <c r="N358" i="6"/>
  <c r="S358" i="6"/>
  <c r="AF536" i="6"/>
  <c r="L358" i="1"/>
  <c r="M177" i="6"/>
  <c r="R177" i="6"/>
  <c r="R178" i="6" s="1"/>
  <c r="K177" i="6"/>
  <c r="K177" i="1" s="1"/>
  <c r="J177" i="1"/>
  <c r="S415" i="6"/>
  <c r="N415" i="6"/>
  <c r="L415" i="1"/>
  <c r="S232" i="6"/>
  <c r="N232" i="6"/>
  <c r="N394" i="6"/>
  <c r="S394" i="6"/>
  <c r="L406" i="6"/>
  <c r="L394" i="1"/>
  <c r="N105" i="6"/>
  <c r="S105" i="6"/>
  <c r="L105" i="1"/>
  <c r="S126" i="6"/>
  <c r="N126" i="6"/>
  <c r="L126" i="1"/>
  <c r="N272" i="6"/>
  <c r="S272" i="6"/>
  <c r="L284" i="6"/>
  <c r="L272" i="1"/>
  <c r="K10" i="6"/>
  <c r="M10" i="6"/>
  <c r="R10" i="6"/>
  <c r="J10" i="1"/>
  <c r="N78" i="6"/>
  <c r="S78" i="6"/>
  <c r="AF557" i="6"/>
  <c r="L78" i="1"/>
  <c r="S333" i="6"/>
  <c r="N333" i="6"/>
  <c r="L333" i="1"/>
  <c r="AN581" i="6"/>
  <c r="AH581" i="6"/>
  <c r="AF581" i="1"/>
  <c r="AN546" i="6"/>
  <c r="AO546" i="6" s="1"/>
  <c r="AH546" i="6"/>
  <c r="AF546" i="1"/>
  <c r="K374" i="6"/>
  <c r="R374" i="6"/>
  <c r="M374" i="6"/>
  <c r="J374" i="1"/>
  <c r="N35" i="6"/>
  <c r="S35" i="6"/>
  <c r="AF500" i="6"/>
  <c r="L35" i="1"/>
  <c r="N217" i="6"/>
  <c r="S217" i="6"/>
  <c r="L217" i="1"/>
  <c r="S458" i="6"/>
  <c r="L458" i="1"/>
  <c r="S458" i="1" s="1"/>
  <c r="AH540" i="6"/>
  <c r="AN540" i="6"/>
  <c r="AO540" i="6" s="1"/>
  <c r="AF540" i="1"/>
  <c r="K376" i="6"/>
  <c r="M376" i="6"/>
  <c r="R376" i="6"/>
  <c r="J376" i="1"/>
  <c r="N413" i="6"/>
  <c r="S413" i="6"/>
  <c r="L413" i="1"/>
  <c r="S356" i="6"/>
  <c r="N356" i="6"/>
  <c r="L356" i="1"/>
  <c r="S113" i="6"/>
  <c r="L123" i="6"/>
  <c r="N113" i="6"/>
  <c r="L113" i="1"/>
  <c r="N405" i="6"/>
  <c r="S405" i="6"/>
  <c r="L405" i="1"/>
  <c r="S417" i="6"/>
  <c r="N417" i="6"/>
  <c r="L417" i="1"/>
  <c r="S36" i="6"/>
  <c r="N36" i="6"/>
  <c r="AF501" i="6"/>
  <c r="L36" i="1"/>
  <c r="S132" i="6"/>
  <c r="N132" i="6"/>
  <c r="L132" i="1"/>
  <c r="S357" i="6"/>
  <c r="N357" i="6"/>
  <c r="L357" i="1"/>
  <c r="S63" i="6"/>
  <c r="N63" i="6"/>
  <c r="AF530" i="6"/>
  <c r="L63" i="1"/>
  <c r="N80" i="6"/>
  <c r="S80" i="6"/>
  <c r="L80" i="1"/>
  <c r="N298" i="6"/>
  <c r="S298" i="6"/>
  <c r="L298" i="1"/>
  <c r="L482" i="6"/>
  <c r="K482" i="6" s="1"/>
  <c r="S465" i="6"/>
  <c r="L465" i="1"/>
  <c r="S384" i="6"/>
  <c r="N384" i="6"/>
  <c r="L384" i="1"/>
  <c r="S201" i="6"/>
  <c r="N201" i="6"/>
  <c r="L201" i="1"/>
  <c r="S150" i="6"/>
  <c r="N150" i="6"/>
  <c r="L150" i="1"/>
  <c r="N379" i="6"/>
  <c r="S379" i="6"/>
  <c r="L379" i="1"/>
  <c r="S334" i="6"/>
  <c r="N334" i="6"/>
  <c r="L334" i="1"/>
  <c r="N10" i="6"/>
  <c r="S10" i="6"/>
  <c r="AF505" i="6"/>
  <c r="AF552" i="6"/>
  <c r="AF550" i="6"/>
  <c r="AF564" i="6"/>
  <c r="AF584" i="6"/>
  <c r="AF565" i="6"/>
  <c r="AF551" i="6"/>
  <c r="AF513" i="6"/>
  <c r="AF537" i="6"/>
  <c r="AF512" i="6"/>
  <c r="AF514" i="6"/>
  <c r="AF566" i="6"/>
  <c r="AF519" i="6"/>
  <c r="AF582" i="6"/>
  <c r="AF538" i="6"/>
  <c r="L10" i="1"/>
  <c r="L259" i="6"/>
  <c r="L247" i="6"/>
  <c r="S246" i="6"/>
  <c r="S247" i="6" s="1"/>
  <c r="N246" i="6"/>
  <c r="L246" i="1"/>
  <c r="N397" i="6"/>
  <c r="S397" i="6"/>
  <c r="L397" i="1"/>
  <c r="N133" i="6"/>
  <c r="S133" i="6"/>
  <c r="L133" i="1"/>
  <c r="S130" i="6"/>
  <c r="N130" i="6"/>
  <c r="L130" i="1"/>
  <c r="S277" i="6"/>
  <c r="N277" i="6"/>
  <c r="L277" i="1"/>
  <c r="N43" i="6"/>
  <c r="S43" i="6"/>
  <c r="AF509" i="6"/>
  <c r="L43" i="1"/>
  <c r="N82" i="6"/>
  <c r="S82" i="6"/>
  <c r="AF567" i="6"/>
  <c r="L82" i="1"/>
  <c r="S340" i="6"/>
  <c r="N340" i="6"/>
  <c r="L340" i="1"/>
  <c r="M321" i="6"/>
  <c r="K321" i="1"/>
  <c r="M321" i="1" s="1"/>
  <c r="AN578" i="6"/>
  <c r="AO578" i="6" s="1"/>
  <c r="AH578" i="6"/>
  <c r="AF578" i="1"/>
  <c r="AH580" i="6"/>
  <c r="AN580" i="6"/>
  <c r="AR580" i="6"/>
  <c r="AF580" i="1"/>
  <c r="K377" i="1"/>
  <c r="M377" i="1"/>
  <c r="S223" i="6"/>
  <c r="N223" i="6"/>
  <c r="L223" i="1"/>
  <c r="N331" i="6"/>
  <c r="S331" i="6"/>
  <c r="L331" i="1"/>
  <c r="S288" i="6"/>
  <c r="N288" i="6"/>
  <c r="L288" i="1"/>
  <c r="AN535" i="6"/>
  <c r="AO535" i="6" s="1"/>
  <c r="AH535" i="6"/>
  <c r="AF535" i="1"/>
  <c r="S349" i="6"/>
  <c r="N349" i="6"/>
  <c r="L349" i="1"/>
  <c r="S424" i="6"/>
  <c r="N424" i="6"/>
  <c r="L424" i="1"/>
  <c r="S161" i="6"/>
  <c r="N161" i="6"/>
  <c r="L161" i="1"/>
  <c r="S135" i="6"/>
  <c r="N135" i="6"/>
  <c r="L135" i="1"/>
  <c r="S470" i="6"/>
  <c r="L470" i="1"/>
  <c r="S470" i="1" s="1"/>
  <c r="S474" i="6"/>
  <c r="L474" i="1"/>
  <c r="S474" i="1" s="1"/>
  <c r="N45" i="6"/>
  <c r="S45" i="6"/>
  <c r="AF511" i="6"/>
  <c r="L45" i="1"/>
  <c r="N137" i="6"/>
  <c r="S137" i="6"/>
  <c r="L154" i="6"/>
  <c r="L137" i="1"/>
  <c r="S360" i="6"/>
  <c r="N360" i="6"/>
  <c r="L360" i="1"/>
  <c r="V177" i="6"/>
  <c r="N177" i="6"/>
  <c r="S177" i="6"/>
  <c r="L177" i="1"/>
  <c r="S95" i="6"/>
  <c r="N95" i="6"/>
  <c r="L95" i="1"/>
  <c r="S301" i="6"/>
  <c r="N301" i="6"/>
  <c r="L301" i="1"/>
  <c r="S475" i="6"/>
  <c r="L475" i="1"/>
  <c r="S475" i="1" s="1"/>
  <c r="S7" i="6"/>
  <c r="N7" i="6"/>
  <c r="L7" i="1"/>
  <c r="N411" i="6"/>
  <c r="S411" i="6"/>
  <c r="L411" i="1"/>
  <c r="S225" i="6"/>
  <c r="N225" i="6"/>
  <c r="S194" i="6"/>
  <c r="N194" i="6"/>
  <c r="S404" i="6"/>
  <c r="N404" i="6"/>
  <c r="L404" i="1"/>
  <c r="K6" i="6"/>
  <c r="R6" i="6"/>
  <c r="M6" i="6"/>
  <c r="J13" i="6"/>
  <c r="J24" i="6" s="1"/>
  <c r="K37" i="6" s="1"/>
  <c r="J6" i="1"/>
  <c r="K15" i="6"/>
  <c r="R15" i="6"/>
  <c r="M15" i="6"/>
  <c r="J15" i="1"/>
  <c r="R249" i="6"/>
  <c r="J249" i="1"/>
  <c r="R249" i="1" s="1"/>
  <c r="S423" i="6"/>
  <c r="N423" i="6"/>
  <c r="L423" i="1"/>
  <c r="S163" i="6"/>
  <c r="N163" i="6"/>
  <c r="L163" i="1"/>
  <c r="S134" i="6"/>
  <c r="N134" i="6"/>
  <c r="L134" i="1"/>
  <c r="S302" i="6"/>
  <c r="N302" i="6"/>
  <c r="L302" i="1"/>
  <c r="L106" i="6"/>
  <c r="J114" i="6" s="1"/>
  <c r="S103" i="6"/>
  <c r="N103" i="6"/>
  <c r="L103" i="1"/>
  <c r="S119" i="6"/>
  <c r="N119" i="6"/>
  <c r="L119" i="1"/>
  <c r="S348" i="6"/>
  <c r="N348" i="6"/>
  <c r="L348" i="1"/>
  <c r="K379" i="6"/>
  <c r="J379" i="1"/>
  <c r="K379" i="1" s="1"/>
  <c r="AN533" i="6"/>
  <c r="AO533" i="6" s="1"/>
  <c r="AH533" i="6"/>
  <c r="AF533" i="1"/>
  <c r="AN507" i="6"/>
  <c r="AO507" i="6" s="1"/>
  <c r="AH507" i="6"/>
  <c r="AF507" i="1"/>
  <c r="S149" i="6"/>
  <c r="N149" i="6"/>
  <c r="L149" i="1"/>
  <c r="N235" i="6"/>
  <c r="S235" i="6"/>
  <c r="S467" i="6"/>
  <c r="L467" i="1"/>
  <c r="S467" i="1" s="1"/>
  <c r="S446" i="6"/>
  <c r="L446" i="1"/>
  <c r="N76" i="6"/>
  <c r="S76" i="6"/>
  <c r="AF559" i="6"/>
  <c r="L76" i="1"/>
  <c r="S210" i="6"/>
  <c r="N210" i="6"/>
  <c r="L227" i="6"/>
  <c r="N359" i="6"/>
  <c r="S359" i="6"/>
  <c r="L359" i="1"/>
  <c r="S8" i="6"/>
  <c r="N8" i="6"/>
  <c r="L8" i="1"/>
  <c r="S50" i="6"/>
  <c r="N50" i="6"/>
  <c r="AF516" i="6"/>
  <c r="L50" i="1"/>
  <c r="S141" i="6"/>
  <c r="N141" i="6"/>
  <c r="L141" i="1"/>
  <c r="N399" i="6"/>
  <c r="S399" i="6"/>
  <c r="L399" i="1"/>
  <c r="S145" i="6"/>
  <c r="N145" i="6"/>
  <c r="L145" i="1"/>
  <c r="L326" i="6"/>
  <c r="S318" i="6"/>
  <c r="S319" i="6" s="1"/>
  <c r="L319" i="6"/>
  <c r="N318" i="6"/>
  <c r="N319" i="6" s="1"/>
  <c r="L318" i="1"/>
  <c r="M8" i="6"/>
  <c r="R8" i="6"/>
  <c r="K8" i="6"/>
  <c r="J8" i="1"/>
  <c r="L41" i="6"/>
  <c r="S31" i="6"/>
  <c r="N31" i="6"/>
  <c r="AF496" i="6"/>
  <c r="L31" i="1"/>
  <c r="R440" i="6"/>
  <c r="J440" i="1"/>
  <c r="R440" i="1" s="1"/>
  <c r="N290" i="6"/>
  <c r="S290" i="6"/>
  <c r="L290" i="1"/>
  <c r="N198" i="6"/>
  <c r="S198" i="6"/>
  <c r="L198" i="1"/>
  <c r="N408" i="6"/>
  <c r="S408" i="6"/>
  <c r="L408" i="1"/>
  <c r="V17" i="6"/>
  <c r="S17" i="6"/>
  <c r="N17" i="6"/>
  <c r="L17" i="1"/>
  <c r="S46" i="6"/>
  <c r="N46" i="6"/>
  <c r="L46" i="1"/>
  <c r="N252" i="6"/>
  <c r="S252" i="6"/>
  <c r="S253" i="6" s="1"/>
  <c r="L253" i="6"/>
  <c r="N253" i="6" s="1"/>
  <c r="L252" i="1"/>
  <c r="L464" i="6"/>
  <c r="S452" i="6"/>
  <c r="L452" i="1"/>
  <c r="S208" i="6"/>
  <c r="N208" i="6"/>
  <c r="S139" i="6"/>
  <c r="N139" i="6"/>
  <c r="L139" i="1"/>
  <c r="S355" i="6"/>
  <c r="N355" i="6"/>
  <c r="L355" i="1"/>
  <c r="S129" i="6"/>
  <c r="N129" i="6"/>
  <c r="L129" i="1"/>
  <c r="N147" i="6"/>
  <c r="S147" i="6"/>
  <c r="L147" i="1"/>
  <c r="S352" i="6"/>
  <c r="N352" i="6"/>
  <c r="L352" i="1"/>
  <c r="M249" i="6"/>
  <c r="K251" i="6"/>
  <c r="K249" i="1"/>
  <c r="AN526" i="6"/>
  <c r="AO526" i="6" s="1"/>
  <c r="AH526" i="6"/>
  <c r="AF526" i="1"/>
  <c r="AH548" i="6"/>
  <c r="AN548" i="6"/>
  <c r="AO548" i="6" s="1"/>
  <c r="AF548" i="1"/>
  <c r="N164" i="6" l="1"/>
  <c r="R13" i="6"/>
  <c r="R14" i="6" s="1"/>
  <c r="AF520" i="6"/>
  <c r="S448" i="6"/>
  <c r="S449" i="6" s="1"/>
  <c r="N237" i="6"/>
  <c r="AH520" i="6"/>
  <c r="AI520" i="6" s="1"/>
  <c r="AH513" i="6"/>
  <c r="AN513" i="6"/>
  <c r="AF513" i="1"/>
  <c r="M372" i="1"/>
  <c r="K372" i="1"/>
  <c r="N198" i="1"/>
  <c r="S198" i="1"/>
  <c r="S145" i="1"/>
  <c r="N145" i="1"/>
  <c r="S163" i="1"/>
  <c r="N163" i="1"/>
  <c r="N95" i="1"/>
  <c r="S95" i="1"/>
  <c r="AN580" i="1"/>
  <c r="AH580" i="1"/>
  <c r="S82" i="1"/>
  <c r="N82" i="1"/>
  <c r="N130" i="1"/>
  <c r="S130" i="1"/>
  <c r="AN565" i="6"/>
  <c r="AH565" i="6"/>
  <c r="AI565" i="6" s="1"/>
  <c r="AF565" i="1"/>
  <c r="S482" i="6"/>
  <c r="S357" i="1"/>
  <c r="N357" i="1"/>
  <c r="AH557" i="6"/>
  <c r="AN557" i="6"/>
  <c r="AF557" i="1"/>
  <c r="N276" i="1"/>
  <c r="S276" i="1"/>
  <c r="S83" i="6"/>
  <c r="N125" i="1"/>
  <c r="S125" i="1"/>
  <c r="N287" i="1"/>
  <c r="S287" i="1"/>
  <c r="S300" i="1"/>
  <c r="N300" i="1"/>
  <c r="R371" i="1"/>
  <c r="K371" i="1"/>
  <c r="J380" i="1"/>
  <c r="M371" i="1"/>
  <c r="N280" i="1"/>
  <c r="S280" i="1"/>
  <c r="S55" i="1"/>
  <c r="N55" i="1"/>
  <c r="L72" i="1"/>
  <c r="N258" i="1"/>
  <c r="S258" i="1"/>
  <c r="N40" i="1"/>
  <c r="S40" i="1"/>
  <c r="K40" i="1"/>
  <c r="K260" i="6"/>
  <c r="R259" i="6"/>
  <c r="R11" i="1"/>
  <c r="M11" i="1"/>
  <c r="K11" i="1"/>
  <c r="S388" i="1"/>
  <c r="R388" i="1" s="1"/>
  <c r="N388" i="1"/>
  <c r="S101" i="1"/>
  <c r="N101" i="1"/>
  <c r="S58" i="1"/>
  <c r="N58" i="1"/>
  <c r="L448" i="1"/>
  <c r="N437" i="1"/>
  <c r="S437" i="1"/>
  <c r="L438" i="1"/>
  <c r="N215" i="1"/>
  <c r="S215" i="1"/>
  <c r="N209" i="6"/>
  <c r="S209" i="6"/>
  <c r="AH542" i="1"/>
  <c r="AN542" i="1"/>
  <c r="AO542" i="1" s="1"/>
  <c r="N361" i="6"/>
  <c r="N283" i="1"/>
  <c r="S283" i="1"/>
  <c r="AH584" i="6"/>
  <c r="AN584" i="6"/>
  <c r="AF584" i="1"/>
  <c r="N413" i="1"/>
  <c r="S413" i="1"/>
  <c r="AN546" i="1"/>
  <c r="AO546" i="1" s="1"/>
  <c r="AH546" i="1"/>
  <c r="AH543" i="1"/>
  <c r="AN543" i="1"/>
  <c r="S59" i="1"/>
  <c r="N59" i="1"/>
  <c r="L74" i="6"/>
  <c r="N71" i="1"/>
  <c r="S71" i="1"/>
  <c r="N213" i="1"/>
  <c r="S213" i="1"/>
  <c r="AH524" i="6"/>
  <c r="AN524" i="6"/>
  <c r="AO524" i="6" s="1"/>
  <c r="AF524" i="1"/>
  <c r="M384" i="1"/>
  <c r="K384" i="1"/>
  <c r="R384" i="1"/>
  <c r="N114" i="1"/>
  <c r="S114" i="1"/>
  <c r="N336" i="1"/>
  <c r="S336" i="1"/>
  <c r="S116" i="1"/>
  <c r="N116" i="1"/>
  <c r="S38" i="1"/>
  <c r="N38" i="1"/>
  <c r="L263" i="1"/>
  <c r="S262" i="1"/>
  <c r="N262" i="1"/>
  <c r="S190" i="1"/>
  <c r="N190" i="1"/>
  <c r="N282" i="1"/>
  <c r="S282" i="1"/>
  <c r="N373" i="1"/>
  <c r="S373" i="1"/>
  <c r="N352" i="1"/>
  <c r="S352" i="1"/>
  <c r="S139" i="1"/>
  <c r="N139" i="1"/>
  <c r="S46" i="1"/>
  <c r="N46" i="1"/>
  <c r="S41" i="6"/>
  <c r="N41" i="6"/>
  <c r="N103" i="1"/>
  <c r="L106" i="1"/>
  <c r="S103" i="1"/>
  <c r="K23" i="6"/>
  <c r="R23" i="6" s="1"/>
  <c r="K13" i="6"/>
  <c r="J27" i="6"/>
  <c r="K22" i="6"/>
  <c r="R22" i="6" s="1"/>
  <c r="K21" i="6"/>
  <c r="R21" i="6" s="1"/>
  <c r="S45" i="1"/>
  <c r="N45" i="1"/>
  <c r="N10" i="1"/>
  <c r="S10" i="1"/>
  <c r="AN564" i="6"/>
  <c r="AH564" i="6"/>
  <c r="AI564" i="6" s="1"/>
  <c r="AF564" i="1"/>
  <c r="S150" i="1"/>
  <c r="N150" i="1"/>
  <c r="S298" i="1"/>
  <c r="N298" i="1"/>
  <c r="N405" i="1"/>
  <c r="S405" i="1"/>
  <c r="S217" i="1"/>
  <c r="N217" i="1"/>
  <c r="N105" i="1"/>
  <c r="S105" i="1"/>
  <c r="R177" i="1"/>
  <c r="R178" i="1" s="1"/>
  <c r="M177" i="1"/>
  <c r="N128" i="1"/>
  <c r="S128" i="1"/>
  <c r="AN525" i="6"/>
  <c r="AO525" i="6" s="1"/>
  <c r="AH525" i="6"/>
  <c r="AF525" i="1"/>
  <c r="S53" i="1"/>
  <c r="N53" i="1"/>
  <c r="R380" i="6"/>
  <c r="M380" i="6"/>
  <c r="K380" i="6"/>
  <c r="J385" i="6"/>
  <c r="N72" i="6"/>
  <c r="N274" i="1"/>
  <c r="S274" i="1"/>
  <c r="N120" i="1"/>
  <c r="S120" i="1"/>
  <c r="S191" i="1"/>
  <c r="N191" i="1"/>
  <c r="S187" i="1"/>
  <c r="N187" i="1"/>
  <c r="N438" i="6"/>
  <c r="N421" i="1"/>
  <c r="S421" i="1"/>
  <c r="N153" i="1"/>
  <c r="S153" i="1"/>
  <c r="S398" i="1"/>
  <c r="N398" i="1"/>
  <c r="S51" i="1"/>
  <c r="N51" i="1"/>
  <c r="S186" i="1"/>
  <c r="N186" i="1"/>
  <c r="L196" i="1"/>
  <c r="S37" i="1"/>
  <c r="N37" i="1"/>
  <c r="S42" i="1"/>
  <c r="N42" i="1"/>
  <c r="N54" i="1" s="1"/>
  <c r="L54" i="1"/>
  <c r="AE503" i="6"/>
  <c r="AH503" i="6"/>
  <c r="AN503" i="6"/>
  <c r="AO503" i="6" s="1"/>
  <c r="AF503" i="1"/>
  <c r="AH579" i="1"/>
  <c r="AN579" i="1"/>
  <c r="L441" i="1"/>
  <c r="S440" i="1"/>
  <c r="N440" i="1"/>
  <c r="N441" i="1" s="1"/>
  <c r="N148" i="1"/>
  <c r="S148" i="1"/>
  <c r="K361" i="6"/>
  <c r="S361" i="6"/>
  <c r="S420" i="1"/>
  <c r="N420" i="1"/>
  <c r="N160" i="1"/>
  <c r="S160" i="1"/>
  <c r="N291" i="1"/>
  <c r="S291" i="1"/>
  <c r="S330" i="1"/>
  <c r="N330" i="1"/>
  <c r="L342" i="1"/>
  <c r="M175" i="1"/>
  <c r="R175" i="1"/>
  <c r="R176" i="1" s="1"/>
  <c r="J182" i="1"/>
  <c r="AN558" i="6"/>
  <c r="AO558" i="6" s="1"/>
  <c r="AH558" i="6"/>
  <c r="AI558" i="6" s="1"/>
  <c r="AF558" i="1"/>
  <c r="S118" i="1"/>
  <c r="N118" i="1"/>
  <c r="N341" i="1"/>
  <c r="S341" i="1"/>
  <c r="N409" i="1"/>
  <c r="S409" i="1"/>
  <c r="S290" i="1"/>
  <c r="N290" i="1"/>
  <c r="R8" i="1"/>
  <c r="M8" i="1"/>
  <c r="K8" i="1"/>
  <c r="N399" i="1"/>
  <c r="S399" i="1"/>
  <c r="AH533" i="1"/>
  <c r="AN533" i="1"/>
  <c r="AO533" i="1" s="1"/>
  <c r="S423" i="1"/>
  <c r="N423" i="1"/>
  <c r="S177" i="1"/>
  <c r="N177" i="1"/>
  <c r="AH511" i="6"/>
  <c r="AN511" i="6"/>
  <c r="AF511" i="1"/>
  <c r="N133" i="1"/>
  <c r="S133" i="1"/>
  <c r="AH538" i="6"/>
  <c r="AF538" i="1"/>
  <c r="AN550" i="6"/>
  <c r="AH550" i="6"/>
  <c r="AF551" i="1"/>
  <c r="AH551" i="1" s="1"/>
  <c r="N132" i="1"/>
  <c r="S132" i="1"/>
  <c r="R10" i="1"/>
  <c r="M10" i="1"/>
  <c r="K10" i="1"/>
  <c r="N61" i="1"/>
  <c r="S61" i="1"/>
  <c r="N143" i="1"/>
  <c r="S143" i="1"/>
  <c r="N60" i="1"/>
  <c r="S60" i="1"/>
  <c r="S335" i="1"/>
  <c r="N335" i="1"/>
  <c r="S124" i="1"/>
  <c r="N124" i="1"/>
  <c r="L136" i="1"/>
  <c r="N275" i="1"/>
  <c r="S275" i="1"/>
  <c r="N49" i="1"/>
  <c r="S49" i="1"/>
  <c r="AN521" i="6"/>
  <c r="AO521" i="6" s="1"/>
  <c r="AH521" i="6"/>
  <c r="AF521" i="1"/>
  <c r="AH545" i="1"/>
  <c r="AN545" i="1"/>
  <c r="AO545" i="1" s="1"/>
  <c r="R9" i="1"/>
  <c r="M9" i="1"/>
  <c r="K9" i="1"/>
  <c r="S339" i="1"/>
  <c r="N339" i="1"/>
  <c r="N206" i="1"/>
  <c r="S206" i="1"/>
  <c r="R7" i="1"/>
  <c r="M7" i="1"/>
  <c r="K7" i="1"/>
  <c r="AH517" i="6"/>
  <c r="AN517" i="6"/>
  <c r="AO517" i="6" s="1"/>
  <c r="AF517" i="1"/>
  <c r="AH508" i="6"/>
  <c r="AN508" i="6"/>
  <c r="AO508" i="6" s="1"/>
  <c r="AF508" i="1"/>
  <c r="N412" i="1"/>
  <c r="S412" i="1"/>
  <c r="L182" i="1"/>
  <c r="J187" i="1" s="1"/>
  <c r="N175" i="1"/>
  <c r="S175" i="1"/>
  <c r="S176" i="1" s="1"/>
  <c r="K95" i="1"/>
  <c r="M95" i="1"/>
  <c r="R95" i="1"/>
  <c r="J97" i="1"/>
  <c r="S47" i="1"/>
  <c r="N47" i="1"/>
  <c r="M96" i="1"/>
  <c r="K96" i="1"/>
  <c r="R96" i="1"/>
  <c r="AN527" i="6"/>
  <c r="AH527" i="6"/>
  <c r="AF527" i="1"/>
  <c r="S342" i="6"/>
  <c r="L363" i="6"/>
  <c r="N342" i="6"/>
  <c r="K182" i="6"/>
  <c r="R182" i="6"/>
  <c r="R183" i="6" s="1"/>
  <c r="M182" i="6"/>
  <c r="S104" i="1"/>
  <c r="N104" i="1"/>
  <c r="S252" i="1"/>
  <c r="L253" i="1"/>
  <c r="N253" i="1" s="1"/>
  <c r="N252" i="1"/>
  <c r="S76" i="1"/>
  <c r="N76" i="1"/>
  <c r="K35" i="6"/>
  <c r="M24" i="6"/>
  <c r="K24" i="6"/>
  <c r="R24" i="6" s="1"/>
  <c r="N146" i="1"/>
  <c r="S146" i="1"/>
  <c r="N66" i="1"/>
  <c r="S66" i="1"/>
  <c r="K268" i="6"/>
  <c r="M259" i="6"/>
  <c r="S221" i="1"/>
  <c r="N221" i="1"/>
  <c r="N273" i="1"/>
  <c r="S273" i="1"/>
  <c r="K33" i="6"/>
  <c r="S359" i="1"/>
  <c r="N359" i="1"/>
  <c r="S7" i="1"/>
  <c r="N7" i="1"/>
  <c r="N424" i="1"/>
  <c r="S424" i="1"/>
  <c r="N331" i="1"/>
  <c r="S331" i="1"/>
  <c r="AH578" i="1"/>
  <c r="AN578" i="1"/>
  <c r="AO578" i="1" s="1"/>
  <c r="K82" i="6"/>
  <c r="J82" i="6" s="1"/>
  <c r="AN582" i="6"/>
  <c r="AH582" i="6"/>
  <c r="AF582" i="1"/>
  <c r="AH552" i="6"/>
  <c r="AN552" i="6"/>
  <c r="M376" i="1"/>
  <c r="K376" i="1"/>
  <c r="R376" i="1"/>
  <c r="AH581" i="1"/>
  <c r="AN581" i="1"/>
  <c r="AL537" i="6"/>
  <c r="AN537" i="6" s="1"/>
  <c r="AL505" i="6"/>
  <c r="AL538" i="6"/>
  <c r="AO538" i="6" s="1"/>
  <c r="AL519" i="6"/>
  <c r="AN519" i="6" s="1"/>
  <c r="N375" i="1"/>
  <c r="S375" i="1"/>
  <c r="AH528" i="6"/>
  <c r="AN528" i="6"/>
  <c r="AO528" i="6" s="1"/>
  <c r="AF528" i="1"/>
  <c r="N199" i="1"/>
  <c r="S199" i="1"/>
  <c r="AH544" i="1"/>
  <c r="AN544" i="1"/>
  <c r="AO544" i="1" s="1"/>
  <c r="N39" i="1"/>
  <c r="S39" i="1"/>
  <c r="N179" i="1"/>
  <c r="S179" i="1"/>
  <c r="S180" i="1" s="1"/>
  <c r="AN515" i="6"/>
  <c r="AO515" i="6" s="1"/>
  <c r="AH515" i="6"/>
  <c r="AF515" i="1"/>
  <c r="S72" i="6"/>
  <c r="S285" i="1"/>
  <c r="N285" i="1"/>
  <c r="L303" i="1"/>
  <c r="S237" i="6"/>
  <c r="N140" i="1"/>
  <c r="S140" i="1"/>
  <c r="S372" i="1"/>
  <c r="N372" i="1"/>
  <c r="S278" i="1"/>
  <c r="N278" i="1"/>
  <c r="S122" i="1"/>
  <c r="N122" i="1"/>
  <c r="N144" i="1"/>
  <c r="S144" i="1"/>
  <c r="L449" i="6"/>
  <c r="S196" i="6"/>
  <c r="L229" i="6"/>
  <c r="N196" i="6"/>
  <c r="S68" i="1"/>
  <c r="N68" i="1"/>
  <c r="N72" i="1" s="1"/>
  <c r="AH502" i="6"/>
  <c r="AE502" i="6"/>
  <c r="AN502" i="6"/>
  <c r="AO502" i="6" s="1"/>
  <c r="AF502" i="1"/>
  <c r="S54" i="6"/>
  <c r="N214" i="1"/>
  <c r="S214" i="1"/>
  <c r="L380" i="1"/>
  <c r="S371" i="1"/>
  <c r="N371" i="1"/>
  <c r="K38" i="6"/>
  <c r="N296" i="1"/>
  <c r="S296" i="1"/>
  <c r="N441" i="6"/>
  <c r="S6" i="1"/>
  <c r="N6" i="1"/>
  <c r="N13" i="1" s="1"/>
  <c r="L13" i="1"/>
  <c r="N443" i="1"/>
  <c r="N444" i="1" s="1"/>
  <c r="S443" i="1"/>
  <c r="L444" i="1"/>
  <c r="AH497" i="6"/>
  <c r="AE497" i="6"/>
  <c r="AN497" i="6"/>
  <c r="AO497" i="6" s="1"/>
  <c r="AF497" i="1"/>
  <c r="S142" i="1"/>
  <c r="N142" i="1"/>
  <c r="AN548" i="1"/>
  <c r="AO548" i="1" s="1"/>
  <c r="AH548" i="1"/>
  <c r="N147" i="1"/>
  <c r="S147" i="1"/>
  <c r="N17" i="1"/>
  <c r="S17" i="1"/>
  <c r="V106" i="6"/>
  <c r="S106" i="6"/>
  <c r="S107" i="6" s="1"/>
  <c r="N106" i="6"/>
  <c r="N107" i="6" s="1"/>
  <c r="N43" i="1"/>
  <c r="S43" i="1"/>
  <c r="AH519" i="6"/>
  <c r="AF519" i="1"/>
  <c r="AH519" i="1" s="1"/>
  <c r="AH505" i="6"/>
  <c r="AE505" i="6"/>
  <c r="AF505" i="1"/>
  <c r="N201" i="1"/>
  <c r="S201" i="1"/>
  <c r="N80" i="1"/>
  <c r="S80" i="1"/>
  <c r="J113" i="1"/>
  <c r="N113" i="1"/>
  <c r="L123" i="1"/>
  <c r="S113" i="1"/>
  <c r="N35" i="1"/>
  <c r="S35" i="1"/>
  <c r="M13" i="6"/>
  <c r="N394" i="1"/>
  <c r="S394" i="1"/>
  <c r="L406" i="1"/>
  <c r="N12" i="1"/>
  <c r="S12" i="1"/>
  <c r="S52" i="1"/>
  <c r="N52" i="1"/>
  <c r="N383" i="1"/>
  <c r="S383" i="1"/>
  <c r="K39" i="6"/>
  <c r="S136" i="6"/>
  <c r="N136" i="6"/>
  <c r="S11" i="1"/>
  <c r="N11" i="1"/>
  <c r="N303" i="6"/>
  <c r="K303" i="6"/>
  <c r="S303" i="6"/>
  <c r="R17" i="1"/>
  <c r="M17" i="1"/>
  <c r="K17" i="1"/>
  <c r="N414" i="1"/>
  <c r="S414" i="1"/>
  <c r="S295" i="1"/>
  <c r="N295" i="1"/>
  <c r="N249" i="1"/>
  <c r="L250" i="1"/>
  <c r="S249" i="1"/>
  <c r="S189" i="1"/>
  <c r="N189" i="1"/>
  <c r="S344" i="1"/>
  <c r="N344" i="1"/>
  <c r="N332" i="1"/>
  <c r="S332" i="1"/>
  <c r="S152" i="1"/>
  <c r="N152" i="1"/>
  <c r="N292" i="1"/>
  <c r="S292" i="1"/>
  <c r="N294" i="1"/>
  <c r="S294" i="1"/>
  <c r="N54" i="6"/>
  <c r="N407" i="1"/>
  <c r="N425" i="1" s="1"/>
  <c r="S407" i="1"/>
  <c r="L425" i="1"/>
  <c r="K425" i="1" s="1"/>
  <c r="N67" i="1"/>
  <c r="S67" i="1"/>
  <c r="V182" i="6"/>
  <c r="S182" i="6"/>
  <c r="S183" i="6" s="1"/>
  <c r="N182" i="6"/>
  <c r="S192" i="1"/>
  <c r="N192" i="1"/>
  <c r="V13" i="6"/>
  <c r="L27" i="6"/>
  <c r="N135" i="1"/>
  <c r="S135" i="1"/>
  <c r="AE567" i="6"/>
  <c r="AD567" i="6"/>
  <c r="AN567" i="6"/>
  <c r="AH567" i="6"/>
  <c r="AI567" i="6" s="1"/>
  <c r="AF567" i="1"/>
  <c r="N259" i="6"/>
  <c r="N260" i="6" s="1"/>
  <c r="L268" i="6"/>
  <c r="L260" i="6"/>
  <c r="S259" i="6"/>
  <c r="S260" i="6" s="1"/>
  <c r="S141" i="1"/>
  <c r="N141" i="1"/>
  <c r="S302" i="1"/>
  <c r="N302" i="1"/>
  <c r="S404" i="1"/>
  <c r="N404" i="1"/>
  <c r="AN509" i="6"/>
  <c r="AO509" i="6" s="1"/>
  <c r="AH509" i="6"/>
  <c r="AF509" i="1"/>
  <c r="N397" i="1"/>
  <c r="S397" i="1"/>
  <c r="AN566" i="6"/>
  <c r="AH566" i="6"/>
  <c r="AI566" i="6" s="1"/>
  <c r="AF566" i="1"/>
  <c r="N36" i="1"/>
  <c r="S36" i="1"/>
  <c r="AN500" i="6"/>
  <c r="AE500" i="6"/>
  <c r="AH500" i="6"/>
  <c r="AF500" i="1"/>
  <c r="S406" i="6"/>
  <c r="N406" i="6"/>
  <c r="L427" i="6"/>
  <c r="S358" i="1"/>
  <c r="N358" i="1"/>
  <c r="S48" i="1"/>
  <c r="N48" i="1"/>
  <c r="AN518" i="6"/>
  <c r="AO518" i="6" s="1"/>
  <c r="AH518" i="6"/>
  <c r="AF518" i="1"/>
  <c r="S351" i="1"/>
  <c r="N351" i="1"/>
  <c r="S353" i="1"/>
  <c r="N353" i="1"/>
  <c r="AE504" i="6"/>
  <c r="AN504" i="6"/>
  <c r="AH504" i="6"/>
  <c r="AF504" i="1"/>
  <c r="N151" i="1"/>
  <c r="S151" i="1"/>
  <c r="K448" i="1"/>
  <c r="M437" i="1"/>
  <c r="K94" i="1"/>
  <c r="M94" i="1"/>
  <c r="R94" i="1"/>
  <c r="N403" i="1"/>
  <c r="S403" i="1"/>
  <c r="S9" i="1"/>
  <c r="N9" i="1"/>
  <c r="S57" i="1"/>
  <c r="N57" i="1"/>
  <c r="S380" i="6"/>
  <c r="S381" i="6" s="1"/>
  <c r="L385" i="6"/>
  <c r="N380" i="6"/>
  <c r="N381" i="6" s="1"/>
  <c r="S21" i="1"/>
  <c r="N21" i="1"/>
  <c r="L24" i="1"/>
  <c r="R179" i="1"/>
  <c r="R180" i="1" s="1"/>
  <c r="M179" i="1"/>
  <c r="S299" i="1"/>
  <c r="N299" i="1"/>
  <c r="AH534" i="6"/>
  <c r="AN534" i="6"/>
  <c r="AO534" i="6" s="1"/>
  <c r="AF534" i="1"/>
  <c r="S279" i="1"/>
  <c r="N279" i="1"/>
  <c r="N62" i="1"/>
  <c r="S62" i="1"/>
  <c r="N338" i="1"/>
  <c r="S338" i="1"/>
  <c r="N444" i="6"/>
  <c r="N127" i="1"/>
  <c r="S127" i="1"/>
  <c r="AN522" i="6"/>
  <c r="AO522" i="6" s="1"/>
  <c r="AH522" i="6"/>
  <c r="AF522" i="1"/>
  <c r="N216" i="1"/>
  <c r="S216" i="1"/>
  <c r="S354" i="1"/>
  <c r="N354" i="1"/>
  <c r="S115" i="1"/>
  <c r="N115" i="1"/>
  <c r="R6" i="1"/>
  <c r="M6" i="1"/>
  <c r="M13" i="1" s="1"/>
  <c r="K6" i="1"/>
  <c r="J13" i="1"/>
  <c r="N288" i="1"/>
  <c r="S288" i="1"/>
  <c r="L464" i="1"/>
  <c r="S452" i="1"/>
  <c r="N318" i="1"/>
  <c r="N319" i="1" s="1"/>
  <c r="L319" i="1"/>
  <c r="S318" i="1"/>
  <c r="S319" i="1" s="1"/>
  <c r="S227" i="6"/>
  <c r="N227" i="6"/>
  <c r="N360" i="1"/>
  <c r="S360" i="1"/>
  <c r="N349" i="1"/>
  <c r="S349" i="1"/>
  <c r="S223" i="1"/>
  <c r="N223" i="1"/>
  <c r="AN514" i="6"/>
  <c r="AH514" i="6"/>
  <c r="AF514" i="1"/>
  <c r="K36" i="6"/>
  <c r="S123" i="6"/>
  <c r="L156" i="6"/>
  <c r="N123" i="6"/>
  <c r="S333" i="1"/>
  <c r="N333" i="1"/>
  <c r="N272" i="1"/>
  <c r="S272" i="1"/>
  <c r="L284" i="1"/>
  <c r="AH536" i="6"/>
  <c r="AN536" i="6"/>
  <c r="AF536" i="1"/>
  <c r="S376" i="1"/>
  <c r="N376" i="1"/>
  <c r="M12" i="1"/>
  <c r="R12" i="1"/>
  <c r="K12" i="1"/>
  <c r="N377" i="1"/>
  <c r="S377" i="1"/>
  <c r="N347" i="1"/>
  <c r="S347" i="1"/>
  <c r="S158" i="1"/>
  <c r="N158" i="1"/>
  <c r="L164" i="1"/>
  <c r="S205" i="1"/>
  <c r="N205" i="1"/>
  <c r="S13" i="6"/>
  <c r="S14" i="6" s="1"/>
  <c r="K248" i="1"/>
  <c r="M246" i="1"/>
  <c r="M318" i="1"/>
  <c r="K326" i="1"/>
  <c r="N79" i="1"/>
  <c r="S79" i="1"/>
  <c r="AF539" i="6"/>
  <c r="AH523" i="6"/>
  <c r="AN523" i="6"/>
  <c r="AO523" i="6" s="1"/>
  <c r="AF523" i="1"/>
  <c r="S15" i="1"/>
  <c r="N15" i="1"/>
  <c r="S188" i="1"/>
  <c r="N188" i="1"/>
  <c r="S289" i="1"/>
  <c r="N289" i="1"/>
  <c r="N346" i="1"/>
  <c r="S346" i="1"/>
  <c r="N96" i="1"/>
  <c r="S96" i="1"/>
  <c r="N425" i="6"/>
  <c r="S65" i="1"/>
  <c r="N65" i="1"/>
  <c r="N200" i="1"/>
  <c r="S200" i="1"/>
  <c r="AH541" i="1"/>
  <c r="AN541" i="1"/>
  <c r="AO541" i="1" s="1"/>
  <c r="AH529" i="6"/>
  <c r="AN529" i="6"/>
  <c r="AF529" i="1"/>
  <c r="N13" i="6"/>
  <c r="N44" i="1"/>
  <c r="S44" i="1"/>
  <c r="AE499" i="6"/>
  <c r="AH499" i="6"/>
  <c r="AN499" i="6"/>
  <c r="AO499" i="6" s="1"/>
  <c r="AF499" i="1"/>
  <c r="AN556" i="1"/>
  <c r="AO556" i="1" s="1"/>
  <c r="AH556" i="1"/>
  <c r="AI556" i="1" s="1"/>
  <c r="N8" i="1"/>
  <c r="S8" i="1"/>
  <c r="N411" i="1"/>
  <c r="S411" i="1"/>
  <c r="N161" i="1"/>
  <c r="S161" i="1"/>
  <c r="AH526" i="1"/>
  <c r="AN526" i="1"/>
  <c r="AO526" i="1" s="1"/>
  <c r="S129" i="1"/>
  <c r="N129" i="1"/>
  <c r="N31" i="1"/>
  <c r="S31" i="1"/>
  <c r="L41" i="1"/>
  <c r="N149" i="1"/>
  <c r="S149" i="1"/>
  <c r="N348" i="1"/>
  <c r="S348" i="1"/>
  <c r="R15" i="1"/>
  <c r="M15" i="1"/>
  <c r="K15" i="1"/>
  <c r="J24" i="1"/>
  <c r="K33" i="1" s="1"/>
  <c r="AN512" i="6"/>
  <c r="AH512" i="6"/>
  <c r="AF512" i="1"/>
  <c r="S334" i="1"/>
  <c r="N334" i="1"/>
  <c r="N384" i="1"/>
  <c r="S384" i="1"/>
  <c r="S63" i="1"/>
  <c r="N63" i="1"/>
  <c r="AH501" i="6"/>
  <c r="AE501" i="6"/>
  <c r="AN501" i="6"/>
  <c r="AO501" i="6" s="1"/>
  <c r="AF501" i="1"/>
  <c r="AH540" i="1"/>
  <c r="AH553" i="1" s="1"/>
  <c r="AN540" i="1"/>
  <c r="K284" i="6"/>
  <c r="L305" i="6"/>
  <c r="S284" i="6"/>
  <c r="N284" i="6"/>
  <c r="N203" i="1"/>
  <c r="S203" i="1"/>
  <c r="S222" i="1"/>
  <c r="N222" i="1"/>
  <c r="N419" i="1"/>
  <c r="S419" i="1"/>
  <c r="M375" i="1"/>
  <c r="R375" i="1"/>
  <c r="K375" i="1"/>
  <c r="N374" i="1"/>
  <c r="S374" i="1"/>
  <c r="S281" i="1"/>
  <c r="N281" i="1"/>
  <c r="AN562" i="6"/>
  <c r="AH562" i="6"/>
  <c r="AI562" i="6" s="1"/>
  <c r="AF562" i="1"/>
  <c r="N23" i="1"/>
  <c r="S23" i="1"/>
  <c r="S32" i="1"/>
  <c r="N32" i="1"/>
  <c r="J32" i="1"/>
  <c r="L97" i="1"/>
  <c r="N94" i="1"/>
  <c r="S94" i="1"/>
  <c r="S81" i="1"/>
  <c r="N81" i="1"/>
  <c r="N396" i="1"/>
  <c r="S396" i="1"/>
  <c r="S131" i="1"/>
  <c r="N131" i="1"/>
  <c r="M101" i="1"/>
  <c r="R101" i="1"/>
  <c r="K101" i="1"/>
  <c r="N293" i="1"/>
  <c r="S293" i="1"/>
  <c r="S425" i="6"/>
  <c r="AH532" i="6"/>
  <c r="AN532" i="6"/>
  <c r="AO532" i="6" s="1"/>
  <c r="AF532" i="1"/>
  <c r="S410" i="1"/>
  <c r="N410" i="1"/>
  <c r="N218" i="1"/>
  <c r="S218" i="1"/>
  <c r="S207" i="1"/>
  <c r="N207" i="1"/>
  <c r="AH510" i="6"/>
  <c r="AN510" i="6"/>
  <c r="AO510" i="6" s="1"/>
  <c r="AF510" i="1"/>
  <c r="S137" i="1"/>
  <c r="N137" i="1"/>
  <c r="L154" i="1"/>
  <c r="N356" i="1"/>
  <c r="S356" i="1"/>
  <c r="N77" i="1"/>
  <c r="S77" i="1"/>
  <c r="S64" i="1"/>
  <c r="N64" i="1"/>
  <c r="L484" i="6"/>
  <c r="L486" i="6" s="1"/>
  <c r="S486" i="6" s="1"/>
  <c r="K464" i="6"/>
  <c r="S464" i="6"/>
  <c r="S408" i="1"/>
  <c r="N408" i="1"/>
  <c r="K31" i="6"/>
  <c r="N50" i="1"/>
  <c r="S50" i="1"/>
  <c r="S134" i="1"/>
  <c r="N134" i="1"/>
  <c r="N301" i="1"/>
  <c r="S301" i="1"/>
  <c r="N340" i="1"/>
  <c r="S340" i="1"/>
  <c r="N277" i="1"/>
  <c r="S277" i="1"/>
  <c r="L247" i="1"/>
  <c r="N246" i="1"/>
  <c r="S246" i="1"/>
  <c r="L259" i="1"/>
  <c r="AH537" i="6"/>
  <c r="AF537" i="1"/>
  <c r="AN530" i="6"/>
  <c r="AO530" i="6" s="1"/>
  <c r="AH530" i="6"/>
  <c r="AF530" i="1"/>
  <c r="AF553" i="6"/>
  <c r="R374" i="1"/>
  <c r="M374" i="1"/>
  <c r="K374" i="1"/>
  <c r="R373" i="1"/>
  <c r="M373" i="1"/>
  <c r="K373" i="1"/>
  <c r="S321" i="1"/>
  <c r="N321" i="1"/>
  <c r="N322" i="1" s="1"/>
  <c r="L322" i="1"/>
  <c r="S75" i="1"/>
  <c r="N75" i="1"/>
  <c r="L83" i="1"/>
  <c r="S121" i="1"/>
  <c r="N121" i="1"/>
  <c r="N422" i="1"/>
  <c r="S422" i="1"/>
  <c r="N297" i="1"/>
  <c r="S297" i="1"/>
  <c r="N286" i="1"/>
  <c r="S286" i="1"/>
  <c r="N219" i="1"/>
  <c r="S219" i="1"/>
  <c r="N395" i="1"/>
  <c r="S395" i="1"/>
  <c r="N202" i="1"/>
  <c r="S202" i="1"/>
  <c r="P186" i="6"/>
  <c r="K193" i="6"/>
  <c r="K117" i="6"/>
  <c r="K97" i="6"/>
  <c r="P120" i="6"/>
  <c r="K116" i="6"/>
  <c r="E191" i="6"/>
  <c r="K120" i="6"/>
  <c r="P117" i="6"/>
  <c r="M97" i="6"/>
  <c r="E187" i="6"/>
  <c r="K188" i="6"/>
  <c r="K104" i="6"/>
  <c r="R104" i="6" s="1"/>
  <c r="K195" i="6"/>
  <c r="K119" i="6"/>
  <c r="K192" i="6"/>
  <c r="P121" i="6"/>
  <c r="K113" i="6"/>
  <c r="P192" i="6"/>
  <c r="P190" i="6"/>
  <c r="J109" i="6"/>
  <c r="K118" i="6"/>
  <c r="P122" i="6"/>
  <c r="P115" i="6"/>
  <c r="K194" i="6"/>
  <c r="P119" i="6"/>
  <c r="E189" i="6"/>
  <c r="P113" i="6"/>
  <c r="E186" i="6"/>
  <c r="P187" i="6"/>
  <c r="K114" i="6"/>
  <c r="K103" i="6"/>
  <c r="R103" i="6" s="1"/>
  <c r="K189" i="6"/>
  <c r="K191" i="6"/>
  <c r="K186" i="6"/>
  <c r="E190" i="6"/>
  <c r="K105" i="6"/>
  <c r="R105" i="6" s="1"/>
  <c r="K187" i="6"/>
  <c r="K115" i="6"/>
  <c r="P188" i="6"/>
  <c r="P189" i="6"/>
  <c r="K122" i="6"/>
  <c r="K121" i="6"/>
  <c r="P193" i="6"/>
  <c r="E188" i="6"/>
  <c r="P116" i="6"/>
  <c r="K190" i="6"/>
  <c r="P195" i="6"/>
  <c r="P114" i="6"/>
  <c r="J106" i="6"/>
  <c r="E192" i="6"/>
  <c r="P194" i="6"/>
  <c r="P118" i="6"/>
  <c r="P191" i="6"/>
  <c r="N204" i="1"/>
  <c r="S204" i="1"/>
  <c r="S117" i="1"/>
  <c r="N117" i="1"/>
  <c r="S99" i="1"/>
  <c r="N99" i="1"/>
  <c r="N400" i="1"/>
  <c r="S400" i="1"/>
  <c r="K32" i="6"/>
  <c r="S97" i="6"/>
  <c r="S98" i="6" s="1"/>
  <c r="N56" i="1"/>
  <c r="S56" i="1"/>
  <c r="V24" i="6"/>
  <c r="N24" i="6"/>
  <c r="N25" i="6" s="1"/>
  <c r="S24" i="6"/>
  <c r="S25" i="6" s="1"/>
  <c r="S34" i="1"/>
  <c r="N34" i="1"/>
  <c r="N33" i="1"/>
  <c r="S33" i="1"/>
  <c r="S159" i="1"/>
  <c r="N159" i="1"/>
  <c r="N345" i="1"/>
  <c r="S345" i="1"/>
  <c r="AH563" i="6"/>
  <c r="AI563" i="6" s="1"/>
  <c r="AN563" i="6"/>
  <c r="AF563" i="1"/>
  <c r="AN516" i="6"/>
  <c r="AO516" i="6" s="1"/>
  <c r="AH516" i="6"/>
  <c r="AF516" i="1"/>
  <c r="AN535" i="1"/>
  <c r="AO535" i="1" s="1"/>
  <c r="AH535" i="1"/>
  <c r="S78" i="1"/>
  <c r="N78" i="1"/>
  <c r="AN583" i="1"/>
  <c r="AH583" i="1"/>
  <c r="S378" i="1"/>
  <c r="N378" i="1"/>
  <c r="K259" i="1"/>
  <c r="M249" i="1"/>
  <c r="N355" i="1"/>
  <c r="S355" i="1"/>
  <c r="AE496" i="6"/>
  <c r="AN496" i="6"/>
  <c r="AO496" i="6" s="1"/>
  <c r="AF506" i="6"/>
  <c r="AH496" i="6"/>
  <c r="AF496" i="1"/>
  <c r="N326" i="6"/>
  <c r="N327" i="6" s="1"/>
  <c r="L365" i="6"/>
  <c r="L327" i="6"/>
  <c r="M326" i="6" s="1"/>
  <c r="S326" i="6"/>
  <c r="S327" i="6" s="1"/>
  <c r="K342" i="6"/>
  <c r="AH559" i="6"/>
  <c r="AI559" i="6" s="1"/>
  <c r="AN559" i="6"/>
  <c r="AF559" i="1"/>
  <c r="AN507" i="1"/>
  <c r="AO507" i="1" s="1"/>
  <c r="AH507" i="1"/>
  <c r="N119" i="1"/>
  <c r="S119" i="1"/>
  <c r="N154" i="6"/>
  <c r="S154" i="6"/>
  <c r="AH551" i="6"/>
  <c r="AN551" i="6"/>
  <c r="AF552" i="1"/>
  <c r="AH552" i="1" s="1"/>
  <c r="S379" i="1"/>
  <c r="N379" i="1"/>
  <c r="S465" i="1"/>
  <c r="S482" i="1" s="1"/>
  <c r="L482" i="1"/>
  <c r="K482" i="1" s="1"/>
  <c r="S417" i="1"/>
  <c r="N417" i="1"/>
  <c r="N126" i="1"/>
  <c r="S126" i="1"/>
  <c r="N415" i="1"/>
  <c r="S415" i="1"/>
  <c r="N350" i="1"/>
  <c r="S350" i="1"/>
  <c r="N337" i="1"/>
  <c r="S337" i="1"/>
  <c r="N83" i="6"/>
  <c r="L326" i="1"/>
  <c r="S315" i="1"/>
  <c r="S316" i="1" s="1"/>
  <c r="L316" i="1"/>
  <c r="N315" i="1"/>
  <c r="N316" i="1" s="1"/>
  <c r="N162" i="1"/>
  <c r="S162" i="1"/>
  <c r="S212" i="1"/>
  <c r="N212" i="1"/>
  <c r="L227" i="1"/>
  <c r="S418" i="1"/>
  <c r="N418" i="1"/>
  <c r="M383" i="1"/>
  <c r="R383" i="1"/>
  <c r="K383" i="1"/>
  <c r="N22" i="1"/>
  <c r="S22" i="1"/>
  <c r="L109" i="6"/>
  <c r="K209" i="6" s="1"/>
  <c r="V97" i="6"/>
  <c r="N97" i="6"/>
  <c r="N402" i="1"/>
  <c r="S402" i="1"/>
  <c r="S197" i="1"/>
  <c r="N197" i="1"/>
  <c r="L209" i="1"/>
  <c r="N220" i="1"/>
  <c r="S220" i="1"/>
  <c r="N416" i="1"/>
  <c r="S416" i="1"/>
  <c r="AH560" i="6"/>
  <c r="AI560" i="6" s="1"/>
  <c r="AN560" i="6"/>
  <c r="AF560" i="1"/>
  <c r="AN547" i="1"/>
  <c r="AO547" i="1" s="1"/>
  <c r="AH547" i="1"/>
  <c r="S138" i="1"/>
  <c r="N138" i="1"/>
  <c r="K34" i="6"/>
  <c r="N343" i="1"/>
  <c r="N361" i="1" s="1"/>
  <c r="S343" i="1"/>
  <c r="L361" i="1"/>
  <c r="AF568" i="6"/>
  <c r="S401" i="1"/>
  <c r="N401" i="1"/>
  <c r="AH498" i="6"/>
  <c r="AE498" i="6"/>
  <c r="AN498" i="6"/>
  <c r="AO498" i="6" s="1"/>
  <c r="AF498" i="1"/>
  <c r="M13" i="2"/>
  <c r="M10" i="2" s="1"/>
  <c r="AN531" i="6"/>
  <c r="AO531" i="6" s="1"/>
  <c r="AH531" i="6"/>
  <c r="AF531" i="1"/>
  <c r="N70" i="1"/>
  <c r="S70" i="1"/>
  <c r="L256" i="1"/>
  <c r="N255" i="1"/>
  <c r="S255" i="1"/>
  <c r="K32" i="1" l="1"/>
  <c r="K34" i="1"/>
  <c r="AF520" i="1"/>
  <c r="AN538" i="6"/>
  <c r="AH553" i="6"/>
  <c r="AH520" i="1"/>
  <c r="AI520" i="1" s="1"/>
  <c r="AN520" i="1"/>
  <c r="AO520" i="1" s="1"/>
  <c r="AH559" i="1"/>
  <c r="AI559" i="1" s="1"/>
  <c r="AN559" i="1"/>
  <c r="AF568" i="1"/>
  <c r="AN582" i="1"/>
  <c r="AH582" i="1"/>
  <c r="AG503" i="6"/>
  <c r="AM503" i="6"/>
  <c r="S361" i="1"/>
  <c r="K361" i="1"/>
  <c r="S365" i="6"/>
  <c r="N365" i="6"/>
  <c r="S484" i="6"/>
  <c r="K484" i="6"/>
  <c r="L109" i="1"/>
  <c r="N97" i="1"/>
  <c r="N98" i="1" s="1"/>
  <c r="S97" i="1"/>
  <c r="S98" i="1" s="1"/>
  <c r="AG499" i="6"/>
  <c r="AM499" i="6"/>
  <c r="AH523" i="1"/>
  <c r="AN523" i="1"/>
  <c r="AO523" i="1" s="1"/>
  <c r="R13" i="1"/>
  <c r="R14" i="1" s="1"/>
  <c r="S425" i="1"/>
  <c r="S13" i="1"/>
  <c r="S14" i="1" s="1"/>
  <c r="AN538" i="1"/>
  <c r="AH538" i="1"/>
  <c r="R385" i="6"/>
  <c r="J390" i="6"/>
  <c r="AF493" i="6" s="1"/>
  <c r="U5" i="6" s="1"/>
  <c r="K385" i="6"/>
  <c r="M385" i="6"/>
  <c r="J114" i="1"/>
  <c r="N106" i="1"/>
  <c r="N107" i="1" s="1"/>
  <c r="S106" i="1"/>
  <c r="S107" i="1" s="1"/>
  <c r="N326" i="1"/>
  <c r="N327" i="1" s="1"/>
  <c r="S326" i="1"/>
  <c r="S327" i="1" s="1"/>
  <c r="AF506" i="1"/>
  <c r="AH496" i="1"/>
  <c r="AE496" i="1"/>
  <c r="AN496" i="1"/>
  <c r="AO496" i="1" s="1"/>
  <c r="AH537" i="1"/>
  <c r="AN537" i="1"/>
  <c r="AH539" i="6"/>
  <c r="AI539" i="6" s="1"/>
  <c r="AN514" i="1"/>
  <c r="AH514" i="1"/>
  <c r="AM504" i="6"/>
  <c r="AG504" i="6"/>
  <c r="V27" i="6"/>
  <c r="S27" i="6"/>
  <c r="N27" i="6"/>
  <c r="N85" i="6" s="1"/>
  <c r="L85" i="6"/>
  <c r="AH515" i="1"/>
  <c r="AN515" i="1"/>
  <c r="AO515" i="1" s="1"/>
  <c r="AH528" i="1"/>
  <c r="AN528" i="1"/>
  <c r="AO528" i="1" s="1"/>
  <c r="J186" i="1"/>
  <c r="K41" i="6"/>
  <c r="AH531" i="1"/>
  <c r="AN531" i="1"/>
  <c r="AO531" i="1" s="1"/>
  <c r="L307" i="6"/>
  <c r="S305" i="6"/>
  <c r="K305" i="6"/>
  <c r="N305" i="6"/>
  <c r="K123" i="1"/>
  <c r="N123" i="1"/>
  <c r="L156" i="1"/>
  <c r="S123" i="1"/>
  <c r="N182" i="1"/>
  <c r="S182" i="1"/>
  <c r="S183" i="1" s="1"/>
  <c r="AN584" i="1"/>
  <c r="AH584" i="1"/>
  <c r="AE584" i="1"/>
  <c r="S209" i="1"/>
  <c r="N209" i="1"/>
  <c r="K209" i="1"/>
  <c r="AF553" i="1"/>
  <c r="K31" i="1"/>
  <c r="S164" i="1"/>
  <c r="N24" i="1"/>
  <c r="N25" i="1" s="1"/>
  <c r="S24" i="1"/>
  <c r="S25" i="1" s="1"/>
  <c r="S427" i="6"/>
  <c r="N427" i="6"/>
  <c r="AH497" i="1"/>
  <c r="AE497" i="1"/>
  <c r="AN497" i="1"/>
  <c r="AO497" i="1" s="1"/>
  <c r="AN558" i="1"/>
  <c r="AO558" i="1" s="1"/>
  <c r="AH558" i="1"/>
  <c r="AI558" i="1" s="1"/>
  <c r="AH503" i="1"/>
  <c r="AN503" i="1"/>
  <c r="AO503" i="1" s="1"/>
  <c r="AE503" i="1"/>
  <c r="K72" i="6"/>
  <c r="AN566" i="1"/>
  <c r="AH566" i="1"/>
  <c r="AI566" i="1" s="1"/>
  <c r="L229" i="1"/>
  <c r="N196" i="1"/>
  <c r="S196" i="1"/>
  <c r="K196" i="1"/>
  <c r="AH506" i="6"/>
  <c r="AI506" i="6" s="1"/>
  <c r="AF555" i="6"/>
  <c r="AN553" i="1"/>
  <c r="AO553" i="1" s="1"/>
  <c r="AO540" i="1"/>
  <c r="AH512" i="1"/>
  <c r="AN512" i="1"/>
  <c r="S41" i="1"/>
  <c r="N41" i="1"/>
  <c r="L74" i="1"/>
  <c r="AH529" i="1"/>
  <c r="AN529" i="1"/>
  <c r="K284" i="1"/>
  <c r="S284" i="1"/>
  <c r="N284" i="1"/>
  <c r="L305" i="1"/>
  <c r="S72" i="1"/>
  <c r="AH508" i="1"/>
  <c r="AN508" i="1"/>
  <c r="AO508" i="1" s="1"/>
  <c r="S74" i="6"/>
  <c r="N74" i="6"/>
  <c r="K74" i="6"/>
  <c r="N438" i="1"/>
  <c r="N83" i="1"/>
  <c r="AH536" i="1"/>
  <c r="AN536" i="1"/>
  <c r="AM502" i="6"/>
  <c r="AG502" i="6"/>
  <c r="AH498" i="1"/>
  <c r="AE498" i="1"/>
  <c r="AN498" i="1"/>
  <c r="AO498" i="1" s="1"/>
  <c r="M9" i="2"/>
  <c r="M8" i="2" s="1"/>
  <c r="L268" i="1"/>
  <c r="N259" i="1"/>
  <c r="N260" i="1" s="1"/>
  <c r="S259" i="1"/>
  <c r="L260" i="1"/>
  <c r="N268" i="6"/>
  <c r="N269" i="6" s="1"/>
  <c r="L269" i="6"/>
  <c r="M268" i="6" s="1"/>
  <c r="S268" i="6"/>
  <c r="S269" i="6" s="1"/>
  <c r="K406" i="1"/>
  <c r="L427" i="1"/>
  <c r="S406" i="1"/>
  <c r="N406" i="1"/>
  <c r="AG497" i="6"/>
  <c r="AM497" i="6"/>
  <c r="K196" i="6"/>
  <c r="K136" i="1"/>
  <c r="N136" i="1"/>
  <c r="S136" i="1"/>
  <c r="AH511" i="1"/>
  <c r="AN511" i="1"/>
  <c r="L449" i="1"/>
  <c r="S448" i="1"/>
  <c r="S449" i="1" s="1"/>
  <c r="K380" i="1"/>
  <c r="J385" i="1"/>
  <c r="R380" i="1"/>
  <c r="M380" i="1"/>
  <c r="AN557" i="1"/>
  <c r="AH557" i="1"/>
  <c r="S83" i="1"/>
  <c r="AN513" i="1"/>
  <c r="AH513" i="1"/>
  <c r="AH501" i="1"/>
  <c r="AE501" i="1"/>
  <c r="AN501" i="1"/>
  <c r="AO501" i="1" s="1"/>
  <c r="K464" i="1"/>
  <c r="S464" i="1"/>
  <c r="L484" i="1"/>
  <c r="AG498" i="6"/>
  <c r="AM498" i="6"/>
  <c r="AH516" i="1"/>
  <c r="AN516" i="1"/>
  <c r="AO516" i="1" s="1"/>
  <c r="N154" i="1"/>
  <c r="S154" i="1"/>
  <c r="K154" i="1"/>
  <c r="AH532" i="1"/>
  <c r="AN532" i="1"/>
  <c r="AO532" i="1" s="1"/>
  <c r="AN562" i="1"/>
  <c r="AH562" i="1"/>
  <c r="AI562" i="1" s="1"/>
  <c r="K24" i="1"/>
  <c r="M24" i="1"/>
  <c r="AH522" i="1"/>
  <c r="AN522" i="1"/>
  <c r="AO522" i="1" s="1"/>
  <c r="AH534" i="1"/>
  <c r="AN534" i="1"/>
  <c r="AO534" i="1" s="1"/>
  <c r="N385" i="6"/>
  <c r="N386" i="6" s="1"/>
  <c r="L390" i="6"/>
  <c r="K427" i="6" s="1"/>
  <c r="S385" i="6"/>
  <c r="S386" i="6" s="1"/>
  <c r="AH518" i="1"/>
  <c r="AN518" i="1"/>
  <c r="AO518" i="1" s="1"/>
  <c r="AH567" i="1"/>
  <c r="AI567" i="1" s="1"/>
  <c r="AN567" i="1"/>
  <c r="K136" i="6"/>
  <c r="L385" i="1"/>
  <c r="S380" i="1"/>
  <c r="S381" i="1" s="1"/>
  <c r="N380" i="1"/>
  <c r="N381" i="1" s="1"/>
  <c r="L239" i="6"/>
  <c r="N229" i="6"/>
  <c r="K229" i="6"/>
  <c r="S229" i="6"/>
  <c r="K39" i="1"/>
  <c r="AO519" i="6"/>
  <c r="AL520" i="6"/>
  <c r="P189" i="1"/>
  <c r="P187" i="1"/>
  <c r="K120" i="1"/>
  <c r="K191" i="1"/>
  <c r="P122" i="1"/>
  <c r="K118" i="1"/>
  <c r="P192" i="1"/>
  <c r="E192" i="1"/>
  <c r="K113" i="1"/>
  <c r="P113" i="1"/>
  <c r="P120" i="1"/>
  <c r="K116" i="1"/>
  <c r="E189" i="1"/>
  <c r="P194" i="1"/>
  <c r="P195" i="1"/>
  <c r="P193" i="1"/>
  <c r="P191" i="1"/>
  <c r="J109" i="1"/>
  <c r="P114" i="1"/>
  <c r="K187" i="1"/>
  <c r="P188" i="1"/>
  <c r="K114" i="1"/>
  <c r="R97" i="1"/>
  <c r="R98" i="1" s="1"/>
  <c r="K97" i="1"/>
  <c r="E187" i="1"/>
  <c r="E190" i="1"/>
  <c r="E191" i="1"/>
  <c r="P118" i="1"/>
  <c r="K121" i="1"/>
  <c r="P117" i="1"/>
  <c r="K195" i="1"/>
  <c r="P190" i="1"/>
  <c r="K115" i="1"/>
  <c r="P121" i="1"/>
  <c r="K117" i="1"/>
  <c r="K194" i="1"/>
  <c r="K193" i="1"/>
  <c r="P115" i="1"/>
  <c r="K186" i="1"/>
  <c r="M97" i="1"/>
  <c r="M98" i="1" s="1"/>
  <c r="E186" i="1"/>
  <c r="K188" i="1"/>
  <c r="K189" i="1"/>
  <c r="P116" i="1"/>
  <c r="P119" i="1"/>
  <c r="K192" i="1"/>
  <c r="K122" i="1"/>
  <c r="E188" i="1"/>
  <c r="K190" i="1"/>
  <c r="K119" i="1"/>
  <c r="P186" i="1"/>
  <c r="AH517" i="1"/>
  <c r="AN517" i="1"/>
  <c r="AO517" i="1" s="1"/>
  <c r="AH525" i="1"/>
  <c r="AN525" i="1"/>
  <c r="AO525" i="1" s="1"/>
  <c r="AN560" i="1"/>
  <c r="AH560" i="1"/>
  <c r="AI560" i="1" s="1"/>
  <c r="AG501" i="6"/>
  <c r="AM501" i="6"/>
  <c r="AG500" i="6"/>
  <c r="AM500" i="6"/>
  <c r="AE505" i="1"/>
  <c r="AN505" i="1"/>
  <c r="AH505" i="1"/>
  <c r="M27" i="6"/>
  <c r="K27" i="6"/>
  <c r="R27" i="6"/>
  <c r="R28" i="6" s="1"/>
  <c r="K78" i="6"/>
  <c r="K38" i="1"/>
  <c r="AH524" i="1"/>
  <c r="AN524" i="1"/>
  <c r="AO524" i="1" s="1"/>
  <c r="S227" i="1"/>
  <c r="N227" i="1"/>
  <c r="K227" i="1"/>
  <c r="AH509" i="1"/>
  <c r="AN509" i="1"/>
  <c r="AO509" i="1" s="1"/>
  <c r="AH499" i="1"/>
  <c r="AE499" i="1"/>
  <c r="AN499" i="1"/>
  <c r="AO499" i="1" s="1"/>
  <c r="K123" i="6"/>
  <c r="AE500" i="1"/>
  <c r="J27" i="1"/>
  <c r="K22" i="1"/>
  <c r="R22" i="1" s="1"/>
  <c r="K23" i="1"/>
  <c r="R23" i="1" s="1"/>
  <c r="K21" i="1"/>
  <c r="R21" i="1" s="1"/>
  <c r="K13" i="1"/>
  <c r="K54" i="6"/>
  <c r="K35" i="1"/>
  <c r="AG505" i="6"/>
  <c r="AM505" i="6"/>
  <c r="AN505" i="6"/>
  <c r="AK505" i="6"/>
  <c r="AO505" i="6"/>
  <c r="AL506" i="6"/>
  <c r="AN506" i="6" s="1"/>
  <c r="AO506" i="6" s="1"/>
  <c r="N363" i="6"/>
  <c r="S363" i="6"/>
  <c r="K363" i="6"/>
  <c r="S342" i="1"/>
  <c r="L363" i="1"/>
  <c r="N342" i="1"/>
  <c r="S54" i="1"/>
  <c r="AH500" i="1"/>
  <c r="AN500" i="1"/>
  <c r="K182" i="1"/>
  <c r="M182" i="1"/>
  <c r="R182" i="1"/>
  <c r="R183" i="1" s="1"/>
  <c r="L166" i="6"/>
  <c r="V109" i="6"/>
  <c r="N109" i="6"/>
  <c r="S109" i="6"/>
  <c r="S110" i="6" s="1"/>
  <c r="K268" i="1"/>
  <c r="M259" i="1"/>
  <c r="AH563" i="1"/>
  <c r="AI563" i="1" s="1"/>
  <c r="AN563" i="1"/>
  <c r="AN553" i="6"/>
  <c r="AO553" i="6" s="1"/>
  <c r="AH510" i="1"/>
  <c r="AN510" i="1"/>
  <c r="AO510" i="1" s="1"/>
  <c r="K36" i="1"/>
  <c r="J31" i="1"/>
  <c r="L27" i="1"/>
  <c r="K54" i="1" s="1"/>
  <c r="K303" i="1"/>
  <c r="N303" i="1"/>
  <c r="S303" i="1"/>
  <c r="AO537" i="6"/>
  <c r="AL539" i="6"/>
  <c r="AN539" i="6" s="1"/>
  <c r="AF539" i="1"/>
  <c r="AH521" i="1"/>
  <c r="AH539" i="1" s="1"/>
  <c r="AI539" i="1" s="1"/>
  <c r="AN521" i="1"/>
  <c r="K37" i="1"/>
  <c r="AG496" i="6"/>
  <c r="AM496" i="6"/>
  <c r="M106" i="6"/>
  <c r="K106" i="6"/>
  <c r="R106" i="6" s="1"/>
  <c r="AN568" i="6"/>
  <c r="AO568" i="6" s="1"/>
  <c r="AH568" i="6"/>
  <c r="AI568" i="6" s="1"/>
  <c r="K154" i="6"/>
  <c r="R109" i="6"/>
  <c r="R110" i="6" s="1"/>
  <c r="K109" i="6"/>
  <c r="M109" i="6"/>
  <c r="AH530" i="1"/>
  <c r="AN530" i="1"/>
  <c r="AO530" i="1" s="1"/>
  <c r="K156" i="6"/>
  <c r="S156" i="6"/>
  <c r="N156" i="6"/>
  <c r="K227" i="6"/>
  <c r="AH504" i="1"/>
  <c r="AN504" i="1"/>
  <c r="AO504" i="1" s="1"/>
  <c r="AE504" i="1"/>
  <c r="AH502" i="1"/>
  <c r="AE502" i="1"/>
  <c r="AN502" i="1"/>
  <c r="AO502" i="1" s="1"/>
  <c r="AH527" i="1"/>
  <c r="AN527" i="1"/>
  <c r="AH564" i="1"/>
  <c r="AI564" i="1" s="1"/>
  <c r="AN564" i="1"/>
  <c r="K72" i="1"/>
  <c r="AH565" i="1"/>
  <c r="AI565" i="1" s="1"/>
  <c r="AN565" i="1"/>
  <c r="AM499" i="1" l="1"/>
  <c r="AG499" i="1"/>
  <c r="R109" i="1"/>
  <c r="R110" i="1" s="1"/>
  <c r="K109" i="1"/>
  <c r="M109" i="1"/>
  <c r="M110" i="1" s="1"/>
  <c r="L365" i="1"/>
  <c r="K363" i="1"/>
  <c r="N363" i="1"/>
  <c r="S363" i="1"/>
  <c r="N156" i="1"/>
  <c r="S156" i="1"/>
  <c r="K156" i="1"/>
  <c r="AM505" i="1"/>
  <c r="AG505" i="1"/>
  <c r="N385" i="1"/>
  <c r="N386" i="1" s="1"/>
  <c r="S385" i="1"/>
  <c r="S386" i="1" s="1"/>
  <c r="L390" i="1"/>
  <c r="AF494" i="1" s="1"/>
  <c r="N74" i="1"/>
  <c r="S74" i="1"/>
  <c r="K74" i="1"/>
  <c r="N27" i="1"/>
  <c r="S27" i="1"/>
  <c r="S28" i="1" s="1"/>
  <c r="L85" i="1"/>
  <c r="L269" i="1"/>
  <c r="N268" i="1"/>
  <c r="N269" i="1" s="1"/>
  <c r="S268" i="1"/>
  <c r="S269" i="1" s="1"/>
  <c r="K41" i="1"/>
  <c r="L486" i="1"/>
  <c r="S486" i="1" s="1"/>
  <c r="S484" i="1"/>
  <c r="K484" i="1"/>
  <c r="AM497" i="1"/>
  <c r="AG497" i="1"/>
  <c r="R390" i="6"/>
  <c r="K390" i="6"/>
  <c r="M390" i="6"/>
  <c r="AH568" i="1"/>
  <c r="AI568" i="1" s="1"/>
  <c r="AN568" i="1"/>
  <c r="AO568" i="1" s="1"/>
  <c r="N166" i="6"/>
  <c r="S166" i="6"/>
  <c r="AJ520" i="6"/>
  <c r="AN520" i="6"/>
  <c r="AO520" i="6" s="1"/>
  <c r="K385" i="1"/>
  <c r="M385" i="1"/>
  <c r="J390" i="1"/>
  <c r="AF493" i="1" s="1"/>
  <c r="R385" i="1"/>
  <c r="L239" i="1"/>
  <c r="S229" i="1"/>
  <c r="N229" i="1"/>
  <c r="K229" i="1"/>
  <c r="AF494" i="6"/>
  <c r="S109" i="1"/>
  <c r="S110" i="1" s="1"/>
  <c r="N109" i="1"/>
  <c r="N110" i="1" s="1"/>
  <c r="L166" i="1"/>
  <c r="AJ506" i="6"/>
  <c r="AL555" i="6"/>
  <c r="R27" i="1"/>
  <c r="R28" i="1" s="1"/>
  <c r="K27" i="1"/>
  <c r="M27" i="1"/>
  <c r="M28" i="1" s="1"/>
  <c r="AM498" i="1"/>
  <c r="AG498" i="1"/>
  <c r="AG496" i="1"/>
  <c r="AM496" i="1"/>
  <c r="AO539" i="6"/>
  <c r="AJ539" i="6"/>
  <c r="AH555" i="6"/>
  <c r="AI555" i="6" s="1"/>
  <c r="AD555" i="6"/>
  <c r="AN555" i="6"/>
  <c r="AO521" i="1"/>
  <c r="AN539" i="1"/>
  <c r="AO539" i="1" s="1"/>
  <c r="AM500" i="1"/>
  <c r="AG500" i="1"/>
  <c r="K427" i="1"/>
  <c r="N427" i="1"/>
  <c r="S427" i="1"/>
  <c r="N307" i="6"/>
  <c r="S307" i="6"/>
  <c r="AG504" i="1"/>
  <c r="AM504" i="1"/>
  <c r="AM502" i="1"/>
  <c r="AG502" i="1"/>
  <c r="AG501" i="1"/>
  <c r="AM501" i="1"/>
  <c r="L307" i="1"/>
  <c r="N305" i="1"/>
  <c r="S305" i="1"/>
  <c r="K305" i="1"/>
  <c r="S85" i="6"/>
  <c r="S28" i="6"/>
  <c r="AF555" i="1"/>
  <c r="AH506" i="1"/>
  <c r="AI506" i="1" s="1"/>
  <c r="AN506" i="1"/>
  <c r="AO506" i="1" s="1"/>
  <c r="S239" i="6"/>
  <c r="N239" i="6"/>
  <c r="N390" i="6"/>
  <c r="N391" i="6" s="1"/>
  <c r="S390" i="6"/>
  <c r="S391" i="6" s="1"/>
  <c r="L429" i="6"/>
  <c r="K406" i="6"/>
  <c r="K425" i="6"/>
  <c r="AM503" i="1"/>
  <c r="AG503" i="1"/>
  <c r="AN494" i="1" l="1"/>
  <c r="AO494" i="1" s="1"/>
  <c r="AD494" i="1"/>
  <c r="AH494" i="1"/>
  <c r="AI494" i="1" s="1"/>
  <c r="AF570" i="1"/>
  <c r="AD520" i="1"/>
  <c r="AD506" i="1"/>
  <c r="AD568" i="1"/>
  <c r="AD539" i="1"/>
  <c r="AD553" i="1"/>
  <c r="AH555" i="1"/>
  <c r="AI555" i="1" s="1"/>
  <c r="AD555" i="1"/>
  <c r="AN555" i="1"/>
  <c r="AO555" i="1" s="1"/>
  <c r="N28" i="1"/>
  <c r="N85" i="1"/>
  <c r="N166" i="1"/>
  <c r="S166" i="1"/>
  <c r="S429" i="6"/>
  <c r="N429" i="6"/>
  <c r="S85" i="1"/>
  <c r="AF570" i="6"/>
  <c r="AD494" i="6"/>
  <c r="AN494" i="6"/>
  <c r="AO494" i="6" s="1"/>
  <c r="AH494" i="6"/>
  <c r="AI494" i="6" s="1"/>
  <c r="AD520" i="6"/>
  <c r="AD553" i="6"/>
  <c r="AD539" i="6"/>
  <c r="AD506" i="6"/>
  <c r="AD568" i="6"/>
  <c r="N365" i="1"/>
  <c r="S365" i="1"/>
  <c r="S390" i="1"/>
  <c r="S391" i="1" s="1"/>
  <c r="L429" i="1"/>
  <c r="N390" i="1"/>
  <c r="N391" i="1" s="1"/>
  <c r="AJ555" i="6"/>
  <c r="AO555" i="6"/>
  <c r="AL570" i="6"/>
  <c r="N307" i="1"/>
  <c r="S307" i="1"/>
  <c r="R268" i="1"/>
  <c r="M268" i="1"/>
  <c r="N239" i="1"/>
  <c r="S239" i="1"/>
  <c r="K390" i="1"/>
  <c r="M390" i="1"/>
  <c r="R390" i="1"/>
  <c r="AK570" i="6" l="1"/>
  <c r="AL576" i="6"/>
  <c r="S429" i="1"/>
  <c r="N429" i="1"/>
  <c r="AF576" i="1"/>
  <c r="AH570" i="1"/>
  <c r="AI570" i="1" s="1"/>
  <c r="AE570" i="1"/>
  <c r="AN570" i="1"/>
  <c r="AO570" i="1" s="1"/>
  <c r="AE570" i="6"/>
  <c r="AN570" i="6"/>
  <c r="AO570" i="6" s="1"/>
  <c r="AH570" i="6"/>
  <c r="AI570" i="6" s="1"/>
  <c r="AF576" i="6"/>
  <c r="AF585" i="1" l="1"/>
  <c r="AF575" i="1"/>
  <c r="AN576" i="1"/>
  <c r="AO576" i="1" s="1"/>
  <c r="AH576" i="1"/>
  <c r="AI576" i="1" s="1"/>
  <c r="AE576" i="1"/>
  <c r="AF575" i="6"/>
  <c r="AH576" i="6"/>
  <c r="AI576" i="6" s="1"/>
  <c r="AE576" i="6"/>
  <c r="AF585" i="6"/>
  <c r="AN576" i="6"/>
  <c r="AL585" i="6"/>
  <c r="AO576" i="6"/>
  <c r="AL575" i="6"/>
  <c r="AK575" i="6" s="1"/>
  <c r="AK576" i="6"/>
  <c r="AF597" i="6" l="1"/>
  <c r="AF591" i="6"/>
  <c r="AN585" i="6"/>
  <c r="AO585" i="6" s="1"/>
  <c r="AE585" i="6"/>
  <c r="AH585" i="6"/>
  <c r="AI585" i="6" s="1"/>
  <c r="AE575" i="6"/>
  <c r="AH575" i="6"/>
  <c r="AI575" i="6" s="1"/>
  <c r="AN575" i="6"/>
  <c r="AO575" i="6" s="1"/>
  <c r="AL591" i="6"/>
  <c r="AK585" i="6"/>
  <c r="AH575" i="1"/>
  <c r="AI575" i="1" s="1"/>
  <c r="AE575" i="1"/>
  <c r="AN575" i="1"/>
  <c r="AO575" i="1" s="1"/>
  <c r="AE585" i="1"/>
  <c r="AN585" i="1"/>
  <c r="AO585" i="1" s="1"/>
  <c r="AH585" i="1"/>
  <c r="AI58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246" authorId="0" shapeId="0" xr:uid="{90703284-C03D-459C-94C8-5BBDB11B54CD}">
      <text>
        <r>
          <rPr>
            <sz val="11"/>
            <color theme="1"/>
            <rFont val="Calibri"/>
            <scheme val="minor"/>
          </rPr>
          <t>======
ID#AAACIzIMcgg
Maxime Allard    (2026-10-15 11:49:25)
Hawks a generer 230 WO 60K de Vente a 77%</t>
        </r>
      </text>
    </comment>
  </commentList>
</comments>
</file>

<file path=xl/sharedStrings.xml><?xml version="1.0" encoding="utf-8"?>
<sst xmlns="http://schemas.openxmlformats.org/spreadsheetml/2006/main" count="6628" uniqueCount="519">
  <si>
    <t>Véhicules neufs</t>
  </si>
  <si>
    <t xml:space="preserve"> </t>
  </si>
  <si>
    <t>X</t>
  </si>
  <si>
    <t>O</t>
  </si>
  <si>
    <t>U</t>
  </si>
  <si>
    <t>BUDGET  ORIGINAL</t>
  </si>
  <si>
    <t>BUDGET  REVISE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</si>
  <si>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</si>
  <si>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</si>
  <si>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</si>
  <si>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</si>
  <si>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</si>
  <si>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</si>
  <si>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</si>
  <si>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</si>
  <si>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</si>
  <si>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</si>
  <si>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</si>
  <si>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</si>
  <si>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[...]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</si>
  <si>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</si>
  <si>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</si>
  <si>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</si>
  <si>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</si>
  <si>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</si>
  <si>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</si>
  <si>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</si>
  <si>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</si>
  <si>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</si>
  <si>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</si>
  <si>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</si>
  <si>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</si>
  <si>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</si>
  <si>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</si>
  <si>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</si>
  <si>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</si>
  <si>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</si>
  <si>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</si>
  <si>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</si>
  <si>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#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</si>
  <si>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</si>
  <si>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</si>
  <si>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</si>
  <si>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</si>
  <si>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</si>
  <si>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</si>
  <si>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</si>
  <si>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</si>
  <si>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</si>
  <si>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</si>
  <si>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</si>
  <si>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</si>
  <si>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</si>
  <si>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</si>
  <si>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</si>
  <si>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</si>
  <si>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</si>
  <si>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</si>
  <si>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</si>
  <si>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</si>
  <si>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</si>
  <si>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</si>
  <si>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</si>
  <si>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</si>
  <si>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</si>
  <si>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</si>
  <si>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</si>
  <si>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</si>
  <si>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</si>
  <si>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</si>
  <si>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</si>
  <si>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BUDGET  RÉVISÉ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</si>
  <si>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</si>
  <si>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</si>
  <si>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</si>
  <si>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</si>
  <si>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</si>
  <si>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</si>
  <si>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</si>
  <si>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</si>
  <si>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</si>
  <si>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</si>
  <si>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</si>
  <si>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</si>
  <si>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</si>
  <si>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</si>
  <si>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</si>
  <si>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</si>
  <si>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</si>
  <si>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</si>
  <si>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</si>
  <si>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</si>
  <si>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</si>
  <si>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Fournitures d'atelier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</si>
  <si>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</si>
  <si>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</si>
  <si>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</si>
  <si>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</si>
  <si>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</si>
  <si>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</si>
  <si>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</si>
  <si>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</si>
  <si>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</si>
  <si>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</si>
  <si>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</si>
  <si>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</si>
  <si>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</si>
  <si>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</si>
  <si>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</si>
  <si>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</si>
  <si>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</si>
  <si>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</si>
  <si>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</si>
  <si>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</si>
  <si>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</si>
  <si>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 DES  REVENUS  ET  DÉPENSES</t>
  </si>
  <si>
    <t xml:space="preserve">BUDGET  ORIGINAL   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</si>
  <si>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</si>
  <si>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</si>
  <si>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</si>
  <si>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</si>
  <si>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</si>
  <si>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</si>
  <si>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</si>
  <si>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</si>
  <si>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</si>
  <si>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</si>
  <si>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</si>
  <si>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</si>
  <si>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</si>
  <si>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</si>
  <si>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</si>
  <si>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</si>
  <si>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</si>
  <si>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</si>
  <si>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</si>
  <si>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</si>
  <si>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</si>
  <si>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</si>
  <si>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</si>
  <si>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</si>
  <si>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</si>
  <si>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</si>
  <si>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</si>
  <si>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</si>
  <si>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</si>
  <si>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</si>
  <si>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</si>
  <si>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</si>
  <si>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#28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</si>
  <si>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</si>
  <si>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</si>
  <si>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</si>
  <si>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</si>
  <si>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</si>
  <si>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</si>
  <si>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</si>
  <si>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</si>
  <si>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</si>
  <si>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</si>
  <si>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</si>
  <si>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</si>
  <si>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</si>
  <si>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</si>
  <si>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</si>
  <si>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</si>
  <si>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</si>
  <si>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</si>
  <si>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</si>
  <si>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</si>
  <si>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</si>
  <si>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</si>
  <si>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</si>
  <si>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</si>
  <si>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</si>
  <si>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</si>
  <si>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</si>
  <si>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</si>
  <si>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</si>
  <si>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</si>
  <si>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</si>
  <si>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</si>
  <si>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</si>
  <si>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</si>
  <si>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</si>
  <si>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</si>
  <si>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US</t>
  </si>
  <si>
    <t>Programme neuf 2</t>
  </si>
  <si>
    <t>Facility Fund</t>
  </si>
  <si>
    <t>Pièces recond. MCPA</t>
  </si>
  <si>
    <t>Ventes</t>
  </si>
  <si>
    <t>Profits bruts</t>
  </si>
  <si>
    <t>BAIIA</t>
  </si>
  <si>
    <t>EBIT</t>
  </si>
  <si>
    <t>CONSO</t>
  </si>
  <si>
    <t>TOTAL</t>
  </si>
  <si>
    <t>CTRL</t>
  </si>
  <si>
    <t>BUDGET</t>
  </si>
  <si>
    <t>BUDGET RÉVISÉ</t>
  </si>
  <si>
    <t>ACTUAL</t>
  </si>
  <si>
    <t>LAST YEAR</t>
  </si>
  <si>
    <t>Mitsubishi</t>
  </si>
  <si>
    <t>Mois 1</t>
  </si>
  <si>
    <t>Mois 2</t>
  </si>
  <si>
    <t>Mois 3</t>
  </si>
  <si>
    <t>Quarter</t>
  </si>
  <si>
    <t>Autres marques</t>
  </si>
  <si>
    <t>Revenus d'intérêts Floor plan</t>
  </si>
  <si>
    <t>BAIIA Corpo</t>
  </si>
  <si>
    <t>NB</t>
  </si>
  <si>
    <t>$</t>
  </si>
  <si>
    <t>ÉCART réel / Budget</t>
  </si>
  <si>
    <t>ECART (réel/ Ann.Préc.)</t>
  </si>
  <si>
    <t>UNFTÉ</t>
  </si>
  <si>
    <t>RBSC neuf</t>
  </si>
  <si>
    <t>$PROFFTS</t>
  </si>
  <si>
    <t>RBSC used</t>
  </si>
  <si>
    <t>Programme 360</t>
  </si>
  <si>
    <t>$Ventes</t>
  </si>
  <si>
    <t>Ste-Marie Auto</t>
  </si>
  <si>
    <t>Wholesale Autres</t>
  </si>
  <si>
    <t>UNITÉS</t>
  </si>
  <si>
    <t>Véhicules usagésVentes nettes</t>
  </si>
  <si>
    <t>Wholesale autres</t>
  </si>
  <si>
    <t>Véhicules usagésCertifié</t>
  </si>
  <si>
    <t>Wholesale USA</t>
  </si>
  <si>
    <t>Véhicules usagésNon Certifié</t>
  </si>
  <si>
    <t>Wholesale Canada</t>
  </si>
  <si>
    <t>Wholesale Luxueux</t>
  </si>
  <si>
    <t>Véhicules usagésTotal Dépt. Usagés</t>
  </si>
  <si>
    <t>Total Dépt. Wholesale autres</t>
  </si>
  <si>
    <t>Véhicules usagésDEPENSES</t>
  </si>
  <si>
    <t>Véhicules usagésComm. vendeurs</t>
  </si>
  <si>
    <t>Véhicules usagésComm. F&amp;I</t>
  </si>
  <si>
    <t>Véhicules usagésFrais de livraison</t>
  </si>
  <si>
    <t>Véhicules usagésService gratuit 1</t>
  </si>
  <si>
    <t>Véhicules usagésEntretien stock</t>
  </si>
  <si>
    <t>Véhicules usagésPublicité 1</t>
  </si>
  <si>
    <t>Véhicules usagésIntérêt de gros</t>
  </si>
  <si>
    <t>Véhicules usagés[...]</t>
  </si>
  <si>
    <t>Véhicules usagésTOTAL VARIABLES</t>
  </si>
  <si>
    <t>Véhicules usagésSalaires cadres</t>
  </si>
  <si>
    <t>Véhicules usagésSalaires commis</t>
  </si>
  <si>
    <t>Véhicules usagésSalaires autres</t>
  </si>
  <si>
    <t>Véhicules usagésSalaires spécialistes</t>
  </si>
  <si>
    <t>Véhicules usagésSalaires en absences</t>
  </si>
  <si>
    <t>Véhicules usagésDéduction à la source</t>
  </si>
  <si>
    <t>Véhicules usagésBénéfices marginaux</t>
  </si>
  <si>
    <t>Véhicules usagésCsst</t>
  </si>
  <si>
    <t>Véhicules usagésTOTAL PERSONNEL</t>
  </si>
  <si>
    <t>Véhicules usagésPublicité 2</t>
  </si>
  <si>
    <t>Véhicules usagésService gratuit 2</t>
  </si>
  <si>
    <t>Véhicules usagésFrais véhicules de cie</t>
  </si>
  <si>
    <t>Véhicules usagésInformatique</t>
  </si>
  <si>
    <t>Véhicules usagésFrais de déplacement</t>
  </si>
  <si>
    <t>Véhicules usagésServices extérieurs</t>
  </si>
  <si>
    <t>Véhicules usagésFournitures autres</t>
  </si>
  <si>
    <t>Véhicules usagésUniformes</t>
  </si>
  <si>
    <t>Véhicules usagésPapeterie</t>
  </si>
  <si>
    <t>Véhicules usagésTéléphone</t>
  </si>
  <si>
    <t>Véhicules usagésFrais postaux</t>
  </si>
  <si>
    <t>Véhicules usagésDivers</t>
  </si>
  <si>
    <t>Véhicules usagésFormation</t>
  </si>
  <si>
    <t>Véhicules usagésFrais bancaires</t>
  </si>
  <si>
    <t>Véhicules usagésTOTAL SEMI-FIXES</t>
  </si>
  <si>
    <t>Véhicules usagésTOTAL DES DÉPENSES</t>
  </si>
  <si>
    <t>Véhicules usagésProgramme used 1</t>
  </si>
  <si>
    <t>Programme used 1</t>
  </si>
  <si>
    <t>Véhicules usagésProgramme used 2</t>
  </si>
  <si>
    <t>Programme used 2</t>
  </si>
  <si>
    <t>Véhicules usagésProgramme used 3</t>
  </si>
  <si>
    <t>Véhicules usagésFrais administration</t>
  </si>
  <si>
    <t>*** NE PAS EFFACER / Pour An Précédente ***</t>
  </si>
  <si>
    <t>NEUF</t>
  </si>
  <si>
    <t>USAGE</t>
  </si>
  <si>
    <t>Véhicules neufsVentes nettes</t>
  </si>
  <si>
    <t>SERVICE</t>
  </si>
  <si>
    <t>Véhicules neufsAutos détail</t>
  </si>
  <si>
    <t>CARROSSERIE</t>
  </si>
  <si>
    <t>Véhicules neufsCamions détail</t>
  </si>
  <si>
    <t>PIECES</t>
  </si>
  <si>
    <t>Véhicules neufsSprinter</t>
  </si>
  <si>
    <t>Voitures electriques</t>
  </si>
  <si>
    <t>Véhicules neufsMoto détail</t>
  </si>
  <si>
    <t>Camions electriques</t>
  </si>
  <si>
    <t>Véhicules neufs[...]</t>
  </si>
  <si>
    <t>Véhicules neufsTotal Neufs</t>
  </si>
  <si>
    <t>Véhicules neufsEx-Démos et courtoisies</t>
  </si>
  <si>
    <t>Véhicules neufsFlottes</t>
  </si>
  <si>
    <t>Véhicules neufsRachat bail</t>
  </si>
  <si>
    <t>Véhicules neufsRev. Finances</t>
  </si>
  <si>
    <t>Véhicules neufsRev. Protections</t>
  </si>
  <si>
    <t>Véhicules neufsRev. Autres</t>
  </si>
  <si>
    <t>Véhicules neufsTotal F&amp;I</t>
  </si>
  <si>
    <t>Véhicules neufsTotal Dépt. Neufs</t>
  </si>
  <si>
    <t>Véhicules neufsDEPENSES</t>
  </si>
  <si>
    <t>Véhicules neufsComm. vendeurs</t>
  </si>
  <si>
    <t>Véhicules neufsComm. F&amp;I</t>
  </si>
  <si>
    <t>Véhicules neufsFrais de livraison</t>
  </si>
  <si>
    <t>Véhicules neufsService gratuit 1</t>
  </si>
  <si>
    <t>Véhicules neufsEntretien stock</t>
  </si>
  <si>
    <t>Véhicules neufsPublicité 1</t>
  </si>
  <si>
    <t>Véhicules neufsIntérêt de gros</t>
  </si>
  <si>
    <t>Crédit Intérêts Floor Plan</t>
  </si>
  <si>
    <t>Crédit Boni TD</t>
  </si>
  <si>
    <t>Véhicules neufsTOTAL VARIABLES</t>
  </si>
  <si>
    <t>Véhicules neufsSalaires cadres</t>
  </si>
  <si>
    <t>Véhicules neufsSalaires commis</t>
  </si>
  <si>
    <t>Véhicules neufsSalaires autres</t>
  </si>
  <si>
    <t>Véhicules neufsSalaires spécialistes</t>
  </si>
  <si>
    <t>Véhicules neufsSalaires en absences</t>
  </si>
  <si>
    <t>Véhicules neufsDéduction à la source</t>
  </si>
  <si>
    <t>Véhicules neufsBénéfices marginaux</t>
  </si>
  <si>
    <t>Véhicules neufsCsst</t>
  </si>
  <si>
    <t>Véhicules neufsTOTAL PERSONNEL</t>
  </si>
  <si>
    <t>Véhicules neufsPublicité 2</t>
  </si>
  <si>
    <t>Véhicules neufsService gratuit 2</t>
  </si>
  <si>
    <t>Véhicules neufsFrais véhicules de cie</t>
  </si>
  <si>
    <t>Véhicules neufsInformatique</t>
  </si>
  <si>
    <t>Véhicules neufsFrais de déplacement</t>
  </si>
  <si>
    <t>Véhicules neufsServices extérieurs</t>
  </si>
  <si>
    <t>Véhicules neufsFournitures autres</t>
  </si>
  <si>
    <t>Véhicules neufsUniformes</t>
  </si>
  <si>
    <t>Véhicules neufsPapeterie</t>
  </si>
  <si>
    <t>Véhicules neufsTéléphone</t>
  </si>
  <si>
    <t>Véhicules neufsFrais postaux</t>
  </si>
  <si>
    <t>Véhicules neufsDivers</t>
  </si>
  <si>
    <t>Véhicules neufsFormation</t>
  </si>
  <si>
    <t>Véhicules neufsFrais bancaires</t>
  </si>
  <si>
    <t>Véhicules neufsTOTAL SEMI-FIXES</t>
  </si>
  <si>
    <t>Véhicules neufsTOTAL DES DÉPENSES</t>
  </si>
  <si>
    <t>Véhicules neufsProgramme neuf 1</t>
  </si>
  <si>
    <t>Programme Excellence</t>
  </si>
  <si>
    <t>Véhicules neufsProgramme neuf 2</t>
  </si>
  <si>
    <t>Véhicules neufsProgramme neuf 3</t>
  </si>
  <si>
    <t>Véhicules neufsHoldbacks</t>
  </si>
  <si>
    <t>Véhicules neufsFrais administration</t>
  </si>
  <si>
    <t>Véhicules neufsAUTRES REVENUS</t>
  </si>
  <si>
    <t>Véhicules neufsPROFIT DÉPARTEMENTAL</t>
  </si>
  <si>
    <t>Autres Marques</t>
  </si>
  <si>
    <t>Véhicules usagésVentes au Gros</t>
  </si>
  <si>
    <t>Véhicules usagésRev. Finances</t>
  </si>
  <si>
    <t>Véhicules usagésRev. Protections</t>
  </si>
  <si>
    <t>Véhicules usagésRev. Autres</t>
  </si>
  <si>
    <t>Véhicules usagésTotal F&amp;I</t>
  </si>
  <si>
    <t>ServiceM/O Client</t>
  </si>
  <si>
    <t>Service% profit / ventes</t>
  </si>
  <si>
    <t>ServiceM/O Garantie</t>
  </si>
  <si>
    <t>ServiceM/O Interne</t>
  </si>
  <si>
    <t>ServiceM/O Esthétique</t>
  </si>
  <si>
    <t>ServiceAjustement M/O</t>
  </si>
  <si>
    <t>ServiceSous-total M/O</t>
  </si>
  <si>
    <t>Service% protit / ventes</t>
  </si>
  <si>
    <t>ServiceSous-traitement</t>
  </si>
  <si>
    <t>ServiceM.O. Recond. MCPA</t>
  </si>
  <si>
    <t>ServiceTotal Mécanique</t>
  </si>
  <si>
    <t>ServiceDEPENSES</t>
  </si>
  <si>
    <t>ServiceSalaires cadres</t>
  </si>
  <si>
    <t>ServiceSalaires commis</t>
  </si>
  <si>
    <t>ServiceSalaires autres</t>
  </si>
  <si>
    <t>ServiceSalaires spécialistes</t>
  </si>
  <si>
    <t>Service[...]</t>
  </si>
  <si>
    <t>ServiceSalaires en absences</t>
  </si>
  <si>
    <t>ServiceDéduction à la source</t>
  </si>
  <si>
    <t>ServiceBénéfices marginaux</t>
  </si>
  <si>
    <t>ServiceCsst</t>
  </si>
  <si>
    <t>ServiceTOTAL PERSONNEL</t>
  </si>
  <si>
    <t>ServicePublicité 2</t>
  </si>
  <si>
    <t>ServiceService gratuit 2</t>
  </si>
  <si>
    <t>ServiceFrais véhicules de cie</t>
  </si>
  <si>
    <t>ServiceInformatique</t>
  </si>
  <si>
    <t>ServiceFrais de déplacement</t>
  </si>
  <si>
    <t>ServiceServices extérieurs</t>
  </si>
  <si>
    <t>ServiceFournitures d'atelier</t>
  </si>
  <si>
    <t>ServiceFournitures autres</t>
  </si>
  <si>
    <t>ServiceUniformes</t>
  </si>
  <si>
    <t>ServicePapeterie</t>
  </si>
  <si>
    <t>ServiceTéléphone</t>
  </si>
  <si>
    <t>ServiceFrais postaux</t>
  </si>
  <si>
    <t>ServiceDivers</t>
  </si>
  <si>
    <t>ServiceFormation</t>
  </si>
  <si>
    <t>ServiceFrais bancaires</t>
  </si>
  <si>
    <t>CarrosserieM/O Sous-traitement</t>
  </si>
  <si>
    <t>Carrosserie Clients</t>
  </si>
  <si>
    <t>Carrosserie% profit / ventes</t>
  </si>
  <si>
    <t>CarrosserieM/O Carrosserie</t>
  </si>
  <si>
    <t>Carrosserie Interne</t>
  </si>
  <si>
    <t>CarrosserieM/O Esthétique Carr.</t>
  </si>
  <si>
    <t>Carrosserie Concessions</t>
  </si>
  <si>
    <t>Ajustement M/O Carrosserie</t>
  </si>
  <si>
    <t>CarrosserieTotal Mécanique</t>
  </si>
  <si>
    <t>Total Carrosserie</t>
  </si>
  <si>
    <t>CarrosserieDEPENSES</t>
  </si>
  <si>
    <t>CarrosserieSalaires cadres</t>
  </si>
  <si>
    <t>CarrosserieSalaires commis</t>
  </si>
  <si>
    <t>CarrosserieSalaires autres</t>
  </si>
  <si>
    <t>CarrosserieSalaires spécialistes</t>
  </si>
  <si>
    <t>Carrosserie[...]</t>
  </si>
  <si>
    <t>CarrosserieSalaires en absences</t>
  </si>
  <si>
    <t>CarrosserieDéduction à la source</t>
  </si>
  <si>
    <t>CarrosserieBénéfices marginaux</t>
  </si>
  <si>
    <t>CarrosserieCsst</t>
  </si>
  <si>
    <t>CarrosserieTOTAL PERSONNEL</t>
  </si>
  <si>
    <t>CarrosseriePublicité 2</t>
  </si>
  <si>
    <t>CarrosserieService gratuit 2</t>
  </si>
  <si>
    <t>CarrosserieFrais véhicules de cie</t>
  </si>
  <si>
    <t>CarrosserieInformatique</t>
  </si>
  <si>
    <t>CarrosserieFrais de déplacement</t>
  </si>
  <si>
    <t>CarrosserieServices extérieurs</t>
  </si>
  <si>
    <t>CarrosserieFournitures d'atelier</t>
  </si>
  <si>
    <t>CarrosserieFournitures autres</t>
  </si>
  <si>
    <t>CarrosserieUniformes</t>
  </si>
  <si>
    <t>CarrosseriePapeterie</t>
  </si>
  <si>
    <t>CarrosserieTéléphone</t>
  </si>
  <si>
    <t>CarrosserieFrais postaux</t>
  </si>
  <si>
    <t>CarrosserieDivers</t>
  </si>
  <si>
    <t>CarrosserieFormation</t>
  </si>
  <si>
    <t>CarrosserieFrais bancaires</t>
  </si>
  <si>
    <t>Frais assurances</t>
  </si>
  <si>
    <t>PiècesPièces Ro Clients</t>
  </si>
  <si>
    <t>PiècesPièces Ro Carrosserie</t>
  </si>
  <si>
    <t>PiècesP/A Garantie</t>
  </si>
  <si>
    <t>PiècesVentes Internes</t>
  </si>
  <si>
    <t>PiècesVentes Détails</t>
  </si>
  <si>
    <t>PiècesVentes de Gros</t>
  </si>
  <si>
    <t>Pièces[...]</t>
  </si>
  <si>
    <t>PiècesEscomptes</t>
  </si>
  <si>
    <t>PiècesRectif. Inventaire</t>
  </si>
  <si>
    <t>PiècesSous-total Pièces</t>
  </si>
  <si>
    <t>PiècesVentes Pneus</t>
  </si>
  <si>
    <t>PiècesHuiles et Graisse</t>
  </si>
  <si>
    <t>PiècesSous-total Pièces et Acc.</t>
  </si>
  <si>
    <t>PiècesAutostock</t>
  </si>
  <si>
    <t>PiècesTotal Dépt. Pièces</t>
  </si>
  <si>
    <t>PiècesDEPENSES</t>
  </si>
  <si>
    <t>PiècesSalaires cadres</t>
  </si>
  <si>
    <t>PiècesSalaires commis</t>
  </si>
  <si>
    <t>PiècesSalaires autres</t>
  </si>
  <si>
    <t>PiècesSalaires spécialistes</t>
  </si>
  <si>
    <t>PiècesSalaires en absences</t>
  </si>
  <si>
    <t>PiècesDéduction à la source</t>
  </si>
  <si>
    <t>PiècesBénéfices marginaux</t>
  </si>
  <si>
    <t>PiècesCsst</t>
  </si>
  <si>
    <t>PiècesTOTAL PERSONNEL</t>
  </si>
  <si>
    <t>PiècesPublicité 2</t>
  </si>
  <si>
    <t>PiècesService gratuit 2</t>
  </si>
  <si>
    <t>PiècesFrais véhicules de cie</t>
  </si>
  <si>
    <t>PiècesInformatique</t>
  </si>
  <si>
    <t>PiècesFrais de déplacement</t>
  </si>
  <si>
    <t>PiècesServices extérieurs</t>
  </si>
  <si>
    <t>PiècesFournitures d'atelier</t>
  </si>
  <si>
    <t>PiècesFournitures autres</t>
  </si>
  <si>
    <t>PiècesUniformes</t>
  </si>
  <si>
    <t>PiècesPapeterie</t>
  </si>
  <si>
    <t>PiècesTéléphone</t>
  </si>
  <si>
    <t>PiècesFrais postaux</t>
  </si>
  <si>
    <t>PiècesDivers</t>
  </si>
  <si>
    <t>PiècesFormation</t>
  </si>
  <si>
    <t>PiècesFrais bancaires</t>
  </si>
  <si>
    <t>SAAQ</t>
  </si>
  <si>
    <t>Inspection - Véhicules Lourds</t>
  </si>
  <si>
    <t>Inspection - Véhicules Légers</t>
  </si>
  <si>
    <t>Inspection - Véhicules Interne</t>
  </si>
  <si>
    <t>Ajustement M/O SAAQ</t>
  </si>
  <si>
    <t>BoutiqueBoutique</t>
  </si>
  <si>
    <t>Total Dépt. SAAQ</t>
  </si>
  <si>
    <t>BoutiqueDEPENSES</t>
  </si>
  <si>
    <t>BoutiqueSalaires cadres</t>
  </si>
  <si>
    <t>BoutiqueSalaires commis</t>
  </si>
  <si>
    <t>BoutiqueSalaires autres</t>
  </si>
  <si>
    <t>BoutiqueSalaires spécialistes</t>
  </si>
  <si>
    <t>Boutique[...]</t>
  </si>
  <si>
    <t>BoutiqueSalaires en absences</t>
  </si>
  <si>
    <t>BoutiqueDéduction à la source</t>
  </si>
  <si>
    <t>BoutiqueBénéfices marginaux</t>
  </si>
  <si>
    <t>BoutiqueCsst</t>
  </si>
  <si>
    <t>BoutiqueTOTAL PERSONNEL</t>
  </si>
  <si>
    <t>BoutiquePublicité 2</t>
  </si>
  <si>
    <t>BoutiqueService gratuit 2</t>
  </si>
  <si>
    <t>BoutiqueFrais véhicules de cie</t>
  </si>
  <si>
    <t>BoutiqueInformatique</t>
  </si>
  <si>
    <t>BoutiqueFrais de déplacement</t>
  </si>
  <si>
    <t>BoutiqueServices extérieurs</t>
  </si>
  <si>
    <t>BoutiqueFournitures autres</t>
  </si>
  <si>
    <t>BoutiqueUniformes</t>
  </si>
  <si>
    <t>BoutiquePapeterie</t>
  </si>
  <si>
    <t>BoutiqueTéléphone</t>
  </si>
  <si>
    <t>BoutiqueFrais postaux</t>
  </si>
  <si>
    <t>BoutiqueDivers</t>
  </si>
  <si>
    <t>BoutiqueFormation</t>
  </si>
  <si>
    <t>BoutiqueFrais bancaires</t>
  </si>
  <si>
    <t>Protégé pour sommaire - &gt;&gt;</t>
  </si>
  <si>
    <t>TOTAL DES REVENUS ET DÉPENSES</t>
  </si>
  <si>
    <t/>
  </si>
  <si>
    <t>Programme neuf 1</t>
  </si>
  <si>
    <t>Volks</t>
  </si>
  <si>
    <t>A partir de juin</t>
  </si>
  <si>
    <t>M-A sal + com - reclassé AAD</t>
  </si>
  <si>
    <t>doit revoir les amortissements après avoir passé les régularisations</t>
  </si>
  <si>
    <t>EF</t>
  </si>
  <si>
    <t>Frais document reclassé</t>
  </si>
  <si>
    <t>Manquait salaire de base</t>
  </si>
  <si>
    <t>Carl + com Tristan, Frederick</t>
  </si>
  <si>
    <t>Julien, Mathieu, M-E + comm  - crédit Hawkesburry - 150$ can/ auto US STM - Ajusté 500$ profit WS LMB AAD *50%</t>
  </si>
  <si>
    <t>A partir de juillet</t>
  </si>
  <si>
    <t>Q2 2026</t>
  </si>
  <si>
    <t>Livre des ventes</t>
  </si>
  <si>
    <t>Crédit de juin - décalé d'un mois ??</t>
  </si>
  <si>
    <t>-29k Bateau, -47k erreur juin, vte en double</t>
  </si>
  <si>
    <t>A partir de août</t>
  </si>
  <si>
    <t>Loyer 71050$, aucun terrain</t>
  </si>
  <si>
    <t>LAR</t>
  </si>
  <si>
    <t>Frais document reclassé - correction charge de juillet</t>
  </si>
  <si>
    <t>14 à 699$ et 38 à 200$ = 52</t>
  </si>
  <si>
    <t>14 dossiers</t>
  </si>
  <si>
    <t>Loyer 71050$, ajustement loyer début année 320 route 132</t>
  </si>
  <si>
    <t>Facture 3400$ avocat dossier David</t>
  </si>
  <si>
    <t>Boni cadres</t>
  </si>
  <si>
    <t>Frais sur 77 dossiers (1 a 500$ et 10 à 200$)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</si>
</sst>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d\/mm\/yy_)"/>
    <numFmt numFmtId="165" formatCode="0.0%"/>
    <numFmt numFmtId="166" formatCode="0_)"/>
    <numFmt numFmtId="167" formatCode="_(* #,##0_);_(* \(#,##0\);_(* &quot;-&quot;??_);_(@_)"/>
    <numFmt numFmtId="168" formatCode="_-* #,##0.00\ _$_-;_-* #,##0.00\ _$\-;_-* &quot;-&quot;??\ _$_-;_-@_-"/>
    <numFmt numFmtId="169" formatCode="_-* #,##0.00\ &quot;$&quot;_-;_-* #,##0.00\ &quot;$&quot;\-;_-* &quot;-&quot;??\ &quot;$&quot;_-;_-@_-"/>
    <numFmt numFmtId="170" formatCode="_-* #,##0.00_-;\-* #,##0.00_-;_-* &quot;-&quot;??_-;_-@_-"/>
    <numFmt numFmtId="171" formatCode="d/m/yyyy"/>
    <numFmt numFmtId="172" formatCode="_-* #,##0.00_-;\-* #,##0.00_-;_-* &quot;-&quot;??_-;_-@"/>
  </numFmts>
  <fonts count="58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8"/>
      <color theme="1"/>
      <name val="Arial"/>
      <family val="2"/>
    </font>
    <font>
      <sz val="20"/>
      <color rgb="FFFF0000"/>
      <name val="Arial"/>
      <family val="2"/>
    </font>
    <font>
      <b/>
      <sz val="14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2"/>
      <name val="Arial MT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8"/>
      <name val="Arial"/>
      <family val="2"/>
    </font>
    <font>
      <sz val="12"/>
      <color theme="0"/>
      <name val="Arial"/>
      <family val="2"/>
    </font>
    <font>
      <sz val="11"/>
      <color theme="1"/>
      <name val="Arial"/>
    </font>
    <font>
      <b/>
      <sz val="28"/>
      <color theme="0"/>
      <name val="Arial"/>
      <family val="2"/>
    </font>
    <font>
      <b/>
      <sz val="11"/>
      <color rgb="FFFFFF00"/>
      <name val="Arial"/>
      <family val="2"/>
    </font>
    <font>
      <sz val="11"/>
      <color rgb="FFFFFFFF"/>
      <name val="Arial"/>
      <family val="2"/>
    </font>
    <font>
      <sz val="10"/>
      <color rgb="FFFFFFFF"/>
      <name val="Calibri"/>
      <family val="2"/>
    </font>
    <font>
      <b/>
      <sz val="11"/>
      <color rgb="FF002060"/>
      <name val="Arial"/>
      <family val="2"/>
    </font>
    <font>
      <b/>
      <sz val="24"/>
      <color theme="0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rgb="FFFF0000"/>
      <name val="Arial"/>
      <family val="2"/>
    </font>
    <font>
      <b/>
      <sz val="28"/>
      <color theme="1"/>
      <name val="Arial"/>
    </font>
    <font>
      <b/>
      <sz val="28"/>
      <color theme="0"/>
      <name val="Arial"/>
    </font>
    <font>
      <sz val="12"/>
      <color theme="0"/>
      <name val="Arial"/>
    </font>
    <font>
      <b/>
      <sz val="12"/>
      <color theme="1"/>
      <name val="Arial"/>
    </font>
    <font>
      <sz val="11"/>
      <color theme="1"/>
      <name val="Calibri"/>
    </font>
    <font>
      <sz val="12"/>
      <color theme="1"/>
      <name val="Arial"/>
    </font>
    <font>
      <b/>
      <sz val="11"/>
      <color rgb="FFFFFF00"/>
      <name val="Arial"/>
    </font>
    <font>
      <sz val="11"/>
      <color rgb="FFFFFFFF"/>
      <name val="Arial"/>
    </font>
    <font>
      <sz val="16"/>
      <color theme="1"/>
      <name val="Arial"/>
    </font>
    <font>
      <b/>
      <sz val="16"/>
      <color theme="1"/>
      <name val="Arial"/>
    </font>
    <font>
      <sz val="11"/>
      <name val="Arial"/>
    </font>
    <font>
      <sz val="10"/>
      <color rgb="FFFFFFFF"/>
      <name val="Calibri"/>
    </font>
    <font>
      <b/>
      <sz val="14"/>
      <color theme="1"/>
      <name val="Arial"/>
    </font>
    <font>
      <sz val="14"/>
      <color theme="1"/>
      <name val="Arial"/>
    </font>
    <font>
      <sz val="18"/>
      <color theme="1"/>
      <name val="Arial"/>
    </font>
    <font>
      <sz val="12"/>
      <color rgb="FFFF0000"/>
      <name val="Arial"/>
    </font>
    <font>
      <sz val="16"/>
      <color rgb="FFFF0000"/>
      <name val="Arial"/>
    </font>
    <font>
      <b/>
      <sz val="11"/>
      <color rgb="FF002060"/>
      <name val="Arial"/>
    </font>
    <font>
      <b/>
      <sz val="24"/>
      <color theme="0"/>
      <name val="Arial"/>
    </font>
    <font>
      <b/>
      <sz val="18"/>
      <color theme="1"/>
      <name val="Arial"/>
    </font>
    <font>
      <sz val="11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rgb="FFFFC000"/>
      </patternFill>
    </fill>
    <fill>
      <patternFill patternType="solid">
        <fgColor theme="1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DBE5F1"/>
        <bgColor rgb="FFDBE5F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</fills>
  <borders count="7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indexed="64"/>
      </right>
      <top style="thin">
        <color rgb="FF000000"/>
      </top>
      <bottom/>
      <diagonal/>
    </border>
    <border>
      <left style="thick">
        <color rgb="FF000000"/>
      </left>
      <right style="thick">
        <color indexed="64"/>
      </right>
      <top/>
      <bottom/>
      <diagonal/>
    </border>
    <border>
      <left style="thick">
        <color rgb="FF000000"/>
      </left>
      <right style="thick">
        <color indexed="64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</borders>
  <cellStyleXfs count="17">
    <xf numFmtId="0" fontId="0" fillId="0" borderId="0"/>
    <xf numFmtId="9" fontId="12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  <xf numFmtId="0" fontId="5" fillId="0" borderId="0"/>
    <xf numFmtId="0" fontId="20" fillId="0" borderId="0"/>
    <xf numFmtId="168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12" fillId="0" borderId="0"/>
    <xf numFmtId="0" fontId="4" fillId="0" borderId="0"/>
    <xf numFmtId="0" fontId="20" fillId="0" borderId="0"/>
    <xf numFmtId="43" fontId="22" fillId="0" borderId="0" applyFont="0" applyFill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</cellStyleXfs>
  <cellXfs count="778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3" fontId="9" fillId="0" borderId="1" xfId="0" applyNumberFormat="1" applyFont="1" applyBorder="1" applyAlignment="1">
      <alignment horizontal="center"/>
    </xf>
    <xf numFmtId="3" fontId="9" fillId="0" borderId="0" xfId="0" applyNumberFormat="1" applyFont="1" applyAlignment="1">
      <alignment horizontal="center"/>
    </xf>
    <xf numFmtId="3" fontId="9" fillId="0" borderId="2" xfId="0" applyNumberFormat="1" applyFont="1" applyBorder="1" applyAlignment="1">
      <alignment horizontal="center"/>
    </xf>
    <xf numFmtId="3" fontId="9" fillId="0" borderId="3" xfId="0" applyNumberFormat="1" applyFont="1" applyBorder="1" applyAlignment="1">
      <alignment horizontal="center"/>
    </xf>
    <xf numFmtId="3" fontId="9" fillId="0" borderId="4" xfId="0" applyNumberFormat="1" applyFont="1" applyBorder="1" applyAlignment="1">
      <alignment horizontal="center"/>
    </xf>
    <xf numFmtId="3" fontId="9" fillId="0" borderId="5" xfId="0" applyNumberFormat="1" applyFont="1" applyBorder="1"/>
    <xf numFmtId="0" fontId="9" fillId="0" borderId="6" xfId="0" applyFont="1" applyBorder="1"/>
    <xf numFmtId="3" fontId="9" fillId="0" borderId="4" xfId="0" applyNumberFormat="1" applyFont="1" applyBorder="1" applyAlignment="1">
      <alignment horizontal="right"/>
    </xf>
    <xf numFmtId="3" fontId="9" fillId="0" borderId="7" xfId="0" applyNumberFormat="1" applyFont="1" applyBorder="1"/>
    <xf numFmtId="3" fontId="9" fillId="0" borderId="6" xfId="0" applyNumberFormat="1" applyFont="1" applyBorder="1" applyAlignment="1">
      <alignment horizontal="center"/>
    </xf>
    <xf numFmtId="3" fontId="9" fillId="0" borderId="8" xfId="0" applyNumberFormat="1" applyFont="1" applyBorder="1" applyAlignment="1">
      <alignment horizontal="center"/>
    </xf>
    <xf numFmtId="3" fontId="9" fillId="0" borderId="0" xfId="0" applyNumberFormat="1" applyFont="1"/>
    <xf numFmtId="3" fontId="9" fillId="0" borderId="3" xfId="0" applyNumberFormat="1" applyFont="1" applyBorder="1"/>
    <xf numFmtId="3" fontId="9" fillId="0" borderId="2" xfId="0" applyNumberFormat="1" applyFont="1" applyBorder="1"/>
    <xf numFmtId="3" fontId="10" fillId="0" borderId="1" xfId="0" applyNumberFormat="1" applyFont="1" applyBorder="1"/>
    <xf numFmtId="3" fontId="10" fillId="0" borderId="9" xfId="0" applyNumberFormat="1" applyFont="1" applyBorder="1"/>
    <xf numFmtId="3" fontId="10" fillId="0" borderId="10" xfId="0" applyNumberFormat="1" applyFont="1" applyBorder="1"/>
    <xf numFmtId="0" fontId="9" fillId="0" borderId="2" xfId="0" applyFont="1" applyBorder="1"/>
    <xf numFmtId="0" fontId="9" fillId="0" borderId="3" xfId="0" applyFont="1" applyBorder="1"/>
    <xf numFmtId="165" fontId="10" fillId="0" borderId="3" xfId="0" applyNumberFormat="1" applyFont="1" applyBorder="1"/>
    <xf numFmtId="165" fontId="10" fillId="0" borderId="2" xfId="0" applyNumberFormat="1" applyFont="1" applyBorder="1"/>
    <xf numFmtId="3" fontId="9" fillId="0" borderId="11" xfId="0" applyNumberFormat="1" applyFont="1" applyBorder="1"/>
    <xf numFmtId="3" fontId="9" fillId="0" borderId="4" xfId="0" applyNumberFormat="1" applyFont="1" applyBorder="1"/>
    <xf numFmtId="3" fontId="9" fillId="0" borderId="8" xfId="0" applyNumberFormat="1" applyFont="1" applyBorder="1"/>
    <xf numFmtId="3" fontId="10" fillId="0" borderId="6" xfId="0" applyNumberFormat="1" applyFont="1" applyBorder="1"/>
    <xf numFmtId="3" fontId="10" fillId="0" borderId="4" xfId="0" applyNumberFormat="1" applyFont="1" applyBorder="1"/>
    <xf numFmtId="3" fontId="9" fillId="0" borderId="6" xfId="0" applyNumberFormat="1" applyFont="1" applyBorder="1"/>
    <xf numFmtId="3" fontId="9" fillId="0" borderId="1" xfId="0" applyNumberFormat="1" applyFont="1" applyBorder="1"/>
    <xf numFmtId="3" fontId="9" fillId="0" borderId="9" xfId="0" applyNumberFormat="1" applyFont="1" applyBorder="1"/>
    <xf numFmtId="3" fontId="9" fillId="0" borderId="10" xfId="0" applyNumberFormat="1" applyFont="1" applyBorder="1"/>
    <xf numFmtId="3" fontId="10" fillId="0" borderId="3" xfId="0" applyNumberFormat="1" applyFont="1" applyBorder="1"/>
    <xf numFmtId="37" fontId="9" fillId="0" borderId="2" xfId="0" applyNumberFormat="1" applyFont="1" applyBorder="1"/>
    <xf numFmtId="37" fontId="9" fillId="0" borderId="3" xfId="0" applyNumberFormat="1" applyFont="1" applyBorder="1"/>
    <xf numFmtId="37" fontId="10" fillId="2" borderId="12" xfId="0" applyNumberFormat="1" applyFont="1" applyFill="1" applyBorder="1"/>
    <xf numFmtId="3" fontId="10" fillId="2" borderId="12" xfId="0" applyNumberFormat="1" applyFont="1" applyFill="1" applyBorder="1"/>
    <xf numFmtId="37" fontId="10" fillId="2" borderId="13" xfId="0" applyNumberFormat="1" applyFont="1" applyFill="1" applyBorder="1"/>
    <xf numFmtId="37" fontId="10" fillId="2" borderId="14" xfId="0" applyNumberFormat="1" applyFont="1" applyFill="1" applyBorder="1"/>
    <xf numFmtId="0" fontId="10" fillId="2" borderId="15" xfId="0" applyFont="1" applyFill="1" applyBorder="1"/>
    <xf numFmtId="0" fontId="10" fillId="2" borderId="16" xfId="0" applyFont="1" applyFill="1" applyBorder="1"/>
    <xf numFmtId="0" fontId="10" fillId="2" borderId="17" xfId="0" applyFont="1" applyFill="1" applyBorder="1"/>
    <xf numFmtId="165" fontId="10" fillId="2" borderId="17" xfId="0" applyNumberFormat="1" applyFont="1" applyFill="1" applyBorder="1"/>
    <xf numFmtId="165" fontId="10" fillId="2" borderId="16" xfId="0" applyNumberFormat="1" applyFont="1" applyFill="1" applyBorder="1"/>
    <xf numFmtId="0" fontId="10" fillId="0" borderId="0" xfId="0" applyFont="1"/>
    <xf numFmtId="0" fontId="10" fillId="0" borderId="2" xfId="0" applyFont="1" applyBorder="1"/>
    <xf numFmtId="0" fontId="10" fillId="0" borderId="3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37" fontId="9" fillId="0" borderId="0" xfId="0" applyNumberFormat="1" applyFont="1"/>
    <xf numFmtId="0" fontId="9" fillId="0" borderId="3" xfId="0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37" fontId="9" fillId="0" borderId="4" xfId="0" applyNumberFormat="1" applyFont="1" applyBorder="1"/>
    <xf numFmtId="0" fontId="9" fillId="0" borderId="6" xfId="0" applyFont="1" applyBorder="1" applyAlignment="1">
      <alignment horizontal="right"/>
    </xf>
    <xf numFmtId="37" fontId="9" fillId="0" borderId="7" xfId="0" applyNumberFormat="1" applyFont="1" applyBorder="1"/>
    <xf numFmtId="37" fontId="9" fillId="0" borderId="8" xfId="0" applyNumberFormat="1" applyFont="1" applyBorder="1"/>
    <xf numFmtId="0" fontId="10" fillId="2" borderId="18" xfId="0" applyFont="1" applyFill="1" applyBorder="1" applyAlignment="1">
      <alignment horizontal="center"/>
    </xf>
    <xf numFmtId="165" fontId="10" fillId="2" borderId="18" xfId="0" applyNumberFormat="1" applyFont="1" applyFill="1" applyBorder="1"/>
    <xf numFmtId="37" fontId="10" fillId="2" borderId="19" xfId="0" applyNumberFormat="1" applyFont="1" applyFill="1" applyBorder="1"/>
    <xf numFmtId="0" fontId="10" fillId="2" borderId="20" xfId="0" applyFont="1" applyFill="1" applyBorder="1" applyAlignment="1">
      <alignment horizontal="center"/>
    </xf>
    <xf numFmtId="0" fontId="9" fillId="2" borderId="21" xfId="0" applyFont="1" applyFill="1" applyBorder="1"/>
    <xf numFmtId="0" fontId="9" fillId="2" borderId="20" xfId="0" applyFont="1" applyFill="1" applyBorder="1"/>
    <xf numFmtId="0" fontId="9" fillId="0" borderId="1" xfId="0" applyFont="1" applyBorder="1" applyAlignment="1">
      <alignment horizontal="right"/>
    </xf>
    <xf numFmtId="0" fontId="9" fillId="0" borderId="1" xfId="0" applyFont="1" applyBorder="1"/>
    <xf numFmtId="0" fontId="9" fillId="0" borderId="10" xfId="0" applyFont="1" applyBorder="1" applyAlignment="1">
      <alignment horizontal="right"/>
    </xf>
    <xf numFmtId="0" fontId="9" fillId="0" borderId="10" xfId="0" applyFont="1" applyBorder="1"/>
    <xf numFmtId="37" fontId="9" fillId="0" borderId="9" xfId="0" applyNumberFormat="1" applyFont="1" applyBorder="1"/>
    <xf numFmtId="0" fontId="9" fillId="0" borderId="4" xfId="0" applyFont="1" applyBorder="1"/>
    <xf numFmtId="37" fontId="10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37" fontId="10" fillId="3" borderId="2" xfId="0" applyNumberFormat="1" applyFont="1" applyFill="1" applyBorder="1"/>
    <xf numFmtId="0" fontId="9" fillId="3" borderId="3" xfId="0" applyFont="1" applyFill="1" applyBorder="1"/>
    <xf numFmtId="0" fontId="9" fillId="3" borderId="6" xfId="0" applyFont="1" applyFill="1" applyBorder="1"/>
    <xf numFmtId="0" fontId="9" fillId="3" borderId="4" xfId="0" applyFont="1" applyFill="1" applyBorder="1"/>
    <xf numFmtId="37" fontId="10" fillId="3" borderId="8" xfId="0" applyNumberFormat="1" applyFont="1" applyFill="1" applyBorder="1"/>
    <xf numFmtId="0" fontId="14" fillId="0" borderId="0" xfId="0" applyFont="1"/>
    <xf numFmtId="37" fontId="14" fillId="0" borderId="0" xfId="0" applyNumberFormat="1" applyFon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15" fillId="0" borderId="0" xfId="0" applyFont="1"/>
    <xf numFmtId="39" fontId="9" fillId="0" borderId="0" xfId="0" applyNumberFormat="1" applyFont="1"/>
    <xf numFmtId="3" fontId="10" fillId="0" borderId="8" xfId="0" applyNumberFormat="1" applyFont="1" applyBorder="1"/>
    <xf numFmtId="166" fontId="9" fillId="0" borderId="0" xfId="0" applyNumberFormat="1" applyFont="1"/>
    <xf numFmtId="37" fontId="9" fillId="0" borderId="5" xfId="0" applyNumberFormat="1" applyFont="1" applyBorder="1"/>
    <xf numFmtId="165" fontId="9" fillId="0" borderId="0" xfId="0" applyNumberFormat="1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0" fontId="10" fillId="0" borderId="3" xfId="0" applyFont="1" applyBorder="1" applyAlignment="1">
      <alignment horizontal="center"/>
    </xf>
    <xf numFmtId="37" fontId="8" fillId="0" borderId="0" xfId="0" applyNumberFormat="1" applyFont="1"/>
    <xf numFmtId="1" fontId="9" fillId="0" borderId="3" xfId="0" applyNumberFormat="1" applyFont="1" applyBorder="1"/>
    <xf numFmtId="165" fontId="9" fillId="0" borderId="3" xfId="0" applyNumberFormat="1" applyFont="1" applyBorder="1"/>
    <xf numFmtId="165" fontId="9" fillId="0" borderId="2" xfId="0" applyNumberFormat="1" applyFont="1" applyBorder="1"/>
    <xf numFmtId="166" fontId="9" fillId="0" borderId="4" xfId="0" applyNumberFormat="1" applyFont="1" applyBorder="1"/>
    <xf numFmtId="165" fontId="9" fillId="0" borderId="8" xfId="0" applyNumberFormat="1" applyFont="1" applyBorder="1"/>
    <xf numFmtId="37" fontId="9" fillId="0" borderId="6" xfId="0" applyNumberFormat="1" applyFont="1" applyBorder="1"/>
    <xf numFmtId="165" fontId="9" fillId="0" borderId="6" xfId="0" applyNumberFormat="1" applyFont="1" applyBorder="1"/>
    <xf numFmtId="37" fontId="9" fillId="0" borderId="1" xfId="0" applyNumberFormat="1" applyFont="1" applyBorder="1"/>
    <xf numFmtId="37" fontId="9" fillId="0" borderId="10" xfId="0" applyNumberFormat="1" applyFont="1" applyBorder="1"/>
    <xf numFmtId="165" fontId="10" fillId="0" borderId="8" xfId="0" applyNumberFormat="1" applyFont="1" applyBorder="1"/>
    <xf numFmtId="165" fontId="9" fillId="0" borderId="5" xfId="0" applyNumberFormat="1" applyFont="1" applyBorder="1"/>
    <xf numFmtId="165" fontId="9" fillId="0" borderId="10" xfId="0" applyNumberFormat="1" applyFont="1" applyBorder="1"/>
    <xf numFmtId="166" fontId="10" fillId="0" borderId="0" xfId="0" applyNumberFormat="1" applyFont="1"/>
    <xf numFmtId="37" fontId="10" fillId="0" borderId="3" xfId="0" applyNumberFormat="1" applyFont="1" applyBorder="1"/>
    <xf numFmtId="37" fontId="10" fillId="0" borderId="2" xfId="0" applyNumberFormat="1" applyFont="1" applyBorder="1"/>
    <xf numFmtId="0" fontId="10" fillId="0" borderId="6" xfId="0" applyFont="1" applyBorder="1"/>
    <xf numFmtId="37" fontId="10" fillId="0" borderId="6" xfId="0" applyNumberFormat="1" applyFont="1" applyBorder="1"/>
    <xf numFmtId="37" fontId="10" fillId="0" borderId="8" xfId="0" applyNumberFormat="1" applyFont="1" applyBorder="1"/>
    <xf numFmtId="37" fontId="10" fillId="3" borderId="12" xfId="0" applyNumberFormat="1" applyFont="1" applyFill="1" applyBorder="1"/>
    <xf numFmtId="37" fontId="10" fillId="3" borderId="13" xfId="0" applyNumberFormat="1" applyFont="1" applyFill="1" applyBorder="1"/>
    <xf numFmtId="37" fontId="10" fillId="3" borderId="14" xfId="0" applyNumberFormat="1" applyFont="1" applyFill="1" applyBorder="1"/>
    <xf numFmtId="37" fontId="10" fillId="3" borderId="4" xfId="0" applyNumberFormat="1" applyFont="1" applyFill="1" applyBorder="1"/>
    <xf numFmtId="165" fontId="10" fillId="3" borderId="8" xfId="0" applyNumberFormat="1" applyFont="1" applyFill="1" applyBorder="1"/>
    <xf numFmtId="37" fontId="10" fillId="3" borderId="6" xfId="0" applyNumberFormat="1" applyFont="1" applyFill="1" applyBorder="1"/>
    <xf numFmtId="37" fontId="10" fillId="0" borderId="1" xfId="0" applyNumberFormat="1" applyFont="1" applyBorder="1"/>
    <xf numFmtId="37" fontId="10" fillId="0" borderId="9" xfId="0" applyNumberFormat="1" applyFont="1" applyBorder="1"/>
    <xf numFmtId="37" fontId="10" fillId="0" borderId="10" xfId="0" applyNumberFormat="1" applyFont="1" applyBorder="1"/>
    <xf numFmtId="37" fontId="10" fillId="3" borderId="1" xfId="0" applyNumberFormat="1" applyFont="1" applyFill="1" applyBorder="1"/>
    <xf numFmtId="166" fontId="10" fillId="3" borderId="1" xfId="0" applyNumberFormat="1" applyFont="1" applyFill="1" applyBorder="1"/>
    <xf numFmtId="37" fontId="10" fillId="3" borderId="9" xfId="0" applyNumberFormat="1" applyFont="1" applyFill="1" applyBorder="1"/>
    <xf numFmtId="37" fontId="10" fillId="3" borderId="10" xfId="0" applyNumberFormat="1" applyFont="1" applyFill="1" applyBorder="1"/>
    <xf numFmtId="165" fontId="10" fillId="2" borderId="14" xfId="0" applyNumberFormat="1" applyFont="1" applyFill="1" applyBorder="1"/>
    <xf numFmtId="0" fontId="9" fillId="0" borderId="11" xfId="0" applyFont="1" applyBorder="1" applyAlignment="1">
      <alignment horizontal="center"/>
    </xf>
    <xf numFmtId="1" fontId="9" fillId="0" borderId="10" xfId="0" applyNumberFormat="1" applyFont="1" applyBorder="1"/>
    <xf numFmtId="2" fontId="9" fillId="0" borderId="4" xfId="0" applyNumberFormat="1" applyFont="1" applyBorder="1"/>
    <xf numFmtId="165" fontId="10" fillId="0" borderId="1" xfId="0" applyNumberFormat="1" applyFont="1" applyBorder="1"/>
    <xf numFmtId="165" fontId="10" fillId="0" borderId="10" xfId="0" applyNumberFormat="1" applyFont="1" applyBorder="1"/>
    <xf numFmtId="0" fontId="9" fillId="0" borderId="8" xfId="0" applyFont="1" applyBorder="1"/>
    <xf numFmtId="165" fontId="9" fillId="0" borderId="4" xfId="0" applyNumberFormat="1" applyFont="1" applyBorder="1"/>
    <xf numFmtId="165" fontId="10" fillId="2" borderId="12" xfId="0" applyNumberFormat="1" applyFont="1" applyFill="1" applyBorder="1"/>
    <xf numFmtId="37" fontId="10" fillId="2" borderId="26" xfId="0" applyNumberFormat="1" applyFont="1" applyFill="1" applyBorder="1"/>
    <xf numFmtId="0" fontId="10" fillId="2" borderId="20" xfId="0" applyFont="1" applyFill="1" applyBorder="1"/>
    <xf numFmtId="0" fontId="16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13" fillId="0" borderId="4" xfId="0" applyFont="1" applyBorder="1"/>
    <xf numFmtId="37" fontId="13" fillId="0" borderId="28" xfId="0" applyNumberFormat="1" applyFont="1" applyBorder="1"/>
    <xf numFmtId="37" fontId="13" fillId="0" borderId="29" xfId="0" applyNumberFormat="1" applyFont="1" applyBorder="1"/>
    <xf numFmtId="37" fontId="13" fillId="0" borderId="4" xfId="0" applyNumberFormat="1" applyFont="1" applyBorder="1"/>
    <xf numFmtId="165" fontId="13" fillId="0" borderId="4" xfId="0" applyNumberFormat="1" applyFont="1" applyBorder="1"/>
    <xf numFmtId="37" fontId="13" fillId="0" borderId="30" xfId="0" applyNumberFormat="1" applyFont="1" applyBorder="1"/>
    <xf numFmtId="0" fontId="16" fillId="2" borderId="4" xfId="0" applyFont="1" applyFill="1" applyBorder="1"/>
    <xf numFmtId="37" fontId="16" fillId="2" borderId="28" xfId="0" applyNumberFormat="1" applyFont="1" applyFill="1" applyBorder="1"/>
    <xf numFmtId="37" fontId="16" fillId="2" borderId="29" xfId="0" applyNumberFormat="1" applyFont="1" applyFill="1" applyBorder="1"/>
    <xf numFmtId="37" fontId="16" fillId="2" borderId="4" xfId="0" applyNumberFormat="1" applyFont="1" applyFill="1" applyBorder="1"/>
    <xf numFmtId="165" fontId="16" fillId="2" borderId="4" xfId="0" applyNumberFormat="1" applyFont="1" applyFill="1" applyBorder="1"/>
    <xf numFmtId="37" fontId="16" fillId="2" borderId="30" xfId="0" applyNumberFormat="1" applyFont="1" applyFill="1" applyBorder="1"/>
    <xf numFmtId="0" fontId="13" fillId="0" borderId="0" xfId="0" applyFont="1"/>
    <xf numFmtId="37" fontId="13" fillId="0" borderId="31" xfId="0" applyNumberFormat="1" applyFont="1" applyBorder="1"/>
    <xf numFmtId="37" fontId="13" fillId="0" borderId="32" xfId="0" applyNumberFormat="1" applyFont="1" applyBorder="1"/>
    <xf numFmtId="37" fontId="13" fillId="0" borderId="0" xfId="0" applyNumberFormat="1" applyFont="1"/>
    <xf numFmtId="165" fontId="13" fillId="0" borderId="0" xfId="0" applyNumberFormat="1" applyFont="1"/>
    <xf numFmtId="37" fontId="13" fillId="0" borderId="33" xfId="0" applyNumberFormat="1" applyFont="1" applyBorder="1"/>
    <xf numFmtId="0" fontId="13" fillId="0" borderId="0" xfId="0" applyFont="1" applyAlignment="1">
      <alignment horizontal="right"/>
    </xf>
    <xf numFmtId="166" fontId="13" fillId="0" borderId="0" xfId="0" applyNumberFormat="1" applyFont="1"/>
    <xf numFmtId="0" fontId="13" fillId="0" borderId="32" xfId="0" applyFont="1" applyBorder="1"/>
    <xf numFmtId="0" fontId="13" fillId="0" borderId="4" xfId="0" applyFont="1" applyBorder="1" applyAlignment="1">
      <alignment horizontal="right"/>
    </xf>
    <xf numFmtId="166" fontId="13" fillId="0" borderId="4" xfId="0" applyNumberFormat="1" applyFont="1" applyBorder="1"/>
    <xf numFmtId="0" fontId="13" fillId="0" borderId="29" xfId="0" applyFont="1" applyBorder="1"/>
    <xf numFmtId="165" fontId="13" fillId="0" borderId="28" xfId="0" applyNumberFormat="1" applyFont="1" applyBorder="1"/>
    <xf numFmtId="0" fontId="16" fillId="2" borderId="18" xfId="0" applyFont="1" applyFill="1" applyBorder="1"/>
    <xf numFmtId="165" fontId="16" fillId="2" borderId="18" xfId="0" applyNumberFormat="1" applyFont="1" applyFill="1" applyBorder="1"/>
    <xf numFmtId="37" fontId="16" fillId="2" borderId="34" xfId="0" applyNumberFormat="1" applyFont="1" applyFill="1" applyBorder="1"/>
    <xf numFmtId="165" fontId="16" fillId="2" borderId="21" xfId="0" applyNumberFormat="1" applyFont="1" applyFill="1" applyBorder="1"/>
    <xf numFmtId="0" fontId="16" fillId="2" borderId="21" xfId="0" applyFont="1" applyFill="1" applyBorder="1"/>
    <xf numFmtId="37" fontId="16" fillId="2" borderId="18" xfId="0" applyNumberFormat="1" applyFont="1" applyFill="1" applyBorder="1"/>
    <xf numFmtId="43" fontId="8" fillId="0" borderId="0" xfId="0" applyNumberFormat="1" applyFont="1"/>
    <xf numFmtId="165" fontId="13" fillId="0" borderId="31" xfId="0" applyNumberFormat="1" applyFont="1" applyBorder="1"/>
    <xf numFmtId="166" fontId="16" fillId="2" borderId="18" xfId="0" applyNumberFormat="1" applyFont="1" applyFill="1" applyBorder="1"/>
    <xf numFmtId="37" fontId="16" fillId="2" borderId="21" xfId="0" applyNumberFormat="1" applyFont="1" applyFill="1" applyBorder="1"/>
    <xf numFmtId="37" fontId="16" fillId="2" borderId="35" xfId="0" applyNumberFormat="1" applyFont="1" applyFill="1" applyBorder="1"/>
    <xf numFmtId="0" fontId="13" fillId="0" borderId="1" xfId="0" applyFont="1" applyBorder="1" applyAlignment="1">
      <alignment horizontal="right"/>
    </xf>
    <xf numFmtId="0" fontId="13" fillId="0" borderId="1" xfId="0" applyFont="1" applyBorder="1"/>
    <xf numFmtId="37" fontId="13" fillId="0" borderId="36" xfId="0" applyNumberFormat="1" applyFont="1" applyBorder="1"/>
    <xf numFmtId="0" fontId="13" fillId="0" borderId="37" xfId="0" applyFont="1" applyBorder="1"/>
    <xf numFmtId="166" fontId="13" fillId="0" borderId="1" xfId="0" applyNumberFormat="1" applyFont="1" applyBorder="1"/>
    <xf numFmtId="37" fontId="13" fillId="0" borderId="1" xfId="0" applyNumberFormat="1" applyFont="1" applyBorder="1"/>
    <xf numFmtId="165" fontId="13" fillId="0" borderId="1" xfId="0" applyNumberFormat="1" applyFont="1" applyBorder="1"/>
    <xf numFmtId="37" fontId="13" fillId="0" borderId="38" xfId="0" applyNumberFormat="1" applyFont="1" applyBorder="1"/>
    <xf numFmtId="0" fontId="13" fillId="2" borderId="18" xfId="0" applyFont="1" applyFill="1" applyBorder="1"/>
    <xf numFmtId="165" fontId="16" fillId="0" borderId="0" xfId="0" applyNumberFormat="1" applyFont="1"/>
    <xf numFmtId="0" fontId="16" fillId="0" borderId="0" xfId="0" applyFont="1"/>
    <xf numFmtId="165" fontId="13" fillId="0" borderId="36" xfId="0" applyNumberFormat="1" applyFont="1" applyBorder="1"/>
    <xf numFmtId="0" fontId="13" fillId="0" borderId="31" xfId="0" applyFont="1" applyBorder="1"/>
    <xf numFmtId="0" fontId="13" fillId="0" borderId="33" xfId="0" applyFont="1" applyBorder="1"/>
    <xf numFmtId="165" fontId="16" fillId="0" borderId="1" xfId="0" applyNumberFormat="1" applyFont="1" applyBorder="1"/>
    <xf numFmtId="0" fontId="16" fillId="0" borderId="1" xfId="0" applyFont="1" applyBorder="1"/>
    <xf numFmtId="165" fontId="16" fillId="0" borderId="37" xfId="0" applyNumberFormat="1" applyFont="1" applyBorder="1"/>
    <xf numFmtId="37" fontId="16" fillId="0" borderId="37" xfId="0" applyNumberFormat="1" applyFont="1" applyBorder="1"/>
    <xf numFmtId="37" fontId="16" fillId="0" borderId="1" xfId="0" applyNumberFormat="1" applyFont="1" applyBorder="1"/>
    <xf numFmtId="165" fontId="16" fillId="0" borderId="32" xfId="0" applyNumberFormat="1" applyFont="1" applyBorder="1"/>
    <xf numFmtId="37" fontId="16" fillId="0" borderId="32" xfId="0" applyNumberFormat="1" applyFont="1" applyBorder="1"/>
    <xf numFmtId="37" fontId="16" fillId="0" borderId="0" xfId="0" applyNumberFormat="1" applyFont="1"/>
    <xf numFmtId="37" fontId="13" fillId="2" borderId="35" xfId="0" applyNumberFormat="1" applyFont="1" applyFill="1" applyBorder="1"/>
    <xf numFmtId="0" fontId="16" fillId="3" borderId="1" xfId="0" applyFont="1" applyFill="1" applyBorder="1"/>
    <xf numFmtId="37" fontId="16" fillId="3" borderId="1" xfId="0" applyNumberFormat="1" applyFont="1" applyFill="1" applyBorder="1"/>
    <xf numFmtId="37" fontId="13" fillId="3" borderId="36" xfId="0" applyNumberFormat="1" applyFont="1" applyFill="1" applyBorder="1"/>
    <xf numFmtId="0" fontId="13" fillId="3" borderId="1" xfId="0" applyFont="1" applyFill="1" applyBorder="1"/>
    <xf numFmtId="37" fontId="13" fillId="3" borderId="37" xfId="0" applyNumberFormat="1" applyFont="1" applyFill="1" applyBorder="1"/>
    <xf numFmtId="37" fontId="13" fillId="3" borderId="0" xfId="0" applyNumberFormat="1" applyFont="1" applyFill="1"/>
    <xf numFmtId="165" fontId="13" fillId="3" borderId="0" xfId="0" applyNumberFormat="1" applyFont="1" applyFill="1"/>
    <xf numFmtId="37" fontId="13" fillId="3" borderId="38" xfId="0" applyNumberFormat="1" applyFont="1" applyFill="1" applyBorder="1"/>
    <xf numFmtId="0" fontId="8" fillId="0" borderId="33" xfId="0" applyFont="1" applyBorder="1"/>
    <xf numFmtId="0" fontId="18" fillId="0" borderId="40" xfId="0" applyFont="1" applyBorder="1" applyAlignment="1">
      <alignment vertical="center"/>
    </xf>
    <xf numFmtId="0" fontId="0" fillId="0" borderId="0" xfId="0" applyAlignment="1">
      <alignment vertical="center"/>
    </xf>
    <xf numFmtId="0" fontId="19" fillId="0" borderId="40" xfId="0" applyFont="1" applyBorder="1" applyAlignment="1">
      <alignment vertical="center"/>
    </xf>
    <xf numFmtId="0" fontId="19" fillId="0" borderId="41" xfId="0" applyFont="1" applyBorder="1" applyAlignment="1">
      <alignment vertical="center"/>
    </xf>
    <xf numFmtId="37" fontId="19" fillId="0" borderId="42" xfId="0" applyNumberFormat="1" applyFont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0" borderId="43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0" fontId="19" fillId="6" borderId="39" xfId="0" applyFont="1" applyFill="1" applyBorder="1" applyAlignment="1">
      <alignment horizontal="center"/>
    </xf>
    <xf numFmtId="0" fontId="19" fillId="7" borderId="39" xfId="0" applyFont="1" applyFill="1" applyBorder="1" applyAlignment="1">
      <alignment horizontal="center"/>
    </xf>
    <xf numFmtId="0" fontId="19" fillId="4" borderId="39" xfId="0" applyFont="1" applyFill="1" applyBorder="1" applyAlignment="1">
      <alignment horizontal="center"/>
    </xf>
    <xf numFmtId="3" fontId="18" fillId="0" borderId="42" xfId="0" applyNumberFormat="1" applyFont="1" applyBorder="1" applyAlignment="1">
      <alignment horizontal="center" vertical="center"/>
    </xf>
    <xf numFmtId="0" fontId="0" fillId="0" borderId="42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44" xfId="0" applyBorder="1" applyAlignment="1">
      <alignment vertical="center"/>
    </xf>
    <xf numFmtId="37" fontId="19" fillId="0" borderId="44" xfId="0" applyNumberFormat="1" applyFont="1" applyBorder="1" applyAlignment="1">
      <alignment horizontal="center" vertical="center"/>
    </xf>
    <xf numFmtId="3" fontId="18" fillId="5" borderId="42" xfId="0" applyNumberFormat="1" applyFont="1" applyFill="1" applyBorder="1" applyAlignment="1">
      <alignment horizontal="center" vertical="center"/>
    </xf>
    <xf numFmtId="3" fontId="0" fillId="5" borderId="42" xfId="0" applyNumberFormat="1" applyFill="1" applyBorder="1" applyAlignment="1">
      <alignment horizontal="center" vertical="center"/>
    </xf>
    <xf numFmtId="3" fontId="0" fillId="5" borderId="43" xfId="0" applyNumberFormat="1" applyFill="1" applyBorder="1" applyAlignment="1">
      <alignment horizontal="center" vertical="center"/>
    </xf>
    <xf numFmtId="3" fontId="0" fillId="5" borderId="44" xfId="0" applyNumberFormat="1" applyFill="1" applyBorder="1" applyAlignment="1">
      <alignment horizontal="center" vertical="center"/>
    </xf>
    <xf numFmtId="0" fontId="19" fillId="5" borderId="39" xfId="0" applyFont="1" applyFill="1" applyBorder="1" applyAlignment="1">
      <alignment horizontal="center"/>
    </xf>
    <xf numFmtId="0" fontId="12" fillId="0" borderId="0" xfId="0" applyFont="1"/>
    <xf numFmtId="0" fontId="23" fillId="0" borderId="0" xfId="0" applyFont="1" applyAlignment="1">
      <alignment horizontal="center"/>
    </xf>
    <xf numFmtId="3" fontId="23" fillId="0" borderId="0" xfId="0" applyNumberFormat="1" applyFont="1" applyAlignment="1">
      <alignment horizontal="center"/>
    </xf>
    <xf numFmtId="0" fontId="16" fillId="2" borderId="45" xfId="0" applyFont="1" applyFill="1" applyBorder="1"/>
    <xf numFmtId="0" fontId="16" fillId="2" borderId="46" xfId="0" applyFont="1" applyFill="1" applyBorder="1"/>
    <xf numFmtId="0" fontId="16" fillId="2" borderId="46" xfId="0" applyFont="1" applyFill="1" applyBorder="1" applyAlignment="1">
      <alignment horizontal="center"/>
    </xf>
    <xf numFmtId="165" fontId="16" fillId="2" borderId="46" xfId="0" applyNumberFormat="1" applyFont="1" applyFill="1" applyBorder="1"/>
    <xf numFmtId="37" fontId="16" fillId="2" borderId="47" xfId="0" applyNumberFormat="1" applyFont="1" applyFill="1" applyBorder="1"/>
    <xf numFmtId="37" fontId="16" fillId="2" borderId="46" xfId="0" applyNumberFormat="1" applyFont="1" applyFill="1" applyBorder="1"/>
    <xf numFmtId="37" fontId="16" fillId="2" borderId="48" xfId="0" applyNumberFormat="1" applyFont="1" applyFill="1" applyBorder="1"/>
    <xf numFmtId="165" fontId="16" fillId="2" borderId="49" xfId="0" applyNumberFormat="1" applyFont="1" applyFill="1" applyBorder="1"/>
    <xf numFmtId="37" fontId="16" fillId="2" borderId="50" xfId="0" applyNumberFormat="1" applyFont="1" applyFill="1" applyBorder="1"/>
    <xf numFmtId="165" fontId="16" fillId="2" borderId="51" xfId="0" applyNumberFormat="1" applyFont="1" applyFill="1" applyBorder="1"/>
    <xf numFmtId="10" fontId="9" fillId="0" borderId="0" xfId="0" applyNumberFormat="1" applyFont="1"/>
    <xf numFmtId="0" fontId="9" fillId="0" borderId="11" xfId="0" applyFont="1" applyBorder="1"/>
    <xf numFmtId="0" fontId="9" fillId="0" borderId="7" xfId="0" applyFont="1" applyBorder="1"/>
    <xf numFmtId="0" fontId="9" fillId="0" borderId="5" xfId="0" applyFont="1" applyBorder="1" applyAlignment="1">
      <alignment horizontal="center"/>
    </xf>
    <xf numFmtId="0" fontId="27" fillId="8" borderId="0" xfId="0" applyFont="1" applyFill="1"/>
    <xf numFmtId="0" fontId="27" fillId="9" borderId="0" xfId="0" applyFont="1" applyFill="1" applyAlignment="1">
      <alignment horizontal="center" vertical="center"/>
    </xf>
    <xf numFmtId="0" fontId="25" fillId="9" borderId="0" xfId="0" applyFont="1" applyFill="1" applyAlignment="1">
      <alignment horizontal="left" vertical="center"/>
    </xf>
    <xf numFmtId="0" fontId="27" fillId="9" borderId="0" xfId="0" applyFont="1" applyFill="1"/>
    <xf numFmtId="0" fontId="27" fillId="9" borderId="0" xfId="0" applyFont="1" applyFill="1" applyAlignment="1">
      <alignment horizontal="center"/>
    </xf>
    <xf numFmtId="3" fontId="27" fillId="9" borderId="0" xfId="0" applyNumberFormat="1" applyFont="1" applyFill="1"/>
    <xf numFmtId="0" fontId="27" fillId="8" borderId="0" xfId="0" applyFont="1" applyFill="1" applyAlignment="1">
      <alignment horizontal="center" vertical="center"/>
    </xf>
    <xf numFmtId="0" fontId="27" fillId="8" borderId="0" xfId="0" applyFont="1" applyFill="1" applyAlignment="1">
      <alignment horizontal="right"/>
    </xf>
    <xf numFmtId="0" fontId="9" fillId="0" borderId="23" xfId="0" applyFont="1" applyBorder="1"/>
    <xf numFmtId="0" fontId="2" fillId="0" borderId="0" xfId="0" applyFont="1"/>
    <xf numFmtId="37" fontId="9" fillId="0" borderId="2" xfId="0" applyNumberFormat="1" applyFont="1" applyBorder="1" applyAlignment="1">
      <alignment horizontal="center"/>
    </xf>
    <xf numFmtId="165" fontId="13" fillId="0" borderId="11" xfId="0" applyNumberFormat="1" applyFont="1" applyBorder="1" applyAlignment="1">
      <alignment vertical="center"/>
    </xf>
    <xf numFmtId="165" fontId="13" fillId="0" borderId="3" xfId="0" applyNumberFormat="1" applyFont="1" applyBorder="1" applyAlignment="1">
      <alignment vertical="center"/>
    </xf>
    <xf numFmtId="0" fontId="10" fillId="2" borderId="14" xfId="0" applyFont="1" applyFill="1" applyBorder="1"/>
    <xf numFmtId="37" fontId="10" fillId="2" borderId="15" xfId="0" applyNumberFormat="1" applyFont="1" applyFill="1" applyBorder="1"/>
    <xf numFmtId="37" fontId="10" fillId="2" borderId="16" xfId="1" applyNumberFormat="1" applyFont="1" applyFill="1" applyBorder="1"/>
    <xf numFmtId="165" fontId="10" fillId="10" borderId="16" xfId="0" applyNumberFormat="1" applyFont="1" applyFill="1" applyBorder="1"/>
    <xf numFmtId="0" fontId="10" fillId="0" borderId="3" xfId="0" applyFont="1" applyBorder="1" applyAlignment="1">
      <alignment horizontal="left"/>
    </xf>
    <xf numFmtId="37" fontId="9" fillId="0" borderId="0" xfId="0" applyNumberFormat="1" applyFont="1" applyAlignment="1">
      <alignment horizontal="center"/>
    </xf>
    <xf numFmtId="37" fontId="12" fillId="0" borderId="0" xfId="0" applyNumberFormat="1" applyFont="1"/>
    <xf numFmtId="0" fontId="13" fillId="0" borderId="3" xfId="0" applyFont="1" applyBorder="1"/>
    <xf numFmtId="0" fontId="13" fillId="0" borderId="6" xfId="0" applyFont="1" applyBorder="1"/>
    <xf numFmtId="9" fontId="9" fillId="0" borderId="0" xfId="1" applyFont="1"/>
    <xf numFmtId="167" fontId="9" fillId="0" borderId="0" xfId="0" applyNumberFormat="1" applyFont="1"/>
    <xf numFmtId="9" fontId="9" fillId="0" borderId="3" xfId="1" applyFont="1" applyFill="1" applyBorder="1"/>
    <xf numFmtId="0" fontId="10" fillId="2" borderId="27" xfId="0" applyFont="1" applyFill="1" applyBorder="1"/>
    <xf numFmtId="0" fontId="10" fillId="2" borderId="25" xfId="0" applyFont="1" applyFill="1" applyBorder="1" applyAlignment="1">
      <alignment horizontal="center"/>
    </xf>
    <xf numFmtId="165" fontId="10" fillId="2" borderId="25" xfId="0" applyNumberFormat="1" applyFont="1" applyFill="1" applyBorder="1"/>
    <xf numFmtId="0" fontId="10" fillId="2" borderId="27" xfId="0" applyFont="1" applyFill="1" applyBorder="1" applyAlignment="1">
      <alignment horizontal="center"/>
    </xf>
    <xf numFmtId="0" fontId="9" fillId="2" borderId="53" xfId="0" applyFont="1" applyFill="1" applyBorder="1"/>
    <xf numFmtId="0" fontId="9" fillId="2" borderId="27" xfId="0" applyFont="1" applyFill="1" applyBorder="1"/>
    <xf numFmtId="0" fontId="28" fillId="11" borderId="14" xfId="0" applyFont="1" applyFill="1" applyBorder="1"/>
    <xf numFmtId="0" fontId="29" fillId="11" borderId="13" xfId="0" applyFont="1" applyFill="1" applyBorder="1"/>
    <xf numFmtId="0" fontId="30" fillId="11" borderId="3" xfId="0" applyFont="1" applyFill="1" applyBorder="1"/>
    <xf numFmtId="10" fontId="30" fillId="11" borderId="2" xfId="0" applyNumberFormat="1" applyFont="1" applyFill="1" applyBorder="1"/>
    <xf numFmtId="37" fontId="9" fillId="0" borderId="8" xfId="0" applyNumberFormat="1" applyFont="1" applyBorder="1" applyAlignment="1">
      <alignment horizontal="center"/>
    </xf>
    <xf numFmtId="0" fontId="29" fillId="11" borderId="17" xfId="0" applyFont="1" applyFill="1" applyBorder="1"/>
    <xf numFmtId="10" fontId="30" fillId="11" borderId="16" xfId="0" applyNumberFormat="1" applyFont="1" applyFill="1" applyBorder="1"/>
    <xf numFmtId="0" fontId="10" fillId="0" borderId="10" xfId="0" applyFont="1" applyBorder="1"/>
    <xf numFmtId="3" fontId="10" fillId="0" borderId="0" xfId="0" applyNumberFormat="1" applyFont="1"/>
    <xf numFmtId="165" fontId="16" fillId="0" borderId="3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3" fontId="0" fillId="0" borderId="0" xfId="0" applyNumberFormat="1"/>
    <xf numFmtId="43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9" fillId="0" borderId="4" xfId="0" applyNumberFormat="1" applyFont="1" applyBorder="1" applyAlignment="1">
      <alignment horizontal="right"/>
    </xf>
    <xf numFmtId="37" fontId="9" fillId="0" borderId="22" xfId="0" applyNumberFormat="1" applyFont="1" applyBorder="1"/>
    <xf numFmtId="3" fontId="2" fillId="0" borderId="0" xfId="0" applyNumberFormat="1" applyFont="1"/>
    <xf numFmtId="37" fontId="9" fillId="0" borderId="54" xfId="0" applyNumberFormat="1" applyFont="1" applyBorder="1"/>
    <xf numFmtId="0" fontId="9" fillId="12" borderId="3" xfId="0" applyFont="1" applyFill="1" applyBorder="1"/>
    <xf numFmtId="167" fontId="9" fillId="0" borderId="0" xfId="16" applyNumberFormat="1" applyFont="1"/>
    <xf numFmtId="170" fontId="9" fillId="0" borderId="3" xfId="0" applyNumberFormat="1" applyFont="1" applyBorder="1"/>
    <xf numFmtId="9" fontId="9" fillId="0" borderId="0" xfId="1" applyFont="1" applyAlignment="1">
      <alignment horizontal="right"/>
    </xf>
    <xf numFmtId="0" fontId="10" fillId="3" borderId="3" xfId="0" applyFont="1" applyFill="1" applyBorder="1"/>
    <xf numFmtId="1" fontId="14" fillId="0" borderId="0" xfId="0" applyNumberFormat="1" applyFont="1"/>
    <xf numFmtId="9" fontId="14" fillId="0" borderId="0" xfId="1" applyFont="1"/>
    <xf numFmtId="37" fontId="9" fillId="0" borderId="6" xfId="0" applyNumberFormat="1" applyFont="1" applyBorder="1" applyAlignment="1">
      <alignment horizontal="center"/>
    </xf>
    <xf numFmtId="165" fontId="16" fillId="0" borderId="3" xfId="0" applyNumberFormat="1" applyFont="1" applyBorder="1"/>
    <xf numFmtId="165" fontId="16" fillId="0" borderId="2" xfId="0" applyNumberFormat="1" applyFont="1" applyBorder="1"/>
    <xf numFmtId="9" fontId="9" fillId="0" borderId="4" xfId="1" applyFont="1" applyBorder="1" applyAlignment="1">
      <alignment horizontal="right"/>
    </xf>
    <xf numFmtId="9" fontId="9" fillId="0" borderId="0" xfId="1" applyFont="1" applyFill="1"/>
    <xf numFmtId="39" fontId="9" fillId="0" borderId="4" xfId="0" applyNumberFormat="1" applyFont="1" applyBorder="1" applyAlignment="1">
      <alignment horizontal="center"/>
    </xf>
    <xf numFmtId="37" fontId="9" fillId="0" borderId="27" xfId="0" applyNumberFormat="1" applyFont="1" applyBorder="1"/>
    <xf numFmtId="0" fontId="10" fillId="3" borderId="14" xfId="0" applyFont="1" applyFill="1" applyBorder="1"/>
    <xf numFmtId="37" fontId="10" fillId="0" borderId="14" xfId="0" applyNumberFormat="1" applyFont="1" applyBorder="1"/>
    <xf numFmtId="37" fontId="10" fillId="0" borderId="12" xfId="0" applyNumberFormat="1" applyFont="1" applyBorder="1"/>
    <xf numFmtId="37" fontId="10" fillId="0" borderId="13" xfId="0" applyNumberFormat="1" applyFont="1" applyBorder="1"/>
    <xf numFmtId="165" fontId="10" fillId="0" borderId="14" xfId="0" applyNumberFormat="1" applyFont="1" applyBorder="1"/>
    <xf numFmtId="0" fontId="10" fillId="3" borderId="6" xfId="0" applyFont="1" applyFill="1" applyBorder="1"/>
    <xf numFmtId="39" fontId="10" fillId="3" borderId="4" xfId="0" applyNumberFormat="1" applyFont="1" applyFill="1" applyBorder="1" applyAlignment="1">
      <alignment horizontal="center"/>
    </xf>
    <xf numFmtId="39" fontId="10" fillId="0" borderId="4" xfId="0" applyNumberFormat="1" applyFont="1" applyBorder="1" applyAlignment="1">
      <alignment horizontal="center"/>
    </xf>
    <xf numFmtId="166" fontId="9" fillId="0" borderId="1" xfId="0" applyNumberFormat="1" applyFont="1" applyBorder="1"/>
    <xf numFmtId="0" fontId="10" fillId="3" borderId="10" xfId="0" applyFont="1" applyFill="1" applyBorder="1"/>
    <xf numFmtId="165" fontId="9" fillId="0" borderId="0" xfId="1" applyNumberFormat="1" applyFont="1"/>
    <xf numFmtId="165" fontId="9" fillId="0" borderId="0" xfId="1" applyNumberFormat="1" applyFont="1" applyFill="1"/>
    <xf numFmtId="165" fontId="10" fillId="0" borderId="11" xfId="0" applyNumberFormat="1" applyFont="1" applyBorder="1"/>
    <xf numFmtId="165" fontId="10" fillId="0" borderId="5" xfId="0" applyNumberFormat="1" applyFont="1" applyBorder="1"/>
    <xf numFmtId="165" fontId="9" fillId="0" borderId="11" xfId="0" applyNumberFormat="1" applyFont="1" applyBorder="1"/>
    <xf numFmtId="0" fontId="13" fillId="0" borderId="10" xfId="0" applyFont="1" applyBorder="1"/>
    <xf numFmtId="0" fontId="9" fillId="0" borderId="55" xfId="0" applyFont="1" applyBorder="1"/>
    <xf numFmtId="0" fontId="9" fillId="0" borderId="56" xfId="0" applyFont="1" applyBorder="1"/>
    <xf numFmtId="0" fontId="9" fillId="0" borderId="57" xfId="0" applyFont="1" applyBorder="1"/>
    <xf numFmtId="0" fontId="10" fillId="0" borderId="56" xfId="0" applyFont="1" applyBorder="1"/>
    <xf numFmtId="6" fontId="9" fillId="0" borderId="0" xfId="0" applyNumberFormat="1" applyFont="1"/>
    <xf numFmtId="0" fontId="9" fillId="0" borderId="58" xfId="0" applyFont="1" applyBorder="1"/>
    <xf numFmtId="0" fontId="31" fillId="13" borderId="0" xfId="0" applyFont="1" applyFill="1"/>
    <xf numFmtId="37" fontId="0" fillId="0" borderId="0" xfId="0" applyNumberFormat="1"/>
    <xf numFmtId="0" fontId="27" fillId="8" borderId="0" xfId="0" applyFont="1" applyFill="1" applyAlignment="1">
      <alignment vertical="center"/>
    </xf>
    <xf numFmtId="0" fontId="32" fillId="9" borderId="0" xfId="0" applyFont="1" applyFill="1" applyAlignment="1">
      <alignment horizontal="center" vertical="center"/>
    </xf>
    <xf numFmtId="0" fontId="27" fillId="9" borderId="0" xfId="0" applyFont="1" applyFill="1" applyAlignment="1">
      <alignment horizontal="right" vertical="center"/>
    </xf>
    <xf numFmtId="0" fontId="9" fillId="0" borderId="59" xfId="0" applyFont="1" applyBorder="1" applyAlignment="1">
      <alignment horizontal="left"/>
    </xf>
    <xf numFmtId="0" fontId="10" fillId="0" borderId="60" xfId="0" applyFont="1" applyBorder="1" applyAlignment="1">
      <alignment horizontal="center" vertical="center"/>
    </xf>
    <xf numFmtId="165" fontId="13" fillId="0" borderId="8" xfId="0" applyNumberFormat="1" applyFont="1" applyBorder="1"/>
    <xf numFmtId="0" fontId="16" fillId="2" borderId="6" xfId="0" applyFont="1" applyFill="1" applyBorder="1"/>
    <xf numFmtId="9" fontId="16" fillId="2" borderId="29" xfId="1" applyFont="1" applyFill="1" applyBorder="1"/>
    <xf numFmtId="165" fontId="16" fillId="2" borderId="8" xfId="0" applyNumberFormat="1" applyFont="1" applyFill="1" applyBorder="1"/>
    <xf numFmtId="0" fontId="16" fillId="0" borderId="3" xfId="0" applyFont="1" applyBorder="1"/>
    <xf numFmtId="165" fontId="13" fillId="0" borderId="9" xfId="0" applyNumberFormat="1" applyFont="1" applyBorder="1"/>
    <xf numFmtId="165" fontId="13" fillId="0" borderId="2" xfId="0" applyNumberFormat="1" applyFont="1" applyBorder="1"/>
    <xf numFmtId="37" fontId="13" fillId="0" borderId="64" xfId="0" applyNumberFormat="1" applyFont="1" applyBorder="1"/>
    <xf numFmtId="0" fontId="16" fillId="2" borderId="20" xfId="0" applyFont="1" applyFill="1" applyBorder="1"/>
    <xf numFmtId="165" fontId="13" fillId="0" borderId="4" xfId="1" applyNumberFormat="1" applyFont="1" applyBorder="1"/>
    <xf numFmtId="165" fontId="13" fillId="0" borderId="0" xfId="1" applyNumberFormat="1" applyFont="1"/>
    <xf numFmtId="9" fontId="12" fillId="0" borderId="0" xfId="0" applyNumberFormat="1" applyFont="1"/>
    <xf numFmtId="37" fontId="13" fillId="0" borderId="37" xfId="0" applyNumberFormat="1" applyFont="1" applyBorder="1"/>
    <xf numFmtId="3" fontId="16" fillId="2" borderId="18" xfId="0" applyNumberFormat="1" applyFont="1" applyFill="1" applyBorder="1" applyAlignment="1">
      <alignment horizontal="center"/>
    </xf>
    <xf numFmtId="165" fontId="16" fillId="2" borderId="19" xfId="0" applyNumberFormat="1" applyFont="1" applyFill="1" applyBorder="1"/>
    <xf numFmtId="0" fontId="8" fillId="3" borderId="0" xfId="0" applyFont="1" applyFill="1"/>
    <xf numFmtId="165" fontId="13" fillId="0" borderId="19" xfId="0" applyNumberFormat="1" applyFont="1" applyBorder="1"/>
    <xf numFmtId="1" fontId="16" fillId="0" borderId="0" xfId="0" applyNumberFormat="1" applyFont="1"/>
    <xf numFmtId="43" fontId="16" fillId="0" borderId="32" xfId="0" applyNumberFormat="1" applyFont="1" applyBorder="1"/>
    <xf numFmtId="0" fontId="16" fillId="3" borderId="10" xfId="0" applyFont="1" applyFill="1" applyBorder="1"/>
    <xf numFmtId="165" fontId="13" fillId="0" borderId="26" xfId="0" applyNumberFormat="1" applyFont="1" applyBorder="1"/>
    <xf numFmtId="165" fontId="16" fillId="2" borderId="16" xfId="0" applyNumberFormat="1" applyFont="1" applyFill="1" applyBorder="1"/>
    <xf numFmtId="0" fontId="33" fillId="0" borderId="0" xfId="0" applyFont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37" fontId="16" fillId="2" borderId="65" xfId="0" applyNumberFormat="1" applyFont="1" applyFill="1" applyBorder="1"/>
    <xf numFmtId="37" fontId="16" fillId="2" borderId="60" xfId="0" applyNumberFormat="1" applyFont="1" applyFill="1" applyBorder="1"/>
    <xf numFmtId="165" fontId="16" fillId="2" borderId="63" xfId="0" applyNumberFormat="1" applyFont="1" applyFill="1" applyBorder="1"/>
    <xf numFmtId="0" fontId="8" fillId="0" borderId="3" xfId="0" applyFont="1" applyBorder="1"/>
    <xf numFmtId="37" fontId="8" fillId="0" borderId="31" xfId="0" applyNumberFormat="1" applyFont="1" applyBorder="1"/>
    <xf numFmtId="0" fontId="8" fillId="0" borderId="31" xfId="0" applyFont="1" applyBorder="1"/>
    <xf numFmtId="0" fontId="8" fillId="0" borderId="2" xfId="0" applyFont="1" applyBorder="1"/>
    <xf numFmtId="171" fontId="8" fillId="0" borderId="0" xfId="0" applyNumberFormat="1" applyFont="1" applyAlignment="1">
      <alignment horizontal="right"/>
    </xf>
    <xf numFmtId="10" fontId="0" fillId="0" borderId="0" xfId="0" applyNumberFormat="1"/>
    <xf numFmtId="43" fontId="8" fillId="0" borderId="0" xfId="16" applyFont="1"/>
    <xf numFmtId="43" fontId="0" fillId="0" borderId="0" xfId="0" applyNumberFormat="1"/>
    <xf numFmtId="17" fontId="8" fillId="0" borderId="0" xfId="0" applyNumberFormat="1" applyFont="1" applyAlignment="1">
      <alignment horizontal="right"/>
    </xf>
    <xf numFmtId="170" fontId="8" fillId="0" borderId="0" xfId="0" applyNumberFormat="1" applyFont="1"/>
    <xf numFmtId="0" fontId="34" fillId="0" borderId="0" xfId="0" applyFont="1"/>
    <xf numFmtId="0" fontId="35" fillId="0" borderId="0" xfId="0" applyFont="1"/>
    <xf numFmtId="3" fontId="8" fillId="0" borderId="0" xfId="0" applyNumberFormat="1" applyFont="1"/>
    <xf numFmtId="3" fontId="35" fillId="0" borderId="0" xfId="0" applyNumberFormat="1" applyFont="1"/>
    <xf numFmtId="6" fontId="8" fillId="0" borderId="0" xfId="0" applyNumberFormat="1" applyFont="1"/>
    <xf numFmtId="9" fontId="8" fillId="0" borderId="0" xfId="0" applyNumberFormat="1" applyFont="1"/>
    <xf numFmtId="0" fontId="8" fillId="0" borderId="0" xfId="0" quotePrefix="1" applyFont="1"/>
    <xf numFmtId="0" fontId="8" fillId="0" borderId="66" xfId="0" applyFont="1" applyBorder="1"/>
    <xf numFmtId="0" fontId="13" fillId="0" borderId="67" xfId="0" applyFont="1" applyBorder="1"/>
    <xf numFmtId="0" fontId="8" fillId="0" borderId="67" xfId="0" applyFont="1" applyBorder="1"/>
    <xf numFmtId="0" fontId="35" fillId="0" borderId="0" xfId="0" quotePrefix="1" applyFont="1"/>
    <xf numFmtId="0" fontId="8" fillId="14" borderId="0" xfId="0" applyFont="1" applyFill="1"/>
    <xf numFmtId="0" fontId="28" fillId="0" borderId="0" xfId="0" applyFont="1"/>
    <xf numFmtId="0" fontId="30" fillId="0" borderId="0" xfId="0" applyFont="1"/>
    <xf numFmtId="0" fontId="29" fillId="0" borderId="0" xfId="0" applyFont="1"/>
    <xf numFmtId="0" fontId="19" fillId="6" borderId="39" xfId="0" applyFont="1" applyFill="1" applyBorder="1" applyAlignment="1">
      <alignment horizontal="center" vertical="center"/>
    </xf>
    <xf numFmtId="0" fontId="19" fillId="7" borderId="39" xfId="0" applyFont="1" applyFill="1" applyBorder="1" applyAlignment="1">
      <alignment horizontal="center" vertical="center"/>
    </xf>
    <xf numFmtId="0" fontId="19" fillId="5" borderId="39" xfId="0" applyFont="1" applyFill="1" applyBorder="1" applyAlignment="1">
      <alignment horizontal="center" vertical="center"/>
    </xf>
    <xf numFmtId="0" fontId="19" fillId="4" borderId="39" xfId="0" applyFont="1" applyFill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1" fillId="0" borderId="60" xfId="0" applyFont="1" applyBorder="1"/>
    <xf numFmtId="0" fontId="11" fillId="0" borderId="63" xfId="0" applyFont="1" applyBorder="1"/>
    <xf numFmtId="0" fontId="10" fillId="0" borderId="60" xfId="0" applyFont="1" applyBorder="1" applyAlignment="1">
      <alignment horizontal="center" vertical="center"/>
    </xf>
    <xf numFmtId="0" fontId="11" fillId="0" borderId="61" xfId="0" applyFont="1" applyBorder="1"/>
    <xf numFmtId="0" fontId="10" fillId="0" borderId="23" xfId="0" applyFont="1" applyBorder="1" applyAlignment="1">
      <alignment horizontal="center"/>
    </xf>
    <xf numFmtId="0" fontId="11" fillId="0" borderId="24" xfId="0" applyFont="1" applyBorder="1"/>
    <xf numFmtId="0" fontId="10" fillId="0" borderId="52" xfId="0" applyFont="1" applyBorder="1" applyAlignment="1">
      <alignment horizontal="center"/>
    </xf>
    <xf numFmtId="0" fontId="11" fillId="0" borderId="52" xfId="0" applyFont="1" applyBorder="1"/>
    <xf numFmtId="0" fontId="10" fillId="0" borderId="24" xfId="0" applyFont="1" applyBorder="1" applyAlignment="1">
      <alignment horizontal="center"/>
    </xf>
    <xf numFmtId="0" fontId="1" fillId="0" borderId="0" xfId="0" applyFont="1"/>
    <xf numFmtId="1" fontId="8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left"/>
    </xf>
    <xf numFmtId="1" fontId="35" fillId="0" borderId="0" xfId="0" applyNumberFormat="1" applyFont="1" applyAlignment="1">
      <alignment horizontal="right"/>
    </xf>
    <xf numFmtId="1" fontId="35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37" fontId="35" fillId="0" borderId="0" xfId="0" applyNumberFormat="1" applyFont="1"/>
    <xf numFmtId="0" fontId="36" fillId="0" borderId="0" xfId="0" applyFont="1"/>
    <xf numFmtId="39" fontId="9" fillId="0" borderId="0" xfId="0" applyNumberFormat="1" applyFont="1" applyAlignment="1">
      <alignment horizontal="center"/>
    </xf>
    <xf numFmtId="0" fontId="34" fillId="0" borderId="0" xfId="0" applyFont="1" applyAlignment="1">
      <alignment horizontal="center" vertical="center"/>
    </xf>
    <xf numFmtId="37" fontId="34" fillId="0" borderId="0" xfId="0" applyNumberFormat="1" applyFont="1"/>
    <xf numFmtId="165" fontId="8" fillId="0" borderId="0" xfId="0" applyNumberFormat="1" applyFont="1"/>
    <xf numFmtId="165" fontId="34" fillId="0" borderId="0" xfId="0" applyNumberFormat="1" applyFont="1"/>
    <xf numFmtId="0" fontId="34" fillId="0" borderId="0" xfId="0" applyFont="1" applyAlignment="1">
      <alignment horizontal="center"/>
    </xf>
    <xf numFmtId="0" fontId="37" fillId="0" borderId="0" xfId="0" applyFont="1"/>
    <xf numFmtId="0" fontId="38" fillId="15" borderId="0" xfId="0" applyFont="1" applyFill="1"/>
    <xf numFmtId="0" fontId="38" fillId="15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left" vertical="center"/>
    </xf>
    <xf numFmtId="0" fontId="38" fillId="15" borderId="0" xfId="0" applyFont="1" applyFill="1" applyAlignment="1">
      <alignment horizontal="center"/>
    </xf>
    <xf numFmtId="3" fontId="38" fillId="15" borderId="0" xfId="0" applyNumberFormat="1" applyFont="1" applyFill="1"/>
    <xf numFmtId="0" fontId="38" fillId="15" borderId="0" xfId="0" applyFont="1" applyFill="1" applyAlignment="1">
      <alignment horizontal="right"/>
    </xf>
    <xf numFmtId="0" fontId="40" fillId="0" borderId="0" xfId="0" applyFont="1" applyAlignment="1">
      <alignment horizontal="center" vertical="center"/>
    </xf>
    <xf numFmtId="0" fontId="40" fillId="0" borderId="0" xfId="0" applyFont="1"/>
    <xf numFmtId="0" fontId="41" fillId="0" borderId="0" xfId="0" applyFont="1"/>
    <xf numFmtId="164" fontId="42" fillId="0" borderId="0" xfId="0" applyNumberFormat="1" applyFont="1" applyAlignment="1">
      <alignment horizontal="left"/>
    </xf>
    <xf numFmtId="0" fontId="42" fillId="0" borderId="0" xfId="0" applyFont="1" applyAlignment="1">
      <alignment horizontal="center"/>
    </xf>
    <xf numFmtId="0" fontId="42" fillId="0" borderId="0" xfId="0" applyFont="1"/>
    <xf numFmtId="0" fontId="43" fillId="11" borderId="14" xfId="0" applyFont="1" applyFill="1" applyBorder="1"/>
    <xf numFmtId="0" fontId="44" fillId="11" borderId="13" xfId="0" applyFont="1" applyFill="1" applyBorder="1"/>
    <xf numFmtId="0" fontId="45" fillId="0" borderId="0" xfId="0" applyFont="1"/>
    <xf numFmtId="0" fontId="45" fillId="0" borderId="23" xfId="0" applyFont="1" applyBorder="1"/>
    <xf numFmtId="0" fontId="46" fillId="0" borderId="52" xfId="0" applyFont="1" applyBorder="1" applyAlignment="1">
      <alignment horizontal="center"/>
    </xf>
    <xf numFmtId="0" fontId="47" fillId="0" borderId="52" xfId="0" applyFont="1" applyBorder="1"/>
    <xf numFmtId="0" fontId="47" fillId="0" borderId="24" xfId="0" applyFont="1" applyBorder="1"/>
    <xf numFmtId="0" fontId="46" fillId="0" borderId="23" xfId="0" applyFont="1" applyBorder="1" applyAlignment="1">
      <alignment horizontal="center"/>
    </xf>
    <xf numFmtId="0" fontId="48" fillId="11" borderId="3" xfId="0" applyFont="1" applyFill="1" applyBorder="1"/>
    <xf numFmtId="10" fontId="48" fillId="11" borderId="2" xfId="0" applyNumberFormat="1" applyFont="1" applyFill="1" applyBorder="1"/>
    <xf numFmtId="0" fontId="45" fillId="0" borderId="10" xfId="0" applyFont="1" applyBorder="1"/>
    <xf numFmtId="3" fontId="45" fillId="0" borderId="1" xfId="0" applyNumberFormat="1" applyFont="1" applyBorder="1" applyAlignment="1">
      <alignment horizontal="center"/>
    </xf>
    <xf numFmtId="3" fontId="45" fillId="0" borderId="0" xfId="0" applyNumberFormat="1" applyFont="1" applyAlignment="1">
      <alignment horizontal="center"/>
    </xf>
    <xf numFmtId="3" fontId="45" fillId="0" borderId="2" xfId="0" applyNumberFormat="1" applyFont="1" applyBorder="1" applyAlignment="1">
      <alignment horizontal="center"/>
    </xf>
    <xf numFmtId="3" fontId="45" fillId="0" borderId="3" xfId="0" applyNumberFormat="1" applyFont="1" applyBorder="1" applyAlignment="1">
      <alignment horizontal="center"/>
    </xf>
    <xf numFmtId="0" fontId="26" fillId="0" borderId="0" xfId="0" applyFont="1"/>
    <xf numFmtId="0" fontId="45" fillId="0" borderId="6" xfId="0" applyFont="1" applyBorder="1"/>
    <xf numFmtId="3" fontId="45" fillId="0" borderId="4" xfId="0" applyNumberFormat="1" applyFont="1" applyBorder="1" applyAlignment="1">
      <alignment horizontal="center"/>
    </xf>
    <xf numFmtId="3" fontId="45" fillId="0" borderId="8" xfId="0" applyNumberFormat="1" applyFont="1" applyBorder="1"/>
    <xf numFmtId="3" fontId="45" fillId="0" borderId="4" xfId="0" applyNumberFormat="1" applyFont="1" applyBorder="1" applyAlignment="1">
      <alignment horizontal="right"/>
    </xf>
    <xf numFmtId="3" fontId="45" fillId="0" borderId="4" xfId="0" applyNumberFormat="1" applyFont="1" applyBorder="1"/>
    <xf numFmtId="37" fontId="45" fillId="0" borderId="8" xfId="0" applyNumberFormat="1" applyFont="1" applyBorder="1"/>
    <xf numFmtId="3" fontId="45" fillId="0" borderId="6" xfId="0" applyNumberFormat="1" applyFont="1" applyBorder="1" applyAlignment="1">
      <alignment horizontal="center"/>
    </xf>
    <xf numFmtId="3" fontId="45" fillId="0" borderId="8" xfId="0" applyNumberFormat="1" applyFont="1" applyBorder="1" applyAlignment="1">
      <alignment horizontal="center"/>
    </xf>
    <xf numFmtId="37" fontId="45" fillId="0" borderId="8" xfId="0" applyNumberFormat="1" applyFont="1" applyBorder="1" applyAlignment="1">
      <alignment horizontal="center"/>
    </xf>
    <xf numFmtId="0" fontId="45" fillId="0" borderId="3" xfId="0" applyFont="1" applyBorder="1"/>
    <xf numFmtId="3" fontId="45" fillId="0" borderId="0" xfId="0" applyNumberFormat="1" applyFont="1"/>
    <xf numFmtId="3" fontId="45" fillId="0" borderId="3" xfId="0" applyNumberFormat="1" applyFont="1" applyBorder="1"/>
    <xf numFmtId="37" fontId="45" fillId="0" borderId="0" xfId="0" applyNumberFormat="1" applyFont="1"/>
    <xf numFmtId="37" fontId="45" fillId="0" borderId="2" xfId="0" applyNumberFormat="1" applyFont="1" applyBorder="1"/>
    <xf numFmtId="3" fontId="45" fillId="0" borderId="2" xfId="0" applyNumberFormat="1" applyFont="1" applyBorder="1"/>
    <xf numFmtId="37" fontId="45" fillId="0" borderId="3" xfId="0" applyNumberFormat="1" applyFont="1" applyBorder="1"/>
    <xf numFmtId="0" fontId="44" fillId="11" borderId="17" xfId="0" applyFont="1" applyFill="1" applyBorder="1"/>
    <xf numFmtId="10" fontId="48" fillId="11" borderId="16" xfId="0" applyNumberFormat="1" applyFont="1" applyFill="1" applyBorder="1"/>
    <xf numFmtId="37" fontId="46" fillId="0" borderId="10" xfId="0" applyNumberFormat="1" applyFont="1" applyBorder="1"/>
    <xf numFmtId="0" fontId="46" fillId="0" borderId="10" xfId="0" applyFont="1" applyBorder="1"/>
    <xf numFmtId="3" fontId="46" fillId="0" borderId="1" xfId="0" applyNumberFormat="1" applyFont="1" applyBorder="1"/>
    <xf numFmtId="3" fontId="46" fillId="0" borderId="9" xfId="0" applyNumberFormat="1" applyFont="1" applyBorder="1"/>
    <xf numFmtId="3" fontId="46" fillId="0" borderId="10" xfId="0" applyNumberFormat="1" applyFont="1" applyBorder="1"/>
    <xf numFmtId="37" fontId="46" fillId="0" borderId="1" xfId="0" applyNumberFormat="1" applyFont="1" applyBorder="1"/>
    <xf numFmtId="37" fontId="46" fillId="0" borderId="9" xfId="0" applyNumberFormat="1" applyFont="1" applyBorder="1"/>
    <xf numFmtId="1" fontId="42" fillId="0" borderId="0" xfId="0" applyNumberFormat="1" applyFont="1" applyAlignment="1">
      <alignment horizontal="right"/>
    </xf>
    <xf numFmtId="1" fontId="42" fillId="0" borderId="0" xfId="0" applyNumberFormat="1" applyFont="1" applyAlignment="1">
      <alignment horizontal="left"/>
    </xf>
    <xf numFmtId="0" fontId="46" fillId="0" borderId="3" xfId="0" applyFont="1" applyBorder="1"/>
    <xf numFmtId="0" fontId="46" fillId="0" borderId="0" xfId="0" applyFont="1"/>
    <xf numFmtId="3" fontId="46" fillId="0" borderId="0" xfId="0" applyNumberFormat="1" applyFont="1"/>
    <xf numFmtId="0" fontId="46" fillId="0" borderId="2" xfId="0" applyFont="1" applyBorder="1"/>
    <xf numFmtId="37" fontId="46" fillId="0" borderId="0" xfId="0" applyNumberFormat="1" applyFont="1"/>
    <xf numFmtId="37" fontId="46" fillId="0" borderId="2" xfId="0" applyNumberFormat="1" applyFont="1" applyBorder="1"/>
    <xf numFmtId="165" fontId="49" fillId="0" borderId="3" xfId="0" applyNumberFormat="1" applyFont="1" applyBorder="1" applyAlignment="1">
      <alignment vertical="center"/>
    </xf>
    <xf numFmtId="165" fontId="49" fillId="0" borderId="2" xfId="0" applyNumberFormat="1" applyFont="1" applyBorder="1" applyAlignment="1">
      <alignment vertical="center"/>
    </xf>
    <xf numFmtId="165" fontId="46" fillId="0" borderId="2" xfId="0" applyNumberFormat="1" applyFont="1" applyBorder="1"/>
    <xf numFmtId="0" fontId="46" fillId="0" borderId="6" xfId="0" applyFont="1" applyBorder="1"/>
    <xf numFmtId="3" fontId="46" fillId="0" borderId="4" xfId="0" applyNumberFormat="1" applyFont="1" applyBorder="1"/>
    <xf numFmtId="3" fontId="46" fillId="0" borderId="8" xfId="0" applyNumberFormat="1" applyFont="1" applyBorder="1"/>
    <xf numFmtId="3" fontId="46" fillId="0" borderId="6" xfId="0" applyNumberFormat="1" applyFont="1" applyBorder="1"/>
    <xf numFmtId="3" fontId="45" fillId="0" borderId="6" xfId="0" applyNumberFormat="1" applyFont="1" applyBorder="1"/>
    <xf numFmtId="37" fontId="45" fillId="0" borderId="4" xfId="0" applyNumberFormat="1" applyFont="1" applyBorder="1"/>
    <xf numFmtId="0" fontId="45" fillId="0" borderId="2" xfId="0" applyFont="1" applyBorder="1"/>
    <xf numFmtId="165" fontId="45" fillId="0" borderId="3" xfId="0" applyNumberFormat="1" applyFont="1" applyBorder="1"/>
    <xf numFmtId="165" fontId="45" fillId="0" borderId="2" xfId="0" applyNumberFormat="1" applyFont="1" applyBorder="1"/>
    <xf numFmtId="3" fontId="46" fillId="0" borderId="3" xfId="0" applyNumberFormat="1" applyFont="1" applyBorder="1"/>
    <xf numFmtId="3" fontId="45" fillId="0" borderId="1" xfId="0" applyNumberFormat="1" applyFont="1" applyBorder="1"/>
    <xf numFmtId="3" fontId="45" fillId="0" borderId="9" xfId="0" applyNumberFormat="1" applyFont="1" applyBorder="1"/>
    <xf numFmtId="3" fontId="45" fillId="0" borderId="10" xfId="0" applyNumberFormat="1" applyFont="1" applyBorder="1"/>
    <xf numFmtId="37" fontId="45" fillId="0" borderId="1" xfId="0" applyNumberFormat="1" applyFont="1" applyBorder="1"/>
    <xf numFmtId="37" fontId="45" fillId="0" borderId="9" xfId="0" applyNumberFormat="1" applyFont="1" applyBorder="1"/>
    <xf numFmtId="43" fontId="45" fillId="0" borderId="0" xfId="0" applyNumberFormat="1" applyFont="1"/>
    <xf numFmtId="37" fontId="45" fillId="0" borderId="10" xfId="0" applyNumberFormat="1" applyFont="1" applyBorder="1"/>
    <xf numFmtId="165" fontId="46" fillId="0" borderId="3" xfId="0" applyNumberFormat="1" applyFont="1" applyBorder="1"/>
    <xf numFmtId="0" fontId="46" fillId="2" borderId="14" xfId="0" applyFont="1" applyFill="1" applyBorder="1"/>
    <xf numFmtId="37" fontId="46" fillId="2" borderId="12" xfId="0" applyNumberFormat="1" applyFont="1" applyFill="1" applyBorder="1"/>
    <xf numFmtId="3" fontId="46" fillId="2" borderId="12" xfId="0" applyNumberFormat="1" applyFont="1" applyFill="1" applyBorder="1"/>
    <xf numFmtId="37" fontId="46" fillId="2" borderId="13" xfId="0" applyNumberFormat="1" applyFont="1" applyFill="1" applyBorder="1"/>
    <xf numFmtId="37" fontId="46" fillId="2" borderId="14" xfId="0" applyNumberFormat="1" applyFont="1" applyFill="1" applyBorder="1"/>
    <xf numFmtId="0" fontId="46" fillId="2" borderId="17" xfId="0" applyFont="1" applyFill="1" applyBorder="1"/>
    <xf numFmtId="0" fontId="46" fillId="2" borderId="15" xfId="0" applyFont="1" applyFill="1" applyBorder="1"/>
    <xf numFmtId="0" fontId="46" fillId="2" borderId="16" xfId="0" applyFont="1" applyFill="1" applyBorder="1"/>
    <xf numFmtId="37" fontId="46" fillId="2" borderId="15" xfId="0" applyNumberFormat="1" applyFont="1" applyFill="1" applyBorder="1"/>
    <xf numFmtId="37" fontId="46" fillId="2" borderId="16" xfId="0" applyNumberFormat="1" applyFont="1" applyFill="1" applyBorder="1"/>
    <xf numFmtId="165" fontId="46" fillId="2" borderId="17" xfId="0" applyNumberFormat="1" applyFont="1" applyFill="1" applyBorder="1"/>
    <xf numFmtId="165" fontId="46" fillId="2" borderId="16" xfId="0" applyNumberFormat="1" applyFont="1" applyFill="1" applyBorder="1"/>
    <xf numFmtId="165" fontId="46" fillId="10" borderId="16" xfId="0" applyNumberFormat="1" applyFont="1" applyFill="1" applyBorder="1"/>
    <xf numFmtId="0" fontId="45" fillId="0" borderId="0" xfId="0" applyFont="1" applyAlignment="1">
      <alignment horizontal="left"/>
    </xf>
    <xf numFmtId="37" fontId="42" fillId="0" borderId="0" xfId="0" applyNumberFormat="1" applyFont="1"/>
    <xf numFmtId="0" fontId="46" fillId="0" borderId="3" xfId="0" applyFont="1" applyBorder="1" applyAlignment="1">
      <alignment horizontal="left"/>
    </xf>
    <xf numFmtId="0" fontId="45" fillId="0" borderId="0" xfId="0" applyFont="1" applyAlignment="1">
      <alignment horizontal="center"/>
    </xf>
    <xf numFmtId="37" fontId="45" fillId="0" borderId="0" xfId="0" applyNumberFormat="1" applyFont="1" applyAlignment="1">
      <alignment horizontal="center"/>
    </xf>
    <xf numFmtId="165" fontId="45" fillId="0" borderId="0" xfId="0" applyNumberFormat="1" applyFont="1" applyAlignment="1">
      <alignment horizontal="right"/>
    </xf>
    <xf numFmtId="165" fontId="45" fillId="0" borderId="4" xfId="0" applyNumberFormat="1" applyFont="1" applyBorder="1" applyAlignment="1">
      <alignment horizontal="right"/>
    </xf>
    <xf numFmtId="165" fontId="45" fillId="0" borderId="6" xfId="0" applyNumberFormat="1" applyFont="1" applyBorder="1"/>
    <xf numFmtId="0" fontId="45" fillId="0" borderId="0" xfId="0" applyFont="1" applyAlignment="1">
      <alignment horizontal="right"/>
    </xf>
    <xf numFmtId="0" fontId="45" fillId="0" borderId="3" xfId="0" applyFont="1" applyBorder="1" applyAlignment="1">
      <alignment horizontal="right"/>
    </xf>
    <xf numFmtId="3" fontId="42" fillId="0" borderId="0" xfId="0" applyNumberFormat="1" applyFont="1"/>
    <xf numFmtId="0" fontId="45" fillId="0" borderId="4" xfId="0" applyFont="1" applyBorder="1" applyAlignment="1">
      <alignment horizontal="right"/>
    </xf>
    <xf numFmtId="0" fontId="45" fillId="0" borderId="6" xfId="0" applyFont="1" applyBorder="1" applyAlignment="1">
      <alignment horizontal="right"/>
    </xf>
    <xf numFmtId="37" fontId="45" fillId="0" borderId="54" xfId="0" applyNumberFormat="1" applyFont="1" applyBorder="1"/>
    <xf numFmtId="0" fontId="46" fillId="2" borderId="20" xfId="0" applyFont="1" applyFill="1" applyBorder="1"/>
    <xf numFmtId="0" fontId="46" fillId="2" borderId="18" xfId="0" applyFont="1" applyFill="1" applyBorder="1" applyAlignment="1">
      <alignment horizontal="center"/>
    </xf>
    <xf numFmtId="165" fontId="46" fillId="2" borderId="18" xfId="0" applyNumberFormat="1" applyFont="1" applyFill="1" applyBorder="1"/>
    <xf numFmtId="37" fontId="46" fillId="2" borderId="19" xfId="0" applyNumberFormat="1" applyFont="1" applyFill="1" applyBorder="1"/>
    <xf numFmtId="0" fontId="46" fillId="2" borderId="20" xfId="0" applyFont="1" applyFill="1" applyBorder="1" applyAlignment="1">
      <alignment horizontal="center"/>
    </xf>
    <xf numFmtId="0" fontId="45" fillId="2" borderId="21" xfId="0" applyFont="1" applyFill="1" applyBorder="1"/>
    <xf numFmtId="0" fontId="45" fillId="2" borderId="20" xfId="0" applyFont="1" applyFill="1" applyBorder="1"/>
    <xf numFmtId="0" fontId="50" fillId="0" borderId="3" xfId="0" applyFont="1" applyBorder="1"/>
    <xf numFmtId="0" fontId="50" fillId="0" borderId="6" xfId="0" applyFont="1" applyBorder="1"/>
    <xf numFmtId="0" fontId="45" fillId="0" borderId="1" xfId="0" applyFont="1" applyBorder="1" applyAlignment="1">
      <alignment horizontal="right"/>
    </xf>
    <xf numFmtId="0" fontId="45" fillId="0" borderId="1" xfId="0" applyFont="1" applyBorder="1"/>
    <xf numFmtId="0" fontId="45" fillId="0" borderId="10" xfId="0" applyFont="1" applyBorder="1" applyAlignment="1">
      <alignment horizontal="right"/>
    </xf>
    <xf numFmtId="0" fontId="45" fillId="0" borderId="4" xfId="0" applyFont="1" applyBorder="1"/>
    <xf numFmtId="37" fontId="40" fillId="0" borderId="0" xfId="0" applyNumberFormat="1" applyFont="1"/>
    <xf numFmtId="0" fontId="45" fillId="16" borderId="3" xfId="0" applyFont="1" applyFill="1" applyBorder="1"/>
    <xf numFmtId="167" fontId="45" fillId="0" borderId="0" xfId="0" applyNumberFormat="1" applyFont="1"/>
    <xf numFmtId="172" fontId="45" fillId="0" borderId="3" xfId="0" applyNumberFormat="1" applyFont="1" applyBorder="1"/>
    <xf numFmtId="9" fontId="45" fillId="0" borderId="0" xfId="0" applyNumberFormat="1" applyFont="1" applyAlignment="1">
      <alignment horizontal="right"/>
    </xf>
    <xf numFmtId="9" fontId="45" fillId="0" borderId="3" xfId="0" applyNumberFormat="1" applyFont="1" applyBorder="1"/>
    <xf numFmtId="0" fontId="46" fillId="3" borderId="3" xfId="0" applyFont="1" applyFill="1" applyBorder="1"/>
    <xf numFmtId="0" fontId="45" fillId="3" borderId="0" xfId="0" applyFont="1" applyFill="1"/>
    <xf numFmtId="0" fontId="46" fillId="3" borderId="0" xfId="0" applyFont="1" applyFill="1"/>
    <xf numFmtId="37" fontId="46" fillId="3" borderId="2" xfId="0" applyNumberFormat="1" applyFont="1" applyFill="1" applyBorder="1"/>
    <xf numFmtId="0" fontId="45" fillId="3" borderId="3" xfId="0" applyFont="1" applyFill="1" applyBorder="1"/>
    <xf numFmtId="0" fontId="45" fillId="3" borderId="6" xfId="0" applyFont="1" applyFill="1" applyBorder="1"/>
    <xf numFmtId="0" fontId="45" fillId="3" borderId="4" xfId="0" applyFont="1" applyFill="1" applyBorder="1"/>
    <xf numFmtId="37" fontId="46" fillId="3" borderId="8" xfId="0" applyNumberFormat="1" applyFont="1" applyFill="1" applyBorder="1"/>
    <xf numFmtId="0" fontId="46" fillId="2" borderId="27" xfId="0" applyFont="1" applyFill="1" applyBorder="1"/>
    <xf numFmtId="0" fontId="46" fillId="2" borderId="25" xfId="0" applyFont="1" applyFill="1" applyBorder="1" applyAlignment="1">
      <alignment horizontal="center"/>
    </xf>
    <xf numFmtId="165" fontId="46" fillId="2" borderId="25" xfId="0" applyNumberFormat="1" applyFont="1" applyFill="1" applyBorder="1"/>
    <xf numFmtId="37" fontId="46" fillId="2" borderId="26" xfId="0" applyNumberFormat="1" applyFont="1" applyFill="1" applyBorder="1"/>
    <xf numFmtId="0" fontId="46" fillId="2" borderId="27" xfId="0" applyFont="1" applyFill="1" applyBorder="1" applyAlignment="1">
      <alignment horizontal="center"/>
    </xf>
    <xf numFmtId="0" fontId="45" fillId="2" borderId="53" xfId="0" applyFont="1" applyFill="1" applyBorder="1"/>
    <xf numFmtId="0" fontId="45" fillId="2" borderId="27" xfId="0" applyFont="1" applyFill="1" applyBorder="1"/>
    <xf numFmtId="0" fontId="51" fillId="0" borderId="0" xfId="0" applyFont="1"/>
    <xf numFmtId="1" fontId="51" fillId="0" borderId="0" xfId="0" applyNumberFormat="1" applyFont="1"/>
    <xf numFmtId="9" fontId="51" fillId="0" borderId="0" xfId="0" applyNumberFormat="1" applyFont="1"/>
    <xf numFmtId="37" fontId="51" fillId="0" borderId="0" xfId="0" applyNumberFormat="1" applyFont="1"/>
    <xf numFmtId="0" fontId="45" fillId="0" borderId="6" xfId="0" applyFont="1" applyBorder="1" applyAlignment="1">
      <alignment horizontal="center"/>
    </xf>
    <xf numFmtId="0" fontId="45" fillId="0" borderId="8" xfId="0" applyFont="1" applyBorder="1" applyAlignment="1">
      <alignment horizontal="center"/>
    </xf>
    <xf numFmtId="37" fontId="45" fillId="0" borderId="6" xfId="0" applyNumberFormat="1" applyFont="1" applyBorder="1" applyAlignment="1">
      <alignment horizontal="center"/>
    </xf>
    <xf numFmtId="165" fontId="49" fillId="0" borderId="3" xfId="0" applyNumberFormat="1" applyFont="1" applyBorder="1"/>
    <xf numFmtId="165" fontId="49" fillId="0" borderId="2" xfId="0" applyNumberFormat="1" applyFont="1" applyBorder="1"/>
    <xf numFmtId="39" fontId="45" fillId="0" borderId="0" xfId="0" applyNumberFormat="1" applyFont="1"/>
    <xf numFmtId="37" fontId="46" fillId="0" borderId="8" xfId="0" applyNumberFormat="1" applyFont="1" applyBorder="1"/>
    <xf numFmtId="166" fontId="46" fillId="0" borderId="0" xfId="0" applyNumberFormat="1" applyFont="1"/>
    <xf numFmtId="37" fontId="46" fillId="0" borderId="3" xfId="0" applyNumberFormat="1" applyFont="1" applyBorder="1"/>
    <xf numFmtId="166" fontId="45" fillId="0" borderId="0" xfId="0" applyNumberFormat="1" applyFont="1"/>
    <xf numFmtId="165" fontId="45" fillId="0" borderId="0" xfId="0" applyNumberFormat="1" applyFont="1"/>
    <xf numFmtId="9" fontId="45" fillId="0" borderId="4" xfId="0" applyNumberFormat="1" applyFont="1" applyBorder="1" applyAlignment="1">
      <alignment horizontal="right"/>
    </xf>
    <xf numFmtId="165" fontId="42" fillId="0" borderId="0" xfId="0" applyNumberFormat="1" applyFont="1"/>
    <xf numFmtId="0" fontId="46" fillId="0" borderId="0" xfId="0" applyFont="1" applyAlignment="1">
      <alignment horizontal="center"/>
    </xf>
    <xf numFmtId="165" fontId="46" fillId="0" borderId="0" xfId="0" applyNumberFormat="1" applyFont="1"/>
    <xf numFmtId="0" fontId="46" fillId="0" borderId="3" xfId="0" applyFont="1" applyBorder="1" applyAlignment="1">
      <alignment horizontal="center"/>
    </xf>
    <xf numFmtId="9" fontId="45" fillId="0" borderId="0" xfId="0" applyNumberFormat="1" applyFont="1"/>
    <xf numFmtId="165" fontId="40" fillId="0" borderId="0" xfId="0" applyNumberFormat="1" applyFont="1"/>
    <xf numFmtId="0" fontId="45" fillId="0" borderId="3" xfId="0" applyFont="1" applyBorder="1" applyAlignment="1">
      <alignment horizontal="center"/>
    </xf>
    <xf numFmtId="0" fontId="45" fillId="0" borderId="2" xfId="0" applyFont="1" applyBorder="1" applyAlignment="1">
      <alignment horizontal="center"/>
    </xf>
    <xf numFmtId="37" fontId="45" fillId="0" borderId="2" xfId="0" applyNumberFormat="1" applyFont="1" applyBorder="1" applyAlignment="1">
      <alignment horizontal="center"/>
    </xf>
    <xf numFmtId="165" fontId="50" fillId="0" borderId="6" xfId="0" applyNumberFormat="1" applyFont="1" applyBorder="1" applyAlignment="1">
      <alignment vertical="center"/>
    </xf>
    <xf numFmtId="165" fontId="45" fillId="0" borderId="8" xfId="0" applyNumberFormat="1" applyFont="1" applyBorder="1"/>
    <xf numFmtId="0" fontId="52" fillId="0" borderId="0" xfId="0" applyFont="1"/>
    <xf numFmtId="165" fontId="50" fillId="0" borderId="3" xfId="0" applyNumberFormat="1" applyFont="1" applyBorder="1" applyAlignment="1">
      <alignment vertical="center"/>
    </xf>
    <xf numFmtId="0" fontId="40" fillId="0" borderId="0" xfId="0" applyFont="1" applyAlignment="1">
      <alignment horizontal="center"/>
    </xf>
    <xf numFmtId="3" fontId="53" fillId="0" borderId="3" xfId="0" applyNumberFormat="1" applyFont="1" applyBorder="1"/>
    <xf numFmtId="37" fontId="53" fillId="0" borderId="0" xfId="0" applyNumberFormat="1" applyFont="1"/>
    <xf numFmtId="37" fontId="53" fillId="0" borderId="2" xfId="0" applyNumberFormat="1" applyFont="1" applyBorder="1"/>
    <xf numFmtId="39" fontId="45" fillId="0" borderId="4" xfId="0" applyNumberFormat="1" applyFont="1" applyBorder="1" applyAlignment="1">
      <alignment horizontal="center"/>
    </xf>
    <xf numFmtId="37" fontId="45" fillId="0" borderId="6" xfId="0" applyNumberFormat="1" applyFont="1" applyBorder="1"/>
    <xf numFmtId="10" fontId="45" fillId="0" borderId="0" xfId="0" applyNumberFormat="1" applyFont="1"/>
    <xf numFmtId="165" fontId="45" fillId="0" borderId="10" xfId="0" applyNumberFormat="1" applyFont="1" applyBorder="1"/>
    <xf numFmtId="166" fontId="45" fillId="0" borderId="4" xfId="0" applyNumberFormat="1" applyFont="1" applyBorder="1"/>
    <xf numFmtId="37" fontId="45" fillId="0" borderId="27" xfId="0" applyNumberFormat="1" applyFont="1" applyBorder="1"/>
    <xf numFmtId="0" fontId="46" fillId="3" borderId="14" xfId="0" applyFont="1" applyFill="1" applyBorder="1"/>
    <xf numFmtId="37" fontId="46" fillId="3" borderId="12" xfId="0" applyNumberFormat="1" applyFont="1" applyFill="1" applyBorder="1"/>
    <xf numFmtId="37" fontId="46" fillId="3" borderId="13" xfId="0" applyNumberFormat="1" applyFont="1" applyFill="1" applyBorder="1"/>
    <xf numFmtId="37" fontId="46" fillId="3" borderId="14" xfId="0" applyNumberFormat="1" applyFont="1" applyFill="1" applyBorder="1"/>
    <xf numFmtId="37" fontId="46" fillId="0" borderId="14" xfId="0" applyNumberFormat="1" applyFont="1" applyBorder="1"/>
    <xf numFmtId="37" fontId="46" fillId="0" borderId="12" xfId="0" applyNumberFormat="1" applyFont="1" applyBorder="1"/>
    <xf numFmtId="37" fontId="46" fillId="0" borderId="13" xfId="0" applyNumberFormat="1" applyFont="1" applyBorder="1"/>
    <xf numFmtId="165" fontId="46" fillId="0" borderId="14" xfId="0" applyNumberFormat="1" applyFont="1" applyBorder="1"/>
    <xf numFmtId="0" fontId="46" fillId="3" borderId="6" xfId="0" applyFont="1" applyFill="1" applyBorder="1"/>
    <xf numFmtId="37" fontId="46" fillId="3" borderId="4" xfId="0" applyNumberFormat="1" applyFont="1" applyFill="1" applyBorder="1"/>
    <xf numFmtId="39" fontId="46" fillId="3" borderId="4" xfId="0" applyNumberFormat="1" applyFont="1" applyFill="1" applyBorder="1" applyAlignment="1">
      <alignment horizontal="center"/>
    </xf>
    <xf numFmtId="165" fontId="46" fillId="3" borderId="8" xfId="0" applyNumberFormat="1" applyFont="1" applyFill="1" applyBorder="1"/>
    <xf numFmtId="37" fontId="46" fillId="3" borderId="6" xfId="0" applyNumberFormat="1" applyFont="1" applyFill="1" applyBorder="1"/>
    <xf numFmtId="37" fontId="46" fillId="0" borderId="6" xfId="0" applyNumberFormat="1" applyFont="1" applyBorder="1"/>
    <xf numFmtId="39" fontId="46" fillId="0" borderId="4" xfId="0" applyNumberFormat="1" applyFont="1" applyBorder="1" applyAlignment="1">
      <alignment horizontal="center"/>
    </xf>
    <xf numFmtId="165" fontId="46" fillId="0" borderId="8" xfId="0" applyNumberFormat="1" applyFont="1" applyBorder="1"/>
    <xf numFmtId="166" fontId="45" fillId="0" borderId="1" xfId="0" applyNumberFormat="1" applyFont="1" applyBorder="1"/>
    <xf numFmtId="0" fontId="46" fillId="3" borderId="10" xfId="0" applyFont="1" applyFill="1" applyBorder="1"/>
    <xf numFmtId="37" fontId="46" fillId="3" borderId="1" xfId="0" applyNumberFormat="1" applyFont="1" applyFill="1" applyBorder="1"/>
    <xf numFmtId="166" fontId="46" fillId="3" borderId="1" xfId="0" applyNumberFormat="1" applyFont="1" applyFill="1" applyBorder="1"/>
    <xf numFmtId="37" fontId="46" fillId="3" borderId="9" xfId="0" applyNumberFormat="1" applyFont="1" applyFill="1" applyBorder="1"/>
    <xf numFmtId="37" fontId="46" fillId="3" borderId="10" xfId="0" applyNumberFormat="1" applyFont="1" applyFill="1" applyBorder="1"/>
    <xf numFmtId="1" fontId="45" fillId="0" borderId="3" xfId="0" applyNumberFormat="1" applyFont="1" applyBorder="1"/>
    <xf numFmtId="0" fontId="45" fillId="0" borderId="4" xfId="0" applyFont="1" applyBorder="1" applyAlignment="1">
      <alignment horizontal="center"/>
    </xf>
    <xf numFmtId="1" fontId="45" fillId="0" borderId="10" xfId="0" applyNumberFormat="1" applyFont="1" applyBorder="1"/>
    <xf numFmtId="2" fontId="45" fillId="0" borderId="4" xfId="0" applyNumberFormat="1" applyFont="1" applyBorder="1"/>
    <xf numFmtId="165" fontId="46" fillId="0" borderId="6" xfId="0" applyNumberFormat="1" applyFont="1" applyBorder="1"/>
    <xf numFmtId="0" fontId="50" fillId="0" borderId="10" xfId="0" applyFont="1" applyBorder="1"/>
    <xf numFmtId="0" fontId="45" fillId="0" borderId="68" xfId="0" applyFont="1" applyBorder="1"/>
    <xf numFmtId="0" fontId="45" fillId="0" borderId="69" xfId="0" applyFont="1" applyBorder="1"/>
    <xf numFmtId="0" fontId="45" fillId="0" borderId="70" xfId="0" applyFont="1" applyBorder="1"/>
    <xf numFmtId="0" fontId="46" fillId="0" borderId="69" xfId="0" applyFont="1" applyBorder="1"/>
    <xf numFmtId="165" fontId="46" fillId="0" borderId="1" xfId="0" applyNumberFormat="1" applyFont="1" applyBorder="1"/>
    <xf numFmtId="165" fontId="46" fillId="0" borderId="10" xfId="0" applyNumberFormat="1" applyFont="1" applyBorder="1"/>
    <xf numFmtId="0" fontId="45" fillId="0" borderId="8" xfId="0" applyFont="1" applyBorder="1"/>
    <xf numFmtId="165" fontId="45" fillId="0" borderId="4" xfId="0" applyNumberFormat="1" applyFont="1" applyBorder="1"/>
    <xf numFmtId="165" fontId="46" fillId="2" borderId="12" xfId="0" applyNumberFormat="1" applyFont="1" applyFill="1" applyBorder="1"/>
    <xf numFmtId="165" fontId="46" fillId="2" borderId="14" xfId="0" applyNumberFormat="1" applyFont="1" applyFill="1" applyBorder="1"/>
    <xf numFmtId="6" fontId="42" fillId="0" borderId="0" xfId="0" applyNumberFormat="1" applyFont="1"/>
    <xf numFmtId="6" fontId="45" fillId="0" borderId="0" xfId="0" applyNumberFormat="1" applyFont="1"/>
    <xf numFmtId="39" fontId="45" fillId="0" borderId="0" xfId="0" applyNumberFormat="1" applyFont="1" applyAlignment="1">
      <alignment horizontal="center"/>
    </xf>
    <xf numFmtId="0" fontId="54" fillId="13" borderId="0" xfId="0" applyFont="1" applyFill="1"/>
    <xf numFmtId="37" fontId="26" fillId="0" borderId="0" xfId="0" applyNumberFormat="1" applyFont="1"/>
    <xf numFmtId="0" fontId="38" fillId="15" borderId="0" xfId="0" applyFont="1" applyFill="1" applyAlignment="1">
      <alignment vertical="center"/>
    </xf>
    <xf numFmtId="0" fontId="55" fillId="15" borderId="0" xfId="0" applyFont="1" applyFill="1" applyAlignment="1">
      <alignment horizontal="center" vertical="center"/>
    </xf>
    <xf numFmtId="0" fontId="38" fillId="15" borderId="0" xfId="0" applyFont="1" applyFill="1" applyAlignment="1">
      <alignment horizontal="right" vertical="center"/>
    </xf>
    <xf numFmtId="0" fontId="49" fillId="0" borderId="0" xfId="0" applyFont="1" applyAlignment="1">
      <alignment horizontal="center" vertical="center"/>
    </xf>
    <xf numFmtId="0" fontId="45" fillId="0" borderId="59" xfId="0" applyFont="1" applyBorder="1" applyAlignment="1">
      <alignment horizontal="left"/>
    </xf>
    <xf numFmtId="0" fontId="46" fillId="0" borderId="60" xfId="0" applyFont="1" applyBorder="1" applyAlignment="1">
      <alignment horizontal="center" vertical="center"/>
    </xf>
    <xf numFmtId="0" fontId="46" fillId="0" borderId="60" xfId="0" applyFont="1" applyBorder="1" applyAlignment="1">
      <alignment horizontal="center" vertical="center"/>
    </xf>
    <xf numFmtId="0" fontId="47" fillId="0" borderId="60" xfId="0" applyFont="1" applyBorder="1"/>
    <xf numFmtId="0" fontId="47" fillId="0" borderId="61" xfId="0" applyFont="1" applyBorder="1"/>
    <xf numFmtId="0" fontId="46" fillId="0" borderId="62" xfId="0" applyFont="1" applyBorder="1" applyAlignment="1">
      <alignment horizontal="center" vertical="center"/>
    </xf>
    <xf numFmtId="0" fontId="47" fillId="0" borderId="63" xfId="0" applyFont="1" applyBorder="1"/>
    <xf numFmtId="0" fontId="45" fillId="0" borderId="28" xfId="0" applyFont="1" applyBorder="1" applyAlignment="1">
      <alignment horizontal="center"/>
    </xf>
    <xf numFmtId="0" fontId="45" fillId="0" borderId="29" xfId="0" applyFont="1" applyBorder="1" applyAlignment="1">
      <alignment horizontal="center"/>
    </xf>
    <xf numFmtId="0" fontId="45" fillId="0" borderId="30" xfId="0" applyFont="1" applyBorder="1" applyAlignment="1">
      <alignment horizontal="center"/>
    </xf>
    <xf numFmtId="0" fontId="50" fillId="0" borderId="4" xfId="0" applyFont="1" applyBorder="1"/>
    <xf numFmtId="37" fontId="50" fillId="0" borderId="28" xfId="0" applyNumberFormat="1" applyFont="1" applyBorder="1"/>
    <xf numFmtId="37" fontId="50" fillId="0" borderId="29" xfId="0" applyNumberFormat="1" applyFont="1" applyBorder="1"/>
    <xf numFmtId="37" fontId="50" fillId="0" borderId="4" xfId="0" applyNumberFormat="1" applyFont="1" applyBorder="1"/>
    <xf numFmtId="165" fontId="50" fillId="0" borderId="4" xfId="0" applyNumberFormat="1" applyFont="1" applyBorder="1"/>
    <xf numFmtId="37" fontId="50" fillId="0" borderId="30" xfId="0" applyNumberFormat="1" applyFont="1" applyBorder="1"/>
    <xf numFmtId="165" fontId="50" fillId="0" borderId="8" xfId="0" applyNumberFormat="1" applyFont="1" applyBorder="1"/>
    <xf numFmtId="0" fontId="49" fillId="2" borderId="6" xfId="0" applyFont="1" applyFill="1" applyBorder="1"/>
    <xf numFmtId="0" fontId="49" fillId="2" borderId="4" xfId="0" applyFont="1" applyFill="1" applyBorder="1"/>
    <xf numFmtId="9" fontId="49" fillId="2" borderId="29" xfId="0" applyNumberFormat="1" applyFont="1" applyFill="1" applyBorder="1"/>
    <xf numFmtId="37" fontId="49" fillId="2" borderId="28" xfId="0" applyNumberFormat="1" applyFont="1" applyFill="1" applyBorder="1"/>
    <xf numFmtId="37" fontId="49" fillId="2" borderId="4" xfId="0" applyNumberFormat="1" applyFont="1" applyFill="1" applyBorder="1"/>
    <xf numFmtId="37" fontId="49" fillId="2" borderId="29" xfId="0" applyNumberFormat="1" applyFont="1" applyFill="1" applyBorder="1"/>
    <xf numFmtId="165" fontId="49" fillId="2" borderId="4" xfId="0" applyNumberFormat="1" applyFont="1" applyFill="1" applyBorder="1"/>
    <xf numFmtId="37" fontId="49" fillId="2" borderId="30" xfId="0" applyNumberFormat="1" applyFont="1" applyFill="1" applyBorder="1"/>
    <xf numFmtId="165" fontId="49" fillId="2" borderId="8" xfId="0" applyNumberFormat="1" applyFont="1" applyFill="1" applyBorder="1"/>
    <xf numFmtId="0" fontId="49" fillId="0" borderId="3" xfId="0" applyFont="1" applyBorder="1"/>
    <xf numFmtId="0" fontId="50" fillId="0" borderId="0" xfId="0" applyFont="1"/>
    <xf numFmtId="37" fontId="50" fillId="0" borderId="31" xfId="0" applyNumberFormat="1" applyFont="1" applyBorder="1"/>
    <xf numFmtId="37" fontId="50" fillId="0" borderId="32" xfId="0" applyNumberFormat="1" applyFont="1" applyBorder="1"/>
    <xf numFmtId="37" fontId="50" fillId="0" borderId="0" xfId="0" applyNumberFormat="1" applyFont="1"/>
    <xf numFmtId="165" fontId="50" fillId="0" borderId="0" xfId="0" applyNumberFormat="1" applyFont="1"/>
    <xf numFmtId="37" fontId="50" fillId="0" borderId="33" xfId="0" applyNumberFormat="1" applyFont="1" applyBorder="1"/>
    <xf numFmtId="165" fontId="50" fillId="0" borderId="9" xfId="0" applyNumberFormat="1" applyFont="1" applyBorder="1"/>
    <xf numFmtId="0" fontId="50" fillId="0" borderId="0" xfId="0" applyFont="1" applyAlignment="1">
      <alignment horizontal="right"/>
    </xf>
    <xf numFmtId="166" fontId="50" fillId="0" borderId="0" xfId="0" applyNumberFormat="1" applyFont="1"/>
    <xf numFmtId="0" fontId="50" fillId="0" borderId="32" xfId="0" applyFont="1" applyBorder="1"/>
    <xf numFmtId="165" fontId="50" fillId="0" borderId="2" xfId="0" applyNumberFormat="1" applyFont="1" applyBorder="1"/>
    <xf numFmtId="0" fontId="50" fillId="0" borderId="4" xfId="0" applyFont="1" applyBorder="1" applyAlignment="1">
      <alignment horizontal="right"/>
    </xf>
    <xf numFmtId="166" fontId="50" fillId="0" borderId="4" xfId="0" applyNumberFormat="1" applyFont="1" applyBorder="1"/>
    <xf numFmtId="0" fontId="50" fillId="0" borderId="29" xfId="0" applyFont="1" applyBorder="1"/>
    <xf numFmtId="165" fontId="50" fillId="0" borderId="28" xfId="0" applyNumberFormat="1" applyFont="1" applyBorder="1"/>
    <xf numFmtId="0" fontId="49" fillId="2" borderId="20" xfId="0" applyFont="1" applyFill="1" applyBorder="1"/>
    <xf numFmtId="0" fontId="49" fillId="2" borderId="18" xfId="0" applyFont="1" applyFill="1" applyBorder="1"/>
    <xf numFmtId="165" fontId="49" fillId="2" borderId="18" xfId="0" applyNumberFormat="1" applyFont="1" applyFill="1" applyBorder="1"/>
    <xf numFmtId="37" fontId="49" fillId="2" borderId="34" xfId="0" applyNumberFormat="1" applyFont="1" applyFill="1" applyBorder="1"/>
    <xf numFmtId="165" fontId="49" fillId="2" borderId="21" xfId="0" applyNumberFormat="1" applyFont="1" applyFill="1" applyBorder="1"/>
    <xf numFmtId="37" fontId="49" fillId="2" borderId="18" xfId="0" applyNumberFormat="1" applyFont="1" applyFill="1" applyBorder="1"/>
    <xf numFmtId="0" fontId="49" fillId="2" borderId="21" xfId="0" applyFont="1" applyFill="1" applyBorder="1"/>
    <xf numFmtId="37" fontId="49" fillId="2" borderId="35" xfId="0" applyNumberFormat="1" applyFont="1" applyFill="1" applyBorder="1"/>
    <xf numFmtId="165" fontId="50" fillId="0" borderId="31" xfId="0" applyNumberFormat="1" applyFont="1" applyBorder="1"/>
    <xf numFmtId="166" fontId="49" fillId="2" borderId="18" xfId="0" applyNumberFormat="1" applyFont="1" applyFill="1" applyBorder="1"/>
    <xf numFmtId="0" fontId="50" fillId="0" borderId="1" xfId="0" applyFont="1" applyBorder="1" applyAlignment="1">
      <alignment horizontal="right"/>
    </xf>
    <xf numFmtId="0" fontId="50" fillId="0" borderId="1" xfId="0" applyFont="1" applyBorder="1"/>
    <xf numFmtId="37" fontId="50" fillId="0" borderId="36" xfId="0" applyNumberFormat="1" applyFont="1" applyBorder="1"/>
    <xf numFmtId="0" fontId="50" fillId="0" borderId="37" xfId="0" applyFont="1" applyBorder="1"/>
    <xf numFmtId="166" fontId="50" fillId="0" borderId="1" xfId="0" applyNumberFormat="1" applyFont="1" applyBorder="1"/>
    <xf numFmtId="37" fontId="50" fillId="0" borderId="1" xfId="0" applyNumberFormat="1" applyFont="1" applyBorder="1"/>
    <xf numFmtId="165" fontId="50" fillId="0" borderId="1" xfId="0" applyNumberFormat="1" applyFont="1" applyBorder="1"/>
    <xf numFmtId="37" fontId="50" fillId="0" borderId="38" xfId="0" applyNumberFormat="1" applyFont="1" applyBorder="1"/>
    <xf numFmtId="9" fontId="42" fillId="0" borderId="0" xfId="0" applyNumberFormat="1" applyFont="1"/>
    <xf numFmtId="37" fontId="50" fillId="0" borderId="37" xfId="0" applyNumberFormat="1" applyFont="1" applyBorder="1"/>
    <xf numFmtId="0" fontId="50" fillId="2" borderId="18" xfId="0" applyFont="1" applyFill="1" applyBorder="1"/>
    <xf numFmtId="37" fontId="49" fillId="2" borderId="21" xfId="0" applyNumberFormat="1" applyFont="1" applyFill="1" applyBorder="1"/>
    <xf numFmtId="3" fontId="49" fillId="2" borderId="18" xfId="0" applyNumberFormat="1" applyFont="1" applyFill="1" applyBorder="1" applyAlignment="1">
      <alignment horizontal="center"/>
    </xf>
    <xf numFmtId="165" fontId="49" fillId="2" borderId="19" xfId="0" applyNumberFormat="1" applyFont="1" applyFill="1" applyBorder="1"/>
    <xf numFmtId="0" fontId="42" fillId="17" borderId="0" xfId="0" applyFont="1" applyFill="1"/>
    <xf numFmtId="165" fontId="49" fillId="0" borderId="0" xfId="0" applyNumberFormat="1" applyFont="1"/>
    <xf numFmtId="0" fontId="49" fillId="0" borderId="0" xfId="0" applyFont="1"/>
    <xf numFmtId="165" fontId="50" fillId="0" borderId="36" xfId="0" applyNumberFormat="1" applyFont="1" applyBorder="1"/>
    <xf numFmtId="0" fontId="50" fillId="0" borderId="31" xfId="0" applyFont="1" applyBorder="1"/>
    <xf numFmtId="0" fontId="50" fillId="0" borderId="33" xfId="0" applyFont="1" applyBorder="1"/>
    <xf numFmtId="165" fontId="50" fillId="0" borderId="19" xfId="0" applyNumberFormat="1" applyFont="1" applyBorder="1"/>
    <xf numFmtId="165" fontId="49" fillId="0" borderId="1" xfId="0" applyNumberFormat="1" applyFont="1" applyBorder="1"/>
    <xf numFmtId="0" fontId="49" fillId="0" borderId="1" xfId="0" applyFont="1" applyBorder="1"/>
    <xf numFmtId="165" fontId="49" fillId="0" borderId="37" xfId="0" applyNumberFormat="1" applyFont="1" applyBorder="1"/>
    <xf numFmtId="37" fontId="49" fillId="0" borderId="37" xfId="0" applyNumberFormat="1" applyFont="1" applyBorder="1"/>
    <xf numFmtId="37" fontId="49" fillId="0" borderId="1" xfId="0" applyNumberFormat="1" applyFont="1" applyBorder="1"/>
    <xf numFmtId="37" fontId="49" fillId="0" borderId="0" xfId="0" applyNumberFormat="1" applyFont="1"/>
    <xf numFmtId="1" fontId="49" fillId="0" borderId="0" xfId="0" applyNumberFormat="1" applyFont="1"/>
    <xf numFmtId="37" fontId="49" fillId="0" borderId="32" xfId="0" applyNumberFormat="1" applyFont="1" applyBorder="1"/>
    <xf numFmtId="165" fontId="49" fillId="0" borderId="32" xfId="0" applyNumberFormat="1" applyFont="1" applyBorder="1"/>
    <xf numFmtId="43" fontId="49" fillId="0" borderId="32" xfId="0" applyNumberFormat="1" applyFont="1" applyBorder="1"/>
    <xf numFmtId="37" fontId="50" fillId="2" borderId="35" xfId="0" applyNumberFormat="1" applyFont="1" applyFill="1" applyBorder="1"/>
    <xf numFmtId="0" fontId="49" fillId="3" borderId="10" xfId="0" applyFont="1" applyFill="1" applyBorder="1"/>
    <xf numFmtId="0" fontId="49" fillId="3" borderId="1" xfId="0" applyFont="1" applyFill="1" applyBorder="1"/>
    <xf numFmtId="37" fontId="49" fillId="3" borderId="1" xfId="0" applyNumberFormat="1" applyFont="1" applyFill="1" applyBorder="1"/>
    <xf numFmtId="37" fontId="50" fillId="3" borderId="36" xfId="0" applyNumberFormat="1" applyFont="1" applyFill="1" applyBorder="1"/>
    <xf numFmtId="0" fontId="50" fillId="3" borderId="1" xfId="0" applyFont="1" applyFill="1" applyBorder="1"/>
    <xf numFmtId="37" fontId="50" fillId="3" borderId="37" xfId="0" applyNumberFormat="1" applyFont="1" applyFill="1" applyBorder="1"/>
    <xf numFmtId="37" fontId="50" fillId="3" borderId="0" xfId="0" applyNumberFormat="1" applyFont="1" applyFill="1"/>
    <xf numFmtId="165" fontId="50" fillId="3" borderId="0" xfId="0" applyNumberFormat="1" applyFont="1" applyFill="1"/>
    <xf numFmtId="37" fontId="50" fillId="3" borderId="38" xfId="0" applyNumberFormat="1" applyFont="1" applyFill="1" applyBorder="1"/>
    <xf numFmtId="165" fontId="50" fillId="0" borderId="26" xfId="0" applyNumberFormat="1" applyFont="1" applyBorder="1"/>
    <xf numFmtId="0" fontId="49" fillId="2" borderId="45" xfId="0" applyFont="1" applyFill="1" applyBorder="1"/>
    <xf numFmtId="0" fontId="49" fillId="2" borderId="46" xfId="0" applyFont="1" applyFill="1" applyBorder="1"/>
    <xf numFmtId="0" fontId="49" fillId="2" borderId="46" xfId="0" applyFont="1" applyFill="1" applyBorder="1" applyAlignment="1">
      <alignment horizontal="center"/>
    </xf>
    <xf numFmtId="165" fontId="49" fillId="2" borderId="46" xfId="0" applyNumberFormat="1" applyFont="1" applyFill="1" applyBorder="1"/>
    <xf numFmtId="37" fontId="49" fillId="2" borderId="47" xfId="0" applyNumberFormat="1" applyFont="1" applyFill="1" applyBorder="1"/>
    <xf numFmtId="37" fontId="49" fillId="2" borderId="48" xfId="0" applyNumberFormat="1" applyFont="1" applyFill="1" applyBorder="1"/>
    <xf numFmtId="165" fontId="49" fillId="2" borderId="49" xfId="0" applyNumberFormat="1" applyFont="1" applyFill="1" applyBorder="1"/>
    <xf numFmtId="37" fontId="49" fillId="2" borderId="50" xfId="0" applyNumberFormat="1" applyFont="1" applyFill="1" applyBorder="1"/>
    <xf numFmtId="37" fontId="49" fillId="2" borderId="46" xfId="0" applyNumberFormat="1" applyFont="1" applyFill="1" applyBorder="1"/>
    <xf numFmtId="165" fontId="49" fillId="2" borderId="16" xfId="0" applyNumberFormat="1" applyFont="1" applyFill="1" applyBorder="1"/>
    <xf numFmtId="0" fontId="56" fillId="0" borderId="0" xfId="0" applyFont="1"/>
    <xf numFmtId="0" fontId="56" fillId="0" borderId="0" xfId="0" applyFont="1" applyAlignment="1">
      <alignment horizontal="center"/>
    </xf>
    <xf numFmtId="0" fontId="56" fillId="0" borderId="0" xfId="0" applyFont="1" applyAlignment="1">
      <alignment horizontal="right"/>
    </xf>
    <xf numFmtId="165" fontId="49" fillId="2" borderId="51" xfId="0" applyNumberFormat="1" applyFont="1" applyFill="1" applyBorder="1"/>
    <xf numFmtId="37" fontId="49" fillId="2" borderId="65" xfId="0" applyNumberFormat="1" applyFont="1" applyFill="1" applyBorder="1"/>
    <xf numFmtId="37" fontId="49" fillId="2" borderId="60" xfId="0" applyNumberFormat="1" applyFont="1" applyFill="1" applyBorder="1"/>
    <xf numFmtId="165" fontId="49" fillId="2" borderId="63" xfId="0" applyNumberFormat="1" applyFont="1" applyFill="1" applyBorder="1"/>
    <xf numFmtId="0" fontId="42" fillId="3" borderId="0" xfId="0" applyFont="1" applyFill="1"/>
    <xf numFmtId="0" fontId="42" fillId="0" borderId="3" xfId="0" applyFont="1" applyBorder="1"/>
    <xf numFmtId="37" fontId="42" fillId="0" borderId="31" xfId="0" applyNumberFormat="1" applyFont="1" applyBorder="1"/>
    <xf numFmtId="0" fontId="42" fillId="0" borderId="71" xfId="0" applyFont="1" applyBorder="1"/>
    <xf numFmtId="0" fontId="42" fillId="0" borderId="31" xfId="0" applyFont="1" applyBorder="1"/>
    <xf numFmtId="0" fontId="42" fillId="0" borderId="33" xfId="0" applyFont="1" applyBorder="1"/>
    <xf numFmtId="0" fontId="42" fillId="0" borderId="2" xfId="0" applyFont="1" applyBorder="1"/>
    <xf numFmtId="0" fontId="42" fillId="0" borderId="32" xfId="0" applyFont="1" applyBorder="1"/>
    <xf numFmtId="43" fontId="42" fillId="0" borderId="0" xfId="0" applyNumberFormat="1" applyFont="1"/>
    <xf numFmtId="171" fontId="42" fillId="0" borderId="0" xfId="0" applyNumberFormat="1" applyFont="1" applyAlignment="1">
      <alignment horizontal="right"/>
    </xf>
    <xf numFmtId="10" fontId="26" fillId="0" borderId="0" xfId="0" applyNumberFormat="1" applyFont="1"/>
    <xf numFmtId="43" fontId="26" fillId="0" borderId="0" xfId="0" applyNumberFormat="1" applyFont="1"/>
    <xf numFmtId="172" fontId="42" fillId="0" borderId="0" xfId="0" applyNumberFormat="1" applyFont="1"/>
  </cellXfs>
  <cellStyles count="17">
    <cellStyle name="Milliers" xfId="16" builtinId="3"/>
    <cellStyle name="Milliers 2" xfId="6" xr:uid="{00000000-0005-0000-0000-000001000000}"/>
    <cellStyle name="Milliers 3" xfId="12" xr:uid="{2971D271-07C3-42EA-AF54-CA19A237EB8E}"/>
    <cellStyle name="Monétaire 2" xfId="3" xr:uid="{00000000-0005-0000-0000-000002000000}"/>
    <cellStyle name="Monétaire 3" xfId="8" xr:uid="{00000000-0005-0000-0000-000003000000}"/>
    <cellStyle name="Normal" xfId="0" builtinId="0"/>
    <cellStyle name="Normal 12" xfId="15" xr:uid="{38AAD80B-D2B1-4EDC-AF3A-6BEE5BDF1226}"/>
    <cellStyle name="Normal 2" xfId="2" xr:uid="{00000000-0005-0000-0000-000005000000}"/>
    <cellStyle name="Normal 3" xfId="4" xr:uid="{00000000-0005-0000-0000-000006000000}"/>
    <cellStyle name="Normal 4" xfId="5" xr:uid="{00000000-0005-0000-0000-000007000000}"/>
    <cellStyle name="Normal 5" xfId="10" xr:uid="{51C4BCB6-FF3C-47B5-9E50-8775982480A2}"/>
    <cellStyle name="Normal 6" xfId="11" xr:uid="{C658EC4B-DAA5-46C8-9908-7D394852AE7F}"/>
    <cellStyle name="Normal 7" xfId="9" xr:uid="{22EAD058-5ED6-4E84-8564-A06058AFEAAD}"/>
    <cellStyle name="Normal 8" xfId="13" xr:uid="{E59814D8-4C8E-4B6D-8DEB-9295B6A31C96}"/>
    <cellStyle name="Pourcentage" xfId="1" builtinId="5"/>
    <cellStyle name="Pourcentage 2" xfId="7" xr:uid="{00000000-0005-0000-0000-000009000000}"/>
    <cellStyle name="Pourcentage 3" xfId="14" xr:uid="{B09CCB1C-0232-46FA-AAFA-AA26EA7AA4F5}"/>
  </cellStyles>
  <dxfs count="1180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isques%20partag&#233;s\Ste-Marie%20Automobiles%20-%20Contr&#244;leurs\1-%20Dossier%20de%20fin%20de%20mois\a)%20R&#233;alis&#233;\2026\2026-07%20R&#233;alis&#233;%20STM.xlsx" TargetMode="External"/><Relationship Id="rId1" Type="http://schemas.openxmlformats.org/officeDocument/2006/relationships/externalLinkPath" Target="2026-07%20R&#233;alis&#233;%20ST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isques%20partag&#233;s\Ste-Marie%20Automobiles%20-%20Contr&#244;leurs\1-%20Dossier%20de%20fin%20de%20mois\a)%20R&#233;alis&#233;\2026\2026-08%20R&#233;alis&#233;%20STM.xlsx" TargetMode="External"/><Relationship Id="rId1" Type="http://schemas.openxmlformats.org/officeDocument/2006/relationships/externalLinkPath" Target="2026-08%20R&#233;alis&#233;%20S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isques%20partag&#233;s\Ste-Marie%20Automobiles%20-%20Contr&#244;leurs\1-%20Dossier%20de%20fin%20de%20mois\a)%20R&#233;alis&#233;\2026\2026-09%20R&#233;alis&#233;%20STM.xlsx" TargetMode="External"/><Relationship Id="rId1" Type="http://schemas.openxmlformats.org/officeDocument/2006/relationships/externalLinkPath" Target="2026-09%20R&#233;alis&#233;%20ST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es"/>
      <sheetName val="Bilan"/>
      <sheetName val="Budget original"/>
      <sheetName val="Réel 2024"/>
      <sheetName val="Capex"/>
      <sheetName val="Inventaire_Used"/>
      <sheetName val="Inventaire_Neuf"/>
      <sheetName val="2pager"/>
      <sheetName val="Print_Mois"/>
      <sheetName val="Print_AAD"/>
      <sheetName val="Q2"/>
      <sheetName val="Carrosserie_Mois"/>
      <sheetName val="Carrosserie_AAD"/>
      <sheetName val="BV_Data_An_Cour"/>
      <sheetName val="Data_Validation"/>
      <sheetName val="BV_Data_An_Prec"/>
      <sheetName val="Résumé"/>
      <sheetName val="Mensuel 2026"/>
    </sheetNames>
    <sheetDataSet>
      <sheetData sheetId="0">
        <row r="1">
          <cell r="B1" t="str">
            <v>Ste-Marie Auto</v>
          </cell>
        </row>
        <row r="3">
          <cell r="B3" t="str">
            <v>Juillet</v>
          </cell>
        </row>
        <row r="4">
          <cell r="B4">
            <v>2026</v>
          </cell>
        </row>
      </sheetData>
      <sheetData sheetId="1"/>
      <sheetData sheetId="2">
        <row r="2">
          <cell r="B2" t="str">
            <v>Mois</v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O2" t="str">
            <v/>
          </cell>
          <cell r="P2" t="str">
            <v/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/>
          </cell>
          <cell r="X2" t="str">
            <v>X</v>
          </cell>
          <cell r="Y2" t="str">
            <v>O</v>
          </cell>
          <cell r="Z2" t="str">
            <v>U</v>
          </cell>
          <cell r="AA2" t="str">
            <v/>
          </cell>
          <cell r="AB2" t="str">
            <v/>
          </cell>
          <cell r="AC2" t="str">
            <v/>
          </cell>
          <cell r="AD2" t="str">
            <v/>
          </cell>
          <cell r="AE2" t="str">
            <v/>
          </cell>
          <cell r="AF2" t="str">
            <v/>
          </cell>
          <cell r="AG2" t="str">
            <v/>
          </cell>
          <cell r="AH2" t="str">
            <v/>
          </cell>
          <cell r="AI2" t="str">
            <v/>
          </cell>
          <cell r="AJ2" t="str">
            <v/>
          </cell>
          <cell r="AK2" t="str">
            <v/>
          </cell>
          <cell r="AL2" t="str">
            <v/>
          </cell>
          <cell r="AM2" t="str">
            <v/>
          </cell>
          <cell r="AN2" t="str">
            <v/>
          </cell>
          <cell r="AO2" t="str">
            <v/>
          </cell>
        </row>
        <row r="3">
          <cell r="B3" t="str">
            <v>YTD</v>
          </cell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str">
            <v/>
          </cell>
          <cell r="AB3" t="str">
            <v/>
          </cell>
          <cell r="AC3" t="str">
            <v/>
          </cell>
          <cell r="AD3" t="str">
            <v/>
          </cell>
          <cell r="AE3" t="str">
            <v/>
          </cell>
          <cell r="AF3" t="str">
            <v/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4">
          <cell r="B4" t="str">
            <v>Budget 2025</v>
          </cell>
          <cell r="C4" t="str">
            <v>Véhicules neufs</v>
          </cell>
        </row>
        <row r="6">
          <cell r="B6" t="str">
            <v>Mois</v>
          </cell>
          <cell r="C6" t="str">
            <v>TOTAL</v>
          </cell>
          <cell r="F6" t="str">
            <v>Janvier</v>
          </cell>
          <cell r="I6" t="str">
            <v>Février</v>
          </cell>
          <cell r="L6" t="str">
            <v>Mars</v>
          </cell>
          <cell r="O6" t="str">
            <v>Avril</v>
          </cell>
          <cell r="R6" t="str">
            <v>Mai</v>
          </cell>
          <cell r="U6" t="str">
            <v>Juin</v>
          </cell>
          <cell r="X6" t="str">
            <v>Juillet</v>
          </cell>
          <cell r="AA6" t="str">
            <v>Août</v>
          </cell>
          <cell r="AD6" t="str">
            <v>Septembre</v>
          </cell>
          <cell r="AG6" t="str">
            <v>Octobre</v>
          </cell>
          <cell r="AJ6" t="str">
            <v>Novembre</v>
          </cell>
          <cell r="AM6" t="str">
            <v>Décembre</v>
          </cell>
        </row>
        <row r="7">
          <cell r="C7" t="str">
            <v>UNITE</v>
          </cell>
          <cell r="D7" t="str">
            <v>$P/UNITE</v>
          </cell>
          <cell r="E7" t="str">
            <v>$PROFITS</v>
          </cell>
          <cell r="F7" t="str">
            <v>UNITE</v>
          </cell>
          <cell r="G7" t="str">
            <v>$P/UNITE</v>
          </cell>
          <cell r="H7" t="str">
            <v>$PROFITS</v>
          </cell>
          <cell r="I7" t="str">
            <v>UNITE</v>
          </cell>
          <cell r="J7" t="str">
            <v>$P/UNITE</v>
          </cell>
          <cell r="K7" t="str">
            <v>$PROFITS</v>
          </cell>
          <cell r="L7" t="str">
            <v>UNITE</v>
          </cell>
          <cell r="M7" t="str">
            <v>$P/UNITE</v>
          </cell>
          <cell r="N7" t="str">
            <v>$PROFITS</v>
          </cell>
          <cell r="O7" t="str">
            <v>UNITE</v>
          </cell>
          <cell r="P7" t="str">
            <v>$P/UNITE</v>
          </cell>
          <cell r="Q7" t="str">
            <v>$PROFITS</v>
          </cell>
          <cell r="R7" t="str">
            <v>UNITE</v>
          </cell>
          <cell r="S7" t="str">
            <v>$P/UNITE</v>
          </cell>
          <cell r="T7" t="str">
            <v>$PROFITS</v>
          </cell>
          <cell r="U7" t="str">
            <v>UNITE</v>
          </cell>
          <cell r="V7" t="str">
            <v>$P/UNITE</v>
          </cell>
          <cell r="W7" t="str">
            <v>$PROFITS</v>
          </cell>
          <cell r="X7" t="str">
            <v>UNITE</v>
          </cell>
          <cell r="Y7" t="str">
            <v>$P/UNITE</v>
          </cell>
          <cell r="Z7" t="str">
            <v>$PROFITS</v>
          </cell>
          <cell r="AA7" t="str">
            <v>UNITE</v>
          </cell>
          <cell r="AB7" t="str">
            <v>$P/UNITE</v>
          </cell>
          <cell r="AC7" t="str">
            <v>$PROFITS</v>
          </cell>
          <cell r="AD7" t="str">
            <v>UNITE</v>
          </cell>
          <cell r="AE7" t="str">
            <v>$P/UNITE</v>
          </cell>
          <cell r="AF7" t="str">
            <v>$PROFITS</v>
          </cell>
          <cell r="AG7" t="str">
            <v>UNITE</v>
          </cell>
          <cell r="AH7" t="str">
            <v>$P/UNITE</v>
          </cell>
          <cell r="AI7" t="str">
            <v>$PROFITS</v>
          </cell>
          <cell r="AJ7" t="str">
            <v>UNITE</v>
          </cell>
          <cell r="AK7" t="str">
            <v>$P/UNITE</v>
          </cell>
          <cell r="AL7" t="str">
            <v>$PROFITS</v>
          </cell>
          <cell r="AM7" t="str">
            <v>UNITE</v>
          </cell>
          <cell r="AN7" t="str">
            <v>$P/UNITE</v>
          </cell>
          <cell r="AO7" t="str">
            <v>$PROFITS</v>
          </cell>
        </row>
        <row r="8">
          <cell r="A8" t="str">
            <v>Véhicules neufsVentes nettes</v>
          </cell>
          <cell r="B8" t="str">
            <v>Ventes nettes</v>
          </cell>
        </row>
        <row r="9">
          <cell r="A9" t="str">
            <v>Véhicules neufsAutos détail</v>
          </cell>
          <cell r="B9" t="str">
            <v>Autos détail</v>
          </cell>
        </row>
        <row r="10">
          <cell r="A10" t="str">
            <v>Véhicules neufsCamions détail</v>
          </cell>
          <cell r="B10" t="str">
            <v>Camions détail</v>
          </cell>
        </row>
        <row r="11">
          <cell r="A11" t="str">
            <v>Véhicules neufsSprinter</v>
          </cell>
          <cell r="B11" t="str">
            <v>Sprinter</v>
          </cell>
        </row>
        <row r="12">
          <cell r="A12" t="str">
            <v>Véhicules neufsMoto détail</v>
          </cell>
          <cell r="B12" t="str">
            <v>Moto détail</v>
          </cell>
        </row>
        <row r="13">
          <cell r="A13" t="str">
            <v>Véhicules neufs[...]</v>
          </cell>
          <cell r="B13" t="str">
            <v>[...]</v>
          </cell>
        </row>
        <row r="14">
          <cell r="A14" t="str">
            <v>Véhicules neufs[...]</v>
          </cell>
          <cell r="B14" t="str">
            <v>[...]</v>
          </cell>
        </row>
        <row r="15">
          <cell r="A15" t="str">
            <v>Véhicules neufs[...]</v>
          </cell>
          <cell r="B15" t="str">
            <v>[...]</v>
          </cell>
        </row>
        <row r="16">
          <cell r="A16" t="str">
            <v>Véhicules neufsTotal Neufs</v>
          </cell>
          <cell r="B16" t="str">
            <v>Total Neufs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B18" t="str">
            <v>Ex-Démos et courtoisies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B20" t="str">
            <v>Flottes</v>
          </cell>
        </row>
        <row r="21">
          <cell r="A21" t="str">
            <v>Véhicules neufs</v>
          </cell>
        </row>
        <row r="22">
          <cell r="A22" t="str">
            <v>Véhicules neufsRachat bail</v>
          </cell>
          <cell r="B22" t="str">
            <v>Rachat bail</v>
          </cell>
        </row>
        <row r="23">
          <cell r="A23" t="str">
            <v>Véhicules neufs</v>
          </cell>
        </row>
        <row r="24">
          <cell r="A24" t="str">
            <v>Véhicules neufsRev. Finances</v>
          </cell>
          <cell r="B24" t="str">
            <v>Rev. Finances</v>
          </cell>
        </row>
        <row r="25">
          <cell r="A25" t="str">
            <v>Véhicules neufsRev. Protections</v>
          </cell>
          <cell r="B25" t="str">
            <v>Rev. Protections</v>
          </cell>
        </row>
        <row r="26">
          <cell r="A26" t="str">
            <v>Véhicules neufsRev. Autres</v>
          </cell>
          <cell r="B26" t="str">
            <v>Rev. Autres</v>
          </cell>
        </row>
        <row r="27">
          <cell r="A27" t="str">
            <v>Véhicules neufsTotal F&amp;I</v>
          </cell>
          <cell r="B27" t="str">
            <v>Total F&amp;I</v>
          </cell>
        </row>
        <row r="28">
          <cell r="A28" t="str">
            <v>Véhicules neufs</v>
          </cell>
        </row>
        <row r="29">
          <cell r="A29" t="str">
            <v>Véhicules neufs</v>
          </cell>
        </row>
        <row r="30">
          <cell r="A30" t="str">
            <v>Véhicules neufsTotal Dépt. Neufs</v>
          </cell>
          <cell r="B30" t="str">
            <v>Total Dépt. Neufs</v>
          </cell>
        </row>
        <row r="31">
          <cell r="A31" t="str">
            <v>Véhicules neufs</v>
          </cell>
        </row>
        <row r="32">
          <cell r="A32" t="str">
            <v>Véhicules neufs</v>
          </cell>
        </row>
        <row r="33">
          <cell r="A33" t="str">
            <v>Véhicules neufsDEPENSES</v>
          </cell>
          <cell r="B33" t="str">
            <v>DEPENSES</v>
          </cell>
        </row>
        <row r="34">
          <cell r="A34" t="str">
            <v>Véhicules neufsComm. vendeurs</v>
          </cell>
          <cell r="B34" t="str">
            <v>Comm. vendeurs</v>
          </cell>
        </row>
        <row r="35">
          <cell r="A35" t="str">
            <v>Véhicules neufsComm. F&amp;I</v>
          </cell>
          <cell r="B35" t="str">
            <v>Comm. F&amp;I</v>
          </cell>
        </row>
        <row r="36">
          <cell r="A36" t="str">
            <v>Véhicules neufsFrais de livraison</v>
          </cell>
          <cell r="B36" t="str">
            <v>Frais de livraison</v>
          </cell>
        </row>
        <row r="37">
          <cell r="A37" t="str">
            <v>Véhicules neufsService gratuit 1</v>
          </cell>
          <cell r="B37" t="str">
            <v>Service gratuit 1</v>
          </cell>
        </row>
        <row r="38">
          <cell r="A38" t="str">
            <v>Véhicules neufsEntretien stock</v>
          </cell>
          <cell r="B38" t="str">
            <v>Entretien stock</v>
          </cell>
        </row>
        <row r="39">
          <cell r="A39" t="str">
            <v>Véhicules neufsPublicité 1</v>
          </cell>
          <cell r="B39" t="str">
            <v>Publicité 1</v>
          </cell>
        </row>
        <row r="40">
          <cell r="A40" t="str">
            <v>Véhicules neufsIntérêt de gros</v>
          </cell>
          <cell r="B40" t="str">
            <v>Intérêt de gros</v>
          </cell>
        </row>
        <row r="41">
          <cell r="A41" t="str">
            <v>Véhicules neufs[...]</v>
          </cell>
          <cell r="B41" t="str">
            <v>[...]</v>
          </cell>
        </row>
        <row r="42">
          <cell r="A42" t="str">
            <v>Véhicules neufs[...]</v>
          </cell>
          <cell r="B42" t="str">
            <v>[...]</v>
          </cell>
        </row>
        <row r="43">
          <cell r="A43" t="str">
            <v>Véhicules neufs[...]</v>
          </cell>
          <cell r="B43" t="str">
            <v>[...]</v>
          </cell>
        </row>
        <row r="44">
          <cell r="A44" t="str">
            <v>Véhicules neufsTOTAL VARIABLES</v>
          </cell>
          <cell r="B44" t="str">
            <v>TOTAL VARIABLES</v>
          </cell>
        </row>
        <row r="45">
          <cell r="A45" t="str">
            <v>Véhicules neufsSalaires cadres</v>
          </cell>
          <cell r="B45" t="str">
            <v>Salaires cadres</v>
          </cell>
        </row>
        <row r="46">
          <cell r="A46" t="str">
            <v>Véhicules neufsSalaires commis</v>
          </cell>
          <cell r="B46" t="str">
            <v>Salaires commis</v>
          </cell>
        </row>
        <row r="47">
          <cell r="A47" t="str">
            <v>Véhicules neufsSalaires autres</v>
          </cell>
          <cell r="B47" t="str">
            <v>Salaires autres</v>
          </cell>
        </row>
        <row r="48">
          <cell r="A48" t="str">
            <v>Véhicules neufsSalaires spécialistes</v>
          </cell>
          <cell r="B48" t="str">
            <v>Salaires spécialistes</v>
          </cell>
        </row>
        <row r="49">
          <cell r="A49" t="str">
            <v>Véhicules neufs[...]</v>
          </cell>
          <cell r="B49" t="str">
            <v>[...]</v>
          </cell>
        </row>
        <row r="50">
          <cell r="A50" t="str">
            <v>Véhicules neufs[...]</v>
          </cell>
          <cell r="B50" t="str">
            <v>[...]</v>
          </cell>
        </row>
        <row r="51">
          <cell r="A51" t="str">
            <v>Véhicules neufs[...]</v>
          </cell>
          <cell r="B51" t="str">
            <v>[...]</v>
          </cell>
        </row>
        <row r="52">
          <cell r="A52" t="str">
            <v>Véhicules neufsSalaires en absences</v>
          </cell>
          <cell r="B52" t="str">
            <v>Salaires en absences</v>
          </cell>
        </row>
        <row r="53">
          <cell r="A53" t="str">
            <v>Véhicules neufsDéduction à la source</v>
          </cell>
          <cell r="B53" t="str">
            <v>Déduction à la source</v>
          </cell>
        </row>
        <row r="54">
          <cell r="A54" t="str">
            <v>Véhicules neufsBénéfices marginaux</v>
          </cell>
          <cell r="B54" t="str">
            <v>Bénéfices marginaux</v>
          </cell>
        </row>
        <row r="55">
          <cell r="A55" t="str">
            <v>Véhicules neufsCsst</v>
          </cell>
          <cell r="B55" t="str">
            <v>Csst</v>
          </cell>
        </row>
        <row r="56">
          <cell r="A56" t="str">
            <v>Véhicules neufs[...]</v>
          </cell>
          <cell r="B56" t="str">
            <v>[...]</v>
          </cell>
        </row>
        <row r="57">
          <cell r="A57" t="str">
            <v>Véhicules neufsTOTAL PERSONNEL</v>
          </cell>
          <cell r="B57" t="str">
            <v>TOTAL PERSONNEL</v>
          </cell>
        </row>
        <row r="58">
          <cell r="A58" t="str">
            <v>Véhicules neufsPublicité 2</v>
          </cell>
          <cell r="B58" t="str">
            <v>Publicité 2</v>
          </cell>
        </row>
        <row r="59">
          <cell r="A59" t="str">
            <v>Véhicules neufsService gratuit 2</v>
          </cell>
          <cell r="B59" t="str">
            <v>Service gratuit 2</v>
          </cell>
        </row>
        <row r="60">
          <cell r="A60" t="str">
            <v>Véhicules neufsFrais véhicules de cie</v>
          </cell>
          <cell r="B60" t="str">
            <v>Frais véhicules de cie</v>
          </cell>
        </row>
        <row r="61">
          <cell r="A61" t="str">
            <v>Véhicules neufsInformatique</v>
          </cell>
          <cell r="B61" t="str">
            <v>Informatique</v>
          </cell>
        </row>
        <row r="62">
          <cell r="A62" t="str">
            <v>Véhicules neufsFrais de déplacement</v>
          </cell>
          <cell r="B62" t="str">
            <v>Frais de déplacement</v>
          </cell>
        </row>
        <row r="63">
          <cell r="A63" t="str">
            <v>Véhicules neufsServices extérieurs</v>
          </cell>
          <cell r="B63" t="str">
            <v>Services extérieurs</v>
          </cell>
        </row>
        <row r="64">
          <cell r="A64" t="str">
            <v>Véhicules neufsFournitures autres</v>
          </cell>
          <cell r="B64" t="str">
            <v>Fournitures autres</v>
          </cell>
        </row>
        <row r="65">
          <cell r="A65" t="str">
            <v>Véhicules neufsUniformes</v>
          </cell>
          <cell r="B65" t="str">
            <v>Uniformes</v>
          </cell>
        </row>
        <row r="66">
          <cell r="A66" t="str">
            <v>Véhicules neufsPapeterie</v>
          </cell>
          <cell r="B66" t="str">
            <v>Papeterie</v>
          </cell>
        </row>
        <row r="67">
          <cell r="A67" t="str">
            <v>Véhicules neufsTéléphone</v>
          </cell>
          <cell r="B67" t="str">
            <v>Téléphone</v>
          </cell>
        </row>
        <row r="68">
          <cell r="A68" t="str">
            <v>Véhicules neufsFrais postaux</v>
          </cell>
          <cell r="B68" t="str">
            <v>Frais postaux</v>
          </cell>
        </row>
        <row r="69">
          <cell r="A69" t="str">
            <v>Véhicules neufsDivers</v>
          </cell>
          <cell r="B69" t="str">
            <v>Divers</v>
          </cell>
        </row>
        <row r="70">
          <cell r="A70" t="str">
            <v>Véhicules neufsFormation</v>
          </cell>
          <cell r="B70" t="str">
            <v>Formation</v>
          </cell>
        </row>
        <row r="71">
          <cell r="A71" t="str">
            <v>Véhicules neufsFrais bancaires</v>
          </cell>
          <cell r="B71" t="str">
            <v>Frais bancaires</v>
          </cell>
        </row>
        <row r="72">
          <cell r="A72" t="str">
            <v>Véhicules neufs[...]</v>
          </cell>
          <cell r="B72" t="str">
            <v>[...]</v>
          </cell>
        </row>
        <row r="73">
          <cell r="A73" t="str">
            <v>Véhicules neufs[...]</v>
          </cell>
          <cell r="B73" t="str">
            <v>[...]</v>
          </cell>
        </row>
        <row r="74">
          <cell r="A74" t="str">
            <v>Véhicules neufs[...]</v>
          </cell>
          <cell r="B74" t="str">
            <v>[...]</v>
          </cell>
        </row>
        <row r="75">
          <cell r="A75" t="str">
            <v>Véhicules neufsTOTAL SEMI-FIXES</v>
          </cell>
          <cell r="B75" t="str">
            <v>TOTAL SEMI-FIXES</v>
          </cell>
        </row>
        <row r="76">
          <cell r="A76" t="str">
            <v>Véhicules neufs</v>
          </cell>
        </row>
        <row r="77">
          <cell r="A77" t="str">
            <v>Véhicules neufsTOTAL DES DÉPENSES</v>
          </cell>
          <cell r="B77" t="str">
            <v>TOTAL DES DÉPENSES</v>
          </cell>
        </row>
        <row r="78">
          <cell r="A78" t="str">
            <v>Véhicules neufsProgramme neuf 1</v>
          </cell>
          <cell r="B78" t="str">
            <v>Programme neuf 1</v>
          </cell>
        </row>
        <row r="79">
          <cell r="A79" t="str">
            <v>Véhicules neufsProgramme neuf 2</v>
          </cell>
          <cell r="B79" t="str">
            <v>Programme neuf 2</v>
          </cell>
        </row>
        <row r="80">
          <cell r="A80" t="str">
            <v>Véhicules neufsProgramme neuf 3</v>
          </cell>
          <cell r="B80" t="str">
            <v>Programme neuf 3</v>
          </cell>
        </row>
        <row r="81">
          <cell r="A81" t="str">
            <v>Véhicules neufsHoldbacks</v>
          </cell>
          <cell r="B81" t="str">
            <v>Holdbacks</v>
          </cell>
        </row>
        <row r="82">
          <cell r="A82" t="str">
            <v>Véhicules neufs[...]</v>
          </cell>
          <cell r="B82" t="str">
            <v>[...]</v>
          </cell>
        </row>
        <row r="83">
          <cell r="A83" t="str">
            <v>Véhicules neufs[...]</v>
          </cell>
          <cell r="B83" t="str">
            <v>[...]</v>
          </cell>
        </row>
        <row r="84">
          <cell r="A84" t="str">
            <v>Véhicules neufs[...]</v>
          </cell>
          <cell r="B84" t="str">
            <v>[...]</v>
          </cell>
        </row>
        <row r="85">
          <cell r="A85" t="str">
            <v>Véhicules neufsFrais administration</v>
          </cell>
          <cell r="B85" t="str">
            <v>Frais administration</v>
          </cell>
        </row>
        <row r="86">
          <cell r="A86" t="str">
            <v>Véhicules neufsAUTRES REVENUS</v>
          </cell>
          <cell r="B86" t="str">
            <v>AUTRES REVENUS</v>
          </cell>
        </row>
        <row r="87">
          <cell r="A87" t="str">
            <v>Véhicules neufs</v>
          </cell>
        </row>
        <row r="88">
          <cell r="A88" t="str">
            <v>Véhicules neufsPROFIT DÉPARTEMENTAL</v>
          </cell>
          <cell r="B88" t="str">
            <v>PROFIT DÉPARTEMENTAL</v>
          </cell>
        </row>
        <row r="92">
          <cell r="B92" t="str">
            <v>Budget 2025</v>
          </cell>
          <cell r="C92" t="str">
            <v>Véhicules usagés</v>
          </cell>
        </row>
        <row r="94">
          <cell r="B94" t="str">
            <v>Mois</v>
          </cell>
          <cell r="C94">
            <v>2021</v>
          </cell>
          <cell r="F94" t="str">
            <v>Janvier</v>
          </cell>
          <cell r="I94" t="str">
            <v>Février</v>
          </cell>
          <cell r="L94" t="str">
            <v>Mars</v>
          </cell>
          <cell r="O94" t="str">
            <v>Avril</v>
          </cell>
          <cell r="R94" t="str">
            <v>Mai</v>
          </cell>
          <cell r="U94" t="str">
            <v>Juin</v>
          </cell>
          <cell r="X94" t="str">
            <v>Juillet</v>
          </cell>
          <cell r="AA94" t="str">
            <v>Août</v>
          </cell>
          <cell r="AD94" t="str">
            <v>Septembre</v>
          </cell>
          <cell r="AG94" t="str">
            <v>Octobre</v>
          </cell>
          <cell r="AJ94" t="str">
            <v>Novembre</v>
          </cell>
          <cell r="AM94" t="str">
            <v>Décembre</v>
          </cell>
        </row>
        <row r="95">
          <cell r="C95" t="str">
            <v>UNITE</v>
          </cell>
          <cell r="D95" t="str">
            <v>$P/UNITE</v>
          </cell>
          <cell r="E95" t="str">
            <v>$PROFITS</v>
          </cell>
          <cell r="F95" t="str">
            <v>UNITE</v>
          </cell>
          <cell r="G95" t="str">
            <v>$P/UNITE</v>
          </cell>
          <cell r="H95" t="str">
            <v>$PROFITS</v>
          </cell>
          <cell r="I95" t="str">
            <v>UNITE</v>
          </cell>
          <cell r="J95" t="str">
            <v>$P/UNITE</v>
          </cell>
          <cell r="K95" t="str">
            <v>$PROFITS</v>
          </cell>
          <cell r="L95" t="str">
            <v>UNITE</v>
          </cell>
          <cell r="M95" t="str">
            <v>$P/UNITE</v>
          </cell>
          <cell r="N95" t="str">
            <v>$PROFITS</v>
          </cell>
          <cell r="O95" t="str">
            <v>UNITE</v>
          </cell>
          <cell r="P95" t="str">
            <v>$P/UNITE</v>
          </cell>
          <cell r="Q95" t="str">
            <v>$PROFITS</v>
          </cell>
          <cell r="R95" t="str">
            <v>UNITE</v>
          </cell>
          <cell r="S95" t="str">
            <v>$P/UNITE</v>
          </cell>
          <cell r="T95" t="str">
            <v>$PROFITS</v>
          </cell>
          <cell r="U95" t="str">
            <v>UNITE</v>
          </cell>
          <cell r="V95" t="str">
            <v>$P/UNITE</v>
          </cell>
          <cell r="W95" t="str">
            <v>$PROFITS</v>
          </cell>
          <cell r="X95" t="str">
            <v>UNITE</v>
          </cell>
          <cell r="Y95" t="str">
            <v>$P/UNITE</v>
          </cell>
          <cell r="Z95" t="str">
            <v>$PROFITS</v>
          </cell>
          <cell r="AA95" t="str">
            <v>UNITE</v>
          </cell>
          <cell r="AB95" t="str">
            <v>$P/UNITE</v>
          </cell>
          <cell r="AC95" t="str">
            <v>$PROFITS</v>
          </cell>
          <cell r="AD95" t="str">
            <v>UNITE</v>
          </cell>
          <cell r="AE95" t="str">
            <v>$P/UNITE</v>
          </cell>
          <cell r="AF95" t="str">
            <v>$PROFITS</v>
          </cell>
          <cell r="AG95" t="str">
            <v>UNITE</v>
          </cell>
          <cell r="AH95" t="str">
            <v>$P/UNITE</v>
          </cell>
          <cell r="AI95" t="str">
            <v>$PROFITS</v>
          </cell>
          <cell r="AJ95" t="str">
            <v>UNITE</v>
          </cell>
          <cell r="AK95" t="str">
            <v>$P/UNITE</v>
          </cell>
          <cell r="AL95" t="str">
            <v>$PROFITS</v>
          </cell>
          <cell r="AM95" t="str">
            <v>UNITE</v>
          </cell>
          <cell r="AN95" t="str">
            <v>$P/UNITE</v>
          </cell>
          <cell r="AO95" t="str">
            <v>$PROFITS</v>
          </cell>
        </row>
        <row r="96">
          <cell r="A96" t="str">
            <v>Véhicules usagésVentes nettes</v>
          </cell>
          <cell r="B96" t="str">
            <v>Ventes nettes</v>
          </cell>
        </row>
        <row r="97">
          <cell r="A97" t="str">
            <v>Véhicules usagésCertifié</v>
          </cell>
          <cell r="B97" t="str">
            <v>Certifié</v>
          </cell>
        </row>
        <row r="98">
          <cell r="A98" t="str">
            <v>Véhicules usagésNon Certifié</v>
          </cell>
          <cell r="B98" t="str">
            <v>Non Certifié</v>
          </cell>
        </row>
        <row r="99">
          <cell r="A99" t="str">
            <v>Véhicules usagésAutres Marques</v>
          </cell>
          <cell r="B99" t="str">
            <v>Autres Marques</v>
          </cell>
        </row>
        <row r="100">
          <cell r="A100" t="str">
            <v>Véhicules usagésTotal Usagés</v>
          </cell>
          <cell r="B100" t="str">
            <v>Total Usagés</v>
          </cell>
        </row>
        <row r="101">
          <cell r="A101" t="str">
            <v>Véhicules usagés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B103" t="str">
            <v>Ventes au Gros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B105" t="str">
            <v>Rev. Finances</v>
          </cell>
        </row>
        <row r="106">
          <cell r="A106" t="str">
            <v>Véhicules usagésRev. Protections</v>
          </cell>
          <cell r="B106" t="str">
            <v>Rev. Protections</v>
          </cell>
        </row>
        <row r="107">
          <cell r="A107" t="str">
            <v>Véhicules usagésRev. Autres</v>
          </cell>
          <cell r="B107" t="str">
            <v>Rev. Autres</v>
          </cell>
        </row>
        <row r="108">
          <cell r="A108" t="str">
            <v>Véhicules usagésTotal F&amp;I</v>
          </cell>
          <cell r="B108" t="str">
            <v>Total F&amp;I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B111" t="str">
            <v>Total Dépt. Usagés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  <cell r="B114" t="str">
            <v>DEPENSES</v>
          </cell>
        </row>
        <row r="115">
          <cell r="A115" t="str">
            <v>Véhicules usagésComm. vendeurs</v>
          </cell>
          <cell r="B115" t="str">
            <v>Comm. vendeurs</v>
          </cell>
        </row>
        <row r="116">
          <cell r="A116" t="str">
            <v>Véhicules usagésComm. F&amp;I</v>
          </cell>
          <cell r="B116" t="str">
            <v>Comm. F&amp;I</v>
          </cell>
        </row>
        <row r="117">
          <cell r="A117" t="str">
            <v>Véhicules usagésFrais de livraison</v>
          </cell>
          <cell r="B117" t="str">
            <v>Frais de livraison</v>
          </cell>
        </row>
        <row r="118">
          <cell r="A118" t="str">
            <v>Véhicules usagésService gratuit 1</v>
          </cell>
          <cell r="B118" t="str">
            <v>Service gratuit 1</v>
          </cell>
        </row>
        <row r="119">
          <cell r="A119" t="str">
            <v>Véhicules usagésEntretien stock</v>
          </cell>
          <cell r="B119" t="str">
            <v>Entretien stock</v>
          </cell>
        </row>
        <row r="120">
          <cell r="A120" t="str">
            <v>Véhicules usagésPublicité 1</v>
          </cell>
          <cell r="B120" t="str">
            <v>Publicité 1</v>
          </cell>
        </row>
        <row r="121">
          <cell r="A121" t="str">
            <v>Véhicules usagésIntérêt de gros</v>
          </cell>
          <cell r="B121" t="str">
            <v>Intérêt de gros</v>
          </cell>
        </row>
        <row r="122">
          <cell r="A122" t="str">
            <v>Véhicules usagés[...]</v>
          </cell>
          <cell r="B122" t="str">
            <v>[...]</v>
          </cell>
        </row>
        <row r="123">
          <cell r="A123" t="str">
            <v>Véhicules usagés[...]</v>
          </cell>
          <cell r="B123" t="str">
            <v>[...]</v>
          </cell>
        </row>
        <row r="124">
          <cell r="A124" t="str">
            <v>Véhicules usagés[...]</v>
          </cell>
          <cell r="B124" t="str">
            <v>[...]</v>
          </cell>
        </row>
        <row r="125">
          <cell r="A125" t="str">
            <v>Véhicules usagésTOTAL VARIABLES</v>
          </cell>
          <cell r="B125" t="str">
            <v>TOTAL VARIABLES</v>
          </cell>
        </row>
        <row r="126">
          <cell r="A126" t="str">
            <v>Véhicules usagésSalaires cadres</v>
          </cell>
          <cell r="B126" t="str">
            <v>Salaires cadres</v>
          </cell>
        </row>
        <row r="127">
          <cell r="A127" t="str">
            <v>Véhicules usagésSalaires commis</v>
          </cell>
          <cell r="B127" t="str">
            <v>Salaires commis</v>
          </cell>
        </row>
        <row r="128">
          <cell r="A128" t="str">
            <v>Véhicules usagésSalaires autres</v>
          </cell>
          <cell r="B128" t="str">
            <v>Salaires autres</v>
          </cell>
        </row>
        <row r="129">
          <cell r="A129" t="str">
            <v>Véhicules usagésSalaires spécialistes</v>
          </cell>
          <cell r="B129" t="str">
            <v>Salaires spécialistes</v>
          </cell>
        </row>
        <row r="130">
          <cell r="A130" t="str">
            <v>Véhicules usagés[...]</v>
          </cell>
          <cell r="B130" t="str">
            <v>[...]</v>
          </cell>
        </row>
        <row r="131">
          <cell r="A131" t="str">
            <v>Véhicules usagés[...]</v>
          </cell>
          <cell r="B131" t="str">
            <v>[...]</v>
          </cell>
        </row>
        <row r="132">
          <cell r="A132" t="str">
            <v>Véhicules usagés[...]</v>
          </cell>
          <cell r="B132" t="str">
            <v>[...]</v>
          </cell>
        </row>
        <row r="133">
          <cell r="A133" t="str">
            <v>Véhicules usagésSalaires en absences</v>
          </cell>
          <cell r="B133" t="str">
            <v>Salaires en absences</v>
          </cell>
        </row>
        <row r="134">
          <cell r="A134" t="str">
            <v>Véhicules usagésDéduction à la source</v>
          </cell>
          <cell r="B134" t="str">
            <v>Déduction à la source</v>
          </cell>
        </row>
        <row r="135">
          <cell r="A135" t="str">
            <v>Véhicules usagésBénéfices marginaux</v>
          </cell>
          <cell r="B135" t="str">
            <v>Bénéfices marginaux</v>
          </cell>
        </row>
        <row r="136">
          <cell r="A136" t="str">
            <v>Véhicules usagésCsst</v>
          </cell>
          <cell r="B136" t="str">
            <v>Csst</v>
          </cell>
        </row>
        <row r="137">
          <cell r="A137" t="str">
            <v>Véhicules usagés[...]</v>
          </cell>
          <cell r="B137" t="str">
            <v>[...]</v>
          </cell>
        </row>
        <row r="138">
          <cell r="A138" t="str">
            <v>Véhicules usagésTOTAL PERSONNEL</v>
          </cell>
          <cell r="B138" t="str">
            <v>TOTAL PERSONNEL</v>
          </cell>
        </row>
        <row r="139">
          <cell r="A139" t="str">
            <v>Véhicules usagésPublicité 2</v>
          </cell>
          <cell r="B139" t="str">
            <v>Publicité 2</v>
          </cell>
        </row>
        <row r="140">
          <cell r="A140" t="str">
            <v>Véhicules usagésService gratuit 2</v>
          </cell>
          <cell r="B140" t="str">
            <v>Service gratuit 2</v>
          </cell>
        </row>
        <row r="141">
          <cell r="A141" t="str">
            <v>Véhicules usagésFrais véhicules de cie</v>
          </cell>
          <cell r="B141" t="str">
            <v>Frais véhicules de cie</v>
          </cell>
        </row>
        <row r="142">
          <cell r="A142" t="str">
            <v>Véhicules usagésInformatique</v>
          </cell>
          <cell r="B142" t="str">
            <v>Informatique</v>
          </cell>
        </row>
        <row r="143">
          <cell r="A143" t="str">
            <v>Véhicules usagésFrais de déplacement</v>
          </cell>
          <cell r="B143" t="str">
            <v>Frais de déplacement</v>
          </cell>
        </row>
        <row r="144">
          <cell r="A144" t="str">
            <v>Véhicules usagésServices extérieurs</v>
          </cell>
          <cell r="B144" t="str">
            <v>Services extérieurs</v>
          </cell>
        </row>
        <row r="145">
          <cell r="A145" t="str">
            <v>Véhicules usagésFournitures autres</v>
          </cell>
          <cell r="B145" t="str">
            <v>Fournitures autres</v>
          </cell>
        </row>
        <row r="146">
          <cell r="A146" t="str">
            <v>Véhicules usagésUniformes</v>
          </cell>
          <cell r="B146" t="str">
            <v>Uniformes</v>
          </cell>
        </row>
        <row r="147">
          <cell r="A147" t="str">
            <v>Véhicules usagésPapeterie</v>
          </cell>
          <cell r="B147" t="str">
            <v>Papeterie</v>
          </cell>
        </row>
        <row r="148">
          <cell r="A148" t="str">
            <v>Véhicules usagésTéléphone</v>
          </cell>
          <cell r="B148" t="str">
            <v>Téléphone</v>
          </cell>
        </row>
        <row r="149">
          <cell r="A149" t="str">
            <v>Véhicules usagésFrais postaux</v>
          </cell>
          <cell r="B149" t="str">
            <v>Frais postaux</v>
          </cell>
        </row>
        <row r="150">
          <cell r="A150" t="str">
            <v>Véhicules usagésDivers</v>
          </cell>
          <cell r="B150" t="str">
            <v>Divers</v>
          </cell>
        </row>
        <row r="151">
          <cell r="A151" t="str">
            <v>Véhicules usagésFormation</v>
          </cell>
          <cell r="B151" t="str">
            <v>Formation</v>
          </cell>
        </row>
        <row r="152">
          <cell r="A152" t="str">
            <v>Véhicules usagésFrais bancaires</v>
          </cell>
          <cell r="B152" t="str">
            <v>Frais bancaires</v>
          </cell>
        </row>
        <row r="153">
          <cell r="A153" t="str">
            <v>Véhicules usagés[...]</v>
          </cell>
          <cell r="B153" t="str">
            <v>[...]</v>
          </cell>
        </row>
        <row r="154">
          <cell r="A154" t="str">
            <v>Véhicules usagés[...]</v>
          </cell>
          <cell r="B154" t="str">
            <v>[...]</v>
          </cell>
        </row>
        <row r="155">
          <cell r="A155" t="str">
            <v>Véhicules usagés[...]</v>
          </cell>
          <cell r="B155" t="str">
            <v>[...]</v>
          </cell>
        </row>
        <row r="156">
          <cell r="A156" t="str">
            <v>Véhicules usagésTOTAL SEMI-FIXES</v>
          </cell>
          <cell r="B156" t="str">
            <v>TOTAL SEMI-FIXES</v>
          </cell>
        </row>
        <row r="157">
          <cell r="A157" t="str">
            <v>Véhicules usagés</v>
          </cell>
        </row>
        <row r="158">
          <cell r="A158" t="str">
            <v>Véhicules usagésTOTAL DES DÉPENSES</v>
          </cell>
          <cell r="B158" t="str">
            <v>TOTAL DES DÉPENSES</v>
          </cell>
        </row>
        <row r="159">
          <cell r="A159" t="str">
            <v>Véhicules usagésProgramme used 1</v>
          </cell>
          <cell r="B159" t="str">
            <v>Programme used 1</v>
          </cell>
        </row>
        <row r="160">
          <cell r="A160" t="str">
            <v>Véhicules usagésProgramme used 2</v>
          </cell>
          <cell r="B160" t="str">
            <v>Programme used 2</v>
          </cell>
        </row>
        <row r="161">
          <cell r="A161" t="str">
            <v>Véhicules usagésProgramme used 3</v>
          </cell>
          <cell r="B161" t="str">
            <v>Programme used 3</v>
          </cell>
        </row>
        <row r="162">
          <cell r="A162" t="str">
            <v>Véhicules usagés[...]</v>
          </cell>
          <cell r="B162" t="str">
            <v>[...]</v>
          </cell>
        </row>
        <row r="163">
          <cell r="A163" t="str">
            <v>Véhicules usagés[...]</v>
          </cell>
          <cell r="B163" t="str">
            <v>[...]</v>
          </cell>
        </row>
        <row r="164">
          <cell r="A164" t="str">
            <v>Véhicules usagés[...]</v>
          </cell>
          <cell r="B164" t="str">
            <v>[...]</v>
          </cell>
        </row>
        <row r="165">
          <cell r="A165" t="str">
            <v>Véhicules usagésFrais administration</v>
          </cell>
          <cell r="B165" t="str">
            <v>Frais administration</v>
          </cell>
        </row>
        <row r="166">
          <cell r="A166" t="str">
            <v>Véhicules usagésAUTRES REVENUS</v>
          </cell>
          <cell r="B166" t="str">
            <v>AUTRES REVENUS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B168" t="str">
            <v>PROFIT DÉPARTEMENTAL</v>
          </cell>
        </row>
        <row r="171">
          <cell r="B171" t="str">
            <v>Budget 2025</v>
          </cell>
          <cell r="C171" t="str">
            <v>Service</v>
          </cell>
        </row>
        <row r="173">
          <cell r="B173" t="str">
            <v>Mois</v>
          </cell>
        </row>
        <row r="174">
          <cell r="A174" t="str">
            <v>Service</v>
          </cell>
        </row>
        <row r="175">
          <cell r="A175" t="str">
            <v>ServiceM/O Client</v>
          </cell>
          <cell r="B175" t="str">
            <v>M/O Client</v>
          </cell>
        </row>
        <row r="176">
          <cell r="A176" t="str">
            <v>Service% profit / ventes</v>
          </cell>
          <cell r="B176" t="str">
            <v>% profit / ventes</v>
          </cell>
        </row>
        <row r="177">
          <cell r="A177" t="str">
            <v>Service</v>
          </cell>
        </row>
        <row r="178">
          <cell r="A178" t="str">
            <v>ServiceM/O Garantie</v>
          </cell>
          <cell r="B178" t="str">
            <v>M/O Garantie</v>
          </cell>
        </row>
        <row r="179">
          <cell r="A179" t="str">
            <v>Service% profit / ventes</v>
          </cell>
          <cell r="B179" t="str">
            <v>% profit / ventes</v>
          </cell>
        </row>
        <row r="180">
          <cell r="A180" t="str">
            <v>Service</v>
          </cell>
        </row>
        <row r="181">
          <cell r="A181" t="str">
            <v>ServiceM/O Interne</v>
          </cell>
          <cell r="B181" t="str">
            <v>M/O Interne</v>
          </cell>
        </row>
        <row r="182">
          <cell r="A182" t="str">
            <v>Service% profit / ventes</v>
          </cell>
          <cell r="B182" t="str">
            <v>% profit / ventes</v>
          </cell>
        </row>
        <row r="183">
          <cell r="A183" t="str">
            <v>Service</v>
          </cell>
        </row>
        <row r="184">
          <cell r="A184" t="str">
            <v>ServiceM/O Esthétique</v>
          </cell>
          <cell r="B184" t="str">
            <v>M/O Esthétique</v>
          </cell>
        </row>
        <row r="185">
          <cell r="A185" t="str">
            <v>Service% profit / ventes</v>
          </cell>
          <cell r="B185" t="str">
            <v>% profit / ventes</v>
          </cell>
        </row>
        <row r="186">
          <cell r="A186" t="str">
            <v>Service</v>
          </cell>
        </row>
        <row r="187">
          <cell r="A187" t="str">
            <v>ServiceAjustement M/O</v>
          </cell>
          <cell r="B187" t="str">
            <v>Ajustement M/O</v>
          </cell>
        </row>
        <row r="188">
          <cell r="A188" t="str">
            <v>ServiceSous-total M/O</v>
          </cell>
          <cell r="B188" t="str">
            <v>Sous-total M/O</v>
          </cell>
        </row>
        <row r="189">
          <cell r="A189" t="str">
            <v>Service% protit / ventes</v>
          </cell>
          <cell r="B189" t="str">
            <v>% protit / ventes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B191" t="str">
            <v>Sous-traitement</v>
          </cell>
        </row>
        <row r="192">
          <cell r="A192" t="str">
            <v>Service% profit / ventes</v>
          </cell>
          <cell r="B192" t="str">
            <v>% profit / ventes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B194" t="str">
            <v>M.O. Recond. MCPA</v>
          </cell>
        </row>
        <row r="195">
          <cell r="A195" t="str">
            <v>Service% profit / ventes</v>
          </cell>
          <cell r="B195" t="str">
            <v>% profit / ventes</v>
          </cell>
        </row>
        <row r="196">
          <cell r="A196" t="str">
            <v>Service</v>
          </cell>
        </row>
        <row r="197">
          <cell r="A197" t="str">
            <v>ServiceTotal Mécanique</v>
          </cell>
          <cell r="B197" t="str">
            <v>Total Mécanique</v>
          </cell>
        </row>
        <row r="198">
          <cell r="A198" t="str">
            <v>Service</v>
          </cell>
        </row>
        <row r="199">
          <cell r="A199" t="str">
            <v>Service</v>
          </cell>
        </row>
        <row r="200">
          <cell r="A200" t="str">
            <v>ServiceDEPENSES</v>
          </cell>
          <cell r="B200" t="str">
            <v>DEPENSES</v>
          </cell>
        </row>
        <row r="201">
          <cell r="A201" t="str">
            <v>ServiceSalaires cadres</v>
          </cell>
          <cell r="B201" t="str">
            <v>Salaires cadres</v>
          </cell>
        </row>
        <row r="202">
          <cell r="A202" t="str">
            <v>ServiceSalaires commis</v>
          </cell>
          <cell r="B202" t="str">
            <v>Salaires commis</v>
          </cell>
        </row>
        <row r="203">
          <cell r="A203" t="str">
            <v>ServiceSalaires autres</v>
          </cell>
          <cell r="B203" t="str">
            <v>Salaires autres</v>
          </cell>
        </row>
        <row r="204">
          <cell r="A204" t="str">
            <v>ServiceSalaires spécialistes</v>
          </cell>
          <cell r="B204" t="str">
            <v>Salaires spécialistes</v>
          </cell>
        </row>
        <row r="205">
          <cell r="A205" t="str">
            <v>Service[...]</v>
          </cell>
          <cell r="B205" t="str">
            <v>[...]</v>
          </cell>
        </row>
        <row r="206">
          <cell r="A206" t="str">
            <v>Service[...]</v>
          </cell>
          <cell r="B206" t="str">
            <v>[...]</v>
          </cell>
        </row>
        <row r="207">
          <cell r="A207" t="str">
            <v>Service[...]</v>
          </cell>
          <cell r="B207" t="str">
            <v>[...]</v>
          </cell>
        </row>
        <row r="208">
          <cell r="A208" t="str">
            <v>ServiceSalaires en absences</v>
          </cell>
          <cell r="B208" t="str">
            <v>Salaires en absences</v>
          </cell>
        </row>
        <row r="209">
          <cell r="A209" t="str">
            <v>ServiceDéduction à la source</v>
          </cell>
          <cell r="B209" t="str">
            <v>Déduction à la source</v>
          </cell>
        </row>
        <row r="210">
          <cell r="A210" t="str">
            <v>ServiceBénéfices marginaux</v>
          </cell>
          <cell r="B210" t="str">
            <v>Bénéfices marginaux</v>
          </cell>
        </row>
        <row r="211">
          <cell r="A211" t="str">
            <v>ServiceCsst</v>
          </cell>
          <cell r="B211" t="str">
            <v>Csst</v>
          </cell>
        </row>
        <row r="212">
          <cell r="A212" t="str">
            <v>Service[...]</v>
          </cell>
          <cell r="B212" t="str">
            <v>[...]</v>
          </cell>
        </row>
        <row r="213">
          <cell r="A213" t="str">
            <v>ServiceTOTAL PERSONNEL</v>
          </cell>
          <cell r="B213" t="str">
            <v>TOTAL PERSONNEL</v>
          </cell>
        </row>
        <row r="214">
          <cell r="A214" t="str">
            <v>ServicePublicité 2</v>
          </cell>
          <cell r="B214" t="str">
            <v>Publicité 2</v>
          </cell>
        </row>
        <row r="215">
          <cell r="A215" t="str">
            <v>ServiceService gratuit 2</v>
          </cell>
          <cell r="B215" t="str">
            <v>Service gratuit 2</v>
          </cell>
        </row>
        <row r="216">
          <cell r="A216" t="str">
            <v>ServiceFrais véhicules de cie</v>
          </cell>
          <cell r="B216" t="str">
            <v>Frais véhicules de cie</v>
          </cell>
        </row>
        <row r="217">
          <cell r="A217" t="str">
            <v>ServiceInformatique</v>
          </cell>
          <cell r="B217" t="str">
            <v>Informatique</v>
          </cell>
        </row>
        <row r="218">
          <cell r="A218" t="str">
            <v>ServiceFrais de déplacement</v>
          </cell>
          <cell r="B218" t="str">
            <v>Frais de déplacement</v>
          </cell>
        </row>
        <row r="219">
          <cell r="A219" t="str">
            <v>ServiceServices extérieurs</v>
          </cell>
          <cell r="B219" t="str">
            <v>Services extérieurs</v>
          </cell>
        </row>
        <row r="220">
          <cell r="A220" t="str">
            <v>ServiceFournitures d'atelier</v>
          </cell>
          <cell r="B220" t="str">
            <v>Fournitures d'atelier</v>
          </cell>
        </row>
        <row r="221">
          <cell r="A221" t="str">
            <v>ServiceFournitures autres</v>
          </cell>
          <cell r="B221" t="str">
            <v>Fournitures autres</v>
          </cell>
        </row>
        <row r="222">
          <cell r="A222" t="str">
            <v>ServiceUniformes</v>
          </cell>
          <cell r="B222" t="str">
            <v>Uniformes</v>
          </cell>
        </row>
        <row r="223">
          <cell r="A223" t="str">
            <v>ServicePapeterie</v>
          </cell>
          <cell r="B223" t="str">
            <v>Papeterie</v>
          </cell>
        </row>
        <row r="224">
          <cell r="A224" t="str">
            <v>ServiceTéléphone</v>
          </cell>
          <cell r="B224" t="str">
            <v>Téléphone</v>
          </cell>
        </row>
        <row r="225">
          <cell r="A225" t="str">
            <v>ServiceFrais postaux</v>
          </cell>
          <cell r="B225" t="str">
            <v>Frais postaux</v>
          </cell>
        </row>
        <row r="226">
          <cell r="A226" t="str">
            <v>ServiceDivers</v>
          </cell>
          <cell r="B226" t="str">
            <v>Divers</v>
          </cell>
        </row>
        <row r="227">
          <cell r="A227" t="str">
            <v>ServiceFormation</v>
          </cell>
          <cell r="B227" t="str">
            <v>Formation</v>
          </cell>
        </row>
        <row r="228">
          <cell r="A228" t="str">
            <v>ServiceFrais bancaires</v>
          </cell>
          <cell r="B228" t="str">
            <v>Frais bancaires</v>
          </cell>
        </row>
        <row r="229">
          <cell r="A229" t="str">
            <v>Service[...]</v>
          </cell>
          <cell r="B229" t="str">
            <v>[...]</v>
          </cell>
        </row>
        <row r="230">
          <cell r="A230" t="str">
            <v>Service[...]</v>
          </cell>
          <cell r="B230" t="str">
            <v>[...]</v>
          </cell>
        </row>
        <row r="231">
          <cell r="A231" t="str">
            <v>Service[...]</v>
          </cell>
          <cell r="B231" t="str">
            <v>[...]</v>
          </cell>
        </row>
        <row r="232">
          <cell r="A232" t="str">
            <v>ServiceTOTAL SEMI-FIXES</v>
          </cell>
          <cell r="B232" t="str">
            <v>TOTAL SEMI-FIXES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B234" t="str">
            <v>TOTAL DES DÉPENSES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B236" t="str">
            <v>PROFIT DÉPARTEMENTAL</v>
          </cell>
        </row>
        <row r="239">
          <cell r="B239" t="str">
            <v>Budget 2025</v>
          </cell>
          <cell r="C239" t="str">
            <v>Carrosserie</v>
          </cell>
        </row>
        <row r="241">
          <cell r="B241" t="str">
            <v>Mois</v>
          </cell>
        </row>
        <row r="242">
          <cell r="A242" t="str">
            <v>Carrosserie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B244" t="str">
            <v>M/O Sous-traitement</v>
          </cell>
        </row>
        <row r="245">
          <cell r="A245" t="str">
            <v>Carrosserie% profit / ventes</v>
          </cell>
          <cell r="B245" t="str">
            <v>% profit / ventes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B247" t="str">
            <v>M/O Carrosserie</v>
          </cell>
        </row>
        <row r="248">
          <cell r="A248" t="str">
            <v>Carrosserie% profit / ventes</v>
          </cell>
          <cell r="B248" t="str">
            <v>% profit / ventes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B250" t="str">
            <v>M/O Esthétique Carr.</v>
          </cell>
        </row>
        <row r="251">
          <cell r="A251" t="str">
            <v>Carrosserie% profit / ventes</v>
          </cell>
          <cell r="B251" t="str">
            <v>% profit / ventes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B253" t="str">
            <v>Total Mécanique</v>
          </cell>
        </row>
        <row r="254">
          <cell r="A254" t="str">
            <v>Carrosserie</v>
          </cell>
        </row>
        <row r="255">
          <cell r="A255" t="str">
            <v>Carrosserie</v>
          </cell>
        </row>
        <row r="256">
          <cell r="A256" t="str">
            <v>CarrosserieDEPENSES</v>
          </cell>
          <cell r="B256" t="str">
            <v>DEPENSES</v>
          </cell>
        </row>
        <row r="257">
          <cell r="A257" t="str">
            <v>CarrosserieSalaires cadres</v>
          </cell>
          <cell r="B257" t="str">
            <v>Salaires cadres</v>
          </cell>
        </row>
        <row r="258">
          <cell r="A258" t="str">
            <v>CarrosserieSalaires commis</v>
          </cell>
          <cell r="B258" t="str">
            <v>Salaires commis</v>
          </cell>
        </row>
        <row r="259">
          <cell r="A259" t="str">
            <v>CarrosserieSalaires autres</v>
          </cell>
          <cell r="B259" t="str">
            <v>Salaires autres</v>
          </cell>
        </row>
        <row r="260">
          <cell r="A260" t="str">
            <v>CarrosserieSalaires spécialistes</v>
          </cell>
          <cell r="B260" t="str">
            <v>Salaires spécialistes</v>
          </cell>
        </row>
        <row r="261">
          <cell r="A261" t="str">
            <v>Carrosserie[...]</v>
          </cell>
          <cell r="B261" t="str">
            <v>[...]</v>
          </cell>
        </row>
        <row r="262">
          <cell r="A262" t="str">
            <v>Carrosserie[...]</v>
          </cell>
          <cell r="B262" t="str">
            <v>[...]</v>
          </cell>
        </row>
        <row r="263">
          <cell r="A263" t="str">
            <v>Carrosserie[...]</v>
          </cell>
          <cell r="B263" t="str">
            <v>[...]</v>
          </cell>
        </row>
        <row r="264">
          <cell r="A264" t="str">
            <v>CarrosserieSalaires en absences</v>
          </cell>
          <cell r="B264" t="str">
            <v>Salaires en absences</v>
          </cell>
        </row>
        <row r="265">
          <cell r="A265" t="str">
            <v>CarrosserieDéduction à la source</v>
          </cell>
          <cell r="B265" t="str">
            <v>Déduction à la source</v>
          </cell>
        </row>
        <row r="266">
          <cell r="A266" t="str">
            <v>CarrosserieBénéfices marginaux</v>
          </cell>
          <cell r="B266" t="str">
            <v>Bénéfices marginaux</v>
          </cell>
        </row>
        <row r="267">
          <cell r="A267" t="str">
            <v>CarrosserieCsst</v>
          </cell>
          <cell r="B267" t="str">
            <v>Csst</v>
          </cell>
        </row>
        <row r="268">
          <cell r="A268" t="str">
            <v>Carrosserie[...]</v>
          </cell>
          <cell r="B268" t="str">
            <v>[...]</v>
          </cell>
        </row>
        <row r="269">
          <cell r="A269" t="str">
            <v>CarrosserieTOTAL PERSONNEL</v>
          </cell>
          <cell r="B269" t="str">
            <v>TOTAL PERSONNEL</v>
          </cell>
        </row>
        <row r="270">
          <cell r="A270" t="str">
            <v>CarrosseriePublicité 2</v>
          </cell>
          <cell r="B270" t="str">
            <v>Publicité 2</v>
          </cell>
        </row>
        <row r="271">
          <cell r="A271" t="str">
            <v>CarrosserieService gratuit 2</v>
          </cell>
          <cell r="B271" t="str">
            <v>Service gratuit 2</v>
          </cell>
        </row>
        <row r="272">
          <cell r="A272" t="str">
            <v>CarrosserieFrais véhicules de cie</v>
          </cell>
          <cell r="B272" t="str">
            <v>Frais véhicules de cie</v>
          </cell>
        </row>
        <row r="273">
          <cell r="A273" t="str">
            <v>CarrosserieInformatique</v>
          </cell>
          <cell r="B273" t="str">
            <v>Informatique</v>
          </cell>
        </row>
        <row r="274">
          <cell r="A274" t="str">
            <v>CarrosserieFrais de déplacement</v>
          </cell>
          <cell r="B274" t="str">
            <v>Frais de déplacement</v>
          </cell>
        </row>
        <row r="275">
          <cell r="A275" t="str">
            <v>CarrosserieServices extérieurs</v>
          </cell>
          <cell r="B275" t="str">
            <v>Services extérieurs</v>
          </cell>
        </row>
        <row r="276">
          <cell r="A276" t="str">
            <v>CarrosserieFournitures d'atelier</v>
          </cell>
          <cell r="B276" t="str">
            <v>Fournitures d'atelier</v>
          </cell>
        </row>
        <row r="277">
          <cell r="A277" t="str">
            <v>CarrosserieFournitures autres</v>
          </cell>
          <cell r="B277" t="str">
            <v>Fournitures autres</v>
          </cell>
        </row>
        <row r="278">
          <cell r="A278" t="str">
            <v>CarrosserieUniformes</v>
          </cell>
          <cell r="B278" t="str">
            <v>Uniformes</v>
          </cell>
        </row>
        <row r="279">
          <cell r="A279" t="str">
            <v>CarrosseriePapeterie</v>
          </cell>
          <cell r="B279" t="str">
            <v>Papeterie</v>
          </cell>
        </row>
        <row r="280">
          <cell r="A280" t="str">
            <v>CarrosserieTéléphone</v>
          </cell>
          <cell r="B280" t="str">
            <v>Téléphone</v>
          </cell>
        </row>
        <row r="281">
          <cell r="A281" t="str">
            <v>CarrosserieFrais postaux</v>
          </cell>
          <cell r="B281" t="str">
            <v>Frais postaux</v>
          </cell>
        </row>
        <row r="282">
          <cell r="A282" t="str">
            <v>CarrosserieDivers</v>
          </cell>
          <cell r="B282" t="str">
            <v>Divers</v>
          </cell>
        </row>
        <row r="283">
          <cell r="A283" t="str">
            <v>CarrosserieFormation</v>
          </cell>
          <cell r="B283" t="str">
            <v>Formation</v>
          </cell>
        </row>
        <row r="284">
          <cell r="A284" t="str">
            <v>CarrosserieFrais bancaires</v>
          </cell>
          <cell r="B284" t="str">
            <v>Frais bancaires</v>
          </cell>
        </row>
        <row r="285">
          <cell r="A285" t="str">
            <v>Carrosserie[...]</v>
          </cell>
          <cell r="B285" t="str">
            <v>[...]</v>
          </cell>
        </row>
        <row r="286">
          <cell r="A286" t="str">
            <v>Carrosserie[...]</v>
          </cell>
          <cell r="B286" t="str">
            <v>[...]</v>
          </cell>
        </row>
        <row r="287">
          <cell r="A287" t="str">
            <v>Carrosserie[...]</v>
          </cell>
          <cell r="B287" t="str">
            <v>[...]</v>
          </cell>
        </row>
        <row r="288">
          <cell r="A288" t="str">
            <v>CarrosserieTOTAL SEMI-FIXES</v>
          </cell>
          <cell r="B288" t="str">
            <v>TOTAL SEMI-FIXES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B290" t="str">
            <v>TOTAL DES DÉPENSES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B292" t="str">
            <v>PROFIT DÉPARTEMENTAL</v>
          </cell>
        </row>
        <row r="294">
          <cell r="B294" t="str">
            <v>Budget 2025</v>
          </cell>
          <cell r="C294" t="str">
            <v>Pièces</v>
          </cell>
        </row>
        <row r="296">
          <cell r="B296" t="str">
            <v>Mois</v>
          </cell>
        </row>
        <row r="297">
          <cell r="A297" t="str">
            <v>Pièces</v>
          </cell>
        </row>
        <row r="298">
          <cell r="A298" t="str">
            <v>PiècesPièces Ro Clients</v>
          </cell>
          <cell r="B298" t="str">
            <v>Pièces Ro Clients</v>
          </cell>
        </row>
        <row r="299">
          <cell r="A299" t="str">
            <v>PiècesPièces Ro Carrosserie</v>
          </cell>
          <cell r="B299" t="str">
            <v>Pièces Ro Carrosserie</v>
          </cell>
        </row>
        <row r="300">
          <cell r="A300" t="str">
            <v>PiècesP/A Garantie</v>
          </cell>
          <cell r="B300" t="str">
            <v>P/A Garantie</v>
          </cell>
        </row>
        <row r="301">
          <cell r="A301" t="str">
            <v>PiècesVentes Internes</v>
          </cell>
          <cell r="B301" t="str">
            <v>Ventes Internes</v>
          </cell>
        </row>
        <row r="302">
          <cell r="A302" t="str">
            <v>PiècesVentes Détails</v>
          </cell>
          <cell r="B302" t="str">
            <v>Ventes Détails</v>
          </cell>
        </row>
        <row r="303">
          <cell r="A303" t="str">
            <v>PiècesVentes de Gros</v>
          </cell>
          <cell r="B303" t="str">
            <v>Ventes de Gros</v>
          </cell>
        </row>
        <row r="304">
          <cell r="A304" t="str">
            <v>Pièces[...]</v>
          </cell>
          <cell r="B304" t="str">
            <v>[...]</v>
          </cell>
        </row>
        <row r="305">
          <cell r="A305" t="str">
            <v>PiècesEscomptes</v>
          </cell>
          <cell r="B305" t="str">
            <v>Escomptes</v>
          </cell>
        </row>
        <row r="306">
          <cell r="A306" t="str">
            <v>PiècesRectif. Inventaire</v>
          </cell>
          <cell r="B306" t="str">
            <v>Rectif. Inventaire</v>
          </cell>
        </row>
        <row r="307">
          <cell r="A307" t="str">
            <v>PiècesSous-total Pièces</v>
          </cell>
          <cell r="B307" t="str">
            <v>Sous-total Pièces</v>
          </cell>
        </row>
        <row r="308">
          <cell r="A308" t="str">
            <v>Pièces</v>
          </cell>
        </row>
        <row r="309">
          <cell r="A309" t="str">
            <v>Pièces</v>
          </cell>
        </row>
        <row r="310">
          <cell r="A310" t="str">
            <v>PiècesVentes Pneus</v>
          </cell>
          <cell r="B310" t="str">
            <v>Ventes Pneus</v>
          </cell>
        </row>
        <row r="311">
          <cell r="A311" t="str">
            <v>PiècesHuiles et Graisse</v>
          </cell>
          <cell r="B311" t="str">
            <v>Huiles et Graisse</v>
          </cell>
        </row>
        <row r="312">
          <cell r="A312" t="str">
            <v>PiècesSous-total Pièces et Acc.</v>
          </cell>
          <cell r="B312" t="str">
            <v>Sous-total Pièces et Acc.</v>
          </cell>
        </row>
        <row r="313">
          <cell r="A313" t="str">
            <v>Pièces</v>
          </cell>
        </row>
        <row r="314">
          <cell r="A314" t="str">
            <v>Pièces</v>
          </cell>
        </row>
        <row r="315">
          <cell r="A315" t="str">
            <v>PiècesAutostock</v>
          </cell>
          <cell r="B315" t="str">
            <v>Autostock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B317" t="str">
            <v>Total Dépt. Pièces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  <cell r="B320" t="str">
            <v>DEPENSES</v>
          </cell>
        </row>
        <row r="321">
          <cell r="A321" t="str">
            <v>PiècesSalaires cadres</v>
          </cell>
          <cell r="B321" t="str">
            <v>Salaires cadres</v>
          </cell>
        </row>
        <row r="322">
          <cell r="A322" t="str">
            <v>PiècesSalaires commis</v>
          </cell>
          <cell r="B322" t="str">
            <v>Salaires commis</v>
          </cell>
        </row>
        <row r="323">
          <cell r="A323" t="str">
            <v>PiècesSalaires autres</v>
          </cell>
          <cell r="B323" t="str">
            <v>Salaires autres</v>
          </cell>
        </row>
        <row r="324">
          <cell r="A324" t="str">
            <v>PiècesSalaires spécialistes</v>
          </cell>
          <cell r="B324" t="str">
            <v>Salaires spécialistes</v>
          </cell>
        </row>
        <row r="325">
          <cell r="A325" t="str">
            <v>Pièces[...]</v>
          </cell>
          <cell r="B325" t="str">
            <v>[...]</v>
          </cell>
        </row>
        <row r="326">
          <cell r="A326" t="str">
            <v>Pièces[...]</v>
          </cell>
          <cell r="B326" t="str">
            <v>[...]</v>
          </cell>
        </row>
        <row r="327">
          <cell r="A327" t="str">
            <v>Pièces[...]</v>
          </cell>
          <cell r="B327" t="str">
            <v>[...]</v>
          </cell>
        </row>
        <row r="328">
          <cell r="A328" t="str">
            <v>PiècesSalaires en absences</v>
          </cell>
          <cell r="B328" t="str">
            <v>Salaires en absences</v>
          </cell>
        </row>
        <row r="329">
          <cell r="A329" t="str">
            <v>PiècesDéduction à la source</v>
          </cell>
          <cell r="B329" t="str">
            <v>Déduction à la source</v>
          </cell>
        </row>
        <row r="330">
          <cell r="A330" t="str">
            <v>PiècesBénéfices marginaux</v>
          </cell>
          <cell r="B330" t="str">
            <v>Bénéfices marginaux</v>
          </cell>
        </row>
        <row r="331">
          <cell r="A331" t="str">
            <v>PiècesCsst</v>
          </cell>
          <cell r="B331" t="str">
            <v>Csst</v>
          </cell>
        </row>
        <row r="332">
          <cell r="A332" t="str">
            <v>Pièces[...]</v>
          </cell>
          <cell r="B332" t="str">
            <v>[...]</v>
          </cell>
        </row>
        <row r="333">
          <cell r="A333" t="str">
            <v>PiècesTOTAL PERSONNEL</v>
          </cell>
          <cell r="B333" t="str">
            <v>TOTAL PERSONNEL</v>
          </cell>
        </row>
        <row r="334">
          <cell r="A334" t="str">
            <v>PiècesPublicité 2</v>
          </cell>
          <cell r="B334" t="str">
            <v>Publicité 2</v>
          </cell>
        </row>
        <row r="335">
          <cell r="A335" t="str">
            <v>PiècesService gratuit 2</v>
          </cell>
          <cell r="B335" t="str">
            <v>Service gratuit 2</v>
          </cell>
        </row>
        <row r="336">
          <cell r="A336" t="str">
            <v>PiècesFrais véhicules de cie</v>
          </cell>
          <cell r="B336" t="str">
            <v>Frais véhicules de cie</v>
          </cell>
        </row>
        <row r="337">
          <cell r="A337" t="str">
            <v>PiècesInformatique</v>
          </cell>
          <cell r="B337" t="str">
            <v>Informatique</v>
          </cell>
        </row>
        <row r="338">
          <cell r="A338" t="str">
            <v>PiècesFrais de déplacement</v>
          </cell>
          <cell r="B338" t="str">
            <v>Frais de déplacement</v>
          </cell>
        </row>
        <row r="339">
          <cell r="A339" t="str">
            <v>PiècesServices extérieurs</v>
          </cell>
          <cell r="B339" t="str">
            <v>Services extérieurs</v>
          </cell>
        </row>
        <row r="340">
          <cell r="A340" t="str">
            <v>PiècesFournitures d'atelier</v>
          </cell>
          <cell r="B340" t="str">
            <v>Fournitures d'atelier</v>
          </cell>
        </row>
        <row r="341">
          <cell r="A341" t="str">
            <v>PiècesFournitures autres</v>
          </cell>
          <cell r="B341" t="str">
            <v>Fournitures autres</v>
          </cell>
        </row>
        <row r="342">
          <cell r="A342" t="str">
            <v>PiècesUniformes</v>
          </cell>
          <cell r="B342" t="str">
            <v>Uniformes</v>
          </cell>
        </row>
        <row r="343">
          <cell r="A343" t="str">
            <v>PiècesPapeterie</v>
          </cell>
          <cell r="B343" t="str">
            <v>Papeterie</v>
          </cell>
        </row>
        <row r="344">
          <cell r="A344" t="str">
            <v>PiècesTéléphone</v>
          </cell>
          <cell r="B344" t="str">
            <v>Téléphone</v>
          </cell>
        </row>
        <row r="345">
          <cell r="A345" t="str">
            <v>PiècesFrais postaux</v>
          </cell>
          <cell r="B345" t="str">
            <v>Frais postaux</v>
          </cell>
        </row>
        <row r="346">
          <cell r="A346" t="str">
            <v>PiècesDivers</v>
          </cell>
          <cell r="B346" t="str">
            <v>Divers</v>
          </cell>
        </row>
        <row r="347">
          <cell r="A347" t="str">
            <v>PiècesFormation</v>
          </cell>
          <cell r="B347" t="str">
            <v>Formation</v>
          </cell>
        </row>
        <row r="348">
          <cell r="A348" t="str">
            <v>PiècesFrais bancaires</v>
          </cell>
          <cell r="B348" t="str">
            <v>Frais bancaires</v>
          </cell>
        </row>
        <row r="349">
          <cell r="A349" t="str">
            <v>Pièces[...]</v>
          </cell>
          <cell r="B349" t="str">
            <v>[...]</v>
          </cell>
        </row>
        <row r="350">
          <cell r="A350" t="str">
            <v>Pièces[...]</v>
          </cell>
          <cell r="B350" t="str">
            <v>[...]</v>
          </cell>
        </row>
        <row r="351">
          <cell r="A351" t="str">
            <v>Pièces[...]</v>
          </cell>
          <cell r="B351" t="str">
            <v>[...]</v>
          </cell>
        </row>
        <row r="352">
          <cell r="A352" t="str">
            <v>PiècesTOTAL SEMI-FIXES</v>
          </cell>
          <cell r="B352" t="str">
            <v>TOTAL SEMI-FIXES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B354" t="str">
            <v>TOTAL DES DÉPENSES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B356" t="str">
            <v>PROFIT DÉPARTEMENTAL</v>
          </cell>
        </row>
        <row r="359">
          <cell r="B359" t="str">
            <v>Budget 2025</v>
          </cell>
          <cell r="C359" t="str">
            <v>Boutique</v>
          </cell>
        </row>
        <row r="361">
          <cell r="B361" t="str">
            <v>Mois</v>
          </cell>
        </row>
        <row r="363">
          <cell r="A363" t="str">
            <v>BoutiqueBoutique</v>
          </cell>
          <cell r="B363" t="str">
            <v>Boutique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B365" t="str">
            <v>Total Dépt. Boutique</v>
          </cell>
        </row>
        <row r="366">
          <cell r="A366" t="str">
            <v>Boutique</v>
          </cell>
        </row>
        <row r="367">
          <cell r="A367" t="str">
            <v>BoutiqueDEPENSES</v>
          </cell>
          <cell r="B367" t="str">
            <v>DEPENSES</v>
          </cell>
        </row>
        <row r="368">
          <cell r="A368" t="str">
            <v>BoutiqueSalaires cadres</v>
          </cell>
          <cell r="B368" t="str">
            <v>Salaires cadres</v>
          </cell>
        </row>
        <row r="369">
          <cell r="A369" t="str">
            <v>BoutiqueSalaires commis</v>
          </cell>
          <cell r="B369" t="str">
            <v>Salaires commis</v>
          </cell>
        </row>
        <row r="370">
          <cell r="A370" t="str">
            <v>BoutiqueSalaires autres</v>
          </cell>
          <cell r="B370" t="str">
            <v>Salaires autres</v>
          </cell>
        </row>
        <row r="371">
          <cell r="A371" t="str">
            <v>BoutiqueSalaires spécialistes</v>
          </cell>
          <cell r="B371" t="str">
            <v>Salaires spécialistes</v>
          </cell>
        </row>
        <row r="372">
          <cell r="A372" t="str">
            <v>Boutique[...]</v>
          </cell>
          <cell r="B372" t="str">
            <v>[...]</v>
          </cell>
        </row>
        <row r="373">
          <cell r="A373" t="str">
            <v>Boutique[...]</v>
          </cell>
          <cell r="B373" t="str">
            <v>[...]</v>
          </cell>
        </row>
        <row r="374">
          <cell r="A374" t="str">
            <v>Boutique[...]</v>
          </cell>
          <cell r="B374" t="str">
            <v>[...]</v>
          </cell>
        </row>
        <row r="375">
          <cell r="A375" t="str">
            <v>BoutiqueSalaires en absences</v>
          </cell>
          <cell r="B375" t="str">
            <v>Salaires en absences</v>
          </cell>
        </row>
        <row r="376">
          <cell r="A376" t="str">
            <v>BoutiqueDéduction à la source</v>
          </cell>
          <cell r="B376" t="str">
            <v>Déduction à la source</v>
          </cell>
        </row>
        <row r="377">
          <cell r="A377" t="str">
            <v>BoutiqueBénéfices marginaux</v>
          </cell>
          <cell r="B377" t="str">
            <v>Bénéfices marginaux</v>
          </cell>
        </row>
        <row r="378">
          <cell r="A378" t="str">
            <v>BoutiqueCsst</v>
          </cell>
          <cell r="B378" t="str">
            <v>Csst</v>
          </cell>
        </row>
        <row r="379">
          <cell r="A379" t="str">
            <v>Boutique[...]</v>
          </cell>
          <cell r="B379" t="str">
            <v>[...]</v>
          </cell>
        </row>
        <row r="380">
          <cell r="A380" t="str">
            <v>BoutiqueTOTAL PERSONNEL</v>
          </cell>
          <cell r="B380" t="str">
            <v>TOTAL PERSONNEL</v>
          </cell>
        </row>
        <row r="381">
          <cell r="A381" t="str">
            <v>BoutiquePublicité 2</v>
          </cell>
          <cell r="B381" t="str">
            <v>Publicité 2</v>
          </cell>
        </row>
        <row r="382">
          <cell r="A382" t="str">
            <v>BoutiqueService gratuit 2</v>
          </cell>
          <cell r="B382" t="str">
            <v>Service gratuit 2</v>
          </cell>
        </row>
        <row r="383">
          <cell r="A383" t="str">
            <v>BoutiqueFrais véhicules de cie</v>
          </cell>
          <cell r="B383" t="str">
            <v>Frais véhicules de cie</v>
          </cell>
        </row>
        <row r="384">
          <cell r="A384" t="str">
            <v>BoutiqueInformatique</v>
          </cell>
          <cell r="B384" t="str">
            <v>Informatique</v>
          </cell>
        </row>
        <row r="385">
          <cell r="A385" t="str">
            <v>BoutiqueFrais de déplacement</v>
          </cell>
          <cell r="B385" t="str">
            <v>Frais de déplacement</v>
          </cell>
        </row>
        <row r="386">
          <cell r="A386" t="str">
            <v>BoutiqueServices extérieurs</v>
          </cell>
          <cell r="B386" t="str">
            <v>Services extérieurs</v>
          </cell>
        </row>
        <row r="387">
          <cell r="A387" t="str">
            <v>BoutiqueFournitures autres</v>
          </cell>
          <cell r="B387" t="str">
            <v>Fournitures autres</v>
          </cell>
        </row>
        <row r="388">
          <cell r="A388" t="str">
            <v>BoutiqueUniformes</v>
          </cell>
          <cell r="B388" t="str">
            <v>Uniformes</v>
          </cell>
        </row>
        <row r="389">
          <cell r="A389" t="str">
            <v>BoutiquePapeterie</v>
          </cell>
          <cell r="B389" t="str">
            <v>Papeterie</v>
          </cell>
        </row>
        <row r="390">
          <cell r="A390" t="str">
            <v>BoutiqueTéléphone</v>
          </cell>
          <cell r="B390" t="str">
            <v>Téléphone</v>
          </cell>
        </row>
        <row r="391">
          <cell r="A391" t="str">
            <v>BoutiqueFrais postaux</v>
          </cell>
          <cell r="B391" t="str">
            <v>Frais postaux</v>
          </cell>
        </row>
        <row r="392">
          <cell r="A392" t="str">
            <v>BoutiqueDivers</v>
          </cell>
          <cell r="B392" t="str">
            <v>Divers</v>
          </cell>
        </row>
        <row r="393">
          <cell r="A393" t="str">
            <v>BoutiqueFormation</v>
          </cell>
          <cell r="B393" t="str">
            <v>Formation</v>
          </cell>
        </row>
        <row r="394">
          <cell r="A394" t="str">
            <v>BoutiqueFrais bancaires</v>
          </cell>
          <cell r="B394" t="str">
            <v>Frais bancaires</v>
          </cell>
        </row>
        <row r="395">
          <cell r="A395" t="str">
            <v>Boutique[...]</v>
          </cell>
          <cell r="B395" t="str">
            <v>[...]</v>
          </cell>
        </row>
        <row r="396">
          <cell r="A396" t="str">
            <v>Boutique[...]</v>
          </cell>
          <cell r="B396" t="str">
            <v>[...]</v>
          </cell>
        </row>
        <row r="397">
          <cell r="A397" t="str">
            <v>Boutique[...]</v>
          </cell>
          <cell r="B397" t="str">
            <v>[...]</v>
          </cell>
        </row>
        <row r="398">
          <cell r="A398" t="str">
            <v>BoutiqueTOTAL SEMI-FIXES</v>
          </cell>
          <cell r="B398" t="str">
            <v>TOTAL SEMI-FIXES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B400" t="str">
            <v>TOTAL DES DÉPENSES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B402" t="str">
            <v>PROFIT DÉPARTEMENTAL</v>
          </cell>
        </row>
        <row r="405">
          <cell r="B405" t="str">
            <v>Budget 2025</v>
          </cell>
          <cell r="C405" t="str">
            <v>TOTAL  DES  REVENUS  ET  DÉPENSES</v>
          </cell>
        </row>
        <row r="407">
          <cell r="B407" t="str">
            <v>Mois</v>
          </cell>
        </row>
        <row r="409">
          <cell r="A409" t="str">
            <v>Ventes nettes</v>
          </cell>
          <cell r="B409" t="str">
            <v>Ventes nettes</v>
          </cell>
        </row>
        <row r="410">
          <cell r="A410" t="str">
            <v>Profit brut</v>
          </cell>
          <cell r="B410" t="str">
            <v>Profit brut</v>
          </cell>
        </row>
        <row r="411">
          <cell r="A411" t="str">
            <v>DÉPENSES</v>
          </cell>
          <cell r="B411" t="str">
            <v>DÉPENSES</v>
          </cell>
        </row>
        <row r="412">
          <cell r="A412" t="str">
            <v>Comm. vendeurs</v>
          </cell>
          <cell r="B412" t="str">
            <v>Comm. vendeurs</v>
          </cell>
        </row>
        <row r="413">
          <cell r="A413" t="str">
            <v>Comm. F&amp;I</v>
          </cell>
          <cell r="B413" t="str">
            <v>Comm. F&amp;I</v>
          </cell>
        </row>
        <row r="414">
          <cell r="A414" t="str">
            <v>Frais de livraison</v>
          </cell>
          <cell r="B414" t="str">
            <v>Frais de livraison</v>
          </cell>
        </row>
        <row r="415">
          <cell r="A415" t="str">
            <v>Service gratuit 1</v>
          </cell>
          <cell r="B415" t="str">
            <v>Service gratuit 1</v>
          </cell>
        </row>
        <row r="416">
          <cell r="A416" t="str">
            <v>Entretien stock</v>
          </cell>
          <cell r="B416" t="str">
            <v>Entretien stock</v>
          </cell>
        </row>
        <row r="417">
          <cell r="A417" t="str">
            <v>Publicité 1</v>
          </cell>
          <cell r="B417" t="str">
            <v>Publicité 1</v>
          </cell>
        </row>
        <row r="418">
          <cell r="A418" t="str">
            <v>Intérêt de gros</v>
          </cell>
          <cell r="B418" t="str">
            <v>Intérêt de gros</v>
          </cell>
        </row>
        <row r="419">
          <cell r="A419" t="str">
            <v>[...]</v>
          </cell>
          <cell r="B419" t="str">
            <v>[...]</v>
          </cell>
        </row>
        <row r="420">
          <cell r="A420" t="str">
            <v>[...]</v>
          </cell>
          <cell r="B420" t="str">
            <v>[...]</v>
          </cell>
        </row>
        <row r="421">
          <cell r="A421" t="str">
            <v>[...]</v>
          </cell>
          <cell r="B421" t="str">
            <v>[...]</v>
          </cell>
        </row>
        <row r="422">
          <cell r="A422" t="str">
            <v>TOTAL VARIABLES</v>
          </cell>
          <cell r="B422" t="str">
            <v>TOTAL VARIABLES</v>
          </cell>
        </row>
        <row r="423">
          <cell r="A423" t="str">
            <v>Salaires propriétaire</v>
          </cell>
          <cell r="B423" t="str">
            <v>Salaires propriétaire</v>
          </cell>
        </row>
        <row r="424">
          <cell r="A424" t="str">
            <v>Salaires cadres</v>
          </cell>
          <cell r="B424" t="str">
            <v>Salaires cadres</v>
          </cell>
        </row>
        <row r="425">
          <cell r="A425" t="str">
            <v>Salaires commis</v>
          </cell>
          <cell r="B425" t="str">
            <v>Salaires commis</v>
          </cell>
        </row>
        <row r="426">
          <cell r="A426" t="str">
            <v>Salaires autres</v>
          </cell>
          <cell r="B426" t="str">
            <v>Salaires autres</v>
          </cell>
        </row>
        <row r="427">
          <cell r="A427" t="str">
            <v>Salaires spécialistes</v>
          </cell>
          <cell r="B427" t="str">
            <v>Salaires spécialistes</v>
          </cell>
        </row>
        <row r="428">
          <cell r="A428" t="str">
            <v>[...]</v>
          </cell>
          <cell r="B428" t="str">
            <v>[...]</v>
          </cell>
        </row>
        <row r="429">
          <cell r="A429" t="str">
            <v>[...]</v>
          </cell>
          <cell r="B429" t="str">
            <v>[...]</v>
          </cell>
        </row>
        <row r="430">
          <cell r="A430" t="str">
            <v>[...]</v>
          </cell>
          <cell r="B430" t="str">
            <v>[...]</v>
          </cell>
        </row>
        <row r="431">
          <cell r="A431" t="str">
            <v>Salaires en absences</v>
          </cell>
          <cell r="B431" t="str">
            <v>Salaires en absences</v>
          </cell>
        </row>
        <row r="432">
          <cell r="A432" t="str">
            <v>Déduction à la source</v>
          </cell>
          <cell r="B432" t="str">
            <v>Déduction à la source</v>
          </cell>
        </row>
        <row r="433">
          <cell r="A433" t="str">
            <v>Bénéfices marginaux</v>
          </cell>
          <cell r="B433" t="str">
            <v>Bénéfices marginaux</v>
          </cell>
        </row>
        <row r="434">
          <cell r="A434" t="str">
            <v>Csst</v>
          </cell>
          <cell r="B434" t="str">
            <v>Csst</v>
          </cell>
        </row>
        <row r="435">
          <cell r="A435" t="str">
            <v>[...]</v>
          </cell>
          <cell r="B435" t="str">
            <v>[...]</v>
          </cell>
        </row>
        <row r="436">
          <cell r="A436" t="str">
            <v>TOTAL PERSONNEL</v>
          </cell>
          <cell r="B436" t="str">
            <v>TOTAL PERSONNEL</v>
          </cell>
        </row>
        <row r="437">
          <cell r="A437" t="str">
            <v>Publicité 2</v>
          </cell>
          <cell r="B437" t="str">
            <v>Publicité 2</v>
          </cell>
        </row>
        <row r="438">
          <cell r="A438" t="str">
            <v>Service gratuit 2</v>
          </cell>
          <cell r="B438" t="str">
            <v>Service gratuit 2</v>
          </cell>
        </row>
        <row r="439">
          <cell r="A439" t="str">
            <v>Frais véhicules de cie</v>
          </cell>
          <cell r="B439" t="str">
            <v>Frais véhicules de cie</v>
          </cell>
        </row>
        <row r="440">
          <cell r="A440" t="str">
            <v>Informatique</v>
          </cell>
          <cell r="B440" t="str">
            <v>Informatique</v>
          </cell>
        </row>
        <row r="441">
          <cell r="A441" t="str">
            <v>Frais de déplacement</v>
          </cell>
          <cell r="B441" t="str">
            <v>Frais de déplacement</v>
          </cell>
        </row>
        <row r="442">
          <cell r="A442" t="str">
            <v>Services extérieurs</v>
          </cell>
          <cell r="B442" t="str">
            <v>Services extérieurs</v>
          </cell>
        </row>
        <row r="443">
          <cell r="B443" t="str">
            <v>Fournitures d'atelier</v>
          </cell>
        </row>
        <row r="444">
          <cell r="A444" t="str">
            <v>Fournitures autres</v>
          </cell>
          <cell r="B444" t="str">
            <v>Fournitures autres</v>
          </cell>
        </row>
        <row r="445">
          <cell r="A445" t="str">
            <v>Uniformes</v>
          </cell>
          <cell r="B445" t="str">
            <v>Uniformes</v>
          </cell>
        </row>
        <row r="446">
          <cell r="A446" t="str">
            <v>Papeterie</v>
          </cell>
          <cell r="B446" t="str">
            <v>Papeterie</v>
          </cell>
        </row>
        <row r="447">
          <cell r="A447" t="str">
            <v>Téléphone</v>
          </cell>
          <cell r="B447" t="str">
            <v>Téléphone</v>
          </cell>
        </row>
        <row r="448">
          <cell r="A448" t="str">
            <v>Frais postaux</v>
          </cell>
          <cell r="B448" t="str">
            <v>Frais postaux</v>
          </cell>
        </row>
        <row r="449">
          <cell r="A449" t="str">
            <v>Divers</v>
          </cell>
          <cell r="B449" t="str">
            <v>Divers</v>
          </cell>
        </row>
        <row r="450">
          <cell r="A450" t="str">
            <v>Formation</v>
          </cell>
          <cell r="B450" t="str">
            <v>Formation</v>
          </cell>
        </row>
        <row r="451">
          <cell r="A451" t="str">
            <v>Frais bancaires</v>
          </cell>
          <cell r="B451" t="str">
            <v>Frais bancaires</v>
          </cell>
        </row>
        <row r="452">
          <cell r="A452" t="str">
            <v>[...]</v>
          </cell>
          <cell r="B452" t="str">
            <v>[...]</v>
          </cell>
        </row>
        <row r="453">
          <cell r="A453" t="str">
            <v>[...]</v>
          </cell>
          <cell r="B453" t="str">
            <v>[...]</v>
          </cell>
        </row>
        <row r="454">
          <cell r="A454" t="str">
            <v>[...]</v>
          </cell>
          <cell r="B454" t="str">
            <v>[...]</v>
          </cell>
        </row>
        <row r="455">
          <cell r="A455" t="str">
            <v>TOTAL SEMI-FIXES</v>
          </cell>
          <cell r="B455" t="str">
            <v>TOTAL SEMI-FIXES</v>
          </cell>
        </row>
        <row r="456">
          <cell r="A456" t="str">
            <v>Loyer</v>
          </cell>
          <cell r="B456" t="str">
            <v>Loyer</v>
          </cell>
        </row>
        <row r="457">
          <cell r="A457" t="str">
            <v>Taxes foncières</v>
          </cell>
          <cell r="B457" t="str">
            <v>Taxes foncières</v>
          </cell>
        </row>
        <row r="458">
          <cell r="A458" t="str">
            <v>Taxes d`affaires</v>
          </cell>
          <cell r="B458" t="str">
            <v>Taxes d`affaires</v>
          </cell>
        </row>
        <row r="459">
          <cell r="A459" t="str">
            <v>Taxe sur le capital</v>
          </cell>
          <cell r="B459" t="str">
            <v>Taxe sur le capital</v>
          </cell>
        </row>
        <row r="460">
          <cell r="A460" t="str">
            <v>Assurances</v>
          </cell>
          <cell r="B460" t="str">
            <v>Assurances</v>
          </cell>
        </row>
        <row r="461">
          <cell r="A461" t="str">
            <v>Chauffage, éclairage</v>
          </cell>
          <cell r="B461" t="str">
            <v>Chauffage, éclairage</v>
          </cell>
        </row>
        <row r="462">
          <cell r="A462" t="str">
            <v>Honoraires</v>
          </cell>
          <cell r="B462" t="str">
            <v>Honoraires</v>
          </cell>
        </row>
        <row r="463">
          <cell r="A463" t="str">
            <v>Réparation équipement</v>
          </cell>
          <cell r="B463" t="str">
            <v>Réparation équipement</v>
          </cell>
        </row>
        <row r="464">
          <cell r="A464" t="str">
            <v>Location équipement</v>
          </cell>
          <cell r="B464" t="str">
            <v>Location équipement</v>
          </cell>
        </row>
        <row r="465">
          <cell r="A465" t="str">
            <v>Dons</v>
          </cell>
          <cell r="B465" t="str">
            <v>Dons</v>
          </cell>
        </row>
        <row r="466">
          <cell r="A466" t="str">
            <v>[...]</v>
          </cell>
          <cell r="B466" t="str">
            <v>[...]</v>
          </cell>
        </row>
        <row r="467">
          <cell r="A467" t="str">
            <v>[...]</v>
          </cell>
          <cell r="B467" t="str">
            <v>[...]</v>
          </cell>
        </row>
        <row r="468">
          <cell r="A468" t="str">
            <v>[...]</v>
          </cell>
          <cell r="B468" t="str">
            <v>[...]</v>
          </cell>
        </row>
        <row r="469">
          <cell r="A469" t="str">
            <v>TOTAL DÉPENSES FIXES</v>
          </cell>
          <cell r="B469" t="str">
            <v>TOTAL DÉPENSES FIXES</v>
          </cell>
        </row>
        <row r="470">
          <cell r="A470">
            <v>0</v>
          </cell>
        </row>
        <row r="471">
          <cell r="A471" t="str">
            <v>TOTAL DES DÉPENSES</v>
          </cell>
          <cell r="B471" t="str">
            <v>TOTAL DES DÉPENSES</v>
          </cell>
        </row>
        <row r="472">
          <cell r="A472" t="str">
            <v>Revenus autres</v>
          </cell>
          <cell r="B472" t="str">
            <v>Revenus autres</v>
          </cell>
        </row>
        <row r="473">
          <cell r="A473" t="str">
            <v>Holdbacks</v>
          </cell>
          <cell r="B473" t="str">
            <v>Holdbacks</v>
          </cell>
        </row>
        <row r="474">
          <cell r="A474" t="str">
            <v>Programme neuf 1</v>
          </cell>
          <cell r="B474" t="str">
            <v>Programme neuf 1</v>
          </cell>
        </row>
        <row r="475">
          <cell r="A475" t="str">
            <v>Programme neuf 2</v>
          </cell>
          <cell r="B475" t="str">
            <v>Programme neuf 2</v>
          </cell>
        </row>
        <row r="476">
          <cell r="A476" t="str">
            <v>Programme neuf 3</v>
          </cell>
          <cell r="B476" t="str">
            <v>Programme neuf 3</v>
          </cell>
        </row>
        <row r="477">
          <cell r="A477" t="str">
            <v>Programme used 1</v>
          </cell>
          <cell r="B477" t="str">
            <v>Programme used 1</v>
          </cell>
        </row>
        <row r="478">
          <cell r="A478" t="str">
            <v>Programme used 2</v>
          </cell>
          <cell r="B478" t="str">
            <v>Programme used 2</v>
          </cell>
        </row>
        <row r="479">
          <cell r="A479" t="str">
            <v>Programme used 3</v>
          </cell>
          <cell r="B479" t="str">
            <v>Programme used 3</v>
          </cell>
        </row>
        <row r="480">
          <cell r="A480" t="str">
            <v>[...]</v>
          </cell>
          <cell r="B480" t="str">
            <v>[...]</v>
          </cell>
        </row>
        <row r="481">
          <cell r="A481" t="str">
            <v>[...]</v>
          </cell>
          <cell r="B481" t="str">
            <v>[...]</v>
          </cell>
        </row>
        <row r="482">
          <cell r="A482" t="str">
            <v>[...]</v>
          </cell>
          <cell r="B482" t="str">
            <v>[...]</v>
          </cell>
        </row>
        <row r="483">
          <cell r="A483" t="str">
            <v>Frais administration</v>
          </cell>
          <cell r="B483" t="str">
            <v>Frais administration</v>
          </cell>
        </row>
        <row r="484">
          <cell r="A484" t="str">
            <v>TOTAL AUTRES REVENUS</v>
          </cell>
          <cell r="B484" t="str">
            <v>TOTAL AUTRES REVENUS</v>
          </cell>
        </row>
        <row r="485">
          <cell r="A485">
            <v>0</v>
          </cell>
        </row>
        <row r="486">
          <cell r="A486" t="str">
            <v>BAIIA OPÉRATIONNEL</v>
          </cell>
          <cell r="B486" t="str">
            <v>BAIIA OPÉRATIONNEL</v>
          </cell>
        </row>
        <row r="488">
          <cell r="B488" t="str">
            <v>Budget 2025</v>
          </cell>
          <cell r="C488" t="str">
            <v>CALCUL DU PROFIT NET</v>
          </cell>
        </row>
        <row r="492">
          <cell r="B492" t="str">
            <v>BAIIA OPÉRATIONNEL</v>
          </cell>
        </row>
        <row r="494">
          <cell r="A494" t="str">
            <v>Amortissement</v>
          </cell>
          <cell r="B494" t="str">
            <v>Amortissement</v>
          </cell>
        </row>
        <row r="495">
          <cell r="A495" t="str">
            <v>Intérêts sur marge</v>
          </cell>
          <cell r="B495" t="str">
            <v>Intérêts sur marge</v>
          </cell>
        </row>
        <row r="496">
          <cell r="A496" t="str">
            <v>Intérêts sur prêt</v>
          </cell>
          <cell r="B496" t="str">
            <v>Intérêts sur prêt</v>
          </cell>
        </row>
        <row r="497">
          <cell r="A497" t="str">
            <v>Intérêts sur avance</v>
          </cell>
          <cell r="B497" t="str">
            <v>Intérêts sur avance</v>
          </cell>
        </row>
        <row r="498">
          <cell r="A498" t="str">
            <v>[...]</v>
          </cell>
          <cell r="B498" t="str">
            <v>[...]</v>
          </cell>
        </row>
        <row r="499">
          <cell r="A499" t="str">
            <v>Revenus d'intérêts floor plan</v>
          </cell>
          <cell r="B499" t="str">
            <v>Revenus d'intérêts floor plan</v>
          </cell>
        </row>
        <row r="500">
          <cell r="A500" t="str">
            <v>[...]</v>
          </cell>
          <cell r="B500" t="str">
            <v>[...]</v>
          </cell>
        </row>
        <row r="501">
          <cell r="B501" t="str">
            <v>Profit Net</v>
          </cell>
        </row>
      </sheetData>
      <sheetData sheetId="3">
        <row r="2">
          <cell r="B2" t="str">
            <v>Mois</v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O2" t="str">
            <v/>
          </cell>
          <cell r="P2" t="str">
            <v/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/>
          </cell>
          <cell r="X2" t="str">
            <v>X</v>
          </cell>
          <cell r="Y2" t="str">
            <v>O</v>
          </cell>
          <cell r="Z2" t="str">
            <v>U</v>
          </cell>
          <cell r="AA2" t="str">
            <v/>
          </cell>
          <cell r="AB2" t="str">
            <v/>
          </cell>
          <cell r="AC2" t="str">
            <v/>
          </cell>
          <cell r="AD2" t="str">
            <v/>
          </cell>
          <cell r="AE2" t="str">
            <v/>
          </cell>
          <cell r="AF2" t="str">
            <v/>
          </cell>
          <cell r="AG2" t="str">
            <v/>
          </cell>
          <cell r="AH2" t="str">
            <v/>
          </cell>
          <cell r="AI2" t="str">
            <v/>
          </cell>
          <cell r="AJ2" t="str">
            <v/>
          </cell>
          <cell r="AK2" t="str">
            <v/>
          </cell>
          <cell r="AL2" t="str">
            <v/>
          </cell>
          <cell r="AM2" t="str">
            <v/>
          </cell>
          <cell r="AN2" t="str">
            <v/>
          </cell>
          <cell r="AO2" t="str">
            <v/>
          </cell>
        </row>
        <row r="3">
          <cell r="B3" t="str">
            <v>YTD</v>
          </cell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str">
            <v/>
          </cell>
          <cell r="AB3" t="str">
            <v/>
          </cell>
          <cell r="AC3" t="str">
            <v/>
          </cell>
          <cell r="AD3" t="str">
            <v/>
          </cell>
          <cell r="AE3" t="str">
            <v/>
          </cell>
          <cell r="AF3" t="str">
            <v/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4">
          <cell r="B4" t="str">
            <v>Réel 2024</v>
          </cell>
          <cell r="C4" t="str">
            <v>Véhicules neufs</v>
          </cell>
        </row>
        <row r="6">
          <cell r="B6" t="str">
            <v>Mois</v>
          </cell>
          <cell r="C6">
            <v>2024</v>
          </cell>
          <cell r="F6" t="str">
            <v>Janvier</v>
          </cell>
          <cell r="I6" t="str">
            <v>Février</v>
          </cell>
          <cell r="L6" t="str">
            <v>Mars</v>
          </cell>
          <cell r="O6" t="str">
            <v>Avril</v>
          </cell>
          <cell r="R6" t="str">
            <v>Mai</v>
          </cell>
          <cell r="U6" t="str">
            <v>Juin</v>
          </cell>
          <cell r="X6" t="str">
            <v>Juillet</v>
          </cell>
          <cell r="AA6" t="str">
            <v>Août</v>
          </cell>
          <cell r="AD6" t="str">
            <v>Septembre</v>
          </cell>
          <cell r="AG6" t="str">
            <v>Octobre</v>
          </cell>
          <cell r="AJ6" t="str">
            <v>Novembre</v>
          </cell>
          <cell r="AM6" t="str">
            <v>Décembre</v>
          </cell>
        </row>
        <row r="7">
          <cell r="C7" t="str">
            <v>UNITE</v>
          </cell>
          <cell r="D7" t="str">
            <v>$P/UNITE</v>
          </cell>
          <cell r="E7" t="str">
            <v>$PROFITS</v>
          </cell>
          <cell r="F7" t="str">
            <v>UNITE</v>
          </cell>
          <cell r="G7" t="str">
            <v>$P/UNITE</v>
          </cell>
          <cell r="H7" t="str">
            <v>$PROFITS</v>
          </cell>
          <cell r="I7" t="str">
            <v>UNITE</v>
          </cell>
          <cell r="J7" t="str">
            <v>$P/UNITE</v>
          </cell>
          <cell r="K7" t="str">
            <v>$PROFITS</v>
          </cell>
          <cell r="L7" t="str">
            <v>UNITE</v>
          </cell>
          <cell r="M7" t="str">
            <v>$P/UNITE</v>
          </cell>
          <cell r="N7" t="str">
            <v>$PROFITS</v>
          </cell>
          <cell r="O7" t="str">
            <v>UNITE</v>
          </cell>
          <cell r="P7" t="str">
            <v>$P/UNITE</v>
          </cell>
          <cell r="Q7" t="str">
            <v>$PROFITS</v>
          </cell>
          <cell r="R7" t="str">
            <v>UNITE</v>
          </cell>
          <cell r="S7" t="str">
            <v>$P/UNITE</v>
          </cell>
          <cell r="T7" t="str">
            <v>$PROFITS</v>
          </cell>
          <cell r="U7" t="str">
            <v>UNITE</v>
          </cell>
          <cell r="V7" t="str">
            <v>$P/UNITE</v>
          </cell>
          <cell r="W7" t="str">
            <v>$PROFITS</v>
          </cell>
          <cell r="X7" t="str">
            <v>UNITE</v>
          </cell>
          <cell r="Y7" t="str">
            <v>$P/UNITE</v>
          </cell>
          <cell r="Z7" t="str">
            <v>$PROFITS</v>
          </cell>
          <cell r="AA7" t="str">
            <v>UNITE</v>
          </cell>
          <cell r="AB7" t="str">
            <v>$P/UNITE</v>
          </cell>
          <cell r="AC7" t="str">
            <v>$PROFITS</v>
          </cell>
          <cell r="AD7" t="str">
            <v>UNITE</v>
          </cell>
          <cell r="AE7" t="str">
            <v>$P/UNITE</v>
          </cell>
          <cell r="AF7" t="str">
            <v>$PROFITS</v>
          </cell>
          <cell r="AG7" t="str">
            <v>UNITE</v>
          </cell>
          <cell r="AH7" t="str">
            <v>$P/UNITE</v>
          </cell>
          <cell r="AI7" t="str">
            <v>$PROFITS</v>
          </cell>
          <cell r="AJ7" t="str">
            <v>UNITE</v>
          </cell>
          <cell r="AK7" t="str">
            <v>$P/UNITE</v>
          </cell>
          <cell r="AL7" t="str">
            <v>$PROFITS</v>
          </cell>
          <cell r="AM7" t="str">
            <v>UNITE</v>
          </cell>
          <cell r="AN7" t="str">
            <v>$P/UNITE</v>
          </cell>
          <cell r="AO7" t="str">
            <v>$PROFITS</v>
          </cell>
        </row>
        <row r="8">
          <cell r="A8" t="str">
            <v>Véhicules neufsVentes nettes</v>
          </cell>
          <cell r="B8" t="str">
            <v>Ventes nettes</v>
          </cell>
        </row>
        <row r="9">
          <cell r="A9" t="str">
            <v>Véhicules neufsAutos détail</v>
          </cell>
          <cell r="B9" t="str">
            <v>Autos détail</v>
          </cell>
        </row>
        <row r="10">
          <cell r="A10" t="str">
            <v>Véhicules neufsCamions détail</v>
          </cell>
          <cell r="B10" t="str">
            <v>Camions détail</v>
          </cell>
        </row>
        <row r="11">
          <cell r="A11" t="str">
            <v>Véhicules neufsSprinter</v>
          </cell>
          <cell r="B11" t="str">
            <v>Sprinter</v>
          </cell>
        </row>
        <row r="12">
          <cell r="A12" t="str">
            <v>Véhicules neufsMoto détail</v>
          </cell>
          <cell r="B12" t="str">
            <v>Moto détail</v>
          </cell>
        </row>
        <row r="13">
          <cell r="A13" t="str">
            <v>Véhicules neufs[...]</v>
          </cell>
          <cell r="B13" t="str">
            <v>[...]</v>
          </cell>
        </row>
        <row r="14">
          <cell r="A14" t="str">
            <v>Véhicules neufs[...]</v>
          </cell>
          <cell r="B14" t="str">
            <v>[...]</v>
          </cell>
        </row>
        <row r="15">
          <cell r="A15" t="str">
            <v>Véhicules neufs[...]</v>
          </cell>
          <cell r="B15" t="str">
            <v>[...]</v>
          </cell>
        </row>
        <row r="16">
          <cell r="A16" t="str">
            <v>Véhicules neufsTotal Neufs</v>
          </cell>
          <cell r="B16" t="str">
            <v>Total Neufs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B18" t="str">
            <v>Ex-Démos et courtoisies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B20" t="str">
            <v>Flottes</v>
          </cell>
        </row>
        <row r="21">
          <cell r="A21" t="str">
            <v>Véhicules neufs</v>
          </cell>
        </row>
        <row r="22">
          <cell r="A22" t="str">
            <v>Véhicules neufsRachat bail</v>
          </cell>
          <cell r="B22" t="str">
            <v>Rachat bail</v>
          </cell>
        </row>
        <row r="23">
          <cell r="A23" t="str">
            <v>Véhicules neufs</v>
          </cell>
        </row>
        <row r="24">
          <cell r="A24" t="str">
            <v>Véhicules neufsRev. Finances</v>
          </cell>
          <cell r="B24" t="str">
            <v>Rev. Finances</v>
          </cell>
        </row>
        <row r="25">
          <cell r="A25" t="str">
            <v>Véhicules neufsRev. Protections</v>
          </cell>
          <cell r="B25" t="str">
            <v>Rev. Protections</v>
          </cell>
        </row>
        <row r="26">
          <cell r="A26" t="str">
            <v>Véhicules neufsRev. Autres</v>
          </cell>
          <cell r="B26" t="str">
            <v>Rev. Autres</v>
          </cell>
        </row>
        <row r="27">
          <cell r="A27" t="str">
            <v>Véhicules neufsTotal F&amp;I</v>
          </cell>
          <cell r="B27" t="str">
            <v>Total F&amp;I</v>
          </cell>
        </row>
        <row r="28">
          <cell r="A28" t="str">
            <v>Véhicules neufs</v>
          </cell>
        </row>
        <row r="29">
          <cell r="A29" t="str">
            <v>Véhicules neufs</v>
          </cell>
        </row>
        <row r="30">
          <cell r="A30" t="str">
            <v>Véhicules neufsTotal Dépt. Neufs</v>
          </cell>
          <cell r="B30" t="str">
            <v>Total Dépt. Neufs</v>
          </cell>
        </row>
        <row r="31">
          <cell r="A31" t="str">
            <v>Véhicules neufs</v>
          </cell>
        </row>
        <row r="32">
          <cell r="A32" t="str">
            <v>Véhicules neufs</v>
          </cell>
        </row>
        <row r="33">
          <cell r="A33" t="str">
            <v>Véhicules neufsDEPENSES</v>
          </cell>
          <cell r="B33" t="str">
            <v>DEPENSES</v>
          </cell>
        </row>
        <row r="34">
          <cell r="A34" t="str">
            <v>Véhicules neufsComm. vendeurs</v>
          </cell>
          <cell r="B34" t="str">
            <v>Comm. vendeurs</v>
          </cell>
        </row>
        <row r="35">
          <cell r="A35" t="str">
            <v>Véhicules neufsComm. F&amp;I</v>
          </cell>
          <cell r="B35" t="str">
            <v>Comm. F&amp;I</v>
          </cell>
        </row>
        <row r="36">
          <cell r="A36" t="str">
            <v>Véhicules neufsFrais de livraison</v>
          </cell>
          <cell r="B36" t="str">
            <v>Frais de livraison</v>
          </cell>
        </row>
        <row r="37">
          <cell r="A37" t="str">
            <v>Véhicules neufsService gratuit 1</v>
          </cell>
          <cell r="B37" t="str">
            <v>Service gratuit 1</v>
          </cell>
        </row>
        <row r="38">
          <cell r="A38" t="str">
            <v>Véhicules neufsEntretien stock</v>
          </cell>
          <cell r="B38" t="str">
            <v>Entretien stock</v>
          </cell>
        </row>
        <row r="39">
          <cell r="A39" t="str">
            <v>Véhicules neufsPublicité 1</v>
          </cell>
          <cell r="B39" t="str">
            <v>Publicité 1</v>
          </cell>
        </row>
        <row r="40">
          <cell r="A40" t="str">
            <v>Véhicules neufsIntérêt de gros</v>
          </cell>
          <cell r="B40" t="str">
            <v>Intérêt de gros</v>
          </cell>
        </row>
        <row r="41">
          <cell r="A41" t="str">
            <v>Véhicules neufs[...]</v>
          </cell>
          <cell r="B41" t="str">
            <v>[...]</v>
          </cell>
        </row>
        <row r="42">
          <cell r="A42" t="str">
            <v>Véhicules neufs[...]</v>
          </cell>
          <cell r="B42" t="str">
            <v>[...]</v>
          </cell>
        </row>
        <row r="43">
          <cell r="A43" t="str">
            <v>Véhicules neufs[...]</v>
          </cell>
          <cell r="B43" t="str">
            <v>[...]</v>
          </cell>
        </row>
        <row r="44">
          <cell r="A44" t="str">
            <v>Véhicules neufsTOTAL VARIABLES</v>
          </cell>
          <cell r="B44" t="str">
            <v>TOTAL VARIABLES</v>
          </cell>
        </row>
        <row r="45">
          <cell r="A45" t="str">
            <v>Véhicules neufsSalaires cadres</v>
          </cell>
          <cell r="B45" t="str">
            <v>Salaires cadres</v>
          </cell>
        </row>
        <row r="46">
          <cell r="A46" t="str">
            <v>Véhicules neufsSalaires commis</v>
          </cell>
          <cell r="B46" t="str">
            <v>Salaires commis</v>
          </cell>
        </row>
        <row r="47">
          <cell r="A47" t="str">
            <v>Véhicules neufsSalaires autres</v>
          </cell>
          <cell r="B47" t="str">
            <v>Salaires autres</v>
          </cell>
        </row>
        <row r="48">
          <cell r="A48" t="str">
            <v>Véhicules neufsSalaires spécialistes</v>
          </cell>
          <cell r="B48" t="str">
            <v>Salaires spécialistes</v>
          </cell>
        </row>
        <row r="49">
          <cell r="A49" t="str">
            <v>Véhicules neufs[...]</v>
          </cell>
          <cell r="B49" t="str">
            <v>[...]</v>
          </cell>
        </row>
        <row r="50">
          <cell r="A50" t="str">
            <v>Véhicules neufs[...]</v>
          </cell>
          <cell r="B50" t="str">
            <v>[...]</v>
          </cell>
        </row>
        <row r="51">
          <cell r="A51" t="str">
            <v>Véhicules neufs[...]</v>
          </cell>
          <cell r="B51" t="str">
            <v>[...]</v>
          </cell>
        </row>
        <row r="52">
          <cell r="A52" t="str">
            <v>Véhicules neufsSalaires en absences</v>
          </cell>
          <cell r="B52" t="str">
            <v>Salaires en absences</v>
          </cell>
        </row>
        <row r="53">
          <cell r="A53" t="str">
            <v>Véhicules neufsDéduction à la source</v>
          </cell>
          <cell r="B53" t="str">
            <v>Déduction à la source</v>
          </cell>
        </row>
        <row r="54">
          <cell r="A54" t="str">
            <v>Véhicules neufsBénéfices marginaux</v>
          </cell>
          <cell r="B54" t="str">
            <v>Bénéfices marginaux</v>
          </cell>
        </row>
        <row r="55">
          <cell r="A55" t="str">
            <v>Véhicules neufsCsst</v>
          </cell>
          <cell r="B55" t="str">
            <v>Csst</v>
          </cell>
        </row>
        <row r="56">
          <cell r="A56" t="str">
            <v>Véhicules neufs[...]</v>
          </cell>
          <cell r="B56" t="str">
            <v>[...]</v>
          </cell>
        </row>
        <row r="57">
          <cell r="A57" t="str">
            <v>Véhicules neufsTOTAL PERSONNEL</v>
          </cell>
          <cell r="B57" t="str">
            <v>TOTAL PERSONNEL</v>
          </cell>
        </row>
        <row r="58">
          <cell r="A58" t="str">
            <v>Véhicules neufsPublicité 2</v>
          </cell>
          <cell r="B58" t="str">
            <v>Publicité 2</v>
          </cell>
        </row>
        <row r="59">
          <cell r="A59" t="str">
            <v>Véhicules neufsService gratuit 2</v>
          </cell>
          <cell r="B59" t="str">
            <v>Service gratuit 2</v>
          </cell>
        </row>
        <row r="60">
          <cell r="A60" t="str">
            <v>Véhicules neufsFrais véhicules de cie</v>
          </cell>
          <cell r="B60" t="str">
            <v>Frais véhicules de cie</v>
          </cell>
        </row>
        <row r="61">
          <cell r="A61" t="str">
            <v>Véhicules neufsInformatique</v>
          </cell>
          <cell r="B61" t="str">
            <v>Informatique</v>
          </cell>
        </row>
        <row r="62">
          <cell r="A62" t="str">
            <v>Véhicules neufsFrais de déplacement</v>
          </cell>
          <cell r="B62" t="str">
            <v>Frais de déplacement</v>
          </cell>
        </row>
        <row r="63">
          <cell r="A63" t="str">
            <v>Véhicules neufsServices extérieurs</v>
          </cell>
          <cell r="B63" t="str">
            <v>Services extérieurs</v>
          </cell>
        </row>
        <row r="64">
          <cell r="A64" t="str">
            <v>Véhicules neufsFournitures autres</v>
          </cell>
          <cell r="B64" t="str">
            <v>Fournitures autres</v>
          </cell>
        </row>
        <row r="65">
          <cell r="A65" t="str">
            <v>Véhicules neufsUniformes</v>
          </cell>
          <cell r="B65" t="str">
            <v>Uniformes</v>
          </cell>
        </row>
        <row r="66">
          <cell r="A66" t="str">
            <v>Véhicules neufsPapeterie</v>
          </cell>
          <cell r="B66" t="str">
            <v>Papeterie</v>
          </cell>
        </row>
        <row r="67">
          <cell r="A67" t="str">
            <v>Véhicules neufsTéléphone</v>
          </cell>
          <cell r="B67" t="str">
            <v>Téléphone</v>
          </cell>
        </row>
        <row r="68">
          <cell r="A68" t="str">
            <v>Véhicules neufsFrais postaux</v>
          </cell>
          <cell r="B68" t="str">
            <v>Frais postaux</v>
          </cell>
        </row>
        <row r="69">
          <cell r="A69" t="str">
            <v>Véhicules neufsDivers</v>
          </cell>
          <cell r="B69" t="str">
            <v>Divers</v>
          </cell>
        </row>
        <row r="70">
          <cell r="A70" t="str">
            <v>Véhicules neufsFormation</v>
          </cell>
          <cell r="B70" t="str">
            <v>Formation</v>
          </cell>
        </row>
        <row r="71">
          <cell r="A71" t="str">
            <v>Véhicules neufsFrais bancaires</v>
          </cell>
          <cell r="B71" t="str">
            <v>Frais bancaires</v>
          </cell>
        </row>
        <row r="72">
          <cell r="A72" t="str">
            <v>Véhicules neufs[...]</v>
          </cell>
          <cell r="B72" t="str">
            <v>[...]</v>
          </cell>
        </row>
        <row r="73">
          <cell r="A73" t="str">
            <v>Véhicules neufs[...]</v>
          </cell>
          <cell r="B73" t="str">
            <v>[...]</v>
          </cell>
        </row>
        <row r="74">
          <cell r="A74" t="str">
            <v>Véhicules neufs[...]</v>
          </cell>
          <cell r="B74" t="str">
            <v>[...]</v>
          </cell>
        </row>
        <row r="75">
          <cell r="A75" t="str">
            <v>Véhicules neufsTOTAL SEMI-FIXES</v>
          </cell>
          <cell r="B75" t="str">
            <v>TOTAL SEMI-FIXES</v>
          </cell>
        </row>
        <row r="76">
          <cell r="A76" t="str">
            <v>Véhicules neufs</v>
          </cell>
        </row>
        <row r="77">
          <cell r="A77" t="str">
            <v>Véhicules neufsTOTAL DES DÉPENSES</v>
          </cell>
          <cell r="B77" t="str">
            <v>TOTAL DES DÉPENSES</v>
          </cell>
        </row>
        <row r="78">
          <cell r="A78" t="str">
            <v>Véhicules neufsProgramme neuf 1</v>
          </cell>
          <cell r="B78" t="str">
            <v>Programme neuf 1</v>
          </cell>
        </row>
        <row r="79">
          <cell r="A79" t="str">
            <v>Véhicules neufsProgramme neuf 2</v>
          </cell>
          <cell r="B79" t="str">
            <v>Programme neuf 2</v>
          </cell>
        </row>
        <row r="80">
          <cell r="A80" t="str">
            <v>Véhicules neufsProgramme neuf 3</v>
          </cell>
          <cell r="B80" t="str">
            <v>Programme neuf 3</v>
          </cell>
        </row>
        <row r="81">
          <cell r="A81" t="str">
            <v>Véhicules neufsHoldbacks</v>
          </cell>
          <cell r="B81" t="str">
            <v>Holdbacks</v>
          </cell>
        </row>
        <row r="82">
          <cell r="A82" t="str">
            <v>Véhicules neufs[...]</v>
          </cell>
          <cell r="B82" t="str">
            <v>[...]</v>
          </cell>
        </row>
        <row r="83">
          <cell r="A83" t="str">
            <v>Véhicules neufs[...]</v>
          </cell>
          <cell r="B83" t="str">
            <v>[...]</v>
          </cell>
        </row>
        <row r="84">
          <cell r="A84" t="str">
            <v>Véhicules neufs[...]</v>
          </cell>
          <cell r="B84" t="str">
            <v>[...]</v>
          </cell>
        </row>
        <row r="85">
          <cell r="A85" t="str">
            <v>Véhicules neufsFrais administration</v>
          </cell>
          <cell r="B85" t="str">
            <v>Frais administration</v>
          </cell>
        </row>
        <row r="86">
          <cell r="A86" t="str">
            <v>Véhicules neufsAUTRES REVENUS</v>
          </cell>
          <cell r="B86" t="str">
            <v>AUTRES REVENUS</v>
          </cell>
        </row>
        <row r="87">
          <cell r="A87" t="str">
            <v>Véhicules neufs</v>
          </cell>
        </row>
        <row r="88">
          <cell r="A88" t="str">
            <v>Véhicules neufsPROFIT DÉPARTEMENTAL</v>
          </cell>
          <cell r="B88" t="str">
            <v>PROFIT DÉPARTEMENTAL</v>
          </cell>
        </row>
        <row r="92">
          <cell r="B92" t="str">
            <v>Réel 2024</v>
          </cell>
          <cell r="C92" t="str">
            <v>Véhicules usagés</v>
          </cell>
        </row>
        <row r="94">
          <cell r="B94" t="str">
            <v>Mois</v>
          </cell>
          <cell r="C94">
            <v>2025</v>
          </cell>
          <cell r="F94" t="str">
            <v>Janvier</v>
          </cell>
          <cell r="I94" t="str">
            <v>Février</v>
          </cell>
          <cell r="L94" t="str">
            <v>Mars</v>
          </cell>
          <cell r="O94" t="str">
            <v>Avril</v>
          </cell>
          <cell r="R94" t="str">
            <v>Mai</v>
          </cell>
          <cell r="U94" t="str">
            <v>Juin</v>
          </cell>
          <cell r="X94" t="str">
            <v>Juillet</v>
          </cell>
          <cell r="AA94" t="str">
            <v>Août</v>
          </cell>
          <cell r="AD94" t="str">
            <v>Septembre</v>
          </cell>
          <cell r="AG94" t="str">
            <v>Octobre</v>
          </cell>
          <cell r="AJ94" t="str">
            <v>Novembre</v>
          </cell>
          <cell r="AM94" t="str">
            <v>Décembre</v>
          </cell>
        </row>
        <row r="95">
          <cell r="C95" t="str">
            <v>UNITE</v>
          </cell>
          <cell r="D95" t="str">
            <v>$P/UNITE</v>
          </cell>
          <cell r="E95" t="str">
            <v>$PROFITS</v>
          </cell>
          <cell r="F95" t="str">
            <v>UNITE</v>
          </cell>
          <cell r="G95" t="str">
            <v>$P/UNITE</v>
          </cell>
          <cell r="H95" t="str">
            <v>$PROFITS</v>
          </cell>
          <cell r="I95" t="str">
            <v>UNITE</v>
          </cell>
          <cell r="J95" t="str">
            <v>$P/UNITE</v>
          </cell>
          <cell r="K95" t="str">
            <v>$PROFITS</v>
          </cell>
          <cell r="L95" t="str">
            <v>UNITE</v>
          </cell>
          <cell r="M95" t="str">
            <v>$P/UNITE</v>
          </cell>
          <cell r="N95" t="str">
            <v>$PROFITS</v>
          </cell>
          <cell r="O95" t="str">
            <v>UNITE</v>
          </cell>
          <cell r="P95" t="str">
            <v>$P/UNITE</v>
          </cell>
          <cell r="Q95" t="str">
            <v>$PROFITS</v>
          </cell>
          <cell r="R95" t="str">
            <v>UNITE</v>
          </cell>
          <cell r="S95" t="str">
            <v>$P/UNITE</v>
          </cell>
          <cell r="T95" t="str">
            <v>$PROFITS</v>
          </cell>
          <cell r="U95" t="str">
            <v>UNITE</v>
          </cell>
          <cell r="V95" t="str">
            <v>$P/UNITE</v>
          </cell>
          <cell r="W95" t="str">
            <v>$PROFITS</v>
          </cell>
          <cell r="X95" t="str">
            <v>UNITE</v>
          </cell>
          <cell r="Y95" t="str">
            <v>$P/UNITE</v>
          </cell>
          <cell r="Z95" t="str">
            <v>$PROFITS</v>
          </cell>
          <cell r="AA95" t="str">
            <v>UNITE</v>
          </cell>
          <cell r="AB95" t="str">
            <v>$P/UNITE</v>
          </cell>
          <cell r="AC95" t="str">
            <v>$PROFITS</v>
          </cell>
          <cell r="AD95" t="str">
            <v>UNITE</v>
          </cell>
          <cell r="AE95" t="str">
            <v>$P/UNITE</v>
          </cell>
          <cell r="AF95" t="str">
            <v>$PROFITS</v>
          </cell>
          <cell r="AG95" t="str">
            <v>UNITE</v>
          </cell>
          <cell r="AH95" t="str">
            <v>$P/UNITE</v>
          </cell>
          <cell r="AI95" t="str">
            <v>$PROFITS</v>
          </cell>
          <cell r="AJ95" t="str">
            <v>UNITE</v>
          </cell>
          <cell r="AK95" t="str">
            <v>$P/UNITE</v>
          </cell>
          <cell r="AL95" t="str">
            <v>$PROFITS</v>
          </cell>
          <cell r="AM95" t="str">
            <v>UNITE</v>
          </cell>
          <cell r="AN95" t="str">
            <v>$P/UNITE</v>
          </cell>
          <cell r="AO95" t="str">
            <v>$PROFITS</v>
          </cell>
        </row>
        <row r="96">
          <cell r="A96" t="str">
            <v>Véhicules usagésVentes nettes</v>
          </cell>
          <cell r="B96" t="str">
            <v>Ventes nettes</v>
          </cell>
        </row>
        <row r="97">
          <cell r="A97" t="str">
            <v>Véhicules usagésCertifié</v>
          </cell>
          <cell r="B97" t="str">
            <v>Certifié</v>
          </cell>
        </row>
        <row r="98">
          <cell r="A98" t="str">
            <v>Véhicules usagésNon Certifié</v>
          </cell>
          <cell r="B98" t="str">
            <v>Non Certifié</v>
          </cell>
        </row>
        <row r="99">
          <cell r="A99" t="str">
            <v>Véhicules usagésAutres Marques</v>
          </cell>
          <cell r="B99" t="str">
            <v>Autres Marques</v>
          </cell>
        </row>
        <row r="100">
          <cell r="A100" t="str">
            <v>Véhicules usagésTotal Usagés</v>
          </cell>
          <cell r="B100" t="str">
            <v>Total Usagés</v>
          </cell>
        </row>
        <row r="101">
          <cell r="A101" t="str">
            <v>Véhicules usagés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B103" t="str">
            <v>Ventes au Gros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B105" t="str">
            <v>Rev. Finances</v>
          </cell>
        </row>
        <row r="106">
          <cell r="A106" t="str">
            <v>Véhicules usagésRev. Protections</v>
          </cell>
          <cell r="B106" t="str">
            <v>Rev. Protections</v>
          </cell>
        </row>
        <row r="107">
          <cell r="A107" t="str">
            <v>Véhicules usagésRev. Autres</v>
          </cell>
          <cell r="B107" t="str">
            <v>Rev. Autres</v>
          </cell>
        </row>
        <row r="108">
          <cell r="A108" t="str">
            <v>Véhicules usagésTotal F&amp;I</v>
          </cell>
          <cell r="B108" t="str">
            <v>Total F&amp;I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B111" t="str">
            <v>Total Dépt. Usagés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  <cell r="B114" t="str">
            <v>DEPENSES</v>
          </cell>
        </row>
        <row r="115">
          <cell r="A115" t="str">
            <v>Véhicules usagésComm. vendeurs</v>
          </cell>
          <cell r="B115" t="str">
            <v>Comm. vendeurs</v>
          </cell>
        </row>
        <row r="116">
          <cell r="A116" t="str">
            <v>Véhicules usagésComm. F&amp;I</v>
          </cell>
          <cell r="B116" t="str">
            <v>Comm. F&amp;I</v>
          </cell>
        </row>
        <row r="117">
          <cell r="A117" t="str">
            <v>Véhicules usagésFrais de livraison</v>
          </cell>
          <cell r="B117" t="str">
            <v>Frais de livraison</v>
          </cell>
        </row>
        <row r="118">
          <cell r="A118" t="str">
            <v>Véhicules usagésService gratuit 1</v>
          </cell>
          <cell r="B118" t="str">
            <v>Service gratuit 1</v>
          </cell>
        </row>
        <row r="119">
          <cell r="A119" t="str">
            <v>Véhicules usagésEntretien stock</v>
          </cell>
          <cell r="B119" t="str">
            <v>Entretien stock</v>
          </cell>
        </row>
        <row r="120">
          <cell r="A120" t="str">
            <v>Véhicules usagésPublicité 1</v>
          </cell>
          <cell r="B120" t="str">
            <v>Publicité 1</v>
          </cell>
        </row>
        <row r="121">
          <cell r="A121" t="str">
            <v>Véhicules usagésIntérêt de gros</v>
          </cell>
          <cell r="B121" t="str">
            <v>Intérêt de gros</v>
          </cell>
        </row>
        <row r="122">
          <cell r="A122" t="str">
            <v>Véhicules usagés[...]</v>
          </cell>
          <cell r="B122" t="str">
            <v>[...]</v>
          </cell>
        </row>
        <row r="123">
          <cell r="A123" t="str">
            <v>Véhicules usagés[...]</v>
          </cell>
          <cell r="B123" t="str">
            <v>[...]</v>
          </cell>
        </row>
        <row r="124">
          <cell r="A124" t="str">
            <v>Véhicules usagés[...]</v>
          </cell>
          <cell r="B124" t="str">
            <v>[...]</v>
          </cell>
        </row>
        <row r="125">
          <cell r="A125" t="str">
            <v>Véhicules usagésTOTAL VARIABLES</v>
          </cell>
          <cell r="B125" t="str">
            <v>TOTAL VARIABLES</v>
          </cell>
        </row>
        <row r="126">
          <cell r="A126" t="str">
            <v>Véhicules usagésSalaires cadres</v>
          </cell>
          <cell r="B126" t="str">
            <v>Salaires cadres</v>
          </cell>
        </row>
        <row r="127">
          <cell r="A127" t="str">
            <v>Véhicules usagésSalaires commis</v>
          </cell>
          <cell r="B127" t="str">
            <v>Salaires commis</v>
          </cell>
        </row>
        <row r="128">
          <cell r="A128" t="str">
            <v>Véhicules usagésSalaires autres</v>
          </cell>
          <cell r="B128" t="str">
            <v>Salaires autres</v>
          </cell>
        </row>
        <row r="129">
          <cell r="A129" t="str">
            <v>Véhicules usagésSalaires spécialistes</v>
          </cell>
          <cell r="B129" t="str">
            <v>Salaires spécialistes</v>
          </cell>
        </row>
        <row r="130">
          <cell r="A130" t="str">
            <v>Véhicules usagés[...]</v>
          </cell>
          <cell r="B130" t="str">
            <v>[...]</v>
          </cell>
        </row>
        <row r="131">
          <cell r="A131" t="str">
            <v>Véhicules usagés[...]</v>
          </cell>
          <cell r="B131" t="str">
            <v>[...]</v>
          </cell>
        </row>
        <row r="132">
          <cell r="A132" t="str">
            <v>Véhicules usagés[...]</v>
          </cell>
          <cell r="B132" t="str">
            <v>[...]</v>
          </cell>
        </row>
        <row r="133">
          <cell r="A133" t="str">
            <v>Véhicules usagésSalaires en absences</v>
          </cell>
          <cell r="B133" t="str">
            <v>Salaires en absences</v>
          </cell>
        </row>
        <row r="134">
          <cell r="A134" t="str">
            <v>Véhicules usagésDéduction à la source</v>
          </cell>
          <cell r="B134" t="str">
            <v>Déduction à la source</v>
          </cell>
        </row>
        <row r="135">
          <cell r="A135" t="str">
            <v>Véhicules usagésBénéfices marginaux</v>
          </cell>
          <cell r="B135" t="str">
            <v>Bénéfices marginaux</v>
          </cell>
        </row>
        <row r="136">
          <cell r="A136" t="str">
            <v>Véhicules usagésCsst</v>
          </cell>
          <cell r="B136" t="str">
            <v>Csst</v>
          </cell>
        </row>
        <row r="138">
          <cell r="A138" t="str">
            <v>Véhicules usagésTOTAL PERSONNEL</v>
          </cell>
          <cell r="B138" t="str">
            <v>TOTAL PERSONNEL</v>
          </cell>
        </row>
        <row r="139">
          <cell r="A139" t="str">
            <v>Véhicules usagésPublicité 2</v>
          </cell>
          <cell r="B139" t="str">
            <v>Publicité 2</v>
          </cell>
        </row>
        <row r="140">
          <cell r="A140" t="str">
            <v>Véhicules usagésService gratuit 2</v>
          </cell>
          <cell r="B140" t="str">
            <v>Service gratuit 2</v>
          </cell>
        </row>
        <row r="141">
          <cell r="A141" t="str">
            <v>Véhicules usagésFrais véhicules de cie</v>
          </cell>
          <cell r="B141" t="str">
            <v>Frais véhicules de cie</v>
          </cell>
        </row>
        <row r="142">
          <cell r="A142" t="str">
            <v>Véhicules usagésInformatique</v>
          </cell>
          <cell r="B142" t="str">
            <v>Informatique</v>
          </cell>
        </row>
        <row r="143">
          <cell r="A143" t="str">
            <v>Véhicules usagésFrais de déplacement</v>
          </cell>
          <cell r="B143" t="str">
            <v>Frais de déplacement</v>
          </cell>
        </row>
        <row r="144">
          <cell r="A144" t="str">
            <v>Véhicules usagésServices extérieurs</v>
          </cell>
          <cell r="B144" t="str">
            <v>Services extérieurs</v>
          </cell>
        </row>
        <row r="145">
          <cell r="A145" t="str">
            <v>Véhicules usagésFournitures autres</v>
          </cell>
          <cell r="B145" t="str">
            <v>Fournitures autres</v>
          </cell>
        </row>
        <row r="146">
          <cell r="A146" t="str">
            <v>Véhicules usagésUniformes</v>
          </cell>
          <cell r="B146" t="str">
            <v>Uniformes</v>
          </cell>
        </row>
        <row r="147">
          <cell r="A147" t="str">
            <v>Véhicules usagésPapeterie</v>
          </cell>
          <cell r="B147" t="str">
            <v>Papeterie</v>
          </cell>
        </row>
        <row r="148">
          <cell r="A148" t="str">
            <v>Véhicules usagésTéléphone</v>
          </cell>
          <cell r="B148" t="str">
            <v>Téléphone</v>
          </cell>
        </row>
        <row r="149">
          <cell r="A149" t="str">
            <v>Véhicules usagésFrais postaux</v>
          </cell>
          <cell r="B149" t="str">
            <v>Frais postaux</v>
          </cell>
        </row>
        <row r="150">
          <cell r="A150" t="str">
            <v>Véhicules usagésDivers</v>
          </cell>
          <cell r="B150" t="str">
            <v>Divers</v>
          </cell>
        </row>
        <row r="151">
          <cell r="A151" t="str">
            <v>Véhicules usagésFormation</v>
          </cell>
          <cell r="B151" t="str">
            <v>Formation</v>
          </cell>
        </row>
        <row r="152">
          <cell r="A152" t="str">
            <v>Véhicules usagésFrais bancaires</v>
          </cell>
          <cell r="B152" t="str">
            <v>Frais bancaires</v>
          </cell>
        </row>
        <row r="153">
          <cell r="A153" t="str">
            <v>Véhicules usagés[...]</v>
          </cell>
          <cell r="B153" t="str">
            <v>[...]</v>
          </cell>
        </row>
        <row r="154">
          <cell r="A154" t="str">
            <v>Véhicules usagés[...]</v>
          </cell>
          <cell r="B154" t="str">
            <v>[...]</v>
          </cell>
        </row>
        <row r="155">
          <cell r="A155" t="str">
            <v>Véhicules usagés[...]</v>
          </cell>
          <cell r="B155" t="str">
            <v>[...]</v>
          </cell>
        </row>
        <row r="156">
          <cell r="A156" t="str">
            <v>Véhicules usagésTOTAL SEMI-FIXES</v>
          </cell>
          <cell r="B156" t="str">
            <v>TOTAL SEMI-FIXES</v>
          </cell>
        </row>
        <row r="157">
          <cell r="A157" t="str">
            <v>Véhicules usagés</v>
          </cell>
        </row>
        <row r="158">
          <cell r="A158" t="str">
            <v>Véhicules usagésTOTAL DES DÉPENSES</v>
          </cell>
          <cell r="B158" t="str">
            <v>TOTAL DES DÉPENSES</v>
          </cell>
        </row>
        <row r="159">
          <cell r="A159" t="str">
            <v>Véhicules usagésProgramme used 1</v>
          </cell>
          <cell r="B159" t="str">
            <v>Programme used 1</v>
          </cell>
        </row>
        <row r="160">
          <cell r="A160" t="str">
            <v>Véhicules usagésProgramme used 2</v>
          </cell>
          <cell r="B160" t="str">
            <v>Programme used 2</v>
          </cell>
        </row>
        <row r="161">
          <cell r="A161" t="str">
            <v>Véhicules usagésProgramme used 3</v>
          </cell>
          <cell r="B161" t="str">
            <v>Programme used 3</v>
          </cell>
        </row>
        <row r="162">
          <cell r="A162" t="str">
            <v>Véhicules usagés</v>
          </cell>
        </row>
        <row r="163">
          <cell r="A163" t="str">
            <v>Véhicules usagés[...]</v>
          </cell>
          <cell r="B163" t="str">
            <v>[...]</v>
          </cell>
        </row>
        <row r="164">
          <cell r="A164" t="str">
            <v>Véhicules usagés[...]</v>
          </cell>
          <cell r="B164" t="str">
            <v>[...]</v>
          </cell>
        </row>
        <row r="165">
          <cell r="A165" t="str">
            <v>Véhicules usagésFrais administration</v>
          </cell>
          <cell r="B165" t="str">
            <v>Frais administration</v>
          </cell>
        </row>
        <row r="166">
          <cell r="A166" t="str">
            <v>Véhicules usagésAUTRES REVENUS</v>
          </cell>
          <cell r="B166" t="str">
            <v>AUTRES REVENUS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B168" t="str">
            <v>PROFIT DÉPARTEMENTAL</v>
          </cell>
        </row>
        <row r="171">
          <cell r="B171" t="str">
            <v>Réel 2024</v>
          </cell>
          <cell r="C171" t="str">
            <v>Service</v>
          </cell>
        </row>
        <row r="173">
          <cell r="B173" t="str">
            <v>Mois</v>
          </cell>
          <cell r="C173">
            <v>2025</v>
          </cell>
          <cell r="F173" t="str">
            <v>Janvier</v>
          </cell>
          <cell r="I173" t="str">
            <v>Février</v>
          </cell>
          <cell r="L173" t="str">
            <v>Mars</v>
          </cell>
          <cell r="O173" t="str">
            <v>Avril</v>
          </cell>
          <cell r="R173" t="str">
            <v>Mai</v>
          </cell>
          <cell r="U173" t="str">
            <v>Juin</v>
          </cell>
          <cell r="X173" t="str">
            <v>Juillet</v>
          </cell>
          <cell r="AA173" t="str">
            <v>Août</v>
          </cell>
          <cell r="AD173" t="str">
            <v>Septembre</v>
          </cell>
          <cell r="AG173" t="str">
            <v>Octobre</v>
          </cell>
          <cell r="AJ173" t="str">
            <v>Novembre</v>
          </cell>
          <cell r="AM173" t="str">
            <v>Décembre</v>
          </cell>
        </row>
        <row r="174">
          <cell r="A174" t="str">
            <v>Service</v>
          </cell>
          <cell r="C174" t="str">
            <v>#</v>
          </cell>
          <cell r="D174" t="str">
            <v>$VENTES</v>
          </cell>
          <cell r="E174" t="str">
            <v>$PROFITS</v>
          </cell>
          <cell r="F174" t="str">
            <v>#</v>
          </cell>
          <cell r="G174" t="str">
            <v>$VENTES</v>
          </cell>
          <cell r="H174" t="str">
            <v>$PROFITS</v>
          </cell>
          <cell r="I174" t="str">
            <v>#</v>
          </cell>
          <cell r="J174" t="str">
            <v>$VENTES</v>
          </cell>
          <cell r="K174" t="str">
            <v>$PROFITS</v>
          </cell>
          <cell r="L174" t="str">
            <v>#</v>
          </cell>
          <cell r="M174" t="str">
            <v>$VENTES</v>
          </cell>
          <cell r="N174" t="str">
            <v>$PROFITS</v>
          </cell>
          <cell r="O174" t="str">
            <v>#</v>
          </cell>
          <cell r="P174" t="str">
            <v>$VENTES</v>
          </cell>
          <cell r="Q174" t="str">
            <v>$PROFITS</v>
          </cell>
          <cell r="R174" t="str">
            <v>#</v>
          </cell>
          <cell r="S174" t="str">
            <v>$VENTES</v>
          </cell>
          <cell r="T174" t="str">
            <v>$PROFITS</v>
          </cell>
          <cell r="U174" t="str">
            <v>#</v>
          </cell>
          <cell r="V174" t="str">
            <v>$VENTES</v>
          </cell>
          <cell r="W174" t="str">
            <v>$PROFITS</v>
          </cell>
          <cell r="X174" t="str">
            <v>#</v>
          </cell>
          <cell r="Y174" t="str">
            <v>$VENTES</v>
          </cell>
          <cell r="Z174" t="str">
            <v>$PROFITS</v>
          </cell>
          <cell r="AA174" t="str">
            <v>#</v>
          </cell>
          <cell r="AB174" t="str">
            <v>$VENTES</v>
          </cell>
          <cell r="AC174" t="str">
            <v>$PROFITS</v>
          </cell>
          <cell r="AD174" t="str">
            <v>#</v>
          </cell>
          <cell r="AE174" t="str">
            <v>$VENTES</v>
          </cell>
          <cell r="AF174" t="str">
            <v>$PROFITS</v>
          </cell>
          <cell r="AG174" t="str">
            <v>#</v>
          </cell>
          <cell r="AH174" t="str">
            <v>$VENTES</v>
          </cell>
          <cell r="AI174" t="str">
            <v>$PROFITS</v>
          </cell>
          <cell r="AJ174" t="str">
            <v>#</v>
          </cell>
          <cell r="AK174" t="str">
            <v>$VENTES</v>
          </cell>
          <cell r="AL174" t="str">
            <v>$PROFITS</v>
          </cell>
          <cell r="AM174" t="str">
            <v>#</v>
          </cell>
          <cell r="AN174" t="str">
            <v>$VENTES</v>
          </cell>
          <cell r="AO174" t="str">
            <v>$PROFITS</v>
          </cell>
        </row>
        <row r="175">
          <cell r="A175" t="str">
            <v>ServiceM/O Client</v>
          </cell>
          <cell r="B175" t="str">
            <v>M/O Client</v>
          </cell>
        </row>
        <row r="176">
          <cell r="A176" t="str">
            <v>Service% profit / ventes</v>
          </cell>
          <cell r="B176" t="str">
            <v>% profit / ventes</v>
          </cell>
        </row>
        <row r="177">
          <cell r="A177" t="str">
            <v>Service</v>
          </cell>
        </row>
        <row r="178">
          <cell r="A178" t="str">
            <v>ServiceM/O Garantie</v>
          </cell>
          <cell r="B178" t="str">
            <v>M/O Garantie</v>
          </cell>
        </row>
        <row r="179">
          <cell r="A179" t="str">
            <v>Service% profit / ventes</v>
          </cell>
          <cell r="B179" t="str">
            <v>% profit / ventes</v>
          </cell>
        </row>
        <row r="180">
          <cell r="A180" t="str">
            <v>Service</v>
          </cell>
        </row>
        <row r="181">
          <cell r="A181" t="str">
            <v>ServiceM/O Interne</v>
          </cell>
          <cell r="B181" t="str">
            <v>M/O Interne</v>
          </cell>
        </row>
        <row r="182">
          <cell r="A182" t="str">
            <v>Service% profit / ventes</v>
          </cell>
          <cell r="B182" t="str">
            <v>% profit / ventes</v>
          </cell>
        </row>
        <row r="183">
          <cell r="A183" t="str">
            <v>Service</v>
          </cell>
        </row>
        <row r="184">
          <cell r="A184" t="str">
            <v>ServiceM/O Esthétique</v>
          </cell>
          <cell r="B184" t="str">
            <v>M/O Esthétique</v>
          </cell>
        </row>
        <row r="185">
          <cell r="A185" t="str">
            <v>Service% profit / ventes</v>
          </cell>
          <cell r="B185" t="str">
            <v>% profit / ventes</v>
          </cell>
        </row>
        <row r="186">
          <cell r="A186" t="str">
            <v>Service</v>
          </cell>
        </row>
        <row r="187">
          <cell r="A187" t="str">
            <v>ServiceAjustement M/O</v>
          </cell>
          <cell r="B187" t="str">
            <v>Ajustement M/O</v>
          </cell>
        </row>
        <row r="188">
          <cell r="A188" t="str">
            <v>ServiceSous-total M/O</v>
          </cell>
          <cell r="B188" t="str">
            <v>Sous-total M/O</v>
          </cell>
        </row>
        <row r="189">
          <cell r="A189" t="str">
            <v>Service% protit / ventes</v>
          </cell>
          <cell r="B189" t="str">
            <v>% protit / ventes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B191" t="str">
            <v>Sous-traitement</v>
          </cell>
        </row>
        <row r="192">
          <cell r="A192" t="str">
            <v>Service% profit / ventes</v>
          </cell>
          <cell r="B192" t="str">
            <v>% profit / ventes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B194" t="str">
            <v>M.O. Recond. MCPA</v>
          </cell>
        </row>
        <row r="195">
          <cell r="A195" t="str">
            <v>Service% profit / ventes</v>
          </cell>
          <cell r="B195" t="str">
            <v>% profit / ventes</v>
          </cell>
        </row>
        <row r="196">
          <cell r="A196" t="str">
            <v>Service</v>
          </cell>
        </row>
        <row r="197">
          <cell r="A197" t="str">
            <v>ServiceTotal Mécanique</v>
          </cell>
          <cell r="B197" t="str">
            <v>Total Mécanique</v>
          </cell>
        </row>
        <row r="198">
          <cell r="A198" t="str">
            <v>Service</v>
          </cell>
        </row>
        <row r="199">
          <cell r="A199" t="str">
            <v>Service</v>
          </cell>
        </row>
        <row r="200">
          <cell r="A200" t="str">
            <v>ServiceDEPENSES</v>
          </cell>
          <cell r="B200" t="str">
            <v>DEPENSES</v>
          </cell>
        </row>
        <row r="201">
          <cell r="A201" t="str">
            <v>ServiceSalaires cadres</v>
          </cell>
          <cell r="B201" t="str">
            <v>Salaires cadres</v>
          </cell>
        </row>
        <row r="202">
          <cell r="A202" t="str">
            <v>ServiceSalaires commis</v>
          </cell>
          <cell r="B202" t="str">
            <v>Salaires commis</v>
          </cell>
        </row>
        <row r="203">
          <cell r="A203" t="str">
            <v>ServiceSalaires autres</v>
          </cell>
          <cell r="B203" t="str">
            <v>Salaires autres</v>
          </cell>
        </row>
        <row r="204">
          <cell r="A204" t="str">
            <v>ServiceSalaires spécialistes</v>
          </cell>
          <cell r="B204" t="str">
            <v>Salaires spécialistes</v>
          </cell>
        </row>
        <row r="205">
          <cell r="A205" t="str">
            <v>Service[...]</v>
          </cell>
          <cell r="B205" t="str">
            <v>[...]</v>
          </cell>
        </row>
        <row r="206">
          <cell r="A206" t="str">
            <v>Service[...]</v>
          </cell>
          <cell r="B206" t="str">
            <v>[...]</v>
          </cell>
        </row>
        <row r="207">
          <cell r="A207" t="str">
            <v>Service[...]</v>
          </cell>
          <cell r="B207" t="str">
            <v>[...]</v>
          </cell>
        </row>
        <row r="208">
          <cell r="A208" t="str">
            <v>ServiceSalaires en absences</v>
          </cell>
          <cell r="B208" t="str">
            <v>Salaires en absences</v>
          </cell>
        </row>
        <row r="209">
          <cell r="A209" t="str">
            <v>ServiceDéduction à la source</v>
          </cell>
          <cell r="B209" t="str">
            <v>Déduction à la source</v>
          </cell>
        </row>
        <row r="210">
          <cell r="A210" t="str">
            <v>ServiceBénéfices marginaux</v>
          </cell>
          <cell r="B210" t="str">
            <v>Bénéfices marginaux</v>
          </cell>
        </row>
        <row r="211">
          <cell r="A211" t="str">
            <v>ServiceCsst</v>
          </cell>
          <cell r="B211" t="str">
            <v>Csst</v>
          </cell>
        </row>
        <row r="212">
          <cell r="A212" t="str">
            <v>Service[...]</v>
          </cell>
          <cell r="B212" t="str">
            <v>[...]</v>
          </cell>
        </row>
        <row r="213">
          <cell r="A213" t="str">
            <v>ServiceTOTAL PERSONNEL</v>
          </cell>
          <cell r="B213" t="str">
            <v>TOTAL PERSONNEL</v>
          </cell>
        </row>
        <row r="214">
          <cell r="A214" t="str">
            <v>ServicePublicité 2</v>
          </cell>
          <cell r="B214" t="str">
            <v>Publicité 2</v>
          </cell>
        </row>
        <row r="215">
          <cell r="A215" t="str">
            <v>ServiceService gratuit 2</v>
          </cell>
          <cell r="B215" t="str">
            <v>Service gratuit 2</v>
          </cell>
        </row>
        <row r="216">
          <cell r="A216" t="str">
            <v>ServiceFrais véhicules de cie</v>
          </cell>
          <cell r="B216" t="str">
            <v>Frais véhicules de cie</v>
          </cell>
        </row>
        <row r="217">
          <cell r="A217" t="str">
            <v>ServiceInformatique</v>
          </cell>
          <cell r="B217" t="str">
            <v>Informatique</v>
          </cell>
        </row>
        <row r="218">
          <cell r="A218" t="str">
            <v>ServiceFrais de déplacement</v>
          </cell>
          <cell r="B218" t="str">
            <v>Frais de déplacement</v>
          </cell>
        </row>
        <row r="219">
          <cell r="A219" t="str">
            <v>ServiceServices extérieurs</v>
          </cell>
          <cell r="B219" t="str">
            <v>Services extérieurs</v>
          </cell>
        </row>
        <row r="220">
          <cell r="A220" t="str">
            <v>ServiceFournitures d'atelier</v>
          </cell>
          <cell r="B220" t="str">
            <v>Fournitures d'atelier</v>
          </cell>
        </row>
        <row r="221">
          <cell r="A221" t="str">
            <v>ServiceFournitures autres</v>
          </cell>
          <cell r="B221" t="str">
            <v>Fournitures autres</v>
          </cell>
        </row>
        <row r="222">
          <cell r="A222" t="str">
            <v>ServiceUniformes</v>
          </cell>
          <cell r="B222" t="str">
            <v>Uniformes</v>
          </cell>
        </row>
        <row r="223">
          <cell r="A223" t="str">
            <v>ServicePapeterie</v>
          </cell>
          <cell r="B223" t="str">
            <v>Papeterie</v>
          </cell>
        </row>
        <row r="224">
          <cell r="A224" t="str">
            <v>ServiceTéléphone</v>
          </cell>
          <cell r="B224" t="str">
            <v>Téléphone</v>
          </cell>
        </row>
        <row r="225">
          <cell r="A225" t="str">
            <v>ServiceFrais postaux</v>
          </cell>
          <cell r="B225" t="str">
            <v>Frais postaux</v>
          </cell>
        </row>
        <row r="226">
          <cell r="A226" t="str">
            <v>ServiceDivers</v>
          </cell>
          <cell r="B226" t="str">
            <v>Divers</v>
          </cell>
        </row>
        <row r="227">
          <cell r="A227" t="str">
            <v>ServiceFormation</v>
          </cell>
          <cell r="B227" t="str">
            <v>Formation</v>
          </cell>
        </row>
        <row r="228">
          <cell r="A228" t="str">
            <v>ServiceFrais bancaires</v>
          </cell>
          <cell r="B228" t="str">
            <v>Frais bancaires</v>
          </cell>
        </row>
        <row r="229">
          <cell r="A229" t="str">
            <v>Service[...]</v>
          </cell>
          <cell r="B229" t="str">
            <v>[...]</v>
          </cell>
        </row>
        <row r="230">
          <cell r="A230" t="str">
            <v>Service[...]</v>
          </cell>
          <cell r="B230" t="str">
            <v>[...]</v>
          </cell>
        </row>
        <row r="231">
          <cell r="A231" t="str">
            <v>Service[...]</v>
          </cell>
          <cell r="B231" t="str">
            <v>[...]</v>
          </cell>
        </row>
        <row r="232">
          <cell r="A232" t="str">
            <v>ServiceTOTAL SEMI-FIXES</v>
          </cell>
          <cell r="B232" t="str">
            <v>TOTAL SEMI-FIXES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B234" t="str">
            <v>TOTAL DES DÉPENSES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B236" t="str">
            <v>PROFIT DÉPARTEMENTAL</v>
          </cell>
        </row>
        <row r="239">
          <cell r="B239" t="str">
            <v>Réel 2024</v>
          </cell>
          <cell r="C239" t="str">
            <v>Carrosserie</v>
          </cell>
        </row>
        <row r="241">
          <cell r="B241" t="str">
            <v>Mois</v>
          </cell>
          <cell r="C241">
            <v>2025</v>
          </cell>
          <cell r="F241" t="str">
            <v>Janvier</v>
          </cell>
          <cell r="I241" t="str">
            <v>Février</v>
          </cell>
          <cell r="L241" t="str">
            <v>Mars</v>
          </cell>
          <cell r="O241" t="str">
            <v>Avril</v>
          </cell>
          <cell r="R241" t="str">
            <v>Mai</v>
          </cell>
          <cell r="U241" t="str">
            <v>Juin</v>
          </cell>
          <cell r="X241" t="str">
            <v>Juillet</v>
          </cell>
          <cell r="AA241" t="str">
            <v>Août</v>
          </cell>
          <cell r="AD241" t="str">
            <v>Septembre</v>
          </cell>
          <cell r="AG241" t="str">
            <v>Octobre</v>
          </cell>
          <cell r="AJ241" t="str">
            <v>Novembre</v>
          </cell>
          <cell r="AM241" t="str">
            <v>Décembre</v>
          </cell>
        </row>
        <row r="242">
          <cell r="A242" t="str">
            <v>Carrosserie</v>
          </cell>
          <cell r="C242" t="str">
            <v>#</v>
          </cell>
          <cell r="D242" t="str">
            <v>$VENTES</v>
          </cell>
          <cell r="E242" t="str">
            <v>$PROFITS</v>
          </cell>
          <cell r="F242" t="str">
            <v>#</v>
          </cell>
          <cell r="G242" t="str">
            <v>$VENTES</v>
          </cell>
          <cell r="H242" t="str">
            <v>$PROFITS</v>
          </cell>
          <cell r="I242" t="str">
            <v>#</v>
          </cell>
          <cell r="J242" t="str">
            <v>$VENTES</v>
          </cell>
          <cell r="K242" t="str">
            <v>$PROFITS</v>
          </cell>
          <cell r="L242" t="str">
            <v>#</v>
          </cell>
          <cell r="M242" t="str">
            <v>$VENTES</v>
          </cell>
          <cell r="N242" t="str">
            <v>$PROFITS</v>
          </cell>
          <cell r="O242" t="str">
            <v>#</v>
          </cell>
          <cell r="P242" t="str">
            <v>$VENTES</v>
          </cell>
          <cell r="Q242" t="str">
            <v>$PROFITS</v>
          </cell>
          <cell r="R242" t="str">
            <v>#</v>
          </cell>
          <cell r="S242" t="str">
            <v>$VENTES</v>
          </cell>
          <cell r="T242" t="str">
            <v>$PROFITS</v>
          </cell>
          <cell r="U242" t="str">
            <v>#</v>
          </cell>
          <cell r="V242" t="str">
            <v>$VENTES</v>
          </cell>
          <cell r="W242" t="str">
            <v>$PROFITS</v>
          </cell>
          <cell r="X242" t="str">
            <v>#</v>
          </cell>
          <cell r="Y242" t="str">
            <v>$VENTES</v>
          </cell>
          <cell r="Z242" t="str">
            <v>$PROFITS</v>
          </cell>
          <cell r="AA242" t="str">
            <v>#</v>
          </cell>
          <cell r="AB242" t="str">
            <v>$VENTES</v>
          </cell>
          <cell r="AC242" t="str">
            <v>$PROFITS</v>
          </cell>
          <cell r="AD242" t="str">
            <v>#</v>
          </cell>
          <cell r="AE242" t="str">
            <v>$VENTES</v>
          </cell>
          <cell r="AF242" t="str">
            <v>$PROFITS</v>
          </cell>
          <cell r="AG242" t="str">
            <v>#</v>
          </cell>
          <cell r="AH242" t="str">
            <v>$VENTES</v>
          </cell>
          <cell r="AI242" t="str">
            <v>$PROFITS</v>
          </cell>
          <cell r="AJ242" t="str">
            <v>#</v>
          </cell>
          <cell r="AK242" t="str">
            <v>$VENTES</v>
          </cell>
          <cell r="AL242" t="str">
            <v>$PROFITS</v>
          </cell>
          <cell r="AM242" t="str">
            <v>#</v>
          </cell>
          <cell r="AN242" t="str">
            <v>$VENTES</v>
          </cell>
          <cell r="AO242" t="str">
            <v>$PROFITS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B244" t="str">
            <v>M/O Sous-traitement</v>
          </cell>
        </row>
        <row r="245">
          <cell r="A245" t="str">
            <v>Carrosserie% profit / ventes</v>
          </cell>
          <cell r="B245" t="str">
            <v>% profit / ventes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B247" t="str">
            <v>M/O Carrosserie</v>
          </cell>
        </row>
        <row r="248">
          <cell r="A248" t="str">
            <v>Carrosserie% profit / ventes</v>
          </cell>
          <cell r="B248" t="str">
            <v>% profit / ventes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B250" t="str">
            <v>M/O Esthétique Carr.</v>
          </cell>
        </row>
        <row r="251">
          <cell r="A251" t="str">
            <v>Carrosserie% profit / ventes</v>
          </cell>
          <cell r="B251" t="str">
            <v>% profit / ventes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B253" t="str">
            <v>Total Mécanique</v>
          </cell>
        </row>
        <row r="254">
          <cell r="A254" t="str">
            <v>Carrosserie</v>
          </cell>
        </row>
        <row r="255">
          <cell r="A255" t="str">
            <v>Carrosserie</v>
          </cell>
        </row>
        <row r="256">
          <cell r="A256" t="str">
            <v>CarrosserieDEPENSES</v>
          </cell>
          <cell r="B256" t="str">
            <v>DEPENSES</v>
          </cell>
        </row>
        <row r="257">
          <cell r="A257" t="str">
            <v>CarrosserieSalaires cadres</v>
          </cell>
          <cell r="B257" t="str">
            <v>Salaires cadres</v>
          </cell>
        </row>
        <row r="258">
          <cell r="A258" t="str">
            <v>CarrosserieSalaires commis</v>
          </cell>
          <cell r="B258" t="str">
            <v>Salaires commis</v>
          </cell>
        </row>
        <row r="259">
          <cell r="A259" t="str">
            <v>CarrosserieSalaires autres</v>
          </cell>
          <cell r="B259" t="str">
            <v>Salaires autres</v>
          </cell>
        </row>
        <row r="260">
          <cell r="A260" t="str">
            <v>CarrosserieSalaires spécialistes</v>
          </cell>
          <cell r="B260" t="str">
            <v>Salaires spécialistes</v>
          </cell>
        </row>
        <row r="261">
          <cell r="A261" t="str">
            <v>Carrosserie[...]</v>
          </cell>
          <cell r="B261" t="str">
            <v>[...]</v>
          </cell>
        </row>
        <row r="262">
          <cell r="A262" t="str">
            <v>Carrosserie[...]</v>
          </cell>
          <cell r="B262" t="str">
            <v>[...]</v>
          </cell>
        </row>
        <row r="263">
          <cell r="A263" t="str">
            <v>Carrosserie[...]</v>
          </cell>
          <cell r="B263" t="str">
            <v>[...]</v>
          </cell>
        </row>
        <row r="264">
          <cell r="A264" t="str">
            <v>CarrosserieSalaires en absences</v>
          </cell>
          <cell r="B264" t="str">
            <v>Salaires en absences</v>
          </cell>
        </row>
        <row r="265">
          <cell r="A265" t="str">
            <v>CarrosserieDéduction à la source</v>
          </cell>
          <cell r="B265" t="str">
            <v>Déduction à la source</v>
          </cell>
        </row>
        <row r="266">
          <cell r="A266" t="str">
            <v>CarrosserieBénéfices marginaux</v>
          </cell>
          <cell r="B266" t="str">
            <v>Bénéfices marginaux</v>
          </cell>
        </row>
        <row r="267">
          <cell r="A267" t="str">
            <v>CarrosserieCsst</v>
          </cell>
          <cell r="B267" t="str">
            <v>Csst</v>
          </cell>
        </row>
        <row r="268">
          <cell r="A268" t="str">
            <v>Carrosserie[...]</v>
          </cell>
          <cell r="B268" t="str">
            <v>[...]</v>
          </cell>
        </row>
        <row r="269">
          <cell r="A269" t="str">
            <v>CarrosserieTOTAL PERSONNEL</v>
          </cell>
          <cell r="B269" t="str">
            <v>TOTAL PERSONNEL</v>
          </cell>
        </row>
        <row r="270">
          <cell r="A270" t="str">
            <v>CarrosseriePublicité 2</v>
          </cell>
          <cell r="B270" t="str">
            <v>Publicité 2</v>
          </cell>
        </row>
        <row r="271">
          <cell r="A271" t="str">
            <v>CarrosserieService gratuit 2</v>
          </cell>
          <cell r="B271" t="str">
            <v>Service gratuit 2</v>
          </cell>
        </row>
        <row r="272">
          <cell r="A272" t="str">
            <v>CarrosserieFrais véhicules de cie</v>
          </cell>
          <cell r="B272" t="str">
            <v>Frais véhicules de cie</v>
          </cell>
        </row>
        <row r="273">
          <cell r="A273" t="str">
            <v>CarrosserieInformatique</v>
          </cell>
          <cell r="B273" t="str">
            <v>Informatique</v>
          </cell>
        </row>
        <row r="274">
          <cell r="A274" t="str">
            <v>CarrosserieFrais de déplacement</v>
          </cell>
          <cell r="B274" t="str">
            <v>Frais de déplacement</v>
          </cell>
        </row>
        <row r="275">
          <cell r="A275" t="str">
            <v>CarrosserieServices extérieurs</v>
          </cell>
          <cell r="B275" t="str">
            <v>Services extérieurs</v>
          </cell>
        </row>
        <row r="276">
          <cell r="A276" t="str">
            <v>CarrosserieFournitures d'atelier</v>
          </cell>
          <cell r="B276" t="str">
            <v>Fournitures d'atelier</v>
          </cell>
        </row>
        <row r="277">
          <cell r="A277" t="str">
            <v>CarrosserieFournitures autres</v>
          </cell>
          <cell r="B277" t="str">
            <v>Fournitures autres</v>
          </cell>
        </row>
        <row r="278">
          <cell r="A278" t="str">
            <v>CarrosserieUniformes</v>
          </cell>
          <cell r="B278" t="str">
            <v>Uniformes</v>
          </cell>
        </row>
        <row r="279">
          <cell r="A279" t="str">
            <v>CarrosseriePapeterie</v>
          </cell>
          <cell r="B279" t="str">
            <v>Papeterie</v>
          </cell>
        </row>
        <row r="280">
          <cell r="A280" t="str">
            <v>CarrosserieTéléphone</v>
          </cell>
          <cell r="B280" t="str">
            <v>Téléphone</v>
          </cell>
        </row>
        <row r="281">
          <cell r="A281" t="str">
            <v>CarrosserieFrais postaux</v>
          </cell>
          <cell r="B281" t="str">
            <v>Frais postaux</v>
          </cell>
        </row>
        <row r="282">
          <cell r="A282" t="str">
            <v>CarrosserieDivers</v>
          </cell>
          <cell r="B282" t="str">
            <v>Divers</v>
          </cell>
        </row>
        <row r="283">
          <cell r="A283" t="str">
            <v>CarrosserieFormation</v>
          </cell>
          <cell r="B283" t="str">
            <v>Formation</v>
          </cell>
        </row>
        <row r="284">
          <cell r="A284" t="str">
            <v>CarrosserieFrais bancaires</v>
          </cell>
          <cell r="B284" t="str">
            <v>Frais bancaires</v>
          </cell>
        </row>
        <row r="285">
          <cell r="A285" t="str">
            <v>Carrosserie[...]</v>
          </cell>
          <cell r="B285" t="str">
            <v>[...]</v>
          </cell>
        </row>
        <row r="286">
          <cell r="A286" t="str">
            <v>Carrosserie[...]</v>
          </cell>
          <cell r="B286" t="str">
            <v>[...]</v>
          </cell>
        </row>
        <row r="287">
          <cell r="A287" t="str">
            <v>Carrosserie[...]</v>
          </cell>
          <cell r="B287" t="str">
            <v>[...]</v>
          </cell>
        </row>
        <row r="288">
          <cell r="A288" t="str">
            <v>CarrosserieTOTAL SEMI-FIXES</v>
          </cell>
          <cell r="B288" t="str">
            <v>TOTAL SEMI-FIXES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B290" t="str">
            <v>TOTAL DES DÉPENSES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B292" t="str">
            <v>PROFIT DÉPARTEMENTAL</v>
          </cell>
        </row>
        <row r="294">
          <cell r="B294" t="str">
            <v>Réel 2024</v>
          </cell>
          <cell r="C294" t="str">
            <v>Pièces</v>
          </cell>
        </row>
        <row r="296">
          <cell r="B296" t="str">
            <v>Mois</v>
          </cell>
          <cell r="C296">
            <v>2025</v>
          </cell>
          <cell r="F296" t="str">
            <v>Janvier</v>
          </cell>
          <cell r="I296" t="str">
            <v>Février</v>
          </cell>
          <cell r="L296" t="str">
            <v>Mars</v>
          </cell>
          <cell r="O296" t="str">
            <v>Avril</v>
          </cell>
          <cell r="R296" t="str">
            <v>Mai</v>
          </cell>
          <cell r="U296" t="str">
            <v>Juin</v>
          </cell>
          <cell r="X296" t="str">
            <v>Juillet</v>
          </cell>
          <cell r="AA296" t="str">
            <v>Août</v>
          </cell>
          <cell r="AD296" t="str">
            <v>Septembre</v>
          </cell>
          <cell r="AG296" t="str">
            <v>Octobre</v>
          </cell>
          <cell r="AJ296" t="str">
            <v>Novembre</v>
          </cell>
          <cell r="AM296" t="str">
            <v>Décembre</v>
          </cell>
        </row>
        <row r="297">
          <cell r="A297" t="str">
            <v>Pièces</v>
          </cell>
          <cell r="C297" t="str">
            <v>$VENTES</v>
          </cell>
          <cell r="D297" t="str">
            <v>% P. BRUT</v>
          </cell>
          <cell r="E297" t="str">
            <v>$PROFITS</v>
          </cell>
          <cell r="F297" t="str">
            <v>$VENTES</v>
          </cell>
          <cell r="G297" t="str">
            <v>% P. BRUT</v>
          </cell>
          <cell r="H297" t="str">
            <v>$PROFITS</v>
          </cell>
          <cell r="I297" t="str">
            <v>$VENTES</v>
          </cell>
          <cell r="J297" t="str">
            <v>% P. BRUT</v>
          </cell>
          <cell r="K297" t="str">
            <v>$PROFITS</v>
          </cell>
          <cell r="L297" t="str">
            <v>$VENTES</v>
          </cell>
          <cell r="M297" t="str">
            <v>% P. BRUT</v>
          </cell>
          <cell r="N297" t="str">
            <v>$PROFITS</v>
          </cell>
          <cell r="O297" t="str">
            <v>$VENTES</v>
          </cell>
          <cell r="P297" t="str">
            <v>% P. BRUT</v>
          </cell>
          <cell r="Q297" t="str">
            <v>$PROFITS</v>
          </cell>
          <cell r="R297" t="str">
            <v>$VENTES</v>
          </cell>
          <cell r="S297" t="str">
            <v>% P. BRUT</v>
          </cell>
          <cell r="T297" t="str">
            <v>$PROFITS</v>
          </cell>
          <cell r="U297" t="str">
            <v>$VENTES</v>
          </cell>
          <cell r="V297" t="str">
            <v>% P. BRUT</v>
          </cell>
          <cell r="W297" t="str">
            <v>$PROFITS</v>
          </cell>
          <cell r="X297" t="str">
            <v>$VENTES</v>
          </cell>
          <cell r="Y297" t="str">
            <v>% P. BRUT</v>
          </cell>
          <cell r="Z297" t="str">
            <v>$PROFITS</v>
          </cell>
          <cell r="AA297" t="str">
            <v>$VENTES</v>
          </cell>
          <cell r="AB297" t="str">
            <v>% P. BRUT</v>
          </cell>
          <cell r="AC297" t="str">
            <v>$PROFITS</v>
          </cell>
          <cell r="AD297" t="str">
            <v>$VENTES</v>
          </cell>
          <cell r="AE297" t="str">
            <v>% P. BRUT</v>
          </cell>
          <cell r="AF297" t="str">
            <v>$PROFITS</v>
          </cell>
          <cell r="AG297" t="str">
            <v>$VENTES</v>
          </cell>
          <cell r="AH297" t="str">
            <v>% P. BRUT</v>
          </cell>
          <cell r="AI297" t="str">
            <v>$PROFITS</v>
          </cell>
          <cell r="AJ297" t="str">
            <v>$VENTES</v>
          </cell>
          <cell r="AK297" t="str">
            <v>% P. BRUT</v>
          </cell>
          <cell r="AL297" t="str">
            <v>$PROFITS</v>
          </cell>
          <cell r="AM297" t="str">
            <v>$VENTES</v>
          </cell>
          <cell r="AN297" t="str">
            <v>% P. BRUT</v>
          </cell>
          <cell r="AO297" t="str">
            <v>$PROFITS</v>
          </cell>
        </row>
        <row r="298">
          <cell r="A298" t="str">
            <v>PiècesPièces Ro Clients</v>
          </cell>
          <cell r="B298" t="str">
            <v>Pièces Ro Clients</v>
          </cell>
        </row>
        <row r="299">
          <cell r="A299" t="str">
            <v>PiècesPièces Ro Carrosserie</v>
          </cell>
          <cell r="B299" t="str">
            <v>Pièces Ro Carrosserie</v>
          </cell>
        </row>
        <row r="300">
          <cell r="A300" t="str">
            <v>PiècesP/A Garantie</v>
          </cell>
          <cell r="B300" t="str">
            <v>P/A Garantie</v>
          </cell>
        </row>
        <row r="301">
          <cell r="A301" t="str">
            <v>PiècesVentes Internes</v>
          </cell>
          <cell r="B301" t="str">
            <v>Ventes Internes</v>
          </cell>
        </row>
        <row r="302">
          <cell r="A302" t="str">
            <v>PiècesVentes Détails</v>
          </cell>
          <cell r="B302" t="str">
            <v>Ventes Détails</v>
          </cell>
        </row>
        <row r="303">
          <cell r="A303" t="str">
            <v>PiècesVentes de Gros</v>
          </cell>
          <cell r="B303" t="str">
            <v>Ventes de Gros</v>
          </cell>
        </row>
        <row r="304">
          <cell r="A304" t="str">
            <v>Pièces[...]</v>
          </cell>
          <cell r="B304" t="str">
            <v>[...]</v>
          </cell>
        </row>
        <row r="305">
          <cell r="A305" t="str">
            <v>PiècesEscomptes</v>
          </cell>
          <cell r="B305" t="str">
            <v>Escomptes</v>
          </cell>
        </row>
        <row r="306">
          <cell r="A306" t="str">
            <v>PiècesRectif. Inventaire</v>
          </cell>
          <cell r="B306" t="str">
            <v>Rectif. Inventaire</v>
          </cell>
        </row>
        <row r="307">
          <cell r="A307" t="str">
            <v>PiècesSous-total Pièces</v>
          </cell>
          <cell r="B307" t="str">
            <v>Sous-total Pièces</v>
          </cell>
        </row>
        <row r="308">
          <cell r="A308" t="str">
            <v>Pièces</v>
          </cell>
        </row>
        <row r="309">
          <cell r="A309" t="str">
            <v>Pièces</v>
          </cell>
        </row>
        <row r="310">
          <cell r="A310" t="str">
            <v>PiècesVentes Pneus</v>
          </cell>
          <cell r="B310" t="str">
            <v>Ventes Pneus</v>
          </cell>
        </row>
        <row r="311">
          <cell r="A311" t="str">
            <v>PiècesHuiles et Graisse</v>
          </cell>
          <cell r="B311" t="str">
            <v>Huiles et Graisse</v>
          </cell>
        </row>
        <row r="312">
          <cell r="A312" t="str">
            <v>PiècesSous-total Pièces et Acc.</v>
          </cell>
          <cell r="B312" t="str">
            <v>Sous-total Pièces et Acc.</v>
          </cell>
        </row>
        <row r="313">
          <cell r="A313" t="str">
            <v>Pièces</v>
          </cell>
        </row>
        <row r="314">
          <cell r="A314" t="str">
            <v>PiècesPièces recond. MCPA</v>
          </cell>
          <cell r="B314" t="str">
            <v>Pièces recond. MCPA</v>
          </cell>
        </row>
        <row r="315">
          <cell r="A315" t="str">
            <v>PiècesAutostock</v>
          </cell>
          <cell r="B315" t="str">
            <v>Autostock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B317" t="str">
            <v>Total Dépt. Pièces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  <cell r="B320" t="str">
            <v>DEPENSES</v>
          </cell>
        </row>
        <row r="321">
          <cell r="A321" t="str">
            <v>PiècesSalaires cadres</v>
          </cell>
          <cell r="B321" t="str">
            <v>Salaires cadres</v>
          </cell>
        </row>
        <row r="322">
          <cell r="A322" t="str">
            <v>PiècesSalaires commis</v>
          </cell>
          <cell r="B322" t="str">
            <v>Salaires commis</v>
          </cell>
        </row>
        <row r="323">
          <cell r="A323" t="str">
            <v>PiècesSalaires autres</v>
          </cell>
          <cell r="B323" t="str">
            <v>Salaires autres</v>
          </cell>
        </row>
        <row r="324">
          <cell r="A324" t="str">
            <v>PiècesSalaires spécialistes</v>
          </cell>
          <cell r="B324" t="str">
            <v>Salaires spécialistes</v>
          </cell>
        </row>
        <row r="325">
          <cell r="A325" t="str">
            <v>Pièces[...]</v>
          </cell>
          <cell r="B325" t="str">
            <v>[...]</v>
          </cell>
        </row>
        <row r="326">
          <cell r="A326" t="str">
            <v>Pièces[...]</v>
          </cell>
          <cell r="B326" t="str">
            <v>[...]</v>
          </cell>
        </row>
        <row r="327">
          <cell r="A327" t="str">
            <v>Pièces[...]</v>
          </cell>
          <cell r="B327" t="str">
            <v>[...]</v>
          </cell>
        </row>
        <row r="328">
          <cell r="A328" t="str">
            <v>PiècesSalaires en absences</v>
          </cell>
          <cell r="B328" t="str">
            <v>Salaires en absences</v>
          </cell>
        </row>
        <row r="329">
          <cell r="A329" t="str">
            <v>PiècesDéduction à la source</v>
          </cell>
          <cell r="B329" t="str">
            <v>Déduction à la source</v>
          </cell>
        </row>
        <row r="330">
          <cell r="A330" t="str">
            <v>PiècesBénéfices marginaux</v>
          </cell>
          <cell r="B330" t="str">
            <v>Bénéfices marginaux</v>
          </cell>
        </row>
        <row r="331">
          <cell r="A331" t="str">
            <v>PiècesCsst</v>
          </cell>
          <cell r="B331" t="str">
            <v>Csst</v>
          </cell>
        </row>
        <row r="332">
          <cell r="A332" t="str">
            <v>Pièces[...]</v>
          </cell>
          <cell r="B332" t="str">
            <v>[...]</v>
          </cell>
        </row>
        <row r="333">
          <cell r="A333" t="str">
            <v>PiècesTOTAL PERSONNEL</v>
          </cell>
          <cell r="B333" t="str">
            <v>TOTAL PERSONNEL</v>
          </cell>
        </row>
        <row r="334">
          <cell r="A334" t="str">
            <v>PiècesPublicité 2</v>
          </cell>
          <cell r="B334" t="str">
            <v>Publicité 2</v>
          </cell>
        </row>
        <row r="335">
          <cell r="A335" t="str">
            <v>PiècesService gratuit 2</v>
          </cell>
          <cell r="B335" t="str">
            <v>Service gratuit 2</v>
          </cell>
        </row>
        <row r="336">
          <cell r="A336" t="str">
            <v>PiècesFrais véhicules de cie</v>
          </cell>
          <cell r="B336" t="str">
            <v>Frais véhicules de cie</v>
          </cell>
        </row>
        <row r="337">
          <cell r="A337" t="str">
            <v>PiècesInformatique</v>
          </cell>
          <cell r="B337" t="str">
            <v>Informatique</v>
          </cell>
        </row>
        <row r="338">
          <cell r="A338" t="str">
            <v>PiècesFrais de déplacement</v>
          </cell>
          <cell r="B338" t="str">
            <v>Frais de déplacement</v>
          </cell>
        </row>
        <row r="339">
          <cell r="A339" t="str">
            <v>PiècesServices extérieurs</v>
          </cell>
          <cell r="B339" t="str">
            <v>Services extérieurs</v>
          </cell>
        </row>
        <row r="340">
          <cell r="A340" t="str">
            <v>PiècesFournitures d'atelier</v>
          </cell>
          <cell r="B340" t="str">
            <v>Fournitures d'atelier</v>
          </cell>
        </row>
        <row r="341">
          <cell r="A341" t="str">
            <v>PiècesFournitures autres</v>
          </cell>
          <cell r="B341" t="str">
            <v>Fournitures autres</v>
          </cell>
        </row>
        <row r="342">
          <cell r="A342" t="str">
            <v>PiècesUniformes</v>
          </cell>
          <cell r="B342" t="str">
            <v>Uniformes</v>
          </cell>
        </row>
        <row r="343">
          <cell r="A343" t="str">
            <v>PiècesPapeterie</v>
          </cell>
          <cell r="B343" t="str">
            <v>Papeterie</v>
          </cell>
        </row>
        <row r="344">
          <cell r="A344" t="str">
            <v>PiècesTéléphone</v>
          </cell>
          <cell r="B344" t="str">
            <v>Téléphone</v>
          </cell>
        </row>
        <row r="345">
          <cell r="A345" t="str">
            <v>PiècesFrais postaux</v>
          </cell>
          <cell r="B345" t="str">
            <v>Frais postaux</v>
          </cell>
        </row>
        <row r="346">
          <cell r="A346" t="str">
            <v>PiècesDivers</v>
          </cell>
          <cell r="B346" t="str">
            <v>Divers</v>
          </cell>
        </row>
        <row r="347">
          <cell r="A347" t="str">
            <v>PiècesFormation</v>
          </cell>
          <cell r="B347" t="str">
            <v>Formation</v>
          </cell>
        </row>
        <row r="348">
          <cell r="A348" t="str">
            <v>PiècesFrais bancaires</v>
          </cell>
          <cell r="B348" t="str">
            <v>Frais bancaires</v>
          </cell>
        </row>
        <row r="349">
          <cell r="A349" t="str">
            <v>Pièces[...]</v>
          </cell>
          <cell r="B349" t="str">
            <v>[...]</v>
          </cell>
        </row>
        <row r="350">
          <cell r="A350" t="str">
            <v>Pièces[...]</v>
          </cell>
          <cell r="B350" t="str">
            <v>[...]</v>
          </cell>
        </row>
        <row r="351">
          <cell r="A351" t="str">
            <v>Pièces[...]</v>
          </cell>
          <cell r="B351" t="str">
            <v>[...]</v>
          </cell>
        </row>
        <row r="352">
          <cell r="A352" t="str">
            <v>PiècesTOTAL SEMI-FIXES</v>
          </cell>
          <cell r="B352" t="str">
            <v>TOTAL SEMI-FIXES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B354" t="str">
            <v>TOTAL DES DÉPENSES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B356" t="str">
            <v>PROFIT DÉPARTEMENTAL</v>
          </cell>
        </row>
        <row r="357">
          <cell r="E357">
            <v>833551.51999999769</v>
          </cell>
        </row>
        <row r="359">
          <cell r="B359" t="str">
            <v>Réel 2024</v>
          </cell>
          <cell r="C359" t="str">
            <v>Boutique</v>
          </cell>
        </row>
        <row r="361">
          <cell r="B361" t="str">
            <v>Mois</v>
          </cell>
          <cell r="C361">
            <v>2025</v>
          </cell>
          <cell r="F361" t="str">
            <v>Janvier</v>
          </cell>
          <cell r="I361" t="str">
            <v>Février</v>
          </cell>
          <cell r="L361" t="str">
            <v>Mars</v>
          </cell>
          <cell r="O361" t="str">
            <v>Avril</v>
          </cell>
          <cell r="R361" t="str">
            <v>Mai</v>
          </cell>
          <cell r="U361" t="str">
            <v>Juin</v>
          </cell>
          <cell r="X361" t="str">
            <v>Juillet</v>
          </cell>
          <cell r="AA361" t="str">
            <v>Août</v>
          </cell>
          <cell r="AD361" t="str">
            <v>Septembre</v>
          </cell>
          <cell r="AG361" t="str">
            <v>Octobre</v>
          </cell>
          <cell r="AJ361" t="str">
            <v>Novembre</v>
          </cell>
          <cell r="AM361" t="str">
            <v>Décembre</v>
          </cell>
        </row>
        <row r="362">
          <cell r="C362" t="str">
            <v>$VENTES</v>
          </cell>
          <cell r="D362" t="str">
            <v>% P. BRUT</v>
          </cell>
          <cell r="E362" t="str">
            <v>$PROFITS</v>
          </cell>
          <cell r="F362" t="str">
            <v>$VENTES</v>
          </cell>
          <cell r="G362" t="str">
            <v>% P. BRUT</v>
          </cell>
          <cell r="H362" t="str">
            <v>$PROFITS</v>
          </cell>
          <cell r="I362" t="str">
            <v>$VENTES</v>
          </cell>
          <cell r="J362" t="str">
            <v>% P. BRUT</v>
          </cell>
          <cell r="K362" t="str">
            <v>$PROFITS</v>
          </cell>
          <cell r="L362" t="str">
            <v>$VENTES</v>
          </cell>
          <cell r="M362" t="str">
            <v>% P. BRUT</v>
          </cell>
          <cell r="N362" t="str">
            <v>$PROFITS</v>
          </cell>
          <cell r="O362" t="str">
            <v>$VENTES</v>
          </cell>
          <cell r="P362" t="str">
            <v>% P. BRUT</v>
          </cell>
          <cell r="Q362" t="str">
            <v>$PROFITS</v>
          </cell>
          <cell r="R362" t="str">
            <v>$VENTES</v>
          </cell>
          <cell r="S362" t="str">
            <v>% P. BRUT</v>
          </cell>
          <cell r="T362" t="str">
            <v>$PROFITS</v>
          </cell>
          <cell r="U362" t="str">
            <v>$VENTES</v>
          </cell>
          <cell r="V362" t="str">
            <v>% P. BRUT</v>
          </cell>
          <cell r="W362" t="str">
            <v>$PROFITS</v>
          </cell>
          <cell r="X362" t="str">
            <v>$VENTES</v>
          </cell>
          <cell r="Y362" t="str">
            <v>% P. BRUT</v>
          </cell>
          <cell r="Z362" t="str">
            <v>$PROFITS</v>
          </cell>
          <cell r="AA362" t="str">
            <v>$VENTES</v>
          </cell>
          <cell r="AB362" t="str">
            <v>% P. BRUT</v>
          </cell>
          <cell r="AC362" t="str">
            <v>$PROFITS</v>
          </cell>
          <cell r="AD362" t="str">
            <v>$VENTES</v>
          </cell>
          <cell r="AE362" t="str">
            <v>% P. BRUT</v>
          </cell>
          <cell r="AF362" t="str">
            <v>$PROFITS</v>
          </cell>
          <cell r="AG362" t="str">
            <v>$VENTES</v>
          </cell>
          <cell r="AH362" t="str">
            <v>% P. BRUT</v>
          </cell>
          <cell r="AI362" t="str">
            <v>$PROFITS</v>
          </cell>
          <cell r="AJ362" t="str">
            <v>$VENTES</v>
          </cell>
          <cell r="AK362" t="str">
            <v>% P. BRUT</v>
          </cell>
          <cell r="AL362" t="str">
            <v>$PROFITS</v>
          </cell>
          <cell r="AM362" t="str">
            <v>$VENTES</v>
          </cell>
          <cell r="AN362" t="str">
            <v>% P. BRUT</v>
          </cell>
          <cell r="AO362" t="str">
            <v>$PROFITS</v>
          </cell>
        </row>
        <row r="363">
          <cell r="A363" t="str">
            <v>BoutiqueBoutique</v>
          </cell>
          <cell r="B363" t="str">
            <v>Boutique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B365" t="str">
            <v>Total Dépt. Boutique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</row>
        <row r="366">
          <cell r="A366" t="str">
            <v>Boutique</v>
          </cell>
        </row>
        <row r="367">
          <cell r="A367" t="str">
            <v>BoutiqueDEPENSES</v>
          </cell>
          <cell r="B367" t="str">
            <v>DEPENSES</v>
          </cell>
        </row>
        <row r="368">
          <cell r="A368" t="str">
            <v>BoutiqueSalaires cadres</v>
          </cell>
          <cell r="B368" t="str">
            <v>Salaires cadres</v>
          </cell>
          <cell r="E368">
            <v>0</v>
          </cell>
          <cell r="H368">
            <v>0</v>
          </cell>
          <cell r="K368">
            <v>0</v>
          </cell>
          <cell r="N368">
            <v>0</v>
          </cell>
          <cell r="Q368">
            <v>0</v>
          </cell>
          <cell r="T368">
            <v>0</v>
          </cell>
          <cell r="W368">
            <v>0</v>
          </cell>
          <cell r="Z368">
            <v>0</v>
          </cell>
          <cell r="AC368">
            <v>0</v>
          </cell>
          <cell r="AF368">
            <v>0</v>
          </cell>
          <cell r="AI368">
            <v>0</v>
          </cell>
          <cell r="AL368">
            <v>0</v>
          </cell>
          <cell r="AO368">
            <v>0</v>
          </cell>
        </row>
        <row r="369">
          <cell r="A369" t="str">
            <v>BoutiqueSalaires commis</v>
          </cell>
          <cell r="B369" t="str">
            <v>Salaires commis</v>
          </cell>
          <cell r="E369">
            <v>0</v>
          </cell>
          <cell r="H369">
            <v>0</v>
          </cell>
          <cell r="K369">
            <v>0</v>
          </cell>
          <cell r="N369">
            <v>0</v>
          </cell>
          <cell r="Q369">
            <v>0</v>
          </cell>
          <cell r="T369">
            <v>0</v>
          </cell>
          <cell r="W369">
            <v>0</v>
          </cell>
          <cell r="Z369">
            <v>0</v>
          </cell>
          <cell r="AC369">
            <v>0</v>
          </cell>
          <cell r="AF369">
            <v>0</v>
          </cell>
          <cell r="AI369">
            <v>0</v>
          </cell>
          <cell r="AL369">
            <v>0</v>
          </cell>
          <cell r="AO369">
            <v>0</v>
          </cell>
        </row>
        <row r="370">
          <cell r="A370" t="str">
            <v>BoutiqueSalaires autres</v>
          </cell>
          <cell r="B370" t="str">
            <v>Salaires autres</v>
          </cell>
          <cell r="E370">
            <v>0</v>
          </cell>
          <cell r="H370">
            <v>0</v>
          </cell>
          <cell r="K370">
            <v>0</v>
          </cell>
          <cell r="N370">
            <v>0</v>
          </cell>
          <cell r="Q370">
            <v>0</v>
          </cell>
          <cell r="T370">
            <v>0</v>
          </cell>
          <cell r="W370">
            <v>0</v>
          </cell>
          <cell r="Z370">
            <v>0</v>
          </cell>
          <cell r="AC370">
            <v>0</v>
          </cell>
          <cell r="AF370">
            <v>0</v>
          </cell>
          <cell r="AI370">
            <v>0</v>
          </cell>
          <cell r="AL370">
            <v>0</v>
          </cell>
          <cell r="AO370">
            <v>0</v>
          </cell>
        </row>
        <row r="371">
          <cell r="A371" t="str">
            <v>BoutiqueSalaires spécialistes</v>
          </cell>
          <cell r="B371" t="str">
            <v>Salaires spécialistes</v>
          </cell>
          <cell r="E371">
            <v>0</v>
          </cell>
          <cell r="H371">
            <v>0</v>
          </cell>
          <cell r="K371">
            <v>0</v>
          </cell>
          <cell r="N371">
            <v>0</v>
          </cell>
          <cell r="Q371">
            <v>0</v>
          </cell>
          <cell r="T371">
            <v>0</v>
          </cell>
          <cell r="W371">
            <v>0</v>
          </cell>
          <cell r="Z371">
            <v>0</v>
          </cell>
          <cell r="AC371">
            <v>0</v>
          </cell>
          <cell r="AF371">
            <v>0</v>
          </cell>
          <cell r="AI371">
            <v>0</v>
          </cell>
          <cell r="AL371">
            <v>0</v>
          </cell>
          <cell r="AO371">
            <v>0</v>
          </cell>
        </row>
        <row r="372">
          <cell r="A372" t="str">
            <v>Boutique[...]</v>
          </cell>
          <cell r="B372" t="str">
            <v>[...]</v>
          </cell>
        </row>
        <row r="373">
          <cell r="A373" t="str">
            <v>Boutique[...]</v>
          </cell>
          <cell r="B373" t="str">
            <v>[...]</v>
          </cell>
        </row>
        <row r="374">
          <cell r="A374" t="str">
            <v>Boutique[...]</v>
          </cell>
          <cell r="B374" t="str">
            <v>[...]</v>
          </cell>
        </row>
        <row r="375">
          <cell r="A375" t="str">
            <v>BoutiqueSalaires en absences</v>
          </cell>
          <cell r="B375" t="str">
            <v>Salaires en absences</v>
          </cell>
          <cell r="E375">
            <v>0</v>
          </cell>
          <cell r="H375">
            <v>0</v>
          </cell>
          <cell r="K375">
            <v>0</v>
          </cell>
          <cell r="N375">
            <v>0</v>
          </cell>
          <cell r="Q375">
            <v>0</v>
          </cell>
          <cell r="T375">
            <v>0</v>
          </cell>
          <cell r="W375">
            <v>0</v>
          </cell>
          <cell r="Z375">
            <v>0</v>
          </cell>
          <cell r="AC375">
            <v>0</v>
          </cell>
          <cell r="AF375">
            <v>0</v>
          </cell>
          <cell r="AI375">
            <v>0</v>
          </cell>
          <cell r="AL375">
            <v>0</v>
          </cell>
          <cell r="AO375">
            <v>0</v>
          </cell>
        </row>
        <row r="376">
          <cell r="A376" t="str">
            <v>BoutiqueDéduction à la source</v>
          </cell>
          <cell r="B376" t="str">
            <v>Déduction à la source</v>
          </cell>
          <cell r="E376">
            <v>0</v>
          </cell>
          <cell r="H376">
            <v>0</v>
          </cell>
          <cell r="K376">
            <v>0</v>
          </cell>
          <cell r="N376">
            <v>0</v>
          </cell>
          <cell r="Q376">
            <v>0</v>
          </cell>
          <cell r="T376">
            <v>0</v>
          </cell>
          <cell r="W376">
            <v>0</v>
          </cell>
          <cell r="Z376">
            <v>0</v>
          </cell>
          <cell r="AC376">
            <v>0</v>
          </cell>
          <cell r="AF376">
            <v>0</v>
          </cell>
          <cell r="AI376">
            <v>0</v>
          </cell>
          <cell r="AL376">
            <v>0</v>
          </cell>
          <cell r="AO376">
            <v>0</v>
          </cell>
        </row>
        <row r="377">
          <cell r="A377" t="str">
            <v>BoutiqueBénéfices marginaux</v>
          </cell>
          <cell r="B377" t="str">
            <v>Bénéfices marginaux</v>
          </cell>
          <cell r="E377">
            <v>0</v>
          </cell>
          <cell r="H377">
            <v>0</v>
          </cell>
          <cell r="K377">
            <v>0</v>
          </cell>
          <cell r="N377">
            <v>0</v>
          </cell>
          <cell r="Q377">
            <v>0</v>
          </cell>
          <cell r="T377">
            <v>0</v>
          </cell>
          <cell r="W377">
            <v>0</v>
          </cell>
          <cell r="Z377">
            <v>0</v>
          </cell>
          <cell r="AC377">
            <v>0</v>
          </cell>
          <cell r="AF377">
            <v>0</v>
          </cell>
          <cell r="AI377">
            <v>0</v>
          </cell>
          <cell r="AL377">
            <v>0</v>
          </cell>
          <cell r="AO377">
            <v>0</v>
          </cell>
        </row>
        <row r="378">
          <cell r="A378" t="str">
            <v>BoutiqueCsst</v>
          </cell>
          <cell r="B378" t="str">
            <v>Csst</v>
          </cell>
          <cell r="E378">
            <v>0</v>
          </cell>
          <cell r="H378">
            <v>0</v>
          </cell>
          <cell r="K378">
            <v>0</v>
          </cell>
          <cell r="N378">
            <v>0</v>
          </cell>
          <cell r="Q378">
            <v>0</v>
          </cell>
          <cell r="T378">
            <v>0</v>
          </cell>
          <cell r="W378">
            <v>0</v>
          </cell>
          <cell r="Z378">
            <v>0</v>
          </cell>
          <cell r="AC378">
            <v>0</v>
          </cell>
          <cell r="AF378">
            <v>0</v>
          </cell>
          <cell r="AI378">
            <v>0</v>
          </cell>
          <cell r="AL378">
            <v>0</v>
          </cell>
          <cell r="AO378">
            <v>0</v>
          </cell>
        </row>
        <row r="379">
          <cell r="A379" t="str">
            <v>Boutique[...]</v>
          </cell>
          <cell r="B379" t="str">
            <v>[...]</v>
          </cell>
        </row>
        <row r="380">
          <cell r="A380" t="str">
            <v>BoutiqueTOTAL PERSONNEL</v>
          </cell>
          <cell r="B380" t="str">
            <v>TOTAL PERSONNEL</v>
          </cell>
          <cell r="C380" t="str">
            <v>% brut</v>
          </cell>
          <cell r="D380">
            <v>0</v>
          </cell>
          <cell r="E380">
            <v>0</v>
          </cell>
          <cell r="H380">
            <v>0</v>
          </cell>
          <cell r="K380">
            <v>0</v>
          </cell>
          <cell r="N380">
            <v>0</v>
          </cell>
          <cell r="Q380">
            <v>0</v>
          </cell>
          <cell r="T380">
            <v>0</v>
          </cell>
          <cell r="W380">
            <v>0</v>
          </cell>
          <cell r="Z380">
            <v>0</v>
          </cell>
          <cell r="AC380">
            <v>0</v>
          </cell>
          <cell r="AF380">
            <v>0</v>
          </cell>
          <cell r="AI380">
            <v>0</v>
          </cell>
          <cell r="AL380">
            <v>0</v>
          </cell>
          <cell r="AO380">
            <v>0</v>
          </cell>
        </row>
        <row r="381">
          <cell r="A381" t="str">
            <v>BoutiquePublicité 2</v>
          </cell>
          <cell r="B381" t="str">
            <v>Publicité 2</v>
          </cell>
          <cell r="E381">
            <v>0</v>
          </cell>
          <cell r="H381">
            <v>0</v>
          </cell>
          <cell r="K381">
            <v>0</v>
          </cell>
          <cell r="N381">
            <v>0</v>
          </cell>
          <cell r="Q381">
            <v>0</v>
          </cell>
          <cell r="T381">
            <v>0</v>
          </cell>
          <cell r="W381">
            <v>0</v>
          </cell>
          <cell r="Z381">
            <v>0</v>
          </cell>
          <cell r="AC381">
            <v>0</v>
          </cell>
          <cell r="AF381">
            <v>0</v>
          </cell>
          <cell r="AI381">
            <v>0</v>
          </cell>
          <cell r="AL381">
            <v>0</v>
          </cell>
          <cell r="AO381">
            <v>0</v>
          </cell>
        </row>
        <row r="382">
          <cell r="A382" t="str">
            <v>BoutiqueService gratuit 2</v>
          </cell>
          <cell r="B382" t="str">
            <v>Service gratuit 2</v>
          </cell>
          <cell r="E382">
            <v>0</v>
          </cell>
          <cell r="H382">
            <v>0</v>
          </cell>
          <cell r="K382">
            <v>0</v>
          </cell>
          <cell r="N382">
            <v>0</v>
          </cell>
          <cell r="Q382">
            <v>0</v>
          </cell>
          <cell r="T382">
            <v>0</v>
          </cell>
          <cell r="W382">
            <v>0</v>
          </cell>
          <cell r="Z382">
            <v>0</v>
          </cell>
          <cell r="AC382">
            <v>0</v>
          </cell>
          <cell r="AF382">
            <v>0</v>
          </cell>
          <cell r="AI382">
            <v>0</v>
          </cell>
          <cell r="AL382">
            <v>0</v>
          </cell>
          <cell r="AO382">
            <v>0</v>
          </cell>
        </row>
        <row r="383">
          <cell r="A383" t="str">
            <v>BoutiqueFrais véhicules de cie</v>
          </cell>
          <cell r="B383" t="str">
            <v>Frais véhicules de cie</v>
          </cell>
          <cell r="E383">
            <v>0</v>
          </cell>
          <cell r="H383">
            <v>0</v>
          </cell>
          <cell r="K383">
            <v>0</v>
          </cell>
          <cell r="N383">
            <v>0</v>
          </cell>
          <cell r="Q383">
            <v>0</v>
          </cell>
          <cell r="T383">
            <v>0</v>
          </cell>
          <cell r="W383">
            <v>0</v>
          </cell>
          <cell r="Z383">
            <v>0</v>
          </cell>
          <cell r="AC383">
            <v>0</v>
          </cell>
          <cell r="AF383">
            <v>0</v>
          </cell>
          <cell r="AI383">
            <v>0</v>
          </cell>
          <cell r="AL383">
            <v>0</v>
          </cell>
          <cell r="AO383">
            <v>0</v>
          </cell>
        </row>
        <row r="384">
          <cell r="A384" t="str">
            <v>BoutiqueInformatique</v>
          </cell>
          <cell r="B384" t="str">
            <v>Informatique</v>
          </cell>
          <cell r="E384">
            <v>0</v>
          </cell>
          <cell r="H384">
            <v>0</v>
          </cell>
          <cell r="K384">
            <v>0</v>
          </cell>
          <cell r="N384">
            <v>0</v>
          </cell>
          <cell r="Q384">
            <v>0</v>
          </cell>
          <cell r="T384">
            <v>0</v>
          </cell>
          <cell r="W384">
            <v>0</v>
          </cell>
          <cell r="Z384">
            <v>0</v>
          </cell>
          <cell r="AC384">
            <v>0</v>
          </cell>
          <cell r="AF384">
            <v>0</v>
          </cell>
          <cell r="AI384">
            <v>0</v>
          </cell>
          <cell r="AL384">
            <v>0</v>
          </cell>
          <cell r="AO384">
            <v>0</v>
          </cell>
        </row>
        <row r="385">
          <cell r="A385" t="str">
            <v>BoutiqueFrais de déplacement</v>
          </cell>
          <cell r="B385" t="str">
            <v>Frais de déplacement</v>
          </cell>
          <cell r="E385">
            <v>0</v>
          </cell>
          <cell r="H385">
            <v>0</v>
          </cell>
          <cell r="K385">
            <v>0</v>
          </cell>
          <cell r="N385">
            <v>0</v>
          </cell>
          <cell r="Q385">
            <v>0</v>
          </cell>
          <cell r="T385">
            <v>0</v>
          </cell>
          <cell r="W385">
            <v>0</v>
          </cell>
          <cell r="Z385">
            <v>0</v>
          </cell>
          <cell r="AC385">
            <v>0</v>
          </cell>
          <cell r="AF385">
            <v>0</v>
          </cell>
          <cell r="AI385">
            <v>0</v>
          </cell>
          <cell r="AL385">
            <v>0</v>
          </cell>
          <cell r="AO385">
            <v>0</v>
          </cell>
        </row>
        <row r="386">
          <cell r="A386" t="str">
            <v>BoutiqueServices extérieurs</v>
          </cell>
          <cell r="B386" t="str">
            <v>Services extérieurs</v>
          </cell>
          <cell r="E386">
            <v>0</v>
          </cell>
          <cell r="H386">
            <v>0</v>
          </cell>
          <cell r="K386">
            <v>0</v>
          </cell>
          <cell r="N386">
            <v>0</v>
          </cell>
          <cell r="Q386">
            <v>0</v>
          </cell>
          <cell r="T386">
            <v>0</v>
          </cell>
          <cell r="W386">
            <v>0</v>
          </cell>
          <cell r="Z386">
            <v>0</v>
          </cell>
          <cell r="AC386">
            <v>0</v>
          </cell>
          <cell r="AF386">
            <v>0</v>
          </cell>
          <cell r="AI386">
            <v>0</v>
          </cell>
          <cell r="AL386">
            <v>0</v>
          </cell>
          <cell r="AO386">
            <v>0</v>
          </cell>
        </row>
        <row r="387">
          <cell r="A387" t="str">
            <v>BoutiqueFournitures autres</v>
          </cell>
          <cell r="B387" t="str">
            <v>Fournitures autres</v>
          </cell>
          <cell r="E387">
            <v>0</v>
          </cell>
          <cell r="H387">
            <v>0</v>
          </cell>
          <cell r="K387">
            <v>0</v>
          </cell>
          <cell r="N387">
            <v>0</v>
          </cell>
          <cell r="Q387">
            <v>0</v>
          </cell>
          <cell r="T387">
            <v>0</v>
          </cell>
          <cell r="W387">
            <v>0</v>
          </cell>
          <cell r="Z387">
            <v>0</v>
          </cell>
          <cell r="AC387">
            <v>0</v>
          </cell>
          <cell r="AF387">
            <v>0</v>
          </cell>
          <cell r="AI387">
            <v>0</v>
          </cell>
          <cell r="AL387">
            <v>0</v>
          </cell>
          <cell r="AO387">
            <v>0</v>
          </cell>
        </row>
        <row r="388">
          <cell r="A388" t="str">
            <v>BoutiqueUniformes</v>
          </cell>
          <cell r="B388" t="str">
            <v>Uniformes</v>
          </cell>
          <cell r="E388">
            <v>0</v>
          </cell>
          <cell r="H388">
            <v>0</v>
          </cell>
          <cell r="K388">
            <v>0</v>
          </cell>
          <cell r="N388">
            <v>0</v>
          </cell>
          <cell r="Q388">
            <v>0</v>
          </cell>
          <cell r="T388">
            <v>0</v>
          </cell>
          <cell r="W388">
            <v>0</v>
          </cell>
          <cell r="Z388">
            <v>0</v>
          </cell>
          <cell r="AC388">
            <v>0</v>
          </cell>
          <cell r="AF388">
            <v>0</v>
          </cell>
          <cell r="AI388">
            <v>0</v>
          </cell>
          <cell r="AL388">
            <v>0</v>
          </cell>
          <cell r="AO388">
            <v>0</v>
          </cell>
        </row>
        <row r="389">
          <cell r="A389" t="str">
            <v>BoutiquePapeterie</v>
          </cell>
          <cell r="B389" t="str">
            <v>Papeterie</v>
          </cell>
          <cell r="E389">
            <v>0</v>
          </cell>
          <cell r="H389">
            <v>0</v>
          </cell>
          <cell r="K389">
            <v>0</v>
          </cell>
          <cell r="N389">
            <v>0</v>
          </cell>
          <cell r="Q389">
            <v>0</v>
          </cell>
          <cell r="T389">
            <v>0</v>
          </cell>
          <cell r="W389">
            <v>0</v>
          </cell>
          <cell r="Z389">
            <v>0</v>
          </cell>
          <cell r="AC389">
            <v>0</v>
          </cell>
          <cell r="AF389">
            <v>0</v>
          </cell>
          <cell r="AI389">
            <v>0</v>
          </cell>
          <cell r="AL389">
            <v>0</v>
          </cell>
          <cell r="AO389">
            <v>0</v>
          </cell>
        </row>
        <row r="390">
          <cell r="A390" t="str">
            <v>BoutiqueTéléphone</v>
          </cell>
          <cell r="B390" t="str">
            <v>Téléphone</v>
          </cell>
          <cell r="E390">
            <v>0</v>
          </cell>
          <cell r="H390">
            <v>0</v>
          </cell>
          <cell r="K390">
            <v>0</v>
          </cell>
          <cell r="N390">
            <v>0</v>
          </cell>
          <cell r="Q390">
            <v>0</v>
          </cell>
          <cell r="T390">
            <v>0</v>
          </cell>
          <cell r="W390">
            <v>0</v>
          </cell>
          <cell r="Z390">
            <v>0</v>
          </cell>
          <cell r="AC390">
            <v>0</v>
          </cell>
          <cell r="AF390">
            <v>0</v>
          </cell>
          <cell r="AI390">
            <v>0</v>
          </cell>
          <cell r="AL390">
            <v>0</v>
          </cell>
          <cell r="AO390">
            <v>0</v>
          </cell>
        </row>
        <row r="391">
          <cell r="A391" t="str">
            <v>BoutiqueFrais postaux</v>
          </cell>
          <cell r="B391" t="str">
            <v>Frais postaux</v>
          </cell>
          <cell r="E391">
            <v>0</v>
          </cell>
          <cell r="H391">
            <v>0</v>
          </cell>
          <cell r="K391">
            <v>0</v>
          </cell>
          <cell r="N391">
            <v>0</v>
          </cell>
          <cell r="Q391">
            <v>0</v>
          </cell>
          <cell r="T391">
            <v>0</v>
          </cell>
          <cell r="W391">
            <v>0</v>
          </cell>
          <cell r="Z391">
            <v>0</v>
          </cell>
          <cell r="AC391">
            <v>0</v>
          </cell>
          <cell r="AF391">
            <v>0</v>
          </cell>
          <cell r="AI391">
            <v>0</v>
          </cell>
          <cell r="AL391">
            <v>0</v>
          </cell>
          <cell r="AO391">
            <v>0</v>
          </cell>
        </row>
        <row r="392">
          <cell r="A392" t="str">
            <v>BoutiqueDivers</v>
          </cell>
          <cell r="B392" t="str">
            <v>Divers</v>
          </cell>
          <cell r="E392">
            <v>0</v>
          </cell>
          <cell r="H392">
            <v>0</v>
          </cell>
          <cell r="K392">
            <v>0</v>
          </cell>
          <cell r="N392">
            <v>0</v>
          </cell>
          <cell r="Q392">
            <v>0</v>
          </cell>
          <cell r="T392">
            <v>0</v>
          </cell>
          <cell r="W392">
            <v>0</v>
          </cell>
          <cell r="Z392">
            <v>0</v>
          </cell>
          <cell r="AC392">
            <v>0</v>
          </cell>
          <cell r="AF392">
            <v>0</v>
          </cell>
          <cell r="AI392">
            <v>0</v>
          </cell>
          <cell r="AL392">
            <v>0</v>
          </cell>
          <cell r="AO392">
            <v>0</v>
          </cell>
        </row>
        <row r="393">
          <cell r="A393" t="str">
            <v>BoutiqueFormation</v>
          </cell>
          <cell r="B393" t="str">
            <v>Formation</v>
          </cell>
          <cell r="E393">
            <v>0</v>
          </cell>
          <cell r="H393">
            <v>0</v>
          </cell>
          <cell r="K393">
            <v>0</v>
          </cell>
          <cell r="N393">
            <v>0</v>
          </cell>
          <cell r="Q393">
            <v>0</v>
          </cell>
          <cell r="T393">
            <v>0</v>
          </cell>
          <cell r="W393">
            <v>0</v>
          </cell>
          <cell r="Z393">
            <v>0</v>
          </cell>
          <cell r="AC393">
            <v>0</v>
          </cell>
          <cell r="AF393">
            <v>0</v>
          </cell>
          <cell r="AI393">
            <v>0</v>
          </cell>
          <cell r="AL393">
            <v>0</v>
          </cell>
          <cell r="AO393">
            <v>0</v>
          </cell>
        </row>
        <row r="394">
          <cell r="A394" t="str">
            <v>BoutiqueFrais bancaires</v>
          </cell>
          <cell r="B394" t="str">
            <v>Frais bancaires</v>
          </cell>
          <cell r="E394">
            <v>0</v>
          </cell>
        </row>
        <row r="395">
          <cell r="A395" t="str">
            <v>Boutique[...]</v>
          </cell>
          <cell r="B395" t="str">
            <v>[...]</v>
          </cell>
        </row>
        <row r="396">
          <cell r="A396" t="str">
            <v>Boutique[...]</v>
          </cell>
          <cell r="B396" t="str">
            <v>[...]</v>
          </cell>
        </row>
        <row r="397">
          <cell r="A397" t="str">
            <v>Boutique[...]</v>
          </cell>
          <cell r="B397" t="str">
            <v>[...]</v>
          </cell>
        </row>
        <row r="398">
          <cell r="A398" t="str">
            <v>BoutiqueTOTAL SEMI-FIXES</v>
          </cell>
          <cell r="B398" t="str">
            <v>TOTAL SEMI-FIXES</v>
          </cell>
          <cell r="C398" t="str">
            <v>% brut</v>
          </cell>
          <cell r="D398">
            <v>0</v>
          </cell>
          <cell r="E398">
            <v>0</v>
          </cell>
          <cell r="F398" t="str">
            <v>% brut</v>
          </cell>
          <cell r="G398">
            <v>0</v>
          </cell>
          <cell r="H398">
            <v>0</v>
          </cell>
          <cell r="I398" t="str">
            <v>% brut</v>
          </cell>
          <cell r="J398">
            <v>0</v>
          </cell>
          <cell r="K398">
            <v>0</v>
          </cell>
          <cell r="L398" t="str">
            <v>% brut</v>
          </cell>
          <cell r="M398">
            <v>0</v>
          </cell>
          <cell r="N398">
            <v>0</v>
          </cell>
          <cell r="O398" t="str">
            <v>% brut</v>
          </cell>
          <cell r="P398">
            <v>0</v>
          </cell>
          <cell r="Q398">
            <v>0</v>
          </cell>
          <cell r="R398" t="str">
            <v>% brut</v>
          </cell>
          <cell r="S398">
            <v>0</v>
          </cell>
          <cell r="T398">
            <v>0</v>
          </cell>
          <cell r="U398" t="str">
            <v>% brut</v>
          </cell>
          <cell r="V398">
            <v>0</v>
          </cell>
          <cell r="W398">
            <v>0</v>
          </cell>
          <cell r="X398" t="str">
            <v>% brut</v>
          </cell>
          <cell r="Y398">
            <v>0</v>
          </cell>
          <cell r="Z398">
            <v>0</v>
          </cell>
          <cell r="AA398" t="str">
            <v>% brut</v>
          </cell>
          <cell r="AB398">
            <v>0</v>
          </cell>
          <cell r="AC398">
            <v>0</v>
          </cell>
          <cell r="AD398" t="str">
            <v>% brut</v>
          </cell>
          <cell r="AE398">
            <v>0</v>
          </cell>
          <cell r="AF398">
            <v>0</v>
          </cell>
          <cell r="AG398" t="str">
            <v>% brut</v>
          </cell>
          <cell r="AH398">
            <v>0</v>
          </cell>
          <cell r="AI398">
            <v>0</v>
          </cell>
          <cell r="AJ398" t="str">
            <v>% brut</v>
          </cell>
          <cell r="AK398">
            <v>0</v>
          </cell>
          <cell r="AL398">
            <v>0</v>
          </cell>
          <cell r="AM398" t="str">
            <v>% brut</v>
          </cell>
          <cell r="AN398">
            <v>0</v>
          </cell>
          <cell r="AO398">
            <v>0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B400" t="str">
            <v>TOTAL DES DÉPENSES</v>
          </cell>
          <cell r="C400" t="str">
            <v>% brut</v>
          </cell>
          <cell r="D400">
            <v>0</v>
          </cell>
          <cell r="E400">
            <v>0</v>
          </cell>
          <cell r="F400" t="str">
            <v>% brut</v>
          </cell>
          <cell r="G400">
            <v>0</v>
          </cell>
          <cell r="H400">
            <v>0</v>
          </cell>
          <cell r="I400" t="str">
            <v>% brut</v>
          </cell>
          <cell r="J400">
            <v>0</v>
          </cell>
          <cell r="K400">
            <v>0</v>
          </cell>
          <cell r="L400" t="str">
            <v>% brut</v>
          </cell>
          <cell r="M400">
            <v>0</v>
          </cell>
          <cell r="N400">
            <v>0</v>
          </cell>
          <cell r="O400" t="str">
            <v>% brut</v>
          </cell>
          <cell r="P400">
            <v>0</v>
          </cell>
          <cell r="Q400">
            <v>0</v>
          </cell>
          <cell r="R400" t="str">
            <v>% brut</v>
          </cell>
          <cell r="S400">
            <v>0</v>
          </cell>
          <cell r="T400">
            <v>0</v>
          </cell>
          <cell r="U400" t="str">
            <v>% brut</v>
          </cell>
          <cell r="V400">
            <v>0</v>
          </cell>
          <cell r="W400">
            <v>0</v>
          </cell>
          <cell r="X400" t="str">
            <v>% brut</v>
          </cell>
          <cell r="Y400">
            <v>0</v>
          </cell>
          <cell r="Z400">
            <v>0</v>
          </cell>
          <cell r="AA400" t="str">
            <v>% brut</v>
          </cell>
          <cell r="AB400">
            <v>0</v>
          </cell>
          <cell r="AC400">
            <v>0</v>
          </cell>
          <cell r="AD400" t="str">
            <v>% brut</v>
          </cell>
          <cell r="AE400">
            <v>0</v>
          </cell>
          <cell r="AF400">
            <v>0</v>
          </cell>
          <cell r="AG400" t="str">
            <v>% brut</v>
          </cell>
          <cell r="AH400">
            <v>0</v>
          </cell>
          <cell r="AI400">
            <v>0</v>
          </cell>
          <cell r="AJ400" t="str">
            <v>% brut</v>
          </cell>
          <cell r="AK400">
            <v>0</v>
          </cell>
          <cell r="AL400">
            <v>0</v>
          </cell>
          <cell r="AM400" t="str">
            <v>% brut</v>
          </cell>
          <cell r="AN400">
            <v>0</v>
          </cell>
          <cell r="AO400">
            <v>0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B402" t="str">
            <v>PROFIT DÉPARTEMENTAL</v>
          </cell>
          <cell r="E402">
            <v>0</v>
          </cell>
          <cell r="H402">
            <v>0</v>
          </cell>
          <cell r="K402">
            <v>0</v>
          </cell>
          <cell r="N402">
            <v>0</v>
          </cell>
          <cell r="Q402">
            <v>0</v>
          </cell>
          <cell r="T402">
            <v>0</v>
          </cell>
          <cell r="W402">
            <v>0</v>
          </cell>
          <cell r="Z402">
            <v>0</v>
          </cell>
          <cell r="AC402">
            <v>0</v>
          </cell>
          <cell r="AF402">
            <v>0</v>
          </cell>
          <cell r="AI402">
            <v>0</v>
          </cell>
          <cell r="AL402">
            <v>0</v>
          </cell>
          <cell r="AO402">
            <v>0</v>
          </cell>
        </row>
        <row r="403">
          <cell r="E403">
            <v>0</v>
          </cell>
        </row>
        <row r="404">
          <cell r="H404">
            <v>0</v>
          </cell>
          <cell r="K404">
            <v>0</v>
          </cell>
          <cell r="N404">
            <v>0</v>
          </cell>
          <cell r="Q404">
            <v>0</v>
          </cell>
          <cell r="T404">
            <v>0</v>
          </cell>
          <cell r="W404">
            <v>0</v>
          </cell>
          <cell r="Z404">
            <v>0</v>
          </cell>
          <cell r="AC404">
            <v>0</v>
          </cell>
          <cell r="AF404">
            <v>0</v>
          </cell>
          <cell r="AI404">
            <v>0</v>
          </cell>
          <cell r="AL404">
            <v>0</v>
          </cell>
          <cell r="AO404">
            <v>0</v>
          </cell>
        </row>
        <row r="405">
          <cell r="B405" t="str">
            <v>Réel 2024</v>
          </cell>
          <cell r="C405" t="str">
            <v>TOTAL  DES  REVENUS  ET  DÉPENSES</v>
          </cell>
        </row>
        <row r="406">
          <cell r="H406">
            <v>7055316.1389505528</v>
          </cell>
          <cell r="K406">
            <v>7055316.1389505528</v>
          </cell>
          <cell r="N406">
            <v>7055316.1389505528</v>
          </cell>
          <cell r="Q406">
            <v>7055316.1389505528</v>
          </cell>
          <cell r="T406">
            <v>7055316.1389505528</v>
          </cell>
          <cell r="W406">
            <v>7055316.1389505528</v>
          </cell>
          <cell r="Z406">
            <v>7055316.1389505528</v>
          </cell>
          <cell r="AC406">
            <v>7055316.1389505528</v>
          </cell>
          <cell r="AF406">
            <v>7055316.1389505528</v>
          </cell>
          <cell r="AI406">
            <v>7055316.1389505528</v>
          </cell>
          <cell r="AL406">
            <v>7055316.1389505528</v>
          </cell>
          <cell r="AO406">
            <v>7055316.1389505528</v>
          </cell>
        </row>
        <row r="407">
          <cell r="B407" t="str">
            <v>Mois</v>
          </cell>
          <cell r="C407">
            <v>2025</v>
          </cell>
          <cell r="F407" t="str">
            <v>Janvier</v>
          </cell>
          <cell r="I407" t="str">
            <v>Février</v>
          </cell>
          <cell r="L407" t="str">
            <v>Mars</v>
          </cell>
          <cell r="O407" t="str">
            <v>Avril</v>
          </cell>
          <cell r="R407" t="str">
            <v>Mai</v>
          </cell>
          <cell r="U407" t="str">
            <v>Juin</v>
          </cell>
          <cell r="X407" t="str">
            <v>Juillet</v>
          </cell>
          <cell r="AA407" t="str">
            <v>Août</v>
          </cell>
          <cell r="AD407" t="str">
            <v>Septembre</v>
          </cell>
          <cell r="AG407" t="str">
            <v>Octobre</v>
          </cell>
          <cell r="AJ407" t="str">
            <v>Novembre</v>
          </cell>
          <cell r="AM407" t="str">
            <v>Décembre</v>
          </cell>
        </row>
        <row r="408">
          <cell r="C408" t="str">
            <v>%P.Brut</v>
          </cell>
          <cell r="D408" t="str">
            <v>$/Unite</v>
          </cell>
          <cell r="E408" t="str">
            <v>$TOTAL</v>
          </cell>
          <cell r="F408" t="str">
            <v>%P.Brut</v>
          </cell>
          <cell r="G408" t="str">
            <v>$/Unite</v>
          </cell>
          <cell r="H408" t="str">
            <v>$TOTAL</v>
          </cell>
          <cell r="I408" t="str">
            <v>%P.Brut</v>
          </cell>
          <cell r="J408" t="str">
            <v>$/Unite</v>
          </cell>
          <cell r="K408" t="str">
            <v>$TOTAL</v>
          </cell>
          <cell r="L408" t="str">
            <v>%P.Brut</v>
          </cell>
          <cell r="M408" t="str">
            <v>$/Unite</v>
          </cell>
          <cell r="N408" t="str">
            <v>$TOTAL</v>
          </cell>
          <cell r="O408" t="str">
            <v>%P.Brut</v>
          </cell>
          <cell r="P408" t="str">
            <v>$/Unite</v>
          </cell>
          <cell r="Q408" t="str">
            <v>$TOTAL</v>
          </cell>
          <cell r="R408" t="str">
            <v>%P.Brut</v>
          </cell>
          <cell r="S408" t="str">
            <v>$/Unite</v>
          </cell>
          <cell r="T408" t="str">
            <v>$TOTAL</v>
          </cell>
          <cell r="U408" t="str">
            <v>%P.Brut</v>
          </cell>
          <cell r="V408" t="str">
            <v>$/Unite</v>
          </cell>
          <cell r="W408" t="str">
            <v>$TOTAL</v>
          </cell>
          <cell r="X408" t="str">
            <v>%P.Brut</v>
          </cell>
          <cell r="Y408" t="str">
            <v>$/Unite</v>
          </cell>
          <cell r="Z408" t="str">
            <v>$TOTAL</v>
          </cell>
          <cell r="AA408" t="str">
            <v>%P.Brut</v>
          </cell>
          <cell r="AB408" t="str">
            <v>$/Unite</v>
          </cell>
          <cell r="AC408" t="str">
            <v>$TOTAL</v>
          </cell>
          <cell r="AD408" t="str">
            <v>%P.Brut</v>
          </cell>
          <cell r="AE408" t="str">
            <v>$/Unite</v>
          </cell>
          <cell r="AF408" t="str">
            <v>$TOTAL</v>
          </cell>
          <cell r="AG408" t="str">
            <v>%P.Brut</v>
          </cell>
          <cell r="AH408" t="str">
            <v>$/Unite</v>
          </cell>
          <cell r="AI408" t="str">
            <v>$TOTAL</v>
          </cell>
          <cell r="AJ408" t="str">
            <v>%P.Brut</v>
          </cell>
          <cell r="AK408" t="str">
            <v>$/Unite</v>
          </cell>
          <cell r="AL408" t="str">
            <v>$TOTAL</v>
          </cell>
          <cell r="AM408" t="str">
            <v>%P.Brut</v>
          </cell>
          <cell r="AN408" t="str">
            <v>$/Unite</v>
          </cell>
          <cell r="AO408" t="str">
            <v>$TOTAL</v>
          </cell>
        </row>
        <row r="409">
          <cell r="A409" t="str">
            <v>Ventes nettes</v>
          </cell>
          <cell r="B409" t="str">
            <v>Ventes nettes</v>
          </cell>
        </row>
        <row r="410">
          <cell r="A410" t="str">
            <v>Profit brut</v>
          </cell>
          <cell r="B410" t="str">
            <v>Profit brut</v>
          </cell>
        </row>
        <row r="411">
          <cell r="A411" t="str">
            <v>DÉPENSES</v>
          </cell>
          <cell r="B411" t="str">
            <v>DÉPENSES</v>
          </cell>
        </row>
        <row r="412">
          <cell r="A412" t="str">
            <v>Comm. vendeurs</v>
          </cell>
          <cell r="B412" t="str">
            <v>Comm. vendeurs</v>
          </cell>
        </row>
        <row r="413">
          <cell r="A413" t="str">
            <v>Comm. F&amp;I</v>
          </cell>
          <cell r="B413" t="str">
            <v>Comm. F&amp;I</v>
          </cell>
        </row>
        <row r="414">
          <cell r="A414" t="str">
            <v>Frais de livraison</v>
          </cell>
          <cell r="B414" t="str">
            <v>Frais de livraison</v>
          </cell>
        </row>
        <row r="415">
          <cell r="A415" t="str">
            <v>Service gratuit 1</v>
          </cell>
          <cell r="B415" t="str">
            <v>Service gratuit 1</v>
          </cell>
        </row>
        <row r="416">
          <cell r="A416" t="str">
            <v>Entretien stock</v>
          </cell>
          <cell r="B416" t="str">
            <v>Entretien stock</v>
          </cell>
        </row>
        <row r="417">
          <cell r="A417" t="str">
            <v>Publicité 1</v>
          </cell>
          <cell r="B417" t="str">
            <v>Publicité 1</v>
          </cell>
        </row>
        <row r="418">
          <cell r="A418" t="str">
            <v>Intérêt de gros</v>
          </cell>
          <cell r="B418" t="str">
            <v>Intérêt de gros</v>
          </cell>
        </row>
        <row r="419">
          <cell r="A419" t="str">
            <v>[...]</v>
          </cell>
          <cell r="B419" t="str">
            <v>[...]</v>
          </cell>
        </row>
        <row r="420">
          <cell r="A420" t="str">
            <v>[...]</v>
          </cell>
          <cell r="B420" t="str">
            <v>[...]</v>
          </cell>
        </row>
        <row r="421">
          <cell r="A421" t="str">
            <v>[...]</v>
          </cell>
          <cell r="B421" t="str">
            <v>[...]</v>
          </cell>
        </row>
        <row r="422">
          <cell r="A422" t="str">
            <v>TOTAL VARIABLES</v>
          </cell>
          <cell r="B422" t="str">
            <v>TOTAL VARIABLES</v>
          </cell>
        </row>
        <row r="423">
          <cell r="A423" t="str">
            <v>Salaires propriétaire</v>
          </cell>
          <cell r="B423" t="str">
            <v>Salaires propriétaire</v>
          </cell>
        </row>
        <row r="424">
          <cell r="A424" t="str">
            <v>Salaires cadres</v>
          </cell>
          <cell r="B424" t="str">
            <v>Salaires cadres</v>
          </cell>
        </row>
        <row r="425">
          <cell r="A425" t="str">
            <v>Salaires commis</v>
          </cell>
          <cell r="B425" t="str">
            <v>Salaires commis</v>
          </cell>
        </row>
        <row r="426">
          <cell r="A426" t="str">
            <v>Salaires autres</v>
          </cell>
          <cell r="B426" t="str">
            <v>Salaires autres</v>
          </cell>
        </row>
        <row r="427">
          <cell r="A427" t="str">
            <v>Salaires spécialistes</v>
          </cell>
          <cell r="B427" t="str">
            <v>Salaires spécialistes</v>
          </cell>
        </row>
        <row r="428">
          <cell r="A428" t="str">
            <v>[...]</v>
          </cell>
          <cell r="B428" t="str">
            <v>[...]</v>
          </cell>
        </row>
        <row r="429">
          <cell r="A429" t="str">
            <v>[...]</v>
          </cell>
          <cell r="B429" t="str">
            <v>[...]</v>
          </cell>
        </row>
        <row r="430">
          <cell r="A430" t="str">
            <v>[...]</v>
          </cell>
          <cell r="B430" t="str">
            <v>[...]</v>
          </cell>
        </row>
        <row r="431">
          <cell r="A431" t="str">
            <v>Salaires en absences</v>
          </cell>
          <cell r="B431" t="str">
            <v>Salaires en absences</v>
          </cell>
        </row>
        <row r="432">
          <cell r="A432" t="str">
            <v>Déduction à la source</v>
          </cell>
          <cell r="B432" t="str">
            <v>Déduction à la source</v>
          </cell>
        </row>
        <row r="433">
          <cell r="A433" t="str">
            <v>Bénéfices marginaux</v>
          </cell>
          <cell r="B433" t="str">
            <v>Bénéfices marginaux</v>
          </cell>
        </row>
        <row r="434">
          <cell r="A434" t="str">
            <v>Csst</v>
          </cell>
          <cell r="B434" t="str">
            <v>Csst</v>
          </cell>
        </row>
        <row r="436">
          <cell r="A436" t="str">
            <v>TOTAL PERSONNEL</v>
          </cell>
          <cell r="B436" t="str">
            <v>TOTAL PERSONNEL</v>
          </cell>
        </row>
        <row r="437">
          <cell r="A437" t="str">
            <v>Publicité 2</v>
          </cell>
          <cell r="B437" t="str">
            <v>Publicité 2</v>
          </cell>
        </row>
        <row r="438">
          <cell r="A438" t="str">
            <v>Service gratuit 2</v>
          </cell>
          <cell r="B438" t="str">
            <v>Service gratuit 2</v>
          </cell>
        </row>
        <row r="439">
          <cell r="A439" t="str">
            <v>Frais véhicules de cie</v>
          </cell>
          <cell r="B439" t="str">
            <v>Frais véhicules de cie</v>
          </cell>
        </row>
        <row r="440">
          <cell r="A440" t="str">
            <v>Informatique</v>
          </cell>
          <cell r="B440" t="str">
            <v>Informatique</v>
          </cell>
        </row>
        <row r="441">
          <cell r="A441" t="str">
            <v>Frais de déplacement</v>
          </cell>
          <cell r="B441" t="str">
            <v>Frais de déplacement</v>
          </cell>
        </row>
        <row r="442">
          <cell r="A442" t="str">
            <v>Services extérieurs</v>
          </cell>
          <cell r="B442" t="str">
            <v>Services extérieurs</v>
          </cell>
        </row>
        <row r="443">
          <cell r="B443" t="str">
            <v>Fournitures d'atelier</v>
          </cell>
        </row>
        <row r="444">
          <cell r="A444" t="str">
            <v>Fournitures autres</v>
          </cell>
          <cell r="B444" t="str">
            <v>Fournitures autres</v>
          </cell>
        </row>
        <row r="445">
          <cell r="A445" t="str">
            <v>Uniformes</v>
          </cell>
          <cell r="B445" t="str">
            <v>Uniformes</v>
          </cell>
        </row>
        <row r="446">
          <cell r="A446" t="str">
            <v>Papeterie</v>
          </cell>
          <cell r="B446" t="str">
            <v>Papeterie</v>
          </cell>
        </row>
        <row r="447">
          <cell r="A447" t="str">
            <v>Téléphone</v>
          </cell>
          <cell r="B447" t="str">
            <v>Téléphone</v>
          </cell>
        </row>
        <row r="448">
          <cell r="A448" t="str">
            <v>Frais postaux</v>
          </cell>
          <cell r="B448" t="str">
            <v>Frais postaux</v>
          </cell>
        </row>
        <row r="449">
          <cell r="A449" t="str">
            <v>Divers</v>
          </cell>
          <cell r="B449" t="str">
            <v>Divers</v>
          </cell>
        </row>
        <row r="450">
          <cell r="A450" t="str">
            <v>Formation</v>
          </cell>
          <cell r="B450" t="str">
            <v>Formation</v>
          </cell>
        </row>
        <row r="451">
          <cell r="A451" t="str">
            <v>Frais bancaires</v>
          </cell>
          <cell r="B451" t="str">
            <v>Frais bancaires</v>
          </cell>
        </row>
        <row r="452">
          <cell r="A452" t="str">
            <v>[...]</v>
          </cell>
          <cell r="B452" t="str">
            <v>[...]</v>
          </cell>
        </row>
        <row r="453">
          <cell r="A453" t="str">
            <v>[...]</v>
          </cell>
          <cell r="B453" t="str">
            <v>[...]</v>
          </cell>
        </row>
        <row r="454">
          <cell r="A454">
            <v>0</v>
          </cell>
        </row>
        <row r="455">
          <cell r="A455" t="str">
            <v>TOTAL SEMI-FIXES</v>
          </cell>
          <cell r="B455" t="str">
            <v>TOTAL SEMI-FIXES</v>
          </cell>
        </row>
        <row r="456">
          <cell r="A456" t="str">
            <v>Loyer</v>
          </cell>
          <cell r="B456" t="str">
            <v>Loyer</v>
          </cell>
        </row>
        <row r="457">
          <cell r="A457" t="str">
            <v>Taxes foncières</v>
          </cell>
          <cell r="B457" t="str">
            <v>Taxes foncières</v>
          </cell>
        </row>
        <row r="458">
          <cell r="A458" t="str">
            <v>Taxes d`affaires</v>
          </cell>
          <cell r="B458" t="str">
            <v>Taxes d`affaires</v>
          </cell>
        </row>
        <row r="459">
          <cell r="A459" t="str">
            <v>Taxe sur le capital</v>
          </cell>
          <cell r="B459" t="str">
            <v>Taxe sur le capital</v>
          </cell>
        </row>
        <row r="460">
          <cell r="A460" t="str">
            <v>Assurances</v>
          </cell>
          <cell r="B460" t="str">
            <v>Assurances</v>
          </cell>
        </row>
        <row r="461">
          <cell r="A461" t="str">
            <v>Chauffage, éclairage</v>
          </cell>
          <cell r="B461" t="str">
            <v>Chauffage, éclairage</v>
          </cell>
        </row>
        <row r="462">
          <cell r="A462" t="str">
            <v>Honoraires</v>
          </cell>
          <cell r="B462" t="str">
            <v>Honoraires</v>
          </cell>
        </row>
        <row r="463">
          <cell r="A463" t="str">
            <v>Réparation équipement</v>
          </cell>
          <cell r="B463" t="str">
            <v>Réparation équipement</v>
          </cell>
        </row>
        <row r="464">
          <cell r="A464" t="str">
            <v>Location équipement</v>
          </cell>
          <cell r="B464" t="str">
            <v>Location équipement</v>
          </cell>
        </row>
        <row r="465">
          <cell r="A465" t="str">
            <v>Dons</v>
          </cell>
          <cell r="B465" t="str">
            <v>Dons</v>
          </cell>
        </row>
        <row r="466">
          <cell r="A466" t="str">
            <v>[...]</v>
          </cell>
          <cell r="B466" t="str">
            <v>[...]</v>
          </cell>
        </row>
        <row r="467">
          <cell r="A467" t="str">
            <v>[...]</v>
          </cell>
          <cell r="B467" t="str">
            <v>[...]</v>
          </cell>
        </row>
        <row r="468">
          <cell r="A468" t="str">
            <v>[...]</v>
          </cell>
          <cell r="B468" t="str">
            <v>[...]</v>
          </cell>
        </row>
        <row r="469">
          <cell r="A469" t="str">
            <v>TOTAL DÉPENSES FIXES</v>
          </cell>
          <cell r="B469" t="str">
            <v>TOTAL DÉPENSES FIXES</v>
          </cell>
        </row>
        <row r="470">
          <cell r="A470">
            <v>0</v>
          </cell>
        </row>
        <row r="471">
          <cell r="A471" t="str">
            <v>TOTAL DES DÉPENSES</v>
          </cell>
          <cell r="B471" t="str">
            <v>TOTAL DES DÉPENSES</v>
          </cell>
        </row>
        <row r="472">
          <cell r="A472" t="str">
            <v>Revenus autres</v>
          </cell>
          <cell r="B472" t="str">
            <v>Revenus autres</v>
          </cell>
        </row>
        <row r="473">
          <cell r="A473" t="str">
            <v>Holdbacks</v>
          </cell>
          <cell r="B473" t="str">
            <v>Holdbacks</v>
          </cell>
        </row>
        <row r="474">
          <cell r="A474" t="str">
            <v>Programme neuf 1</v>
          </cell>
          <cell r="B474" t="str">
            <v>Programme neuf 1</v>
          </cell>
        </row>
        <row r="475">
          <cell r="A475" t="str">
            <v>Programme neuf 2</v>
          </cell>
          <cell r="B475" t="str">
            <v>Programme neuf 2</v>
          </cell>
        </row>
        <row r="476">
          <cell r="A476" t="str">
            <v>Programme neuf 3</v>
          </cell>
          <cell r="B476" t="str">
            <v>Programme neuf 3</v>
          </cell>
        </row>
        <row r="477">
          <cell r="A477" t="str">
            <v>Programme used 1</v>
          </cell>
          <cell r="B477" t="str">
            <v>Programme used 1</v>
          </cell>
        </row>
        <row r="478">
          <cell r="A478" t="str">
            <v>Programme used 2</v>
          </cell>
          <cell r="B478" t="str">
            <v>Programme used 2</v>
          </cell>
        </row>
        <row r="479">
          <cell r="A479" t="str">
            <v>Programme used 3</v>
          </cell>
          <cell r="B479" t="str">
            <v>Programme used 3</v>
          </cell>
        </row>
        <row r="480">
          <cell r="A480" t="str">
            <v>[...]</v>
          </cell>
          <cell r="B480" t="str">
            <v>[...]</v>
          </cell>
        </row>
        <row r="481">
          <cell r="A481" t="str">
            <v>[...]</v>
          </cell>
          <cell r="B481" t="str">
            <v>[...]</v>
          </cell>
        </row>
        <row r="482">
          <cell r="A482" t="str">
            <v>[...]</v>
          </cell>
          <cell r="B482" t="str">
            <v>[...]</v>
          </cell>
        </row>
        <row r="483">
          <cell r="A483" t="str">
            <v>Frais administration</v>
          </cell>
          <cell r="B483" t="str">
            <v>Frais administration</v>
          </cell>
        </row>
        <row r="484">
          <cell r="A484" t="str">
            <v>TOTAL AUTRES REVENUS</v>
          </cell>
          <cell r="B484" t="str">
            <v>TOTAL AUTRES REVENUS</v>
          </cell>
        </row>
        <row r="485">
          <cell r="A485">
            <v>0</v>
          </cell>
        </row>
        <row r="486">
          <cell r="A486" t="str">
            <v>BAIIA OPÉRATIONNEL</v>
          </cell>
          <cell r="B486" t="str">
            <v>BAIIA OPÉRATIONNEL</v>
          </cell>
        </row>
        <row r="487">
          <cell r="E487">
            <v>2211033.1199999936</v>
          </cell>
        </row>
        <row r="488">
          <cell r="B488" t="str">
            <v>Réel 2024</v>
          </cell>
          <cell r="C488" t="str">
            <v>CALCUL DU PROFIT NET</v>
          </cell>
        </row>
        <row r="491">
          <cell r="B491" t="str">
            <v>BAIIA Corpo</v>
          </cell>
        </row>
        <row r="492">
          <cell r="B492" t="str">
            <v>BAIIA OPÉRATIONNEL</v>
          </cell>
        </row>
        <row r="494">
          <cell r="A494" t="str">
            <v>Amortissement</v>
          </cell>
          <cell r="B494" t="str">
            <v>Amortissement</v>
          </cell>
        </row>
        <row r="495">
          <cell r="A495" t="str">
            <v>Intérêts sur marge</v>
          </cell>
          <cell r="B495" t="str">
            <v>Intérêts sur marge</v>
          </cell>
        </row>
        <row r="496">
          <cell r="A496" t="str">
            <v>Intérêts sur prêt</v>
          </cell>
          <cell r="B496" t="str">
            <v>Intérêts sur prêt</v>
          </cell>
        </row>
        <row r="497">
          <cell r="A497" t="str">
            <v>Intérêts sur avance</v>
          </cell>
          <cell r="B497" t="str">
            <v>Intérêts sur avance</v>
          </cell>
        </row>
        <row r="498">
          <cell r="A498" t="str">
            <v>Intérêts sur hypothèque</v>
          </cell>
          <cell r="B498" t="str">
            <v>Intérêts sur hypothèque</v>
          </cell>
        </row>
        <row r="499">
          <cell r="A499" t="str">
            <v>Revenus d'intérêts Floor plan</v>
          </cell>
          <cell r="B499" t="str">
            <v>Revenus d'intérêts Floor plan</v>
          </cell>
        </row>
        <row r="500">
          <cell r="A500" t="str">
            <v>[...]</v>
          </cell>
          <cell r="B500" t="str">
            <v>[...]</v>
          </cell>
        </row>
        <row r="501">
          <cell r="B501" t="str">
            <v>Profit Net</v>
          </cell>
        </row>
      </sheetData>
      <sheetData sheetId="4"/>
      <sheetData sheetId="5"/>
      <sheetData sheetId="6"/>
      <sheetData sheetId="7"/>
      <sheetData sheetId="8">
        <row r="544">
          <cell r="V544" t="str">
            <v>Assurances</v>
          </cell>
        </row>
      </sheetData>
      <sheetData sheetId="9"/>
      <sheetData sheetId="10"/>
      <sheetData sheetId="11"/>
      <sheetData sheetId="12"/>
      <sheetData sheetId="13">
        <row r="2">
          <cell r="AM2" t="str">
            <v>Solde courant</v>
          </cell>
          <cell r="AQ2" t="str">
            <v>Classification</v>
          </cell>
          <cell r="AR2" t="str">
            <v>$ / NB</v>
          </cell>
          <cell r="AS2" t="str">
            <v>Ventes</v>
          </cell>
          <cell r="AW2" t="str">
            <v>Solde courant</v>
          </cell>
          <cell r="AY2" t="str">
            <v>$ / NB</v>
          </cell>
        </row>
        <row r="3">
          <cell r="AM3">
            <v>0</v>
          </cell>
          <cell r="AP3" t="e">
            <v>#N/A</v>
          </cell>
          <cell r="AQ3" t="e">
            <v>#N/A</v>
          </cell>
          <cell r="AR3" t="str">
            <v>$</v>
          </cell>
          <cell r="AS3" t="e">
            <v>#N/A</v>
          </cell>
          <cell r="AW3">
            <v>0</v>
          </cell>
          <cell r="AY3" t="str">
            <v>NB</v>
          </cell>
        </row>
        <row r="4">
          <cell r="AM4">
            <v>0</v>
          </cell>
          <cell r="AP4" t="e">
            <v>#N/A</v>
          </cell>
          <cell r="AQ4" t="e">
            <v>#N/A</v>
          </cell>
          <cell r="AR4" t="str">
            <v>$</v>
          </cell>
          <cell r="AS4" t="e">
            <v>#N/A</v>
          </cell>
          <cell r="AW4">
            <v>0</v>
          </cell>
          <cell r="AY4" t="str">
            <v>NB</v>
          </cell>
        </row>
        <row r="5">
          <cell r="AM5">
            <v>42615.23000000004</v>
          </cell>
          <cell r="AP5" t="str">
            <v>Véhicules neufs</v>
          </cell>
          <cell r="AQ5" t="str">
            <v>Comm. vendeurs</v>
          </cell>
          <cell r="AR5" t="str">
            <v>$</v>
          </cell>
          <cell r="AS5">
            <v>0</v>
          </cell>
          <cell r="AW5">
            <v>0</v>
          </cell>
          <cell r="AY5" t="str">
            <v>NB</v>
          </cell>
        </row>
        <row r="6">
          <cell r="AM6">
            <v>6658.8499999999913</v>
          </cell>
          <cell r="AP6" t="str">
            <v>Véhicules usagés</v>
          </cell>
          <cell r="AQ6" t="str">
            <v>Comm. vendeurs</v>
          </cell>
          <cell r="AR6" t="str">
            <v>$</v>
          </cell>
          <cell r="AS6">
            <v>0</v>
          </cell>
          <cell r="AW6">
            <v>0</v>
          </cell>
          <cell r="AY6" t="str">
            <v>NB</v>
          </cell>
        </row>
        <row r="7">
          <cell r="AM7">
            <v>13851.260000000009</v>
          </cell>
          <cell r="AP7" t="str">
            <v>Wholesale autres</v>
          </cell>
          <cell r="AQ7" t="str">
            <v>Comm. vendeurs</v>
          </cell>
          <cell r="AR7" t="str">
            <v>$</v>
          </cell>
          <cell r="AS7">
            <v>0</v>
          </cell>
          <cell r="AW7">
            <v>0</v>
          </cell>
          <cell r="AY7" t="str">
            <v>NB</v>
          </cell>
        </row>
        <row r="8">
          <cell r="AM8">
            <v>54093.619999999995</v>
          </cell>
          <cell r="AP8" t="str">
            <v>Véhicules neufs</v>
          </cell>
          <cell r="AQ8" t="str">
            <v>Frais de livraison</v>
          </cell>
          <cell r="AR8" t="str">
            <v>$</v>
          </cell>
          <cell r="AS8">
            <v>0</v>
          </cell>
          <cell r="AW8">
            <v>0</v>
          </cell>
          <cell r="AY8" t="str">
            <v>NB</v>
          </cell>
        </row>
        <row r="9">
          <cell r="AM9">
            <v>-876.21000000000095</v>
          </cell>
          <cell r="AP9" t="str">
            <v>Véhicules usagés</v>
          </cell>
          <cell r="AQ9" t="str">
            <v>Frais de livraison</v>
          </cell>
          <cell r="AR9" t="str">
            <v>$</v>
          </cell>
          <cell r="AS9">
            <v>0</v>
          </cell>
          <cell r="AW9">
            <v>0</v>
          </cell>
          <cell r="AY9" t="str">
            <v>NB</v>
          </cell>
        </row>
        <row r="10">
          <cell r="AM10">
            <v>994.80000000000109</v>
          </cell>
          <cell r="AP10" t="str">
            <v>Wholesale autres</v>
          </cell>
          <cell r="AQ10" t="str">
            <v>Frais de livraison</v>
          </cell>
          <cell r="AR10" t="str">
            <v>$</v>
          </cell>
          <cell r="AS10">
            <v>0</v>
          </cell>
          <cell r="AW10">
            <v>0</v>
          </cell>
          <cell r="AY10" t="str">
            <v>NB</v>
          </cell>
        </row>
        <row r="11">
          <cell r="AM11">
            <v>0</v>
          </cell>
          <cell r="AP11" t="e">
            <v>#N/A</v>
          </cell>
          <cell r="AQ11" t="e">
            <v>#N/A</v>
          </cell>
          <cell r="AR11" t="str">
            <v>$</v>
          </cell>
          <cell r="AS11" t="e">
            <v>#N/A</v>
          </cell>
          <cell r="AW11">
            <v>0</v>
          </cell>
          <cell r="AY11" t="str">
            <v>NB</v>
          </cell>
        </row>
        <row r="12">
          <cell r="AM12">
            <v>0</v>
          </cell>
          <cell r="AP12" t="e">
            <v>#N/A</v>
          </cell>
          <cell r="AQ12" t="e">
            <v>#N/A</v>
          </cell>
          <cell r="AR12" t="str">
            <v>$</v>
          </cell>
          <cell r="AS12" t="e">
            <v>#N/A</v>
          </cell>
          <cell r="AW12">
            <v>0</v>
          </cell>
          <cell r="AY12" t="str">
            <v>NB</v>
          </cell>
        </row>
        <row r="13">
          <cell r="AM13">
            <v>5011.53</v>
          </cell>
          <cell r="AP13" t="str">
            <v>Véhicules neufs</v>
          </cell>
          <cell r="AQ13" t="str">
            <v>Entretien stock</v>
          </cell>
          <cell r="AR13" t="str">
            <v>$</v>
          </cell>
          <cell r="AS13">
            <v>0</v>
          </cell>
          <cell r="AW13">
            <v>0</v>
          </cell>
          <cell r="AY13" t="str">
            <v>NB</v>
          </cell>
        </row>
        <row r="14">
          <cell r="AM14">
            <v>357.88</v>
          </cell>
          <cell r="AP14" t="str">
            <v>Véhicules usagés</v>
          </cell>
          <cell r="AQ14" t="str">
            <v>Entretien stock</v>
          </cell>
          <cell r="AR14" t="str">
            <v>$</v>
          </cell>
          <cell r="AS14">
            <v>0</v>
          </cell>
          <cell r="AW14">
            <v>0</v>
          </cell>
          <cell r="AY14" t="str">
            <v>NB</v>
          </cell>
        </row>
        <row r="15">
          <cell r="AM15">
            <v>0</v>
          </cell>
          <cell r="AP15" t="e">
            <v>#N/A</v>
          </cell>
          <cell r="AQ15" t="e">
            <v>#N/A</v>
          </cell>
          <cell r="AR15" t="str">
            <v>$</v>
          </cell>
          <cell r="AS15" t="e">
            <v>#N/A</v>
          </cell>
          <cell r="AW15">
            <v>0</v>
          </cell>
          <cell r="AY15" t="str">
            <v>NB</v>
          </cell>
        </row>
        <row r="16">
          <cell r="AM16">
            <v>1002.2200000000003</v>
          </cell>
          <cell r="AP16" t="str">
            <v>Véhicules neufs</v>
          </cell>
          <cell r="AQ16" t="str">
            <v>Service gratuit 1</v>
          </cell>
          <cell r="AR16" t="str">
            <v>$</v>
          </cell>
          <cell r="AS16">
            <v>0</v>
          </cell>
          <cell r="AW16">
            <v>0</v>
          </cell>
          <cell r="AY16" t="str">
            <v>NB</v>
          </cell>
        </row>
        <row r="17">
          <cell r="AM17">
            <v>803.47999999999956</v>
          </cell>
          <cell r="AP17" t="str">
            <v>Véhicules usagés</v>
          </cell>
          <cell r="AQ17" t="str">
            <v>Service gratuit 1</v>
          </cell>
          <cell r="AR17" t="str">
            <v>$</v>
          </cell>
          <cell r="AS17">
            <v>0</v>
          </cell>
          <cell r="AW17">
            <v>0</v>
          </cell>
          <cell r="AY17" t="str">
            <v>NB</v>
          </cell>
        </row>
        <row r="18">
          <cell r="AM18">
            <v>0</v>
          </cell>
          <cell r="AP18" t="str">
            <v>Wholesale autres</v>
          </cell>
          <cell r="AQ18" t="str">
            <v>Service gratuit 1</v>
          </cell>
          <cell r="AR18" t="str">
            <v>$</v>
          </cell>
          <cell r="AS18">
            <v>0</v>
          </cell>
          <cell r="AW18">
            <v>0</v>
          </cell>
          <cell r="AY18" t="str">
            <v>NB</v>
          </cell>
        </row>
        <row r="19">
          <cell r="AM19">
            <v>-30162</v>
          </cell>
          <cell r="AP19" t="str">
            <v>Véhicules neufs</v>
          </cell>
          <cell r="AQ19" t="str">
            <v>Frais administration</v>
          </cell>
          <cell r="AR19" t="str">
            <v>$</v>
          </cell>
          <cell r="AS19">
            <v>0</v>
          </cell>
          <cell r="AW19">
            <v>0</v>
          </cell>
          <cell r="AY19" t="str">
            <v>NB</v>
          </cell>
        </row>
        <row r="20">
          <cell r="AM20">
            <v>-8500</v>
          </cell>
          <cell r="AP20" t="str">
            <v>Véhicules usagés</v>
          </cell>
          <cell r="AQ20" t="str">
            <v>Frais administration</v>
          </cell>
          <cell r="AR20" t="str">
            <v>$</v>
          </cell>
          <cell r="AS20">
            <v>0</v>
          </cell>
          <cell r="AW20">
            <v>0</v>
          </cell>
          <cell r="AY20" t="str">
            <v>NB</v>
          </cell>
        </row>
        <row r="21">
          <cell r="AM21">
            <v>0</v>
          </cell>
          <cell r="AP21" t="e">
            <v>#N/A</v>
          </cell>
          <cell r="AQ21" t="e">
            <v>#N/A</v>
          </cell>
          <cell r="AR21" t="str">
            <v>$</v>
          </cell>
          <cell r="AS21" t="e">
            <v>#N/A</v>
          </cell>
          <cell r="AW21">
            <v>0</v>
          </cell>
          <cell r="AY21" t="str">
            <v>NB</v>
          </cell>
        </row>
        <row r="22">
          <cell r="AM22">
            <v>0</v>
          </cell>
          <cell r="AP22" t="e">
            <v>#N/A</v>
          </cell>
          <cell r="AQ22" t="e">
            <v>#N/A</v>
          </cell>
          <cell r="AR22" t="str">
            <v>$</v>
          </cell>
          <cell r="AS22" t="e">
            <v>#N/A</v>
          </cell>
          <cell r="AW22">
            <v>0</v>
          </cell>
          <cell r="AY22" t="str">
            <v>NB</v>
          </cell>
        </row>
        <row r="23">
          <cell r="AM23">
            <v>1678.8500000000022</v>
          </cell>
          <cell r="AP23" t="str">
            <v>Véhicules neufs</v>
          </cell>
          <cell r="AQ23" t="str">
            <v>Salaires propriétaire</v>
          </cell>
          <cell r="AR23" t="str">
            <v>$</v>
          </cell>
          <cell r="AS23">
            <v>0</v>
          </cell>
          <cell r="AW23">
            <v>0</v>
          </cell>
          <cell r="AY23" t="str">
            <v>NB</v>
          </cell>
        </row>
        <row r="24">
          <cell r="AM24">
            <v>0</v>
          </cell>
          <cell r="AP24" t="e">
            <v>#N/A</v>
          </cell>
          <cell r="AQ24" t="e">
            <v>#N/A</v>
          </cell>
          <cell r="AR24" t="str">
            <v>$</v>
          </cell>
          <cell r="AS24" t="e">
            <v>#N/A</v>
          </cell>
          <cell r="AW24">
            <v>0</v>
          </cell>
          <cell r="AY24" t="str">
            <v>NB</v>
          </cell>
        </row>
        <row r="25">
          <cell r="AM25">
            <v>1119.2299999999996</v>
          </cell>
          <cell r="AP25" t="str">
            <v>Véhicules usagés</v>
          </cell>
          <cell r="AQ25" t="str">
            <v>Salaires propriétaire</v>
          </cell>
          <cell r="AR25" t="str">
            <v>$</v>
          </cell>
          <cell r="AS25">
            <v>0</v>
          </cell>
          <cell r="AW25">
            <v>0</v>
          </cell>
          <cell r="AY25" t="str">
            <v>NB</v>
          </cell>
        </row>
        <row r="26">
          <cell r="AM26">
            <v>1678.8500000000022</v>
          </cell>
          <cell r="AP26" t="str">
            <v>Service</v>
          </cell>
          <cell r="AQ26" t="str">
            <v>Salaires propriétaire</v>
          </cell>
          <cell r="AR26" t="str">
            <v>$</v>
          </cell>
          <cell r="AS26">
            <v>0</v>
          </cell>
          <cell r="AW26">
            <v>0</v>
          </cell>
          <cell r="AY26" t="str">
            <v>NB</v>
          </cell>
        </row>
        <row r="27">
          <cell r="AM27">
            <v>559.60999999999876</v>
          </cell>
          <cell r="AP27" t="str">
            <v>Carrosserie</v>
          </cell>
          <cell r="AQ27" t="str">
            <v>Salaires propriétaire</v>
          </cell>
          <cell r="AR27" t="str">
            <v>$</v>
          </cell>
          <cell r="AS27">
            <v>0</v>
          </cell>
          <cell r="AW27">
            <v>0</v>
          </cell>
          <cell r="AY27" t="str">
            <v>NB</v>
          </cell>
        </row>
        <row r="28">
          <cell r="AM28">
            <v>559.63000000000102</v>
          </cell>
          <cell r="AP28" t="str">
            <v>Pièces</v>
          </cell>
          <cell r="AQ28" t="str">
            <v>Salaires propriétaire</v>
          </cell>
          <cell r="AR28" t="str">
            <v>$</v>
          </cell>
          <cell r="AS28">
            <v>0</v>
          </cell>
          <cell r="AW28">
            <v>0</v>
          </cell>
          <cell r="AY28" t="str">
            <v>NB</v>
          </cell>
        </row>
        <row r="29">
          <cell r="AM29">
            <v>0</v>
          </cell>
          <cell r="AP29" t="e">
            <v>#N/A</v>
          </cell>
          <cell r="AQ29" t="e">
            <v>#N/A</v>
          </cell>
          <cell r="AR29" t="str">
            <v>$</v>
          </cell>
          <cell r="AS29" t="e">
            <v>#N/A</v>
          </cell>
          <cell r="AW29">
            <v>0</v>
          </cell>
          <cell r="AY29" t="str">
            <v>NB</v>
          </cell>
        </row>
        <row r="30">
          <cell r="AM30">
            <v>0</v>
          </cell>
          <cell r="AP30" t="e">
            <v>#N/A</v>
          </cell>
          <cell r="AQ30" t="e">
            <v>#N/A</v>
          </cell>
          <cell r="AR30" t="str">
            <v>$</v>
          </cell>
          <cell r="AS30" t="e">
            <v>#N/A</v>
          </cell>
          <cell r="AW30">
            <v>0</v>
          </cell>
          <cell r="AY30" t="str">
            <v>NB</v>
          </cell>
        </row>
        <row r="31">
          <cell r="AM31">
            <v>15176.400000000009</v>
          </cell>
          <cell r="AP31" t="str">
            <v>Véhicules neufs</v>
          </cell>
          <cell r="AQ31" t="str">
            <v>Salaires cadres</v>
          </cell>
          <cell r="AR31" t="str">
            <v>$</v>
          </cell>
          <cell r="AS31">
            <v>0</v>
          </cell>
          <cell r="AW31">
            <v>0</v>
          </cell>
          <cell r="AY31" t="str">
            <v>NB</v>
          </cell>
        </row>
        <row r="32">
          <cell r="AM32">
            <v>0</v>
          </cell>
          <cell r="AP32" t="e">
            <v>#N/A</v>
          </cell>
          <cell r="AQ32" t="e">
            <v>#N/A</v>
          </cell>
          <cell r="AR32" t="str">
            <v>$</v>
          </cell>
          <cell r="AS32" t="e">
            <v>#N/A</v>
          </cell>
          <cell r="AW32">
            <v>0</v>
          </cell>
          <cell r="AY32" t="str">
            <v>NB</v>
          </cell>
        </row>
        <row r="33">
          <cell r="AM33">
            <v>10231.530000000006</v>
          </cell>
          <cell r="AP33" t="str">
            <v>Véhicules usagés</v>
          </cell>
          <cell r="AQ33" t="str">
            <v>Salaires cadres</v>
          </cell>
          <cell r="AR33" t="str">
            <v>$</v>
          </cell>
          <cell r="AS33">
            <v>0</v>
          </cell>
          <cell r="AW33">
            <v>0</v>
          </cell>
          <cell r="AY33" t="str">
            <v>NB</v>
          </cell>
        </row>
        <row r="34">
          <cell r="AM34">
            <v>-929.38999999999942</v>
          </cell>
          <cell r="AP34" t="str">
            <v>Wholesale autres</v>
          </cell>
          <cell r="AQ34" t="str">
            <v>Salaires cadres</v>
          </cell>
          <cell r="AR34" t="str">
            <v>$</v>
          </cell>
          <cell r="AS34">
            <v>0</v>
          </cell>
          <cell r="AW34">
            <v>0</v>
          </cell>
          <cell r="AY34" t="str">
            <v>NB</v>
          </cell>
        </row>
        <row r="35">
          <cell r="AM35">
            <v>12853.82</v>
          </cell>
          <cell r="AP35" t="str">
            <v>Service</v>
          </cell>
          <cell r="AQ35" t="str">
            <v>Salaires cadres</v>
          </cell>
          <cell r="AR35" t="str">
            <v>$</v>
          </cell>
          <cell r="AS35">
            <v>0</v>
          </cell>
          <cell r="AW35">
            <v>0</v>
          </cell>
          <cell r="AY35" t="str">
            <v>NB</v>
          </cell>
        </row>
        <row r="36">
          <cell r="AM36">
            <v>11074.989999999998</v>
          </cell>
          <cell r="AP36" t="str">
            <v>Carrosserie</v>
          </cell>
          <cell r="AQ36" t="str">
            <v>Salaires cadres</v>
          </cell>
          <cell r="AR36" t="str">
            <v>$</v>
          </cell>
          <cell r="AS36">
            <v>0</v>
          </cell>
          <cell r="AW36">
            <v>0</v>
          </cell>
          <cell r="AY36" t="str">
            <v>NB</v>
          </cell>
        </row>
        <row r="37">
          <cell r="AM37">
            <v>6751.489999999998</v>
          </cell>
          <cell r="AP37" t="str">
            <v>Pièces</v>
          </cell>
          <cell r="AQ37" t="str">
            <v>Salaires cadres</v>
          </cell>
          <cell r="AR37" t="str">
            <v>$</v>
          </cell>
          <cell r="AS37">
            <v>0</v>
          </cell>
          <cell r="AW37">
            <v>0</v>
          </cell>
          <cell r="AY37" t="str">
            <v>NB</v>
          </cell>
        </row>
        <row r="38">
          <cell r="AM38">
            <v>540</v>
          </cell>
          <cell r="AP38" t="str">
            <v>SAAQ</v>
          </cell>
          <cell r="AQ38" t="str">
            <v>Salaires cadres</v>
          </cell>
          <cell r="AR38" t="str">
            <v>$</v>
          </cell>
          <cell r="AS38">
            <v>0</v>
          </cell>
          <cell r="AW38">
            <v>0</v>
          </cell>
          <cell r="AY38" t="str">
            <v>NB</v>
          </cell>
        </row>
        <row r="39">
          <cell r="AM39">
            <v>0</v>
          </cell>
          <cell r="AP39" t="e">
            <v>#N/A</v>
          </cell>
          <cell r="AQ39" t="e">
            <v>#N/A</v>
          </cell>
          <cell r="AR39" t="str">
            <v>$</v>
          </cell>
          <cell r="AS39" t="e">
            <v>#N/A</v>
          </cell>
          <cell r="AW39">
            <v>0</v>
          </cell>
          <cell r="AY39" t="str">
            <v>NB</v>
          </cell>
        </row>
        <row r="40">
          <cell r="AM40">
            <v>0</v>
          </cell>
          <cell r="AP40" t="e">
            <v>#N/A</v>
          </cell>
          <cell r="AQ40" t="e">
            <v>#N/A</v>
          </cell>
          <cell r="AR40" t="str">
            <v>$</v>
          </cell>
          <cell r="AS40" t="e">
            <v>#N/A</v>
          </cell>
          <cell r="AW40">
            <v>0</v>
          </cell>
          <cell r="AY40" t="str">
            <v>NB</v>
          </cell>
        </row>
        <row r="41">
          <cell r="AM41">
            <v>10229.26999999999</v>
          </cell>
          <cell r="AP41" t="str">
            <v>Véhicules neufs</v>
          </cell>
          <cell r="AQ41" t="str">
            <v>Salaires commis</v>
          </cell>
          <cell r="AR41" t="str">
            <v>$</v>
          </cell>
          <cell r="AS41">
            <v>0</v>
          </cell>
          <cell r="AW41">
            <v>0</v>
          </cell>
          <cell r="AY41" t="str">
            <v>NB</v>
          </cell>
        </row>
        <row r="42">
          <cell r="AM42">
            <v>0</v>
          </cell>
          <cell r="AP42" t="e">
            <v>#N/A</v>
          </cell>
          <cell r="AQ42" t="e">
            <v>#N/A</v>
          </cell>
          <cell r="AR42" t="str">
            <v>$</v>
          </cell>
          <cell r="AS42" t="e">
            <v>#N/A</v>
          </cell>
          <cell r="AW42">
            <v>0</v>
          </cell>
          <cell r="AY42" t="str">
            <v>NB</v>
          </cell>
        </row>
        <row r="43">
          <cell r="AM43">
            <v>6819.5099999999984</v>
          </cell>
          <cell r="AP43" t="str">
            <v>Véhicules usagés</v>
          </cell>
          <cell r="AQ43" t="str">
            <v>Salaires commis</v>
          </cell>
          <cell r="AR43" t="str">
            <v>$</v>
          </cell>
          <cell r="AS43">
            <v>0</v>
          </cell>
          <cell r="AW43">
            <v>0</v>
          </cell>
          <cell r="AY43" t="str">
            <v>NB</v>
          </cell>
        </row>
        <row r="44">
          <cell r="AM44">
            <v>3287.7700000000041</v>
          </cell>
          <cell r="AP44" t="str">
            <v>Wholesale autres</v>
          </cell>
          <cell r="AQ44" t="str">
            <v>Salaires commis</v>
          </cell>
          <cell r="AR44" t="str">
            <v>$</v>
          </cell>
          <cell r="AS44">
            <v>0</v>
          </cell>
          <cell r="AW44">
            <v>0</v>
          </cell>
          <cell r="AY44" t="str">
            <v>NB</v>
          </cell>
        </row>
        <row r="45">
          <cell r="AM45">
            <v>7731.890000000014</v>
          </cell>
          <cell r="AP45" t="str">
            <v>Service</v>
          </cell>
          <cell r="AQ45" t="str">
            <v>Salaires commis</v>
          </cell>
          <cell r="AR45" t="str">
            <v>$</v>
          </cell>
          <cell r="AS45">
            <v>0</v>
          </cell>
          <cell r="AW45">
            <v>0</v>
          </cell>
          <cell r="AY45" t="str">
            <v>NB</v>
          </cell>
        </row>
        <row r="46">
          <cell r="AM46">
            <v>5325.2300000000032</v>
          </cell>
          <cell r="AP46" t="str">
            <v>Carrosserie</v>
          </cell>
          <cell r="AQ46" t="str">
            <v>Salaires commis</v>
          </cell>
          <cell r="AR46" t="str">
            <v>$</v>
          </cell>
          <cell r="AS46">
            <v>0</v>
          </cell>
          <cell r="AW46">
            <v>0</v>
          </cell>
          <cell r="AY46" t="str">
            <v>NB</v>
          </cell>
        </row>
        <row r="47">
          <cell r="AM47">
            <v>2577.3100000000013</v>
          </cell>
          <cell r="AP47" t="str">
            <v>Pièces</v>
          </cell>
          <cell r="AQ47" t="str">
            <v>Salaires commis</v>
          </cell>
          <cell r="AR47" t="str">
            <v>$</v>
          </cell>
          <cell r="AS47">
            <v>0</v>
          </cell>
          <cell r="AW47">
            <v>0</v>
          </cell>
          <cell r="AY47" t="str">
            <v>NB</v>
          </cell>
        </row>
        <row r="48">
          <cell r="AM48">
            <v>8742.9399999999987</v>
          </cell>
          <cell r="AP48" t="str">
            <v>SAAQ</v>
          </cell>
          <cell r="AQ48" t="str">
            <v>Salaires commis</v>
          </cell>
          <cell r="AR48" t="str">
            <v>$</v>
          </cell>
          <cell r="AS48">
            <v>0</v>
          </cell>
          <cell r="AW48">
            <v>0</v>
          </cell>
          <cell r="AY48" t="str">
            <v>NB</v>
          </cell>
        </row>
        <row r="49">
          <cell r="AM49">
            <v>0</v>
          </cell>
          <cell r="AP49" t="e">
            <v>#N/A</v>
          </cell>
          <cell r="AQ49" t="e">
            <v>#N/A</v>
          </cell>
          <cell r="AR49" t="str">
            <v>$</v>
          </cell>
          <cell r="AS49" t="e">
            <v>#N/A</v>
          </cell>
          <cell r="AW49">
            <v>0</v>
          </cell>
          <cell r="AY49" t="str">
            <v>NB</v>
          </cell>
        </row>
        <row r="50">
          <cell r="AM50">
            <v>0</v>
          </cell>
          <cell r="AP50" t="e">
            <v>#N/A</v>
          </cell>
          <cell r="AQ50" t="e">
            <v>#N/A</v>
          </cell>
          <cell r="AR50" t="str">
            <v>$</v>
          </cell>
          <cell r="AS50" t="e">
            <v>#N/A</v>
          </cell>
          <cell r="AW50">
            <v>0</v>
          </cell>
          <cell r="AY50" t="str">
            <v>NB</v>
          </cell>
        </row>
        <row r="51">
          <cell r="AM51">
            <v>6239.0799999999981</v>
          </cell>
          <cell r="AP51" t="str">
            <v>Véhicules neufs</v>
          </cell>
          <cell r="AQ51" t="str">
            <v>Salaires autres</v>
          </cell>
          <cell r="AR51" t="str">
            <v>$</v>
          </cell>
          <cell r="AS51">
            <v>0</v>
          </cell>
          <cell r="AW51">
            <v>0</v>
          </cell>
          <cell r="AY51" t="str">
            <v>NB</v>
          </cell>
        </row>
        <row r="52">
          <cell r="AM52">
            <v>0</v>
          </cell>
          <cell r="AP52" t="e">
            <v>#N/A</v>
          </cell>
          <cell r="AQ52" t="e">
            <v>#N/A</v>
          </cell>
          <cell r="AR52" t="str">
            <v>$</v>
          </cell>
          <cell r="AS52" t="e">
            <v>#N/A</v>
          </cell>
          <cell r="AW52">
            <v>0</v>
          </cell>
          <cell r="AY52" t="str">
            <v>NB</v>
          </cell>
        </row>
        <row r="53">
          <cell r="AM53">
            <v>2247.6399999999994</v>
          </cell>
          <cell r="AP53" t="str">
            <v>Véhicules usagés</v>
          </cell>
          <cell r="AQ53" t="str">
            <v>Salaires autres</v>
          </cell>
          <cell r="AR53" t="str">
            <v>$</v>
          </cell>
          <cell r="AS53">
            <v>0</v>
          </cell>
          <cell r="AW53">
            <v>0</v>
          </cell>
          <cell r="AY53" t="str">
            <v>NB</v>
          </cell>
        </row>
        <row r="54">
          <cell r="AM54">
            <v>0</v>
          </cell>
          <cell r="AP54" t="str">
            <v>Wholesale autres</v>
          </cell>
          <cell r="AQ54" t="str">
            <v>Salaires autres</v>
          </cell>
          <cell r="AR54" t="str">
            <v>$</v>
          </cell>
          <cell r="AS54">
            <v>0</v>
          </cell>
          <cell r="AW54">
            <v>0</v>
          </cell>
          <cell r="AY54" t="str">
            <v>NB</v>
          </cell>
        </row>
        <row r="55">
          <cell r="AM55">
            <v>14189.179999999993</v>
          </cell>
          <cell r="AP55" t="str">
            <v>Service</v>
          </cell>
          <cell r="AQ55" t="str">
            <v>Salaires autres</v>
          </cell>
          <cell r="AR55" t="str">
            <v>$</v>
          </cell>
          <cell r="AS55">
            <v>0</v>
          </cell>
          <cell r="AW55">
            <v>0</v>
          </cell>
          <cell r="AY55" t="str">
            <v>NB</v>
          </cell>
        </row>
        <row r="56">
          <cell r="AM56">
            <v>15574.6</v>
          </cell>
          <cell r="AP56" t="str">
            <v>Service</v>
          </cell>
          <cell r="AQ56" t="str">
            <v>Salaires spécialistes</v>
          </cell>
          <cell r="AR56" t="str">
            <v>$</v>
          </cell>
          <cell r="AS56">
            <v>0</v>
          </cell>
          <cell r="AW56">
            <v>0</v>
          </cell>
          <cell r="AY56" t="str">
            <v>NB</v>
          </cell>
        </row>
        <row r="57">
          <cell r="AM57">
            <v>1259.8000000000002</v>
          </cell>
          <cell r="AP57" t="str">
            <v>Carrosserie</v>
          </cell>
          <cell r="AQ57" t="str">
            <v>Salaires autres</v>
          </cell>
          <cell r="AR57" t="str">
            <v>$</v>
          </cell>
          <cell r="AS57">
            <v>0</v>
          </cell>
          <cell r="AW57">
            <v>0</v>
          </cell>
          <cell r="AY57" t="str">
            <v>NB</v>
          </cell>
        </row>
        <row r="58">
          <cell r="AM58">
            <v>13617.36</v>
          </cell>
          <cell r="AP58" t="str">
            <v>Pièces</v>
          </cell>
          <cell r="AQ58" t="str">
            <v>Salaires autres</v>
          </cell>
          <cell r="AR58" t="str">
            <v>$</v>
          </cell>
          <cell r="AS58">
            <v>0</v>
          </cell>
          <cell r="AW58">
            <v>0</v>
          </cell>
          <cell r="AY58" t="str">
            <v>NB</v>
          </cell>
        </row>
        <row r="59">
          <cell r="AM59">
            <v>1646.34</v>
          </cell>
          <cell r="AP59" t="str">
            <v>SAAQ</v>
          </cell>
          <cell r="AQ59" t="str">
            <v>Salaires autres</v>
          </cell>
          <cell r="AR59" t="str">
            <v>$</v>
          </cell>
          <cell r="AS59">
            <v>0</v>
          </cell>
          <cell r="AW59">
            <v>0</v>
          </cell>
          <cell r="AY59" t="str">
            <v>NB</v>
          </cell>
        </row>
        <row r="60">
          <cell r="AM60">
            <v>0</v>
          </cell>
          <cell r="AP60" t="e">
            <v>#N/A</v>
          </cell>
          <cell r="AQ60" t="e">
            <v>#N/A</v>
          </cell>
          <cell r="AR60" t="str">
            <v>$</v>
          </cell>
          <cell r="AS60" t="e">
            <v>#N/A</v>
          </cell>
          <cell r="AW60">
            <v>0</v>
          </cell>
          <cell r="AY60" t="str">
            <v>NB</v>
          </cell>
        </row>
        <row r="61">
          <cell r="AM61">
            <v>0</v>
          </cell>
          <cell r="AP61" t="e">
            <v>#N/A</v>
          </cell>
          <cell r="AQ61" t="e">
            <v>#N/A</v>
          </cell>
          <cell r="AR61" t="str">
            <v>$</v>
          </cell>
          <cell r="AS61" t="e">
            <v>#N/A</v>
          </cell>
          <cell r="AW61">
            <v>0</v>
          </cell>
          <cell r="AY61" t="str">
            <v>NB</v>
          </cell>
        </row>
        <row r="62">
          <cell r="AM62">
            <v>6409.739999999998</v>
          </cell>
          <cell r="AP62" t="str">
            <v>Véhicules neufs</v>
          </cell>
          <cell r="AQ62" t="str">
            <v>Salaires en absences</v>
          </cell>
          <cell r="AR62" t="str">
            <v>$</v>
          </cell>
          <cell r="AS62">
            <v>0</v>
          </cell>
          <cell r="AW62">
            <v>0</v>
          </cell>
          <cell r="AY62" t="str">
            <v>NB</v>
          </cell>
        </row>
        <row r="63">
          <cell r="AM63">
            <v>3522.3000000000029</v>
          </cell>
          <cell r="AP63" t="str">
            <v>Véhicules usagés</v>
          </cell>
          <cell r="AQ63" t="str">
            <v>Salaires en absences</v>
          </cell>
          <cell r="AR63" t="str">
            <v>$</v>
          </cell>
          <cell r="AS63">
            <v>0</v>
          </cell>
          <cell r="AW63">
            <v>0</v>
          </cell>
          <cell r="AY63" t="str">
            <v>NB</v>
          </cell>
        </row>
        <row r="64">
          <cell r="AM64">
            <v>1636.8399999999983</v>
          </cell>
          <cell r="AP64" t="str">
            <v>Wholesale autres</v>
          </cell>
          <cell r="AQ64" t="str">
            <v>Salaires en absences</v>
          </cell>
          <cell r="AR64" t="str">
            <v>$</v>
          </cell>
          <cell r="AS64">
            <v>0</v>
          </cell>
          <cell r="AW64">
            <v>0</v>
          </cell>
          <cell r="AY64" t="str">
            <v>NB</v>
          </cell>
        </row>
        <row r="65">
          <cell r="AM65">
            <v>15868.100000000006</v>
          </cell>
          <cell r="AP65" t="str">
            <v>Service</v>
          </cell>
          <cell r="AQ65" t="str">
            <v>Salaires en absences</v>
          </cell>
          <cell r="AR65" t="str">
            <v>$</v>
          </cell>
          <cell r="AS65">
            <v>0</v>
          </cell>
          <cell r="AW65">
            <v>0</v>
          </cell>
          <cell r="AY65" t="str">
            <v>NB</v>
          </cell>
        </row>
        <row r="66">
          <cell r="AM66">
            <v>5230.25</v>
          </cell>
          <cell r="AP66" t="str">
            <v>Carrosserie</v>
          </cell>
          <cell r="AQ66" t="str">
            <v>Salaires en absences</v>
          </cell>
          <cell r="AR66" t="str">
            <v>$</v>
          </cell>
          <cell r="AS66">
            <v>0</v>
          </cell>
          <cell r="AW66">
            <v>0</v>
          </cell>
          <cell r="AY66" t="str">
            <v>NB</v>
          </cell>
        </row>
        <row r="67">
          <cell r="AM67">
            <v>2899.6400000000012</v>
          </cell>
          <cell r="AP67" t="str">
            <v>Pièces</v>
          </cell>
          <cell r="AQ67" t="str">
            <v>Salaires en absences</v>
          </cell>
          <cell r="AR67" t="str">
            <v>$</v>
          </cell>
          <cell r="AS67">
            <v>0</v>
          </cell>
          <cell r="AW67">
            <v>0</v>
          </cell>
          <cell r="AY67" t="str">
            <v>NB</v>
          </cell>
        </row>
        <row r="68">
          <cell r="AM68">
            <v>5220.0199999999995</v>
          </cell>
          <cell r="AP68" t="str">
            <v>SAAQ</v>
          </cell>
          <cell r="AQ68" t="str">
            <v>Salaires en absences</v>
          </cell>
          <cell r="AR68" t="str">
            <v>$</v>
          </cell>
          <cell r="AS68">
            <v>0</v>
          </cell>
          <cell r="AW68">
            <v>0</v>
          </cell>
          <cell r="AY68" t="str">
            <v>NB</v>
          </cell>
        </row>
        <row r="69">
          <cell r="AM69">
            <v>0</v>
          </cell>
          <cell r="AP69" t="e">
            <v>#N/A</v>
          </cell>
          <cell r="AQ69" t="e">
            <v>#N/A</v>
          </cell>
          <cell r="AR69" t="str">
            <v>$</v>
          </cell>
          <cell r="AS69" t="e">
            <v>#N/A</v>
          </cell>
          <cell r="AW69">
            <v>0</v>
          </cell>
          <cell r="AY69" t="str">
            <v>NB</v>
          </cell>
        </row>
        <row r="70">
          <cell r="AM70">
            <v>0</v>
          </cell>
          <cell r="AP70" t="e">
            <v>#N/A</v>
          </cell>
          <cell r="AQ70" t="e">
            <v>#N/A</v>
          </cell>
          <cell r="AR70" t="str">
            <v>$</v>
          </cell>
          <cell r="AS70" t="e">
            <v>#N/A</v>
          </cell>
          <cell r="AW70">
            <v>0</v>
          </cell>
          <cell r="AY70" t="str">
            <v>NB</v>
          </cell>
        </row>
        <row r="71">
          <cell r="AM71">
            <v>10332.880000000005</v>
          </cell>
          <cell r="AP71" t="str">
            <v>Véhicules neufs</v>
          </cell>
          <cell r="AQ71" t="str">
            <v>Déduction à la source</v>
          </cell>
          <cell r="AR71" t="str">
            <v>$</v>
          </cell>
          <cell r="AS71">
            <v>0</v>
          </cell>
          <cell r="AW71">
            <v>0</v>
          </cell>
          <cell r="AY71" t="str">
            <v>NB</v>
          </cell>
        </row>
        <row r="72">
          <cell r="AM72">
            <v>0</v>
          </cell>
          <cell r="AP72" t="e">
            <v>#N/A</v>
          </cell>
          <cell r="AQ72" t="e">
            <v>#N/A</v>
          </cell>
          <cell r="AR72" t="str">
            <v>$</v>
          </cell>
          <cell r="AS72" t="e">
            <v>#N/A</v>
          </cell>
          <cell r="AW72">
            <v>0</v>
          </cell>
          <cell r="AY72" t="str">
            <v>NB</v>
          </cell>
        </row>
        <row r="73">
          <cell r="AM73">
            <v>5319.75</v>
          </cell>
          <cell r="AP73" t="str">
            <v>Véhicules usagés</v>
          </cell>
          <cell r="AQ73" t="str">
            <v>Déduction à la source</v>
          </cell>
          <cell r="AR73" t="str">
            <v>$</v>
          </cell>
          <cell r="AS73">
            <v>0</v>
          </cell>
          <cell r="AW73">
            <v>0</v>
          </cell>
          <cell r="AY73" t="str">
            <v>NB</v>
          </cell>
        </row>
        <row r="74">
          <cell r="AM74">
            <v>5941.7900000000009</v>
          </cell>
          <cell r="AP74" t="str">
            <v>Wholesale autres</v>
          </cell>
          <cell r="AQ74" t="str">
            <v>Déduction à la source</v>
          </cell>
          <cell r="AR74" t="str">
            <v>$</v>
          </cell>
          <cell r="AS74">
            <v>0</v>
          </cell>
          <cell r="AW74">
            <v>0</v>
          </cell>
          <cell r="AY74" t="str">
            <v>NB</v>
          </cell>
        </row>
        <row r="75">
          <cell r="AM75">
            <v>13324.739999999991</v>
          </cell>
          <cell r="AP75" t="str">
            <v>Service</v>
          </cell>
          <cell r="AQ75" t="str">
            <v>Déduction à la source</v>
          </cell>
          <cell r="AR75" t="str">
            <v>$</v>
          </cell>
          <cell r="AS75">
            <v>0</v>
          </cell>
          <cell r="AW75">
            <v>0</v>
          </cell>
          <cell r="AY75" t="str">
            <v>NB</v>
          </cell>
        </row>
        <row r="76">
          <cell r="AM76">
            <v>6536.739999999998</v>
          </cell>
          <cell r="AP76" t="str">
            <v>Carrosserie</v>
          </cell>
          <cell r="AQ76" t="str">
            <v>Déduction à la source</v>
          </cell>
          <cell r="AR76" t="str">
            <v>$</v>
          </cell>
          <cell r="AS76">
            <v>0</v>
          </cell>
          <cell r="AW76">
            <v>0</v>
          </cell>
          <cell r="AY76" t="str">
            <v>NB</v>
          </cell>
        </row>
        <row r="77">
          <cell r="AM77">
            <v>3642.5799999999981</v>
          </cell>
          <cell r="AP77" t="str">
            <v>Pièces</v>
          </cell>
          <cell r="AQ77" t="str">
            <v>Déduction à la source</v>
          </cell>
          <cell r="AR77" t="str">
            <v>$</v>
          </cell>
          <cell r="AS77">
            <v>0</v>
          </cell>
          <cell r="AW77">
            <v>0</v>
          </cell>
          <cell r="AY77" t="str">
            <v>NB</v>
          </cell>
        </row>
        <row r="78">
          <cell r="AM78">
            <v>5081.0700000000006</v>
          </cell>
          <cell r="AP78" t="str">
            <v>SAAQ</v>
          </cell>
          <cell r="AQ78" t="str">
            <v>Déduction à la source</v>
          </cell>
          <cell r="AR78" t="str">
            <v>$</v>
          </cell>
          <cell r="AS78">
            <v>0</v>
          </cell>
          <cell r="AW78">
            <v>0</v>
          </cell>
          <cell r="AY78" t="str">
            <v>NB</v>
          </cell>
        </row>
        <row r="79">
          <cell r="AM79">
            <v>0</v>
          </cell>
          <cell r="AP79" t="e">
            <v>#N/A</v>
          </cell>
          <cell r="AQ79" t="e">
            <v>#N/A</v>
          </cell>
          <cell r="AR79" t="str">
            <v>$</v>
          </cell>
          <cell r="AS79" t="e">
            <v>#N/A</v>
          </cell>
          <cell r="AW79">
            <v>0</v>
          </cell>
          <cell r="AY79" t="str">
            <v>NB</v>
          </cell>
        </row>
        <row r="80">
          <cell r="AM80">
            <v>0</v>
          </cell>
          <cell r="AP80" t="e">
            <v>#N/A</v>
          </cell>
          <cell r="AQ80" t="e">
            <v>#N/A</v>
          </cell>
          <cell r="AR80" t="str">
            <v>$</v>
          </cell>
          <cell r="AS80" t="e">
            <v>#N/A</v>
          </cell>
          <cell r="AW80">
            <v>0</v>
          </cell>
          <cell r="AY80" t="str">
            <v>NB</v>
          </cell>
        </row>
        <row r="81">
          <cell r="AM81">
            <v>1310.9099999999999</v>
          </cell>
          <cell r="AP81" t="str">
            <v>Véhicules neufs</v>
          </cell>
          <cell r="AQ81" t="str">
            <v>Bénéfices marginaux</v>
          </cell>
          <cell r="AR81" t="str">
            <v>$</v>
          </cell>
          <cell r="AS81">
            <v>0</v>
          </cell>
          <cell r="AW81">
            <v>0</v>
          </cell>
          <cell r="AY81" t="str">
            <v>NB</v>
          </cell>
        </row>
        <row r="82">
          <cell r="AM82">
            <v>0</v>
          </cell>
          <cell r="AP82" t="e">
            <v>#N/A</v>
          </cell>
          <cell r="AQ82" t="e">
            <v>#N/A</v>
          </cell>
          <cell r="AR82" t="str">
            <v>$</v>
          </cell>
          <cell r="AS82" t="e">
            <v>#N/A</v>
          </cell>
          <cell r="AW82">
            <v>0</v>
          </cell>
          <cell r="AY82" t="str">
            <v>NB</v>
          </cell>
        </row>
        <row r="83">
          <cell r="AM83">
            <v>656.61000000000058</v>
          </cell>
          <cell r="AP83" t="str">
            <v>Véhicules usagés</v>
          </cell>
          <cell r="AQ83" t="str">
            <v>Bénéfices marginaux</v>
          </cell>
          <cell r="AR83" t="str">
            <v>$</v>
          </cell>
          <cell r="AS83">
            <v>0</v>
          </cell>
          <cell r="AW83">
            <v>0</v>
          </cell>
          <cell r="AY83" t="str">
            <v>NB</v>
          </cell>
        </row>
        <row r="84">
          <cell r="AM84">
            <v>526.39000000000033</v>
          </cell>
          <cell r="AP84" t="str">
            <v>Wholesale autres</v>
          </cell>
          <cell r="AQ84" t="str">
            <v>Bénéfices marginaux</v>
          </cell>
          <cell r="AR84" t="str">
            <v>$</v>
          </cell>
          <cell r="AS84">
            <v>0</v>
          </cell>
          <cell r="AW84">
            <v>0</v>
          </cell>
          <cell r="AY84" t="str">
            <v>NB</v>
          </cell>
        </row>
        <row r="85">
          <cell r="AM85">
            <v>5623.0500000000029</v>
          </cell>
          <cell r="AP85" t="str">
            <v>Service</v>
          </cell>
          <cell r="AQ85" t="str">
            <v>Bénéfices marginaux</v>
          </cell>
          <cell r="AR85" t="str">
            <v>$</v>
          </cell>
          <cell r="AS85">
            <v>0</v>
          </cell>
          <cell r="AW85">
            <v>0</v>
          </cell>
          <cell r="AY85" t="str">
            <v>NB</v>
          </cell>
        </row>
        <row r="86">
          <cell r="AM86">
            <v>1278.3199999999997</v>
          </cell>
          <cell r="AP86" t="str">
            <v>Carrosserie</v>
          </cell>
          <cell r="AQ86" t="str">
            <v>Bénéfices marginaux</v>
          </cell>
          <cell r="AR86" t="str">
            <v>$</v>
          </cell>
          <cell r="AS86">
            <v>0</v>
          </cell>
          <cell r="AW86">
            <v>0</v>
          </cell>
          <cell r="AY86" t="str">
            <v>NB</v>
          </cell>
        </row>
        <row r="87">
          <cell r="AM87">
            <v>435.78000000000065</v>
          </cell>
          <cell r="AP87" t="str">
            <v>Pièces</v>
          </cell>
          <cell r="AQ87" t="str">
            <v>Bénéfices marginaux</v>
          </cell>
          <cell r="AR87" t="str">
            <v>$</v>
          </cell>
          <cell r="AS87">
            <v>0</v>
          </cell>
          <cell r="AW87">
            <v>0</v>
          </cell>
          <cell r="AY87" t="str">
            <v>NB</v>
          </cell>
        </row>
        <row r="88">
          <cell r="AM88">
            <v>1069.58</v>
          </cell>
          <cell r="AP88" t="str">
            <v>SAAQ</v>
          </cell>
          <cell r="AQ88" t="str">
            <v>Bénéfices marginaux</v>
          </cell>
          <cell r="AR88" t="str">
            <v>$</v>
          </cell>
          <cell r="AS88">
            <v>0</v>
          </cell>
          <cell r="AW88">
            <v>0</v>
          </cell>
          <cell r="AY88" t="str">
            <v>NB</v>
          </cell>
        </row>
        <row r="89">
          <cell r="AM89">
            <v>0</v>
          </cell>
          <cell r="AP89" t="e">
            <v>#N/A</v>
          </cell>
          <cell r="AQ89" t="e">
            <v>#N/A</v>
          </cell>
          <cell r="AR89" t="str">
            <v>$</v>
          </cell>
          <cell r="AS89" t="e">
            <v>#N/A</v>
          </cell>
          <cell r="AW89">
            <v>0</v>
          </cell>
          <cell r="AY89" t="str">
            <v>NB</v>
          </cell>
        </row>
        <row r="90">
          <cell r="AM90">
            <v>0</v>
          </cell>
          <cell r="AP90" t="e">
            <v>#N/A</v>
          </cell>
          <cell r="AQ90" t="e">
            <v>#N/A</v>
          </cell>
          <cell r="AR90" t="str">
            <v>$</v>
          </cell>
          <cell r="AS90" t="e">
            <v>#N/A</v>
          </cell>
          <cell r="AW90">
            <v>0</v>
          </cell>
          <cell r="AY90" t="str">
            <v>NB</v>
          </cell>
        </row>
        <row r="91">
          <cell r="AM91">
            <v>0</v>
          </cell>
          <cell r="AP91" t="e">
            <v>#N/A</v>
          </cell>
          <cell r="AQ91" t="e">
            <v>#N/A</v>
          </cell>
          <cell r="AR91" t="str">
            <v>$</v>
          </cell>
          <cell r="AS91" t="e">
            <v>#N/A</v>
          </cell>
          <cell r="AW91">
            <v>0</v>
          </cell>
          <cell r="AY91" t="str">
            <v>NB</v>
          </cell>
        </row>
        <row r="92">
          <cell r="AM92">
            <v>2914.4500000000007</v>
          </cell>
          <cell r="AP92" t="str">
            <v>Véhicules neufs</v>
          </cell>
          <cell r="AQ92" t="str">
            <v>Csst</v>
          </cell>
          <cell r="AR92" t="str">
            <v>$</v>
          </cell>
          <cell r="AS92">
            <v>0</v>
          </cell>
          <cell r="AW92">
            <v>0</v>
          </cell>
          <cell r="AY92" t="str">
            <v>NB</v>
          </cell>
        </row>
        <row r="93">
          <cell r="AM93">
            <v>0</v>
          </cell>
          <cell r="AP93" t="e">
            <v>#N/A</v>
          </cell>
          <cell r="AQ93" t="e">
            <v>#N/A</v>
          </cell>
          <cell r="AR93" t="str">
            <v>$</v>
          </cell>
          <cell r="AS93" t="e">
            <v>#N/A</v>
          </cell>
          <cell r="AW93">
            <v>0</v>
          </cell>
          <cell r="AY93" t="str">
            <v>NB</v>
          </cell>
        </row>
        <row r="94">
          <cell r="AM94">
            <v>1711.9899999999998</v>
          </cell>
          <cell r="AP94" t="str">
            <v>Véhicules usagés</v>
          </cell>
          <cell r="AQ94" t="str">
            <v>Csst</v>
          </cell>
          <cell r="AR94" t="str">
            <v>$</v>
          </cell>
          <cell r="AS94">
            <v>0</v>
          </cell>
          <cell r="AW94">
            <v>0</v>
          </cell>
          <cell r="AY94" t="str">
            <v>NB</v>
          </cell>
        </row>
        <row r="95">
          <cell r="AM95">
            <v>274.69</v>
          </cell>
          <cell r="AP95" t="str">
            <v>Wholesale autres</v>
          </cell>
          <cell r="AQ95" t="str">
            <v>Csst</v>
          </cell>
          <cell r="AR95" t="str">
            <v>$</v>
          </cell>
          <cell r="AS95">
            <v>0</v>
          </cell>
          <cell r="AW95">
            <v>0</v>
          </cell>
          <cell r="AY95" t="str">
            <v>NB</v>
          </cell>
        </row>
        <row r="96">
          <cell r="AM96">
            <v>3712.4700000000012</v>
          </cell>
          <cell r="AP96" t="str">
            <v>Service</v>
          </cell>
          <cell r="AQ96" t="str">
            <v>Csst</v>
          </cell>
          <cell r="AR96" t="str">
            <v>$</v>
          </cell>
          <cell r="AS96">
            <v>0</v>
          </cell>
          <cell r="AW96">
            <v>0</v>
          </cell>
          <cell r="AY96" t="str">
            <v>NB</v>
          </cell>
        </row>
        <row r="97">
          <cell r="AM97">
            <v>1367.4899999999998</v>
          </cell>
          <cell r="AP97" t="str">
            <v>Carrosserie</v>
          </cell>
          <cell r="AQ97" t="str">
            <v>Csst</v>
          </cell>
          <cell r="AR97" t="str">
            <v>$</v>
          </cell>
          <cell r="AS97">
            <v>0</v>
          </cell>
          <cell r="AW97">
            <v>0</v>
          </cell>
          <cell r="AY97" t="str">
            <v>NB</v>
          </cell>
        </row>
        <row r="98">
          <cell r="AM98">
            <v>985.23999999999978</v>
          </cell>
          <cell r="AP98" t="str">
            <v>Pièces</v>
          </cell>
          <cell r="AQ98" t="str">
            <v>Csst</v>
          </cell>
          <cell r="AR98" t="str">
            <v>$</v>
          </cell>
          <cell r="AS98">
            <v>0</v>
          </cell>
          <cell r="AW98">
            <v>0</v>
          </cell>
          <cell r="AY98" t="str">
            <v>NB</v>
          </cell>
        </row>
        <row r="99">
          <cell r="AM99">
            <v>669.43000000000006</v>
          </cell>
          <cell r="AP99" t="str">
            <v>SAAQ</v>
          </cell>
          <cell r="AQ99" t="str">
            <v>Csst</v>
          </cell>
          <cell r="AR99" t="str">
            <v>$</v>
          </cell>
          <cell r="AS99">
            <v>0</v>
          </cell>
          <cell r="AW99">
            <v>0</v>
          </cell>
          <cell r="AY99" t="str">
            <v>NB</v>
          </cell>
        </row>
        <row r="100">
          <cell r="AM100">
            <v>0</v>
          </cell>
          <cell r="AP100" t="e">
            <v>#N/A</v>
          </cell>
          <cell r="AQ100" t="e">
            <v>#N/A</v>
          </cell>
          <cell r="AR100" t="str">
            <v>$</v>
          </cell>
          <cell r="AS100" t="e">
            <v>#N/A</v>
          </cell>
          <cell r="AW100">
            <v>0</v>
          </cell>
          <cell r="AY100" t="str">
            <v>NB</v>
          </cell>
        </row>
        <row r="101">
          <cell r="AM101">
            <v>0</v>
          </cell>
          <cell r="AP101" t="e">
            <v>#N/A</v>
          </cell>
          <cell r="AQ101" t="e">
            <v>#N/A</v>
          </cell>
          <cell r="AR101" t="str">
            <v>$</v>
          </cell>
          <cell r="AS101" t="e">
            <v>#N/A</v>
          </cell>
          <cell r="AW101">
            <v>0</v>
          </cell>
          <cell r="AY101" t="str">
            <v>NB</v>
          </cell>
        </row>
        <row r="102">
          <cell r="AM102">
            <v>1095.8700000000008</v>
          </cell>
          <cell r="AP102" t="str">
            <v>Véhicules neufs</v>
          </cell>
          <cell r="AQ102" t="str">
            <v>Frais postaux</v>
          </cell>
          <cell r="AR102" t="str">
            <v>$</v>
          </cell>
          <cell r="AS102">
            <v>0</v>
          </cell>
          <cell r="AW102">
            <v>0</v>
          </cell>
          <cell r="AY102" t="str">
            <v>NB</v>
          </cell>
        </row>
        <row r="103">
          <cell r="AM103">
            <v>995.72000000000116</v>
          </cell>
          <cell r="AP103" t="str">
            <v>Véhicules usagés</v>
          </cell>
          <cell r="AQ103" t="str">
            <v>Frais postaux</v>
          </cell>
          <cell r="AR103" t="str">
            <v>$</v>
          </cell>
          <cell r="AS103">
            <v>0</v>
          </cell>
          <cell r="AW103">
            <v>0</v>
          </cell>
          <cell r="AY103" t="str">
            <v>NB</v>
          </cell>
        </row>
        <row r="104">
          <cell r="AM104">
            <v>397.59000000000015</v>
          </cell>
          <cell r="AP104" t="str">
            <v>Wholesale autres</v>
          </cell>
          <cell r="AQ104" t="str">
            <v>Frais postaux</v>
          </cell>
          <cell r="AR104" t="str">
            <v>$</v>
          </cell>
          <cell r="AS104">
            <v>0</v>
          </cell>
          <cell r="AW104">
            <v>0</v>
          </cell>
          <cell r="AY104" t="str">
            <v>NB</v>
          </cell>
        </row>
        <row r="105">
          <cell r="AM105">
            <v>897.17000000000007</v>
          </cell>
          <cell r="AP105" t="str">
            <v>Service</v>
          </cell>
          <cell r="AQ105" t="str">
            <v>Frais postaux</v>
          </cell>
          <cell r="AR105" t="str">
            <v>$</v>
          </cell>
          <cell r="AS105">
            <v>0</v>
          </cell>
          <cell r="AW105">
            <v>0</v>
          </cell>
          <cell r="AY105" t="str">
            <v>NB</v>
          </cell>
        </row>
        <row r="106">
          <cell r="AM106">
            <v>294</v>
          </cell>
          <cell r="AP106" t="str">
            <v>Carrosserie</v>
          </cell>
          <cell r="AQ106" t="str">
            <v>Frais postaux</v>
          </cell>
          <cell r="AR106" t="str">
            <v>$</v>
          </cell>
          <cell r="AS106">
            <v>0</v>
          </cell>
          <cell r="AW106">
            <v>0</v>
          </cell>
          <cell r="AY106" t="str">
            <v>NB</v>
          </cell>
        </row>
        <row r="107">
          <cell r="AM107">
            <v>1239.3599999999997</v>
          </cell>
          <cell r="AP107" t="str">
            <v>Pièces</v>
          </cell>
          <cell r="AQ107" t="str">
            <v>Frais postaux</v>
          </cell>
          <cell r="AR107" t="str">
            <v>$</v>
          </cell>
          <cell r="AS107">
            <v>0</v>
          </cell>
          <cell r="AW107">
            <v>0</v>
          </cell>
          <cell r="AY107" t="str">
            <v>NB</v>
          </cell>
        </row>
        <row r="108">
          <cell r="AM108">
            <v>0</v>
          </cell>
          <cell r="AP108" t="e">
            <v>#N/A</v>
          </cell>
          <cell r="AQ108" t="e">
            <v>#N/A</v>
          </cell>
          <cell r="AR108" t="str">
            <v>$</v>
          </cell>
          <cell r="AS108" t="e">
            <v>#N/A</v>
          </cell>
          <cell r="AW108">
            <v>0</v>
          </cell>
          <cell r="AY108" t="str">
            <v>NB</v>
          </cell>
        </row>
        <row r="109">
          <cell r="AM109">
            <v>4689.3799999999901</v>
          </cell>
          <cell r="AP109" t="str">
            <v>Véhicules neufs</v>
          </cell>
          <cell r="AQ109" t="str">
            <v>Frais véhicules de cie</v>
          </cell>
          <cell r="AR109" t="str">
            <v>$</v>
          </cell>
          <cell r="AS109">
            <v>0</v>
          </cell>
          <cell r="AW109">
            <v>0</v>
          </cell>
          <cell r="AY109" t="str">
            <v>NB</v>
          </cell>
        </row>
        <row r="110">
          <cell r="AM110">
            <v>3111.5799999999981</v>
          </cell>
          <cell r="AP110" t="str">
            <v>Véhicules usagés</v>
          </cell>
          <cell r="AQ110" t="str">
            <v>Frais véhicules de cie</v>
          </cell>
          <cell r="AR110" t="str">
            <v>$</v>
          </cell>
          <cell r="AS110">
            <v>0</v>
          </cell>
          <cell r="AW110">
            <v>0</v>
          </cell>
          <cell r="AY110" t="str">
            <v>NB</v>
          </cell>
        </row>
        <row r="111">
          <cell r="AM111">
            <v>1000</v>
          </cell>
          <cell r="AP111" t="str">
            <v>Wholesale autres</v>
          </cell>
          <cell r="AQ111" t="str">
            <v>Frais véhicules de cie</v>
          </cell>
          <cell r="AR111" t="str">
            <v>$</v>
          </cell>
          <cell r="AS111">
            <v>0</v>
          </cell>
          <cell r="AW111">
            <v>0</v>
          </cell>
          <cell r="AY111" t="str">
            <v>NB</v>
          </cell>
        </row>
        <row r="112">
          <cell r="AM112">
            <v>13172.310000000005</v>
          </cell>
          <cell r="AP112" t="str">
            <v>Service</v>
          </cell>
          <cell r="AQ112" t="str">
            <v>Frais véhicules de cie</v>
          </cell>
          <cell r="AR112" t="str">
            <v>$</v>
          </cell>
          <cell r="AS112">
            <v>0</v>
          </cell>
          <cell r="AW112">
            <v>0</v>
          </cell>
          <cell r="AY112" t="str">
            <v>NB</v>
          </cell>
        </row>
        <row r="113">
          <cell r="AM113">
            <v>-85.25</v>
          </cell>
          <cell r="AP113" t="str">
            <v>Carrosserie</v>
          </cell>
          <cell r="AQ113" t="str">
            <v>Frais véhicules de cie</v>
          </cell>
          <cell r="AR113" t="str">
            <v>$</v>
          </cell>
          <cell r="AS113">
            <v>0</v>
          </cell>
          <cell r="AW113">
            <v>0</v>
          </cell>
          <cell r="AY113" t="str">
            <v>NB</v>
          </cell>
        </row>
        <row r="114">
          <cell r="AM114">
            <v>1882.2999999999993</v>
          </cell>
          <cell r="AP114" t="str">
            <v>Pièces</v>
          </cell>
          <cell r="AQ114" t="str">
            <v>Frais véhicules de cie</v>
          </cell>
          <cell r="AR114" t="str">
            <v>$</v>
          </cell>
          <cell r="AS114">
            <v>0</v>
          </cell>
          <cell r="AW114">
            <v>0</v>
          </cell>
          <cell r="AY114" t="str">
            <v>NB</v>
          </cell>
        </row>
        <row r="115">
          <cell r="AM115">
            <v>0</v>
          </cell>
          <cell r="AP115" t="e">
            <v>#N/A</v>
          </cell>
          <cell r="AQ115" t="e">
            <v>#N/A</v>
          </cell>
          <cell r="AR115" t="str">
            <v>$</v>
          </cell>
          <cell r="AS115" t="e">
            <v>#N/A</v>
          </cell>
          <cell r="AW115">
            <v>0</v>
          </cell>
          <cell r="AY115" t="str">
            <v>NB</v>
          </cell>
        </row>
        <row r="116">
          <cell r="AM116">
            <v>0</v>
          </cell>
          <cell r="AP116">
            <v>0</v>
          </cell>
          <cell r="AQ116">
            <v>0</v>
          </cell>
          <cell r="AR116" t="str">
            <v>$</v>
          </cell>
          <cell r="AS116">
            <v>0</v>
          </cell>
          <cell r="AW116">
            <v>0</v>
          </cell>
          <cell r="AY116" t="str">
            <v>NB</v>
          </cell>
        </row>
        <row r="117">
          <cell r="AM117">
            <v>0</v>
          </cell>
          <cell r="AP117">
            <v>0</v>
          </cell>
          <cell r="AQ117">
            <v>0</v>
          </cell>
          <cell r="AR117" t="str">
            <v>$</v>
          </cell>
          <cell r="AS117">
            <v>0</v>
          </cell>
          <cell r="AW117">
            <v>0</v>
          </cell>
          <cell r="AY117" t="str">
            <v>NB</v>
          </cell>
        </row>
        <row r="118">
          <cell r="AM118">
            <v>0</v>
          </cell>
          <cell r="AP118">
            <v>0</v>
          </cell>
          <cell r="AQ118">
            <v>0</v>
          </cell>
          <cell r="AR118" t="str">
            <v>$</v>
          </cell>
          <cell r="AS118">
            <v>0</v>
          </cell>
          <cell r="AW118">
            <v>0</v>
          </cell>
          <cell r="AY118" t="str">
            <v>NB</v>
          </cell>
        </row>
        <row r="119">
          <cell r="AM119">
            <v>0</v>
          </cell>
          <cell r="AP119" t="str">
            <v>Véhicules neufs</v>
          </cell>
          <cell r="AQ119" t="str">
            <v>Divers</v>
          </cell>
          <cell r="AR119" t="str">
            <v>$</v>
          </cell>
          <cell r="AS119">
            <v>0</v>
          </cell>
          <cell r="AW119">
            <v>0</v>
          </cell>
          <cell r="AY119" t="str">
            <v>NB</v>
          </cell>
        </row>
        <row r="120">
          <cell r="AM120">
            <v>0</v>
          </cell>
          <cell r="AP120" t="str">
            <v>Véhicules usagés</v>
          </cell>
          <cell r="AQ120" t="str">
            <v>Divers</v>
          </cell>
          <cell r="AR120" t="str">
            <v>$</v>
          </cell>
          <cell r="AS120">
            <v>0</v>
          </cell>
          <cell r="AW120">
            <v>0</v>
          </cell>
          <cell r="AY120" t="str">
            <v>NB</v>
          </cell>
        </row>
        <row r="121">
          <cell r="AM121">
            <v>0</v>
          </cell>
          <cell r="AP121" t="str">
            <v>Service</v>
          </cell>
          <cell r="AQ121" t="str">
            <v>Divers</v>
          </cell>
          <cell r="AR121" t="str">
            <v>$</v>
          </cell>
          <cell r="AS121">
            <v>0</v>
          </cell>
          <cell r="AW121">
            <v>0</v>
          </cell>
          <cell r="AY121" t="str">
            <v>NB</v>
          </cell>
        </row>
        <row r="122">
          <cell r="AM122">
            <v>0</v>
          </cell>
          <cell r="AP122" t="str">
            <v>Pièces</v>
          </cell>
          <cell r="AQ122" t="str">
            <v>Divers</v>
          </cell>
          <cell r="AR122" t="str">
            <v>$</v>
          </cell>
          <cell r="AS122">
            <v>0</v>
          </cell>
          <cell r="AW122">
            <v>0</v>
          </cell>
          <cell r="AY122" t="str">
            <v>NB</v>
          </cell>
        </row>
        <row r="123">
          <cell r="AM123">
            <v>0</v>
          </cell>
          <cell r="AP123" t="e">
            <v>#N/A</v>
          </cell>
          <cell r="AQ123" t="e">
            <v>#N/A</v>
          </cell>
          <cell r="AR123" t="str">
            <v>$</v>
          </cell>
          <cell r="AS123" t="e">
            <v>#N/A</v>
          </cell>
          <cell r="AW123">
            <v>0</v>
          </cell>
          <cell r="AY123" t="str">
            <v>NB</v>
          </cell>
        </row>
        <row r="124">
          <cell r="AM124">
            <v>1435.5499999999993</v>
          </cell>
          <cell r="AP124" t="str">
            <v>Véhicules neufs</v>
          </cell>
          <cell r="AQ124" t="str">
            <v>Frais bancaires</v>
          </cell>
          <cell r="AR124" t="str">
            <v>$</v>
          </cell>
          <cell r="AS124">
            <v>0</v>
          </cell>
          <cell r="AW124">
            <v>0</v>
          </cell>
          <cell r="AY124" t="str">
            <v>NB</v>
          </cell>
        </row>
        <row r="125">
          <cell r="AM125">
            <v>1132.0200000000004</v>
          </cell>
          <cell r="AP125" t="str">
            <v>Véhicules usagés</v>
          </cell>
          <cell r="AQ125" t="str">
            <v>Frais bancaires</v>
          </cell>
          <cell r="AR125" t="str">
            <v>$</v>
          </cell>
          <cell r="AS125">
            <v>0</v>
          </cell>
          <cell r="AW125">
            <v>0</v>
          </cell>
          <cell r="AY125" t="str">
            <v>NB</v>
          </cell>
        </row>
        <row r="126">
          <cell r="AM126">
            <v>17.5</v>
          </cell>
          <cell r="AP126" t="str">
            <v>Wholesale autres</v>
          </cell>
          <cell r="AQ126" t="str">
            <v>Frais bancaires</v>
          </cell>
          <cell r="AR126" t="str">
            <v>$</v>
          </cell>
          <cell r="AS126">
            <v>0</v>
          </cell>
          <cell r="AW126">
            <v>0</v>
          </cell>
          <cell r="AY126" t="str">
            <v>NB</v>
          </cell>
        </row>
        <row r="127">
          <cell r="AM127">
            <v>1450.5499999999993</v>
          </cell>
          <cell r="AP127" t="str">
            <v>Service</v>
          </cell>
          <cell r="AQ127" t="str">
            <v>Frais bancaires</v>
          </cell>
          <cell r="AR127" t="str">
            <v>$</v>
          </cell>
          <cell r="AS127">
            <v>0</v>
          </cell>
          <cell r="AW127">
            <v>0</v>
          </cell>
          <cell r="AY127" t="str">
            <v>NB</v>
          </cell>
        </row>
        <row r="128">
          <cell r="AM128">
            <v>478.5300000000002</v>
          </cell>
          <cell r="AP128" t="str">
            <v>Carrosserie</v>
          </cell>
          <cell r="AQ128" t="str">
            <v>Frais bancaires</v>
          </cell>
          <cell r="AR128" t="str">
            <v>$</v>
          </cell>
          <cell r="AS128">
            <v>0</v>
          </cell>
          <cell r="AW128">
            <v>0</v>
          </cell>
          <cell r="AY128" t="str">
            <v>NB</v>
          </cell>
        </row>
        <row r="129">
          <cell r="AM129">
            <v>478.49000000000024</v>
          </cell>
          <cell r="AP129" t="str">
            <v>Pièces</v>
          </cell>
          <cell r="AQ129" t="str">
            <v>Frais bancaires</v>
          </cell>
          <cell r="AR129" t="str">
            <v>$</v>
          </cell>
          <cell r="AS129">
            <v>0</v>
          </cell>
          <cell r="AW129">
            <v>0</v>
          </cell>
          <cell r="AY129" t="str">
            <v>NB</v>
          </cell>
        </row>
        <row r="130">
          <cell r="AM130">
            <v>0</v>
          </cell>
          <cell r="AP130" t="e">
            <v>#N/A</v>
          </cell>
          <cell r="AQ130" t="e">
            <v>#N/A</v>
          </cell>
          <cell r="AR130" t="str">
            <v>$</v>
          </cell>
          <cell r="AS130" t="e">
            <v>#N/A</v>
          </cell>
          <cell r="AW130">
            <v>0</v>
          </cell>
          <cell r="AY130" t="str">
            <v>NB</v>
          </cell>
        </row>
        <row r="131">
          <cell r="AM131">
            <v>0</v>
          </cell>
          <cell r="AP131" t="e">
            <v>#N/A</v>
          </cell>
          <cell r="AQ131" t="e">
            <v>#N/A</v>
          </cell>
          <cell r="AR131" t="str">
            <v>$</v>
          </cell>
          <cell r="AS131" t="e">
            <v>#N/A</v>
          </cell>
          <cell r="AW131">
            <v>0</v>
          </cell>
          <cell r="AY131" t="str">
            <v>NB</v>
          </cell>
        </row>
        <row r="132">
          <cell r="AM132">
            <v>0</v>
          </cell>
          <cell r="AP132" t="e">
            <v>#N/A</v>
          </cell>
          <cell r="AQ132" t="e">
            <v>#N/A</v>
          </cell>
          <cell r="AR132" t="str">
            <v>$</v>
          </cell>
          <cell r="AS132" t="e">
            <v>#N/A</v>
          </cell>
          <cell r="AW132">
            <v>0</v>
          </cell>
          <cell r="AY132" t="str">
            <v>NB</v>
          </cell>
        </row>
        <row r="133">
          <cell r="AM133">
            <v>0</v>
          </cell>
          <cell r="AP133" t="e">
            <v>#N/A</v>
          </cell>
          <cell r="AQ133" t="e">
            <v>#N/A</v>
          </cell>
          <cell r="AR133" t="str">
            <v>$</v>
          </cell>
          <cell r="AS133" t="e">
            <v>#N/A</v>
          </cell>
          <cell r="AW133">
            <v>0</v>
          </cell>
          <cell r="AY133" t="str">
            <v>NB</v>
          </cell>
        </row>
        <row r="134">
          <cell r="AM134">
            <v>0</v>
          </cell>
          <cell r="AP134" t="e">
            <v>#N/A</v>
          </cell>
          <cell r="AQ134" t="e">
            <v>#N/A</v>
          </cell>
          <cell r="AR134" t="str">
            <v>$</v>
          </cell>
          <cell r="AS134" t="e">
            <v>#N/A</v>
          </cell>
          <cell r="AW134">
            <v>0</v>
          </cell>
          <cell r="AY134" t="str">
            <v>NB</v>
          </cell>
        </row>
        <row r="135">
          <cell r="AM135">
            <v>0</v>
          </cell>
          <cell r="AP135" t="e">
            <v>#N/A</v>
          </cell>
          <cell r="AQ135" t="e">
            <v>#N/A</v>
          </cell>
          <cell r="AR135" t="str">
            <v>$</v>
          </cell>
          <cell r="AS135" t="e">
            <v>#N/A</v>
          </cell>
          <cell r="AW135">
            <v>0</v>
          </cell>
          <cell r="AY135" t="str">
            <v>NB</v>
          </cell>
        </row>
        <row r="136">
          <cell r="AM136">
            <v>0</v>
          </cell>
          <cell r="AP136" t="e">
            <v>#N/A</v>
          </cell>
          <cell r="AQ136" t="e">
            <v>#N/A</v>
          </cell>
          <cell r="AR136" t="str">
            <v>$</v>
          </cell>
          <cell r="AS136" t="e">
            <v>#N/A</v>
          </cell>
          <cell r="AW136">
            <v>0</v>
          </cell>
          <cell r="AY136" t="str">
            <v>NB</v>
          </cell>
        </row>
        <row r="137">
          <cell r="AM137">
            <v>0</v>
          </cell>
          <cell r="AP137" t="e">
            <v>#N/A</v>
          </cell>
          <cell r="AQ137" t="e">
            <v>#N/A</v>
          </cell>
          <cell r="AR137" t="str">
            <v>$</v>
          </cell>
          <cell r="AS137" t="e">
            <v>#N/A</v>
          </cell>
          <cell r="AW137">
            <v>0</v>
          </cell>
          <cell r="AY137" t="str">
            <v>NB</v>
          </cell>
        </row>
        <row r="138">
          <cell r="AM138">
            <v>0</v>
          </cell>
          <cell r="AP138" t="e">
            <v>#N/A</v>
          </cell>
          <cell r="AQ138" t="e">
            <v>#N/A</v>
          </cell>
          <cell r="AR138" t="str">
            <v>$</v>
          </cell>
          <cell r="AS138" t="e">
            <v>#N/A</v>
          </cell>
          <cell r="AW138">
            <v>0</v>
          </cell>
          <cell r="AY138" t="str">
            <v>NB</v>
          </cell>
        </row>
        <row r="139">
          <cell r="AM139">
            <v>1184.3899999999994</v>
          </cell>
          <cell r="AP139" t="str">
            <v>Véhicules neufs</v>
          </cell>
          <cell r="AQ139" t="str">
            <v>Papeterie</v>
          </cell>
          <cell r="AR139" t="str">
            <v>$</v>
          </cell>
          <cell r="AS139">
            <v>0</v>
          </cell>
          <cell r="AW139">
            <v>0</v>
          </cell>
          <cell r="AY139" t="str">
            <v>NB</v>
          </cell>
        </row>
        <row r="140">
          <cell r="AM140">
            <v>202.94999999999982</v>
          </cell>
          <cell r="AP140" t="str">
            <v>Véhicules usagés</v>
          </cell>
          <cell r="AQ140" t="str">
            <v>Papeterie</v>
          </cell>
          <cell r="AR140" t="str">
            <v>$</v>
          </cell>
          <cell r="AS140">
            <v>0</v>
          </cell>
          <cell r="AW140">
            <v>0</v>
          </cell>
          <cell r="AY140" t="str">
            <v>NB</v>
          </cell>
        </row>
        <row r="141">
          <cell r="AM141">
            <v>250</v>
          </cell>
          <cell r="AP141" t="str">
            <v>Wholesale autres</v>
          </cell>
          <cell r="AQ141" t="str">
            <v>Papeterie</v>
          </cell>
          <cell r="AR141" t="str">
            <v>$</v>
          </cell>
          <cell r="AS141">
            <v>0</v>
          </cell>
          <cell r="AW141">
            <v>0</v>
          </cell>
          <cell r="AY141" t="str">
            <v>NB</v>
          </cell>
        </row>
        <row r="142">
          <cell r="AM142">
            <v>383.20999999999913</v>
          </cell>
          <cell r="AP142" t="str">
            <v>Service</v>
          </cell>
          <cell r="AQ142" t="str">
            <v>Papeterie</v>
          </cell>
          <cell r="AR142" t="str">
            <v>$</v>
          </cell>
          <cell r="AS142">
            <v>0</v>
          </cell>
          <cell r="AW142">
            <v>0</v>
          </cell>
          <cell r="AY142" t="str">
            <v>NB</v>
          </cell>
        </row>
        <row r="143">
          <cell r="AM143">
            <v>101.4699999999998</v>
          </cell>
          <cell r="AP143" t="str">
            <v>Carrosserie</v>
          </cell>
          <cell r="AQ143" t="str">
            <v>Papeterie</v>
          </cell>
          <cell r="AR143" t="str">
            <v>$</v>
          </cell>
          <cell r="AS143">
            <v>0</v>
          </cell>
          <cell r="AW143">
            <v>0</v>
          </cell>
          <cell r="AY143" t="str">
            <v>NB</v>
          </cell>
        </row>
        <row r="144">
          <cell r="AM144">
            <v>101.46000000000004</v>
          </cell>
          <cell r="AP144" t="str">
            <v>Pièces</v>
          </cell>
          <cell r="AQ144" t="str">
            <v>Papeterie</v>
          </cell>
          <cell r="AR144" t="str">
            <v>$</v>
          </cell>
          <cell r="AS144">
            <v>0</v>
          </cell>
          <cell r="AW144">
            <v>0</v>
          </cell>
          <cell r="AY144" t="str">
            <v>NB</v>
          </cell>
        </row>
        <row r="145">
          <cell r="AM145">
            <v>0</v>
          </cell>
          <cell r="AP145" t="e">
            <v>#N/A</v>
          </cell>
          <cell r="AQ145" t="e">
            <v>#N/A</v>
          </cell>
          <cell r="AR145" t="str">
            <v>$</v>
          </cell>
          <cell r="AS145" t="e">
            <v>#N/A</v>
          </cell>
          <cell r="AW145">
            <v>0</v>
          </cell>
          <cell r="AY145" t="str">
            <v>NB</v>
          </cell>
        </row>
        <row r="146">
          <cell r="AM146">
            <v>408.45000000000027</v>
          </cell>
          <cell r="AP146" t="str">
            <v>Véhicules neufs</v>
          </cell>
          <cell r="AQ146" t="str">
            <v>Fournitures autres</v>
          </cell>
          <cell r="AR146" t="str">
            <v>$</v>
          </cell>
          <cell r="AS146">
            <v>0</v>
          </cell>
          <cell r="AW146">
            <v>0</v>
          </cell>
          <cell r="AY146" t="str">
            <v>NB</v>
          </cell>
        </row>
        <row r="147">
          <cell r="AM147">
            <v>149.59999999999991</v>
          </cell>
          <cell r="AP147" t="str">
            <v>Véhicules usagés</v>
          </cell>
          <cell r="AQ147" t="str">
            <v>Fournitures autres</v>
          </cell>
          <cell r="AR147" t="str">
            <v>$</v>
          </cell>
          <cell r="AS147">
            <v>0</v>
          </cell>
          <cell r="AW147">
            <v>0</v>
          </cell>
          <cell r="AY147" t="str">
            <v>NB</v>
          </cell>
        </row>
        <row r="148">
          <cell r="AM148">
            <v>0</v>
          </cell>
          <cell r="AP148" t="str">
            <v>Wholesale autres</v>
          </cell>
          <cell r="AQ148" t="str">
            <v>Fournitures autres</v>
          </cell>
          <cell r="AR148" t="str">
            <v>$</v>
          </cell>
          <cell r="AS148">
            <v>0</v>
          </cell>
          <cell r="AW148">
            <v>0</v>
          </cell>
          <cell r="AY148" t="str">
            <v>NB</v>
          </cell>
        </row>
        <row r="149">
          <cell r="AM149">
            <v>4864.8400000000038</v>
          </cell>
          <cell r="AP149" t="str">
            <v>Service</v>
          </cell>
          <cell r="AQ149" t="str">
            <v>Fournitures autres</v>
          </cell>
          <cell r="AR149" t="str">
            <v>$</v>
          </cell>
          <cell r="AS149">
            <v>0</v>
          </cell>
          <cell r="AW149">
            <v>0</v>
          </cell>
          <cell r="AY149" t="str">
            <v>NB</v>
          </cell>
        </row>
        <row r="150">
          <cell r="AM150">
            <v>6322.929999999993</v>
          </cell>
          <cell r="AP150" t="str">
            <v>Carrosserie</v>
          </cell>
          <cell r="AQ150" t="str">
            <v>Fournitures autres</v>
          </cell>
          <cell r="AR150" t="str">
            <v>$</v>
          </cell>
          <cell r="AS150">
            <v>0</v>
          </cell>
          <cell r="AW150">
            <v>0</v>
          </cell>
          <cell r="AY150" t="str">
            <v>NB</v>
          </cell>
        </row>
        <row r="151">
          <cell r="AM151">
            <v>89.660000000000082</v>
          </cell>
          <cell r="AP151" t="str">
            <v>Pièces</v>
          </cell>
          <cell r="AQ151" t="str">
            <v>Fournitures autres</v>
          </cell>
          <cell r="AR151" t="str">
            <v>$</v>
          </cell>
          <cell r="AS151">
            <v>0</v>
          </cell>
          <cell r="AW151">
            <v>0</v>
          </cell>
          <cell r="AY151" t="str">
            <v>NB</v>
          </cell>
        </row>
        <row r="152">
          <cell r="AM152">
            <v>0</v>
          </cell>
          <cell r="AP152" t="str">
            <v>Service</v>
          </cell>
          <cell r="AQ152" t="str">
            <v>Fournitures autres</v>
          </cell>
          <cell r="AR152" t="str">
            <v>$</v>
          </cell>
          <cell r="AS152">
            <v>0</v>
          </cell>
          <cell r="AW152">
            <v>0</v>
          </cell>
          <cell r="AY152" t="str">
            <v>NB</v>
          </cell>
        </row>
        <row r="153">
          <cell r="AM153">
            <v>0</v>
          </cell>
          <cell r="AP153" t="e">
            <v>#N/A</v>
          </cell>
          <cell r="AQ153" t="e">
            <v>#N/A</v>
          </cell>
          <cell r="AR153" t="str">
            <v>$</v>
          </cell>
          <cell r="AS153" t="e">
            <v>#N/A</v>
          </cell>
          <cell r="AW153">
            <v>0</v>
          </cell>
          <cell r="AY153" t="str">
            <v>NB</v>
          </cell>
        </row>
        <row r="154">
          <cell r="AM154">
            <v>698.52000000000044</v>
          </cell>
          <cell r="AP154" t="str">
            <v>Véhicules neufs</v>
          </cell>
          <cell r="AQ154" t="str">
            <v>Publicité 1</v>
          </cell>
          <cell r="AR154" t="str">
            <v>$</v>
          </cell>
          <cell r="AS154">
            <v>0</v>
          </cell>
          <cell r="AW154">
            <v>0</v>
          </cell>
          <cell r="AY154" t="str">
            <v>NB</v>
          </cell>
        </row>
        <row r="155">
          <cell r="AM155">
            <v>209.80000000000018</v>
          </cell>
          <cell r="AP155" t="str">
            <v>Véhicules usagés</v>
          </cell>
          <cell r="AQ155" t="str">
            <v>Publicité 1</v>
          </cell>
          <cell r="AR155" t="str">
            <v>$</v>
          </cell>
          <cell r="AS155">
            <v>0</v>
          </cell>
          <cell r="AW155">
            <v>0</v>
          </cell>
          <cell r="AY155" t="str">
            <v>NB</v>
          </cell>
        </row>
        <row r="156">
          <cell r="AM156">
            <v>0</v>
          </cell>
          <cell r="AP156" t="str">
            <v>Wholesale autres</v>
          </cell>
          <cell r="AQ156" t="str">
            <v>Publicité 1</v>
          </cell>
          <cell r="AR156" t="str">
            <v>$</v>
          </cell>
          <cell r="AS156">
            <v>0</v>
          </cell>
          <cell r="AW156">
            <v>0</v>
          </cell>
          <cell r="AY156" t="str">
            <v>NB</v>
          </cell>
        </row>
        <row r="157">
          <cell r="AM157">
            <v>69.119999999999891</v>
          </cell>
          <cell r="AP157" t="str">
            <v>Service</v>
          </cell>
          <cell r="AQ157" t="str">
            <v>Publicité 2</v>
          </cell>
          <cell r="AR157" t="str">
            <v>$</v>
          </cell>
          <cell r="AS157">
            <v>0</v>
          </cell>
          <cell r="AW157">
            <v>0</v>
          </cell>
          <cell r="AY157" t="str">
            <v>NB</v>
          </cell>
        </row>
        <row r="158">
          <cell r="AM158">
            <v>52.449999999999932</v>
          </cell>
          <cell r="AP158" t="str">
            <v>Carrosserie</v>
          </cell>
          <cell r="AQ158" t="str">
            <v>Publicité 2</v>
          </cell>
          <cell r="AR158" t="str">
            <v>$</v>
          </cell>
          <cell r="AS158">
            <v>0</v>
          </cell>
          <cell r="AW158">
            <v>0</v>
          </cell>
          <cell r="AY158" t="str">
            <v>NB</v>
          </cell>
        </row>
        <row r="159">
          <cell r="AM159">
            <v>69.119999999999891</v>
          </cell>
          <cell r="AP159" t="str">
            <v>Pièces</v>
          </cell>
          <cell r="AQ159" t="str">
            <v>Publicité 2</v>
          </cell>
          <cell r="AR159" t="str">
            <v>$</v>
          </cell>
          <cell r="AS159">
            <v>0</v>
          </cell>
          <cell r="AW159">
            <v>0</v>
          </cell>
          <cell r="AY159" t="str">
            <v>NB</v>
          </cell>
        </row>
        <row r="160">
          <cell r="AM160">
            <v>0</v>
          </cell>
          <cell r="AP160" t="str">
            <v>Véhicules neufs</v>
          </cell>
          <cell r="AQ160" t="str">
            <v>Publicité 1</v>
          </cell>
          <cell r="AR160" t="str">
            <v>$</v>
          </cell>
          <cell r="AS160">
            <v>0</v>
          </cell>
          <cell r="AW160">
            <v>0</v>
          </cell>
          <cell r="AY160" t="str">
            <v>NB</v>
          </cell>
        </row>
        <row r="161">
          <cell r="AM161">
            <v>0</v>
          </cell>
          <cell r="AP161" t="str">
            <v>Véhicules usagés</v>
          </cell>
          <cell r="AQ161" t="str">
            <v>Publicité 1</v>
          </cell>
          <cell r="AR161" t="str">
            <v>$</v>
          </cell>
          <cell r="AS161">
            <v>0</v>
          </cell>
          <cell r="AW161">
            <v>0</v>
          </cell>
          <cell r="AY161" t="str">
            <v>NB</v>
          </cell>
        </row>
        <row r="162">
          <cell r="AM162">
            <v>0</v>
          </cell>
          <cell r="AP162" t="str">
            <v>Service</v>
          </cell>
          <cell r="AQ162" t="str">
            <v>Publicité 2</v>
          </cell>
          <cell r="AR162" t="str">
            <v>$</v>
          </cell>
          <cell r="AS162">
            <v>0</v>
          </cell>
          <cell r="AW162">
            <v>0</v>
          </cell>
          <cell r="AY162" t="str">
            <v>NB</v>
          </cell>
        </row>
        <row r="163">
          <cell r="AM163">
            <v>0</v>
          </cell>
          <cell r="AP163" t="str">
            <v>Carrosserie</v>
          </cell>
          <cell r="AQ163" t="str">
            <v>Publicité 2</v>
          </cell>
          <cell r="AR163" t="str">
            <v>$</v>
          </cell>
          <cell r="AS163">
            <v>0</v>
          </cell>
          <cell r="AW163">
            <v>0</v>
          </cell>
          <cell r="AY163" t="str">
            <v>NB</v>
          </cell>
        </row>
        <row r="164">
          <cell r="AM164">
            <v>0</v>
          </cell>
          <cell r="AP164" t="str">
            <v>Pièces</v>
          </cell>
          <cell r="AQ164" t="str">
            <v>Publicité 2</v>
          </cell>
          <cell r="AR164" t="str">
            <v>$</v>
          </cell>
          <cell r="AS164">
            <v>0</v>
          </cell>
          <cell r="AW164">
            <v>0</v>
          </cell>
          <cell r="AY164" t="str">
            <v>NB</v>
          </cell>
        </row>
        <row r="165">
          <cell r="AM165">
            <v>0</v>
          </cell>
          <cell r="AP165" t="str">
            <v>SAAQ</v>
          </cell>
          <cell r="AQ165" t="str">
            <v>Publicité 2</v>
          </cell>
          <cell r="AR165" t="str">
            <v>$</v>
          </cell>
          <cell r="AS165">
            <v>0</v>
          </cell>
          <cell r="AW165">
            <v>0</v>
          </cell>
          <cell r="AY165" t="str">
            <v>NB</v>
          </cell>
        </row>
        <row r="166">
          <cell r="AM166">
            <v>0</v>
          </cell>
          <cell r="AP166" t="e">
            <v>#N/A</v>
          </cell>
          <cell r="AQ166" t="e">
            <v>#N/A</v>
          </cell>
          <cell r="AR166" t="str">
            <v>$</v>
          </cell>
          <cell r="AS166" t="e">
            <v>#N/A</v>
          </cell>
          <cell r="AW166">
            <v>0</v>
          </cell>
          <cell r="AY166" t="str">
            <v>NB</v>
          </cell>
        </row>
        <row r="167">
          <cell r="AM167">
            <v>0</v>
          </cell>
          <cell r="AP167" t="e">
            <v>#N/A</v>
          </cell>
          <cell r="AQ167" t="e">
            <v>#N/A</v>
          </cell>
          <cell r="AR167" t="str">
            <v>$</v>
          </cell>
          <cell r="AS167" t="e">
            <v>#N/A</v>
          </cell>
          <cell r="AW167">
            <v>0</v>
          </cell>
          <cell r="AY167" t="str">
            <v>NB</v>
          </cell>
        </row>
        <row r="168">
          <cell r="AM168">
            <v>14298.850000000006</v>
          </cell>
          <cell r="AP168" t="str">
            <v>Véhicules neufs</v>
          </cell>
          <cell r="AQ168" t="str">
            <v>Publicité 1</v>
          </cell>
          <cell r="AR168" t="str">
            <v>$</v>
          </cell>
          <cell r="AS168">
            <v>0</v>
          </cell>
          <cell r="AW168">
            <v>0</v>
          </cell>
          <cell r="AY168" t="str">
            <v>NB</v>
          </cell>
        </row>
        <row r="169">
          <cell r="AM169">
            <v>11781.5</v>
          </cell>
          <cell r="AP169" t="str">
            <v>Véhicules usagés</v>
          </cell>
          <cell r="AQ169" t="str">
            <v>Publicité 1</v>
          </cell>
          <cell r="AR169" t="str">
            <v>$</v>
          </cell>
          <cell r="AS169">
            <v>0</v>
          </cell>
          <cell r="AW169">
            <v>0</v>
          </cell>
          <cell r="AY169" t="str">
            <v>NB</v>
          </cell>
        </row>
        <row r="170">
          <cell r="AM170">
            <v>0</v>
          </cell>
          <cell r="AP170" t="str">
            <v>Wholesale autres</v>
          </cell>
          <cell r="AQ170" t="str">
            <v>Publicité 1</v>
          </cell>
          <cell r="AR170" t="str">
            <v>$</v>
          </cell>
          <cell r="AS170">
            <v>0</v>
          </cell>
          <cell r="AW170">
            <v>0</v>
          </cell>
          <cell r="AY170" t="str">
            <v>NB</v>
          </cell>
        </row>
        <row r="171">
          <cell r="AM171">
            <v>1539.3899999999994</v>
          </cell>
          <cell r="AP171" t="str">
            <v>Service</v>
          </cell>
          <cell r="AQ171" t="str">
            <v>Publicité 2</v>
          </cell>
          <cell r="AR171" t="str">
            <v>$</v>
          </cell>
          <cell r="AS171">
            <v>0</v>
          </cell>
          <cell r="AW171">
            <v>0</v>
          </cell>
          <cell r="AY171" t="str">
            <v>NB</v>
          </cell>
        </row>
        <row r="172">
          <cell r="AM172">
            <v>390.9399999999996</v>
          </cell>
          <cell r="AP172" t="str">
            <v>Carrosserie</v>
          </cell>
          <cell r="AQ172" t="str">
            <v>Publicité 2</v>
          </cell>
          <cell r="AR172" t="str">
            <v>$</v>
          </cell>
          <cell r="AS172">
            <v>0</v>
          </cell>
          <cell r="AW172">
            <v>0</v>
          </cell>
          <cell r="AY172" t="str">
            <v>NB</v>
          </cell>
        </row>
        <row r="173">
          <cell r="AM173">
            <v>390.94000000000005</v>
          </cell>
          <cell r="AP173" t="str">
            <v>Pièces</v>
          </cell>
          <cell r="AQ173" t="str">
            <v>Publicité 2</v>
          </cell>
          <cell r="AR173" t="str">
            <v>$</v>
          </cell>
          <cell r="AS173">
            <v>0</v>
          </cell>
          <cell r="AW173">
            <v>0</v>
          </cell>
          <cell r="AY173" t="str">
            <v>NB</v>
          </cell>
        </row>
        <row r="174">
          <cell r="AM174">
            <v>0</v>
          </cell>
          <cell r="AP174" t="e">
            <v>#N/A</v>
          </cell>
          <cell r="AQ174" t="e">
            <v>#N/A</v>
          </cell>
          <cell r="AR174" t="str">
            <v>$</v>
          </cell>
          <cell r="AS174" t="e">
            <v>#N/A</v>
          </cell>
          <cell r="AW174">
            <v>0</v>
          </cell>
          <cell r="AY174" t="str">
            <v>NB</v>
          </cell>
        </row>
        <row r="175">
          <cell r="AM175">
            <v>0</v>
          </cell>
          <cell r="AP175" t="str">
            <v>Véhicules neufs</v>
          </cell>
          <cell r="AQ175" t="str">
            <v>Publicité 1</v>
          </cell>
          <cell r="AR175" t="str">
            <v>$</v>
          </cell>
          <cell r="AS175">
            <v>0</v>
          </cell>
          <cell r="AW175">
            <v>0</v>
          </cell>
          <cell r="AY175" t="str">
            <v>NB</v>
          </cell>
        </row>
        <row r="176">
          <cell r="AM176">
            <v>0</v>
          </cell>
          <cell r="AP176" t="str">
            <v>Véhicules usagés</v>
          </cell>
          <cell r="AQ176" t="str">
            <v>Publicité 1</v>
          </cell>
          <cell r="AR176" t="str">
            <v>$</v>
          </cell>
          <cell r="AS176">
            <v>0</v>
          </cell>
          <cell r="AW176">
            <v>0</v>
          </cell>
          <cell r="AY176" t="str">
            <v>NB</v>
          </cell>
        </row>
        <row r="177">
          <cell r="AM177">
            <v>0</v>
          </cell>
          <cell r="AP177" t="str">
            <v>Service</v>
          </cell>
          <cell r="AQ177" t="str">
            <v>Publicité 2</v>
          </cell>
          <cell r="AR177" t="str">
            <v>$</v>
          </cell>
          <cell r="AS177">
            <v>0</v>
          </cell>
          <cell r="AW177">
            <v>0</v>
          </cell>
          <cell r="AY177" t="str">
            <v>NB</v>
          </cell>
        </row>
        <row r="178">
          <cell r="AM178">
            <v>0</v>
          </cell>
          <cell r="AP178" t="str">
            <v>Carrosserie</v>
          </cell>
          <cell r="AQ178" t="str">
            <v>Publicité 2</v>
          </cell>
          <cell r="AR178" t="str">
            <v>$</v>
          </cell>
          <cell r="AS178">
            <v>0</v>
          </cell>
          <cell r="AW178">
            <v>0</v>
          </cell>
          <cell r="AY178" t="str">
            <v>NB</v>
          </cell>
        </row>
        <row r="179">
          <cell r="AM179">
            <v>0</v>
          </cell>
          <cell r="AP179" t="str">
            <v>Pièces</v>
          </cell>
          <cell r="AQ179" t="str">
            <v>Publicité 2</v>
          </cell>
          <cell r="AR179" t="str">
            <v>$</v>
          </cell>
          <cell r="AS179">
            <v>0</v>
          </cell>
          <cell r="AW179">
            <v>0</v>
          </cell>
          <cell r="AY179" t="str">
            <v>NB</v>
          </cell>
        </row>
        <row r="180">
          <cell r="AM180">
            <v>4598.1100000000006</v>
          </cell>
          <cell r="AP180" t="str">
            <v>Service</v>
          </cell>
          <cell r="AQ180" t="str">
            <v>Service gratuit 2</v>
          </cell>
          <cell r="AR180" t="str">
            <v>$</v>
          </cell>
          <cell r="AS180">
            <v>0</v>
          </cell>
          <cell r="AW180">
            <v>0</v>
          </cell>
          <cell r="AY180" t="str">
            <v>NB</v>
          </cell>
        </row>
        <row r="181">
          <cell r="AM181">
            <v>4970.3599999999997</v>
          </cell>
          <cell r="AP181" t="str">
            <v>Carrosserie</v>
          </cell>
          <cell r="AQ181" t="str">
            <v>Service gratuit 2</v>
          </cell>
          <cell r="AR181" t="str">
            <v>$</v>
          </cell>
          <cell r="AS181">
            <v>0</v>
          </cell>
          <cell r="AW181">
            <v>0</v>
          </cell>
          <cell r="AY181" t="str">
            <v>NB</v>
          </cell>
        </row>
        <row r="182">
          <cell r="AM182">
            <v>53.47</v>
          </cell>
          <cell r="AP182" t="str">
            <v>Pièces</v>
          </cell>
          <cell r="AQ182" t="str">
            <v>Service gratuit 2</v>
          </cell>
          <cell r="AR182" t="str">
            <v>$</v>
          </cell>
          <cell r="AS182">
            <v>0</v>
          </cell>
          <cell r="AW182">
            <v>0</v>
          </cell>
          <cell r="AY182" t="str">
            <v>NB</v>
          </cell>
        </row>
        <row r="183">
          <cell r="AM183">
            <v>0</v>
          </cell>
          <cell r="AP183" t="str">
            <v>SAAQ</v>
          </cell>
          <cell r="AQ183" t="str">
            <v>Service gratuit 2</v>
          </cell>
          <cell r="AR183" t="str">
            <v>$</v>
          </cell>
          <cell r="AS183">
            <v>0</v>
          </cell>
          <cell r="AW183">
            <v>0</v>
          </cell>
          <cell r="AY183" t="str">
            <v>NB</v>
          </cell>
        </row>
        <row r="184">
          <cell r="AM184">
            <v>0</v>
          </cell>
          <cell r="AP184" t="e">
            <v>#N/A</v>
          </cell>
          <cell r="AQ184" t="e">
            <v>#N/A</v>
          </cell>
          <cell r="AR184" t="str">
            <v>$</v>
          </cell>
          <cell r="AS184" t="e">
            <v>#N/A</v>
          </cell>
          <cell r="AW184">
            <v>0</v>
          </cell>
          <cell r="AY184" t="str">
            <v>NB</v>
          </cell>
        </row>
        <row r="185">
          <cell r="AM185">
            <v>4264.880000000001</v>
          </cell>
          <cell r="AP185" t="str">
            <v>Véhicules neufs</v>
          </cell>
          <cell r="AQ185" t="str">
            <v>Informatique</v>
          </cell>
          <cell r="AR185" t="str">
            <v>$</v>
          </cell>
          <cell r="AS185">
            <v>0</v>
          </cell>
          <cell r="AW185">
            <v>0</v>
          </cell>
          <cell r="AY185" t="str">
            <v>NB</v>
          </cell>
        </row>
        <row r="186">
          <cell r="AM186">
            <v>1836.9099999999999</v>
          </cell>
          <cell r="AP186" t="str">
            <v>Véhicules usagés</v>
          </cell>
          <cell r="AQ186" t="str">
            <v>Informatique</v>
          </cell>
          <cell r="AR186" t="str">
            <v>$</v>
          </cell>
          <cell r="AS186">
            <v>0</v>
          </cell>
          <cell r="AW186">
            <v>0</v>
          </cell>
          <cell r="AY186" t="str">
            <v>NB</v>
          </cell>
        </row>
        <row r="187">
          <cell r="AM187">
            <v>0</v>
          </cell>
          <cell r="AP187" t="str">
            <v>Wholesale autres</v>
          </cell>
          <cell r="AQ187" t="str">
            <v>Informatique</v>
          </cell>
          <cell r="AR187" t="str">
            <v>$</v>
          </cell>
          <cell r="AS187">
            <v>0</v>
          </cell>
          <cell r="AW187">
            <v>0</v>
          </cell>
          <cell r="AY187" t="str">
            <v>NB</v>
          </cell>
        </row>
        <row r="188">
          <cell r="AM188">
            <v>4088.59</v>
          </cell>
          <cell r="AP188" t="str">
            <v>Service</v>
          </cell>
          <cell r="AQ188" t="str">
            <v>Informatique</v>
          </cell>
          <cell r="AR188" t="str">
            <v>$</v>
          </cell>
          <cell r="AS188">
            <v>0</v>
          </cell>
          <cell r="AW188">
            <v>0</v>
          </cell>
          <cell r="AY188" t="str">
            <v>NB</v>
          </cell>
        </row>
        <row r="189">
          <cell r="AM189">
            <v>1799.9799999999996</v>
          </cell>
          <cell r="AP189" t="str">
            <v>Carrosserie</v>
          </cell>
          <cell r="AQ189" t="str">
            <v>Informatique</v>
          </cell>
          <cell r="AR189" t="str">
            <v>$</v>
          </cell>
          <cell r="AS189">
            <v>0</v>
          </cell>
          <cell r="AW189">
            <v>0</v>
          </cell>
          <cell r="AY189" t="str">
            <v>NB</v>
          </cell>
        </row>
        <row r="190">
          <cell r="AM190">
            <v>2969.33</v>
          </cell>
          <cell r="AP190" t="str">
            <v>Pièces</v>
          </cell>
          <cell r="AQ190" t="str">
            <v>Informatique</v>
          </cell>
          <cell r="AR190" t="str">
            <v>$</v>
          </cell>
          <cell r="AS190">
            <v>0</v>
          </cell>
          <cell r="AW190">
            <v>0</v>
          </cell>
          <cell r="AY190" t="str">
            <v>NB</v>
          </cell>
        </row>
        <row r="191">
          <cell r="AM191">
            <v>0</v>
          </cell>
          <cell r="AP191" t="str">
            <v>SAAQ</v>
          </cell>
          <cell r="AQ191" t="str">
            <v>Informatique</v>
          </cell>
          <cell r="AR191" t="str">
            <v>$</v>
          </cell>
          <cell r="AS191">
            <v>0</v>
          </cell>
          <cell r="AW191">
            <v>0</v>
          </cell>
          <cell r="AY191" t="str">
            <v>NB</v>
          </cell>
        </row>
        <row r="192">
          <cell r="AM192">
            <v>0</v>
          </cell>
          <cell r="AP192" t="e">
            <v>#N/A</v>
          </cell>
          <cell r="AQ192" t="e">
            <v>#N/A</v>
          </cell>
          <cell r="AR192" t="str">
            <v>$</v>
          </cell>
          <cell r="AS192" t="e">
            <v>#N/A</v>
          </cell>
          <cell r="AW192">
            <v>0</v>
          </cell>
          <cell r="AY192" t="str">
            <v>NB</v>
          </cell>
        </row>
        <row r="193">
          <cell r="AM193">
            <v>0</v>
          </cell>
          <cell r="AP193" t="e">
            <v>#N/A</v>
          </cell>
          <cell r="AQ193" t="e">
            <v>#N/A</v>
          </cell>
          <cell r="AR193" t="str">
            <v>$</v>
          </cell>
          <cell r="AS193" t="e">
            <v>#N/A</v>
          </cell>
          <cell r="AW193">
            <v>0</v>
          </cell>
          <cell r="AY193" t="str">
            <v>NB</v>
          </cell>
        </row>
        <row r="194">
          <cell r="AM194">
            <v>2219.1900000000023</v>
          </cell>
          <cell r="AP194" t="str">
            <v>Véhicules neufs</v>
          </cell>
          <cell r="AQ194" t="str">
            <v>Services extérieurs</v>
          </cell>
          <cell r="AR194" t="str">
            <v>$</v>
          </cell>
          <cell r="AS194">
            <v>0</v>
          </cell>
          <cell r="AW194">
            <v>0</v>
          </cell>
          <cell r="AY194" t="str">
            <v>NB</v>
          </cell>
        </row>
        <row r="195">
          <cell r="AM195">
            <v>1183.3400000000001</v>
          </cell>
          <cell r="AP195" t="str">
            <v>Véhicules usagés</v>
          </cell>
          <cell r="AQ195" t="str">
            <v>Services extérieurs</v>
          </cell>
          <cell r="AR195" t="str">
            <v>$</v>
          </cell>
          <cell r="AS195">
            <v>0</v>
          </cell>
          <cell r="AW195">
            <v>0</v>
          </cell>
          <cell r="AY195" t="str">
            <v>NB</v>
          </cell>
        </row>
        <row r="196">
          <cell r="AM196">
            <v>0</v>
          </cell>
          <cell r="AP196" t="str">
            <v>Wholesale autres</v>
          </cell>
          <cell r="AQ196" t="str">
            <v>Services extérieurs</v>
          </cell>
          <cell r="AR196" t="str">
            <v>$</v>
          </cell>
          <cell r="AS196">
            <v>0</v>
          </cell>
          <cell r="AW196">
            <v>0</v>
          </cell>
          <cell r="AY196" t="str">
            <v>NB</v>
          </cell>
        </row>
        <row r="197">
          <cell r="AM197">
            <v>8549.4400000000023</v>
          </cell>
          <cell r="AP197" t="str">
            <v>Service</v>
          </cell>
          <cell r="AQ197" t="str">
            <v>Services extérieurs</v>
          </cell>
          <cell r="AR197" t="str">
            <v>$</v>
          </cell>
          <cell r="AS197">
            <v>0</v>
          </cell>
          <cell r="AW197">
            <v>0</v>
          </cell>
          <cell r="AY197" t="str">
            <v>NB</v>
          </cell>
        </row>
        <row r="198">
          <cell r="AM198">
            <v>1348.3899999999994</v>
          </cell>
          <cell r="AP198" t="str">
            <v>Carrosserie</v>
          </cell>
          <cell r="AQ198" t="str">
            <v>Services extérieurs</v>
          </cell>
          <cell r="AR198" t="str">
            <v>$</v>
          </cell>
          <cell r="AS198">
            <v>0</v>
          </cell>
          <cell r="AW198">
            <v>0</v>
          </cell>
          <cell r="AY198" t="str">
            <v>NB</v>
          </cell>
        </row>
        <row r="199">
          <cell r="AM199">
            <v>625.3700000000008</v>
          </cell>
          <cell r="AP199" t="str">
            <v>Pièces</v>
          </cell>
          <cell r="AQ199" t="str">
            <v>Services extérieurs</v>
          </cell>
          <cell r="AR199" t="str">
            <v>$</v>
          </cell>
          <cell r="AS199">
            <v>0</v>
          </cell>
          <cell r="AW199">
            <v>0</v>
          </cell>
          <cell r="AY199" t="str">
            <v>NB</v>
          </cell>
        </row>
        <row r="200">
          <cell r="AM200">
            <v>0</v>
          </cell>
          <cell r="AP200" t="str">
            <v>SAAQ</v>
          </cell>
          <cell r="AQ200" t="str">
            <v>Services extérieurs</v>
          </cell>
          <cell r="AR200" t="str">
            <v>$</v>
          </cell>
          <cell r="AS200">
            <v>0</v>
          </cell>
          <cell r="AW200">
            <v>0</v>
          </cell>
          <cell r="AY200" t="str">
            <v>NB</v>
          </cell>
        </row>
        <row r="201">
          <cell r="AM201">
            <v>0</v>
          </cell>
          <cell r="AP201" t="e">
            <v>#N/A</v>
          </cell>
          <cell r="AQ201" t="e">
            <v>#N/A</v>
          </cell>
          <cell r="AR201" t="str">
            <v>$</v>
          </cell>
          <cell r="AS201" t="e">
            <v>#N/A</v>
          </cell>
          <cell r="AW201">
            <v>0</v>
          </cell>
          <cell r="AY201" t="str">
            <v>NB</v>
          </cell>
        </row>
        <row r="202">
          <cell r="AM202">
            <v>0</v>
          </cell>
          <cell r="AP202" t="e">
            <v>#N/A</v>
          </cell>
          <cell r="AQ202" t="e">
            <v>#N/A</v>
          </cell>
          <cell r="AR202" t="str">
            <v>$</v>
          </cell>
          <cell r="AS202" t="e">
            <v>#N/A</v>
          </cell>
          <cell r="AW202">
            <v>0</v>
          </cell>
          <cell r="AY202" t="str">
            <v>NB</v>
          </cell>
        </row>
        <row r="203">
          <cell r="AM203">
            <v>432.67999999999984</v>
          </cell>
          <cell r="AP203" t="str">
            <v>Véhicules neufs</v>
          </cell>
          <cell r="AQ203" t="str">
            <v>Frais de déplacement</v>
          </cell>
          <cell r="AR203" t="str">
            <v>$</v>
          </cell>
          <cell r="AS203">
            <v>0</v>
          </cell>
          <cell r="AW203">
            <v>0</v>
          </cell>
          <cell r="AY203" t="str">
            <v>NB</v>
          </cell>
        </row>
        <row r="204">
          <cell r="AM204">
            <v>555.04000000000087</v>
          </cell>
          <cell r="AP204" t="str">
            <v>Véhicules neufs</v>
          </cell>
          <cell r="AQ204" t="str">
            <v>Frais de déplacement</v>
          </cell>
          <cell r="AR204" t="str">
            <v>$</v>
          </cell>
          <cell r="AS204">
            <v>0</v>
          </cell>
          <cell r="AW204">
            <v>0</v>
          </cell>
          <cell r="AY204" t="str">
            <v>NB</v>
          </cell>
        </row>
        <row r="205">
          <cell r="AM205">
            <v>0</v>
          </cell>
          <cell r="AP205" t="str">
            <v>Véhicules neufs</v>
          </cell>
          <cell r="AQ205" t="str">
            <v>Frais de déplacement</v>
          </cell>
          <cell r="AR205" t="str">
            <v>$</v>
          </cell>
          <cell r="AS205">
            <v>0</v>
          </cell>
          <cell r="AW205">
            <v>0</v>
          </cell>
          <cell r="AY205" t="str">
            <v>NB</v>
          </cell>
        </row>
        <row r="206">
          <cell r="AM206">
            <v>370.02000000000044</v>
          </cell>
          <cell r="AP206" t="str">
            <v>Véhicules usagés</v>
          </cell>
          <cell r="AQ206" t="str">
            <v>Frais de déplacement</v>
          </cell>
          <cell r="AR206" t="str">
            <v>$</v>
          </cell>
          <cell r="AS206">
            <v>0</v>
          </cell>
          <cell r="AW206">
            <v>0</v>
          </cell>
          <cell r="AY206" t="str">
            <v>NB</v>
          </cell>
        </row>
        <row r="207">
          <cell r="AM207">
            <v>0</v>
          </cell>
          <cell r="AP207" t="str">
            <v>Véhicules usagés</v>
          </cell>
          <cell r="AQ207" t="str">
            <v>Frais de déplacement</v>
          </cell>
          <cell r="AR207" t="str">
            <v>$</v>
          </cell>
          <cell r="AS207">
            <v>0</v>
          </cell>
          <cell r="AW207">
            <v>0</v>
          </cell>
          <cell r="AY207" t="str">
            <v>NB</v>
          </cell>
        </row>
        <row r="208">
          <cell r="AM208">
            <v>0</v>
          </cell>
          <cell r="AP208" t="str">
            <v>Wholesale autres</v>
          </cell>
          <cell r="AQ208" t="str">
            <v>Frais de déplacement</v>
          </cell>
          <cell r="AR208" t="str">
            <v>$</v>
          </cell>
          <cell r="AS208">
            <v>0</v>
          </cell>
          <cell r="AW208">
            <v>0</v>
          </cell>
          <cell r="AY208" t="str">
            <v>NB</v>
          </cell>
        </row>
        <row r="209">
          <cell r="AM209">
            <v>0</v>
          </cell>
          <cell r="AP209" t="str">
            <v>Wholesale autres</v>
          </cell>
          <cell r="AQ209" t="str">
            <v>Frais de déplacement</v>
          </cell>
          <cell r="AR209" t="str">
            <v>$</v>
          </cell>
          <cell r="AS209">
            <v>0</v>
          </cell>
          <cell r="AW209">
            <v>0</v>
          </cell>
          <cell r="AY209" t="str">
            <v>NB</v>
          </cell>
        </row>
        <row r="210">
          <cell r="AM210">
            <v>555.04000000000087</v>
          </cell>
          <cell r="AP210" t="str">
            <v>Service</v>
          </cell>
          <cell r="AQ210" t="str">
            <v>Frais de déplacement</v>
          </cell>
          <cell r="AR210" t="str">
            <v>$</v>
          </cell>
          <cell r="AS210">
            <v>0</v>
          </cell>
          <cell r="AW210">
            <v>0</v>
          </cell>
          <cell r="AY210" t="str">
            <v>NB</v>
          </cell>
        </row>
        <row r="211">
          <cell r="AM211">
            <v>0</v>
          </cell>
          <cell r="AP211" t="str">
            <v>Service</v>
          </cell>
          <cell r="AQ211" t="str">
            <v>Frais de déplacement</v>
          </cell>
          <cell r="AR211" t="str">
            <v>$</v>
          </cell>
          <cell r="AS211">
            <v>0</v>
          </cell>
          <cell r="AW211">
            <v>0</v>
          </cell>
          <cell r="AY211" t="str">
            <v>NB</v>
          </cell>
        </row>
        <row r="212">
          <cell r="AM212">
            <v>185.01000000000022</v>
          </cell>
          <cell r="AP212" t="str">
            <v>Carrosserie</v>
          </cell>
          <cell r="AQ212" t="str">
            <v>Frais de déplacement</v>
          </cell>
          <cell r="AR212" t="str">
            <v>$</v>
          </cell>
          <cell r="AS212">
            <v>0</v>
          </cell>
          <cell r="AW212">
            <v>0</v>
          </cell>
          <cell r="AY212" t="str">
            <v>NB</v>
          </cell>
        </row>
        <row r="213">
          <cell r="AM213">
            <v>0</v>
          </cell>
          <cell r="AP213" t="str">
            <v>Carrosserie</v>
          </cell>
          <cell r="AQ213" t="str">
            <v>Frais de déplacement</v>
          </cell>
          <cell r="AR213" t="str">
            <v>$</v>
          </cell>
          <cell r="AS213">
            <v>0</v>
          </cell>
          <cell r="AW213">
            <v>0</v>
          </cell>
          <cell r="AY213" t="str">
            <v>NB</v>
          </cell>
        </row>
        <row r="214">
          <cell r="AM214">
            <v>185.01000000000022</v>
          </cell>
          <cell r="AP214" t="str">
            <v>Pièces</v>
          </cell>
          <cell r="AQ214" t="str">
            <v>Frais de déplacement</v>
          </cell>
          <cell r="AR214" t="str">
            <v>$</v>
          </cell>
          <cell r="AS214">
            <v>0</v>
          </cell>
          <cell r="AW214">
            <v>0</v>
          </cell>
          <cell r="AY214" t="str">
            <v>NB</v>
          </cell>
        </row>
        <row r="215">
          <cell r="AM215">
            <v>0</v>
          </cell>
          <cell r="AP215" t="str">
            <v>Pièces</v>
          </cell>
          <cell r="AQ215" t="str">
            <v>Frais de déplacement</v>
          </cell>
          <cell r="AR215" t="str">
            <v>$</v>
          </cell>
          <cell r="AS215">
            <v>0</v>
          </cell>
          <cell r="AW215">
            <v>0</v>
          </cell>
          <cell r="AY215" t="str">
            <v>NB</v>
          </cell>
        </row>
        <row r="216">
          <cell r="AM216">
            <v>0</v>
          </cell>
          <cell r="AP216" t="e">
            <v>#N/A</v>
          </cell>
          <cell r="AQ216" t="e">
            <v>#N/A</v>
          </cell>
          <cell r="AR216" t="str">
            <v>$</v>
          </cell>
          <cell r="AS216" t="e">
            <v>#N/A</v>
          </cell>
          <cell r="AW216">
            <v>0</v>
          </cell>
          <cell r="AY216" t="str">
            <v>NB</v>
          </cell>
        </row>
        <row r="217">
          <cell r="AM217">
            <v>2079.5599999999995</v>
          </cell>
          <cell r="AP217" t="str">
            <v>Véhicules neufs</v>
          </cell>
          <cell r="AQ217" t="str">
            <v>Divers</v>
          </cell>
          <cell r="AR217" t="str">
            <v>$</v>
          </cell>
          <cell r="AS217">
            <v>0</v>
          </cell>
          <cell r="AW217">
            <v>0</v>
          </cell>
          <cell r="AY217" t="str">
            <v>NB</v>
          </cell>
        </row>
        <row r="218">
          <cell r="AM218">
            <v>1302.2699999999986</v>
          </cell>
          <cell r="AP218" t="str">
            <v>Véhicules usagés</v>
          </cell>
          <cell r="AQ218" t="str">
            <v>Divers</v>
          </cell>
          <cell r="AR218" t="str">
            <v>$</v>
          </cell>
          <cell r="AS218">
            <v>0</v>
          </cell>
          <cell r="AW218">
            <v>0</v>
          </cell>
          <cell r="AY218" t="str">
            <v>NB</v>
          </cell>
        </row>
        <row r="219">
          <cell r="AM219">
            <v>678.69999999999982</v>
          </cell>
          <cell r="AP219" t="str">
            <v>Service</v>
          </cell>
          <cell r="AQ219" t="str">
            <v>Divers</v>
          </cell>
          <cell r="AR219" t="str">
            <v>$</v>
          </cell>
          <cell r="AS219">
            <v>0</v>
          </cell>
          <cell r="AW219">
            <v>0</v>
          </cell>
          <cell r="AY219" t="str">
            <v>NB</v>
          </cell>
        </row>
        <row r="220">
          <cell r="AM220">
            <v>1287.7999999999993</v>
          </cell>
          <cell r="AP220" t="str">
            <v>Carrosserie</v>
          </cell>
          <cell r="AQ220" t="str">
            <v>Divers</v>
          </cell>
          <cell r="AR220" t="str">
            <v>$</v>
          </cell>
          <cell r="AS220">
            <v>0</v>
          </cell>
          <cell r="AW220">
            <v>0</v>
          </cell>
          <cell r="AY220" t="str">
            <v>NB</v>
          </cell>
        </row>
        <row r="221">
          <cell r="AM221">
            <v>3075.0000000000009</v>
          </cell>
          <cell r="AP221" t="str">
            <v>Carrosserie</v>
          </cell>
          <cell r="AQ221" t="str">
            <v>Frais assurances</v>
          </cell>
          <cell r="AR221" t="str">
            <v>$</v>
          </cell>
          <cell r="AS221">
            <v>0</v>
          </cell>
          <cell r="AW221">
            <v>0</v>
          </cell>
          <cell r="AY221" t="str">
            <v>NB</v>
          </cell>
        </row>
        <row r="222">
          <cell r="AM222">
            <v>1026.6000000000004</v>
          </cell>
          <cell r="AP222" t="str">
            <v>Pièces</v>
          </cell>
          <cell r="AQ222" t="str">
            <v>Divers</v>
          </cell>
          <cell r="AR222" t="str">
            <v>$</v>
          </cell>
          <cell r="AS222">
            <v>0</v>
          </cell>
          <cell r="AW222">
            <v>0</v>
          </cell>
          <cell r="AY222" t="str">
            <v>NB</v>
          </cell>
        </row>
        <row r="223">
          <cell r="AM223">
            <v>0</v>
          </cell>
          <cell r="AP223" t="e">
            <v>#N/A</v>
          </cell>
          <cell r="AQ223" t="e">
            <v>#N/A</v>
          </cell>
          <cell r="AR223" t="str">
            <v>$</v>
          </cell>
          <cell r="AS223" t="e">
            <v>#N/A</v>
          </cell>
          <cell r="AW223">
            <v>0</v>
          </cell>
          <cell r="AY223" t="str">
            <v>NB</v>
          </cell>
        </row>
        <row r="224">
          <cell r="AM224">
            <v>1400</v>
          </cell>
          <cell r="AP224" t="str">
            <v>Véhicules neufs</v>
          </cell>
          <cell r="AQ224" t="str">
            <v>Honoraires</v>
          </cell>
          <cell r="AR224" t="str">
            <v>$</v>
          </cell>
          <cell r="AS224">
            <v>0</v>
          </cell>
          <cell r="AW224">
            <v>0</v>
          </cell>
          <cell r="AY224" t="str">
            <v>NB</v>
          </cell>
        </row>
        <row r="225">
          <cell r="AM225">
            <v>933.32999999999993</v>
          </cell>
          <cell r="AP225" t="str">
            <v>Véhicules usagés</v>
          </cell>
          <cell r="AQ225" t="str">
            <v>Honoraires</v>
          </cell>
          <cell r="AR225" t="str">
            <v>$</v>
          </cell>
          <cell r="AS225">
            <v>0</v>
          </cell>
          <cell r="AW225">
            <v>0</v>
          </cell>
          <cell r="AY225" t="str">
            <v>NB</v>
          </cell>
        </row>
        <row r="226">
          <cell r="AM226">
            <v>0</v>
          </cell>
          <cell r="AP226" t="str">
            <v>Wholesale autres</v>
          </cell>
          <cell r="AQ226" t="str">
            <v>Honoraires</v>
          </cell>
          <cell r="AR226" t="str">
            <v>$</v>
          </cell>
          <cell r="AS226">
            <v>0</v>
          </cell>
          <cell r="AW226">
            <v>0</v>
          </cell>
          <cell r="AY226" t="str">
            <v>NB</v>
          </cell>
        </row>
        <row r="227">
          <cell r="AM227">
            <v>1846.4800000000005</v>
          </cell>
          <cell r="AP227" t="str">
            <v>Service</v>
          </cell>
          <cell r="AQ227" t="str">
            <v>Honoraires</v>
          </cell>
          <cell r="AR227" t="str">
            <v>$</v>
          </cell>
          <cell r="AS227">
            <v>0</v>
          </cell>
          <cell r="AW227">
            <v>0</v>
          </cell>
          <cell r="AY227" t="str">
            <v>NB</v>
          </cell>
        </row>
        <row r="228">
          <cell r="AM228">
            <v>793.15000000000009</v>
          </cell>
          <cell r="AP228" t="str">
            <v>Carrosserie</v>
          </cell>
          <cell r="AQ228" t="str">
            <v>Honoraires</v>
          </cell>
          <cell r="AR228" t="str">
            <v>$</v>
          </cell>
          <cell r="AS228">
            <v>0</v>
          </cell>
          <cell r="AW228">
            <v>0</v>
          </cell>
          <cell r="AY228" t="str">
            <v>NB</v>
          </cell>
        </row>
        <row r="229">
          <cell r="AM229">
            <v>629.88999999999987</v>
          </cell>
          <cell r="AP229" t="str">
            <v>Pièces</v>
          </cell>
          <cell r="AQ229" t="str">
            <v>Honoraires</v>
          </cell>
          <cell r="AR229" t="str">
            <v>$</v>
          </cell>
          <cell r="AS229">
            <v>0</v>
          </cell>
          <cell r="AW229">
            <v>0</v>
          </cell>
          <cell r="AY229" t="str">
            <v>NB</v>
          </cell>
        </row>
        <row r="230">
          <cell r="AM230">
            <v>0</v>
          </cell>
          <cell r="AP230" t="e">
            <v>#N/A</v>
          </cell>
          <cell r="AQ230" t="e">
            <v>#N/A</v>
          </cell>
          <cell r="AR230" t="str">
            <v>$</v>
          </cell>
          <cell r="AS230" t="e">
            <v>#N/A</v>
          </cell>
          <cell r="AW230">
            <v>0</v>
          </cell>
          <cell r="AY230" t="str">
            <v>NB</v>
          </cell>
        </row>
        <row r="231">
          <cell r="AM231">
            <v>630.25000000000045</v>
          </cell>
          <cell r="AP231" t="str">
            <v>Véhicules neufs</v>
          </cell>
          <cell r="AQ231" t="str">
            <v>Téléphone</v>
          </cell>
          <cell r="AR231" t="str">
            <v>$</v>
          </cell>
          <cell r="AS231">
            <v>0</v>
          </cell>
          <cell r="AW231">
            <v>0</v>
          </cell>
          <cell r="AY231" t="str">
            <v>NB</v>
          </cell>
        </row>
        <row r="232">
          <cell r="AM232">
            <v>420.18000000000029</v>
          </cell>
          <cell r="AP232" t="str">
            <v>Véhicules usagés</v>
          </cell>
          <cell r="AQ232" t="str">
            <v>Téléphone</v>
          </cell>
          <cell r="AR232" t="str">
            <v>$</v>
          </cell>
          <cell r="AS232">
            <v>0</v>
          </cell>
          <cell r="AW232">
            <v>0</v>
          </cell>
          <cell r="AY232" t="str">
            <v>NB</v>
          </cell>
        </row>
        <row r="233">
          <cell r="AM233">
            <v>0</v>
          </cell>
          <cell r="AP233" t="str">
            <v>Wholesale autres</v>
          </cell>
          <cell r="AQ233" t="str">
            <v>Téléphone</v>
          </cell>
          <cell r="AR233" t="str">
            <v>$</v>
          </cell>
          <cell r="AS233">
            <v>0</v>
          </cell>
          <cell r="AW233">
            <v>0</v>
          </cell>
          <cell r="AY233" t="str">
            <v>NB</v>
          </cell>
        </row>
        <row r="234">
          <cell r="AM234">
            <v>815.04999999999973</v>
          </cell>
          <cell r="AP234" t="str">
            <v>Service</v>
          </cell>
          <cell r="AQ234" t="str">
            <v>Téléphone</v>
          </cell>
          <cell r="AR234" t="str">
            <v>$</v>
          </cell>
          <cell r="AS234">
            <v>0</v>
          </cell>
          <cell r="AW234">
            <v>0</v>
          </cell>
          <cell r="AY234" t="str">
            <v>NB</v>
          </cell>
        </row>
        <row r="235">
          <cell r="AM235">
            <v>210.09000000000003</v>
          </cell>
          <cell r="AP235" t="str">
            <v>Carrosserie</v>
          </cell>
          <cell r="AQ235" t="str">
            <v>Téléphone</v>
          </cell>
          <cell r="AR235" t="str">
            <v>$</v>
          </cell>
          <cell r="AS235">
            <v>0</v>
          </cell>
          <cell r="AW235">
            <v>0</v>
          </cell>
          <cell r="AY235" t="str">
            <v>NB</v>
          </cell>
        </row>
        <row r="236">
          <cell r="AM236">
            <v>210.08000000000004</v>
          </cell>
          <cell r="AP236" t="str">
            <v>Pièces</v>
          </cell>
          <cell r="AQ236" t="str">
            <v>Téléphone</v>
          </cell>
          <cell r="AR236" t="str">
            <v>$</v>
          </cell>
          <cell r="AS236">
            <v>0</v>
          </cell>
          <cell r="AW236">
            <v>0</v>
          </cell>
          <cell r="AY236" t="str">
            <v>NB</v>
          </cell>
        </row>
        <row r="237">
          <cell r="AM237">
            <v>0</v>
          </cell>
          <cell r="AP237" t="e">
            <v>#N/A</v>
          </cell>
          <cell r="AQ237" t="e">
            <v>#N/A</v>
          </cell>
          <cell r="AR237" t="str">
            <v>$</v>
          </cell>
          <cell r="AS237" t="e">
            <v>#N/A</v>
          </cell>
          <cell r="AW237">
            <v>0</v>
          </cell>
          <cell r="AY237" t="str">
            <v>NB</v>
          </cell>
        </row>
        <row r="238">
          <cell r="AM238">
            <v>570</v>
          </cell>
          <cell r="AP238" t="str">
            <v>Véhicules neufs</v>
          </cell>
          <cell r="AQ238" t="str">
            <v>Formation</v>
          </cell>
          <cell r="AR238" t="str">
            <v>$</v>
          </cell>
          <cell r="AS238">
            <v>0</v>
          </cell>
          <cell r="AW238">
            <v>0</v>
          </cell>
          <cell r="AY238" t="str">
            <v>NB</v>
          </cell>
        </row>
        <row r="239">
          <cell r="AM239">
            <v>0</v>
          </cell>
          <cell r="AP239" t="str">
            <v>Véhicules usagés</v>
          </cell>
          <cell r="AQ239" t="str">
            <v>Formation</v>
          </cell>
          <cell r="AR239" t="str">
            <v>$</v>
          </cell>
          <cell r="AS239">
            <v>0</v>
          </cell>
          <cell r="AW239">
            <v>0</v>
          </cell>
          <cell r="AY239" t="str">
            <v>NB</v>
          </cell>
        </row>
        <row r="240">
          <cell r="AM240">
            <v>0</v>
          </cell>
          <cell r="AP240" t="str">
            <v>Wholesale autres</v>
          </cell>
          <cell r="AQ240" t="str">
            <v>Formation</v>
          </cell>
          <cell r="AR240" t="str">
            <v>$</v>
          </cell>
          <cell r="AS240">
            <v>0</v>
          </cell>
          <cell r="AW240">
            <v>0</v>
          </cell>
          <cell r="AY240" t="str">
            <v>NB</v>
          </cell>
        </row>
        <row r="241">
          <cell r="AM241">
            <v>542.5</v>
          </cell>
          <cell r="AP241" t="str">
            <v>Service</v>
          </cell>
          <cell r="AQ241" t="str">
            <v>Formation</v>
          </cell>
          <cell r="AR241" t="str">
            <v>$</v>
          </cell>
          <cell r="AS241">
            <v>0</v>
          </cell>
          <cell r="AW241">
            <v>0</v>
          </cell>
          <cell r="AY241" t="str">
            <v>NB</v>
          </cell>
        </row>
        <row r="242">
          <cell r="AM242">
            <v>473</v>
          </cell>
          <cell r="AP242" t="str">
            <v>Carrosserie</v>
          </cell>
          <cell r="AQ242" t="str">
            <v>Formation</v>
          </cell>
          <cell r="AR242" t="str">
            <v>$</v>
          </cell>
          <cell r="AS242">
            <v>0</v>
          </cell>
          <cell r="AW242">
            <v>0</v>
          </cell>
          <cell r="AY242" t="str">
            <v>NB</v>
          </cell>
        </row>
        <row r="243">
          <cell r="AM243">
            <v>0</v>
          </cell>
          <cell r="AP243" t="str">
            <v>Pièces</v>
          </cell>
          <cell r="AQ243" t="str">
            <v>Formation</v>
          </cell>
          <cell r="AR243" t="str">
            <v>$</v>
          </cell>
          <cell r="AS243">
            <v>0</v>
          </cell>
          <cell r="AW243">
            <v>0</v>
          </cell>
          <cell r="AY243" t="str">
            <v>NB</v>
          </cell>
        </row>
        <row r="244">
          <cell r="AM244">
            <v>2256.2399999999998</v>
          </cell>
          <cell r="AP244" t="str">
            <v>SAAQ</v>
          </cell>
          <cell r="AQ244" t="str">
            <v>Formation</v>
          </cell>
          <cell r="AR244" t="str">
            <v>$</v>
          </cell>
          <cell r="AS244">
            <v>0</v>
          </cell>
          <cell r="AW244">
            <v>0</v>
          </cell>
          <cell r="AY244" t="str">
            <v>NB</v>
          </cell>
        </row>
        <row r="245">
          <cell r="AM245">
            <v>0</v>
          </cell>
          <cell r="AP245">
            <v>0</v>
          </cell>
          <cell r="AQ245">
            <v>0</v>
          </cell>
          <cell r="AR245" t="str">
            <v>$</v>
          </cell>
          <cell r="AS245">
            <v>0</v>
          </cell>
          <cell r="AW245">
            <v>0</v>
          </cell>
          <cell r="AY245" t="str">
            <v>NB</v>
          </cell>
        </row>
        <row r="246">
          <cell r="AM246">
            <v>56219.599999999977</v>
          </cell>
          <cell r="AP246" t="str">
            <v>Véhicules neufs</v>
          </cell>
          <cell r="AQ246" t="str">
            <v>Intérêt de gros</v>
          </cell>
          <cell r="AR246" t="str">
            <v>$</v>
          </cell>
          <cell r="AS246">
            <v>0</v>
          </cell>
          <cell r="AW246">
            <v>0</v>
          </cell>
          <cell r="AY246" t="str">
            <v>NB</v>
          </cell>
        </row>
        <row r="247">
          <cell r="AM247">
            <v>1771.640000000014</v>
          </cell>
          <cell r="AP247" t="str">
            <v>Véhicules usagés</v>
          </cell>
          <cell r="AQ247" t="str">
            <v>Intérêt de gros</v>
          </cell>
          <cell r="AR247" t="str">
            <v>$</v>
          </cell>
          <cell r="AS247">
            <v>0</v>
          </cell>
          <cell r="AW247">
            <v>0</v>
          </cell>
          <cell r="AY247" t="str">
            <v>NB</v>
          </cell>
        </row>
        <row r="248">
          <cell r="AM248">
            <v>28692.079999999987</v>
          </cell>
          <cell r="AP248" t="str">
            <v>Wholesale autres</v>
          </cell>
          <cell r="AQ248" t="str">
            <v>Intérêt de gros</v>
          </cell>
          <cell r="AR248" t="str">
            <v>$</v>
          </cell>
          <cell r="AS248">
            <v>0</v>
          </cell>
          <cell r="AW248">
            <v>0</v>
          </cell>
          <cell r="AY248" t="str">
            <v>NB</v>
          </cell>
        </row>
        <row r="249">
          <cell r="AM249">
            <v>0</v>
          </cell>
          <cell r="AP249" t="str">
            <v>Service</v>
          </cell>
          <cell r="AQ249" t="str">
            <v>Divers</v>
          </cell>
          <cell r="AR249" t="str">
            <v>$</v>
          </cell>
          <cell r="AS249">
            <v>0</v>
          </cell>
          <cell r="AW249">
            <v>0</v>
          </cell>
          <cell r="AY249" t="str">
            <v>NB</v>
          </cell>
        </row>
        <row r="250">
          <cell r="AM250">
            <v>0</v>
          </cell>
          <cell r="AP250" t="e">
            <v>#N/A</v>
          </cell>
          <cell r="AQ250" t="e">
            <v>#N/A</v>
          </cell>
          <cell r="AR250" t="str">
            <v>$</v>
          </cell>
          <cell r="AS250" t="e">
            <v>#N/A</v>
          </cell>
          <cell r="AW250">
            <v>0</v>
          </cell>
          <cell r="AY250" t="str">
            <v>NB</v>
          </cell>
        </row>
        <row r="251">
          <cell r="AM251">
            <v>0</v>
          </cell>
          <cell r="AP251" t="e">
            <v>#N/A</v>
          </cell>
          <cell r="AQ251" t="e">
            <v>#N/A</v>
          </cell>
          <cell r="AR251" t="str">
            <v>$</v>
          </cell>
          <cell r="AS251" t="e">
            <v>#N/A</v>
          </cell>
          <cell r="AW251">
            <v>0</v>
          </cell>
          <cell r="AY251" t="str">
            <v>NB</v>
          </cell>
        </row>
        <row r="252">
          <cell r="AM252">
            <v>523.48000000000047</v>
          </cell>
          <cell r="AP252" t="str">
            <v>Véhicules neufs</v>
          </cell>
          <cell r="AQ252" t="str">
            <v>Divers</v>
          </cell>
          <cell r="AR252" t="str">
            <v>$</v>
          </cell>
          <cell r="AS252">
            <v>0</v>
          </cell>
          <cell r="AW252">
            <v>0</v>
          </cell>
          <cell r="AY252" t="str">
            <v>NB</v>
          </cell>
        </row>
        <row r="253">
          <cell r="AM253">
            <v>120.90000000000055</v>
          </cell>
          <cell r="AP253" t="str">
            <v>Véhicules usagés</v>
          </cell>
          <cell r="AQ253" t="str">
            <v>Divers</v>
          </cell>
          <cell r="AR253" t="str">
            <v>$</v>
          </cell>
          <cell r="AS253">
            <v>0</v>
          </cell>
          <cell r="AW253">
            <v>0</v>
          </cell>
          <cell r="AY253" t="str">
            <v>NB</v>
          </cell>
        </row>
        <row r="254">
          <cell r="AM254">
            <v>0</v>
          </cell>
          <cell r="AP254" t="str">
            <v>Wholesale autres</v>
          </cell>
          <cell r="AQ254" t="str">
            <v>Divers</v>
          </cell>
          <cell r="AR254" t="str">
            <v>$</v>
          </cell>
          <cell r="AS254">
            <v>0</v>
          </cell>
          <cell r="AW254">
            <v>0</v>
          </cell>
          <cell r="AY254" t="str">
            <v>NB</v>
          </cell>
        </row>
        <row r="255">
          <cell r="AM255">
            <v>355.52</v>
          </cell>
          <cell r="AP255" t="str">
            <v>Service</v>
          </cell>
          <cell r="AQ255" t="str">
            <v>Divers</v>
          </cell>
          <cell r="AR255" t="str">
            <v>$</v>
          </cell>
          <cell r="AS255">
            <v>0</v>
          </cell>
          <cell r="AW255">
            <v>0</v>
          </cell>
          <cell r="AY255" t="str">
            <v>NB</v>
          </cell>
        </row>
        <row r="256">
          <cell r="AM256">
            <v>60.480000000000018</v>
          </cell>
          <cell r="AP256" t="str">
            <v>Carrosserie</v>
          </cell>
          <cell r="AQ256" t="str">
            <v>Divers</v>
          </cell>
          <cell r="AR256" t="str">
            <v>$</v>
          </cell>
          <cell r="AS256">
            <v>0</v>
          </cell>
          <cell r="AW256">
            <v>0</v>
          </cell>
          <cell r="AY256" t="str">
            <v>NB</v>
          </cell>
        </row>
        <row r="257">
          <cell r="AM257">
            <v>60.419999999999618</v>
          </cell>
          <cell r="AP257" t="str">
            <v>Pièces</v>
          </cell>
          <cell r="AQ257" t="str">
            <v>Divers</v>
          </cell>
          <cell r="AR257" t="str">
            <v>$</v>
          </cell>
          <cell r="AS257">
            <v>0</v>
          </cell>
          <cell r="AW257">
            <v>0</v>
          </cell>
          <cell r="AY257" t="str">
            <v>NB</v>
          </cell>
        </row>
        <row r="258">
          <cell r="AM258">
            <v>0</v>
          </cell>
          <cell r="AP258" t="str">
            <v>SAAQ</v>
          </cell>
          <cell r="AQ258" t="str">
            <v>Divers</v>
          </cell>
          <cell r="AR258" t="str">
            <v>$</v>
          </cell>
          <cell r="AS258">
            <v>0</v>
          </cell>
          <cell r="AW258">
            <v>0</v>
          </cell>
          <cell r="AY258" t="str">
            <v>NB</v>
          </cell>
        </row>
        <row r="259">
          <cell r="AM259">
            <v>0</v>
          </cell>
          <cell r="AP259">
            <v>0</v>
          </cell>
          <cell r="AQ259">
            <v>0</v>
          </cell>
          <cell r="AR259" t="str">
            <v>$</v>
          </cell>
          <cell r="AS259">
            <v>0</v>
          </cell>
          <cell r="AW259">
            <v>0</v>
          </cell>
          <cell r="AY259" t="str">
            <v>NB</v>
          </cell>
        </row>
        <row r="260">
          <cell r="AM260">
            <v>0</v>
          </cell>
          <cell r="AP260" t="e">
            <v>#N/A</v>
          </cell>
          <cell r="AQ260" t="e">
            <v>#N/A</v>
          </cell>
          <cell r="AR260" t="str">
            <v>$</v>
          </cell>
          <cell r="AS260" t="e">
            <v>#N/A</v>
          </cell>
          <cell r="AW260">
            <v>0</v>
          </cell>
          <cell r="AY260" t="str">
            <v>NB</v>
          </cell>
        </row>
        <row r="261">
          <cell r="AM261">
            <v>-131635.74</v>
          </cell>
          <cell r="AP261" t="str">
            <v>Véhicules neufs</v>
          </cell>
          <cell r="AQ261" t="str">
            <v>Crédit Intérêts Floor Plan</v>
          </cell>
          <cell r="AR261" t="str">
            <v>$</v>
          </cell>
          <cell r="AS261">
            <v>0</v>
          </cell>
          <cell r="AW261">
            <v>0</v>
          </cell>
          <cell r="AY261" t="str">
            <v>NB</v>
          </cell>
        </row>
        <row r="262">
          <cell r="AM262">
            <v>0</v>
          </cell>
          <cell r="AP262" t="str">
            <v>Véhicules usagés</v>
          </cell>
          <cell r="AQ262" t="str">
            <v>Crédit Intérêts Floor Plan</v>
          </cell>
          <cell r="AR262" t="str">
            <v>$</v>
          </cell>
          <cell r="AS262">
            <v>0</v>
          </cell>
          <cell r="AW262">
            <v>0</v>
          </cell>
          <cell r="AY262" t="str">
            <v>NB</v>
          </cell>
        </row>
        <row r="263">
          <cell r="AM263">
            <v>0</v>
          </cell>
          <cell r="AP263" t="str">
            <v>Wholesale autres</v>
          </cell>
          <cell r="AQ263" t="str">
            <v>Crédit Intérêts Floor Plan</v>
          </cell>
          <cell r="AR263" t="str">
            <v>$</v>
          </cell>
          <cell r="AS263">
            <v>0</v>
          </cell>
          <cell r="AW263">
            <v>0</v>
          </cell>
          <cell r="AY263" t="str">
            <v>NB</v>
          </cell>
        </row>
        <row r="264">
          <cell r="AM264">
            <v>0</v>
          </cell>
          <cell r="AP264" t="e">
            <v>#N/A</v>
          </cell>
          <cell r="AQ264" t="e">
            <v>#N/A</v>
          </cell>
          <cell r="AR264" t="str">
            <v>$</v>
          </cell>
          <cell r="AS264" t="e">
            <v>#N/A</v>
          </cell>
          <cell r="AW264">
            <v>0</v>
          </cell>
          <cell r="AY264" t="str">
            <v>NB</v>
          </cell>
        </row>
        <row r="265">
          <cell r="AM265">
            <v>10.31</v>
          </cell>
          <cell r="AP265" t="str">
            <v>Véhicules neufs</v>
          </cell>
          <cell r="AQ265" t="str">
            <v>Divers</v>
          </cell>
          <cell r="AR265" t="str">
            <v>$</v>
          </cell>
          <cell r="AS265">
            <v>0</v>
          </cell>
          <cell r="AW265">
            <v>0</v>
          </cell>
          <cell r="AY265" t="str">
            <v>NB</v>
          </cell>
        </row>
        <row r="266">
          <cell r="AM266">
            <v>6.88</v>
          </cell>
          <cell r="AP266" t="str">
            <v>Véhicules usagés</v>
          </cell>
          <cell r="AQ266" t="str">
            <v>Divers</v>
          </cell>
          <cell r="AR266" t="str">
            <v>$</v>
          </cell>
          <cell r="AS266">
            <v>0</v>
          </cell>
          <cell r="AW266">
            <v>0</v>
          </cell>
          <cell r="AY266" t="str">
            <v>NB</v>
          </cell>
        </row>
        <row r="267">
          <cell r="AM267">
            <v>10.31</v>
          </cell>
          <cell r="AP267" t="str">
            <v>Service</v>
          </cell>
          <cell r="AQ267" t="str">
            <v>Divers</v>
          </cell>
          <cell r="AR267" t="str">
            <v>$</v>
          </cell>
          <cell r="AS267">
            <v>0</v>
          </cell>
          <cell r="AW267">
            <v>0</v>
          </cell>
          <cell r="AY267" t="str">
            <v>NB</v>
          </cell>
        </row>
        <row r="268">
          <cell r="AM268">
            <v>3.44</v>
          </cell>
          <cell r="AP268" t="str">
            <v>Carrosserie</v>
          </cell>
          <cell r="AQ268" t="str">
            <v>Divers</v>
          </cell>
          <cell r="AR268" t="str">
            <v>$</v>
          </cell>
          <cell r="AS268">
            <v>0</v>
          </cell>
          <cell r="AW268">
            <v>0</v>
          </cell>
          <cell r="AY268" t="str">
            <v>NB</v>
          </cell>
        </row>
        <row r="269">
          <cell r="AM269">
            <v>3.44</v>
          </cell>
          <cell r="AP269" t="str">
            <v>Pièces</v>
          </cell>
          <cell r="AQ269" t="str">
            <v>Divers</v>
          </cell>
          <cell r="AR269" t="str">
            <v>$</v>
          </cell>
          <cell r="AS269">
            <v>0</v>
          </cell>
          <cell r="AW269">
            <v>0</v>
          </cell>
          <cell r="AY269" t="str">
            <v>NB</v>
          </cell>
        </row>
        <row r="270">
          <cell r="AM270">
            <v>0</v>
          </cell>
          <cell r="AP270" t="e">
            <v>#N/A</v>
          </cell>
          <cell r="AQ270" t="e">
            <v>#N/A</v>
          </cell>
          <cell r="AR270" t="str">
            <v>$</v>
          </cell>
          <cell r="AS270" t="e">
            <v>#N/A</v>
          </cell>
          <cell r="AW270">
            <v>0</v>
          </cell>
          <cell r="AY270" t="str">
            <v>NB</v>
          </cell>
        </row>
        <row r="271">
          <cell r="AM271">
            <v>21315</v>
          </cell>
          <cell r="AP271" t="str">
            <v>Véhicules neufs</v>
          </cell>
          <cell r="AQ271" t="str">
            <v>Loyer</v>
          </cell>
          <cell r="AR271" t="str">
            <v>$</v>
          </cell>
          <cell r="AS271">
            <v>0</v>
          </cell>
          <cell r="AW271">
            <v>0</v>
          </cell>
          <cell r="AY271" t="str">
            <v>NB</v>
          </cell>
        </row>
        <row r="272">
          <cell r="AM272">
            <v>14210</v>
          </cell>
          <cell r="AP272" t="str">
            <v>Véhicules usagés</v>
          </cell>
          <cell r="AQ272" t="str">
            <v>Loyer</v>
          </cell>
          <cell r="AR272" t="str">
            <v>$</v>
          </cell>
          <cell r="AS272">
            <v>0</v>
          </cell>
          <cell r="AW272">
            <v>0</v>
          </cell>
          <cell r="AY272" t="str">
            <v>NB</v>
          </cell>
        </row>
        <row r="273">
          <cell r="AM273">
            <v>0</v>
          </cell>
          <cell r="AP273" t="str">
            <v>Wholesale autres</v>
          </cell>
          <cell r="AQ273" t="str">
            <v>Loyer</v>
          </cell>
          <cell r="AR273" t="str">
            <v>$</v>
          </cell>
          <cell r="AS273">
            <v>0</v>
          </cell>
          <cell r="AW273">
            <v>0</v>
          </cell>
          <cell r="AY273" t="str">
            <v>NB</v>
          </cell>
        </row>
        <row r="274">
          <cell r="AM274">
            <v>21315</v>
          </cell>
          <cell r="AP274" t="str">
            <v>Service</v>
          </cell>
          <cell r="AQ274" t="str">
            <v>Loyer</v>
          </cell>
          <cell r="AR274" t="str">
            <v>$</v>
          </cell>
          <cell r="AS274">
            <v>0</v>
          </cell>
          <cell r="AW274">
            <v>0</v>
          </cell>
          <cell r="AY274" t="str">
            <v>NB</v>
          </cell>
        </row>
        <row r="275">
          <cell r="AM275">
            <v>7105</v>
          </cell>
          <cell r="AP275" t="str">
            <v>Carrosserie</v>
          </cell>
          <cell r="AQ275" t="str">
            <v>Loyer</v>
          </cell>
          <cell r="AR275" t="str">
            <v>$</v>
          </cell>
          <cell r="AS275">
            <v>0</v>
          </cell>
          <cell r="AW275">
            <v>0</v>
          </cell>
          <cell r="AY275" t="str">
            <v>NB</v>
          </cell>
        </row>
        <row r="276">
          <cell r="AM276">
            <v>7105</v>
          </cell>
          <cell r="AP276" t="str">
            <v>Pièces</v>
          </cell>
          <cell r="AQ276" t="str">
            <v>Loyer</v>
          </cell>
          <cell r="AR276" t="str">
            <v>$</v>
          </cell>
          <cell r="AS276">
            <v>0</v>
          </cell>
          <cell r="AW276">
            <v>0</v>
          </cell>
          <cell r="AY276" t="str">
            <v>NB</v>
          </cell>
        </row>
        <row r="277">
          <cell r="AM277">
            <v>0</v>
          </cell>
          <cell r="AP277" t="e">
            <v>#N/A</v>
          </cell>
          <cell r="AQ277" t="e">
            <v>#N/A</v>
          </cell>
          <cell r="AR277" t="str">
            <v>$</v>
          </cell>
          <cell r="AS277" t="e">
            <v>#N/A</v>
          </cell>
          <cell r="AW277">
            <v>0</v>
          </cell>
          <cell r="AY277" t="str">
            <v>NB</v>
          </cell>
        </row>
        <row r="278">
          <cell r="AM278">
            <v>0</v>
          </cell>
          <cell r="AP278" t="str">
            <v>Véhicules neufs</v>
          </cell>
          <cell r="AQ278" t="str">
            <v>Loyer</v>
          </cell>
          <cell r="AR278" t="str">
            <v>$</v>
          </cell>
          <cell r="AS278">
            <v>0</v>
          </cell>
          <cell r="AW278">
            <v>0</v>
          </cell>
          <cell r="AY278" t="str">
            <v>NB</v>
          </cell>
        </row>
        <row r="279">
          <cell r="AM279">
            <v>0</v>
          </cell>
          <cell r="AP279" t="str">
            <v>Véhicules usagés</v>
          </cell>
          <cell r="AQ279" t="str">
            <v>Loyer</v>
          </cell>
          <cell r="AR279" t="str">
            <v>$</v>
          </cell>
          <cell r="AS279">
            <v>0</v>
          </cell>
          <cell r="AW279">
            <v>0</v>
          </cell>
          <cell r="AY279" t="str">
            <v>NB</v>
          </cell>
        </row>
        <row r="280">
          <cell r="AM280">
            <v>0</v>
          </cell>
          <cell r="AP280" t="str">
            <v>Wholesale autres</v>
          </cell>
          <cell r="AQ280" t="str">
            <v>Loyer</v>
          </cell>
          <cell r="AR280" t="str">
            <v>$</v>
          </cell>
          <cell r="AS280">
            <v>0</v>
          </cell>
          <cell r="AW280">
            <v>0</v>
          </cell>
          <cell r="AY280" t="str">
            <v>NB</v>
          </cell>
        </row>
        <row r="281">
          <cell r="AM281">
            <v>0</v>
          </cell>
          <cell r="AP281" t="str">
            <v>Service</v>
          </cell>
          <cell r="AQ281" t="str">
            <v>Loyer</v>
          </cell>
          <cell r="AR281" t="str">
            <v>$</v>
          </cell>
          <cell r="AS281">
            <v>0</v>
          </cell>
          <cell r="AW281">
            <v>0</v>
          </cell>
          <cell r="AY281" t="str">
            <v>NB</v>
          </cell>
        </row>
        <row r="282">
          <cell r="AM282">
            <v>0</v>
          </cell>
          <cell r="AP282" t="str">
            <v>Carrosserie</v>
          </cell>
          <cell r="AQ282" t="str">
            <v>Loyer</v>
          </cell>
          <cell r="AR282" t="str">
            <v>$</v>
          </cell>
          <cell r="AS282">
            <v>0</v>
          </cell>
          <cell r="AW282">
            <v>0</v>
          </cell>
          <cell r="AY282" t="str">
            <v>NB</v>
          </cell>
        </row>
        <row r="283">
          <cell r="AM283">
            <v>0</v>
          </cell>
          <cell r="AP283" t="str">
            <v>Pièces</v>
          </cell>
          <cell r="AQ283" t="str">
            <v>Loyer</v>
          </cell>
          <cell r="AR283" t="str">
            <v>$</v>
          </cell>
          <cell r="AS283">
            <v>0</v>
          </cell>
          <cell r="AW283">
            <v>0</v>
          </cell>
          <cell r="AY283" t="str">
            <v>NB</v>
          </cell>
        </row>
        <row r="284">
          <cell r="AM284">
            <v>0</v>
          </cell>
          <cell r="AP284" t="e">
            <v>#N/A</v>
          </cell>
          <cell r="AQ284" t="e">
            <v>#N/A</v>
          </cell>
          <cell r="AR284" t="str">
            <v>$</v>
          </cell>
          <cell r="AS284" t="e">
            <v>#N/A</v>
          </cell>
          <cell r="AW284">
            <v>0</v>
          </cell>
          <cell r="AY284" t="str">
            <v>NB</v>
          </cell>
        </row>
        <row r="285">
          <cell r="AM285">
            <v>2924.9200000000019</v>
          </cell>
          <cell r="AP285" t="str">
            <v>Véhicules neufs</v>
          </cell>
          <cell r="AQ285" t="str">
            <v>Services extérieurs</v>
          </cell>
          <cell r="AR285" t="str">
            <v>$</v>
          </cell>
          <cell r="AS285">
            <v>0</v>
          </cell>
          <cell r="AW285">
            <v>0</v>
          </cell>
          <cell r="AY285" t="str">
            <v>NB</v>
          </cell>
        </row>
        <row r="286">
          <cell r="AM286">
            <v>1611.9300000000003</v>
          </cell>
          <cell r="AP286" t="str">
            <v>Véhicules usagés</v>
          </cell>
          <cell r="AQ286" t="str">
            <v>Services extérieurs</v>
          </cell>
          <cell r="AR286" t="str">
            <v>$</v>
          </cell>
          <cell r="AS286">
            <v>0</v>
          </cell>
          <cell r="AW286">
            <v>0</v>
          </cell>
          <cell r="AY286" t="str">
            <v>NB</v>
          </cell>
        </row>
        <row r="287">
          <cell r="AM287">
            <v>0</v>
          </cell>
          <cell r="AP287" t="str">
            <v>Wholesale autres</v>
          </cell>
          <cell r="AQ287" t="str">
            <v>Services extérieurs</v>
          </cell>
          <cell r="AR287" t="str">
            <v>$</v>
          </cell>
          <cell r="AS287">
            <v>0</v>
          </cell>
          <cell r="AW287">
            <v>0</v>
          </cell>
          <cell r="AY287" t="str">
            <v>NB</v>
          </cell>
        </row>
        <row r="288">
          <cell r="AM288">
            <v>2417.8899999999994</v>
          </cell>
          <cell r="AP288" t="str">
            <v>Service</v>
          </cell>
          <cell r="AQ288" t="str">
            <v>Services extérieurs</v>
          </cell>
          <cell r="AR288" t="str">
            <v>$</v>
          </cell>
          <cell r="AS288">
            <v>0</v>
          </cell>
          <cell r="AW288">
            <v>0</v>
          </cell>
          <cell r="AY288" t="str">
            <v>NB</v>
          </cell>
        </row>
        <row r="289">
          <cell r="AM289">
            <v>805.95999999999913</v>
          </cell>
          <cell r="AP289" t="str">
            <v>Carrosserie</v>
          </cell>
          <cell r="AQ289" t="str">
            <v>Services extérieurs</v>
          </cell>
          <cell r="AR289" t="str">
            <v>$</v>
          </cell>
          <cell r="AS289">
            <v>0</v>
          </cell>
          <cell r="AW289">
            <v>0</v>
          </cell>
          <cell r="AY289" t="str">
            <v>NB</v>
          </cell>
        </row>
        <row r="290">
          <cell r="AM290">
            <v>805.97999999999956</v>
          </cell>
          <cell r="AP290" t="str">
            <v>Pièces</v>
          </cell>
          <cell r="AQ290" t="str">
            <v>Services extérieurs</v>
          </cell>
          <cell r="AR290" t="str">
            <v>$</v>
          </cell>
          <cell r="AS290">
            <v>0</v>
          </cell>
          <cell r="AW290">
            <v>0</v>
          </cell>
          <cell r="AY290" t="str">
            <v>NB</v>
          </cell>
        </row>
        <row r="291">
          <cell r="AM291">
            <v>0</v>
          </cell>
          <cell r="AP291" t="e">
            <v>#N/A</v>
          </cell>
          <cell r="AQ291" t="e">
            <v>#N/A</v>
          </cell>
          <cell r="AR291" t="str">
            <v>$</v>
          </cell>
          <cell r="AS291" t="e">
            <v>#N/A</v>
          </cell>
          <cell r="AW291">
            <v>0</v>
          </cell>
          <cell r="AY291" t="str">
            <v>NB</v>
          </cell>
        </row>
        <row r="292">
          <cell r="AM292">
            <v>28.5</v>
          </cell>
          <cell r="AP292" t="str">
            <v>Véhicules neufs</v>
          </cell>
          <cell r="AQ292" t="str">
            <v>Amortissement</v>
          </cell>
          <cell r="AR292" t="str">
            <v>$</v>
          </cell>
          <cell r="AS292">
            <v>0</v>
          </cell>
          <cell r="AW292">
            <v>0</v>
          </cell>
          <cell r="AY292" t="str">
            <v>NB</v>
          </cell>
        </row>
        <row r="293">
          <cell r="AM293">
            <v>19</v>
          </cell>
          <cell r="AP293" t="str">
            <v>Véhicules usagés</v>
          </cell>
          <cell r="AQ293" t="str">
            <v>Amortissement</v>
          </cell>
          <cell r="AR293" t="str">
            <v>$</v>
          </cell>
          <cell r="AS293">
            <v>0</v>
          </cell>
          <cell r="AW293">
            <v>0</v>
          </cell>
          <cell r="AY293" t="str">
            <v>NB</v>
          </cell>
        </row>
        <row r="294">
          <cell r="AM294">
            <v>28.5</v>
          </cell>
          <cell r="AP294" t="str">
            <v>Service</v>
          </cell>
          <cell r="AQ294" t="str">
            <v>Amortissement</v>
          </cell>
          <cell r="AR294" t="str">
            <v>$</v>
          </cell>
          <cell r="AS294">
            <v>0</v>
          </cell>
          <cell r="AW294">
            <v>0</v>
          </cell>
          <cell r="AY294" t="str">
            <v>NB</v>
          </cell>
        </row>
        <row r="295">
          <cell r="AM295">
            <v>9.5</v>
          </cell>
          <cell r="AP295" t="str">
            <v>Carrosserie</v>
          </cell>
          <cell r="AQ295" t="str">
            <v>Amortissement</v>
          </cell>
          <cell r="AR295" t="str">
            <v>$</v>
          </cell>
          <cell r="AS295">
            <v>0</v>
          </cell>
          <cell r="AW295">
            <v>0</v>
          </cell>
          <cell r="AY295" t="str">
            <v>NB</v>
          </cell>
        </row>
        <row r="296">
          <cell r="AM296">
            <v>9.5</v>
          </cell>
          <cell r="AP296" t="str">
            <v>Pièces</v>
          </cell>
          <cell r="AQ296" t="str">
            <v>Amortissement</v>
          </cell>
          <cell r="AR296" t="str">
            <v>$</v>
          </cell>
          <cell r="AS296">
            <v>0</v>
          </cell>
          <cell r="AW296">
            <v>0</v>
          </cell>
          <cell r="AY296" t="str">
            <v>NB</v>
          </cell>
        </row>
        <row r="297">
          <cell r="AM297">
            <v>0</v>
          </cell>
          <cell r="AP297" t="e">
            <v>#N/A</v>
          </cell>
          <cell r="AQ297" t="e">
            <v>#N/A</v>
          </cell>
          <cell r="AR297" t="str">
            <v>$</v>
          </cell>
          <cell r="AS297" t="e">
            <v>#N/A</v>
          </cell>
          <cell r="AW297">
            <v>0</v>
          </cell>
          <cell r="AY297" t="str">
            <v>NB</v>
          </cell>
        </row>
        <row r="298">
          <cell r="AM298">
            <v>2116.1699999999983</v>
          </cell>
          <cell r="AP298" t="str">
            <v>Véhicules neufs</v>
          </cell>
          <cell r="AQ298" t="str">
            <v>Taxes foncières</v>
          </cell>
          <cell r="AR298" t="str">
            <v>$</v>
          </cell>
          <cell r="AS298">
            <v>0</v>
          </cell>
          <cell r="AW298">
            <v>0</v>
          </cell>
          <cell r="AY298" t="str">
            <v>NB</v>
          </cell>
        </row>
        <row r="299">
          <cell r="AM299">
            <v>1410.7800000000007</v>
          </cell>
          <cell r="AP299" t="str">
            <v>Véhicules usagés</v>
          </cell>
          <cell r="AQ299" t="str">
            <v>Taxes foncières</v>
          </cell>
          <cell r="AR299" t="str">
            <v>$</v>
          </cell>
          <cell r="AS299">
            <v>0</v>
          </cell>
          <cell r="AW299">
            <v>0</v>
          </cell>
          <cell r="AY299" t="str">
            <v>NB</v>
          </cell>
        </row>
        <row r="300">
          <cell r="AM300">
            <v>2116.1699999999983</v>
          </cell>
          <cell r="AP300" t="str">
            <v>Service</v>
          </cell>
          <cell r="AQ300" t="str">
            <v>Taxes foncières</v>
          </cell>
          <cell r="AR300" t="str">
            <v>$</v>
          </cell>
          <cell r="AS300">
            <v>0</v>
          </cell>
          <cell r="AW300">
            <v>0</v>
          </cell>
          <cell r="AY300" t="str">
            <v>NB</v>
          </cell>
        </row>
        <row r="301">
          <cell r="AM301">
            <v>705.39000000000033</v>
          </cell>
          <cell r="AP301" t="str">
            <v>Carrosserie</v>
          </cell>
          <cell r="AQ301" t="str">
            <v>Taxes foncières</v>
          </cell>
          <cell r="AR301" t="str">
            <v>$</v>
          </cell>
          <cell r="AS301">
            <v>0</v>
          </cell>
          <cell r="AW301">
            <v>0</v>
          </cell>
          <cell r="AY301" t="str">
            <v>NB</v>
          </cell>
        </row>
        <row r="302">
          <cell r="AM302">
            <v>705.38000000000011</v>
          </cell>
          <cell r="AP302" t="str">
            <v>Pièces</v>
          </cell>
          <cell r="AQ302" t="str">
            <v>Taxes foncières</v>
          </cell>
          <cell r="AR302" t="str">
            <v>$</v>
          </cell>
          <cell r="AS302">
            <v>0</v>
          </cell>
          <cell r="AW302">
            <v>0</v>
          </cell>
          <cell r="AY302" t="str">
            <v>NB</v>
          </cell>
        </row>
        <row r="303">
          <cell r="AM303">
            <v>0</v>
          </cell>
          <cell r="AP303" t="e">
            <v>#N/A</v>
          </cell>
          <cell r="AQ303" t="e">
            <v>#N/A</v>
          </cell>
          <cell r="AR303" t="str">
            <v>$</v>
          </cell>
          <cell r="AS303" t="e">
            <v>#N/A</v>
          </cell>
          <cell r="AW303">
            <v>0</v>
          </cell>
          <cell r="AY303" t="str">
            <v>NB</v>
          </cell>
        </row>
        <row r="304">
          <cell r="AM304">
            <v>2352.3899999999994</v>
          </cell>
          <cell r="AP304" t="str">
            <v>Véhicules neufs</v>
          </cell>
          <cell r="AQ304" t="str">
            <v>Assurances</v>
          </cell>
          <cell r="AR304" t="str">
            <v>$</v>
          </cell>
          <cell r="AS304">
            <v>0</v>
          </cell>
          <cell r="AW304">
            <v>0</v>
          </cell>
          <cell r="AY304" t="str">
            <v>NB</v>
          </cell>
        </row>
        <row r="305">
          <cell r="AM305">
            <v>1568.2599999999993</v>
          </cell>
          <cell r="AP305" t="str">
            <v>Véhicules usagés</v>
          </cell>
          <cell r="AQ305" t="str">
            <v>Assurances</v>
          </cell>
          <cell r="AR305" t="str">
            <v>$</v>
          </cell>
          <cell r="AS305">
            <v>0</v>
          </cell>
          <cell r="AW305">
            <v>0</v>
          </cell>
          <cell r="AY305" t="str">
            <v>NB</v>
          </cell>
        </row>
        <row r="306">
          <cell r="AM306">
            <v>2352.3899999999994</v>
          </cell>
          <cell r="AP306" t="str">
            <v>Service</v>
          </cell>
          <cell r="AQ306" t="str">
            <v>Assurances</v>
          </cell>
          <cell r="AR306" t="str">
            <v>$</v>
          </cell>
          <cell r="AS306">
            <v>0</v>
          </cell>
          <cell r="AW306">
            <v>0</v>
          </cell>
          <cell r="AY306" t="str">
            <v>NB</v>
          </cell>
        </row>
        <row r="307">
          <cell r="AM307">
            <v>784.13000000000011</v>
          </cell>
          <cell r="AP307" t="str">
            <v>Carrosserie</v>
          </cell>
          <cell r="AQ307" t="str">
            <v>Assurances</v>
          </cell>
          <cell r="AR307" t="str">
            <v>$</v>
          </cell>
          <cell r="AS307">
            <v>0</v>
          </cell>
          <cell r="AW307">
            <v>0</v>
          </cell>
          <cell r="AY307" t="str">
            <v>NB</v>
          </cell>
        </row>
        <row r="308">
          <cell r="AM308">
            <v>784.14000000000033</v>
          </cell>
          <cell r="AP308" t="str">
            <v>Pièces</v>
          </cell>
          <cell r="AQ308" t="str">
            <v>Assurances</v>
          </cell>
          <cell r="AR308" t="str">
            <v>$</v>
          </cell>
          <cell r="AS308">
            <v>0</v>
          </cell>
          <cell r="AW308">
            <v>0</v>
          </cell>
          <cell r="AY308" t="str">
            <v>NB</v>
          </cell>
        </row>
        <row r="309">
          <cell r="AM309">
            <v>0</v>
          </cell>
          <cell r="AP309" t="e">
            <v>#N/A</v>
          </cell>
          <cell r="AQ309" t="e">
            <v>#N/A</v>
          </cell>
          <cell r="AR309" t="str">
            <v>$</v>
          </cell>
          <cell r="AS309" t="e">
            <v>#N/A</v>
          </cell>
          <cell r="AW309">
            <v>0</v>
          </cell>
          <cell r="AY309" t="str">
            <v>NB</v>
          </cell>
        </row>
        <row r="310">
          <cell r="AM310">
            <v>3330</v>
          </cell>
          <cell r="AP310" t="str">
            <v>Véhicules neufs</v>
          </cell>
          <cell r="AQ310" t="str">
            <v>Chauffage, éclairage</v>
          </cell>
          <cell r="AR310" t="str">
            <v>$</v>
          </cell>
          <cell r="AS310">
            <v>0</v>
          </cell>
          <cell r="AW310">
            <v>0</v>
          </cell>
          <cell r="AY310" t="str">
            <v>NB</v>
          </cell>
        </row>
        <row r="311">
          <cell r="AM311">
            <v>2220</v>
          </cell>
          <cell r="AP311" t="str">
            <v>Véhicules usagés</v>
          </cell>
          <cell r="AQ311" t="str">
            <v>Chauffage, éclairage</v>
          </cell>
          <cell r="AR311" t="str">
            <v>$</v>
          </cell>
          <cell r="AS311">
            <v>0</v>
          </cell>
          <cell r="AW311">
            <v>0</v>
          </cell>
          <cell r="AY311" t="str">
            <v>NB</v>
          </cell>
        </row>
        <row r="312">
          <cell r="AM312">
            <v>3330</v>
          </cell>
          <cell r="AP312" t="str">
            <v>Service</v>
          </cell>
          <cell r="AQ312" t="str">
            <v>Chauffage, éclairage</v>
          </cell>
          <cell r="AR312" t="str">
            <v>$</v>
          </cell>
          <cell r="AS312">
            <v>0</v>
          </cell>
          <cell r="AW312">
            <v>0</v>
          </cell>
          <cell r="AY312" t="str">
            <v>NB</v>
          </cell>
        </row>
        <row r="313">
          <cell r="AM313">
            <v>1110</v>
          </cell>
          <cell r="AP313" t="str">
            <v>Carrosserie</v>
          </cell>
          <cell r="AQ313" t="str">
            <v>Chauffage, éclairage</v>
          </cell>
          <cell r="AR313" t="str">
            <v>$</v>
          </cell>
          <cell r="AS313">
            <v>0</v>
          </cell>
          <cell r="AW313">
            <v>0</v>
          </cell>
          <cell r="AY313" t="str">
            <v>NB</v>
          </cell>
        </row>
        <row r="314">
          <cell r="AM314">
            <v>1110</v>
          </cell>
          <cell r="AP314" t="str">
            <v>Pièces</v>
          </cell>
          <cell r="AQ314" t="str">
            <v>Chauffage, éclairage</v>
          </cell>
          <cell r="AR314" t="str">
            <v>$</v>
          </cell>
          <cell r="AS314">
            <v>0</v>
          </cell>
          <cell r="AW314">
            <v>0</v>
          </cell>
          <cell r="AY314" t="str">
            <v>NB</v>
          </cell>
        </row>
        <row r="315">
          <cell r="AM315">
            <v>0</v>
          </cell>
          <cell r="AP315" t="e">
            <v>#N/A</v>
          </cell>
          <cell r="AQ315" t="e">
            <v>#N/A</v>
          </cell>
          <cell r="AR315" t="str">
            <v>$</v>
          </cell>
          <cell r="AS315" t="e">
            <v>#N/A</v>
          </cell>
          <cell r="AW315">
            <v>0</v>
          </cell>
          <cell r="AY315" t="str">
            <v>NB</v>
          </cell>
        </row>
        <row r="316">
          <cell r="AM316">
            <v>0</v>
          </cell>
          <cell r="AP316">
            <v>0</v>
          </cell>
          <cell r="AQ316">
            <v>0</v>
          </cell>
          <cell r="AR316" t="str">
            <v>$</v>
          </cell>
          <cell r="AS316">
            <v>0</v>
          </cell>
          <cell r="AW316">
            <v>0</v>
          </cell>
          <cell r="AY316" t="str">
            <v>NB</v>
          </cell>
        </row>
        <row r="317">
          <cell r="AM317">
            <v>0</v>
          </cell>
          <cell r="AP317">
            <v>0</v>
          </cell>
          <cell r="AQ317">
            <v>0</v>
          </cell>
          <cell r="AR317" t="str">
            <v>$</v>
          </cell>
          <cell r="AS317">
            <v>0</v>
          </cell>
          <cell r="AW317">
            <v>0</v>
          </cell>
          <cell r="AY317" t="str">
            <v>NB</v>
          </cell>
        </row>
        <row r="318">
          <cell r="AM318">
            <v>0</v>
          </cell>
          <cell r="AP318">
            <v>0</v>
          </cell>
          <cell r="AQ318">
            <v>0</v>
          </cell>
          <cell r="AR318" t="str">
            <v>$</v>
          </cell>
          <cell r="AS318">
            <v>0</v>
          </cell>
          <cell r="AW318">
            <v>0</v>
          </cell>
          <cell r="AY318" t="str">
            <v>NB</v>
          </cell>
        </row>
        <row r="319">
          <cell r="AM319">
            <v>0</v>
          </cell>
          <cell r="AP319">
            <v>0</v>
          </cell>
          <cell r="AQ319">
            <v>0</v>
          </cell>
          <cell r="AR319" t="str">
            <v>$</v>
          </cell>
          <cell r="AS319">
            <v>0</v>
          </cell>
          <cell r="AW319">
            <v>0</v>
          </cell>
          <cell r="AY319" t="str">
            <v>NB</v>
          </cell>
        </row>
        <row r="320">
          <cell r="AM320">
            <v>0</v>
          </cell>
          <cell r="AP320">
            <v>0</v>
          </cell>
          <cell r="AQ320">
            <v>0</v>
          </cell>
          <cell r="AR320" t="str">
            <v>$</v>
          </cell>
          <cell r="AS320">
            <v>0</v>
          </cell>
          <cell r="AW320">
            <v>0</v>
          </cell>
          <cell r="AY320" t="str">
            <v>NB</v>
          </cell>
        </row>
        <row r="321">
          <cell r="AM321">
            <v>0</v>
          </cell>
          <cell r="AP321" t="e">
            <v>#N/A</v>
          </cell>
          <cell r="AQ321" t="e">
            <v>#N/A</v>
          </cell>
          <cell r="AR321" t="str">
            <v>$</v>
          </cell>
          <cell r="AS321" t="e">
            <v>#N/A</v>
          </cell>
          <cell r="AW321">
            <v>0</v>
          </cell>
          <cell r="AY321" t="str">
            <v>NB</v>
          </cell>
        </row>
        <row r="322">
          <cell r="AM322">
            <v>4418.2799999999988</v>
          </cell>
          <cell r="AP322" t="str">
            <v>Véhicules neufs</v>
          </cell>
          <cell r="AQ322" t="str">
            <v>Taxes d`affaires</v>
          </cell>
          <cell r="AR322" t="str">
            <v>$</v>
          </cell>
          <cell r="AS322">
            <v>0</v>
          </cell>
          <cell r="AW322">
            <v>0</v>
          </cell>
          <cell r="AY322" t="str">
            <v>NB</v>
          </cell>
        </row>
        <row r="323">
          <cell r="AM323">
            <v>2945.5200000000023</v>
          </cell>
          <cell r="AP323" t="str">
            <v>Véhicules usagés</v>
          </cell>
          <cell r="AQ323" t="str">
            <v>Taxes d`affaires</v>
          </cell>
          <cell r="AR323" t="str">
            <v>$</v>
          </cell>
          <cell r="AS323">
            <v>0</v>
          </cell>
          <cell r="AW323">
            <v>0</v>
          </cell>
          <cell r="AY323" t="str">
            <v>NB</v>
          </cell>
        </row>
        <row r="324">
          <cell r="AM324">
            <v>0</v>
          </cell>
          <cell r="AP324" t="str">
            <v>Wholesale autres</v>
          </cell>
          <cell r="AQ324" t="str">
            <v>Taxes d`affaires</v>
          </cell>
          <cell r="AR324" t="str">
            <v>$</v>
          </cell>
          <cell r="AS324">
            <v>0</v>
          </cell>
          <cell r="AW324">
            <v>0</v>
          </cell>
          <cell r="AY324" t="str">
            <v>NB</v>
          </cell>
        </row>
        <row r="325">
          <cell r="AM325">
            <v>4418.2799999999988</v>
          </cell>
          <cell r="AP325" t="str">
            <v>Service</v>
          </cell>
          <cell r="AQ325" t="str">
            <v>Taxes d`affaires</v>
          </cell>
          <cell r="AR325" t="str">
            <v>$</v>
          </cell>
          <cell r="AS325">
            <v>0</v>
          </cell>
          <cell r="AW325">
            <v>0</v>
          </cell>
          <cell r="AY325" t="str">
            <v>NB</v>
          </cell>
        </row>
        <row r="326">
          <cell r="AM326">
            <v>1472.7600000000011</v>
          </cell>
          <cell r="AP326" t="str">
            <v>Carrosserie</v>
          </cell>
          <cell r="AQ326" t="str">
            <v>Taxes d`affaires</v>
          </cell>
          <cell r="AR326" t="str">
            <v>$</v>
          </cell>
          <cell r="AS326">
            <v>0</v>
          </cell>
          <cell r="AW326">
            <v>0</v>
          </cell>
          <cell r="AY326" t="str">
            <v>NB</v>
          </cell>
        </row>
        <row r="327">
          <cell r="AM327">
            <v>1472.7699999999995</v>
          </cell>
          <cell r="AP327" t="str">
            <v>Pièces</v>
          </cell>
          <cell r="AQ327" t="str">
            <v>Taxes d`affaires</v>
          </cell>
          <cell r="AR327" t="str">
            <v>$</v>
          </cell>
          <cell r="AS327">
            <v>0</v>
          </cell>
          <cell r="AW327">
            <v>0</v>
          </cell>
          <cell r="AY327" t="str">
            <v>NB</v>
          </cell>
        </row>
        <row r="328">
          <cell r="AM328">
            <v>0</v>
          </cell>
          <cell r="AP328" t="e">
            <v>#N/A</v>
          </cell>
          <cell r="AQ328" t="e">
            <v>#N/A</v>
          </cell>
          <cell r="AR328" t="str">
            <v>$</v>
          </cell>
          <cell r="AS328" t="e">
            <v>#N/A</v>
          </cell>
          <cell r="AW328">
            <v>0</v>
          </cell>
          <cell r="AY328" t="str">
            <v>NB</v>
          </cell>
        </row>
        <row r="329">
          <cell r="AM329">
            <v>0</v>
          </cell>
          <cell r="AP329" t="str">
            <v>Véhicules neufs</v>
          </cell>
          <cell r="AQ329" t="str">
            <v>Réparation équipement</v>
          </cell>
          <cell r="AR329" t="str">
            <v>$</v>
          </cell>
          <cell r="AS329">
            <v>0</v>
          </cell>
          <cell r="AW329">
            <v>0</v>
          </cell>
          <cell r="AY329" t="str">
            <v>NB</v>
          </cell>
        </row>
        <row r="330">
          <cell r="AM330">
            <v>0</v>
          </cell>
          <cell r="AP330" t="str">
            <v>Véhicules usagés</v>
          </cell>
          <cell r="AQ330" t="str">
            <v>Réparation équipement</v>
          </cell>
          <cell r="AR330" t="str">
            <v>$</v>
          </cell>
          <cell r="AS330">
            <v>0</v>
          </cell>
          <cell r="AW330">
            <v>0</v>
          </cell>
          <cell r="AY330" t="str">
            <v>NB</v>
          </cell>
        </row>
        <row r="331">
          <cell r="AM331">
            <v>464.31999999999971</v>
          </cell>
          <cell r="AP331" t="str">
            <v>Service</v>
          </cell>
          <cell r="AQ331" t="str">
            <v>Réparation équipement</v>
          </cell>
          <cell r="AR331" t="str">
            <v>$</v>
          </cell>
          <cell r="AS331">
            <v>0</v>
          </cell>
          <cell r="AW331">
            <v>0</v>
          </cell>
          <cell r="AY331" t="str">
            <v>NB</v>
          </cell>
        </row>
        <row r="332">
          <cell r="AM332">
            <v>1754.1800000000003</v>
          </cell>
          <cell r="AP332" t="str">
            <v>Carrosserie</v>
          </cell>
          <cell r="AQ332" t="str">
            <v>Réparation équipement</v>
          </cell>
          <cell r="AR332" t="str">
            <v>$</v>
          </cell>
          <cell r="AS332">
            <v>0</v>
          </cell>
          <cell r="AW332">
            <v>0</v>
          </cell>
          <cell r="AY332" t="str">
            <v>NB</v>
          </cell>
        </row>
        <row r="333">
          <cell r="AM333">
            <v>0</v>
          </cell>
          <cell r="AP333" t="str">
            <v>Pièces</v>
          </cell>
          <cell r="AQ333" t="str">
            <v>Réparation équipement</v>
          </cell>
          <cell r="AR333" t="str">
            <v>$</v>
          </cell>
          <cell r="AS333">
            <v>0</v>
          </cell>
          <cell r="AW333">
            <v>0</v>
          </cell>
          <cell r="AY333" t="str">
            <v>NB</v>
          </cell>
        </row>
        <row r="334">
          <cell r="AM334">
            <v>1121.6300000000001</v>
          </cell>
          <cell r="AP334" t="str">
            <v>SAAQ</v>
          </cell>
          <cell r="AQ334" t="str">
            <v>Réparation équipement</v>
          </cell>
          <cell r="AR334" t="str">
            <v>$</v>
          </cell>
          <cell r="AS334">
            <v>0</v>
          </cell>
          <cell r="AW334">
            <v>0</v>
          </cell>
          <cell r="AY334" t="str">
            <v>NB</v>
          </cell>
        </row>
        <row r="335">
          <cell r="AM335">
            <v>0</v>
          </cell>
          <cell r="AP335" t="e">
            <v>#N/A</v>
          </cell>
          <cell r="AQ335" t="e">
            <v>#N/A</v>
          </cell>
          <cell r="AR335" t="str">
            <v>$</v>
          </cell>
          <cell r="AS335" t="e">
            <v>#N/A</v>
          </cell>
          <cell r="AW335">
            <v>0</v>
          </cell>
          <cell r="AY335" t="str">
            <v>NB</v>
          </cell>
        </row>
        <row r="336">
          <cell r="AM336">
            <v>3214.5</v>
          </cell>
          <cell r="AP336" t="str">
            <v>Véhicules neufs</v>
          </cell>
          <cell r="AQ336" t="str">
            <v>Amortissement</v>
          </cell>
          <cell r="AR336" t="str">
            <v>$</v>
          </cell>
          <cell r="AS336">
            <v>0</v>
          </cell>
          <cell r="AW336">
            <v>0</v>
          </cell>
          <cell r="AY336" t="str">
            <v>NB</v>
          </cell>
        </row>
        <row r="337">
          <cell r="AM337">
            <v>2143</v>
          </cell>
          <cell r="AP337" t="str">
            <v>Véhicules usagés</v>
          </cell>
          <cell r="AQ337" t="str">
            <v>Amortissement</v>
          </cell>
          <cell r="AR337" t="str">
            <v>$</v>
          </cell>
          <cell r="AS337">
            <v>0</v>
          </cell>
          <cell r="AW337">
            <v>0</v>
          </cell>
          <cell r="AY337" t="str">
            <v>NB</v>
          </cell>
        </row>
        <row r="338">
          <cell r="AM338">
            <v>3214.5</v>
          </cell>
          <cell r="AP338" t="str">
            <v>Service</v>
          </cell>
          <cell r="AQ338" t="str">
            <v>Amortissement</v>
          </cell>
          <cell r="AR338" t="str">
            <v>$</v>
          </cell>
          <cell r="AS338">
            <v>0</v>
          </cell>
          <cell r="AW338">
            <v>0</v>
          </cell>
          <cell r="AY338" t="str">
            <v>NB</v>
          </cell>
        </row>
        <row r="339">
          <cell r="AM339">
            <v>1071.5</v>
          </cell>
          <cell r="AP339" t="str">
            <v>Carrosserie</v>
          </cell>
          <cell r="AQ339" t="str">
            <v>Amortissement</v>
          </cell>
          <cell r="AR339" t="str">
            <v>$</v>
          </cell>
          <cell r="AS339">
            <v>0</v>
          </cell>
          <cell r="AW339">
            <v>0</v>
          </cell>
          <cell r="AY339" t="str">
            <v>NB</v>
          </cell>
        </row>
        <row r="340">
          <cell r="AM340">
            <v>1071.5</v>
          </cell>
          <cell r="AP340" t="str">
            <v>Pièces</v>
          </cell>
          <cell r="AQ340" t="str">
            <v>Amortissement</v>
          </cell>
          <cell r="AR340" t="str">
            <v>$</v>
          </cell>
          <cell r="AS340">
            <v>0</v>
          </cell>
          <cell r="AW340">
            <v>0</v>
          </cell>
          <cell r="AY340" t="str">
            <v>NB</v>
          </cell>
        </row>
        <row r="341">
          <cell r="AM341">
            <v>0</v>
          </cell>
          <cell r="AP341" t="e">
            <v>#N/A</v>
          </cell>
          <cell r="AQ341" t="e">
            <v>#N/A</v>
          </cell>
          <cell r="AR341" t="str">
            <v>$</v>
          </cell>
          <cell r="AS341" t="e">
            <v>#N/A</v>
          </cell>
          <cell r="AW341">
            <v>0</v>
          </cell>
          <cell r="AY341" t="str">
            <v>NB</v>
          </cell>
        </row>
        <row r="342">
          <cell r="AM342">
            <v>808.64999999999986</v>
          </cell>
          <cell r="AP342" t="str">
            <v>Véhicules neufs</v>
          </cell>
          <cell r="AQ342" t="str">
            <v>Location équipement</v>
          </cell>
          <cell r="AR342" t="str">
            <v>$</v>
          </cell>
          <cell r="AS342">
            <v>0</v>
          </cell>
          <cell r="AW342">
            <v>0</v>
          </cell>
          <cell r="AY342" t="str">
            <v>NB</v>
          </cell>
        </row>
        <row r="343">
          <cell r="AM343">
            <v>83.68</v>
          </cell>
          <cell r="AP343" t="str">
            <v>Véhicules usagés</v>
          </cell>
          <cell r="AQ343" t="str">
            <v>Location équipement</v>
          </cell>
          <cell r="AR343" t="str">
            <v>$</v>
          </cell>
          <cell r="AS343">
            <v>0</v>
          </cell>
          <cell r="AW343">
            <v>0</v>
          </cell>
          <cell r="AY343" t="str">
            <v>NB</v>
          </cell>
        </row>
        <row r="344">
          <cell r="AM344">
            <v>1539.9899999999998</v>
          </cell>
          <cell r="AP344" t="str">
            <v>Service</v>
          </cell>
          <cell r="AQ344" t="str">
            <v>Location équipement</v>
          </cell>
          <cell r="AR344" t="str">
            <v>$</v>
          </cell>
          <cell r="AS344">
            <v>0</v>
          </cell>
          <cell r="AW344">
            <v>0</v>
          </cell>
          <cell r="AY344" t="str">
            <v>NB</v>
          </cell>
        </row>
        <row r="345">
          <cell r="AM345">
            <v>294.60000000000002</v>
          </cell>
          <cell r="AP345" t="str">
            <v>Carrosserie</v>
          </cell>
          <cell r="AQ345" t="str">
            <v>Location équipement</v>
          </cell>
          <cell r="AR345" t="str">
            <v>$</v>
          </cell>
          <cell r="AS345">
            <v>0</v>
          </cell>
          <cell r="AW345">
            <v>0</v>
          </cell>
          <cell r="AY345" t="str">
            <v>NB</v>
          </cell>
        </row>
        <row r="346">
          <cell r="AM346">
            <v>46.319999999999993</v>
          </cell>
          <cell r="AP346" t="str">
            <v>Pièces</v>
          </cell>
          <cell r="AQ346" t="str">
            <v>Location équipement</v>
          </cell>
          <cell r="AR346" t="str">
            <v>$</v>
          </cell>
          <cell r="AS346">
            <v>0</v>
          </cell>
          <cell r="AW346">
            <v>0</v>
          </cell>
          <cell r="AY346" t="str">
            <v>NB</v>
          </cell>
        </row>
        <row r="347">
          <cell r="AM347">
            <v>0</v>
          </cell>
          <cell r="AP347" t="e">
            <v>#N/A</v>
          </cell>
          <cell r="AQ347" t="e">
            <v>#N/A</v>
          </cell>
          <cell r="AR347" t="str">
            <v>$</v>
          </cell>
          <cell r="AS347" t="e">
            <v>#N/A</v>
          </cell>
          <cell r="AW347">
            <v>0</v>
          </cell>
          <cell r="AY347" t="str">
            <v>NB</v>
          </cell>
        </row>
        <row r="348">
          <cell r="AM348">
            <v>0</v>
          </cell>
          <cell r="AP348" t="e">
            <v>#N/A</v>
          </cell>
          <cell r="AQ348" t="e">
            <v>#N/A</v>
          </cell>
          <cell r="AR348" t="str">
            <v>$</v>
          </cell>
          <cell r="AS348" t="e">
            <v>#N/A</v>
          </cell>
          <cell r="AW348">
            <v>0</v>
          </cell>
          <cell r="AY348" t="str">
            <v>NB</v>
          </cell>
        </row>
        <row r="349">
          <cell r="AM349">
            <v>0</v>
          </cell>
          <cell r="AP349" t="e">
            <v>#N/A</v>
          </cell>
          <cell r="AQ349" t="e">
            <v>#N/A</v>
          </cell>
          <cell r="AR349" t="str">
            <v>$</v>
          </cell>
          <cell r="AS349" t="e">
            <v>#N/A</v>
          </cell>
          <cell r="AW349">
            <v>0</v>
          </cell>
          <cell r="AY349" t="str">
            <v>NB</v>
          </cell>
        </row>
        <row r="350">
          <cell r="AM350">
            <v>0</v>
          </cell>
          <cell r="AP350">
            <v>0</v>
          </cell>
          <cell r="AQ350">
            <v>0</v>
          </cell>
          <cell r="AR350" t="str">
            <v>$</v>
          </cell>
          <cell r="AS350">
            <v>0</v>
          </cell>
          <cell r="AW350">
            <v>0</v>
          </cell>
          <cell r="AY350" t="str">
            <v>NB</v>
          </cell>
        </row>
        <row r="351">
          <cell r="AM351">
            <v>0</v>
          </cell>
          <cell r="AP351" t="str">
            <v>Bilan</v>
          </cell>
          <cell r="AQ351" t="str">
            <v>Encaisse</v>
          </cell>
          <cell r="AR351" t="str">
            <v>$</v>
          </cell>
          <cell r="AS351">
            <v>0</v>
          </cell>
          <cell r="AW351">
            <v>0</v>
          </cell>
          <cell r="AY351" t="str">
            <v>NB</v>
          </cell>
        </row>
        <row r="352">
          <cell r="AM352">
            <v>0</v>
          </cell>
          <cell r="AP352" t="str">
            <v>Bilan</v>
          </cell>
          <cell r="AQ352" t="str">
            <v>Salaires à Payer</v>
          </cell>
          <cell r="AR352" t="str">
            <v>$</v>
          </cell>
          <cell r="AS352">
            <v>0</v>
          </cell>
          <cell r="AW352">
            <v>0</v>
          </cell>
          <cell r="AY352" t="str">
            <v>NB</v>
          </cell>
        </row>
        <row r="353">
          <cell r="AM353">
            <v>0</v>
          </cell>
          <cell r="AP353" t="str">
            <v>Bilan</v>
          </cell>
          <cell r="AQ353" t="str">
            <v>Encaisse</v>
          </cell>
          <cell r="AR353" t="str">
            <v>$</v>
          </cell>
          <cell r="AS353">
            <v>0</v>
          </cell>
          <cell r="AW353">
            <v>0</v>
          </cell>
          <cell r="AY353" t="str">
            <v>NB</v>
          </cell>
        </row>
        <row r="354">
          <cell r="AM354">
            <v>0</v>
          </cell>
          <cell r="AP354" t="e">
            <v>#N/A</v>
          </cell>
          <cell r="AQ354" t="e">
            <v>#N/A</v>
          </cell>
          <cell r="AR354" t="str">
            <v>$</v>
          </cell>
          <cell r="AS354" t="e">
            <v>#N/A</v>
          </cell>
          <cell r="AW354">
            <v>0</v>
          </cell>
          <cell r="AY354" t="str">
            <v>NB</v>
          </cell>
        </row>
        <row r="355">
          <cell r="AM355">
            <v>1165389.42</v>
          </cell>
          <cell r="AP355" t="str">
            <v>Bilan</v>
          </cell>
          <cell r="AQ355" t="str">
            <v>Encaisse</v>
          </cell>
          <cell r="AR355" t="str">
            <v>$</v>
          </cell>
          <cell r="AS355">
            <v>0</v>
          </cell>
          <cell r="AW355">
            <v>0</v>
          </cell>
          <cell r="AY355" t="str">
            <v>NB</v>
          </cell>
        </row>
        <row r="356">
          <cell r="AM356">
            <v>0</v>
          </cell>
          <cell r="AP356" t="e">
            <v>#N/A</v>
          </cell>
          <cell r="AQ356" t="e">
            <v>#N/A</v>
          </cell>
          <cell r="AR356" t="str">
            <v>$</v>
          </cell>
          <cell r="AS356" t="e">
            <v>#N/A</v>
          </cell>
          <cell r="AW356">
            <v>0</v>
          </cell>
          <cell r="AY356" t="str">
            <v>NB</v>
          </cell>
        </row>
        <row r="357">
          <cell r="AM357">
            <v>0</v>
          </cell>
          <cell r="AP357">
            <v>0</v>
          </cell>
          <cell r="AQ357">
            <v>0</v>
          </cell>
          <cell r="AR357" t="str">
            <v>$</v>
          </cell>
          <cell r="AS357">
            <v>0</v>
          </cell>
          <cell r="AW357">
            <v>0</v>
          </cell>
          <cell r="AY357" t="str">
            <v>NB</v>
          </cell>
        </row>
        <row r="358">
          <cell r="AM358">
            <v>0</v>
          </cell>
          <cell r="AP358" t="e">
            <v>#N/A</v>
          </cell>
          <cell r="AQ358" t="e">
            <v>#N/A</v>
          </cell>
          <cell r="AR358" t="str">
            <v>$</v>
          </cell>
          <cell r="AS358" t="e">
            <v>#N/A</v>
          </cell>
          <cell r="AW358">
            <v>0</v>
          </cell>
          <cell r="AY358" t="str">
            <v>NB</v>
          </cell>
        </row>
        <row r="359">
          <cell r="AM359">
            <v>0</v>
          </cell>
          <cell r="AP359" t="str">
            <v>Bilan</v>
          </cell>
          <cell r="AQ359" t="str">
            <v>Encaisse</v>
          </cell>
          <cell r="AR359" t="str">
            <v>$</v>
          </cell>
          <cell r="AS359">
            <v>0</v>
          </cell>
          <cell r="AW359">
            <v>0</v>
          </cell>
          <cell r="AY359" t="str">
            <v>NB</v>
          </cell>
        </row>
        <row r="360">
          <cell r="AM360">
            <v>0</v>
          </cell>
          <cell r="AP360" t="e">
            <v>#N/A</v>
          </cell>
          <cell r="AQ360" t="e">
            <v>#N/A</v>
          </cell>
          <cell r="AR360" t="str">
            <v>$</v>
          </cell>
          <cell r="AS360" t="e">
            <v>#N/A</v>
          </cell>
          <cell r="AW360">
            <v>0</v>
          </cell>
          <cell r="AY360" t="str">
            <v>NB</v>
          </cell>
        </row>
        <row r="361">
          <cell r="AM361">
            <v>0</v>
          </cell>
          <cell r="AP361">
            <v>0</v>
          </cell>
          <cell r="AQ361">
            <v>0</v>
          </cell>
          <cell r="AR361" t="str">
            <v>$</v>
          </cell>
          <cell r="AS361">
            <v>0</v>
          </cell>
          <cell r="AW361">
            <v>0</v>
          </cell>
          <cell r="AY361" t="str">
            <v>NB</v>
          </cell>
        </row>
        <row r="362">
          <cell r="AM362">
            <v>29566.560000000056</v>
          </cell>
          <cell r="AP362" t="str">
            <v>Bilan</v>
          </cell>
          <cell r="AQ362" t="str">
            <v>Recevables Contrats en Transit</v>
          </cell>
          <cell r="AR362" t="str">
            <v>$</v>
          </cell>
          <cell r="AS362">
            <v>0</v>
          </cell>
          <cell r="AW362">
            <v>0</v>
          </cell>
          <cell r="AY362" t="str">
            <v>NB</v>
          </cell>
        </row>
        <row r="363">
          <cell r="AM363">
            <v>0</v>
          </cell>
          <cell r="AP363" t="e">
            <v>#N/A</v>
          </cell>
          <cell r="AQ363" t="e">
            <v>#N/A</v>
          </cell>
          <cell r="AR363" t="str">
            <v>$</v>
          </cell>
          <cell r="AS363" t="e">
            <v>#N/A</v>
          </cell>
          <cell r="AW363">
            <v>0</v>
          </cell>
          <cell r="AY363" t="str">
            <v>NB</v>
          </cell>
        </row>
        <row r="364">
          <cell r="AM364">
            <v>0</v>
          </cell>
          <cell r="AP364" t="e">
            <v>#N/A</v>
          </cell>
          <cell r="AQ364" t="e">
            <v>#N/A</v>
          </cell>
          <cell r="AR364" t="str">
            <v>$</v>
          </cell>
          <cell r="AS364" t="e">
            <v>#N/A</v>
          </cell>
          <cell r="AW364">
            <v>0</v>
          </cell>
          <cell r="AY364" t="str">
            <v>NB</v>
          </cell>
        </row>
        <row r="365">
          <cell r="AM365">
            <v>0</v>
          </cell>
          <cell r="AP365" t="e">
            <v>#N/A</v>
          </cell>
          <cell r="AQ365" t="e">
            <v>#N/A</v>
          </cell>
          <cell r="AR365" t="str">
            <v>$</v>
          </cell>
          <cell r="AS365" t="e">
            <v>#N/A</v>
          </cell>
          <cell r="AW365">
            <v>0</v>
          </cell>
          <cell r="AY365" t="str">
            <v>NB</v>
          </cell>
        </row>
        <row r="366">
          <cell r="AM366">
            <v>2663.3199999999997</v>
          </cell>
          <cell r="AP366" t="str">
            <v>Bilan</v>
          </cell>
          <cell r="AQ366" t="str">
            <v>Recevables Véhicules</v>
          </cell>
          <cell r="AR366" t="str">
            <v>$</v>
          </cell>
          <cell r="AS366">
            <v>0</v>
          </cell>
          <cell r="AW366">
            <v>0</v>
          </cell>
          <cell r="AY366" t="str">
            <v>NB</v>
          </cell>
        </row>
        <row r="367">
          <cell r="AM367">
            <v>0</v>
          </cell>
          <cell r="AP367">
            <v>0</v>
          </cell>
          <cell r="AQ367">
            <v>0</v>
          </cell>
          <cell r="AR367" t="str">
            <v>$</v>
          </cell>
          <cell r="AS367">
            <v>0</v>
          </cell>
          <cell r="AW367">
            <v>0</v>
          </cell>
          <cell r="AY367" t="str">
            <v>NB</v>
          </cell>
        </row>
        <row r="368">
          <cell r="AM368">
            <v>-80301.94</v>
          </cell>
          <cell r="AP368" t="str">
            <v>Bilan</v>
          </cell>
          <cell r="AQ368" t="str">
            <v>Recevables Pièces et Service</v>
          </cell>
          <cell r="AR368" t="str">
            <v>$</v>
          </cell>
          <cell r="AS368">
            <v>0</v>
          </cell>
          <cell r="AW368">
            <v>0</v>
          </cell>
          <cell r="AY368" t="str">
            <v>NB</v>
          </cell>
        </row>
        <row r="369">
          <cell r="AM369">
            <v>-5177.2199999999939</v>
          </cell>
          <cell r="AP369" t="str">
            <v>Bilan</v>
          </cell>
          <cell r="AQ369" t="str">
            <v>Recevables Véhicules</v>
          </cell>
          <cell r="AR369" t="str">
            <v>$</v>
          </cell>
          <cell r="AS369">
            <v>0</v>
          </cell>
          <cell r="AW369">
            <v>0</v>
          </cell>
          <cell r="AY369" t="str">
            <v>NB</v>
          </cell>
        </row>
        <row r="370">
          <cell r="AM370">
            <v>-38449.22</v>
          </cell>
          <cell r="AP370" t="str">
            <v>Bilan</v>
          </cell>
          <cell r="AQ370" t="str">
            <v>Recevables Carrosserie</v>
          </cell>
          <cell r="AR370" t="str">
            <v>$</v>
          </cell>
          <cell r="AS370">
            <v>0</v>
          </cell>
          <cell r="AW370">
            <v>0</v>
          </cell>
          <cell r="AY370" t="str">
            <v>NB</v>
          </cell>
        </row>
        <row r="371">
          <cell r="AM371">
            <v>0</v>
          </cell>
          <cell r="AP371" t="str">
            <v>Bilan</v>
          </cell>
          <cell r="AQ371" t="str">
            <v>Recevables Véhicules</v>
          </cell>
          <cell r="AR371" t="str">
            <v>$</v>
          </cell>
          <cell r="AS371">
            <v>0</v>
          </cell>
          <cell r="AW371">
            <v>0</v>
          </cell>
          <cell r="AY371" t="str">
            <v>NB</v>
          </cell>
        </row>
        <row r="372">
          <cell r="AM372">
            <v>-20390.669999999998</v>
          </cell>
          <cell r="AP372" t="str">
            <v>Bilan</v>
          </cell>
          <cell r="AQ372" t="str">
            <v>Taxes de Vente à Payer</v>
          </cell>
          <cell r="AR372" t="str">
            <v>$</v>
          </cell>
          <cell r="AS372">
            <v>0</v>
          </cell>
          <cell r="AW372">
            <v>0</v>
          </cell>
          <cell r="AY372" t="str">
            <v>NB</v>
          </cell>
        </row>
        <row r="373">
          <cell r="AM373">
            <v>-98012.75</v>
          </cell>
          <cell r="AP373" t="str">
            <v>Bilan</v>
          </cell>
          <cell r="AQ373" t="str">
            <v>Taxes de Vente à Payer</v>
          </cell>
          <cell r="AR373" t="str">
            <v>$</v>
          </cell>
          <cell r="AS373">
            <v>0</v>
          </cell>
          <cell r="AW373">
            <v>0</v>
          </cell>
          <cell r="AY373" t="str">
            <v>NB</v>
          </cell>
        </row>
        <row r="374">
          <cell r="AM374">
            <v>-446.27000000000044</v>
          </cell>
          <cell r="AP374" t="str">
            <v>Bilan</v>
          </cell>
          <cell r="AQ374" t="str">
            <v>Recevables Autres</v>
          </cell>
          <cell r="AR374" t="str">
            <v>$</v>
          </cell>
          <cell r="AS374">
            <v>0</v>
          </cell>
          <cell r="AW374">
            <v>0</v>
          </cell>
          <cell r="AY374" t="str">
            <v>NB</v>
          </cell>
        </row>
        <row r="375">
          <cell r="AM375">
            <v>-383315.69999999995</v>
          </cell>
          <cell r="AP375" t="str">
            <v>Bilan</v>
          </cell>
          <cell r="AQ375" t="str">
            <v>Recevables Véhicules</v>
          </cell>
          <cell r="AR375" t="str">
            <v>$</v>
          </cell>
          <cell r="AS375">
            <v>0</v>
          </cell>
          <cell r="AW375">
            <v>0</v>
          </cell>
          <cell r="AY375" t="str">
            <v>NB</v>
          </cell>
        </row>
        <row r="376">
          <cell r="AM376">
            <v>-1185624.6199999999</v>
          </cell>
          <cell r="AP376" t="str">
            <v>Bilan</v>
          </cell>
          <cell r="AQ376" t="str">
            <v>Recevables Véhicules</v>
          </cell>
          <cell r="AR376" t="str">
            <v>$</v>
          </cell>
          <cell r="AS376">
            <v>0</v>
          </cell>
          <cell r="AW376">
            <v>0</v>
          </cell>
          <cell r="AY376" t="str">
            <v>NB</v>
          </cell>
        </row>
        <row r="377">
          <cell r="AM377">
            <v>0</v>
          </cell>
          <cell r="AP377" t="e">
            <v>#N/A</v>
          </cell>
          <cell r="AQ377" t="e">
            <v>#N/A</v>
          </cell>
          <cell r="AR377" t="str">
            <v>$</v>
          </cell>
          <cell r="AS377" t="e">
            <v>#N/A</v>
          </cell>
          <cell r="AW377">
            <v>0</v>
          </cell>
          <cell r="AY377" t="str">
            <v>NB</v>
          </cell>
        </row>
        <row r="378">
          <cell r="AM378">
            <v>-8521.8199999999779</v>
          </cell>
          <cell r="AP378" t="str">
            <v>Bilan</v>
          </cell>
          <cell r="AQ378" t="str">
            <v>Recevables Véhicules</v>
          </cell>
          <cell r="AR378" t="str">
            <v>$</v>
          </cell>
          <cell r="AS378">
            <v>0</v>
          </cell>
          <cell r="AW378">
            <v>0</v>
          </cell>
          <cell r="AY378" t="str">
            <v>NB</v>
          </cell>
        </row>
        <row r="379">
          <cell r="AM379">
            <v>132197.13</v>
          </cell>
          <cell r="AP379" t="str">
            <v>Bilan</v>
          </cell>
          <cell r="AQ379" t="str">
            <v>Recevables Véhicules</v>
          </cell>
          <cell r="AR379" t="str">
            <v>$</v>
          </cell>
          <cell r="AS379">
            <v>0</v>
          </cell>
          <cell r="AW379">
            <v>0</v>
          </cell>
          <cell r="AY379" t="str">
            <v>NB</v>
          </cell>
        </row>
        <row r="380">
          <cell r="AM380">
            <v>0</v>
          </cell>
          <cell r="AP380" t="e">
            <v>#N/A</v>
          </cell>
          <cell r="AQ380" t="e">
            <v>#N/A</v>
          </cell>
          <cell r="AR380" t="str">
            <v>$</v>
          </cell>
          <cell r="AS380" t="e">
            <v>#N/A</v>
          </cell>
          <cell r="AW380">
            <v>0</v>
          </cell>
          <cell r="AY380" t="str">
            <v>NB</v>
          </cell>
        </row>
        <row r="381">
          <cell r="AM381">
            <v>-105895.59</v>
          </cell>
          <cell r="AP381" t="str">
            <v>Bilan</v>
          </cell>
          <cell r="AQ381" t="str">
            <v>Recevables Véhicules</v>
          </cell>
          <cell r="AR381" t="str">
            <v>$</v>
          </cell>
          <cell r="AS381">
            <v>0</v>
          </cell>
          <cell r="AW381">
            <v>0</v>
          </cell>
          <cell r="AY381" t="str">
            <v>NB</v>
          </cell>
        </row>
        <row r="382">
          <cell r="AM382">
            <v>189266.92999999993</v>
          </cell>
          <cell r="AP382" t="str">
            <v>Bilan</v>
          </cell>
          <cell r="AQ382" t="str">
            <v>Recevables Véhicules</v>
          </cell>
          <cell r="AR382" t="str">
            <v>$</v>
          </cell>
          <cell r="AS382">
            <v>0</v>
          </cell>
          <cell r="AW382">
            <v>0</v>
          </cell>
          <cell r="AY382" t="str">
            <v>NB</v>
          </cell>
        </row>
        <row r="383">
          <cell r="AM383">
            <v>0</v>
          </cell>
          <cell r="AP383" t="str">
            <v>Bilan</v>
          </cell>
          <cell r="AQ383" t="str">
            <v>Recevables Véhicules</v>
          </cell>
          <cell r="AR383" t="str">
            <v>$</v>
          </cell>
          <cell r="AS383">
            <v>0</v>
          </cell>
          <cell r="AW383">
            <v>0</v>
          </cell>
          <cell r="AY383" t="str">
            <v>NB</v>
          </cell>
        </row>
        <row r="384">
          <cell r="AM384">
            <v>0</v>
          </cell>
          <cell r="AP384" t="str">
            <v>Bilan</v>
          </cell>
          <cell r="AQ384" t="str">
            <v>Recevables Véhicules</v>
          </cell>
          <cell r="AR384" t="str">
            <v>$</v>
          </cell>
          <cell r="AS384">
            <v>0</v>
          </cell>
          <cell r="AW384">
            <v>0</v>
          </cell>
          <cell r="AY384" t="str">
            <v>NB</v>
          </cell>
        </row>
        <row r="385">
          <cell r="AM385">
            <v>0</v>
          </cell>
          <cell r="AP385" t="e">
            <v>#N/A</v>
          </cell>
          <cell r="AQ385" t="e">
            <v>#N/A</v>
          </cell>
          <cell r="AR385" t="str">
            <v>$</v>
          </cell>
          <cell r="AS385" t="e">
            <v>#N/A</v>
          </cell>
          <cell r="AW385">
            <v>0</v>
          </cell>
          <cell r="AY385" t="str">
            <v>NB</v>
          </cell>
        </row>
        <row r="386">
          <cell r="AM386">
            <v>0</v>
          </cell>
          <cell r="AP386" t="e">
            <v>#N/A</v>
          </cell>
          <cell r="AQ386" t="e">
            <v>#N/A</v>
          </cell>
          <cell r="AR386" t="str">
            <v>$</v>
          </cell>
          <cell r="AS386" t="e">
            <v>#N/A</v>
          </cell>
          <cell r="AW386">
            <v>0</v>
          </cell>
          <cell r="AY386" t="str">
            <v>NB</v>
          </cell>
        </row>
        <row r="387">
          <cell r="AM387">
            <v>439538.56</v>
          </cell>
          <cell r="AP387" t="str">
            <v>Bilan</v>
          </cell>
          <cell r="AQ387" t="str">
            <v>Recevables Intercos</v>
          </cell>
          <cell r="AR387" t="str">
            <v>$</v>
          </cell>
          <cell r="AS387">
            <v>0</v>
          </cell>
          <cell r="AW387">
            <v>0</v>
          </cell>
          <cell r="AY387" t="str">
            <v>NB</v>
          </cell>
        </row>
        <row r="388">
          <cell r="AM388">
            <v>0</v>
          </cell>
          <cell r="AP388" t="str">
            <v>Bilan</v>
          </cell>
          <cell r="AQ388" t="str">
            <v>Recevables Intercos</v>
          </cell>
          <cell r="AR388" t="str">
            <v>$</v>
          </cell>
          <cell r="AS388">
            <v>0</v>
          </cell>
          <cell r="AW388">
            <v>0</v>
          </cell>
          <cell r="AY388" t="str">
            <v>NB</v>
          </cell>
        </row>
        <row r="389">
          <cell r="AM389">
            <v>-142887.51</v>
          </cell>
          <cell r="AP389" t="str">
            <v>Bilan</v>
          </cell>
          <cell r="AQ389" t="str">
            <v>Recevables Intercos</v>
          </cell>
          <cell r="AR389" t="str">
            <v>$</v>
          </cell>
          <cell r="AS389">
            <v>0</v>
          </cell>
          <cell r="AW389">
            <v>0</v>
          </cell>
          <cell r="AY389" t="str">
            <v>NB</v>
          </cell>
        </row>
        <row r="390">
          <cell r="AM390">
            <v>0</v>
          </cell>
          <cell r="AP390" t="str">
            <v>Bilan</v>
          </cell>
          <cell r="AQ390" t="str">
            <v>Recevables Intercos</v>
          </cell>
          <cell r="AR390" t="str">
            <v>$</v>
          </cell>
          <cell r="AS390">
            <v>0</v>
          </cell>
          <cell r="AW390">
            <v>0</v>
          </cell>
          <cell r="AY390" t="str">
            <v>NB</v>
          </cell>
        </row>
        <row r="391">
          <cell r="AM391">
            <v>0</v>
          </cell>
          <cell r="AP391" t="str">
            <v>Bilan</v>
          </cell>
          <cell r="AQ391" t="str">
            <v>Recevables Véhicules</v>
          </cell>
          <cell r="AR391" t="str">
            <v>$</v>
          </cell>
          <cell r="AS391">
            <v>0</v>
          </cell>
          <cell r="AW391">
            <v>0</v>
          </cell>
          <cell r="AY391" t="str">
            <v>NB</v>
          </cell>
        </row>
        <row r="392">
          <cell r="AM392">
            <v>0</v>
          </cell>
          <cell r="AP392" t="str">
            <v>Bilan</v>
          </cell>
          <cell r="AQ392" t="str">
            <v>Recevables Véhicules</v>
          </cell>
          <cell r="AR392" t="str">
            <v>$</v>
          </cell>
          <cell r="AS392">
            <v>0</v>
          </cell>
          <cell r="AW392">
            <v>0</v>
          </cell>
          <cell r="AY392" t="str">
            <v>NB</v>
          </cell>
        </row>
        <row r="393">
          <cell r="AM393">
            <v>-107459.1</v>
          </cell>
          <cell r="AP393" t="str">
            <v>Bilan</v>
          </cell>
          <cell r="AQ393" t="str">
            <v>Recevables Véhicules</v>
          </cell>
          <cell r="AR393" t="str">
            <v>$</v>
          </cell>
          <cell r="AS393">
            <v>0</v>
          </cell>
          <cell r="AW393">
            <v>0</v>
          </cell>
          <cell r="AY393" t="str">
            <v>NB</v>
          </cell>
        </row>
        <row r="394">
          <cell r="AM394">
            <v>0</v>
          </cell>
          <cell r="AP394" t="str">
            <v>Bilan</v>
          </cell>
          <cell r="AQ394" t="str">
            <v>Recevables Véhicules</v>
          </cell>
          <cell r="AR394" t="str">
            <v>$</v>
          </cell>
          <cell r="AS394">
            <v>0</v>
          </cell>
          <cell r="AW394">
            <v>0</v>
          </cell>
          <cell r="AY394" t="str">
            <v>NB</v>
          </cell>
        </row>
        <row r="395">
          <cell r="AM395">
            <v>0</v>
          </cell>
          <cell r="AP395">
            <v>0</v>
          </cell>
          <cell r="AQ395">
            <v>0</v>
          </cell>
          <cell r="AR395" t="str">
            <v>$</v>
          </cell>
          <cell r="AS395">
            <v>0</v>
          </cell>
          <cell r="AW395">
            <v>0</v>
          </cell>
          <cell r="AY395" t="str">
            <v>NB</v>
          </cell>
        </row>
        <row r="396">
          <cell r="AM396">
            <v>-337759.8</v>
          </cell>
          <cell r="AP396" t="str">
            <v>Bilan</v>
          </cell>
          <cell r="AQ396" t="str">
            <v>Recevables Véhicules</v>
          </cell>
          <cell r="AR396" t="str">
            <v>$</v>
          </cell>
          <cell r="AS396">
            <v>0</v>
          </cell>
          <cell r="AW396">
            <v>0</v>
          </cell>
          <cell r="AY396" t="str">
            <v>NB</v>
          </cell>
        </row>
        <row r="397">
          <cell r="AM397">
            <v>0</v>
          </cell>
          <cell r="AP397" t="str">
            <v>Bilan</v>
          </cell>
          <cell r="AQ397" t="str">
            <v>Recevables Intercos</v>
          </cell>
          <cell r="AR397" t="str">
            <v>$</v>
          </cell>
          <cell r="AS397">
            <v>0</v>
          </cell>
          <cell r="AW397">
            <v>0</v>
          </cell>
          <cell r="AY397" t="str">
            <v>NB</v>
          </cell>
        </row>
        <row r="398">
          <cell r="AM398">
            <v>7461951.1200000001</v>
          </cell>
          <cell r="AP398" t="str">
            <v>Bilan</v>
          </cell>
          <cell r="AQ398" t="str">
            <v>Recevables Intercos</v>
          </cell>
          <cell r="AR398" t="str">
            <v>$</v>
          </cell>
          <cell r="AS398">
            <v>0</v>
          </cell>
          <cell r="AW398">
            <v>0</v>
          </cell>
          <cell r="AY398" t="str">
            <v>NB</v>
          </cell>
        </row>
        <row r="399">
          <cell r="AM399">
            <v>0</v>
          </cell>
          <cell r="AP399" t="str">
            <v>Bilan</v>
          </cell>
          <cell r="AQ399" t="str">
            <v>Recevables Véhicules</v>
          </cell>
          <cell r="AR399" t="str">
            <v>$</v>
          </cell>
          <cell r="AS399">
            <v>0</v>
          </cell>
          <cell r="AW399">
            <v>0</v>
          </cell>
          <cell r="AY399" t="str">
            <v>NB</v>
          </cell>
        </row>
        <row r="400">
          <cell r="AM400">
            <v>75.570000000006985</v>
          </cell>
          <cell r="AP400" t="str">
            <v>Bilan</v>
          </cell>
          <cell r="AQ400" t="str">
            <v>Recevables Intercos</v>
          </cell>
          <cell r="AR400" t="str">
            <v>$</v>
          </cell>
          <cell r="AS400">
            <v>0</v>
          </cell>
          <cell r="AW400">
            <v>0</v>
          </cell>
          <cell r="AY400" t="str">
            <v>NB</v>
          </cell>
        </row>
        <row r="401">
          <cell r="AM401">
            <v>0</v>
          </cell>
          <cell r="AP401" t="str">
            <v>Bilan</v>
          </cell>
          <cell r="AQ401" t="str">
            <v>Recevables Intercos</v>
          </cell>
          <cell r="AR401" t="str">
            <v>$</v>
          </cell>
          <cell r="AS401">
            <v>0</v>
          </cell>
          <cell r="AW401">
            <v>0</v>
          </cell>
          <cell r="AY401" t="str">
            <v>NB</v>
          </cell>
        </row>
        <row r="402">
          <cell r="AM402">
            <v>49999.54</v>
          </cell>
          <cell r="AP402" t="str">
            <v>Bilan</v>
          </cell>
          <cell r="AQ402" t="str">
            <v>Recevables Intercos</v>
          </cell>
          <cell r="AR402" t="str">
            <v>$</v>
          </cell>
          <cell r="AS402">
            <v>0</v>
          </cell>
          <cell r="AW402">
            <v>0</v>
          </cell>
          <cell r="AY402" t="str">
            <v>NB</v>
          </cell>
        </row>
        <row r="403">
          <cell r="AM403">
            <v>78.17999999999995</v>
          </cell>
          <cell r="AP403" t="str">
            <v>Bilan</v>
          </cell>
          <cell r="AQ403" t="str">
            <v>Recevables Intercos</v>
          </cell>
          <cell r="AR403" t="str">
            <v>$</v>
          </cell>
          <cell r="AS403">
            <v>0</v>
          </cell>
          <cell r="AW403">
            <v>0</v>
          </cell>
          <cell r="AY403" t="str">
            <v>NB</v>
          </cell>
        </row>
        <row r="404">
          <cell r="AM404">
            <v>7247576.54</v>
          </cell>
          <cell r="AP404" t="str">
            <v>Bilan</v>
          </cell>
          <cell r="AQ404" t="str">
            <v>Recevables Intercos</v>
          </cell>
          <cell r="AR404" t="str">
            <v>$</v>
          </cell>
          <cell r="AS404">
            <v>0</v>
          </cell>
          <cell r="AW404">
            <v>0</v>
          </cell>
          <cell r="AY404" t="str">
            <v>NB</v>
          </cell>
        </row>
        <row r="405">
          <cell r="AM405">
            <v>759893.57</v>
          </cell>
          <cell r="AP405" t="str">
            <v>Bilan</v>
          </cell>
          <cell r="AQ405" t="str">
            <v>Recevables Intercos</v>
          </cell>
          <cell r="AR405" t="str">
            <v>$</v>
          </cell>
          <cell r="AS405">
            <v>0</v>
          </cell>
          <cell r="AW405">
            <v>0</v>
          </cell>
          <cell r="AY405" t="str">
            <v>NB</v>
          </cell>
        </row>
        <row r="406">
          <cell r="AM406">
            <v>0</v>
          </cell>
          <cell r="AP406">
            <v>0</v>
          </cell>
          <cell r="AQ406">
            <v>0</v>
          </cell>
          <cell r="AR406" t="str">
            <v>$</v>
          </cell>
          <cell r="AS406">
            <v>0</v>
          </cell>
          <cell r="AW406">
            <v>0</v>
          </cell>
          <cell r="AY406" t="str">
            <v>NB</v>
          </cell>
        </row>
        <row r="407">
          <cell r="AM407">
            <v>0</v>
          </cell>
          <cell r="AP407" t="str">
            <v>Bilan</v>
          </cell>
          <cell r="AQ407" t="str">
            <v>Recevables Intercos</v>
          </cell>
          <cell r="AR407" t="str">
            <v>$</v>
          </cell>
          <cell r="AS407">
            <v>0</v>
          </cell>
          <cell r="AW407">
            <v>0</v>
          </cell>
          <cell r="AY407" t="str">
            <v>NB</v>
          </cell>
        </row>
        <row r="408">
          <cell r="AM408">
            <v>0</v>
          </cell>
          <cell r="AP408" t="e">
            <v>#N/A</v>
          </cell>
          <cell r="AQ408" t="e">
            <v>#N/A</v>
          </cell>
          <cell r="AR408" t="str">
            <v>$</v>
          </cell>
          <cell r="AS408" t="e">
            <v>#N/A</v>
          </cell>
          <cell r="AW408">
            <v>0</v>
          </cell>
          <cell r="AY408" t="str">
            <v>NB</v>
          </cell>
        </row>
        <row r="409">
          <cell r="AM409">
            <v>0</v>
          </cell>
          <cell r="AP409" t="str">
            <v>Bilan</v>
          </cell>
          <cell r="AQ409" t="str">
            <v>Recevables Intercos</v>
          </cell>
          <cell r="AR409" t="str">
            <v>$</v>
          </cell>
          <cell r="AS409">
            <v>0</v>
          </cell>
          <cell r="AW409">
            <v>0</v>
          </cell>
          <cell r="AY409" t="str">
            <v>NB</v>
          </cell>
        </row>
        <row r="410">
          <cell r="AM410">
            <v>0</v>
          </cell>
          <cell r="AP410" t="str">
            <v>Bilan</v>
          </cell>
          <cell r="AQ410" t="str">
            <v>Recevables Intercos</v>
          </cell>
          <cell r="AR410" t="str">
            <v>$</v>
          </cell>
          <cell r="AS410">
            <v>0</v>
          </cell>
          <cell r="AW410">
            <v>0</v>
          </cell>
          <cell r="AY410" t="str">
            <v>NB</v>
          </cell>
        </row>
        <row r="411">
          <cell r="AM411">
            <v>0</v>
          </cell>
          <cell r="AP411">
            <v>0</v>
          </cell>
          <cell r="AQ411">
            <v>0</v>
          </cell>
          <cell r="AR411" t="str">
            <v>$</v>
          </cell>
          <cell r="AS411">
            <v>0</v>
          </cell>
          <cell r="AW411">
            <v>0</v>
          </cell>
          <cell r="AY411" t="str">
            <v>NB</v>
          </cell>
        </row>
        <row r="412">
          <cell r="AM412">
            <v>-5500000</v>
          </cell>
          <cell r="AP412" t="str">
            <v>Bilan</v>
          </cell>
          <cell r="AQ412" t="str">
            <v>Recevables Intercos</v>
          </cell>
          <cell r="AR412" t="str">
            <v>$</v>
          </cell>
          <cell r="AS412">
            <v>0</v>
          </cell>
          <cell r="AW412">
            <v>0</v>
          </cell>
          <cell r="AY412" t="str">
            <v>NB</v>
          </cell>
        </row>
        <row r="413">
          <cell r="AM413">
            <v>-5633.78</v>
          </cell>
          <cell r="AP413" t="str">
            <v>Bilan</v>
          </cell>
          <cell r="AQ413" t="str">
            <v>Recevables Véhicules</v>
          </cell>
          <cell r="AR413" t="str">
            <v>$</v>
          </cell>
          <cell r="AS413">
            <v>0</v>
          </cell>
          <cell r="AW413">
            <v>0</v>
          </cell>
          <cell r="AY413" t="str">
            <v>NB</v>
          </cell>
        </row>
        <row r="414">
          <cell r="AM414">
            <v>40241.25</v>
          </cell>
          <cell r="AP414" t="str">
            <v>Bilan</v>
          </cell>
          <cell r="AQ414" t="str">
            <v>Recevables Véhicules</v>
          </cell>
          <cell r="AR414" t="str">
            <v>$</v>
          </cell>
          <cell r="AS414">
            <v>0</v>
          </cell>
          <cell r="AW414">
            <v>0</v>
          </cell>
          <cell r="AY414" t="str">
            <v>NB</v>
          </cell>
        </row>
        <row r="415">
          <cell r="AM415">
            <v>0</v>
          </cell>
          <cell r="AP415" t="e">
            <v>#N/A</v>
          </cell>
          <cell r="AQ415" t="e">
            <v>#N/A</v>
          </cell>
          <cell r="AR415" t="str">
            <v>$</v>
          </cell>
          <cell r="AS415" t="e">
            <v>#N/A</v>
          </cell>
          <cell r="AW415">
            <v>0</v>
          </cell>
          <cell r="AY415" t="str">
            <v>NB</v>
          </cell>
        </row>
        <row r="416">
          <cell r="AM416">
            <v>0</v>
          </cell>
          <cell r="AP416" t="str">
            <v>Bilan</v>
          </cell>
          <cell r="AQ416" t="str">
            <v>Encaisse</v>
          </cell>
          <cell r="AR416" t="str">
            <v>$</v>
          </cell>
          <cell r="AS416">
            <v>0</v>
          </cell>
          <cell r="AW416">
            <v>0</v>
          </cell>
          <cell r="AY416" t="str">
            <v>NB</v>
          </cell>
        </row>
        <row r="417">
          <cell r="AM417">
            <v>0</v>
          </cell>
          <cell r="AP417" t="str">
            <v>Bilan</v>
          </cell>
          <cell r="AQ417" t="str">
            <v>Encaisse</v>
          </cell>
          <cell r="AR417" t="str">
            <v>$</v>
          </cell>
          <cell r="AS417">
            <v>0</v>
          </cell>
          <cell r="AW417">
            <v>0</v>
          </cell>
          <cell r="AY417" t="str">
            <v>NB</v>
          </cell>
        </row>
        <row r="418">
          <cell r="AM418">
            <v>0</v>
          </cell>
          <cell r="AP418" t="str">
            <v>Bilan</v>
          </cell>
          <cell r="AQ418" t="str">
            <v>Encaisse</v>
          </cell>
          <cell r="AR418" t="str">
            <v>$</v>
          </cell>
          <cell r="AS418">
            <v>0</v>
          </cell>
          <cell r="AW418">
            <v>0</v>
          </cell>
          <cell r="AY418" t="str">
            <v>NB</v>
          </cell>
        </row>
        <row r="419">
          <cell r="AM419">
            <v>1.45</v>
          </cell>
          <cell r="AP419" t="str">
            <v>Bilan</v>
          </cell>
          <cell r="AQ419" t="str">
            <v>Encaisse</v>
          </cell>
          <cell r="AR419" t="str">
            <v>$</v>
          </cell>
          <cell r="AS419">
            <v>0</v>
          </cell>
          <cell r="AW419">
            <v>0</v>
          </cell>
          <cell r="AY419" t="str">
            <v>NB</v>
          </cell>
        </row>
        <row r="420">
          <cell r="AM420">
            <v>0</v>
          </cell>
          <cell r="AP420" t="str">
            <v>Bilan</v>
          </cell>
          <cell r="AQ420" t="str">
            <v>Encaisse</v>
          </cell>
          <cell r="AR420" t="str">
            <v>$</v>
          </cell>
          <cell r="AS420">
            <v>0</v>
          </cell>
          <cell r="AW420">
            <v>0</v>
          </cell>
          <cell r="AY420" t="str">
            <v>NB</v>
          </cell>
        </row>
        <row r="421">
          <cell r="AM421">
            <v>0</v>
          </cell>
          <cell r="AP421" t="str">
            <v>Bilan</v>
          </cell>
          <cell r="AQ421" t="str">
            <v>Encaisse</v>
          </cell>
          <cell r="AR421" t="str">
            <v>$</v>
          </cell>
          <cell r="AS421">
            <v>0</v>
          </cell>
          <cell r="AW421">
            <v>0</v>
          </cell>
          <cell r="AY421" t="str">
            <v>NB</v>
          </cell>
        </row>
        <row r="422">
          <cell r="AM422">
            <v>0</v>
          </cell>
          <cell r="AP422" t="e">
            <v>#N/A</v>
          </cell>
          <cell r="AQ422" t="e">
            <v>#N/A</v>
          </cell>
          <cell r="AR422" t="str">
            <v>$</v>
          </cell>
          <cell r="AS422" t="e">
            <v>#N/A</v>
          </cell>
          <cell r="AW422">
            <v>0</v>
          </cell>
          <cell r="AY422" t="str">
            <v>NB</v>
          </cell>
        </row>
        <row r="423">
          <cell r="AM423">
            <v>-102255</v>
          </cell>
          <cell r="AP423" t="str">
            <v>Bilan</v>
          </cell>
          <cell r="AQ423" t="str">
            <v>Inventaire Véhicules Neufs</v>
          </cell>
          <cell r="AR423" t="str">
            <v>$</v>
          </cell>
          <cell r="AS423">
            <v>0</v>
          </cell>
          <cell r="AW423">
            <v>0</v>
          </cell>
          <cell r="AY423" t="str">
            <v>NB</v>
          </cell>
        </row>
        <row r="424">
          <cell r="AM424">
            <v>0</v>
          </cell>
          <cell r="AP424" t="e">
            <v>#N/A</v>
          </cell>
          <cell r="AQ424" t="e">
            <v>#N/A</v>
          </cell>
          <cell r="AR424" t="str">
            <v>$</v>
          </cell>
          <cell r="AS424" t="e">
            <v>#N/A</v>
          </cell>
          <cell r="AW424">
            <v>0</v>
          </cell>
          <cell r="AY424" t="str">
            <v>NB</v>
          </cell>
        </row>
        <row r="425">
          <cell r="AM425">
            <v>-742441.76000000164</v>
          </cell>
          <cell r="AP425" t="str">
            <v>Bilan</v>
          </cell>
          <cell r="AQ425" t="str">
            <v>Inventaire Véhicules Neufs</v>
          </cell>
          <cell r="AR425" t="str">
            <v>$</v>
          </cell>
          <cell r="AS425">
            <v>0</v>
          </cell>
          <cell r="AW425">
            <v>0</v>
          </cell>
          <cell r="AY425" t="str">
            <v>NB</v>
          </cell>
        </row>
        <row r="426">
          <cell r="AM426">
            <v>-262962.97000000003</v>
          </cell>
          <cell r="AP426" t="str">
            <v>Bilan</v>
          </cell>
          <cell r="AQ426" t="str">
            <v>Inventaire Véhicules Usagés</v>
          </cell>
          <cell r="AR426" t="str">
            <v>$</v>
          </cell>
          <cell r="AS426">
            <v>0</v>
          </cell>
          <cell r="AW426">
            <v>0</v>
          </cell>
          <cell r="AY426" t="str">
            <v>NB</v>
          </cell>
        </row>
        <row r="427">
          <cell r="AM427">
            <v>0</v>
          </cell>
          <cell r="AP427" t="e">
            <v>#N/A</v>
          </cell>
          <cell r="AQ427" t="e">
            <v>#N/A</v>
          </cell>
          <cell r="AR427" t="str">
            <v>$</v>
          </cell>
          <cell r="AS427" t="e">
            <v>#N/A</v>
          </cell>
          <cell r="AW427">
            <v>0</v>
          </cell>
          <cell r="AY427" t="str">
            <v>NB</v>
          </cell>
        </row>
        <row r="428">
          <cell r="AM428">
            <v>-1236628.79</v>
          </cell>
          <cell r="AP428" t="str">
            <v>Bilan</v>
          </cell>
          <cell r="AQ428" t="str">
            <v>Inventaire Véhicules Usagés</v>
          </cell>
          <cell r="AR428" t="str">
            <v>$</v>
          </cell>
          <cell r="AS428">
            <v>0</v>
          </cell>
          <cell r="AW428">
            <v>0</v>
          </cell>
          <cell r="AY428" t="str">
            <v>NB</v>
          </cell>
        </row>
        <row r="429">
          <cell r="AM429">
            <v>392814.3</v>
          </cell>
          <cell r="AP429" t="str">
            <v>Bilan</v>
          </cell>
          <cell r="AQ429" t="str">
            <v>Inventaire Véhicules Usagés</v>
          </cell>
          <cell r="AR429" t="str">
            <v>$</v>
          </cell>
          <cell r="AS429">
            <v>0</v>
          </cell>
          <cell r="AW429">
            <v>0</v>
          </cell>
          <cell r="AY429" t="str">
            <v>NB</v>
          </cell>
        </row>
        <row r="430">
          <cell r="AM430">
            <v>-2664806.1100000003</v>
          </cell>
          <cell r="AP430" t="str">
            <v>Bilan</v>
          </cell>
          <cell r="AQ430" t="str">
            <v>Inventaire Véhicules Usagés</v>
          </cell>
          <cell r="AR430" t="str">
            <v>$</v>
          </cell>
          <cell r="AS430">
            <v>0</v>
          </cell>
          <cell r="AW430">
            <v>0</v>
          </cell>
          <cell r="AY430" t="str">
            <v>NB</v>
          </cell>
        </row>
        <row r="431">
          <cell r="AM431">
            <v>1032625.74</v>
          </cell>
          <cell r="AP431" t="str">
            <v>Bilan</v>
          </cell>
          <cell r="AQ431" t="str">
            <v>Inventaire Véhicules Usagés</v>
          </cell>
          <cell r="AR431" t="str">
            <v>$</v>
          </cell>
          <cell r="AS431">
            <v>0</v>
          </cell>
          <cell r="AW431">
            <v>0</v>
          </cell>
          <cell r="AY431" t="str">
            <v>NB</v>
          </cell>
        </row>
        <row r="432">
          <cell r="AM432">
            <v>0</v>
          </cell>
          <cell r="AP432" t="e">
            <v>#N/A</v>
          </cell>
          <cell r="AQ432" t="e">
            <v>#N/A</v>
          </cell>
          <cell r="AR432" t="str">
            <v>$</v>
          </cell>
          <cell r="AS432" t="e">
            <v>#N/A</v>
          </cell>
          <cell r="AW432">
            <v>0</v>
          </cell>
          <cell r="AY432" t="str">
            <v>NB</v>
          </cell>
        </row>
        <row r="433">
          <cell r="AM433">
            <v>206003.99000000005</v>
          </cell>
          <cell r="AP433" t="str">
            <v>Bilan</v>
          </cell>
          <cell r="AQ433" t="str">
            <v>Inventaire Pièces, Pneus, Huile</v>
          </cell>
          <cell r="AR433" t="str">
            <v>$</v>
          </cell>
          <cell r="AS433">
            <v>0</v>
          </cell>
          <cell r="AW433">
            <v>0</v>
          </cell>
          <cell r="AY433" t="str">
            <v>NB</v>
          </cell>
        </row>
        <row r="434">
          <cell r="AM434">
            <v>-103379.75</v>
          </cell>
          <cell r="AP434" t="str">
            <v>Bilan</v>
          </cell>
          <cell r="AQ434" t="str">
            <v>Inventaire Pièces, Pneus, Huile</v>
          </cell>
          <cell r="AR434" t="str">
            <v>$</v>
          </cell>
          <cell r="AS434">
            <v>0</v>
          </cell>
          <cell r="AW434">
            <v>0</v>
          </cell>
          <cell r="AY434" t="str">
            <v>NB</v>
          </cell>
        </row>
        <row r="435">
          <cell r="AM435">
            <v>0</v>
          </cell>
          <cell r="AP435" t="e">
            <v>#N/A</v>
          </cell>
          <cell r="AQ435" t="e">
            <v>#N/A</v>
          </cell>
          <cell r="AR435" t="str">
            <v>$</v>
          </cell>
          <cell r="AS435" t="e">
            <v>#N/A</v>
          </cell>
          <cell r="AW435">
            <v>0</v>
          </cell>
          <cell r="AY435" t="str">
            <v>NB</v>
          </cell>
        </row>
        <row r="436">
          <cell r="AM436">
            <v>0</v>
          </cell>
          <cell r="AP436" t="e">
            <v>#N/A</v>
          </cell>
          <cell r="AQ436" t="e">
            <v>#N/A</v>
          </cell>
          <cell r="AR436" t="str">
            <v>$</v>
          </cell>
          <cell r="AS436" t="e">
            <v>#N/A</v>
          </cell>
          <cell r="AW436">
            <v>0</v>
          </cell>
          <cell r="AY436" t="str">
            <v>NB</v>
          </cell>
        </row>
        <row r="437">
          <cell r="AM437">
            <v>19018.5</v>
          </cell>
          <cell r="AP437" t="str">
            <v>Bilan</v>
          </cell>
          <cell r="AQ437" t="str">
            <v>Inventaire Pièces, Pneus, Huile</v>
          </cell>
          <cell r="AR437" t="str">
            <v>$</v>
          </cell>
          <cell r="AS437">
            <v>0</v>
          </cell>
          <cell r="AW437">
            <v>0</v>
          </cell>
          <cell r="AY437" t="str">
            <v>NB</v>
          </cell>
        </row>
        <row r="438">
          <cell r="AM438">
            <v>-29767.62</v>
          </cell>
          <cell r="AP438" t="str">
            <v>Bilan</v>
          </cell>
          <cell r="AQ438" t="str">
            <v>Inventaire Pièces, Pneus, Huile</v>
          </cell>
          <cell r="AR438" t="str">
            <v>$</v>
          </cell>
          <cell r="AS438">
            <v>0</v>
          </cell>
          <cell r="AW438">
            <v>0</v>
          </cell>
          <cell r="AY438" t="str">
            <v>NB</v>
          </cell>
        </row>
        <row r="439">
          <cell r="AM439">
            <v>-5109.6799999999985</v>
          </cell>
          <cell r="AP439" t="str">
            <v>Bilan</v>
          </cell>
          <cell r="AQ439" t="str">
            <v>Inventaire Pièces, Pneus, Huile</v>
          </cell>
          <cell r="AR439" t="str">
            <v>$</v>
          </cell>
          <cell r="AS439">
            <v>0</v>
          </cell>
          <cell r="AW439">
            <v>0</v>
          </cell>
          <cell r="AY439" t="str">
            <v>NB</v>
          </cell>
        </row>
        <row r="440">
          <cell r="AM440">
            <v>-1194.8699999999999</v>
          </cell>
          <cell r="AP440" t="str">
            <v>Bilan</v>
          </cell>
          <cell r="AQ440" t="str">
            <v>Inventaire Pièces, Pneus, Huile</v>
          </cell>
          <cell r="AR440" t="str">
            <v>$</v>
          </cell>
          <cell r="AS440">
            <v>0</v>
          </cell>
          <cell r="AW440">
            <v>0</v>
          </cell>
          <cell r="AY440" t="str">
            <v>NB</v>
          </cell>
        </row>
        <row r="441">
          <cell r="AM441">
            <v>-3243.4500000000003</v>
          </cell>
          <cell r="AP441" t="str">
            <v>Bilan</v>
          </cell>
          <cell r="AQ441" t="str">
            <v>Inventaire Pièces, Pneus, Huile</v>
          </cell>
          <cell r="AR441" t="str">
            <v>$</v>
          </cell>
          <cell r="AS441">
            <v>0</v>
          </cell>
          <cell r="AW441">
            <v>0</v>
          </cell>
          <cell r="AY441" t="str">
            <v>NB</v>
          </cell>
        </row>
        <row r="442">
          <cell r="AM442">
            <v>-118.99000000000001</v>
          </cell>
          <cell r="AP442" t="str">
            <v>Bilan</v>
          </cell>
          <cell r="AQ442" t="str">
            <v>Sous-Traitance</v>
          </cell>
          <cell r="AR442" t="str">
            <v>$</v>
          </cell>
          <cell r="AS442">
            <v>0</v>
          </cell>
          <cell r="AW442">
            <v>0</v>
          </cell>
          <cell r="AY442" t="str">
            <v>NB</v>
          </cell>
        </row>
        <row r="443">
          <cell r="AM443">
            <v>-1884.6900000000023</v>
          </cell>
          <cell r="AP443" t="str">
            <v>Bilan</v>
          </cell>
          <cell r="AQ443" t="str">
            <v>Sous-Traitance</v>
          </cell>
          <cell r="AR443" t="str">
            <v>$</v>
          </cell>
          <cell r="AS443">
            <v>0</v>
          </cell>
          <cell r="AW443">
            <v>0</v>
          </cell>
          <cell r="AY443" t="str">
            <v>NB</v>
          </cell>
        </row>
        <row r="444">
          <cell r="AM444">
            <v>0</v>
          </cell>
          <cell r="AP444" t="str">
            <v>Bilan</v>
          </cell>
          <cell r="AQ444" t="str">
            <v>Sous-Traitance</v>
          </cell>
          <cell r="AR444" t="str">
            <v>$</v>
          </cell>
          <cell r="AS444">
            <v>0</v>
          </cell>
          <cell r="AW444">
            <v>0</v>
          </cell>
          <cell r="AY444" t="str">
            <v>NB</v>
          </cell>
        </row>
        <row r="445">
          <cell r="AM445">
            <v>-1019.1200000000008</v>
          </cell>
          <cell r="AP445" t="str">
            <v>Bilan</v>
          </cell>
          <cell r="AQ445" t="str">
            <v>Travaux en Cours</v>
          </cell>
          <cell r="AR445" t="str">
            <v>$</v>
          </cell>
          <cell r="AS445">
            <v>0</v>
          </cell>
          <cell r="AW445">
            <v>0</v>
          </cell>
          <cell r="AY445" t="str">
            <v>NB</v>
          </cell>
        </row>
        <row r="446">
          <cell r="AM446">
            <v>-454.52</v>
          </cell>
          <cell r="AP446" t="str">
            <v>Bilan</v>
          </cell>
          <cell r="AQ446" t="str">
            <v>Travaux en Cours</v>
          </cell>
          <cell r="AR446" t="str">
            <v>$</v>
          </cell>
          <cell r="AS446">
            <v>0</v>
          </cell>
          <cell r="AW446">
            <v>0</v>
          </cell>
          <cell r="AY446" t="str">
            <v>NB</v>
          </cell>
        </row>
        <row r="447">
          <cell r="AM447">
            <v>-366.39999999999964</v>
          </cell>
          <cell r="AP447" t="str">
            <v>Bilan</v>
          </cell>
          <cell r="AQ447" t="str">
            <v>Travaux en Cours</v>
          </cell>
          <cell r="AR447" t="str">
            <v>$</v>
          </cell>
          <cell r="AS447">
            <v>0</v>
          </cell>
          <cell r="AW447">
            <v>0</v>
          </cell>
          <cell r="AY447" t="str">
            <v>NB</v>
          </cell>
        </row>
        <row r="448">
          <cell r="AM448">
            <v>-360.30000000000007</v>
          </cell>
          <cell r="AP448" t="str">
            <v>Bilan</v>
          </cell>
          <cell r="AQ448" t="str">
            <v>Travaux en Cours</v>
          </cell>
          <cell r="AR448" t="str">
            <v>$</v>
          </cell>
          <cell r="AS448">
            <v>0</v>
          </cell>
          <cell r="AW448">
            <v>0</v>
          </cell>
          <cell r="AY448" t="str">
            <v>NB</v>
          </cell>
        </row>
        <row r="449">
          <cell r="AM449">
            <v>76000</v>
          </cell>
          <cell r="AP449" t="str">
            <v>Bilan</v>
          </cell>
          <cell r="AQ449" t="str">
            <v>Recevables Autres</v>
          </cell>
          <cell r="AR449" t="str">
            <v>$</v>
          </cell>
          <cell r="AS449">
            <v>0</v>
          </cell>
          <cell r="AW449">
            <v>0</v>
          </cell>
          <cell r="AY449" t="str">
            <v>NB</v>
          </cell>
        </row>
        <row r="450">
          <cell r="AM450">
            <v>0</v>
          </cell>
          <cell r="AP450" t="e">
            <v>#N/A</v>
          </cell>
          <cell r="AQ450" t="e">
            <v>#N/A</v>
          </cell>
          <cell r="AR450" t="str">
            <v>$</v>
          </cell>
          <cell r="AS450" t="e">
            <v>#N/A</v>
          </cell>
          <cell r="AW450">
            <v>0</v>
          </cell>
          <cell r="AY450" t="str">
            <v>NB</v>
          </cell>
        </row>
        <row r="451">
          <cell r="AM451">
            <v>0</v>
          </cell>
          <cell r="AP451">
            <v>0</v>
          </cell>
          <cell r="AQ451">
            <v>0</v>
          </cell>
          <cell r="AR451" t="str">
            <v>$</v>
          </cell>
          <cell r="AS451">
            <v>0</v>
          </cell>
          <cell r="AW451">
            <v>0</v>
          </cell>
          <cell r="AY451" t="str">
            <v>NB</v>
          </cell>
        </row>
        <row r="452">
          <cell r="AM452">
            <v>397850.71</v>
          </cell>
          <cell r="AP452" t="str">
            <v>Bilan</v>
          </cell>
          <cell r="AQ452" t="str">
            <v>Encaisse</v>
          </cell>
          <cell r="AR452" t="str">
            <v>$</v>
          </cell>
          <cell r="AS452">
            <v>0</v>
          </cell>
          <cell r="AW452">
            <v>0</v>
          </cell>
          <cell r="AY452" t="str">
            <v>NB</v>
          </cell>
        </row>
        <row r="453">
          <cell r="AM453">
            <v>-1947.869999999999</v>
          </cell>
          <cell r="AP453" t="str">
            <v>Bilan</v>
          </cell>
          <cell r="AQ453" t="str">
            <v>Recevables Manufacturier</v>
          </cell>
          <cell r="AR453" t="str">
            <v>$</v>
          </cell>
          <cell r="AS453">
            <v>0</v>
          </cell>
          <cell r="AW453">
            <v>0</v>
          </cell>
          <cell r="AY453" t="str">
            <v>NB</v>
          </cell>
        </row>
        <row r="454">
          <cell r="AM454">
            <v>46499.939999999995</v>
          </cell>
          <cell r="AP454" t="str">
            <v>Bilan</v>
          </cell>
          <cell r="AQ454" t="str">
            <v>Recevables Manufacturier</v>
          </cell>
          <cell r="AR454" t="str">
            <v>$</v>
          </cell>
          <cell r="AS454">
            <v>0</v>
          </cell>
          <cell r="AW454">
            <v>0</v>
          </cell>
          <cell r="AY454" t="str">
            <v>NB</v>
          </cell>
        </row>
        <row r="455">
          <cell r="AM455">
            <v>-39391.01999999999</v>
          </cell>
          <cell r="AP455" t="str">
            <v>Bilan</v>
          </cell>
          <cell r="AQ455" t="str">
            <v>Recevables Manufacturier</v>
          </cell>
          <cell r="AR455" t="str">
            <v>$</v>
          </cell>
          <cell r="AS455">
            <v>0</v>
          </cell>
          <cell r="AW455">
            <v>0</v>
          </cell>
          <cell r="AY455" t="str">
            <v>NB</v>
          </cell>
        </row>
        <row r="456">
          <cell r="AM456">
            <v>-2970</v>
          </cell>
          <cell r="AP456" t="str">
            <v>Bilan</v>
          </cell>
          <cell r="AQ456" t="str">
            <v>Frais Payés d'Avance</v>
          </cell>
          <cell r="AR456" t="str">
            <v>$</v>
          </cell>
          <cell r="AS456">
            <v>0</v>
          </cell>
          <cell r="AW456">
            <v>0</v>
          </cell>
          <cell r="AY456" t="str">
            <v>NB</v>
          </cell>
        </row>
        <row r="457">
          <cell r="AM457">
            <v>-20213.13</v>
          </cell>
          <cell r="AP457" t="str">
            <v>Bilan</v>
          </cell>
          <cell r="AQ457" t="str">
            <v>Recevables Garantie Manufacturier</v>
          </cell>
          <cell r="AR457" t="str">
            <v>$</v>
          </cell>
          <cell r="AS457">
            <v>0</v>
          </cell>
          <cell r="AW457">
            <v>0</v>
          </cell>
          <cell r="AY457" t="str">
            <v>NB</v>
          </cell>
        </row>
        <row r="458">
          <cell r="AM458">
            <v>0</v>
          </cell>
          <cell r="AP458" t="e">
            <v>#N/A</v>
          </cell>
          <cell r="AQ458" t="e">
            <v>#N/A</v>
          </cell>
          <cell r="AR458" t="str">
            <v>$</v>
          </cell>
          <cell r="AS458" t="e">
            <v>#N/A</v>
          </cell>
          <cell r="AW458">
            <v>0</v>
          </cell>
          <cell r="AY458" t="str">
            <v>NB</v>
          </cell>
        </row>
        <row r="459">
          <cell r="AM459">
            <v>0</v>
          </cell>
          <cell r="AP459" t="e">
            <v>#N/A</v>
          </cell>
          <cell r="AQ459" t="e">
            <v>#N/A</v>
          </cell>
          <cell r="AR459" t="str">
            <v>$</v>
          </cell>
          <cell r="AS459" t="e">
            <v>#N/A</v>
          </cell>
          <cell r="AW459">
            <v>0</v>
          </cell>
          <cell r="AY459" t="str">
            <v>NB</v>
          </cell>
        </row>
        <row r="460">
          <cell r="AM460">
            <v>0</v>
          </cell>
          <cell r="AP460" t="e">
            <v>#N/A</v>
          </cell>
          <cell r="AQ460" t="e">
            <v>#N/A</v>
          </cell>
          <cell r="AR460" t="str">
            <v>$</v>
          </cell>
          <cell r="AS460" t="e">
            <v>#N/A</v>
          </cell>
          <cell r="AW460">
            <v>0</v>
          </cell>
          <cell r="AY460" t="str">
            <v>NB</v>
          </cell>
        </row>
        <row r="461">
          <cell r="AM461">
            <v>0</v>
          </cell>
          <cell r="AP461" t="str">
            <v>Bilan</v>
          </cell>
          <cell r="AQ461" t="str">
            <v>Recevables Autres</v>
          </cell>
          <cell r="AR461" t="str">
            <v>$</v>
          </cell>
          <cell r="AS461">
            <v>0</v>
          </cell>
          <cell r="AW461">
            <v>0</v>
          </cell>
          <cell r="AY461" t="str">
            <v>NB</v>
          </cell>
        </row>
        <row r="462">
          <cell r="AM462">
            <v>-1533.0500000000002</v>
          </cell>
          <cell r="AP462" t="str">
            <v>Bilan</v>
          </cell>
          <cell r="AQ462" t="str">
            <v>Frais Payés d'Avance</v>
          </cell>
          <cell r="AR462" t="str">
            <v>$</v>
          </cell>
          <cell r="AS462">
            <v>0</v>
          </cell>
          <cell r="AW462">
            <v>0</v>
          </cell>
          <cell r="AY462" t="str">
            <v>NB</v>
          </cell>
        </row>
        <row r="463">
          <cell r="AM463">
            <v>-4727.6100000000006</v>
          </cell>
          <cell r="AP463" t="str">
            <v>Bilan</v>
          </cell>
          <cell r="AQ463" t="str">
            <v>Frais Payés d'Avance</v>
          </cell>
          <cell r="AR463" t="str">
            <v>$</v>
          </cell>
          <cell r="AS463">
            <v>0</v>
          </cell>
          <cell r="AW463">
            <v>0</v>
          </cell>
          <cell r="AY463" t="str">
            <v>NB</v>
          </cell>
        </row>
        <row r="464">
          <cell r="AM464">
            <v>-7841.3100000000013</v>
          </cell>
          <cell r="AP464" t="str">
            <v>Bilan</v>
          </cell>
          <cell r="AQ464" t="str">
            <v>Frais Payés d'Avance</v>
          </cell>
          <cell r="AR464" t="str">
            <v>$</v>
          </cell>
          <cell r="AS464">
            <v>0</v>
          </cell>
          <cell r="AW464">
            <v>0</v>
          </cell>
          <cell r="AY464" t="str">
            <v>NB</v>
          </cell>
        </row>
        <row r="465">
          <cell r="AM465">
            <v>-19577.919999999984</v>
          </cell>
          <cell r="AP465" t="str">
            <v>Bilan</v>
          </cell>
          <cell r="AQ465" t="str">
            <v>Frais Payés d'Avance</v>
          </cell>
          <cell r="AR465" t="str">
            <v>$</v>
          </cell>
          <cell r="AS465">
            <v>0</v>
          </cell>
          <cell r="AW465">
            <v>0</v>
          </cell>
          <cell r="AY465" t="str">
            <v>NB</v>
          </cell>
        </row>
        <row r="466">
          <cell r="AM466">
            <v>0</v>
          </cell>
          <cell r="AP466" t="e">
            <v>#N/A</v>
          </cell>
          <cell r="AQ466" t="e">
            <v>#N/A</v>
          </cell>
          <cell r="AR466" t="str">
            <v>$</v>
          </cell>
          <cell r="AS466" t="e">
            <v>#N/A</v>
          </cell>
          <cell r="AW466">
            <v>0</v>
          </cell>
          <cell r="AY466" t="str">
            <v>NB</v>
          </cell>
        </row>
        <row r="467">
          <cell r="AM467">
            <v>-521.4699999999998</v>
          </cell>
          <cell r="AP467" t="str">
            <v>Bilan</v>
          </cell>
          <cell r="AQ467" t="str">
            <v>Frais Payés d'Avance</v>
          </cell>
          <cell r="AR467" t="str">
            <v>$</v>
          </cell>
          <cell r="AS467">
            <v>0</v>
          </cell>
          <cell r="AW467">
            <v>0</v>
          </cell>
          <cell r="AY467" t="str">
            <v>NB</v>
          </cell>
        </row>
        <row r="468">
          <cell r="AM468">
            <v>-4325.1900000000005</v>
          </cell>
          <cell r="AP468" t="str">
            <v>Bilan</v>
          </cell>
          <cell r="AQ468" t="str">
            <v>Frais Payés d'Avance</v>
          </cell>
          <cell r="AR468" t="str">
            <v>$</v>
          </cell>
          <cell r="AS468">
            <v>0</v>
          </cell>
          <cell r="AW468">
            <v>0</v>
          </cell>
          <cell r="AY468" t="str">
            <v>NB</v>
          </cell>
        </row>
        <row r="469">
          <cell r="AM469">
            <v>-216.5</v>
          </cell>
          <cell r="AP469" t="str">
            <v>Bilan</v>
          </cell>
          <cell r="AQ469" t="str">
            <v>Frais Payés d'Avance</v>
          </cell>
          <cell r="AR469" t="str">
            <v>$</v>
          </cell>
          <cell r="AS469">
            <v>0</v>
          </cell>
          <cell r="AW469">
            <v>0</v>
          </cell>
          <cell r="AY469" t="str">
            <v>NB</v>
          </cell>
        </row>
        <row r="470">
          <cell r="AM470">
            <v>-227.20000000000005</v>
          </cell>
          <cell r="AP470" t="str">
            <v>Bilan</v>
          </cell>
          <cell r="AQ470" t="str">
            <v>Frais Payés d'Avance</v>
          </cell>
          <cell r="AR470" t="str">
            <v>$</v>
          </cell>
          <cell r="AS470">
            <v>0</v>
          </cell>
          <cell r="AW470">
            <v>0</v>
          </cell>
          <cell r="AY470" t="str">
            <v>NB</v>
          </cell>
        </row>
        <row r="471">
          <cell r="AM471">
            <v>-1658.7900000000009</v>
          </cell>
          <cell r="AP471" t="str">
            <v>Bilan</v>
          </cell>
          <cell r="AQ471" t="str">
            <v>Frais Payés d'Avance</v>
          </cell>
          <cell r="AR471" t="str">
            <v>$</v>
          </cell>
          <cell r="AS471">
            <v>0</v>
          </cell>
          <cell r="AW471">
            <v>0</v>
          </cell>
          <cell r="AY471" t="str">
            <v>NB</v>
          </cell>
        </row>
        <row r="472">
          <cell r="AM472">
            <v>-5647.5</v>
          </cell>
          <cell r="AP472" t="str">
            <v>Bilan</v>
          </cell>
          <cell r="AQ472" t="str">
            <v>Frais Payés d'Avance</v>
          </cell>
          <cell r="AR472" t="str">
            <v>$</v>
          </cell>
          <cell r="AS472">
            <v>0</v>
          </cell>
          <cell r="AW472">
            <v>0</v>
          </cell>
          <cell r="AY472" t="str">
            <v>NB</v>
          </cell>
        </row>
        <row r="473">
          <cell r="AM473">
            <v>0</v>
          </cell>
          <cell r="AP473" t="e">
            <v>#N/A</v>
          </cell>
          <cell r="AQ473" t="e">
            <v>#N/A</v>
          </cell>
          <cell r="AR473" t="str">
            <v>$</v>
          </cell>
          <cell r="AS473" t="e">
            <v>#N/A</v>
          </cell>
          <cell r="AW473">
            <v>0</v>
          </cell>
          <cell r="AY473" t="str">
            <v>NB</v>
          </cell>
        </row>
        <row r="474">
          <cell r="AM474">
            <v>0</v>
          </cell>
          <cell r="AP474">
            <v>0</v>
          </cell>
          <cell r="AQ474">
            <v>0</v>
          </cell>
          <cell r="AR474" t="str">
            <v>$</v>
          </cell>
          <cell r="AS474">
            <v>0</v>
          </cell>
          <cell r="AW474">
            <v>0</v>
          </cell>
          <cell r="AY474" t="str">
            <v>NB</v>
          </cell>
        </row>
        <row r="475">
          <cell r="AM475">
            <v>0</v>
          </cell>
          <cell r="AP475" t="str">
            <v>Bilan</v>
          </cell>
          <cell r="AQ475" t="str">
            <v>Équipements Service</v>
          </cell>
          <cell r="AR475" t="str">
            <v>$</v>
          </cell>
          <cell r="AS475">
            <v>0</v>
          </cell>
          <cell r="AW475">
            <v>0</v>
          </cell>
          <cell r="AY475" t="str">
            <v>NB</v>
          </cell>
        </row>
        <row r="476">
          <cell r="AM476">
            <v>0</v>
          </cell>
          <cell r="AP476" t="str">
            <v>Bilan</v>
          </cell>
          <cell r="AQ476" t="str">
            <v>Équipements Service</v>
          </cell>
          <cell r="AR476" t="str">
            <v>$</v>
          </cell>
          <cell r="AS476">
            <v>0</v>
          </cell>
          <cell r="AW476">
            <v>0</v>
          </cell>
          <cell r="AY476" t="str">
            <v>NB</v>
          </cell>
        </row>
        <row r="477">
          <cell r="AM477">
            <v>0</v>
          </cell>
          <cell r="AP477" t="str">
            <v>Bilan</v>
          </cell>
          <cell r="AQ477" t="str">
            <v>Équipements Service</v>
          </cell>
          <cell r="AR477" t="str">
            <v>$</v>
          </cell>
          <cell r="AS477">
            <v>0</v>
          </cell>
          <cell r="AW477">
            <v>0</v>
          </cell>
          <cell r="AY477" t="str">
            <v>NB</v>
          </cell>
        </row>
        <row r="478">
          <cell r="AM478">
            <v>0</v>
          </cell>
          <cell r="AP478" t="str">
            <v>Bilan</v>
          </cell>
          <cell r="AQ478" t="str">
            <v>Mobilier</v>
          </cell>
          <cell r="AR478" t="str">
            <v>$</v>
          </cell>
          <cell r="AS478">
            <v>0</v>
          </cell>
          <cell r="AW478">
            <v>0</v>
          </cell>
          <cell r="AY478" t="str">
            <v>NB</v>
          </cell>
        </row>
        <row r="479">
          <cell r="AM479">
            <v>10500.000000000015</v>
          </cell>
          <cell r="AP479" t="str">
            <v>Bilan</v>
          </cell>
          <cell r="AQ479" t="str">
            <v>Équipements Service</v>
          </cell>
          <cell r="AR479" t="str">
            <v>$</v>
          </cell>
          <cell r="AS479">
            <v>0</v>
          </cell>
          <cell r="AW479">
            <v>0</v>
          </cell>
          <cell r="AY479" t="str">
            <v>NB</v>
          </cell>
        </row>
        <row r="480">
          <cell r="AM480">
            <v>0</v>
          </cell>
          <cell r="AP480" t="str">
            <v>Bilan</v>
          </cell>
          <cell r="AQ480" t="str">
            <v>Améliorations Locatives</v>
          </cell>
          <cell r="AR480" t="str">
            <v>$</v>
          </cell>
          <cell r="AS480">
            <v>0</v>
          </cell>
          <cell r="AW480">
            <v>0</v>
          </cell>
          <cell r="AY480" t="str">
            <v>NB</v>
          </cell>
        </row>
        <row r="481">
          <cell r="AM481">
            <v>0</v>
          </cell>
          <cell r="AP481" t="str">
            <v>Bilan</v>
          </cell>
          <cell r="AQ481" t="str">
            <v>Équipements Informatique</v>
          </cell>
          <cell r="AR481" t="str">
            <v>$</v>
          </cell>
          <cell r="AS481">
            <v>0</v>
          </cell>
          <cell r="AW481">
            <v>0</v>
          </cell>
          <cell r="AY481" t="str">
            <v>NB</v>
          </cell>
        </row>
        <row r="482">
          <cell r="AM482">
            <v>0</v>
          </cell>
          <cell r="AP482" t="str">
            <v>Bilan</v>
          </cell>
          <cell r="AQ482" t="str">
            <v>Enseigne</v>
          </cell>
          <cell r="AR482" t="str">
            <v>$</v>
          </cell>
          <cell r="AS482">
            <v>0</v>
          </cell>
          <cell r="AW482">
            <v>0</v>
          </cell>
          <cell r="AY482" t="str">
            <v>NB</v>
          </cell>
        </row>
        <row r="483">
          <cell r="AM483">
            <v>0</v>
          </cell>
          <cell r="AP483">
            <v>0</v>
          </cell>
          <cell r="AQ483">
            <v>0</v>
          </cell>
          <cell r="AR483" t="str">
            <v>$</v>
          </cell>
          <cell r="AS483">
            <v>0</v>
          </cell>
          <cell r="AW483">
            <v>0</v>
          </cell>
          <cell r="AY483" t="str">
            <v>NB</v>
          </cell>
        </row>
        <row r="484">
          <cell r="AM484">
            <v>0</v>
          </cell>
          <cell r="AP484" t="str">
            <v>Bilan</v>
          </cell>
          <cell r="AQ484" t="str">
            <v>Avances à Recevoir Long Terme</v>
          </cell>
          <cell r="AR484" t="str">
            <v>$</v>
          </cell>
          <cell r="AS484">
            <v>0</v>
          </cell>
          <cell r="AW484">
            <v>0</v>
          </cell>
          <cell r="AY484" t="str">
            <v>NB</v>
          </cell>
        </row>
        <row r="485">
          <cell r="AM485">
            <v>-500000</v>
          </cell>
          <cell r="AP485" t="str">
            <v>Bilan</v>
          </cell>
          <cell r="AQ485" t="str">
            <v>Encaisse</v>
          </cell>
          <cell r="AR485" t="str">
            <v>$</v>
          </cell>
          <cell r="AS485">
            <v>0</v>
          </cell>
          <cell r="AW485">
            <v>0</v>
          </cell>
          <cell r="AY485" t="str">
            <v>NB</v>
          </cell>
        </row>
        <row r="486">
          <cell r="AM486">
            <v>0</v>
          </cell>
          <cell r="AP486" t="str">
            <v>Bilan</v>
          </cell>
          <cell r="AQ486" t="str">
            <v>Avances à Recevoir Long Terme</v>
          </cell>
          <cell r="AR486" t="str">
            <v>$</v>
          </cell>
          <cell r="AS486">
            <v>0</v>
          </cell>
          <cell r="AW486">
            <v>0</v>
          </cell>
          <cell r="AY486" t="str">
            <v>NB</v>
          </cell>
        </row>
        <row r="487">
          <cell r="AM487">
            <v>0</v>
          </cell>
          <cell r="AP487" t="str">
            <v>Bilan</v>
          </cell>
          <cell r="AQ487" t="str">
            <v>Avances à Recevoir Long Terme</v>
          </cell>
          <cell r="AR487" t="str">
            <v>$</v>
          </cell>
          <cell r="AS487">
            <v>0</v>
          </cell>
          <cell r="AW487">
            <v>0</v>
          </cell>
          <cell r="AY487" t="str">
            <v>NB</v>
          </cell>
        </row>
        <row r="488">
          <cell r="AM488">
            <v>251874.64999999991</v>
          </cell>
          <cell r="AP488" t="str">
            <v>Bilan</v>
          </cell>
          <cell r="AQ488" t="str">
            <v>Comptes à Payer Fournisseurs</v>
          </cell>
          <cell r="AR488" t="str">
            <v>$</v>
          </cell>
          <cell r="AS488">
            <v>0</v>
          </cell>
          <cell r="AW488">
            <v>0</v>
          </cell>
          <cell r="AY488" t="str">
            <v>NB</v>
          </cell>
        </row>
        <row r="489">
          <cell r="AM489">
            <v>0</v>
          </cell>
          <cell r="AP489" t="e">
            <v>#N/A</v>
          </cell>
          <cell r="AQ489" t="e">
            <v>#N/A</v>
          </cell>
          <cell r="AR489" t="str">
            <v>$</v>
          </cell>
          <cell r="AS489" t="e">
            <v>#N/A</v>
          </cell>
          <cell r="AW489">
            <v>0</v>
          </cell>
          <cell r="AY489" t="str">
            <v>NB</v>
          </cell>
        </row>
        <row r="490">
          <cell r="AM490">
            <v>0</v>
          </cell>
          <cell r="AP490" t="str">
            <v>Bilan</v>
          </cell>
          <cell r="AQ490" t="str">
            <v>Autres Comptes à Payer</v>
          </cell>
          <cell r="AR490" t="str">
            <v>$</v>
          </cell>
          <cell r="AS490">
            <v>0</v>
          </cell>
          <cell r="AW490">
            <v>0</v>
          </cell>
          <cell r="AY490" t="str">
            <v>NB</v>
          </cell>
        </row>
        <row r="491">
          <cell r="AM491">
            <v>14921.13</v>
          </cell>
          <cell r="AP491" t="str">
            <v>Bilan</v>
          </cell>
          <cell r="AQ491" t="str">
            <v>Autres Comptes à Payer</v>
          </cell>
          <cell r="AR491" t="str">
            <v>$</v>
          </cell>
          <cell r="AS491">
            <v>0</v>
          </cell>
          <cell r="AW491">
            <v>0</v>
          </cell>
          <cell r="AY491" t="str">
            <v>NB</v>
          </cell>
        </row>
        <row r="492">
          <cell r="AM492">
            <v>-1467.1</v>
          </cell>
          <cell r="AP492" t="str">
            <v>Bilan</v>
          </cell>
          <cell r="AQ492" t="str">
            <v>Autres Comptes à Payer</v>
          </cell>
          <cell r="AR492" t="str">
            <v>$</v>
          </cell>
          <cell r="AS492">
            <v>0</v>
          </cell>
          <cell r="AW492">
            <v>0</v>
          </cell>
          <cell r="AY492" t="str">
            <v>NB</v>
          </cell>
        </row>
        <row r="493">
          <cell r="AM493">
            <v>162</v>
          </cell>
          <cell r="AP493" t="str">
            <v>Bilan</v>
          </cell>
          <cell r="AQ493" t="str">
            <v>Taxes de Vente à Payer</v>
          </cell>
          <cell r="AR493" t="str">
            <v>$</v>
          </cell>
          <cell r="AS493">
            <v>0</v>
          </cell>
          <cell r="AW493">
            <v>0</v>
          </cell>
          <cell r="AY493" t="str">
            <v>NB</v>
          </cell>
        </row>
        <row r="494">
          <cell r="AM494">
            <v>0</v>
          </cell>
          <cell r="AP494" t="e">
            <v>#N/A</v>
          </cell>
          <cell r="AQ494" t="e">
            <v>#N/A</v>
          </cell>
          <cell r="AR494" t="str">
            <v>$</v>
          </cell>
          <cell r="AS494" t="e">
            <v>#N/A</v>
          </cell>
          <cell r="AW494">
            <v>0</v>
          </cell>
          <cell r="AY494" t="str">
            <v>NB</v>
          </cell>
        </row>
        <row r="495">
          <cell r="AM495">
            <v>100000</v>
          </cell>
          <cell r="AP495" t="str">
            <v>Bilan</v>
          </cell>
          <cell r="AQ495" t="str">
            <v>Payables Intercos</v>
          </cell>
          <cell r="AR495" t="str">
            <v>$</v>
          </cell>
          <cell r="AS495">
            <v>0</v>
          </cell>
          <cell r="AW495">
            <v>0</v>
          </cell>
          <cell r="AY495" t="str">
            <v>NB</v>
          </cell>
        </row>
        <row r="496">
          <cell r="AM496">
            <v>0</v>
          </cell>
          <cell r="AP496" t="e">
            <v>#N/A</v>
          </cell>
          <cell r="AQ496" t="e">
            <v>#N/A</v>
          </cell>
          <cell r="AR496" t="str">
            <v>$</v>
          </cell>
          <cell r="AS496" t="e">
            <v>#N/A</v>
          </cell>
          <cell r="AW496">
            <v>0</v>
          </cell>
          <cell r="AY496" t="str">
            <v>NB</v>
          </cell>
        </row>
        <row r="497">
          <cell r="AM497">
            <v>0</v>
          </cell>
          <cell r="AP497" t="str">
            <v>Bilan</v>
          </cell>
          <cell r="AQ497" t="str">
            <v>Payables Intercos</v>
          </cell>
          <cell r="AR497" t="str">
            <v>$</v>
          </cell>
          <cell r="AS497">
            <v>0</v>
          </cell>
          <cell r="AW497">
            <v>0</v>
          </cell>
          <cell r="AY497" t="str">
            <v>NB</v>
          </cell>
        </row>
        <row r="498">
          <cell r="AM498">
            <v>0</v>
          </cell>
          <cell r="AP498" t="str">
            <v>Bilan</v>
          </cell>
          <cell r="AQ498" t="str">
            <v>Payables Intercos</v>
          </cell>
          <cell r="AR498" t="str">
            <v>$</v>
          </cell>
          <cell r="AS498">
            <v>0</v>
          </cell>
          <cell r="AW498">
            <v>0</v>
          </cell>
          <cell r="AY498" t="str">
            <v>NB</v>
          </cell>
        </row>
        <row r="499">
          <cell r="AM499">
            <v>0</v>
          </cell>
          <cell r="AP499" t="str">
            <v>Bilan</v>
          </cell>
          <cell r="AQ499" t="str">
            <v>Payables Intercos</v>
          </cell>
          <cell r="AR499" t="str">
            <v>$</v>
          </cell>
          <cell r="AS499">
            <v>0</v>
          </cell>
          <cell r="AW499">
            <v>0</v>
          </cell>
          <cell r="AY499" t="str">
            <v>NB</v>
          </cell>
        </row>
        <row r="500">
          <cell r="AM500">
            <v>0</v>
          </cell>
          <cell r="AP500">
            <v>0</v>
          </cell>
          <cell r="AQ500">
            <v>0</v>
          </cell>
          <cell r="AR500" t="str">
            <v>$</v>
          </cell>
          <cell r="AS500">
            <v>0</v>
          </cell>
          <cell r="AW500">
            <v>0</v>
          </cell>
          <cell r="AY500" t="str">
            <v>NB</v>
          </cell>
        </row>
        <row r="501">
          <cell r="AM501">
            <v>94499.06</v>
          </cell>
          <cell r="AP501" t="str">
            <v>Bilan</v>
          </cell>
          <cell r="AQ501" t="str">
            <v>Autres Courus</v>
          </cell>
          <cell r="AR501" t="str">
            <v>$</v>
          </cell>
          <cell r="AS501">
            <v>0</v>
          </cell>
          <cell r="AW501">
            <v>0</v>
          </cell>
          <cell r="AY501" t="str">
            <v>NB</v>
          </cell>
        </row>
        <row r="502">
          <cell r="AM502">
            <v>-52524.270000000019</v>
          </cell>
          <cell r="AP502" t="str">
            <v>Bilan</v>
          </cell>
          <cell r="AQ502" t="str">
            <v>Autres Courus</v>
          </cell>
          <cell r="AR502" t="str">
            <v>$</v>
          </cell>
          <cell r="AS502">
            <v>0</v>
          </cell>
          <cell r="AW502">
            <v>0</v>
          </cell>
          <cell r="AY502" t="str">
            <v>NB</v>
          </cell>
        </row>
        <row r="503">
          <cell r="AM503">
            <v>51324.12999999999</v>
          </cell>
          <cell r="AP503" t="str">
            <v>Bilan</v>
          </cell>
          <cell r="AQ503" t="str">
            <v>Autres Courus</v>
          </cell>
          <cell r="AR503" t="str">
            <v>$</v>
          </cell>
          <cell r="AS503">
            <v>0</v>
          </cell>
          <cell r="AW503">
            <v>0</v>
          </cell>
          <cell r="AY503" t="str">
            <v>NB</v>
          </cell>
        </row>
        <row r="504">
          <cell r="AM504">
            <v>0</v>
          </cell>
          <cell r="AP504" t="str">
            <v>Bilan</v>
          </cell>
          <cell r="AQ504" t="str">
            <v>Payables Intercos</v>
          </cell>
          <cell r="AR504" t="str">
            <v>$</v>
          </cell>
          <cell r="AS504">
            <v>0</v>
          </cell>
          <cell r="AW504">
            <v>0</v>
          </cell>
          <cell r="AY504" t="str">
            <v>NB</v>
          </cell>
        </row>
        <row r="505">
          <cell r="AM505">
            <v>-10357469.77</v>
          </cell>
          <cell r="AP505" t="str">
            <v>Bilan</v>
          </cell>
          <cell r="AQ505" t="str">
            <v>Payables Intercos</v>
          </cell>
          <cell r="AR505" t="str">
            <v>$</v>
          </cell>
          <cell r="AS505">
            <v>0</v>
          </cell>
          <cell r="AW505">
            <v>0</v>
          </cell>
          <cell r="AY505" t="str">
            <v>NB</v>
          </cell>
        </row>
        <row r="506">
          <cell r="AM506">
            <v>0</v>
          </cell>
          <cell r="AP506" t="str">
            <v>Bilan</v>
          </cell>
          <cell r="AQ506" t="str">
            <v>Payables Intercos</v>
          </cell>
          <cell r="AR506" t="str">
            <v>$</v>
          </cell>
          <cell r="AS506">
            <v>0</v>
          </cell>
          <cell r="AW506">
            <v>0</v>
          </cell>
          <cell r="AY506" t="str">
            <v>NB</v>
          </cell>
        </row>
        <row r="507">
          <cell r="AM507">
            <v>32552</v>
          </cell>
          <cell r="AP507" t="str">
            <v>Bilan</v>
          </cell>
          <cell r="AQ507" t="str">
            <v>Dette à Long terme</v>
          </cell>
          <cell r="AR507" t="str">
            <v>$</v>
          </cell>
          <cell r="AS507">
            <v>0</v>
          </cell>
          <cell r="AW507">
            <v>0</v>
          </cell>
          <cell r="AY507" t="str">
            <v>NB</v>
          </cell>
        </row>
        <row r="508">
          <cell r="AM508">
            <v>0</v>
          </cell>
          <cell r="AP508" t="e">
            <v>#N/A</v>
          </cell>
          <cell r="AQ508" t="e">
            <v>#N/A</v>
          </cell>
          <cell r="AR508" t="str">
            <v>$</v>
          </cell>
          <cell r="AS508" t="e">
            <v>#N/A</v>
          </cell>
          <cell r="AW508">
            <v>0</v>
          </cell>
          <cell r="AY508" t="str">
            <v>NB</v>
          </cell>
        </row>
        <row r="509">
          <cell r="AM509">
            <v>0</v>
          </cell>
          <cell r="AP509" t="str">
            <v>Bilan</v>
          </cell>
          <cell r="AQ509" t="str">
            <v>Dépôts de Client</v>
          </cell>
          <cell r="AR509" t="str">
            <v>$</v>
          </cell>
          <cell r="AS509">
            <v>0</v>
          </cell>
          <cell r="AW509">
            <v>0</v>
          </cell>
          <cell r="AY509" t="str">
            <v>NB</v>
          </cell>
        </row>
        <row r="510">
          <cell r="AM510">
            <v>0</v>
          </cell>
          <cell r="AP510" t="e">
            <v>#N/A</v>
          </cell>
          <cell r="AQ510" t="e">
            <v>#N/A</v>
          </cell>
          <cell r="AR510" t="str">
            <v>$</v>
          </cell>
          <cell r="AS510" t="e">
            <v>#N/A</v>
          </cell>
          <cell r="AW510">
            <v>0</v>
          </cell>
          <cell r="AY510" t="str">
            <v>NB</v>
          </cell>
        </row>
        <row r="511">
          <cell r="AM511">
            <v>3040095.3699999973</v>
          </cell>
          <cell r="AP511" t="str">
            <v>Bilan</v>
          </cell>
          <cell r="AQ511" t="str">
            <v>Effet à Payer Véhicules Neufs</v>
          </cell>
          <cell r="AR511" t="str">
            <v>$</v>
          </cell>
          <cell r="AS511">
            <v>0</v>
          </cell>
          <cell r="AW511">
            <v>0</v>
          </cell>
          <cell r="AY511" t="str">
            <v>NB</v>
          </cell>
        </row>
        <row r="512">
          <cell r="AM512">
            <v>632469.10000000149</v>
          </cell>
          <cell r="AP512" t="str">
            <v>Bilan</v>
          </cell>
          <cell r="AQ512" t="str">
            <v>Effet à Payer Véhicules Usagés</v>
          </cell>
          <cell r="AR512" t="str">
            <v>$</v>
          </cell>
          <cell r="AS512">
            <v>0</v>
          </cell>
          <cell r="AW512">
            <v>0</v>
          </cell>
          <cell r="AY512" t="str">
            <v>NB</v>
          </cell>
        </row>
        <row r="513">
          <cell r="AM513">
            <v>0</v>
          </cell>
          <cell r="AP513" t="e">
            <v>#N/A</v>
          </cell>
          <cell r="AQ513" t="e">
            <v>#N/A</v>
          </cell>
          <cell r="AR513" t="str">
            <v>$</v>
          </cell>
          <cell r="AS513" t="e">
            <v>#N/A</v>
          </cell>
          <cell r="AW513">
            <v>0</v>
          </cell>
          <cell r="AY513" t="str">
            <v>NB</v>
          </cell>
        </row>
        <row r="514">
          <cell r="AM514">
            <v>0</v>
          </cell>
          <cell r="AP514">
            <v>0</v>
          </cell>
          <cell r="AQ514">
            <v>0</v>
          </cell>
          <cell r="AR514" t="str">
            <v>$</v>
          </cell>
          <cell r="AS514">
            <v>0</v>
          </cell>
          <cell r="AW514">
            <v>0</v>
          </cell>
          <cell r="AY514" t="str">
            <v>NB</v>
          </cell>
        </row>
        <row r="515">
          <cell r="AM515">
            <v>0</v>
          </cell>
          <cell r="AP515" t="e">
            <v>#N/A</v>
          </cell>
          <cell r="AQ515" t="e">
            <v>#N/A</v>
          </cell>
          <cell r="AR515" t="str">
            <v>$</v>
          </cell>
          <cell r="AS515" t="e">
            <v>#N/A</v>
          </cell>
          <cell r="AW515">
            <v>0</v>
          </cell>
          <cell r="AY515" t="str">
            <v>NB</v>
          </cell>
        </row>
        <row r="516">
          <cell r="AM516">
            <v>0</v>
          </cell>
          <cell r="AP516">
            <v>0</v>
          </cell>
          <cell r="AQ516">
            <v>0</v>
          </cell>
          <cell r="AR516" t="str">
            <v>$</v>
          </cell>
          <cell r="AS516">
            <v>0</v>
          </cell>
          <cell r="AW516">
            <v>0</v>
          </cell>
          <cell r="AY516" t="str">
            <v>NB</v>
          </cell>
        </row>
        <row r="517">
          <cell r="AM517">
            <v>6091.8100000000013</v>
          </cell>
          <cell r="AP517" t="str">
            <v>Bilan</v>
          </cell>
          <cell r="AQ517" t="str">
            <v>DAS à Payer</v>
          </cell>
          <cell r="AR517" t="str">
            <v>$</v>
          </cell>
          <cell r="AS517">
            <v>0</v>
          </cell>
          <cell r="AW517">
            <v>0</v>
          </cell>
          <cell r="AY517" t="str">
            <v>NB</v>
          </cell>
        </row>
        <row r="518">
          <cell r="AM518">
            <v>-47133.450000000004</v>
          </cell>
          <cell r="AP518" t="str">
            <v>Bilan</v>
          </cell>
          <cell r="AQ518" t="str">
            <v>Salaires à Payer</v>
          </cell>
          <cell r="AR518" t="str">
            <v>$</v>
          </cell>
          <cell r="AS518">
            <v>0</v>
          </cell>
          <cell r="AW518">
            <v>0</v>
          </cell>
          <cell r="AY518" t="str">
            <v>NB</v>
          </cell>
        </row>
        <row r="519">
          <cell r="AM519">
            <v>5160.5299999999988</v>
          </cell>
          <cell r="AP519" t="str">
            <v>Bilan</v>
          </cell>
          <cell r="AQ519" t="str">
            <v>Salaires à Payer</v>
          </cell>
          <cell r="AR519" t="str">
            <v>$</v>
          </cell>
          <cell r="AS519">
            <v>0</v>
          </cell>
          <cell r="AW519">
            <v>0</v>
          </cell>
          <cell r="AY519" t="str">
            <v>NB</v>
          </cell>
        </row>
        <row r="520">
          <cell r="AM520">
            <v>0</v>
          </cell>
          <cell r="AP520">
            <v>0</v>
          </cell>
          <cell r="AQ520">
            <v>0</v>
          </cell>
          <cell r="AR520" t="str">
            <v>$</v>
          </cell>
          <cell r="AS520">
            <v>0</v>
          </cell>
          <cell r="AW520">
            <v>0</v>
          </cell>
          <cell r="AY520" t="str">
            <v>NB</v>
          </cell>
        </row>
        <row r="521">
          <cell r="AM521">
            <v>-704.46</v>
          </cell>
          <cell r="AP521" t="str">
            <v>Bilan</v>
          </cell>
          <cell r="AQ521" t="str">
            <v>DAS à Payer</v>
          </cell>
          <cell r="AR521" t="str">
            <v>$</v>
          </cell>
          <cell r="AS521">
            <v>0</v>
          </cell>
          <cell r="AW521">
            <v>0</v>
          </cell>
          <cell r="AY521" t="str">
            <v>NB</v>
          </cell>
        </row>
        <row r="522">
          <cell r="AM522">
            <v>0</v>
          </cell>
          <cell r="AP522" t="e">
            <v>#N/A</v>
          </cell>
          <cell r="AQ522" t="e">
            <v>#N/A</v>
          </cell>
          <cell r="AR522" t="str">
            <v>$</v>
          </cell>
          <cell r="AS522" t="e">
            <v>#N/A</v>
          </cell>
          <cell r="AW522">
            <v>0</v>
          </cell>
          <cell r="AY522" t="str">
            <v>NB</v>
          </cell>
        </row>
        <row r="523">
          <cell r="AM523">
            <v>0</v>
          </cell>
          <cell r="AP523">
            <v>0</v>
          </cell>
          <cell r="AQ523">
            <v>0</v>
          </cell>
          <cell r="AR523" t="str">
            <v>$</v>
          </cell>
          <cell r="AS523">
            <v>0</v>
          </cell>
          <cell r="AW523">
            <v>0</v>
          </cell>
          <cell r="AY523" t="str">
            <v>NB</v>
          </cell>
        </row>
        <row r="524">
          <cell r="AM524">
            <v>0</v>
          </cell>
          <cell r="AP524" t="e">
            <v>#N/A</v>
          </cell>
          <cell r="AQ524" t="e">
            <v>#N/A</v>
          </cell>
          <cell r="AR524" t="str">
            <v>$</v>
          </cell>
          <cell r="AS524" t="e">
            <v>#N/A</v>
          </cell>
          <cell r="AW524">
            <v>0</v>
          </cell>
          <cell r="AY524" t="str">
            <v>NB</v>
          </cell>
        </row>
        <row r="525">
          <cell r="AM525">
            <v>-550055.86</v>
          </cell>
          <cell r="AP525" t="str">
            <v>Bilan</v>
          </cell>
          <cell r="AQ525" t="str">
            <v>Frais Payés d'Avance</v>
          </cell>
          <cell r="AR525" t="str">
            <v>$</v>
          </cell>
          <cell r="AS525">
            <v>0</v>
          </cell>
          <cell r="AW525">
            <v>0</v>
          </cell>
          <cell r="AY525" t="str">
            <v>NB</v>
          </cell>
        </row>
        <row r="526">
          <cell r="AM526">
            <v>0</v>
          </cell>
          <cell r="AP526">
            <v>0</v>
          </cell>
          <cell r="AQ526">
            <v>0</v>
          </cell>
          <cell r="AR526" t="str">
            <v>$</v>
          </cell>
          <cell r="AS526">
            <v>0</v>
          </cell>
          <cell r="AW526">
            <v>0</v>
          </cell>
          <cell r="AY526" t="str">
            <v>NB</v>
          </cell>
        </row>
        <row r="527">
          <cell r="AM527">
            <v>-434247.19999999995</v>
          </cell>
          <cell r="AP527" t="str">
            <v>Bilan</v>
          </cell>
          <cell r="AQ527" t="str">
            <v>Frais Payés d'Avance</v>
          </cell>
          <cell r="AR527" t="str">
            <v>$</v>
          </cell>
          <cell r="AS527">
            <v>0</v>
          </cell>
          <cell r="AW527">
            <v>0</v>
          </cell>
          <cell r="AY527" t="str">
            <v>NB</v>
          </cell>
        </row>
        <row r="528">
          <cell r="AM528">
            <v>0</v>
          </cell>
          <cell r="AP528">
            <v>0</v>
          </cell>
          <cell r="AQ528">
            <v>0</v>
          </cell>
          <cell r="AR528" t="str">
            <v>$</v>
          </cell>
          <cell r="AS528">
            <v>0</v>
          </cell>
          <cell r="AW528">
            <v>0</v>
          </cell>
          <cell r="AY528" t="str">
            <v>NB</v>
          </cell>
        </row>
        <row r="529">
          <cell r="AM529">
            <v>0</v>
          </cell>
          <cell r="AP529" t="e">
            <v>#N/A</v>
          </cell>
          <cell r="AQ529" t="e">
            <v>#N/A</v>
          </cell>
          <cell r="AR529" t="str">
            <v>$</v>
          </cell>
          <cell r="AS529" t="e">
            <v>#N/A</v>
          </cell>
          <cell r="AW529">
            <v>0</v>
          </cell>
          <cell r="AY529" t="str">
            <v>NB</v>
          </cell>
        </row>
        <row r="530">
          <cell r="AM530">
            <v>0</v>
          </cell>
          <cell r="AP530">
            <v>0</v>
          </cell>
          <cell r="AQ530">
            <v>0</v>
          </cell>
          <cell r="AR530" t="str">
            <v>$</v>
          </cell>
          <cell r="AS530">
            <v>0</v>
          </cell>
          <cell r="AW530">
            <v>0</v>
          </cell>
          <cell r="AY530" t="str">
            <v>NB</v>
          </cell>
        </row>
        <row r="531">
          <cell r="AM531">
            <v>0</v>
          </cell>
          <cell r="AP531">
            <v>0</v>
          </cell>
          <cell r="AQ531">
            <v>0</v>
          </cell>
          <cell r="AR531" t="str">
            <v>$</v>
          </cell>
          <cell r="AS531">
            <v>0</v>
          </cell>
          <cell r="AW531">
            <v>0</v>
          </cell>
          <cell r="AY531" t="str">
            <v>NB</v>
          </cell>
        </row>
        <row r="532">
          <cell r="AM532">
            <v>0</v>
          </cell>
          <cell r="AP532">
            <v>0</v>
          </cell>
          <cell r="AQ532">
            <v>0</v>
          </cell>
          <cell r="AR532" t="str">
            <v>$</v>
          </cell>
          <cell r="AS532">
            <v>0</v>
          </cell>
          <cell r="AW532">
            <v>0</v>
          </cell>
          <cell r="AY532" t="str">
            <v>NB</v>
          </cell>
        </row>
        <row r="533">
          <cell r="AM533">
            <v>0</v>
          </cell>
          <cell r="AP533" t="str">
            <v>Bilan</v>
          </cell>
          <cell r="AQ533" t="str">
            <v>DAS à Payer</v>
          </cell>
          <cell r="AR533" t="str">
            <v>$</v>
          </cell>
          <cell r="AS533">
            <v>0</v>
          </cell>
          <cell r="AW533">
            <v>0</v>
          </cell>
          <cell r="AY533" t="str">
            <v>NB</v>
          </cell>
        </row>
        <row r="534">
          <cell r="AM534">
            <v>-212.03</v>
          </cell>
          <cell r="AP534" t="str">
            <v>Bilan</v>
          </cell>
          <cell r="AQ534" t="str">
            <v>DAS à Payer</v>
          </cell>
          <cell r="AR534" t="str">
            <v>$</v>
          </cell>
          <cell r="AS534">
            <v>0</v>
          </cell>
          <cell r="AW534">
            <v>0</v>
          </cell>
          <cell r="AY534" t="str">
            <v>NB</v>
          </cell>
        </row>
        <row r="535">
          <cell r="AM535">
            <v>-601.41999999999825</v>
          </cell>
          <cell r="AP535" t="str">
            <v>Bilan</v>
          </cell>
          <cell r="AQ535" t="str">
            <v>Taxes de Vente à Payer</v>
          </cell>
          <cell r="AR535" t="str">
            <v>$</v>
          </cell>
          <cell r="AS535">
            <v>0</v>
          </cell>
          <cell r="AW535">
            <v>0</v>
          </cell>
          <cell r="AY535" t="str">
            <v>NB</v>
          </cell>
        </row>
        <row r="536">
          <cell r="AM536">
            <v>287420.97000000009</v>
          </cell>
          <cell r="AP536" t="str">
            <v>Bilan</v>
          </cell>
          <cell r="AQ536" t="str">
            <v>Taxes de Vente à Payer</v>
          </cell>
          <cell r="AR536" t="str">
            <v>$</v>
          </cell>
          <cell r="AS536">
            <v>0</v>
          </cell>
          <cell r="AW536">
            <v>0</v>
          </cell>
          <cell r="AY536" t="str">
            <v>NB</v>
          </cell>
        </row>
        <row r="537">
          <cell r="AM537">
            <v>-609.33000000000004</v>
          </cell>
          <cell r="AP537" t="str">
            <v>Bilan</v>
          </cell>
          <cell r="AQ537" t="str">
            <v>Taxes de Vente à Payer</v>
          </cell>
          <cell r="AR537" t="str">
            <v>$</v>
          </cell>
          <cell r="AS537">
            <v>0</v>
          </cell>
          <cell r="AW537">
            <v>0</v>
          </cell>
          <cell r="AY537" t="str">
            <v>NB</v>
          </cell>
        </row>
        <row r="538">
          <cell r="AM538">
            <v>14805.949999999999</v>
          </cell>
          <cell r="AP538" t="str">
            <v>Bilan</v>
          </cell>
          <cell r="AQ538" t="str">
            <v>Taxes de Vente à Payer</v>
          </cell>
          <cell r="AR538" t="str">
            <v>$</v>
          </cell>
          <cell r="AS538">
            <v>0</v>
          </cell>
          <cell r="AW538">
            <v>0</v>
          </cell>
          <cell r="AY538" t="str">
            <v>NB</v>
          </cell>
        </row>
        <row r="539">
          <cell r="AM539">
            <v>0</v>
          </cell>
          <cell r="AP539" t="str">
            <v>Bilan</v>
          </cell>
          <cell r="AQ539" t="str">
            <v>Impôts à payer</v>
          </cell>
          <cell r="AR539" t="str">
            <v>$</v>
          </cell>
          <cell r="AS539">
            <v>0</v>
          </cell>
          <cell r="AW539">
            <v>0</v>
          </cell>
          <cell r="AY539" t="str">
            <v>NB</v>
          </cell>
        </row>
        <row r="540">
          <cell r="AM540">
            <v>-7094.4900000000016</v>
          </cell>
          <cell r="AP540" t="str">
            <v>Bilan</v>
          </cell>
          <cell r="AQ540" t="str">
            <v>Salaires à Payer</v>
          </cell>
          <cell r="AR540" t="str">
            <v>$</v>
          </cell>
          <cell r="AS540">
            <v>0</v>
          </cell>
          <cell r="AW540">
            <v>0</v>
          </cell>
          <cell r="AY540" t="str">
            <v>NB</v>
          </cell>
        </row>
        <row r="541">
          <cell r="AM541">
            <v>-2064.3199999998324</v>
          </cell>
          <cell r="AP541" t="str">
            <v>Bilan</v>
          </cell>
          <cell r="AQ541" t="str">
            <v>Salaires à Payer</v>
          </cell>
          <cell r="AR541" t="str">
            <v>$</v>
          </cell>
          <cell r="AS541">
            <v>0</v>
          </cell>
          <cell r="AW541">
            <v>0</v>
          </cell>
          <cell r="AY541" t="str">
            <v>NB</v>
          </cell>
        </row>
        <row r="542">
          <cell r="AM542">
            <v>41642.04</v>
          </cell>
          <cell r="AP542" t="str">
            <v>Bilan</v>
          </cell>
          <cell r="AQ542" t="str">
            <v>Payables Intercos</v>
          </cell>
          <cell r="AR542" t="str">
            <v>$</v>
          </cell>
          <cell r="AS542">
            <v>0</v>
          </cell>
          <cell r="AW542">
            <v>0</v>
          </cell>
          <cell r="AY542" t="str">
            <v>NB</v>
          </cell>
        </row>
        <row r="543">
          <cell r="AM543">
            <v>164000</v>
          </cell>
          <cell r="AP543" t="str">
            <v>Bilan</v>
          </cell>
          <cell r="AQ543" t="str">
            <v>Payables Intercos</v>
          </cell>
          <cell r="AR543" t="str">
            <v>$</v>
          </cell>
          <cell r="AS543">
            <v>0</v>
          </cell>
          <cell r="AW543">
            <v>0</v>
          </cell>
          <cell r="AY543" t="str">
            <v>NB</v>
          </cell>
        </row>
        <row r="544">
          <cell r="AM544">
            <v>-269445.07</v>
          </cell>
          <cell r="AP544" t="str">
            <v>Bilan</v>
          </cell>
          <cell r="AQ544" t="str">
            <v>Payables Intercos</v>
          </cell>
          <cell r="AR544" t="str">
            <v>$</v>
          </cell>
          <cell r="AS544">
            <v>0</v>
          </cell>
          <cell r="AW544">
            <v>0</v>
          </cell>
          <cell r="AY544" t="str">
            <v>NB</v>
          </cell>
        </row>
        <row r="545">
          <cell r="AM545">
            <v>42500</v>
          </cell>
          <cell r="AP545" t="str">
            <v>Bilan</v>
          </cell>
          <cell r="AQ545" t="str">
            <v>Payables Intercos</v>
          </cell>
          <cell r="AR545" t="str">
            <v>$</v>
          </cell>
          <cell r="AS545">
            <v>0</v>
          </cell>
          <cell r="AW545">
            <v>0</v>
          </cell>
          <cell r="AY545" t="str">
            <v>NB</v>
          </cell>
        </row>
        <row r="546">
          <cell r="AM546">
            <v>0</v>
          </cell>
          <cell r="AP546" t="str">
            <v>Bilan</v>
          </cell>
          <cell r="AQ546" t="str">
            <v>Payables Intercos</v>
          </cell>
          <cell r="AR546" t="str">
            <v>$</v>
          </cell>
          <cell r="AS546">
            <v>0</v>
          </cell>
          <cell r="AW546">
            <v>0</v>
          </cell>
          <cell r="AY546" t="str">
            <v>NB</v>
          </cell>
        </row>
        <row r="547">
          <cell r="AM547">
            <v>1563.079999999999</v>
          </cell>
          <cell r="AP547" t="str">
            <v>Bilan</v>
          </cell>
          <cell r="AQ547" t="str">
            <v>Autres Courus</v>
          </cell>
          <cell r="AR547" t="str">
            <v>$</v>
          </cell>
          <cell r="AS547">
            <v>0</v>
          </cell>
          <cell r="AW547">
            <v>0</v>
          </cell>
          <cell r="AY547" t="str">
            <v>NB</v>
          </cell>
        </row>
        <row r="548">
          <cell r="AM548">
            <v>0</v>
          </cell>
          <cell r="AP548" t="str">
            <v>Bilan</v>
          </cell>
          <cell r="AQ548" t="str">
            <v>Autres Courus</v>
          </cell>
          <cell r="AR548" t="str">
            <v>$</v>
          </cell>
          <cell r="AS548">
            <v>0</v>
          </cell>
          <cell r="AW548">
            <v>0</v>
          </cell>
          <cell r="AY548" t="str">
            <v>NB</v>
          </cell>
        </row>
        <row r="549">
          <cell r="AM549">
            <v>82463.059999999969</v>
          </cell>
          <cell r="AP549" t="str">
            <v>Bilan</v>
          </cell>
          <cell r="AQ549" t="str">
            <v>Salaires à Payer</v>
          </cell>
          <cell r="AR549" t="str">
            <v>$</v>
          </cell>
          <cell r="AS549">
            <v>0</v>
          </cell>
          <cell r="AW549">
            <v>0</v>
          </cell>
          <cell r="AY549" t="str">
            <v>NB</v>
          </cell>
        </row>
        <row r="550">
          <cell r="AM550">
            <v>-14303.68</v>
          </cell>
          <cell r="AP550" t="str">
            <v>Bilan</v>
          </cell>
          <cell r="AQ550" t="str">
            <v>Autres Courus</v>
          </cell>
          <cell r="AR550" t="str">
            <v>$</v>
          </cell>
          <cell r="AS550">
            <v>0</v>
          </cell>
          <cell r="AW550">
            <v>0</v>
          </cell>
          <cell r="AY550" t="str">
            <v>NB</v>
          </cell>
        </row>
        <row r="551">
          <cell r="AM551">
            <v>0</v>
          </cell>
          <cell r="AP551" t="str">
            <v>Bilan</v>
          </cell>
          <cell r="AQ551" t="str">
            <v>Autres Courus</v>
          </cell>
          <cell r="AR551" t="str">
            <v>$</v>
          </cell>
          <cell r="AS551">
            <v>0</v>
          </cell>
          <cell r="AW551">
            <v>0</v>
          </cell>
          <cell r="AY551" t="str">
            <v>NB</v>
          </cell>
        </row>
        <row r="552">
          <cell r="AM552">
            <v>0</v>
          </cell>
          <cell r="AP552" t="str">
            <v>Bilan</v>
          </cell>
          <cell r="AQ552" t="str">
            <v>Autres Courus</v>
          </cell>
          <cell r="AR552" t="str">
            <v>$</v>
          </cell>
          <cell r="AS552">
            <v>0</v>
          </cell>
          <cell r="AW552">
            <v>0</v>
          </cell>
          <cell r="AY552" t="str">
            <v>NB</v>
          </cell>
        </row>
        <row r="553">
          <cell r="AM553">
            <v>-52782.399999999994</v>
          </cell>
          <cell r="AP553" t="str">
            <v>Bilan</v>
          </cell>
          <cell r="AQ553" t="str">
            <v>Autres Courus</v>
          </cell>
          <cell r="AR553" t="str">
            <v>$</v>
          </cell>
          <cell r="AS553">
            <v>0</v>
          </cell>
          <cell r="AW553">
            <v>0</v>
          </cell>
          <cell r="AY553" t="str">
            <v>NB</v>
          </cell>
        </row>
        <row r="554">
          <cell r="AM554">
            <v>0</v>
          </cell>
          <cell r="AP554" t="str">
            <v>Bilan</v>
          </cell>
          <cell r="AQ554" t="str">
            <v>Autres Comptes à Payer</v>
          </cell>
          <cell r="AR554" t="str">
            <v>$</v>
          </cell>
          <cell r="AS554">
            <v>0</v>
          </cell>
          <cell r="AW554">
            <v>0</v>
          </cell>
          <cell r="AY554" t="str">
            <v>NB</v>
          </cell>
        </row>
        <row r="555">
          <cell r="AM555">
            <v>0</v>
          </cell>
          <cell r="AP555">
            <v>0</v>
          </cell>
          <cell r="AQ555">
            <v>0</v>
          </cell>
          <cell r="AR555" t="str">
            <v>$</v>
          </cell>
          <cell r="AS555">
            <v>0</v>
          </cell>
          <cell r="AW555">
            <v>0</v>
          </cell>
          <cell r="AY555" t="str">
            <v>NB</v>
          </cell>
        </row>
        <row r="556">
          <cell r="AM556">
            <v>-4646</v>
          </cell>
          <cell r="AP556" t="str">
            <v>Bilan</v>
          </cell>
          <cell r="AQ556" t="str">
            <v>Autres Courus</v>
          </cell>
          <cell r="AR556" t="str">
            <v>$</v>
          </cell>
          <cell r="AS556">
            <v>0</v>
          </cell>
          <cell r="AW556">
            <v>0</v>
          </cell>
          <cell r="AY556" t="str">
            <v>NB</v>
          </cell>
        </row>
        <row r="557">
          <cell r="AM557">
            <v>0</v>
          </cell>
          <cell r="AP557" t="str">
            <v>Bilan</v>
          </cell>
          <cell r="AQ557" t="str">
            <v>Autres Courus</v>
          </cell>
          <cell r="AR557" t="str">
            <v>$</v>
          </cell>
          <cell r="AS557">
            <v>0</v>
          </cell>
          <cell r="AW557">
            <v>0</v>
          </cell>
          <cell r="AY557" t="str">
            <v>NB</v>
          </cell>
        </row>
        <row r="558">
          <cell r="AM558">
            <v>-8950</v>
          </cell>
          <cell r="AP558" t="str">
            <v>Bilan</v>
          </cell>
          <cell r="AQ558" t="str">
            <v>Autres Courus</v>
          </cell>
          <cell r="AR558" t="str">
            <v>$</v>
          </cell>
          <cell r="AS558">
            <v>0</v>
          </cell>
          <cell r="AW558">
            <v>0</v>
          </cell>
          <cell r="AY558" t="str">
            <v>NB</v>
          </cell>
        </row>
        <row r="559">
          <cell r="AM559">
            <v>0</v>
          </cell>
          <cell r="AP559" t="str">
            <v>Bilan</v>
          </cell>
          <cell r="AQ559" t="str">
            <v>Autres Courus</v>
          </cell>
          <cell r="AR559" t="str">
            <v>$</v>
          </cell>
          <cell r="AS559">
            <v>0</v>
          </cell>
          <cell r="AW559">
            <v>0</v>
          </cell>
          <cell r="AY559" t="str">
            <v>NB</v>
          </cell>
        </row>
        <row r="560">
          <cell r="AM560">
            <v>0</v>
          </cell>
          <cell r="AP560" t="str">
            <v>Bilan</v>
          </cell>
          <cell r="AQ560" t="str">
            <v>Autres Courus</v>
          </cell>
          <cell r="AR560" t="str">
            <v>$</v>
          </cell>
          <cell r="AS560">
            <v>0</v>
          </cell>
          <cell r="AW560">
            <v>0</v>
          </cell>
          <cell r="AY560" t="str">
            <v>NB</v>
          </cell>
        </row>
        <row r="561">
          <cell r="AM561">
            <v>0</v>
          </cell>
          <cell r="AP561" t="str">
            <v>Bilan</v>
          </cell>
          <cell r="AQ561" t="str">
            <v>Autres Courus</v>
          </cell>
          <cell r="AR561" t="str">
            <v>$</v>
          </cell>
          <cell r="AS561">
            <v>0</v>
          </cell>
          <cell r="AW561">
            <v>0</v>
          </cell>
          <cell r="AY561" t="str">
            <v>NB</v>
          </cell>
        </row>
        <row r="562">
          <cell r="AM562">
            <v>0</v>
          </cell>
          <cell r="AP562" t="str">
            <v>Bilan</v>
          </cell>
          <cell r="AQ562" t="str">
            <v>Autres Courus</v>
          </cell>
          <cell r="AR562" t="str">
            <v>$</v>
          </cell>
          <cell r="AS562">
            <v>0</v>
          </cell>
          <cell r="AW562">
            <v>0</v>
          </cell>
          <cell r="AY562" t="str">
            <v>NB</v>
          </cell>
        </row>
        <row r="563">
          <cell r="AM563">
            <v>23333.35</v>
          </cell>
          <cell r="AP563" t="str">
            <v>Bilan</v>
          </cell>
          <cell r="AQ563" t="str">
            <v>Autres Courus</v>
          </cell>
          <cell r="AR563" t="str">
            <v>$</v>
          </cell>
          <cell r="AS563">
            <v>0</v>
          </cell>
          <cell r="AW563">
            <v>0</v>
          </cell>
          <cell r="AY563" t="str">
            <v>NB</v>
          </cell>
        </row>
        <row r="564">
          <cell r="AM564">
            <v>0</v>
          </cell>
          <cell r="AP564" t="str">
            <v>Bilan</v>
          </cell>
          <cell r="AQ564" t="str">
            <v>Autres Courus</v>
          </cell>
          <cell r="AR564" t="str">
            <v>$</v>
          </cell>
          <cell r="AS564">
            <v>0</v>
          </cell>
          <cell r="AW564">
            <v>0</v>
          </cell>
          <cell r="AY564" t="str">
            <v>NB</v>
          </cell>
        </row>
        <row r="565">
          <cell r="AM565">
            <v>0</v>
          </cell>
          <cell r="AP565" t="e">
            <v>#N/A</v>
          </cell>
          <cell r="AQ565" t="e">
            <v>#N/A</v>
          </cell>
          <cell r="AR565" t="str">
            <v>$</v>
          </cell>
          <cell r="AS565" t="e">
            <v>#N/A</v>
          </cell>
          <cell r="AW565">
            <v>0</v>
          </cell>
          <cell r="AY565" t="str">
            <v>NB</v>
          </cell>
        </row>
        <row r="566">
          <cell r="AM566">
            <v>-119129</v>
          </cell>
          <cell r="AP566" t="str">
            <v>Bilan</v>
          </cell>
          <cell r="AQ566" t="str">
            <v>Impôts Futurs à payer</v>
          </cell>
          <cell r="AR566" t="str">
            <v>$</v>
          </cell>
          <cell r="AS566">
            <v>0</v>
          </cell>
          <cell r="AW566">
            <v>0</v>
          </cell>
          <cell r="AY566" t="str">
            <v>NB</v>
          </cell>
        </row>
        <row r="567">
          <cell r="AM567">
            <v>0</v>
          </cell>
          <cell r="AP567" t="str">
            <v>Bilan</v>
          </cell>
          <cell r="AQ567" t="str">
            <v>Marge de crédit</v>
          </cell>
          <cell r="AR567" t="str">
            <v>$</v>
          </cell>
          <cell r="AS567">
            <v>0</v>
          </cell>
          <cell r="AW567">
            <v>0</v>
          </cell>
          <cell r="AY567" t="str">
            <v>NB</v>
          </cell>
        </row>
        <row r="568">
          <cell r="AM568">
            <v>93918</v>
          </cell>
          <cell r="AP568" t="str">
            <v>Bilan</v>
          </cell>
          <cell r="AQ568" t="str">
            <v>Frais Payés d'Avance</v>
          </cell>
          <cell r="AR568" t="str">
            <v>$</v>
          </cell>
          <cell r="AS568">
            <v>0</v>
          </cell>
          <cell r="AW568">
            <v>0</v>
          </cell>
          <cell r="AY568" t="str">
            <v>NB</v>
          </cell>
        </row>
        <row r="569">
          <cell r="AM569">
            <v>0</v>
          </cell>
          <cell r="AP569">
            <v>0</v>
          </cell>
          <cell r="AQ569">
            <v>0</v>
          </cell>
          <cell r="AR569" t="str">
            <v>$</v>
          </cell>
          <cell r="AS569">
            <v>0</v>
          </cell>
          <cell r="AW569">
            <v>0</v>
          </cell>
          <cell r="AY569" t="str">
            <v>NB</v>
          </cell>
        </row>
        <row r="570">
          <cell r="AM570">
            <v>-11366</v>
          </cell>
          <cell r="AP570" t="str">
            <v>Bilan</v>
          </cell>
          <cell r="AQ570" t="str">
            <v>Équipements Service</v>
          </cell>
          <cell r="AR570" t="str">
            <v>$</v>
          </cell>
          <cell r="AS570">
            <v>0</v>
          </cell>
          <cell r="AW570">
            <v>0</v>
          </cell>
          <cell r="AY570" t="str">
            <v>NB</v>
          </cell>
        </row>
        <row r="571">
          <cell r="AM571">
            <v>0</v>
          </cell>
          <cell r="AP571" t="str">
            <v>Bilan</v>
          </cell>
          <cell r="AQ571" t="str">
            <v>Équipements Service</v>
          </cell>
          <cell r="AR571" t="str">
            <v>$</v>
          </cell>
          <cell r="AS571">
            <v>0</v>
          </cell>
          <cell r="AW571">
            <v>0</v>
          </cell>
          <cell r="AY571" t="str">
            <v>NB</v>
          </cell>
        </row>
        <row r="572">
          <cell r="AM572">
            <v>1037</v>
          </cell>
          <cell r="AP572" t="str">
            <v>Bilan</v>
          </cell>
          <cell r="AQ572" t="str">
            <v>Équipements Service</v>
          </cell>
          <cell r="AR572" t="str">
            <v>$</v>
          </cell>
          <cell r="AS572">
            <v>0</v>
          </cell>
          <cell r="AW572">
            <v>0</v>
          </cell>
          <cell r="AY572" t="str">
            <v>NB</v>
          </cell>
        </row>
        <row r="573">
          <cell r="AM573">
            <v>-1973</v>
          </cell>
          <cell r="AP573" t="str">
            <v>Bilan</v>
          </cell>
          <cell r="AQ573" t="str">
            <v>Mobilier</v>
          </cell>
          <cell r="AR573" t="str">
            <v>$</v>
          </cell>
          <cell r="AS573">
            <v>0</v>
          </cell>
          <cell r="AW573">
            <v>0</v>
          </cell>
          <cell r="AY573" t="str">
            <v>NB</v>
          </cell>
        </row>
        <row r="574">
          <cell r="AM574">
            <v>-1750</v>
          </cell>
          <cell r="AP574" t="str">
            <v>Bilan</v>
          </cell>
          <cell r="AQ574" t="str">
            <v>Équipements Service</v>
          </cell>
          <cell r="AR574" t="str">
            <v>$</v>
          </cell>
          <cell r="AS574">
            <v>0</v>
          </cell>
          <cell r="AW574">
            <v>0</v>
          </cell>
          <cell r="AY574" t="str">
            <v>NB</v>
          </cell>
        </row>
        <row r="575">
          <cell r="AM575">
            <v>-14944</v>
          </cell>
          <cell r="AP575" t="str">
            <v>Bilan</v>
          </cell>
          <cell r="AQ575" t="str">
            <v>Améliorations Locatives</v>
          </cell>
          <cell r="AR575" t="str">
            <v>$</v>
          </cell>
          <cell r="AS575">
            <v>0</v>
          </cell>
          <cell r="AW575">
            <v>0</v>
          </cell>
          <cell r="AY575" t="str">
            <v>NB</v>
          </cell>
        </row>
        <row r="576">
          <cell r="AM576">
            <v>-11666</v>
          </cell>
          <cell r="AP576" t="str">
            <v>Bilan</v>
          </cell>
          <cell r="AQ576" t="str">
            <v>Équipements Informatique</v>
          </cell>
          <cell r="AR576" t="str">
            <v>$</v>
          </cell>
          <cell r="AS576">
            <v>0</v>
          </cell>
          <cell r="AW576">
            <v>0</v>
          </cell>
          <cell r="AY576" t="str">
            <v>NB</v>
          </cell>
        </row>
        <row r="577">
          <cell r="AM577">
            <v>-140</v>
          </cell>
          <cell r="AP577" t="str">
            <v>Bilan</v>
          </cell>
          <cell r="AQ577" t="str">
            <v>Enseigne</v>
          </cell>
          <cell r="AR577" t="str">
            <v>$</v>
          </cell>
          <cell r="AS577">
            <v>0</v>
          </cell>
          <cell r="AW577">
            <v>0</v>
          </cell>
          <cell r="AY577" t="str">
            <v>NB</v>
          </cell>
        </row>
        <row r="578">
          <cell r="AM578">
            <v>0</v>
          </cell>
          <cell r="AP578">
            <v>0</v>
          </cell>
          <cell r="AQ578">
            <v>0</v>
          </cell>
          <cell r="AR578" t="str">
            <v>$</v>
          </cell>
          <cell r="AS578">
            <v>0</v>
          </cell>
          <cell r="AW578">
            <v>0</v>
          </cell>
          <cell r="AY578" t="str">
            <v>NB</v>
          </cell>
        </row>
        <row r="579">
          <cell r="AM579">
            <v>0</v>
          </cell>
          <cell r="AP579" t="str">
            <v>Bilan</v>
          </cell>
          <cell r="AQ579" t="str">
            <v>Capital Actions</v>
          </cell>
          <cell r="AR579" t="str">
            <v>$</v>
          </cell>
          <cell r="AS579">
            <v>0</v>
          </cell>
          <cell r="AW579">
            <v>0</v>
          </cell>
          <cell r="AY579" t="str">
            <v>NB</v>
          </cell>
        </row>
        <row r="580">
          <cell r="AM580">
            <v>15</v>
          </cell>
          <cell r="AP580" t="str">
            <v>Bilan</v>
          </cell>
          <cell r="AQ580" t="str">
            <v>Capital Actions</v>
          </cell>
          <cell r="AR580" t="str">
            <v>$</v>
          </cell>
          <cell r="AS580">
            <v>0</v>
          </cell>
          <cell r="AW580">
            <v>0</v>
          </cell>
          <cell r="AY580" t="str">
            <v>NB</v>
          </cell>
        </row>
        <row r="581">
          <cell r="AM581">
            <v>0</v>
          </cell>
          <cell r="AP581" t="str">
            <v>Bilan</v>
          </cell>
          <cell r="AQ581" t="str">
            <v>Capital Actions</v>
          </cell>
          <cell r="AR581" t="str">
            <v>$</v>
          </cell>
          <cell r="AS581">
            <v>0</v>
          </cell>
          <cell r="AW581">
            <v>0</v>
          </cell>
          <cell r="AY581" t="str">
            <v>NB</v>
          </cell>
        </row>
        <row r="582">
          <cell r="AM582">
            <v>0</v>
          </cell>
          <cell r="AP582" t="str">
            <v>Bilan</v>
          </cell>
          <cell r="AQ582" t="str">
            <v>Capital Actions</v>
          </cell>
          <cell r="AR582" t="str">
            <v>$</v>
          </cell>
          <cell r="AS582">
            <v>0</v>
          </cell>
          <cell r="AW582">
            <v>0</v>
          </cell>
          <cell r="AY582" t="str">
            <v>NB</v>
          </cell>
        </row>
        <row r="583">
          <cell r="AM583">
            <v>0</v>
          </cell>
          <cell r="AP583" t="str">
            <v>Bilan</v>
          </cell>
          <cell r="AQ583" t="str">
            <v>Capital Actions</v>
          </cell>
          <cell r="AR583" t="str">
            <v>$</v>
          </cell>
          <cell r="AS583">
            <v>0</v>
          </cell>
          <cell r="AW583">
            <v>0</v>
          </cell>
          <cell r="AY583" t="str">
            <v>NB</v>
          </cell>
        </row>
        <row r="584">
          <cell r="AM584">
            <v>0</v>
          </cell>
          <cell r="AP584" t="str">
            <v>Bilan</v>
          </cell>
          <cell r="AQ584" t="str">
            <v>Capital Actions</v>
          </cell>
          <cell r="AR584" t="str">
            <v>$</v>
          </cell>
          <cell r="AS584">
            <v>0</v>
          </cell>
          <cell r="AW584">
            <v>0</v>
          </cell>
          <cell r="AY584" t="str">
            <v>NB</v>
          </cell>
        </row>
        <row r="585">
          <cell r="AM585">
            <v>-1349853</v>
          </cell>
          <cell r="AP585" t="str">
            <v>Bilan</v>
          </cell>
          <cell r="AQ585" t="str">
            <v>Capital Actions</v>
          </cell>
          <cell r="AR585" t="str">
            <v>$</v>
          </cell>
          <cell r="AS585">
            <v>0</v>
          </cell>
          <cell r="AW585">
            <v>0</v>
          </cell>
          <cell r="AY585" t="str">
            <v>NB</v>
          </cell>
        </row>
        <row r="586">
          <cell r="AM586">
            <v>0</v>
          </cell>
          <cell r="AP586" t="str">
            <v>Bilan</v>
          </cell>
          <cell r="AQ586" t="str">
            <v>Capital Actions</v>
          </cell>
          <cell r="AR586" t="str">
            <v>$</v>
          </cell>
          <cell r="AS586">
            <v>0</v>
          </cell>
          <cell r="AW586">
            <v>0</v>
          </cell>
          <cell r="AY586" t="str">
            <v>NB</v>
          </cell>
        </row>
        <row r="587">
          <cell r="AM587">
            <v>1349838</v>
          </cell>
          <cell r="AP587" t="str">
            <v>Bilan</v>
          </cell>
          <cell r="AQ587" t="str">
            <v>Capital Actions</v>
          </cell>
          <cell r="AR587" t="str">
            <v>$</v>
          </cell>
          <cell r="AS587">
            <v>0</v>
          </cell>
          <cell r="AW587">
            <v>0</v>
          </cell>
          <cell r="AY587" t="str">
            <v>NB</v>
          </cell>
        </row>
        <row r="588">
          <cell r="AM588">
            <v>1072008.0099999998</v>
          </cell>
          <cell r="AP588" t="str">
            <v>Bilan</v>
          </cell>
          <cell r="AQ588" t="str">
            <v>Bénéfices non répartis</v>
          </cell>
          <cell r="AR588" t="str">
            <v>$</v>
          </cell>
          <cell r="AS588">
            <v>0</v>
          </cell>
          <cell r="AW588">
            <v>0</v>
          </cell>
          <cell r="AY588" t="str">
            <v>NB</v>
          </cell>
        </row>
        <row r="589">
          <cell r="AM589">
            <v>0</v>
          </cell>
          <cell r="AP589">
            <v>0</v>
          </cell>
          <cell r="AQ589">
            <v>0</v>
          </cell>
          <cell r="AR589" t="str">
            <v>$</v>
          </cell>
          <cell r="AS589">
            <v>0</v>
          </cell>
          <cell r="AW589">
            <v>0</v>
          </cell>
          <cell r="AY589" t="str">
            <v>NB</v>
          </cell>
        </row>
        <row r="590">
          <cell r="AM590">
            <v>0</v>
          </cell>
          <cell r="AP590" t="e">
            <v>#N/A</v>
          </cell>
          <cell r="AQ590" t="e">
            <v>#N/A</v>
          </cell>
          <cell r="AR590" t="str">
            <v>$</v>
          </cell>
          <cell r="AS590" t="e">
            <v>#N/A</v>
          </cell>
          <cell r="AW590">
            <v>0</v>
          </cell>
          <cell r="AY590" t="str">
            <v>NB</v>
          </cell>
        </row>
        <row r="591">
          <cell r="AM591">
            <v>0</v>
          </cell>
          <cell r="AP591" t="str">
            <v>Véhicules neufs</v>
          </cell>
          <cell r="AQ591" t="str">
            <v>Autos détail</v>
          </cell>
          <cell r="AR591" t="str">
            <v>$</v>
          </cell>
          <cell r="AS591" t="str">
            <v>Oui</v>
          </cell>
          <cell r="AW591">
            <v>0</v>
          </cell>
          <cell r="AY591" t="str">
            <v>NB</v>
          </cell>
        </row>
        <row r="592">
          <cell r="AM592">
            <v>0</v>
          </cell>
          <cell r="AP592" t="str">
            <v>Véhicules neufs</v>
          </cell>
          <cell r="AQ592" t="str">
            <v>Autos détail</v>
          </cell>
          <cell r="AR592" t="str">
            <v>$</v>
          </cell>
          <cell r="AS592" t="str">
            <v>Oui</v>
          </cell>
          <cell r="AW592">
            <v>0</v>
          </cell>
          <cell r="AY592" t="str">
            <v>NB</v>
          </cell>
        </row>
        <row r="593">
          <cell r="AM593">
            <v>0</v>
          </cell>
          <cell r="AP593" t="str">
            <v>Véhicules neufs</v>
          </cell>
          <cell r="AQ593" t="str">
            <v>Autos détail</v>
          </cell>
          <cell r="AR593" t="str">
            <v>$</v>
          </cell>
          <cell r="AS593" t="str">
            <v>Oui</v>
          </cell>
          <cell r="AW593">
            <v>0</v>
          </cell>
          <cell r="AY593" t="str">
            <v>NB</v>
          </cell>
        </row>
        <row r="594">
          <cell r="AM594">
            <v>0</v>
          </cell>
          <cell r="AP594" t="str">
            <v>Véhicules neufs</v>
          </cell>
          <cell r="AQ594" t="str">
            <v>Autos détail</v>
          </cell>
          <cell r="AR594" t="str">
            <v>$</v>
          </cell>
          <cell r="AS594" t="str">
            <v>Oui</v>
          </cell>
          <cell r="AW594">
            <v>0</v>
          </cell>
          <cell r="AY594" t="str">
            <v>NB</v>
          </cell>
        </row>
        <row r="595">
          <cell r="AM595">
            <v>0</v>
          </cell>
          <cell r="AP595" t="e">
            <v>#N/A</v>
          </cell>
          <cell r="AQ595" t="e">
            <v>#N/A</v>
          </cell>
          <cell r="AR595" t="str">
            <v>$</v>
          </cell>
          <cell r="AS595" t="e">
            <v>#N/A</v>
          </cell>
          <cell r="AW595">
            <v>0</v>
          </cell>
          <cell r="AY595" t="str">
            <v>NB</v>
          </cell>
        </row>
        <row r="596">
          <cell r="AM596">
            <v>0</v>
          </cell>
          <cell r="AP596" t="e">
            <v>#N/A</v>
          </cell>
          <cell r="AQ596" t="e">
            <v>#N/A</v>
          </cell>
          <cell r="AR596" t="str">
            <v>$</v>
          </cell>
          <cell r="AS596" t="e">
            <v>#N/A</v>
          </cell>
          <cell r="AW596">
            <v>0</v>
          </cell>
          <cell r="AY596" t="str">
            <v>NB</v>
          </cell>
        </row>
        <row r="597">
          <cell r="AM597">
            <v>0</v>
          </cell>
          <cell r="AP597" t="e">
            <v>#N/A</v>
          </cell>
          <cell r="AQ597" t="e">
            <v>#N/A</v>
          </cell>
          <cell r="AR597" t="str">
            <v>$</v>
          </cell>
          <cell r="AS597" t="e">
            <v>#N/A</v>
          </cell>
          <cell r="AW597">
            <v>0</v>
          </cell>
          <cell r="AY597" t="str">
            <v>NB</v>
          </cell>
        </row>
        <row r="598">
          <cell r="AM598">
            <v>0</v>
          </cell>
          <cell r="AP598" t="str">
            <v>Véhicules neufs</v>
          </cell>
          <cell r="AQ598" t="str">
            <v>Autos détail</v>
          </cell>
          <cell r="AR598" t="str">
            <v>$</v>
          </cell>
          <cell r="AS598" t="str">
            <v>Oui</v>
          </cell>
          <cell r="AW598">
            <v>0</v>
          </cell>
          <cell r="AY598" t="str">
            <v>NB</v>
          </cell>
        </row>
        <row r="599">
          <cell r="AM599">
            <v>0</v>
          </cell>
          <cell r="AP599" t="str">
            <v>Véhicules neufs</v>
          </cell>
          <cell r="AQ599" t="str">
            <v>Autos détail</v>
          </cell>
          <cell r="AR599" t="str">
            <v>$</v>
          </cell>
          <cell r="AS599" t="str">
            <v>Oui</v>
          </cell>
          <cell r="AW599">
            <v>0</v>
          </cell>
          <cell r="AY599" t="str">
            <v>NB</v>
          </cell>
        </row>
        <row r="600">
          <cell r="AM600">
            <v>0</v>
          </cell>
          <cell r="AP600" t="e">
            <v>#N/A</v>
          </cell>
          <cell r="AQ600" t="e">
            <v>#N/A</v>
          </cell>
          <cell r="AR600" t="str">
            <v>$</v>
          </cell>
          <cell r="AS600" t="e">
            <v>#N/A</v>
          </cell>
          <cell r="AW600">
            <v>0</v>
          </cell>
          <cell r="AY600" t="str">
            <v>NB</v>
          </cell>
        </row>
        <row r="601">
          <cell r="AM601">
            <v>0</v>
          </cell>
          <cell r="AP601" t="str">
            <v>Véhicules neufs</v>
          </cell>
          <cell r="AQ601" t="str">
            <v>Autos détail</v>
          </cell>
          <cell r="AR601" t="str">
            <v>$</v>
          </cell>
          <cell r="AS601" t="str">
            <v>Oui</v>
          </cell>
          <cell r="AW601">
            <v>0</v>
          </cell>
          <cell r="AY601" t="str">
            <v>NB</v>
          </cell>
        </row>
        <row r="602">
          <cell r="AM602">
            <v>-99473</v>
          </cell>
          <cell r="AP602" t="str">
            <v>Véhicules neufs</v>
          </cell>
          <cell r="AQ602" t="str">
            <v>Autos détail</v>
          </cell>
          <cell r="AR602" t="str">
            <v>$</v>
          </cell>
          <cell r="AS602" t="str">
            <v>Oui</v>
          </cell>
          <cell r="AW602">
            <v>1</v>
          </cell>
          <cell r="AY602" t="str">
            <v>NB</v>
          </cell>
        </row>
        <row r="603">
          <cell r="AM603">
            <v>0</v>
          </cell>
          <cell r="AP603" t="e">
            <v>#N/A</v>
          </cell>
          <cell r="AQ603" t="e">
            <v>#N/A</v>
          </cell>
          <cell r="AR603" t="str">
            <v>$</v>
          </cell>
          <cell r="AS603" t="e">
            <v>#N/A</v>
          </cell>
          <cell r="AW603">
            <v>0</v>
          </cell>
          <cell r="AY603" t="str">
            <v>NB</v>
          </cell>
        </row>
        <row r="604">
          <cell r="AM604">
            <v>0</v>
          </cell>
          <cell r="AP604" t="e">
            <v>#N/A</v>
          </cell>
          <cell r="AQ604" t="e">
            <v>#N/A</v>
          </cell>
          <cell r="AR604" t="str">
            <v>$</v>
          </cell>
          <cell r="AS604" t="e">
            <v>#N/A</v>
          </cell>
          <cell r="AW604">
            <v>0</v>
          </cell>
          <cell r="AY604" t="str">
            <v>NB</v>
          </cell>
        </row>
        <row r="605">
          <cell r="AM605">
            <v>0</v>
          </cell>
          <cell r="AP605" t="str">
            <v>Véhicules neufs</v>
          </cell>
          <cell r="AQ605" t="str">
            <v>Camions electriques</v>
          </cell>
          <cell r="AR605" t="str">
            <v>$</v>
          </cell>
          <cell r="AS605" t="str">
            <v>Oui</v>
          </cell>
          <cell r="AW605">
            <v>0</v>
          </cell>
          <cell r="AY605" t="str">
            <v>NB</v>
          </cell>
        </row>
        <row r="606">
          <cell r="AM606">
            <v>0</v>
          </cell>
          <cell r="AP606" t="e">
            <v>#N/A</v>
          </cell>
          <cell r="AQ606" t="e">
            <v>#N/A</v>
          </cell>
          <cell r="AR606" t="str">
            <v>$</v>
          </cell>
          <cell r="AS606" t="e">
            <v>#N/A</v>
          </cell>
          <cell r="AW606">
            <v>0</v>
          </cell>
          <cell r="AY606" t="str">
            <v>NB</v>
          </cell>
        </row>
        <row r="607">
          <cell r="AM607">
            <v>0</v>
          </cell>
          <cell r="AP607" t="e">
            <v>#N/A</v>
          </cell>
          <cell r="AQ607" t="e">
            <v>#N/A</v>
          </cell>
          <cell r="AR607" t="str">
            <v>$</v>
          </cell>
          <cell r="AS607" t="e">
            <v>#N/A</v>
          </cell>
          <cell r="AW607">
            <v>0</v>
          </cell>
          <cell r="AY607" t="str">
            <v>NB</v>
          </cell>
        </row>
        <row r="608">
          <cell r="AM608">
            <v>0</v>
          </cell>
          <cell r="AP608" t="e">
            <v>#N/A</v>
          </cell>
          <cell r="AQ608" t="e">
            <v>#N/A</v>
          </cell>
          <cell r="AR608" t="str">
            <v>$</v>
          </cell>
          <cell r="AS608" t="e">
            <v>#N/A</v>
          </cell>
          <cell r="AW608">
            <v>0</v>
          </cell>
          <cell r="AY608" t="str">
            <v>NB</v>
          </cell>
        </row>
        <row r="609">
          <cell r="AM609">
            <v>0</v>
          </cell>
          <cell r="AP609" t="str">
            <v>Véhicules neufs</v>
          </cell>
          <cell r="AQ609" t="str">
            <v>Autos détail</v>
          </cell>
          <cell r="AR609" t="str">
            <v>$</v>
          </cell>
          <cell r="AS609" t="str">
            <v>Oui</v>
          </cell>
          <cell r="AW609">
            <v>0</v>
          </cell>
          <cell r="AY609" t="str">
            <v>NB</v>
          </cell>
        </row>
        <row r="610">
          <cell r="AM610">
            <v>0</v>
          </cell>
          <cell r="AP610" t="e">
            <v>#N/A</v>
          </cell>
          <cell r="AQ610" t="e">
            <v>#N/A</v>
          </cell>
          <cell r="AR610" t="str">
            <v>$</v>
          </cell>
          <cell r="AS610" t="e">
            <v>#N/A</v>
          </cell>
          <cell r="AW610">
            <v>0</v>
          </cell>
          <cell r="AY610" t="str">
            <v>NB</v>
          </cell>
        </row>
        <row r="611">
          <cell r="AM611">
            <v>0</v>
          </cell>
          <cell r="AP611" t="str">
            <v>Véhicules neufs</v>
          </cell>
          <cell r="AQ611" t="str">
            <v>Autos détail</v>
          </cell>
          <cell r="AR611" t="str">
            <v>$</v>
          </cell>
          <cell r="AS611" t="str">
            <v>Oui</v>
          </cell>
          <cell r="AW611">
            <v>0</v>
          </cell>
          <cell r="AY611" t="str">
            <v>NB</v>
          </cell>
        </row>
        <row r="612">
          <cell r="AM612">
            <v>0</v>
          </cell>
          <cell r="AP612" t="str">
            <v>Véhicules neufs</v>
          </cell>
          <cell r="AQ612" t="str">
            <v>Autos détail</v>
          </cell>
          <cell r="AR612" t="str">
            <v>$</v>
          </cell>
          <cell r="AS612" t="str">
            <v>Oui</v>
          </cell>
          <cell r="AW612">
            <v>0</v>
          </cell>
          <cell r="AY612" t="str">
            <v>NB</v>
          </cell>
        </row>
        <row r="613">
          <cell r="AM613">
            <v>0</v>
          </cell>
          <cell r="AP613">
            <v>0</v>
          </cell>
          <cell r="AQ613">
            <v>0</v>
          </cell>
          <cell r="AR613" t="str">
            <v>$</v>
          </cell>
          <cell r="AS613">
            <v>0</v>
          </cell>
          <cell r="AW613">
            <v>0</v>
          </cell>
          <cell r="AY613" t="str">
            <v>NB</v>
          </cell>
        </row>
        <row r="614">
          <cell r="AM614">
            <v>0</v>
          </cell>
          <cell r="AP614" t="e">
            <v>#N/A</v>
          </cell>
          <cell r="AQ614" t="e">
            <v>#N/A</v>
          </cell>
          <cell r="AR614" t="str">
            <v>$</v>
          </cell>
          <cell r="AS614" t="e">
            <v>#N/A</v>
          </cell>
          <cell r="AW614">
            <v>0</v>
          </cell>
          <cell r="AY614" t="str">
            <v>NB</v>
          </cell>
        </row>
        <row r="615">
          <cell r="AM615">
            <v>0</v>
          </cell>
          <cell r="AP615" t="e">
            <v>#N/A</v>
          </cell>
          <cell r="AQ615" t="e">
            <v>#N/A</v>
          </cell>
          <cell r="AR615" t="str">
            <v>$</v>
          </cell>
          <cell r="AS615" t="e">
            <v>#N/A</v>
          </cell>
          <cell r="AW615">
            <v>0</v>
          </cell>
          <cell r="AY615" t="str">
            <v>NB</v>
          </cell>
        </row>
        <row r="616">
          <cell r="AM616">
            <v>0</v>
          </cell>
          <cell r="AP616">
            <v>0</v>
          </cell>
          <cell r="AQ616">
            <v>0</v>
          </cell>
          <cell r="AR616" t="str">
            <v>$</v>
          </cell>
          <cell r="AS616">
            <v>0</v>
          </cell>
          <cell r="AW616">
            <v>42</v>
          </cell>
          <cell r="AY616" t="str">
            <v>NB</v>
          </cell>
        </row>
        <row r="617">
          <cell r="AM617">
            <v>0</v>
          </cell>
          <cell r="AP617" t="e">
            <v>#N/A</v>
          </cell>
          <cell r="AQ617" t="e">
            <v>#N/A</v>
          </cell>
          <cell r="AR617" t="str">
            <v>$</v>
          </cell>
          <cell r="AS617" t="e">
            <v>#N/A</v>
          </cell>
          <cell r="AW617">
            <v>0</v>
          </cell>
          <cell r="AY617" t="str">
            <v>NB</v>
          </cell>
        </row>
        <row r="618">
          <cell r="AM618">
            <v>0</v>
          </cell>
          <cell r="AP618" t="e">
            <v>#N/A</v>
          </cell>
          <cell r="AQ618" t="e">
            <v>#N/A</v>
          </cell>
          <cell r="AR618" t="str">
            <v>$</v>
          </cell>
          <cell r="AS618" t="e">
            <v>#N/A</v>
          </cell>
          <cell r="AW618">
            <v>0</v>
          </cell>
          <cell r="AY618" t="str">
            <v>NB</v>
          </cell>
        </row>
        <row r="619">
          <cell r="AM619">
            <v>0</v>
          </cell>
          <cell r="AP619" t="e">
            <v>#N/A</v>
          </cell>
          <cell r="AQ619" t="e">
            <v>#N/A</v>
          </cell>
          <cell r="AR619" t="str">
            <v>$</v>
          </cell>
          <cell r="AS619" t="e">
            <v>#N/A</v>
          </cell>
          <cell r="AW619">
            <v>0</v>
          </cell>
          <cell r="AY619" t="str">
            <v>NB</v>
          </cell>
        </row>
        <row r="620">
          <cell r="AM620">
            <v>0</v>
          </cell>
          <cell r="AP620" t="e">
            <v>#N/A</v>
          </cell>
          <cell r="AQ620" t="e">
            <v>#N/A</v>
          </cell>
          <cell r="AR620" t="str">
            <v>$</v>
          </cell>
          <cell r="AS620" t="e">
            <v>#N/A</v>
          </cell>
          <cell r="AW620">
            <v>0</v>
          </cell>
          <cell r="AY620" t="str">
            <v>NB</v>
          </cell>
        </row>
        <row r="621">
          <cell r="AM621">
            <v>0</v>
          </cell>
          <cell r="AP621" t="e">
            <v>#N/A</v>
          </cell>
          <cell r="AQ621" t="e">
            <v>#N/A</v>
          </cell>
          <cell r="AR621" t="str">
            <v>$</v>
          </cell>
          <cell r="AS621" t="e">
            <v>#N/A</v>
          </cell>
          <cell r="AW621">
            <v>0</v>
          </cell>
          <cell r="AY621" t="str">
            <v>NB</v>
          </cell>
        </row>
        <row r="622">
          <cell r="AM622">
            <v>0</v>
          </cell>
          <cell r="AP622" t="e">
            <v>#N/A</v>
          </cell>
          <cell r="AQ622" t="e">
            <v>#N/A</v>
          </cell>
          <cell r="AR622" t="str">
            <v>$</v>
          </cell>
          <cell r="AS622" t="e">
            <v>#N/A</v>
          </cell>
          <cell r="AW622">
            <v>0</v>
          </cell>
          <cell r="AY622" t="str">
            <v>NB</v>
          </cell>
        </row>
        <row r="623">
          <cell r="AM623">
            <v>-138729</v>
          </cell>
          <cell r="AP623" t="str">
            <v>Véhicules neufs</v>
          </cell>
          <cell r="AQ623" t="str">
            <v>Camions détail</v>
          </cell>
          <cell r="AR623" t="str">
            <v>$</v>
          </cell>
          <cell r="AS623" t="str">
            <v>Oui</v>
          </cell>
          <cell r="AW623">
            <v>3</v>
          </cell>
          <cell r="AY623" t="str">
            <v>NB</v>
          </cell>
        </row>
        <row r="624">
          <cell r="AM624">
            <v>-517779.12</v>
          </cell>
          <cell r="AP624" t="str">
            <v>Véhicules neufs</v>
          </cell>
          <cell r="AQ624" t="str">
            <v>Camions electriques</v>
          </cell>
          <cell r="AR624" t="str">
            <v>$</v>
          </cell>
          <cell r="AS624" t="str">
            <v>Oui</v>
          </cell>
          <cell r="AW624">
            <v>12</v>
          </cell>
          <cell r="AY624" t="str">
            <v>NB</v>
          </cell>
        </row>
        <row r="625">
          <cell r="AM625">
            <v>0</v>
          </cell>
          <cell r="AP625" t="e">
            <v>#N/A</v>
          </cell>
          <cell r="AQ625" t="e">
            <v>#N/A</v>
          </cell>
          <cell r="AR625" t="str">
            <v>$</v>
          </cell>
          <cell r="AS625" t="e">
            <v>#N/A</v>
          </cell>
          <cell r="AW625">
            <v>0</v>
          </cell>
          <cell r="AY625" t="str">
            <v>NB</v>
          </cell>
        </row>
        <row r="626">
          <cell r="AM626">
            <v>0</v>
          </cell>
          <cell r="AP626" t="str">
            <v>Véhicules neufs</v>
          </cell>
          <cell r="AQ626" t="str">
            <v>Camions détail</v>
          </cell>
          <cell r="AR626" t="str">
            <v>$</v>
          </cell>
          <cell r="AS626" t="str">
            <v>Oui</v>
          </cell>
          <cell r="AW626">
            <v>0</v>
          </cell>
          <cell r="AY626" t="str">
            <v>NB</v>
          </cell>
        </row>
        <row r="627">
          <cell r="AM627">
            <v>0</v>
          </cell>
          <cell r="AP627" t="str">
            <v>Véhicules neufs</v>
          </cell>
          <cell r="AQ627" t="str">
            <v>Camions electriques</v>
          </cell>
          <cell r="AR627" t="str">
            <v>$</v>
          </cell>
          <cell r="AS627" t="str">
            <v>Oui</v>
          </cell>
          <cell r="AW627">
            <v>0</v>
          </cell>
          <cell r="AY627" t="str">
            <v>NB</v>
          </cell>
        </row>
        <row r="628">
          <cell r="AM628">
            <v>0</v>
          </cell>
          <cell r="AP628" t="e">
            <v>#N/A</v>
          </cell>
          <cell r="AQ628" t="e">
            <v>#N/A</v>
          </cell>
          <cell r="AR628" t="str">
            <v>$</v>
          </cell>
          <cell r="AS628" t="e">
            <v>#N/A</v>
          </cell>
          <cell r="AW628">
            <v>0</v>
          </cell>
          <cell r="AY628" t="str">
            <v>NB</v>
          </cell>
        </row>
        <row r="629">
          <cell r="AM629">
            <v>0</v>
          </cell>
          <cell r="AP629" t="e">
            <v>#N/A</v>
          </cell>
          <cell r="AQ629" t="e">
            <v>#N/A</v>
          </cell>
          <cell r="AR629" t="str">
            <v>$</v>
          </cell>
          <cell r="AS629" t="e">
            <v>#N/A</v>
          </cell>
          <cell r="AW629">
            <v>0</v>
          </cell>
          <cell r="AY629" t="str">
            <v>NB</v>
          </cell>
        </row>
        <row r="630">
          <cell r="AM630">
            <v>-112922.77999999997</v>
          </cell>
          <cell r="AP630" t="str">
            <v>Véhicules neufs</v>
          </cell>
          <cell r="AQ630" t="str">
            <v>Camions détail</v>
          </cell>
          <cell r="AR630" t="str">
            <v>$</v>
          </cell>
          <cell r="AS630" t="str">
            <v>Oui</v>
          </cell>
          <cell r="AW630">
            <v>2</v>
          </cell>
          <cell r="AY630" t="str">
            <v>NB</v>
          </cell>
        </row>
        <row r="631">
          <cell r="AM631">
            <v>-66823.419999999984</v>
          </cell>
          <cell r="AP631" t="str">
            <v>Véhicules neufs</v>
          </cell>
          <cell r="AQ631" t="str">
            <v>Camions détail</v>
          </cell>
          <cell r="AR631" t="str">
            <v>$</v>
          </cell>
          <cell r="AS631" t="str">
            <v>Oui</v>
          </cell>
          <cell r="AW631">
            <v>1</v>
          </cell>
          <cell r="AY631" t="str">
            <v>NB</v>
          </cell>
        </row>
        <row r="632">
          <cell r="AM632">
            <v>0</v>
          </cell>
          <cell r="AP632" t="str">
            <v>Véhicules neufs</v>
          </cell>
          <cell r="AQ632" t="str">
            <v>Camions détail</v>
          </cell>
          <cell r="AR632" t="str">
            <v>$</v>
          </cell>
          <cell r="AS632" t="str">
            <v>Oui</v>
          </cell>
          <cell r="AW632">
            <v>0</v>
          </cell>
          <cell r="AY632" t="str">
            <v>NB</v>
          </cell>
        </row>
        <row r="633">
          <cell r="AM633">
            <v>-36133.02999999997</v>
          </cell>
          <cell r="AP633" t="str">
            <v>Véhicules neufs</v>
          </cell>
          <cell r="AQ633" t="str">
            <v>Camions détail</v>
          </cell>
          <cell r="AR633" t="str">
            <v>$</v>
          </cell>
          <cell r="AS633" t="str">
            <v>Oui</v>
          </cell>
          <cell r="AW633">
            <v>1</v>
          </cell>
          <cell r="AY633" t="str">
            <v>NB</v>
          </cell>
        </row>
        <row r="634">
          <cell r="AM634">
            <v>0</v>
          </cell>
          <cell r="AP634" t="e">
            <v>#N/A</v>
          </cell>
          <cell r="AQ634" t="e">
            <v>#N/A</v>
          </cell>
          <cell r="AR634" t="str">
            <v>$</v>
          </cell>
          <cell r="AS634" t="e">
            <v>#N/A</v>
          </cell>
          <cell r="AW634">
            <v>0</v>
          </cell>
          <cell r="AY634" t="str">
            <v>NB</v>
          </cell>
        </row>
        <row r="635">
          <cell r="AM635">
            <v>-204557</v>
          </cell>
          <cell r="AP635" t="str">
            <v>Véhicules neufs</v>
          </cell>
          <cell r="AQ635" t="str">
            <v>Camions détail</v>
          </cell>
          <cell r="AR635" t="str">
            <v>$</v>
          </cell>
          <cell r="AS635" t="str">
            <v>Oui</v>
          </cell>
          <cell r="AW635">
            <v>3</v>
          </cell>
          <cell r="AY635" t="str">
            <v>NB</v>
          </cell>
        </row>
        <row r="636">
          <cell r="AM636">
            <v>0</v>
          </cell>
          <cell r="AP636" t="str">
            <v>Véhicules neufs</v>
          </cell>
          <cell r="AQ636" t="str">
            <v>Camions détail</v>
          </cell>
          <cell r="AR636" t="str">
            <v>$</v>
          </cell>
          <cell r="AS636" t="str">
            <v>Oui</v>
          </cell>
          <cell r="AW636">
            <v>0</v>
          </cell>
          <cell r="AY636" t="str">
            <v>NB</v>
          </cell>
        </row>
        <row r="637">
          <cell r="AM637">
            <v>0</v>
          </cell>
          <cell r="AP637" t="str">
            <v>Véhicules neufs</v>
          </cell>
          <cell r="AQ637" t="str">
            <v>Camions détail</v>
          </cell>
          <cell r="AR637" t="str">
            <v>$</v>
          </cell>
          <cell r="AS637" t="str">
            <v>Oui</v>
          </cell>
          <cell r="AW637">
            <v>0</v>
          </cell>
          <cell r="AY637" t="str">
            <v>NB</v>
          </cell>
        </row>
        <row r="638">
          <cell r="AM638">
            <v>0</v>
          </cell>
          <cell r="AP638" t="e">
            <v>#N/A</v>
          </cell>
          <cell r="AQ638" t="e">
            <v>#N/A</v>
          </cell>
          <cell r="AR638" t="str">
            <v>$</v>
          </cell>
          <cell r="AS638" t="e">
            <v>#N/A</v>
          </cell>
          <cell r="AW638">
            <v>0</v>
          </cell>
          <cell r="AY638" t="str">
            <v>NB</v>
          </cell>
        </row>
        <row r="639">
          <cell r="AM639">
            <v>-160014.75</v>
          </cell>
          <cell r="AP639" t="str">
            <v>Véhicules neufs</v>
          </cell>
          <cell r="AQ639" t="str">
            <v>Camions détail</v>
          </cell>
          <cell r="AR639" t="str">
            <v>$</v>
          </cell>
          <cell r="AS639" t="str">
            <v>Oui</v>
          </cell>
          <cell r="AW639">
            <v>5</v>
          </cell>
          <cell r="AY639" t="str">
            <v>NB</v>
          </cell>
        </row>
        <row r="640">
          <cell r="AM640">
            <v>0</v>
          </cell>
          <cell r="AP640" t="str">
            <v>Véhicules neufs</v>
          </cell>
          <cell r="AQ640" t="str">
            <v>Camions détail</v>
          </cell>
          <cell r="AR640" t="str">
            <v>$</v>
          </cell>
          <cell r="AS640" t="str">
            <v>Oui</v>
          </cell>
          <cell r="AW640">
            <v>0</v>
          </cell>
          <cell r="AY640" t="str">
            <v>NB</v>
          </cell>
        </row>
        <row r="641">
          <cell r="AM641">
            <v>-305692.49000000022</v>
          </cell>
          <cell r="AP641" t="str">
            <v>Véhicules neufs</v>
          </cell>
          <cell r="AQ641" t="str">
            <v>Camions détail</v>
          </cell>
          <cell r="AR641" t="str">
            <v>$</v>
          </cell>
          <cell r="AS641" t="str">
            <v>Oui</v>
          </cell>
          <cell r="AW641">
            <v>4</v>
          </cell>
          <cell r="AY641" t="str">
            <v>NB</v>
          </cell>
        </row>
        <row r="642">
          <cell r="AM642">
            <v>-113968</v>
          </cell>
          <cell r="AP642" t="str">
            <v>Véhicules neufs</v>
          </cell>
          <cell r="AQ642" t="str">
            <v>Camions electriques</v>
          </cell>
          <cell r="AR642" t="str">
            <v>$</v>
          </cell>
          <cell r="AS642" t="str">
            <v>Oui</v>
          </cell>
          <cell r="AW642">
            <v>1</v>
          </cell>
          <cell r="AY642" t="str">
            <v>NB</v>
          </cell>
        </row>
        <row r="643">
          <cell r="AM643">
            <v>-260372.5</v>
          </cell>
          <cell r="AP643" t="str">
            <v>Véhicules neufs</v>
          </cell>
          <cell r="AQ643" t="str">
            <v>Camions détail</v>
          </cell>
          <cell r="AR643" t="str">
            <v>$</v>
          </cell>
          <cell r="AS643" t="str">
            <v>Oui</v>
          </cell>
          <cell r="AW643">
            <v>2</v>
          </cell>
          <cell r="AY643" t="str">
            <v>NB</v>
          </cell>
        </row>
        <row r="644">
          <cell r="AM644">
            <v>0</v>
          </cell>
          <cell r="AP644" t="e">
            <v>#N/A</v>
          </cell>
          <cell r="AQ644" t="e">
            <v>#N/A</v>
          </cell>
          <cell r="AR644" t="str">
            <v>$</v>
          </cell>
          <cell r="AS644" t="e">
            <v>#N/A</v>
          </cell>
          <cell r="AW644">
            <v>0</v>
          </cell>
          <cell r="AY644" t="str">
            <v>NB</v>
          </cell>
        </row>
        <row r="645">
          <cell r="AM645">
            <v>-81659</v>
          </cell>
          <cell r="AP645" t="str">
            <v>Véhicules neufs</v>
          </cell>
          <cell r="AQ645" t="str">
            <v>Camions détail</v>
          </cell>
          <cell r="AR645" t="str">
            <v>$</v>
          </cell>
          <cell r="AS645" t="str">
            <v>Oui</v>
          </cell>
          <cell r="AW645">
            <v>1</v>
          </cell>
          <cell r="AY645" t="str">
            <v>NB</v>
          </cell>
        </row>
        <row r="646">
          <cell r="AM646">
            <v>-548351.45000000019</v>
          </cell>
          <cell r="AP646" t="str">
            <v>Véhicules neufs</v>
          </cell>
          <cell r="AQ646" t="str">
            <v>Camions détail</v>
          </cell>
          <cell r="AR646" t="str">
            <v>$</v>
          </cell>
          <cell r="AS646" t="str">
            <v>Oui</v>
          </cell>
          <cell r="AW646">
            <v>7</v>
          </cell>
          <cell r="AY646" t="str">
            <v>NB</v>
          </cell>
        </row>
        <row r="647">
          <cell r="AM647">
            <v>0</v>
          </cell>
          <cell r="AP647" t="str">
            <v>Véhicules neufs</v>
          </cell>
          <cell r="AQ647" t="str">
            <v>Camions electriques</v>
          </cell>
          <cell r="AR647" t="str">
            <v>$</v>
          </cell>
          <cell r="AS647" t="str">
            <v>Oui</v>
          </cell>
          <cell r="AW647">
            <v>0</v>
          </cell>
          <cell r="AY647" t="str">
            <v>NB</v>
          </cell>
        </row>
        <row r="648">
          <cell r="AM648">
            <v>0</v>
          </cell>
          <cell r="AP648" t="e">
            <v>#N/A</v>
          </cell>
          <cell r="AQ648" t="e">
            <v>#N/A</v>
          </cell>
          <cell r="AR648" t="str">
            <v>$</v>
          </cell>
          <cell r="AS648" t="e">
            <v>#N/A</v>
          </cell>
          <cell r="AW648">
            <v>0</v>
          </cell>
          <cell r="AY648" t="str">
            <v>NB</v>
          </cell>
        </row>
        <row r="649">
          <cell r="AM649">
            <v>0</v>
          </cell>
          <cell r="AP649" t="str">
            <v>Véhicules neufs</v>
          </cell>
          <cell r="AQ649" t="str">
            <v>Camions détail</v>
          </cell>
          <cell r="AR649" t="str">
            <v>$</v>
          </cell>
          <cell r="AS649" t="str">
            <v>Oui</v>
          </cell>
          <cell r="AW649">
            <v>0</v>
          </cell>
          <cell r="AY649" t="str">
            <v>NB</v>
          </cell>
        </row>
        <row r="650">
          <cell r="AM650">
            <v>-228665.5</v>
          </cell>
          <cell r="AP650" t="str">
            <v>Véhicules neufs</v>
          </cell>
          <cell r="AQ650" t="str">
            <v>Camions détail</v>
          </cell>
          <cell r="AR650" t="str">
            <v>$</v>
          </cell>
          <cell r="AS650" t="str">
            <v>Oui</v>
          </cell>
          <cell r="AW650">
            <v>2</v>
          </cell>
          <cell r="AY650" t="str">
            <v>NB</v>
          </cell>
        </row>
        <row r="651">
          <cell r="AM651">
            <v>0</v>
          </cell>
          <cell r="AP651" t="str">
            <v>Véhicules neufs</v>
          </cell>
          <cell r="AQ651" t="str">
            <v>Camions détail</v>
          </cell>
          <cell r="AR651" t="str">
            <v>$</v>
          </cell>
          <cell r="AS651" t="str">
            <v>Oui</v>
          </cell>
          <cell r="AW651">
            <v>0</v>
          </cell>
          <cell r="AY651" t="str">
            <v>NB</v>
          </cell>
        </row>
        <row r="652">
          <cell r="AM652">
            <v>0</v>
          </cell>
          <cell r="AP652" t="str">
            <v>Véhicules neufs</v>
          </cell>
          <cell r="AQ652" t="str">
            <v>Camions détail</v>
          </cell>
          <cell r="AR652" t="str">
            <v>$</v>
          </cell>
          <cell r="AS652" t="str">
            <v>Oui</v>
          </cell>
          <cell r="AW652">
            <v>0</v>
          </cell>
          <cell r="AY652" t="str">
            <v>NB</v>
          </cell>
        </row>
        <row r="653">
          <cell r="AM653">
            <v>0</v>
          </cell>
          <cell r="AP653" t="str">
            <v>Véhicules neufs</v>
          </cell>
          <cell r="AQ653" t="str">
            <v>Camions electriques</v>
          </cell>
          <cell r="AR653" t="str">
            <v>$</v>
          </cell>
          <cell r="AS653" t="str">
            <v>Oui</v>
          </cell>
          <cell r="AW653">
            <v>0</v>
          </cell>
          <cell r="AY653" t="str">
            <v>NB</v>
          </cell>
        </row>
        <row r="654">
          <cell r="AM654">
            <v>0</v>
          </cell>
          <cell r="AP654" t="e">
            <v>#N/A</v>
          </cell>
          <cell r="AQ654" t="e">
            <v>#N/A</v>
          </cell>
          <cell r="AR654" t="str">
            <v>$</v>
          </cell>
          <cell r="AS654" t="e">
            <v>#N/A</v>
          </cell>
          <cell r="AW654">
            <v>0</v>
          </cell>
          <cell r="AY654" t="str">
            <v>NB</v>
          </cell>
        </row>
        <row r="655">
          <cell r="AM655">
            <v>-37477.5</v>
          </cell>
          <cell r="AP655" t="str">
            <v>Véhicules neufs</v>
          </cell>
          <cell r="AQ655" t="str">
            <v>Camions détail</v>
          </cell>
          <cell r="AR655" t="str">
            <v>$</v>
          </cell>
          <cell r="AS655" t="str">
            <v>Oui</v>
          </cell>
          <cell r="AW655">
            <v>1</v>
          </cell>
          <cell r="AY655" t="str">
            <v>NB</v>
          </cell>
        </row>
        <row r="656">
          <cell r="AM656">
            <v>-326869.26</v>
          </cell>
          <cell r="AP656" t="str">
            <v>Véhicules neufs</v>
          </cell>
          <cell r="AQ656" t="str">
            <v>Camions electriques</v>
          </cell>
          <cell r="AR656" t="str">
            <v>$</v>
          </cell>
          <cell r="AS656" t="str">
            <v>Oui</v>
          </cell>
          <cell r="AW656">
            <v>7</v>
          </cell>
          <cell r="AY656" t="str">
            <v>NB</v>
          </cell>
        </row>
        <row r="657">
          <cell r="AM657">
            <v>0</v>
          </cell>
          <cell r="AP657" t="e">
            <v>#N/A</v>
          </cell>
          <cell r="AQ657" t="e">
            <v>#N/A</v>
          </cell>
          <cell r="AR657" t="str">
            <v>$</v>
          </cell>
          <cell r="AS657" t="e">
            <v>#N/A</v>
          </cell>
          <cell r="AW657">
            <v>0</v>
          </cell>
          <cell r="AY657" t="str">
            <v>NB</v>
          </cell>
        </row>
        <row r="658">
          <cell r="AM658">
            <v>0</v>
          </cell>
          <cell r="AP658" t="str">
            <v>Véhicules neufs</v>
          </cell>
          <cell r="AQ658" t="str">
            <v>Camions détail</v>
          </cell>
          <cell r="AR658" t="str">
            <v>$</v>
          </cell>
          <cell r="AS658" t="str">
            <v>Oui</v>
          </cell>
          <cell r="AW658">
            <v>0</v>
          </cell>
          <cell r="AY658" t="str">
            <v>NB</v>
          </cell>
        </row>
        <row r="659">
          <cell r="AM659">
            <v>-127470.08</v>
          </cell>
          <cell r="AP659" t="str">
            <v>Véhicules neufs</v>
          </cell>
          <cell r="AQ659" t="str">
            <v>Camions electriques</v>
          </cell>
          <cell r="AR659" t="str">
            <v>$</v>
          </cell>
          <cell r="AS659" t="str">
            <v>Oui</v>
          </cell>
          <cell r="AW659">
            <v>1</v>
          </cell>
          <cell r="AY659" t="str">
            <v>NB</v>
          </cell>
        </row>
        <row r="660">
          <cell r="AM660">
            <v>0</v>
          </cell>
          <cell r="AP660" t="e">
            <v>#N/A</v>
          </cell>
          <cell r="AQ660" t="e">
            <v>#N/A</v>
          </cell>
          <cell r="AR660" t="str">
            <v>$</v>
          </cell>
          <cell r="AS660" t="e">
            <v>#N/A</v>
          </cell>
          <cell r="AW660">
            <v>0</v>
          </cell>
          <cell r="AY660" t="str">
            <v>NB</v>
          </cell>
        </row>
        <row r="661">
          <cell r="AM661">
            <v>0</v>
          </cell>
          <cell r="AP661" t="str">
            <v>Véhicules neufs</v>
          </cell>
          <cell r="AQ661" t="str">
            <v>Camions détail</v>
          </cell>
          <cell r="AR661" t="str">
            <v>$</v>
          </cell>
          <cell r="AS661" t="str">
            <v>Oui</v>
          </cell>
          <cell r="AW661">
            <v>0</v>
          </cell>
          <cell r="AY661" t="str">
            <v>NB</v>
          </cell>
        </row>
        <row r="662">
          <cell r="AM662">
            <v>0</v>
          </cell>
          <cell r="AP662" t="str">
            <v>Véhicules neufs</v>
          </cell>
          <cell r="AQ662" t="str">
            <v>Camions détail</v>
          </cell>
          <cell r="AR662" t="str">
            <v>$</v>
          </cell>
          <cell r="AS662" t="str">
            <v>Oui</v>
          </cell>
          <cell r="AW662">
            <v>0</v>
          </cell>
          <cell r="AY662" t="str">
            <v>NB</v>
          </cell>
        </row>
        <row r="663">
          <cell r="AM663">
            <v>0</v>
          </cell>
          <cell r="AP663" t="e">
            <v>#N/A</v>
          </cell>
          <cell r="AQ663" t="e">
            <v>#N/A</v>
          </cell>
          <cell r="AR663" t="str">
            <v>$</v>
          </cell>
          <cell r="AS663" t="e">
            <v>#N/A</v>
          </cell>
          <cell r="AW663">
            <v>0</v>
          </cell>
          <cell r="AY663" t="str">
            <v>NB</v>
          </cell>
        </row>
        <row r="664">
          <cell r="AM664">
            <v>0</v>
          </cell>
          <cell r="AP664" t="e">
            <v>#N/A</v>
          </cell>
          <cell r="AQ664" t="e">
            <v>#N/A</v>
          </cell>
          <cell r="AR664" t="str">
            <v>$</v>
          </cell>
          <cell r="AS664" t="e">
            <v>#N/A</v>
          </cell>
          <cell r="AW664">
            <v>0</v>
          </cell>
          <cell r="AY664" t="str">
            <v>NB</v>
          </cell>
        </row>
        <row r="665">
          <cell r="AM665">
            <v>-4090626.0399999991</v>
          </cell>
          <cell r="AP665" t="str">
            <v>Véhicules neufs</v>
          </cell>
          <cell r="AQ665" t="str">
            <v>Flottes</v>
          </cell>
          <cell r="AR665" t="str">
            <v>$</v>
          </cell>
          <cell r="AS665" t="str">
            <v>Oui</v>
          </cell>
          <cell r="AW665">
            <v>58</v>
          </cell>
          <cell r="AY665" t="str">
            <v>NB</v>
          </cell>
        </row>
        <row r="666">
          <cell r="AM666">
            <v>0</v>
          </cell>
          <cell r="AP666" t="str">
            <v>Véhicules neufs</v>
          </cell>
          <cell r="AQ666" t="str">
            <v>Flottes</v>
          </cell>
          <cell r="AR666" t="str">
            <v>$</v>
          </cell>
          <cell r="AS666" t="str">
            <v>Oui</v>
          </cell>
          <cell r="AW666">
            <v>0</v>
          </cell>
          <cell r="AY666" t="str">
            <v>NB</v>
          </cell>
        </row>
        <row r="667">
          <cell r="AM667">
            <v>-65036</v>
          </cell>
          <cell r="AP667" t="str">
            <v>Véhicules neufs</v>
          </cell>
          <cell r="AQ667" t="str">
            <v>Rev. Protections</v>
          </cell>
          <cell r="AR667" t="str">
            <v>$</v>
          </cell>
          <cell r="AS667" t="str">
            <v>Oui</v>
          </cell>
          <cell r="AW667">
            <v>15</v>
          </cell>
          <cell r="AY667" t="str">
            <v>NB</v>
          </cell>
        </row>
        <row r="668">
          <cell r="AM668">
            <v>0</v>
          </cell>
          <cell r="AP668" t="str">
            <v>Véhicules neufs</v>
          </cell>
          <cell r="AQ668" t="str">
            <v>Rev. Protections</v>
          </cell>
          <cell r="AR668" t="str">
            <v>$</v>
          </cell>
          <cell r="AS668" t="str">
            <v>Oui</v>
          </cell>
          <cell r="AW668">
            <v>0</v>
          </cell>
          <cell r="AY668" t="str">
            <v>NB</v>
          </cell>
        </row>
        <row r="669">
          <cell r="AM669">
            <v>-6749</v>
          </cell>
          <cell r="AP669" t="str">
            <v>Véhicules neufs</v>
          </cell>
          <cell r="AQ669" t="str">
            <v>Rev. Autres</v>
          </cell>
          <cell r="AR669" t="str">
            <v>$</v>
          </cell>
          <cell r="AS669" t="str">
            <v>Oui</v>
          </cell>
          <cell r="AW669">
            <v>6</v>
          </cell>
          <cell r="AY669" t="str">
            <v>NB</v>
          </cell>
        </row>
        <row r="670">
          <cell r="AM670">
            <v>-5311</v>
          </cell>
          <cell r="AP670" t="str">
            <v>Véhicules neufs</v>
          </cell>
          <cell r="AQ670" t="str">
            <v>Rev. Autres</v>
          </cell>
          <cell r="AR670" t="str">
            <v>$</v>
          </cell>
          <cell r="AS670" t="str">
            <v>Oui</v>
          </cell>
          <cell r="AW670">
            <v>6</v>
          </cell>
          <cell r="AY670" t="str">
            <v>NB</v>
          </cell>
        </row>
        <row r="671">
          <cell r="AM671">
            <v>-3340</v>
          </cell>
          <cell r="AP671" t="str">
            <v>Véhicules neufs</v>
          </cell>
          <cell r="AQ671" t="str">
            <v>Rev. Protections</v>
          </cell>
          <cell r="AR671" t="str">
            <v>$</v>
          </cell>
          <cell r="AS671" t="str">
            <v>Oui</v>
          </cell>
          <cell r="AW671">
            <v>1</v>
          </cell>
          <cell r="AY671" t="str">
            <v>NB</v>
          </cell>
        </row>
        <row r="672">
          <cell r="AM672">
            <v>-4990</v>
          </cell>
          <cell r="AP672" t="str">
            <v>Véhicules neufs</v>
          </cell>
          <cell r="AQ672" t="str">
            <v>Rev. Autres</v>
          </cell>
          <cell r="AR672" t="str">
            <v>$</v>
          </cell>
          <cell r="AS672" t="str">
            <v>Oui</v>
          </cell>
          <cell r="AW672">
            <v>10</v>
          </cell>
          <cell r="AY672" t="str">
            <v>NB</v>
          </cell>
        </row>
        <row r="673">
          <cell r="AM673">
            <v>0</v>
          </cell>
          <cell r="AP673" t="str">
            <v>Véhicules usagés</v>
          </cell>
          <cell r="AQ673" t="str">
            <v>Certifié</v>
          </cell>
          <cell r="AR673" t="str">
            <v>$</v>
          </cell>
          <cell r="AS673" t="str">
            <v>Oui</v>
          </cell>
          <cell r="AW673">
            <v>0</v>
          </cell>
          <cell r="AY673" t="str">
            <v>NB</v>
          </cell>
        </row>
        <row r="674">
          <cell r="AM674">
            <v>-148093</v>
          </cell>
          <cell r="AP674" t="str">
            <v>Véhicules usagés</v>
          </cell>
          <cell r="AQ674" t="str">
            <v>Non Certifié</v>
          </cell>
          <cell r="AR674" t="str">
            <v>$</v>
          </cell>
          <cell r="AS674" t="str">
            <v>Oui</v>
          </cell>
          <cell r="AW674">
            <v>5</v>
          </cell>
          <cell r="AY674" t="str">
            <v>NB</v>
          </cell>
        </row>
        <row r="675">
          <cell r="AM675">
            <v>0</v>
          </cell>
          <cell r="AP675" t="e">
            <v>#N/A</v>
          </cell>
          <cell r="AQ675" t="e">
            <v>#N/A</v>
          </cell>
          <cell r="AR675" t="str">
            <v>$</v>
          </cell>
          <cell r="AS675" t="e">
            <v>#N/A</v>
          </cell>
          <cell r="AW675">
            <v>0</v>
          </cell>
          <cell r="AY675" t="str">
            <v>NB</v>
          </cell>
        </row>
        <row r="676">
          <cell r="AM676">
            <v>0</v>
          </cell>
          <cell r="AP676">
            <v>0</v>
          </cell>
          <cell r="AQ676">
            <v>0</v>
          </cell>
          <cell r="AR676" t="str">
            <v>$</v>
          </cell>
          <cell r="AS676">
            <v>0</v>
          </cell>
          <cell r="AW676">
            <v>0</v>
          </cell>
          <cell r="AY676" t="str">
            <v>NB</v>
          </cell>
        </row>
        <row r="677">
          <cell r="AM677">
            <v>0</v>
          </cell>
          <cell r="AP677" t="e">
            <v>#N/A</v>
          </cell>
          <cell r="AQ677" t="e">
            <v>#N/A</v>
          </cell>
          <cell r="AR677" t="str">
            <v>$</v>
          </cell>
          <cell r="AS677" t="e">
            <v>#N/A</v>
          </cell>
          <cell r="AW677">
            <v>0</v>
          </cell>
          <cell r="AY677" t="str">
            <v>NB</v>
          </cell>
        </row>
        <row r="678">
          <cell r="AM678">
            <v>0</v>
          </cell>
          <cell r="AP678">
            <v>0</v>
          </cell>
          <cell r="AQ678">
            <v>0</v>
          </cell>
          <cell r="AR678" t="str">
            <v>$</v>
          </cell>
          <cell r="AS678">
            <v>0</v>
          </cell>
          <cell r="AW678">
            <v>0</v>
          </cell>
          <cell r="AY678" t="str">
            <v>NB</v>
          </cell>
        </row>
        <row r="679">
          <cell r="AM679">
            <v>0</v>
          </cell>
          <cell r="AP679">
            <v>0</v>
          </cell>
          <cell r="AQ679">
            <v>0</v>
          </cell>
          <cell r="AR679" t="str">
            <v>$</v>
          </cell>
          <cell r="AS679">
            <v>0</v>
          </cell>
          <cell r="AW679">
            <v>0</v>
          </cell>
          <cell r="AY679" t="str">
            <v>NB</v>
          </cell>
        </row>
        <row r="680">
          <cell r="AM680">
            <v>0</v>
          </cell>
          <cell r="AP680">
            <v>0</v>
          </cell>
          <cell r="AQ680">
            <v>0</v>
          </cell>
          <cell r="AR680" t="str">
            <v>$</v>
          </cell>
          <cell r="AS680">
            <v>0</v>
          </cell>
          <cell r="AW680">
            <v>0</v>
          </cell>
          <cell r="AY680" t="str">
            <v>NB</v>
          </cell>
        </row>
        <row r="681">
          <cell r="AM681">
            <v>-41640</v>
          </cell>
          <cell r="AP681" t="str">
            <v>Véhicules usagés</v>
          </cell>
          <cell r="AQ681" t="str">
            <v>Ventes au Gros</v>
          </cell>
          <cell r="AR681" t="str">
            <v>$</v>
          </cell>
          <cell r="AS681" t="str">
            <v>Oui</v>
          </cell>
          <cell r="AW681">
            <v>6</v>
          </cell>
          <cell r="AY681" t="str">
            <v>NB</v>
          </cell>
        </row>
        <row r="682">
          <cell r="AM682">
            <v>0</v>
          </cell>
          <cell r="AP682">
            <v>0</v>
          </cell>
          <cell r="AQ682">
            <v>0</v>
          </cell>
          <cell r="AR682" t="str">
            <v>$</v>
          </cell>
          <cell r="AS682">
            <v>0</v>
          </cell>
          <cell r="AW682">
            <v>0</v>
          </cell>
          <cell r="AY682" t="str">
            <v>NB</v>
          </cell>
        </row>
        <row r="683">
          <cell r="AM683">
            <v>0</v>
          </cell>
          <cell r="AP683" t="str">
            <v>Véhicules usagés</v>
          </cell>
          <cell r="AQ683" t="str">
            <v>Ventes au Gros</v>
          </cell>
          <cell r="AR683" t="str">
            <v>$</v>
          </cell>
          <cell r="AS683" t="str">
            <v>Oui</v>
          </cell>
          <cell r="AW683">
            <v>0</v>
          </cell>
          <cell r="AY683" t="str">
            <v>NB</v>
          </cell>
        </row>
        <row r="684">
          <cell r="AM684">
            <v>-713153.91000000015</v>
          </cell>
          <cell r="AP684" t="str">
            <v>Véhicules usagés</v>
          </cell>
          <cell r="AQ684" t="str">
            <v>Non Certifié</v>
          </cell>
          <cell r="AR684" t="str">
            <v>$</v>
          </cell>
          <cell r="AS684" t="str">
            <v>Oui</v>
          </cell>
          <cell r="AW684">
            <v>18</v>
          </cell>
          <cell r="AY684" t="str">
            <v>NB</v>
          </cell>
        </row>
        <row r="685">
          <cell r="AM685">
            <v>0</v>
          </cell>
          <cell r="AP685" t="e">
            <v>#N/A</v>
          </cell>
          <cell r="AQ685" t="e">
            <v>#N/A</v>
          </cell>
          <cell r="AR685" t="str">
            <v>$</v>
          </cell>
          <cell r="AS685" t="e">
            <v>#N/A</v>
          </cell>
          <cell r="AW685">
            <v>0</v>
          </cell>
          <cell r="AY685" t="str">
            <v>NB</v>
          </cell>
        </row>
        <row r="686">
          <cell r="AM686">
            <v>-163049.32</v>
          </cell>
          <cell r="AP686">
            <v>0</v>
          </cell>
          <cell r="AQ686">
            <v>0</v>
          </cell>
          <cell r="AR686" t="str">
            <v>$</v>
          </cell>
          <cell r="AS686">
            <v>0</v>
          </cell>
          <cell r="AW686">
            <v>4</v>
          </cell>
          <cell r="AY686" t="str">
            <v>NB</v>
          </cell>
        </row>
        <row r="687">
          <cell r="AM687">
            <v>0</v>
          </cell>
          <cell r="AP687" t="e">
            <v>#N/A</v>
          </cell>
          <cell r="AQ687" t="e">
            <v>#N/A</v>
          </cell>
          <cell r="AR687" t="str">
            <v>$</v>
          </cell>
          <cell r="AS687" t="e">
            <v>#N/A</v>
          </cell>
          <cell r="AW687">
            <v>0</v>
          </cell>
          <cell r="AY687" t="str">
            <v>NB</v>
          </cell>
        </row>
        <row r="688">
          <cell r="AM688">
            <v>0</v>
          </cell>
          <cell r="AP688">
            <v>0</v>
          </cell>
          <cell r="AQ688">
            <v>0</v>
          </cell>
          <cell r="AR688" t="str">
            <v>$</v>
          </cell>
          <cell r="AS688">
            <v>0</v>
          </cell>
          <cell r="AW688">
            <v>0</v>
          </cell>
          <cell r="AY688" t="str">
            <v>NB</v>
          </cell>
        </row>
        <row r="689">
          <cell r="AM689">
            <v>0</v>
          </cell>
          <cell r="AP689">
            <v>0</v>
          </cell>
          <cell r="AQ689">
            <v>0</v>
          </cell>
          <cell r="AR689" t="str">
            <v>$</v>
          </cell>
          <cell r="AS689">
            <v>0</v>
          </cell>
          <cell r="AW689">
            <v>0</v>
          </cell>
          <cell r="AY689" t="str">
            <v>NB</v>
          </cell>
        </row>
        <row r="690">
          <cell r="AM690">
            <v>0</v>
          </cell>
          <cell r="AP690">
            <v>0</v>
          </cell>
          <cell r="AQ690">
            <v>0</v>
          </cell>
          <cell r="AR690" t="str">
            <v>$</v>
          </cell>
          <cell r="AS690">
            <v>0</v>
          </cell>
          <cell r="AW690">
            <v>0</v>
          </cell>
          <cell r="AY690" t="str">
            <v>NB</v>
          </cell>
        </row>
        <row r="691">
          <cell r="AM691">
            <v>-541231</v>
          </cell>
          <cell r="AP691" t="str">
            <v>Véhicules usagés</v>
          </cell>
          <cell r="AQ691" t="str">
            <v>Ventes au Gros</v>
          </cell>
          <cell r="AR691" t="str">
            <v>$</v>
          </cell>
          <cell r="AS691" t="str">
            <v>Oui</v>
          </cell>
          <cell r="AW691">
            <v>15</v>
          </cell>
          <cell r="AY691" t="str">
            <v>NB</v>
          </cell>
        </row>
        <row r="692">
          <cell r="AM692">
            <v>-1772100</v>
          </cell>
          <cell r="AP692" t="str">
            <v>Wholesale autres</v>
          </cell>
          <cell r="AQ692" t="str">
            <v>Wholesale Luxueux</v>
          </cell>
          <cell r="AR692" t="str">
            <v>$</v>
          </cell>
          <cell r="AS692" t="str">
            <v>Oui</v>
          </cell>
          <cell r="AW692">
            <v>11</v>
          </cell>
          <cell r="AY692" t="str">
            <v>NB</v>
          </cell>
        </row>
        <row r="693">
          <cell r="AM693">
            <v>0</v>
          </cell>
          <cell r="AP693" t="str">
            <v>Wholesale autres</v>
          </cell>
          <cell r="AQ693" t="str">
            <v>Wholesale Luxueux</v>
          </cell>
          <cell r="AR693" t="str">
            <v>$</v>
          </cell>
          <cell r="AS693" t="str">
            <v>Oui</v>
          </cell>
          <cell r="AW693">
            <v>0</v>
          </cell>
          <cell r="AY693" t="str">
            <v>NB</v>
          </cell>
        </row>
        <row r="694">
          <cell r="AM694">
            <v>0</v>
          </cell>
          <cell r="AP694">
            <v>0</v>
          </cell>
          <cell r="AQ694">
            <v>0</v>
          </cell>
          <cell r="AR694" t="str">
            <v>$</v>
          </cell>
          <cell r="AS694">
            <v>0</v>
          </cell>
          <cell r="AW694">
            <v>0</v>
          </cell>
          <cell r="AY694" t="str">
            <v>NB</v>
          </cell>
        </row>
        <row r="695">
          <cell r="AM695">
            <v>0</v>
          </cell>
          <cell r="AP695" t="str">
            <v>Véhicules usagés</v>
          </cell>
          <cell r="AQ695" t="str">
            <v>Rev. Protections</v>
          </cell>
          <cell r="AR695" t="str">
            <v>$</v>
          </cell>
          <cell r="AS695" t="str">
            <v>Oui</v>
          </cell>
          <cell r="AW695">
            <v>0</v>
          </cell>
          <cell r="AY695" t="str">
            <v>NB</v>
          </cell>
        </row>
        <row r="696">
          <cell r="AM696">
            <v>-8535</v>
          </cell>
          <cell r="AP696" t="str">
            <v>Véhicules usagés</v>
          </cell>
          <cell r="AQ696" t="str">
            <v>Rev. Protections</v>
          </cell>
          <cell r="AR696" t="str">
            <v>$</v>
          </cell>
          <cell r="AS696" t="str">
            <v>Oui</v>
          </cell>
          <cell r="AW696">
            <v>3</v>
          </cell>
          <cell r="AY696" t="str">
            <v>NB</v>
          </cell>
        </row>
        <row r="697">
          <cell r="AM697">
            <v>0</v>
          </cell>
          <cell r="AP697" t="e">
            <v>#N/A</v>
          </cell>
          <cell r="AQ697" t="e">
            <v>#N/A</v>
          </cell>
          <cell r="AR697" t="str">
            <v>$</v>
          </cell>
          <cell r="AS697" t="e">
            <v>#N/A</v>
          </cell>
          <cell r="AW697">
            <v>0</v>
          </cell>
          <cell r="AY697" t="str">
            <v>NB</v>
          </cell>
        </row>
        <row r="698">
          <cell r="AM698">
            <v>-998</v>
          </cell>
          <cell r="AP698" t="str">
            <v>Véhicules usagés</v>
          </cell>
          <cell r="AQ698" t="str">
            <v>Rev. Protections</v>
          </cell>
          <cell r="AR698" t="str">
            <v>$</v>
          </cell>
          <cell r="AS698" t="str">
            <v>Oui</v>
          </cell>
          <cell r="AW698">
            <v>2</v>
          </cell>
          <cell r="AY698" t="str">
            <v>NB</v>
          </cell>
        </row>
        <row r="699">
          <cell r="AM699">
            <v>0</v>
          </cell>
          <cell r="AP699" t="str">
            <v>Véhicules usagés</v>
          </cell>
          <cell r="AQ699" t="str">
            <v>Rev. Protections</v>
          </cell>
          <cell r="AR699" t="str">
            <v>$</v>
          </cell>
          <cell r="AS699" t="str">
            <v>Oui</v>
          </cell>
          <cell r="AW699">
            <v>0</v>
          </cell>
          <cell r="AY699" t="str">
            <v>NB</v>
          </cell>
        </row>
        <row r="700">
          <cell r="AM700">
            <v>0</v>
          </cell>
          <cell r="AP700" t="str">
            <v>Véhicules usagés</v>
          </cell>
          <cell r="AQ700" t="str">
            <v>Rev. Protections</v>
          </cell>
          <cell r="AR700" t="str">
            <v>$</v>
          </cell>
          <cell r="AS700" t="str">
            <v>Oui</v>
          </cell>
          <cell r="AW700">
            <v>0</v>
          </cell>
          <cell r="AY700" t="str">
            <v>NB</v>
          </cell>
        </row>
        <row r="701">
          <cell r="AM701">
            <v>0</v>
          </cell>
          <cell r="AP701" t="str">
            <v>Wholesale autres</v>
          </cell>
          <cell r="AQ701" t="str">
            <v>Wholesale USA</v>
          </cell>
          <cell r="AR701" t="str">
            <v>$</v>
          </cell>
          <cell r="AS701" t="str">
            <v>Oui</v>
          </cell>
          <cell r="AW701">
            <v>0</v>
          </cell>
          <cell r="AY701" t="str">
            <v>NB</v>
          </cell>
        </row>
        <row r="702">
          <cell r="AM702">
            <v>0</v>
          </cell>
          <cell r="AP702" t="str">
            <v>Wholesale autres</v>
          </cell>
          <cell r="AQ702" t="str">
            <v>Wholesale USA</v>
          </cell>
          <cell r="AR702" t="str">
            <v>$</v>
          </cell>
          <cell r="AS702" t="str">
            <v>Oui</v>
          </cell>
          <cell r="AW702">
            <v>0</v>
          </cell>
          <cell r="AY702" t="str">
            <v>NB</v>
          </cell>
        </row>
        <row r="703">
          <cell r="AM703">
            <v>-2039494.8400000036</v>
          </cell>
          <cell r="AP703" t="str">
            <v>Wholesale autres</v>
          </cell>
          <cell r="AQ703" t="str">
            <v>Wholesale USA</v>
          </cell>
          <cell r="AR703" t="str">
            <v>$</v>
          </cell>
          <cell r="AS703" t="str">
            <v>Oui</v>
          </cell>
          <cell r="AW703">
            <v>45</v>
          </cell>
          <cell r="AY703" t="str">
            <v>NB</v>
          </cell>
        </row>
        <row r="704">
          <cell r="AM704">
            <v>-1498237.75</v>
          </cell>
          <cell r="AP704">
            <v>0</v>
          </cell>
          <cell r="AQ704">
            <v>0</v>
          </cell>
          <cell r="AR704" t="str">
            <v>$</v>
          </cell>
          <cell r="AS704">
            <v>0</v>
          </cell>
          <cell r="AW704">
            <v>25</v>
          </cell>
          <cell r="AY704" t="str">
            <v>NB</v>
          </cell>
        </row>
        <row r="705">
          <cell r="AM705">
            <v>-821062</v>
          </cell>
          <cell r="AP705" t="str">
            <v>Wholesale autres</v>
          </cell>
          <cell r="AQ705" t="str">
            <v>Wholesale Canada</v>
          </cell>
          <cell r="AR705" t="str">
            <v>$</v>
          </cell>
          <cell r="AS705" t="str">
            <v>Oui</v>
          </cell>
          <cell r="AW705">
            <v>21</v>
          </cell>
          <cell r="AY705" t="str">
            <v>NB</v>
          </cell>
        </row>
        <row r="706">
          <cell r="AM706">
            <v>-53822.520000000019</v>
          </cell>
          <cell r="AP706" t="str">
            <v>Service</v>
          </cell>
          <cell r="AQ706" t="str">
            <v>M/O Client</v>
          </cell>
          <cell r="AR706" t="str">
            <v>$</v>
          </cell>
          <cell r="AS706" t="str">
            <v>Oui</v>
          </cell>
          <cell r="AW706">
            <v>223</v>
          </cell>
          <cell r="AY706" t="str">
            <v>NB</v>
          </cell>
        </row>
        <row r="707">
          <cell r="AM707">
            <v>0</v>
          </cell>
          <cell r="AP707" t="e">
            <v>#N/A</v>
          </cell>
          <cell r="AQ707" t="e">
            <v>#N/A</v>
          </cell>
          <cell r="AR707" t="str">
            <v>$</v>
          </cell>
          <cell r="AS707" t="e">
            <v>#N/A</v>
          </cell>
          <cell r="AW707">
            <v>0</v>
          </cell>
          <cell r="AY707" t="str">
            <v>NB</v>
          </cell>
        </row>
        <row r="708">
          <cell r="AM708">
            <v>0</v>
          </cell>
          <cell r="AP708" t="e">
            <v>#N/A</v>
          </cell>
          <cell r="AQ708" t="e">
            <v>#N/A</v>
          </cell>
          <cell r="AR708" t="str">
            <v>$</v>
          </cell>
          <cell r="AS708" t="e">
            <v>#N/A</v>
          </cell>
          <cell r="AW708">
            <v>0</v>
          </cell>
          <cell r="AY708" t="str">
            <v>NB</v>
          </cell>
        </row>
        <row r="709">
          <cell r="AM709">
            <v>0</v>
          </cell>
          <cell r="AP709" t="e">
            <v>#N/A</v>
          </cell>
          <cell r="AQ709" t="e">
            <v>#N/A</v>
          </cell>
          <cell r="AR709" t="str">
            <v>$</v>
          </cell>
          <cell r="AS709" t="e">
            <v>#N/A</v>
          </cell>
          <cell r="AW709">
            <v>0</v>
          </cell>
          <cell r="AY709" t="str">
            <v>NB</v>
          </cell>
        </row>
        <row r="710">
          <cell r="AM710">
            <v>-1491.3999999999996</v>
          </cell>
          <cell r="AP710" t="str">
            <v>Service</v>
          </cell>
          <cell r="AQ710" t="str">
            <v>M/O Client</v>
          </cell>
          <cell r="AR710" t="str">
            <v>$</v>
          </cell>
          <cell r="AS710" t="str">
            <v>Oui</v>
          </cell>
          <cell r="AW710">
            <v>12</v>
          </cell>
          <cell r="AY710" t="str">
            <v>NB</v>
          </cell>
        </row>
        <row r="711">
          <cell r="AM711">
            <v>0</v>
          </cell>
          <cell r="AP711" t="e">
            <v>#N/A</v>
          </cell>
          <cell r="AQ711" t="e">
            <v>#N/A</v>
          </cell>
          <cell r="AR711" t="str">
            <v>$</v>
          </cell>
          <cell r="AS711" t="e">
            <v>#N/A</v>
          </cell>
          <cell r="AW711">
            <v>0</v>
          </cell>
          <cell r="AY711" t="str">
            <v>NB</v>
          </cell>
        </row>
        <row r="712">
          <cell r="AM712">
            <v>-23700</v>
          </cell>
          <cell r="AP712" t="str">
            <v>SAAQ</v>
          </cell>
          <cell r="AQ712" t="str">
            <v>Inspection - Véhicules Légers</v>
          </cell>
          <cell r="AR712" t="str">
            <v>$</v>
          </cell>
          <cell r="AS712" t="str">
            <v>Oui</v>
          </cell>
          <cell r="AW712">
            <v>193</v>
          </cell>
          <cell r="AY712" t="str">
            <v>NB</v>
          </cell>
        </row>
        <row r="713">
          <cell r="AM713">
            <v>0</v>
          </cell>
          <cell r="AP713" t="e">
            <v>#N/A</v>
          </cell>
          <cell r="AQ713" t="e">
            <v>#N/A</v>
          </cell>
          <cell r="AR713" t="str">
            <v>$</v>
          </cell>
          <cell r="AS713" t="e">
            <v>#N/A</v>
          </cell>
          <cell r="AW713">
            <v>0</v>
          </cell>
          <cell r="AY713" t="str">
            <v>NB</v>
          </cell>
        </row>
        <row r="714">
          <cell r="AM714">
            <v>0</v>
          </cell>
          <cell r="AP714" t="str">
            <v>SAAQ</v>
          </cell>
          <cell r="AQ714" t="str">
            <v>Inspection - Véhicules Interne</v>
          </cell>
          <cell r="AR714" t="str">
            <v>$</v>
          </cell>
          <cell r="AS714" t="str">
            <v>Oui</v>
          </cell>
          <cell r="AW714">
            <v>0</v>
          </cell>
          <cell r="AY714" t="str">
            <v>NB</v>
          </cell>
        </row>
        <row r="715">
          <cell r="AM715">
            <v>-69525</v>
          </cell>
          <cell r="AP715" t="str">
            <v>SAAQ</v>
          </cell>
          <cell r="AQ715" t="str">
            <v>Inspection - Véhicules Lourds</v>
          </cell>
          <cell r="AR715" t="str">
            <v>$</v>
          </cell>
          <cell r="AS715" t="str">
            <v>Oui</v>
          </cell>
          <cell r="AW715">
            <v>393</v>
          </cell>
          <cell r="AY715" t="str">
            <v>NB</v>
          </cell>
        </row>
        <row r="716">
          <cell r="AM716">
            <v>0</v>
          </cell>
          <cell r="AP716" t="e">
            <v>#N/A</v>
          </cell>
          <cell r="AQ716" t="e">
            <v>#N/A</v>
          </cell>
          <cell r="AR716" t="str">
            <v>$</v>
          </cell>
          <cell r="AS716" t="e">
            <v>#N/A</v>
          </cell>
          <cell r="AW716">
            <v>0</v>
          </cell>
          <cell r="AY716" t="str">
            <v>NB</v>
          </cell>
        </row>
        <row r="717">
          <cell r="AM717">
            <v>-40258.299999999988</v>
          </cell>
          <cell r="AP717" t="str">
            <v>Service</v>
          </cell>
          <cell r="AQ717" t="str">
            <v>M/O Garantie</v>
          </cell>
          <cell r="AR717" t="str">
            <v>$</v>
          </cell>
          <cell r="AS717" t="str">
            <v>Oui</v>
          </cell>
          <cell r="AW717">
            <v>249</v>
          </cell>
          <cell r="AY717" t="str">
            <v>NB</v>
          </cell>
        </row>
        <row r="718">
          <cell r="AM718">
            <v>-47432.299999999988</v>
          </cell>
          <cell r="AP718" t="str">
            <v>Service</v>
          </cell>
          <cell r="AQ718" t="str">
            <v>M/O Interne</v>
          </cell>
          <cell r="AR718" t="str">
            <v>$</v>
          </cell>
          <cell r="AS718" t="str">
            <v>Oui</v>
          </cell>
          <cell r="AW718">
            <v>278</v>
          </cell>
          <cell r="AY718" t="str">
            <v>NB</v>
          </cell>
        </row>
        <row r="719">
          <cell r="AM719">
            <v>0</v>
          </cell>
          <cell r="AP719" t="e">
            <v>#N/A</v>
          </cell>
          <cell r="AQ719" t="e">
            <v>#N/A</v>
          </cell>
          <cell r="AR719" t="str">
            <v>$</v>
          </cell>
          <cell r="AS719" t="e">
            <v>#N/A</v>
          </cell>
          <cell r="AW719">
            <v>0</v>
          </cell>
          <cell r="AY719" t="str">
            <v>NB</v>
          </cell>
        </row>
        <row r="720">
          <cell r="AM720">
            <v>-630.5</v>
          </cell>
          <cell r="AP720" t="str">
            <v>SAAQ</v>
          </cell>
          <cell r="AQ720" t="str">
            <v>Inspection - Véhicules Interne</v>
          </cell>
          <cell r="AR720" t="str">
            <v>$</v>
          </cell>
          <cell r="AS720" t="str">
            <v>Oui</v>
          </cell>
          <cell r="AW720">
            <v>5</v>
          </cell>
          <cell r="AY720" t="str">
            <v>NB</v>
          </cell>
        </row>
        <row r="721">
          <cell r="AM721">
            <v>-14744.579999999987</v>
          </cell>
          <cell r="AP721" t="str">
            <v>Service</v>
          </cell>
          <cell r="AQ721" t="str">
            <v>M/O Interne</v>
          </cell>
          <cell r="AR721" t="str">
            <v>$</v>
          </cell>
          <cell r="AS721" t="str">
            <v>Oui</v>
          </cell>
          <cell r="AW721">
            <v>100</v>
          </cell>
          <cell r="AY721" t="str">
            <v>NB</v>
          </cell>
        </row>
        <row r="722">
          <cell r="AM722">
            <v>0</v>
          </cell>
          <cell r="AP722" t="e">
            <v>#N/A</v>
          </cell>
          <cell r="AQ722" t="e">
            <v>#N/A</v>
          </cell>
          <cell r="AR722" t="str">
            <v>$</v>
          </cell>
          <cell r="AS722" t="e">
            <v>#N/A</v>
          </cell>
          <cell r="AW722">
            <v>0</v>
          </cell>
          <cell r="AY722" t="str">
            <v>NB</v>
          </cell>
        </row>
        <row r="723">
          <cell r="AM723">
            <v>0</v>
          </cell>
          <cell r="AP723">
            <v>0</v>
          </cell>
          <cell r="AQ723">
            <v>0</v>
          </cell>
          <cell r="AR723" t="str">
            <v>$</v>
          </cell>
          <cell r="AS723">
            <v>0</v>
          </cell>
          <cell r="AW723">
            <v>0</v>
          </cell>
          <cell r="AY723" t="str">
            <v>NB</v>
          </cell>
        </row>
        <row r="724">
          <cell r="AM724">
            <v>0</v>
          </cell>
          <cell r="AP724" t="e">
            <v>#N/A</v>
          </cell>
          <cell r="AQ724" t="e">
            <v>#N/A</v>
          </cell>
          <cell r="AR724" t="str">
            <v>$</v>
          </cell>
          <cell r="AS724" t="e">
            <v>#N/A</v>
          </cell>
          <cell r="AW724">
            <v>0</v>
          </cell>
          <cell r="AY724" t="str">
            <v>NB</v>
          </cell>
        </row>
        <row r="725">
          <cell r="AM725">
            <v>-10140.789999999994</v>
          </cell>
          <cell r="AP725" t="str">
            <v>Service</v>
          </cell>
          <cell r="AQ725" t="str">
            <v>Sous-traitement</v>
          </cell>
          <cell r="AR725" t="str">
            <v>$</v>
          </cell>
          <cell r="AS725" t="str">
            <v>Oui</v>
          </cell>
          <cell r="AW725">
            <v>34</v>
          </cell>
          <cell r="AY725" t="str">
            <v>NB</v>
          </cell>
        </row>
        <row r="726">
          <cell r="AM726">
            <v>0</v>
          </cell>
          <cell r="AP726" t="str">
            <v>SAAQ</v>
          </cell>
          <cell r="AQ726" t="str">
            <v>Inspection - Véhicules Interne</v>
          </cell>
          <cell r="AR726" t="str">
            <v>$</v>
          </cell>
          <cell r="AS726" t="str">
            <v>Oui</v>
          </cell>
          <cell r="AW726">
            <v>0</v>
          </cell>
          <cell r="AY726" t="str">
            <v>NB</v>
          </cell>
        </row>
        <row r="727">
          <cell r="AM727">
            <v>0</v>
          </cell>
          <cell r="AP727" t="e">
            <v>#N/A</v>
          </cell>
          <cell r="AQ727" t="e">
            <v>#N/A</v>
          </cell>
          <cell r="AR727" t="str">
            <v>$</v>
          </cell>
          <cell r="AS727" t="e">
            <v>#N/A</v>
          </cell>
          <cell r="AW727">
            <v>0</v>
          </cell>
          <cell r="AY727" t="str">
            <v>NB</v>
          </cell>
        </row>
        <row r="728">
          <cell r="AM728">
            <v>-52184.369999999995</v>
          </cell>
          <cell r="AP728" t="str">
            <v>Pièces</v>
          </cell>
          <cell r="AQ728" t="str">
            <v>Pièces Ro Clients</v>
          </cell>
          <cell r="AR728" t="str">
            <v>$</v>
          </cell>
          <cell r="AS728" t="str">
            <v>Oui</v>
          </cell>
          <cell r="AW728">
            <v>174</v>
          </cell>
          <cell r="AY728" t="str">
            <v>NB</v>
          </cell>
        </row>
        <row r="729">
          <cell r="AM729">
            <v>0</v>
          </cell>
          <cell r="AP729" t="str">
            <v>Pièces</v>
          </cell>
          <cell r="AQ729" t="str">
            <v>Pièces Ro Clients</v>
          </cell>
          <cell r="AR729" t="str">
            <v>$</v>
          </cell>
          <cell r="AS729" t="str">
            <v>Oui</v>
          </cell>
          <cell r="AW729">
            <v>0</v>
          </cell>
          <cell r="AY729" t="str">
            <v>NB</v>
          </cell>
        </row>
        <row r="730">
          <cell r="AM730">
            <v>0</v>
          </cell>
          <cell r="AP730">
            <v>0</v>
          </cell>
          <cell r="AQ730">
            <v>0</v>
          </cell>
          <cell r="AR730" t="str">
            <v>$</v>
          </cell>
          <cell r="AS730">
            <v>0</v>
          </cell>
          <cell r="AW730">
            <v>0</v>
          </cell>
          <cell r="AY730" t="str">
            <v>NB</v>
          </cell>
        </row>
        <row r="731">
          <cell r="AM731">
            <v>0</v>
          </cell>
          <cell r="AP731">
            <v>0</v>
          </cell>
          <cell r="AQ731">
            <v>0</v>
          </cell>
          <cell r="AR731" t="str">
            <v>$</v>
          </cell>
          <cell r="AS731">
            <v>0</v>
          </cell>
          <cell r="AW731">
            <v>0</v>
          </cell>
          <cell r="AY731" t="str">
            <v>NB</v>
          </cell>
        </row>
        <row r="732">
          <cell r="AM732">
            <v>0</v>
          </cell>
          <cell r="AP732">
            <v>0</v>
          </cell>
          <cell r="AQ732">
            <v>0</v>
          </cell>
          <cell r="AR732" t="str">
            <v>$</v>
          </cell>
          <cell r="AS732">
            <v>0</v>
          </cell>
          <cell r="AW732">
            <v>0</v>
          </cell>
          <cell r="AY732" t="str">
            <v>NB</v>
          </cell>
        </row>
        <row r="733">
          <cell r="AM733">
            <v>0</v>
          </cell>
          <cell r="AP733" t="e">
            <v>#N/A</v>
          </cell>
          <cell r="AQ733" t="e">
            <v>#N/A</v>
          </cell>
          <cell r="AR733" t="str">
            <v>$</v>
          </cell>
          <cell r="AS733" t="e">
            <v>#N/A</v>
          </cell>
          <cell r="AW733">
            <v>0</v>
          </cell>
          <cell r="AY733" t="str">
            <v>NB</v>
          </cell>
        </row>
        <row r="734">
          <cell r="AM734">
            <v>-2453.7099999999991</v>
          </cell>
          <cell r="AP734" t="str">
            <v>Service</v>
          </cell>
          <cell r="AQ734" t="str">
            <v>Sous-traitement</v>
          </cell>
          <cell r="AR734" t="str">
            <v>$</v>
          </cell>
          <cell r="AS734" t="str">
            <v>Oui</v>
          </cell>
          <cell r="AW734">
            <v>235</v>
          </cell>
          <cell r="AY734" t="str">
            <v>NB</v>
          </cell>
        </row>
        <row r="735">
          <cell r="AM735">
            <v>-9694.8499999999985</v>
          </cell>
          <cell r="AP735" t="str">
            <v>Carrosserie</v>
          </cell>
          <cell r="AQ735" t="str">
            <v>Carrosserie Clients</v>
          </cell>
          <cell r="AR735" t="str">
            <v>$</v>
          </cell>
          <cell r="AS735" t="str">
            <v>Oui</v>
          </cell>
          <cell r="AW735">
            <v>16</v>
          </cell>
          <cell r="AY735" t="str">
            <v>NB</v>
          </cell>
        </row>
        <row r="736">
          <cell r="AM736">
            <v>-9663.0400000000045</v>
          </cell>
          <cell r="AP736" t="str">
            <v>Carrosserie</v>
          </cell>
          <cell r="AQ736" t="str">
            <v>Carrosserie Concessions</v>
          </cell>
          <cell r="AR736" t="str">
            <v>$</v>
          </cell>
          <cell r="AS736" t="str">
            <v>Oui</v>
          </cell>
          <cell r="AW736">
            <v>19</v>
          </cell>
          <cell r="AY736" t="str">
            <v>NB</v>
          </cell>
        </row>
        <row r="737">
          <cell r="AM737">
            <v>-23294.030000000028</v>
          </cell>
          <cell r="AP737" t="str">
            <v>Carrosserie</v>
          </cell>
          <cell r="AQ737" t="str">
            <v>Carrosserie Clients</v>
          </cell>
          <cell r="AR737" t="str">
            <v>$</v>
          </cell>
          <cell r="AS737" t="str">
            <v>Oui</v>
          </cell>
          <cell r="AW737">
            <v>27</v>
          </cell>
          <cell r="AY737" t="str">
            <v>NB</v>
          </cell>
        </row>
        <row r="738">
          <cell r="AM738">
            <v>-23863.420000000006</v>
          </cell>
          <cell r="AP738" t="str">
            <v>Carrosserie</v>
          </cell>
          <cell r="AQ738" t="str">
            <v>Carrosserie Concessions</v>
          </cell>
          <cell r="AR738" t="str">
            <v>$</v>
          </cell>
          <cell r="AS738" t="str">
            <v>Oui</v>
          </cell>
          <cell r="AW738">
            <v>21</v>
          </cell>
          <cell r="AY738" t="str">
            <v>NB</v>
          </cell>
        </row>
        <row r="739">
          <cell r="AM739">
            <v>-2687.33</v>
          </cell>
          <cell r="AP739" t="str">
            <v>Carrosserie</v>
          </cell>
          <cell r="AQ739" t="str">
            <v>Carrosserie Clients</v>
          </cell>
          <cell r="AR739" t="str">
            <v>$</v>
          </cell>
          <cell r="AS739" t="str">
            <v>Oui</v>
          </cell>
          <cell r="AW739">
            <v>18</v>
          </cell>
          <cell r="AY739" t="str">
            <v>NB</v>
          </cell>
        </row>
        <row r="740">
          <cell r="AM740">
            <v>0</v>
          </cell>
          <cell r="AP740" t="str">
            <v>Carrosserie</v>
          </cell>
          <cell r="AQ740" t="str">
            <v>Carrosserie Concessions</v>
          </cell>
          <cell r="AR740" t="str">
            <v>$</v>
          </cell>
          <cell r="AS740" t="str">
            <v>Oui</v>
          </cell>
          <cell r="AW740">
            <v>0</v>
          </cell>
          <cell r="AY740" t="str">
            <v>NB</v>
          </cell>
        </row>
        <row r="741">
          <cell r="AM741">
            <v>4928.5</v>
          </cell>
          <cell r="AP741" t="str">
            <v>Carrosserie</v>
          </cell>
          <cell r="AQ741" t="str">
            <v>Carrosserie Concessions</v>
          </cell>
          <cell r="AR741" t="str">
            <v>$</v>
          </cell>
          <cell r="AS741" t="str">
            <v>Oui</v>
          </cell>
          <cell r="AW741">
            <v>-1</v>
          </cell>
          <cell r="AY741" t="str">
            <v>NB</v>
          </cell>
        </row>
        <row r="742">
          <cell r="AM742">
            <v>0</v>
          </cell>
          <cell r="AP742" t="str">
            <v>Carrosserie</v>
          </cell>
          <cell r="AQ742" t="str">
            <v>Carrosserie Interne</v>
          </cell>
          <cell r="AR742" t="str">
            <v>$</v>
          </cell>
          <cell r="AS742" t="str">
            <v>Oui</v>
          </cell>
          <cell r="AW742">
            <v>0</v>
          </cell>
          <cell r="AY742" t="str">
            <v>NB</v>
          </cell>
        </row>
        <row r="743">
          <cell r="AM743">
            <v>-4635.59</v>
          </cell>
          <cell r="AP743" t="str">
            <v>Carrosserie</v>
          </cell>
          <cell r="AQ743" t="str">
            <v>Carrosserie Interne</v>
          </cell>
          <cell r="AR743" t="str">
            <v>$</v>
          </cell>
          <cell r="AS743" t="str">
            <v>Oui</v>
          </cell>
          <cell r="AW743">
            <v>8</v>
          </cell>
          <cell r="AY743" t="str">
            <v>NB</v>
          </cell>
        </row>
        <row r="744">
          <cell r="AM744">
            <v>-949.5</v>
          </cell>
          <cell r="AP744" t="str">
            <v>Carrosserie</v>
          </cell>
          <cell r="AQ744" t="str">
            <v>Carrosserie Interne</v>
          </cell>
          <cell r="AR744" t="str">
            <v>$</v>
          </cell>
          <cell r="AS744" t="str">
            <v>Oui</v>
          </cell>
          <cell r="AW744">
            <v>4</v>
          </cell>
          <cell r="AY744" t="str">
            <v>NB</v>
          </cell>
        </row>
        <row r="745">
          <cell r="AM745">
            <v>0</v>
          </cell>
          <cell r="AP745" t="str">
            <v>Carrosserie</v>
          </cell>
          <cell r="AQ745" t="str">
            <v>Carrosserie Interne</v>
          </cell>
          <cell r="AR745" t="str">
            <v>$</v>
          </cell>
          <cell r="AS745" t="str">
            <v>Oui</v>
          </cell>
          <cell r="AW745">
            <v>0</v>
          </cell>
          <cell r="AY745" t="str">
            <v>NB</v>
          </cell>
        </row>
        <row r="746">
          <cell r="AM746">
            <v>0</v>
          </cell>
          <cell r="AP746" t="str">
            <v>Carrosserie</v>
          </cell>
          <cell r="AQ746" t="str">
            <v>Ajustement M/O Carrosserie</v>
          </cell>
          <cell r="AR746" t="str">
            <v>$</v>
          </cell>
          <cell r="AS746" t="str">
            <v>Oui</v>
          </cell>
          <cell r="AW746">
            <v>0</v>
          </cell>
          <cell r="AY746" t="str">
            <v>NB</v>
          </cell>
        </row>
        <row r="747">
          <cell r="AM747">
            <v>-43966.149999999965</v>
          </cell>
          <cell r="AP747" t="str">
            <v>Carrosserie</v>
          </cell>
          <cell r="AQ747" t="str">
            <v>Carrosserie Clients</v>
          </cell>
          <cell r="AR747" t="str">
            <v>$</v>
          </cell>
          <cell r="AS747" t="str">
            <v>Oui</v>
          </cell>
          <cell r="AW747">
            <v>25</v>
          </cell>
          <cell r="AY747" t="str">
            <v>NB</v>
          </cell>
        </row>
        <row r="748">
          <cell r="AM748">
            <v>-704.70999999999992</v>
          </cell>
          <cell r="AP748" t="str">
            <v>Carrosserie</v>
          </cell>
          <cell r="AQ748" t="str">
            <v>Carrosserie Interne</v>
          </cell>
          <cell r="AR748" t="str">
            <v>$</v>
          </cell>
          <cell r="AS748" t="str">
            <v>Oui</v>
          </cell>
          <cell r="AW748">
            <v>5</v>
          </cell>
          <cell r="AY748" t="str">
            <v>NB</v>
          </cell>
        </row>
        <row r="749">
          <cell r="AM749">
            <v>-660</v>
          </cell>
          <cell r="AP749" t="str">
            <v>Carrosserie</v>
          </cell>
          <cell r="AQ749" t="str">
            <v>Carrosserie Concessions</v>
          </cell>
          <cell r="AR749" t="str">
            <v>$</v>
          </cell>
          <cell r="AS749" t="str">
            <v>Oui</v>
          </cell>
          <cell r="AW749">
            <v>2</v>
          </cell>
          <cell r="AY749" t="str">
            <v>NB</v>
          </cell>
        </row>
        <row r="750">
          <cell r="AM750">
            <v>0</v>
          </cell>
          <cell r="AP750" t="str">
            <v>Carrosserie</v>
          </cell>
          <cell r="AQ750" t="str">
            <v>Carrosserie Clients</v>
          </cell>
          <cell r="AR750" t="str">
            <v>$</v>
          </cell>
          <cell r="AS750" t="str">
            <v>Oui</v>
          </cell>
          <cell r="AW750">
            <v>0</v>
          </cell>
          <cell r="AY750" t="str">
            <v>NB</v>
          </cell>
        </row>
        <row r="751">
          <cell r="AM751">
            <v>0</v>
          </cell>
          <cell r="AP751" t="str">
            <v>Carrosserie</v>
          </cell>
          <cell r="AQ751" t="str">
            <v>Carrosserie Interne</v>
          </cell>
          <cell r="AR751" t="str">
            <v>$</v>
          </cell>
          <cell r="AS751" t="str">
            <v>Oui</v>
          </cell>
          <cell r="AW751">
            <v>0</v>
          </cell>
          <cell r="AY751" t="str">
            <v>NB</v>
          </cell>
        </row>
        <row r="752">
          <cell r="AM752">
            <v>0</v>
          </cell>
          <cell r="AP752" t="str">
            <v>Carrosserie</v>
          </cell>
          <cell r="AQ752" t="str">
            <v>Carrosserie Concessions</v>
          </cell>
          <cell r="AR752" t="str">
            <v>$</v>
          </cell>
          <cell r="AS752" t="str">
            <v>Oui</v>
          </cell>
          <cell r="AW752">
            <v>0</v>
          </cell>
          <cell r="AY752" t="str">
            <v>NB</v>
          </cell>
        </row>
        <row r="753">
          <cell r="AM753">
            <v>0</v>
          </cell>
          <cell r="AP753" t="str">
            <v>Carrosserie</v>
          </cell>
          <cell r="AQ753" t="str">
            <v>Carrosserie Clients</v>
          </cell>
          <cell r="AR753" t="str">
            <v>$</v>
          </cell>
          <cell r="AS753" t="str">
            <v>Oui</v>
          </cell>
          <cell r="AW753">
            <v>0</v>
          </cell>
          <cell r="AY753" t="str">
            <v>NB</v>
          </cell>
        </row>
        <row r="754">
          <cell r="AM754">
            <v>0</v>
          </cell>
          <cell r="AP754">
            <v>0</v>
          </cell>
          <cell r="AQ754">
            <v>0</v>
          </cell>
          <cell r="AR754" t="str">
            <v>$</v>
          </cell>
          <cell r="AS754">
            <v>0</v>
          </cell>
          <cell r="AW754">
            <v>0</v>
          </cell>
          <cell r="AY754" t="str">
            <v>NB</v>
          </cell>
        </row>
        <row r="755">
          <cell r="AM755">
            <v>0</v>
          </cell>
          <cell r="AP755">
            <v>0</v>
          </cell>
          <cell r="AQ755">
            <v>0</v>
          </cell>
          <cell r="AR755" t="str">
            <v>$</v>
          </cell>
          <cell r="AS755">
            <v>0</v>
          </cell>
          <cell r="AW755">
            <v>0</v>
          </cell>
          <cell r="AY755" t="str">
            <v>NB</v>
          </cell>
        </row>
        <row r="756">
          <cell r="AM756">
            <v>0</v>
          </cell>
          <cell r="AP756" t="str">
            <v>Pièces</v>
          </cell>
          <cell r="AQ756" t="str">
            <v>Pièces Ro Carrosserie</v>
          </cell>
          <cell r="AR756" t="str">
            <v>$</v>
          </cell>
          <cell r="AS756" t="str">
            <v>Oui</v>
          </cell>
          <cell r="AW756">
            <v>0</v>
          </cell>
          <cell r="AY756" t="str">
            <v>NB</v>
          </cell>
        </row>
        <row r="757">
          <cell r="AM757">
            <v>0</v>
          </cell>
          <cell r="AP757">
            <v>0</v>
          </cell>
          <cell r="AQ757">
            <v>0</v>
          </cell>
          <cell r="AR757" t="str">
            <v>$</v>
          </cell>
          <cell r="AS757">
            <v>0</v>
          </cell>
          <cell r="AW757">
            <v>0</v>
          </cell>
          <cell r="AY757" t="str">
            <v>NB</v>
          </cell>
        </row>
        <row r="758">
          <cell r="AM758">
            <v>0</v>
          </cell>
          <cell r="AP758">
            <v>0</v>
          </cell>
          <cell r="AQ758">
            <v>0</v>
          </cell>
          <cell r="AR758" t="str">
            <v>$</v>
          </cell>
          <cell r="AS758">
            <v>0</v>
          </cell>
          <cell r="AW758">
            <v>0</v>
          </cell>
          <cell r="AY758" t="str">
            <v>NB</v>
          </cell>
        </row>
        <row r="759">
          <cell r="AM759">
            <v>-10043.839999999997</v>
          </cell>
          <cell r="AP759" t="str">
            <v>Carrosserie</v>
          </cell>
          <cell r="AQ759" t="str">
            <v>Carrosserie Clients</v>
          </cell>
          <cell r="AR759" t="str">
            <v>$</v>
          </cell>
          <cell r="AS759" t="str">
            <v>Oui</v>
          </cell>
          <cell r="AW759">
            <v>17</v>
          </cell>
          <cell r="AY759" t="str">
            <v>NB</v>
          </cell>
        </row>
        <row r="760">
          <cell r="AM760">
            <v>-718.44</v>
          </cell>
          <cell r="AP760" t="str">
            <v>Carrosserie</v>
          </cell>
          <cell r="AQ760" t="str">
            <v>Carrosserie Interne</v>
          </cell>
          <cell r="AR760" t="str">
            <v>$</v>
          </cell>
          <cell r="AS760" t="str">
            <v>Oui</v>
          </cell>
          <cell r="AW760">
            <v>4</v>
          </cell>
          <cell r="AY760" t="str">
            <v>NB</v>
          </cell>
        </row>
        <row r="761">
          <cell r="AM761">
            <v>-6587.2000000000007</v>
          </cell>
          <cell r="AP761" t="str">
            <v>Carrosserie</v>
          </cell>
          <cell r="AQ761" t="str">
            <v>Carrosserie Concessions</v>
          </cell>
          <cell r="AR761" t="str">
            <v>$</v>
          </cell>
          <cell r="AS761" t="str">
            <v>Oui</v>
          </cell>
          <cell r="AW761">
            <v>17</v>
          </cell>
          <cell r="AY761" t="str">
            <v>NB</v>
          </cell>
        </row>
        <row r="762">
          <cell r="AM762">
            <v>-4294.7100000000009</v>
          </cell>
          <cell r="AP762" t="str">
            <v>Carrosserie</v>
          </cell>
          <cell r="AQ762" t="str">
            <v>Carrosserie Clients</v>
          </cell>
          <cell r="AR762" t="str">
            <v>$</v>
          </cell>
          <cell r="AS762" t="str">
            <v>Oui</v>
          </cell>
          <cell r="AW762">
            <v>25</v>
          </cell>
          <cell r="AY762" t="str">
            <v>NB</v>
          </cell>
        </row>
        <row r="763">
          <cell r="AM763">
            <v>-234.47999999999996</v>
          </cell>
          <cell r="AP763" t="str">
            <v>Carrosserie</v>
          </cell>
          <cell r="AQ763" t="str">
            <v>Carrosserie Interne</v>
          </cell>
          <cell r="AR763" t="str">
            <v>$</v>
          </cell>
          <cell r="AS763" t="str">
            <v>Oui</v>
          </cell>
          <cell r="AW763">
            <v>3</v>
          </cell>
          <cell r="AY763" t="str">
            <v>NB</v>
          </cell>
        </row>
        <row r="764">
          <cell r="AM764">
            <v>-2366.34</v>
          </cell>
          <cell r="AP764" t="str">
            <v>Carrosserie</v>
          </cell>
          <cell r="AQ764" t="str">
            <v>Carrosserie Concessions</v>
          </cell>
          <cell r="AR764" t="str">
            <v>$</v>
          </cell>
          <cell r="AS764" t="str">
            <v>Oui</v>
          </cell>
          <cell r="AW764">
            <v>17</v>
          </cell>
          <cell r="AY764" t="str">
            <v>NB</v>
          </cell>
        </row>
        <row r="765">
          <cell r="AM765">
            <v>-53893.919999999984</v>
          </cell>
          <cell r="AP765" t="str">
            <v>Pièces</v>
          </cell>
          <cell r="AQ765" t="str">
            <v>P/A Garantie</v>
          </cell>
          <cell r="AR765" t="str">
            <v>$</v>
          </cell>
          <cell r="AS765" t="str">
            <v>Oui</v>
          </cell>
          <cell r="AW765">
            <v>152</v>
          </cell>
          <cell r="AY765" t="str">
            <v>NB</v>
          </cell>
        </row>
        <row r="766">
          <cell r="AM766">
            <v>0</v>
          </cell>
          <cell r="AP766" t="str">
            <v>Pièces</v>
          </cell>
          <cell r="AQ766" t="str">
            <v>P/A Garantie</v>
          </cell>
          <cell r="AR766" t="str">
            <v>$</v>
          </cell>
          <cell r="AS766" t="str">
            <v>Oui</v>
          </cell>
          <cell r="AW766">
            <v>0</v>
          </cell>
          <cell r="AY766" t="str">
            <v>NB</v>
          </cell>
        </row>
        <row r="767">
          <cell r="AM767">
            <v>-42397.270000000019</v>
          </cell>
          <cell r="AP767" t="str">
            <v>Pièces</v>
          </cell>
          <cell r="AQ767" t="str">
            <v>Ventes Internes</v>
          </cell>
          <cell r="AR767" t="str">
            <v>$</v>
          </cell>
          <cell r="AS767" t="str">
            <v>Oui</v>
          </cell>
          <cell r="AW767">
            <v>156</v>
          </cell>
          <cell r="AY767" t="str">
            <v>NB</v>
          </cell>
        </row>
        <row r="768">
          <cell r="AM768">
            <v>0</v>
          </cell>
          <cell r="AP768" t="str">
            <v>Pièces</v>
          </cell>
          <cell r="AQ768" t="str">
            <v>Ventes Internes</v>
          </cell>
          <cell r="AR768" t="str">
            <v>$</v>
          </cell>
          <cell r="AS768" t="str">
            <v>Oui</v>
          </cell>
          <cell r="AW768">
            <v>0</v>
          </cell>
          <cell r="AY768" t="str">
            <v>NB</v>
          </cell>
        </row>
        <row r="769">
          <cell r="AM769">
            <v>-53971.639999999985</v>
          </cell>
          <cell r="AP769" t="str">
            <v>Pièces</v>
          </cell>
          <cell r="AQ769" t="str">
            <v>Ventes Détails</v>
          </cell>
          <cell r="AR769" t="str">
            <v>$</v>
          </cell>
          <cell r="AS769" t="str">
            <v>Oui</v>
          </cell>
          <cell r="AW769">
            <v>211</v>
          </cell>
          <cell r="AY769" t="str">
            <v>NB</v>
          </cell>
        </row>
        <row r="770">
          <cell r="AM770">
            <v>-138088.62</v>
          </cell>
          <cell r="AP770" t="str">
            <v>Pièces</v>
          </cell>
          <cell r="AQ770" t="str">
            <v>Ventes de Gros</v>
          </cell>
          <cell r="AR770" t="str">
            <v>$</v>
          </cell>
          <cell r="AS770" t="str">
            <v>Oui</v>
          </cell>
          <cell r="AW770">
            <v>321</v>
          </cell>
          <cell r="AY770" t="str">
            <v>NB</v>
          </cell>
        </row>
        <row r="771">
          <cell r="AM771">
            <v>0</v>
          </cell>
          <cell r="AP771">
            <v>0</v>
          </cell>
          <cell r="AQ771">
            <v>0</v>
          </cell>
          <cell r="AR771" t="str">
            <v>$</v>
          </cell>
          <cell r="AS771">
            <v>0</v>
          </cell>
          <cell r="AW771">
            <v>0</v>
          </cell>
          <cell r="AY771" t="str">
            <v>NB</v>
          </cell>
        </row>
        <row r="772">
          <cell r="AM772">
            <v>0</v>
          </cell>
          <cell r="AP772">
            <v>0</v>
          </cell>
          <cell r="AQ772">
            <v>0</v>
          </cell>
          <cell r="AR772" t="str">
            <v>$</v>
          </cell>
          <cell r="AS772">
            <v>0</v>
          </cell>
          <cell r="AW772">
            <v>0</v>
          </cell>
          <cell r="AY772" t="str">
            <v>NB</v>
          </cell>
        </row>
        <row r="773">
          <cell r="AM773">
            <v>-12605.040000000008</v>
          </cell>
          <cell r="AP773" t="str">
            <v>Pièces</v>
          </cell>
          <cell r="AQ773" t="str">
            <v>Ventes Pneus</v>
          </cell>
          <cell r="AR773" t="str">
            <v>$</v>
          </cell>
          <cell r="AS773" t="str">
            <v>Oui</v>
          </cell>
          <cell r="AW773">
            <v>15</v>
          </cell>
          <cell r="AY773" t="str">
            <v>NB</v>
          </cell>
        </row>
        <row r="774">
          <cell r="AM774">
            <v>-12665.369999999995</v>
          </cell>
          <cell r="AP774" t="str">
            <v>Pièces</v>
          </cell>
          <cell r="AQ774" t="str">
            <v>Huiles et Graisse</v>
          </cell>
          <cell r="AR774" t="str">
            <v>$</v>
          </cell>
          <cell r="AS774" t="str">
            <v>Oui</v>
          </cell>
          <cell r="AW774">
            <v>176</v>
          </cell>
          <cell r="AY774" t="str">
            <v>NB</v>
          </cell>
        </row>
        <row r="775">
          <cell r="AM775">
            <v>0</v>
          </cell>
          <cell r="AP775" t="str">
            <v>Service</v>
          </cell>
          <cell r="AQ775" t="str">
            <v>Frais véhicules de cie</v>
          </cell>
          <cell r="AR775" t="str">
            <v>$</v>
          </cell>
          <cell r="AS775">
            <v>0</v>
          </cell>
          <cell r="AW775">
            <v>0</v>
          </cell>
          <cell r="AY775" t="str">
            <v>NB</v>
          </cell>
        </row>
        <row r="776">
          <cell r="AM776">
            <v>0</v>
          </cell>
          <cell r="AP776" t="str">
            <v>Carrosserie</v>
          </cell>
          <cell r="AQ776" t="str">
            <v>Frais véhicules de cie</v>
          </cell>
          <cell r="AR776" t="str">
            <v>$</v>
          </cell>
          <cell r="AS776">
            <v>0</v>
          </cell>
          <cell r="AW776">
            <v>0</v>
          </cell>
          <cell r="AY776" t="str">
            <v>NB</v>
          </cell>
        </row>
        <row r="777">
          <cell r="AM777">
            <v>0</v>
          </cell>
          <cell r="AP777" t="e">
            <v>#N/A</v>
          </cell>
          <cell r="AQ777" t="e">
            <v>#N/A</v>
          </cell>
          <cell r="AR777" t="str">
            <v>$</v>
          </cell>
          <cell r="AS777" t="e">
            <v>#N/A</v>
          </cell>
          <cell r="AW777">
            <v>0</v>
          </cell>
          <cell r="AY777" t="str">
            <v>NB</v>
          </cell>
        </row>
        <row r="778">
          <cell r="AM778">
            <v>0</v>
          </cell>
          <cell r="AP778" t="e">
            <v>#N/A</v>
          </cell>
          <cell r="AQ778" t="e">
            <v>#N/A</v>
          </cell>
          <cell r="AR778" t="str">
            <v>$</v>
          </cell>
          <cell r="AS778" t="e">
            <v>#N/A</v>
          </cell>
          <cell r="AW778">
            <v>0</v>
          </cell>
          <cell r="AY778" t="str">
            <v>NB</v>
          </cell>
        </row>
        <row r="779">
          <cell r="AM779">
            <v>0</v>
          </cell>
          <cell r="AP779" t="e">
            <v>#N/A</v>
          </cell>
          <cell r="AQ779" t="e">
            <v>#N/A</v>
          </cell>
          <cell r="AR779" t="str">
            <v>$</v>
          </cell>
          <cell r="AS779" t="e">
            <v>#N/A</v>
          </cell>
          <cell r="AW779">
            <v>0</v>
          </cell>
          <cell r="AY779" t="str">
            <v>NB</v>
          </cell>
        </row>
        <row r="780">
          <cell r="AM780">
            <v>0</v>
          </cell>
          <cell r="AP780" t="e">
            <v>#N/A</v>
          </cell>
          <cell r="AQ780" t="e">
            <v>#N/A</v>
          </cell>
          <cell r="AR780" t="str">
            <v>$</v>
          </cell>
          <cell r="AS780" t="e">
            <v>#N/A</v>
          </cell>
          <cell r="AW780">
            <v>0</v>
          </cell>
          <cell r="AY780" t="str">
            <v>NB</v>
          </cell>
        </row>
        <row r="781">
          <cell r="AM781">
            <v>0</v>
          </cell>
          <cell r="AP781" t="e">
            <v>#N/A</v>
          </cell>
          <cell r="AQ781" t="e">
            <v>#N/A</v>
          </cell>
          <cell r="AR781" t="str">
            <v>$</v>
          </cell>
          <cell r="AS781" t="e">
            <v>#N/A</v>
          </cell>
          <cell r="AW781">
            <v>0</v>
          </cell>
          <cell r="AY781" t="str">
            <v>NB</v>
          </cell>
        </row>
        <row r="782">
          <cell r="AM782">
            <v>0</v>
          </cell>
          <cell r="AP782" t="e">
            <v>#N/A</v>
          </cell>
          <cell r="AQ782" t="e">
            <v>#N/A</v>
          </cell>
          <cell r="AR782" t="str">
            <v>$</v>
          </cell>
          <cell r="AS782" t="e">
            <v>#N/A</v>
          </cell>
          <cell r="AW782">
            <v>0</v>
          </cell>
          <cell r="AY782" t="str">
            <v>NB</v>
          </cell>
        </row>
        <row r="783">
          <cell r="AM783">
            <v>0</v>
          </cell>
          <cell r="AP783" t="e">
            <v>#N/A</v>
          </cell>
          <cell r="AQ783" t="e">
            <v>#N/A</v>
          </cell>
          <cell r="AR783" t="str">
            <v>$</v>
          </cell>
          <cell r="AS783" t="e">
            <v>#N/A</v>
          </cell>
          <cell r="AW783">
            <v>0</v>
          </cell>
          <cell r="AY783" t="str">
            <v>NB</v>
          </cell>
        </row>
        <row r="784">
          <cell r="AM784">
            <v>0</v>
          </cell>
          <cell r="AP784" t="e">
            <v>#N/A</v>
          </cell>
          <cell r="AQ784" t="e">
            <v>#N/A</v>
          </cell>
          <cell r="AR784" t="str">
            <v>$</v>
          </cell>
          <cell r="AS784" t="e">
            <v>#N/A</v>
          </cell>
          <cell r="AW784">
            <v>0</v>
          </cell>
          <cell r="AY784" t="str">
            <v>NB</v>
          </cell>
        </row>
        <row r="785">
          <cell r="AM785">
            <v>0</v>
          </cell>
          <cell r="AP785" t="e">
            <v>#N/A</v>
          </cell>
          <cell r="AQ785" t="e">
            <v>#N/A</v>
          </cell>
          <cell r="AR785" t="str">
            <v>$</v>
          </cell>
          <cell r="AS785" t="e">
            <v>#N/A</v>
          </cell>
          <cell r="AW785">
            <v>0</v>
          </cell>
          <cell r="AY785" t="str">
            <v>NB</v>
          </cell>
        </row>
        <row r="786">
          <cell r="AM786">
            <v>0</v>
          </cell>
          <cell r="AP786" t="e">
            <v>#N/A</v>
          </cell>
          <cell r="AQ786" t="e">
            <v>#N/A</v>
          </cell>
          <cell r="AR786" t="str">
            <v>$</v>
          </cell>
          <cell r="AS786" t="e">
            <v>#N/A</v>
          </cell>
          <cell r="AW786">
            <v>0</v>
          </cell>
          <cell r="AY786" t="str">
            <v>NB</v>
          </cell>
        </row>
        <row r="787">
          <cell r="AM787">
            <v>0</v>
          </cell>
          <cell r="AP787" t="e">
            <v>#N/A</v>
          </cell>
          <cell r="AQ787" t="e">
            <v>#N/A</v>
          </cell>
          <cell r="AR787" t="str">
            <v>$</v>
          </cell>
          <cell r="AS787" t="e">
            <v>#N/A</v>
          </cell>
          <cell r="AW787">
            <v>0</v>
          </cell>
          <cell r="AY787" t="str">
            <v>NB</v>
          </cell>
        </row>
        <row r="788">
          <cell r="AM788">
            <v>0</v>
          </cell>
          <cell r="AP788" t="e">
            <v>#N/A</v>
          </cell>
          <cell r="AQ788" t="e">
            <v>#N/A</v>
          </cell>
          <cell r="AR788" t="str">
            <v>$</v>
          </cell>
          <cell r="AS788" t="e">
            <v>#N/A</v>
          </cell>
          <cell r="AW788">
            <v>0</v>
          </cell>
          <cell r="AY788" t="str">
            <v>NB</v>
          </cell>
        </row>
        <row r="789">
          <cell r="AM789">
            <v>0</v>
          </cell>
          <cell r="AP789">
            <v>0</v>
          </cell>
          <cell r="AQ789">
            <v>0</v>
          </cell>
          <cell r="AR789" t="str">
            <v>$</v>
          </cell>
          <cell r="AS789">
            <v>0</v>
          </cell>
          <cell r="AW789">
            <v>0</v>
          </cell>
          <cell r="AY789" t="str">
            <v>NB</v>
          </cell>
        </row>
        <row r="790">
          <cell r="AM790">
            <v>0</v>
          </cell>
          <cell r="AP790" t="e">
            <v>#N/A</v>
          </cell>
          <cell r="AQ790" t="e">
            <v>#N/A</v>
          </cell>
          <cell r="AR790" t="str">
            <v>$</v>
          </cell>
          <cell r="AS790" t="e">
            <v>#N/A</v>
          </cell>
          <cell r="AW790">
            <v>0</v>
          </cell>
          <cell r="AY790" t="str">
            <v>NB</v>
          </cell>
        </row>
        <row r="791">
          <cell r="AM791">
            <v>0</v>
          </cell>
          <cell r="AP791" t="e">
            <v>#N/A</v>
          </cell>
          <cell r="AQ791" t="e">
            <v>#N/A</v>
          </cell>
          <cell r="AR791" t="str">
            <v>$</v>
          </cell>
          <cell r="AS791" t="e">
            <v>#N/A</v>
          </cell>
          <cell r="AW791">
            <v>0</v>
          </cell>
          <cell r="AY791" t="str">
            <v>NB</v>
          </cell>
        </row>
        <row r="792">
          <cell r="AM792">
            <v>0</v>
          </cell>
          <cell r="AP792">
            <v>0</v>
          </cell>
          <cell r="AQ792">
            <v>0</v>
          </cell>
          <cell r="AR792" t="str">
            <v>$</v>
          </cell>
          <cell r="AS792">
            <v>0</v>
          </cell>
          <cell r="AW792">
            <v>0</v>
          </cell>
          <cell r="AY792" t="str">
            <v>NB</v>
          </cell>
        </row>
        <row r="793">
          <cell r="AM793">
            <v>0</v>
          </cell>
          <cell r="AP793" t="e">
            <v>#N/A</v>
          </cell>
          <cell r="AQ793" t="e">
            <v>#N/A</v>
          </cell>
          <cell r="AR793" t="str">
            <v>$</v>
          </cell>
          <cell r="AS793" t="e">
            <v>#N/A</v>
          </cell>
          <cell r="AW793">
            <v>0</v>
          </cell>
          <cell r="AY793" t="str">
            <v>NB</v>
          </cell>
        </row>
        <row r="794">
          <cell r="AM794">
            <v>0</v>
          </cell>
          <cell r="AP794" t="e">
            <v>#N/A</v>
          </cell>
          <cell r="AQ794" t="e">
            <v>#N/A</v>
          </cell>
          <cell r="AR794" t="str">
            <v>$</v>
          </cell>
          <cell r="AS794" t="e">
            <v>#N/A</v>
          </cell>
          <cell r="AW794">
            <v>0</v>
          </cell>
          <cell r="AY794" t="str">
            <v>NB</v>
          </cell>
        </row>
        <row r="795">
          <cell r="AM795">
            <v>0</v>
          </cell>
          <cell r="AP795" t="e">
            <v>#N/A</v>
          </cell>
          <cell r="AQ795" t="e">
            <v>#N/A</v>
          </cell>
          <cell r="AR795" t="str">
            <v>$</v>
          </cell>
          <cell r="AS795" t="e">
            <v>#N/A</v>
          </cell>
          <cell r="AW795">
            <v>0</v>
          </cell>
          <cell r="AY795" t="str">
            <v>NB</v>
          </cell>
        </row>
        <row r="796">
          <cell r="AM796">
            <v>0</v>
          </cell>
          <cell r="AP796" t="e">
            <v>#N/A</v>
          </cell>
          <cell r="AQ796" t="e">
            <v>#N/A</v>
          </cell>
          <cell r="AR796" t="str">
            <v>$</v>
          </cell>
          <cell r="AS796" t="e">
            <v>#N/A</v>
          </cell>
          <cell r="AW796">
            <v>0</v>
          </cell>
          <cell r="AY796" t="str">
            <v>NB</v>
          </cell>
        </row>
        <row r="797">
          <cell r="AM797">
            <v>0</v>
          </cell>
          <cell r="AP797" t="e">
            <v>#N/A</v>
          </cell>
          <cell r="AQ797" t="e">
            <v>#N/A</v>
          </cell>
          <cell r="AR797" t="str">
            <v>$</v>
          </cell>
          <cell r="AS797" t="e">
            <v>#N/A</v>
          </cell>
          <cell r="AW797">
            <v>0</v>
          </cell>
          <cell r="AY797" t="str">
            <v>NB</v>
          </cell>
        </row>
        <row r="798">
          <cell r="AM798">
            <v>0</v>
          </cell>
          <cell r="AP798" t="e">
            <v>#N/A</v>
          </cell>
          <cell r="AQ798" t="e">
            <v>#N/A</v>
          </cell>
          <cell r="AR798" t="str">
            <v>$</v>
          </cell>
          <cell r="AS798" t="e">
            <v>#N/A</v>
          </cell>
          <cell r="AW798">
            <v>0</v>
          </cell>
          <cell r="AY798" t="str">
            <v>NB</v>
          </cell>
        </row>
        <row r="799">
          <cell r="AM799">
            <v>0</v>
          </cell>
          <cell r="AP799" t="e">
            <v>#N/A</v>
          </cell>
          <cell r="AQ799" t="e">
            <v>#N/A</v>
          </cell>
          <cell r="AR799" t="str">
            <v>$</v>
          </cell>
          <cell r="AS799" t="e">
            <v>#N/A</v>
          </cell>
          <cell r="AW799">
            <v>0</v>
          </cell>
          <cell r="AY799" t="str">
            <v>NB</v>
          </cell>
        </row>
        <row r="800">
          <cell r="AM800">
            <v>0</v>
          </cell>
          <cell r="AP800" t="e">
            <v>#N/A</v>
          </cell>
          <cell r="AQ800" t="e">
            <v>#N/A</v>
          </cell>
          <cell r="AR800" t="str">
            <v>$</v>
          </cell>
          <cell r="AS800" t="e">
            <v>#N/A</v>
          </cell>
          <cell r="AW800">
            <v>0</v>
          </cell>
          <cell r="AY800" t="str">
            <v>NB</v>
          </cell>
        </row>
        <row r="801">
          <cell r="AM801">
            <v>0</v>
          </cell>
          <cell r="AP801" t="e">
            <v>#N/A</v>
          </cell>
          <cell r="AQ801" t="e">
            <v>#N/A</v>
          </cell>
          <cell r="AR801" t="str">
            <v>$</v>
          </cell>
          <cell r="AS801" t="e">
            <v>#N/A</v>
          </cell>
          <cell r="AW801">
            <v>0</v>
          </cell>
          <cell r="AY801" t="str">
            <v>NB</v>
          </cell>
        </row>
        <row r="802">
          <cell r="AM802">
            <v>0</v>
          </cell>
          <cell r="AP802" t="str">
            <v>Véhicules neufs</v>
          </cell>
          <cell r="AQ802" t="str">
            <v>Autos détail</v>
          </cell>
          <cell r="AR802" t="str">
            <v>$</v>
          </cell>
          <cell r="AS802">
            <v>0</v>
          </cell>
          <cell r="AW802">
            <v>0</v>
          </cell>
          <cell r="AY802" t="str">
            <v>NB</v>
          </cell>
        </row>
        <row r="803">
          <cell r="AM803">
            <v>0</v>
          </cell>
          <cell r="AP803" t="str">
            <v>Véhicules neufs</v>
          </cell>
          <cell r="AQ803" t="str">
            <v>Autos détail</v>
          </cell>
          <cell r="AR803" t="str">
            <v>$</v>
          </cell>
          <cell r="AS803">
            <v>0</v>
          </cell>
          <cell r="AW803">
            <v>0</v>
          </cell>
          <cell r="AY803" t="str">
            <v>NB</v>
          </cell>
        </row>
        <row r="804">
          <cell r="AM804">
            <v>0</v>
          </cell>
          <cell r="AP804" t="str">
            <v>Véhicules neufs</v>
          </cell>
          <cell r="AQ804" t="str">
            <v>Autos détail</v>
          </cell>
          <cell r="AR804" t="str">
            <v>$</v>
          </cell>
          <cell r="AS804">
            <v>0</v>
          </cell>
          <cell r="AW804">
            <v>0</v>
          </cell>
          <cell r="AY804" t="str">
            <v>NB</v>
          </cell>
        </row>
        <row r="805">
          <cell r="AM805">
            <v>0</v>
          </cell>
          <cell r="AP805" t="str">
            <v>Véhicules neufs</v>
          </cell>
          <cell r="AQ805" t="str">
            <v>Autos détail</v>
          </cell>
          <cell r="AR805" t="str">
            <v>$</v>
          </cell>
          <cell r="AS805">
            <v>0</v>
          </cell>
          <cell r="AW805">
            <v>0</v>
          </cell>
          <cell r="AY805" t="str">
            <v>NB</v>
          </cell>
        </row>
        <row r="806">
          <cell r="AM806">
            <v>0</v>
          </cell>
          <cell r="AP806" t="e">
            <v>#N/A</v>
          </cell>
          <cell r="AQ806" t="e">
            <v>#N/A</v>
          </cell>
          <cell r="AR806" t="str">
            <v>$</v>
          </cell>
          <cell r="AS806" t="e">
            <v>#N/A</v>
          </cell>
          <cell r="AW806">
            <v>0</v>
          </cell>
          <cell r="AY806" t="str">
            <v>NB</v>
          </cell>
        </row>
        <row r="807">
          <cell r="AM807">
            <v>0</v>
          </cell>
          <cell r="AP807" t="e">
            <v>#N/A</v>
          </cell>
          <cell r="AQ807" t="e">
            <v>#N/A</v>
          </cell>
          <cell r="AR807" t="str">
            <v>$</v>
          </cell>
          <cell r="AS807" t="e">
            <v>#N/A</v>
          </cell>
          <cell r="AW807">
            <v>0</v>
          </cell>
          <cell r="AY807" t="str">
            <v>NB</v>
          </cell>
        </row>
        <row r="808">
          <cell r="AM808">
            <v>0</v>
          </cell>
          <cell r="AP808" t="e">
            <v>#N/A</v>
          </cell>
          <cell r="AQ808" t="e">
            <v>#N/A</v>
          </cell>
          <cell r="AR808" t="str">
            <v>$</v>
          </cell>
          <cell r="AS808" t="e">
            <v>#N/A</v>
          </cell>
          <cell r="AW808">
            <v>0</v>
          </cell>
          <cell r="AY808" t="str">
            <v>NB</v>
          </cell>
        </row>
        <row r="809">
          <cell r="AM809">
            <v>0</v>
          </cell>
          <cell r="AP809" t="e">
            <v>#N/A</v>
          </cell>
          <cell r="AQ809" t="e">
            <v>#N/A</v>
          </cell>
          <cell r="AR809" t="str">
            <v>$</v>
          </cell>
          <cell r="AS809" t="e">
            <v>#N/A</v>
          </cell>
          <cell r="AW809">
            <v>0</v>
          </cell>
          <cell r="AY809" t="str">
            <v>NB</v>
          </cell>
        </row>
        <row r="810">
          <cell r="AM810">
            <v>0</v>
          </cell>
          <cell r="AP810" t="str">
            <v>Véhicules neufs</v>
          </cell>
          <cell r="AQ810" t="str">
            <v>Autos détail</v>
          </cell>
          <cell r="AR810" t="str">
            <v>$</v>
          </cell>
          <cell r="AS810">
            <v>0</v>
          </cell>
          <cell r="AW810">
            <v>0</v>
          </cell>
          <cell r="AY810" t="str">
            <v>NB</v>
          </cell>
        </row>
        <row r="811">
          <cell r="AM811">
            <v>0</v>
          </cell>
          <cell r="AP811" t="str">
            <v>Véhicules neufs</v>
          </cell>
          <cell r="AQ811" t="str">
            <v>Autos détail</v>
          </cell>
          <cell r="AR811" t="str">
            <v>$</v>
          </cell>
          <cell r="AS811">
            <v>0</v>
          </cell>
          <cell r="AW811">
            <v>0</v>
          </cell>
          <cell r="AY811" t="str">
            <v>NB</v>
          </cell>
        </row>
        <row r="812">
          <cell r="AM812">
            <v>0</v>
          </cell>
          <cell r="AP812" t="e">
            <v>#N/A</v>
          </cell>
          <cell r="AQ812" t="e">
            <v>#N/A</v>
          </cell>
          <cell r="AR812" t="str">
            <v>$</v>
          </cell>
          <cell r="AS812" t="e">
            <v>#N/A</v>
          </cell>
          <cell r="AW812">
            <v>0</v>
          </cell>
          <cell r="AY812" t="str">
            <v>NB</v>
          </cell>
        </row>
        <row r="813">
          <cell r="AM813">
            <v>0</v>
          </cell>
          <cell r="AP813" t="str">
            <v>Véhicules neufs</v>
          </cell>
          <cell r="AQ813" t="str">
            <v>Autos détail</v>
          </cell>
          <cell r="AR813" t="str">
            <v>$</v>
          </cell>
          <cell r="AS813">
            <v>0</v>
          </cell>
          <cell r="AW813">
            <v>0</v>
          </cell>
          <cell r="AY813" t="str">
            <v>NB</v>
          </cell>
        </row>
        <row r="814">
          <cell r="AM814">
            <v>97954</v>
          </cell>
          <cell r="AP814" t="str">
            <v>Véhicules neufs</v>
          </cell>
          <cell r="AQ814" t="str">
            <v>Autos détail</v>
          </cell>
          <cell r="AR814" t="str">
            <v>$</v>
          </cell>
          <cell r="AS814">
            <v>0</v>
          </cell>
          <cell r="AW814">
            <v>0</v>
          </cell>
          <cell r="AY814" t="str">
            <v>NB</v>
          </cell>
        </row>
        <row r="815">
          <cell r="AM815">
            <v>0</v>
          </cell>
          <cell r="AP815" t="e">
            <v>#N/A</v>
          </cell>
          <cell r="AQ815" t="e">
            <v>#N/A</v>
          </cell>
          <cell r="AR815" t="str">
            <v>$</v>
          </cell>
          <cell r="AS815" t="e">
            <v>#N/A</v>
          </cell>
          <cell r="AW815">
            <v>0</v>
          </cell>
          <cell r="AY815" t="str">
            <v>NB</v>
          </cell>
        </row>
        <row r="816">
          <cell r="AM816">
            <v>0</v>
          </cell>
          <cell r="AP816" t="e">
            <v>#N/A</v>
          </cell>
          <cell r="AQ816" t="e">
            <v>#N/A</v>
          </cell>
          <cell r="AR816" t="str">
            <v>$</v>
          </cell>
          <cell r="AS816" t="e">
            <v>#N/A</v>
          </cell>
          <cell r="AW816">
            <v>0</v>
          </cell>
          <cell r="AY816" t="str">
            <v>NB</v>
          </cell>
        </row>
        <row r="817">
          <cell r="AM817">
            <v>0</v>
          </cell>
          <cell r="AP817" t="str">
            <v>Véhicules neufs</v>
          </cell>
          <cell r="AQ817" t="str">
            <v>Camions electriques</v>
          </cell>
          <cell r="AR817" t="str">
            <v>$</v>
          </cell>
          <cell r="AS817">
            <v>0</v>
          </cell>
          <cell r="AW817">
            <v>0</v>
          </cell>
          <cell r="AY817" t="str">
            <v>NB</v>
          </cell>
        </row>
        <row r="818">
          <cell r="AM818">
            <v>0</v>
          </cell>
          <cell r="AP818" t="e">
            <v>#N/A</v>
          </cell>
          <cell r="AQ818" t="e">
            <v>#N/A</v>
          </cell>
          <cell r="AR818" t="str">
            <v>$</v>
          </cell>
          <cell r="AS818" t="e">
            <v>#N/A</v>
          </cell>
          <cell r="AW818">
            <v>0</v>
          </cell>
          <cell r="AY818" t="str">
            <v>NB</v>
          </cell>
        </row>
        <row r="819">
          <cell r="AM819">
            <v>0</v>
          </cell>
          <cell r="AP819" t="e">
            <v>#N/A</v>
          </cell>
          <cell r="AQ819" t="e">
            <v>#N/A</v>
          </cell>
          <cell r="AR819" t="str">
            <v>$</v>
          </cell>
          <cell r="AS819" t="e">
            <v>#N/A</v>
          </cell>
          <cell r="AW819">
            <v>0</v>
          </cell>
          <cell r="AY819" t="str">
            <v>NB</v>
          </cell>
        </row>
        <row r="820">
          <cell r="AM820">
            <v>0</v>
          </cell>
          <cell r="AP820" t="e">
            <v>#N/A</v>
          </cell>
          <cell r="AQ820" t="e">
            <v>#N/A</v>
          </cell>
          <cell r="AR820" t="str">
            <v>$</v>
          </cell>
          <cell r="AS820" t="e">
            <v>#N/A</v>
          </cell>
          <cell r="AW820">
            <v>0</v>
          </cell>
          <cell r="AY820" t="str">
            <v>NB</v>
          </cell>
        </row>
        <row r="821">
          <cell r="AM821">
            <v>0</v>
          </cell>
          <cell r="AP821" t="str">
            <v>Véhicules neufs</v>
          </cell>
          <cell r="AQ821" t="str">
            <v>Autos détail</v>
          </cell>
          <cell r="AR821" t="str">
            <v>$</v>
          </cell>
          <cell r="AS821">
            <v>0</v>
          </cell>
          <cell r="AW821">
            <v>0</v>
          </cell>
          <cell r="AY821" t="str">
            <v>NB</v>
          </cell>
        </row>
        <row r="822">
          <cell r="AM822">
            <v>0</v>
          </cell>
          <cell r="AP822" t="e">
            <v>#N/A</v>
          </cell>
          <cell r="AQ822" t="e">
            <v>#N/A</v>
          </cell>
          <cell r="AR822" t="str">
            <v>$</v>
          </cell>
          <cell r="AS822" t="e">
            <v>#N/A</v>
          </cell>
          <cell r="AW822">
            <v>0</v>
          </cell>
          <cell r="AY822" t="str">
            <v>NB</v>
          </cell>
        </row>
        <row r="823">
          <cell r="AM823">
            <v>0</v>
          </cell>
          <cell r="AP823" t="str">
            <v>Véhicules neufs</v>
          </cell>
          <cell r="AQ823" t="str">
            <v>Autos détail</v>
          </cell>
          <cell r="AR823" t="str">
            <v>$</v>
          </cell>
          <cell r="AS823">
            <v>0</v>
          </cell>
          <cell r="AW823">
            <v>0</v>
          </cell>
          <cell r="AY823" t="str">
            <v>NB</v>
          </cell>
        </row>
        <row r="824">
          <cell r="AM824">
            <v>0</v>
          </cell>
          <cell r="AP824" t="str">
            <v>Véhicules neufs</v>
          </cell>
          <cell r="AQ824" t="str">
            <v>Autos détail</v>
          </cell>
          <cell r="AR824" t="str">
            <v>$</v>
          </cell>
          <cell r="AS824">
            <v>0</v>
          </cell>
          <cell r="AW824">
            <v>0</v>
          </cell>
          <cell r="AY824" t="str">
            <v>NB</v>
          </cell>
        </row>
        <row r="825">
          <cell r="AM825">
            <v>0</v>
          </cell>
          <cell r="AP825">
            <v>0</v>
          </cell>
          <cell r="AQ825">
            <v>0</v>
          </cell>
          <cell r="AR825" t="str">
            <v>$</v>
          </cell>
          <cell r="AS825">
            <v>0</v>
          </cell>
          <cell r="AW825">
            <v>0</v>
          </cell>
          <cell r="AY825" t="str">
            <v>NB</v>
          </cell>
        </row>
        <row r="826">
          <cell r="AM826">
            <v>0</v>
          </cell>
          <cell r="AP826" t="e">
            <v>#N/A</v>
          </cell>
          <cell r="AQ826" t="e">
            <v>#N/A</v>
          </cell>
          <cell r="AR826" t="str">
            <v>$</v>
          </cell>
          <cell r="AS826" t="e">
            <v>#N/A</v>
          </cell>
          <cell r="AW826">
            <v>0</v>
          </cell>
          <cell r="AY826" t="str">
            <v>NB</v>
          </cell>
        </row>
        <row r="827">
          <cell r="AM827">
            <v>0</v>
          </cell>
          <cell r="AP827" t="e">
            <v>#N/A</v>
          </cell>
          <cell r="AQ827" t="e">
            <v>#N/A</v>
          </cell>
          <cell r="AR827" t="str">
            <v>$</v>
          </cell>
          <cell r="AS827" t="e">
            <v>#N/A</v>
          </cell>
          <cell r="AW827">
            <v>0</v>
          </cell>
          <cell r="AY827" t="str">
            <v>NB</v>
          </cell>
        </row>
        <row r="828">
          <cell r="AM828">
            <v>0</v>
          </cell>
          <cell r="AP828">
            <v>0</v>
          </cell>
          <cell r="AQ828">
            <v>0</v>
          </cell>
          <cell r="AR828" t="str">
            <v>$</v>
          </cell>
          <cell r="AS828">
            <v>0</v>
          </cell>
          <cell r="AW828">
            <v>0</v>
          </cell>
          <cell r="AY828" t="str">
            <v>NB</v>
          </cell>
        </row>
        <row r="829">
          <cell r="AM829">
            <v>0</v>
          </cell>
          <cell r="AP829" t="e">
            <v>#N/A</v>
          </cell>
          <cell r="AQ829" t="e">
            <v>#N/A</v>
          </cell>
          <cell r="AR829" t="str">
            <v>$</v>
          </cell>
          <cell r="AS829" t="e">
            <v>#N/A</v>
          </cell>
          <cell r="AW829">
            <v>0</v>
          </cell>
          <cell r="AY829" t="str">
            <v>NB</v>
          </cell>
        </row>
        <row r="830">
          <cell r="AM830">
            <v>0</v>
          </cell>
          <cell r="AP830" t="e">
            <v>#N/A</v>
          </cell>
          <cell r="AQ830" t="e">
            <v>#N/A</v>
          </cell>
          <cell r="AR830" t="str">
            <v>$</v>
          </cell>
          <cell r="AS830" t="e">
            <v>#N/A</v>
          </cell>
          <cell r="AW830">
            <v>0</v>
          </cell>
          <cell r="AY830" t="str">
            <v>NB</v>
          </cell>
        </row>
        <row r="831">
          <cell r="AM831">
            <v>0</v>
          </cell>
          <cell r="AP831" t="e">
            <v>#N/A</v>
          </cell>
          <cell r="AQ831" t="e">
            <v>#N/A</v>
          </cell>
          <cell r="AR831" t="str">
            <v>$</v>
          </cell>
          <cell r="AS831" t="e">
            <v>#N/A</v>
          </cell>
          <cell r="AW831">
            <v>0</v>
          </cell>
          <cell r="AY831" t="str">
            <v>NB</v>
          </cell>
        </row>
        <row r="832">
          <cell r="AM832">
            <v>0</v>
          </cell>
          <cell r="AP832" t="e">
            <v>#N/A</v>
          </cell>
          <cell r="AQ832" t="e">
            <v>#N/A</v>
          </cell>
          <cell r="AR832" t="str">
            <v>$</v>
          </cell>
          <cell r="AS832" t="e">
            <v>#N/A</v>
          </cell>
          <cell r="AW832">
            <v>0</v>
          </cell>
          <cell r="AY832" t="str">
            <v>NB</v>
          </cell>
        </row>
        <row r="833">
          <cell r="AM833">
            <v>0</v>
          </cell>
          <cell r="AP833" t="e">
            <v>#N/A</v>
          </cell>
          <cell r="AQ833" t="e">
            <v>#N/A</v>
          </cell>
          <cell r="AR833" t="str">
            <v>$</v>
          </cell>
          <cell r="AS833" t="e">
            <v>#N/A</v>
          </cell>
          <cell r="AW833">
            <v>0</v>
          </cell>
          <cell r="AY833" t="str">
            <v>NB</v>
          </cell>
        </row>
        <row r="834">
          <cell r="AM834">
            <v>0</v>
          </cell>
          <cell r="AP834" t="e">
            <v>#N/A</v>
          </cell>
          <cell r="AQ834" t="e">
            <v>#N/A</v>
          </cell>
          <cell r="AR834" t="str">
            <v>$</v>
          </cell>
          <cell r="AS834" t="e">
            <v>#N/A</v>
          </cell>
          <cell r="AW834">
            <v>0</v>
          </cell>
          <cell r="AY834" t="str">
            <v>NB</v>
          </cell>
        </row>
        <row r="835">
          <cell r="AM835">
            <v>132724.84000000003</v>
          </cell>
          <cell r="AP835" t="str">
            <v>Véhicules neufs</v>
          </cell>
          <cell r="AQ835" t="str">
            <v>Camions détail</v>
          </cell>
          <cell r="AR835" t="str">
            <v>$</v>
          </cell>
          <cell r="AS835">
            <v>0</v>
          </cell>
          <cell r="AW835">
            <v>0</v>
          </cell>
          <cell r="AY835" t="str">
            <v>NB</v>
          </cell>
        </row>
        <row r="836">
          <cell r="AM836">
            <v>501919.15</v>
          </cell>
          <cell r="AP836" t="str">
            <v>Véhicules neufs</v>
          </cell>
          <cell r="AQ836" t="str">
            <v>Camions electriques</v>
          </cell>
          <cell r="AR836" t="str">
            <v>$</v>
          </cell>
          <cell r="AS836">
            <v>0</v>
          </cell>
          <cell r="AW836">
            <v>0</v>
          </cell>
          <cell r="AY836" t="str">
            <v>NB</v>
          </cell>
        </row>
        <row r="837">
          <cell r="AM837">
            <v>0</v>
          </cell>
          <cell r="AP837" t="e">
            <v>#N/A</v>
          </cell>
          <cell r="AQ837" t="e">
            <v>#N/A</v>
          </cell>
          <cell r="AR837" t="str">
            <v>$</v>
          </cell>
          <cell r="AS837" t="e">
            <v>#N/A</v>
          </cell>
          <cell r="AW837">
            <v>0</v>
          </cell>
          <cell r="AY837" t="str">
            <v>NB</v>
          </cell>
        </row>
        <row r="838">
          <cell r="AM838">
            <v>0</v>
          </cell>
          <cell r="AP838" t="str">
            <v>Véhicules neufs</v>
          </cell>
          <cell r="AQ838" t="str">
            <v>Camions détail</v>
          </cell>
          <cell r="AR838" t="str">
            <v>$</v>
          </cell>
          <cell r="AS838">
            <v>0</v>
          </cell>
          <cell r="AW838">
            <v>0</v>
          </cell>
          <cell r="AY838" t="str">
            <v>NB</v>
          </cell>
        </row>
        <row r="839">
          <cell r="AM839">
            <v>0</v>
          </cell>
          <cell r="AP839" t="str">
            <v>Véhicules neufs</v>
          </cell>
          <cell r="AQ839" t="str">
            <v>Camions electriques</v>
          </cell>
          <cell r="AR839" t="str">
            <v>$</v>
          </cell>
          <cell r="AS839">
            <v>0</v>
          </cell>
          <cell r="AW839">
            <v>0</v>
          </cell>
          <cell r="AY839" t="str">
            <v>NB</v>
          </cell>
        </row>
        <row r="840">
          <cell r="AM840">
            <v>0</v>
          </cell>
          <cell r="AP840" t="e">
            <v>#N/A</v>
          </cell>
          <cell r="AQ840" t="e">
            <v>#N/A</v>
          </cell>
          <cell r="AR840" t="str">
            <v>$</v>
          </cell>
          <cell r="AS840" t="e">
            <v>#N/A</v>
          </cell>
          <cell r="AW840">
            <v>0</v>
          </cell>
          <cell r="AY840" t="str">
            <v>NB</v>
          </cell>
        </row>
        <row r="841">
          <cell r="AM841">
            <v>0</v>
          </cell>
          <cell r="AP841" t="e">
            <v>#N/A</v>
          </cell>
          <cell r="AQ841" t="e">
            <v>#N/A</v>
          </cell>
          <cell r="AR841" t="str">
            <v>$</v>
          </cell>
          <cell r="AS841" t="e">
            <v>#N/A</v>
          </cell>
          <cell r="AW841">
            <v>0</v>
          </cell>
          <cell r="AY841" t="str">
            <v>NB</v>
          </cell>
        </row>
        <row r="842">
          <cell r="AM842">
            <v>110382.82999999996</v>
          </cell>
          <cell r="AP842" t="str">
            <v>Véhicules neufs</v>
          </cell>
          <cell r="AQ842" t="str">
            <v>Camions détail</v>
          </cell>
          <cell r="AR842" t="str">
            <v>$</v>
          </cell>
          <cell r="AS842">
            <v>0</v>
          </cell>
          <cell r="AW842">
            <v>0</v>
          </cell>
          <cell r="AY842" t="str">
            <v>NB</v>
          </cell>
        </row>
        <row r="843">
          <cell r="AM843">
            <v>63101.460000000006</v>
          </cell>
          <cell r="AP843" t="str">
            <v>Véhicules neufs</v>
          </cell>
          <cell r="AQ843" t="str">
            <v>Camions détail</v>
          </cell>
          <cell r="AR843" t="str">
            <v>$</v>
          </cell>
          <cell r="AS843">
            <v>0</v>
          </cell>
          <cell r="AW843">
            <v>0</v>
          </cell>
          <cell r="AY843" t="str">
            <v>NB</v>
          </cell>
        </row>
        <row r="844">
          <cell r="AM844">
            <v>0</v>
          </cell>
          <cell r="AP844" t="str">
            <v>Véhicules neufs</v>
          </cell>
          <cell r="AQ844" t="str">
            <v>Camions détail</v>
          </cell>
          <cell r="AR844" t="str">
            <v>$</v>
          </cell>
          <cell r="AS844">
            <v>0</v>
          </cell>
          <cell r="AW844">
            <v>0</v>
          </cell>
          <cell r="AY844" t="str">
            <v>NB</v>
          </cell>
        </row>
        <row r="845">
          <cell r="AM845">
            <v>34311.680000000051</v>
          </cell>
          <cell r="AP845" t="str">
            <v>Véhicules neufs</v>
          </cell>
          <cell r="AQ845" t="str">
            <v>Camions détail</v>
          </cell>
          <cell r="AR845" t="str">
            <v>$</v>
          </cell>
          <cell r="AS845">
            <v>0</v>
          </cell>
          <cell r="AW845">
            <v>0</v>
          </cell>
          <cell r="AY845" t="str">
            <v>NB</v>
          </cell>
        </row>
        <row r="846">
          <cell r="AM846">
            <v>0</v>
          </cell>
          <cell r="AP846" t="e">
            <v>#N/A</v>
          </cell>
          <cell r="AQ846" t="e">
            <v>#N/A</v>
          </cell>
          <cell r="AR846" t="str">
            <v>$</v>
          </cell>
          <cell r="AS846" t="e">
            <v>#N/A</v>
          </cell>
          <cell r="AW846">
            <v>0</v>
          </cell>
          <cell r="AY846" t="str">
            <v>NB</v>
          </cell>
        </row>
        <row r="847">
          <cell r="AM847">
            <v>196043.08999999997</v>
          </cell>
          <cell r="AP847" t="str">
            <v>Véhicules neufs</v>
          </cell>
          <cell r="AQ847" t="str">
            <v>Camions détail</v>
          </cell>
          <cell r="AR847" t="str">
            <v>$</v>
          </cell>
          <cell r="AS847">
            <v>0</v>
          </cell>
          <cell r="AW847">
            <v>0</v>
          </cell>
          <cell r="AY847" t="str">
            <v>NB</v>
          </cell>
        </row>
        <row r="848">
          <cell r="AM848">
            <v>0</v>
          </cell>
          <cell r="AP848" t="str">
            <v>Véhicules neufs</v>
          </cell>
          <cell r="AQ848" t="str">
            <v>Camions détail</v>
          </cell>
          <cell r="AR848" t="str">
            <v>$</v>
          </cell>
          <cell r="AS848">
            <v>0</v>
          </cell>
          <cell r="AW848">
            <v>0</v>
          </cell>
          <cell r="AY848" t="str">
            <v>NB</v>
          </cell>
        </row>
        <row r="849">
          <cell r="AM849">
            <v>0</v>
          </cell>
          <cell r="AP849" t="str">
            <v>Véhicules neufs</v>
          </cell>
          <cell r="AQ849" t="str">
            <v>Camions détail</v>
          </cell>
          <cell r="AR849" t="str">
            <v>$</v>
          </cell>
          <cell r="AS849">
            <v>0</v>
          </cell>
          <cell r="AW849">
            <v>0</v>
          </cell>
          <cell r="AY849" t="str">
            <v>NB</v>
          </cell>
        </row>
        <row r="850">
          <cell r="AM850">
            <v>0</v>
          </cell>
          <cell r="AP850" t="e">
            <v>#N/A</v>
          </cell>
          <cell r="AQ850" t="e">
            <v>#N/A</v>
          </cell>
          <cell r="AR850" t="str">
            <v>$</v>
          </cell>
          <cell r="AS850" t="e">
            <v>#N/A</v>
          </cell>
          <cell r="AW850">
            <v>0</v>
          </cell>
          <cell r="AY850" t="str">
            <v>NB</v>
          </cell>
        </row>
        <row r="851">
          <cell r="AM851">
            <v>152591.45999999996</v>
          </cell>
          <cell r="AP851" t="str">
            <v>Véhicules neufs</v>
          </cell>
          <cell r="AQ851" t="str">
            <v>Camions détail</v>
          </cell>
          <cell r="AR851" t="str">
            <v>$</v>
          </cell>
          <cell r="AS851">
            <v>0</v>
          </cell>
          <cell r="AW851">
            <v>0</v>
          </cell>
          <cell r="AY851" t="str">
            <v>NB</v>
          </cell>
        </row>
        <row r="852">
          <cell r="AM852">
            <v>0</v>
          </cell>
          <cell r="AP852" t="str">
            <v>Véhicules neufs</v>
          </cell>
          <cell r="AQ852" t="str">
            <v>Camions détail</v>
          </cell>
          <cell r="AR852" t="str">
            <v>$</v>
          </cell>
          <cell r="AS852">
            <v>0</v>
          </cell>
          <cell r="AW852">
            <v>0</v>
          </cell>
          <cell r="AY852" t="str">
            <v>NB</v>
          </cell>
        </row>
        <row r="853">
          <cell r="AM853">
            <v>290456.39000000013</v>
          </cell>
          <cell r="AP853" t="str">
            <v>Véhicules neufs</v>
          </cell>
          <cell r="AQ853" t="str">
            <v>Camions détail</v>
          </cell>
          <cell r="AR853" t="str">
            <v>$</v>
          </cell>
          <cell r="AS853">
            <v>0</v>
          </cell>
          <cell r="AW853">
            <v>0</v>
          </cell>
          <cell r="AY853" t="str">
            <v>NB</v>
          </cell>
        </row>
        <row r="854">
          <cell r="AM854">
            <v>108172.04999999999</v>
          </cell>
          <cell r="AP854" t="str">
            <v>Véhicules neufs</v>
          </cell>
          <cell r="AQ854" t="str">
            <v>Camions electriques</v>
          </cell>
          <cell r="AR854" t="str">
            <v>$</v>
          </cell>
          <cell r="AS854">
            <v>0</v>
          </cell>
          <cell r="AW854">
            <v>0</v>
          </cell>
          <cell r="AY854" t="str">
            <v>NB</v>
          </cell>
        </row>
        <row r="855">
          <cell r="AM855">
            <v>248803.63000000012</v>
          </cell>
          <cell r="AP855" t="str">
            <v>Véhicules neufs</v>
          </cell>
          <cell r="AQ855" t="str">
            <v>Camions détail</v>
          </cell>
          <cell r="AR855" t="str">
            <v>$</v>
          </cell>
          <cell r="AS855">
            <v>0</v>
          </cell>
          <cell r="AW855">
            <v>0</v>
          </cell>
          <cell r="AY855" t="str">
            <v>NB</v>
          </cell>
        </row>
        <row r="856">
          <cell r="AM856">
            <v>0</v>
          </cell>
          <cell r="AP856" t="e">
            <v>#N/A</v>
          </cell>
          <cell r="AQ856" t="e">
            <v>#N/A</v>
          </cell>
          <cell r="AR856" t="str">
            <v>$</v>
          </cell>
          <cell r="AS856" t="e">
            <v>#N/A</v>
          </cell>
          <cell r="AW856">
            <v>0</v>
          </cell>
          <cell r="AY856" t="str">
            <v>NB</v>
          </cell>
        </row>
        <row r="857">
          <cell r="AM857">
            <v>78467.109999999986</v>
          </cell>
          <cell r="AP857" t="str">
            <v>Véhicules neufs</v>
          </cell>
          <cell r="AQ857" t="str">
            <v>Camions détail</v>
          </cell>
          <cell r="AR857" t="str">
            <v>$</v>
          </cell>
          <cell r="AS857">
            <v>0</v>
          </cell>
          <cell r="AW857">
            <v>0</v>
          </cell>
          <cell r="AY857" t="str">
            <v>NB</v>
          </cell>
        </row>
        <row r="858">
          <cell r="AM858">
            <v>522840.52</v>
          </cell>
          <cell r="AP858" t="str">
            <v>Véhicules neufs</v>
          </cell>
          <cell r="AQ858" t="str">
            <v>Camions détail</v>
          </cell>
          <cell r="AR858" t="str">
            <v>$</v>
          </cell>
          <cell r="AS858">
            <v>0</v>
          </cell>
          <cell r="AW858">
            <v>0</v>
          </cell>
          <cell r="AY858" t="str">
            <v>NB</v>
          </cell>
        </row>
        <row r="859">
          <cell r="AM859">
            <v>0</v>
          </cell>
          <cell r="AP859" t="str">
            <v>Véhicules neufs</v>
          </cell>
          <cell r="AQ859" t="str">
            <v>Camions electriques</v>
          </cell>
          <cell r="AR859" t="str">
            <v>$</v>
          </cell>
          <cell r="AS859">
            <v>0</v>
          </cell>
          <cell r="AW859">
            <v>0</v>
          </cell>
          <cell r="AY859" t="str">
            <v>NB</v>
          </cell>
        </row>
        <row r="860">
          <cell r="AM860">
            <v>0</v>
          </cell>
          <cell r="AP860" t="e">
            <v>#N/A</v>
          </cell>
          <cell r="AQ860" t="e">
            <v>#N/A</v>
          </cell>
          <cell r="AR860" t="str">
            <v>$</v>
          </cell>
          <cell r="AS860" t="e">
            <v>#N/A</v>
          </cell>
          <cell r="AW860">
            <v>0</v>
          </cell>
          <cell r="AY860" t="str">
            <v>NB</v>
          </cell>
        </row>
        <row r="861">
          <cell r="AM861">
            <v>0</v>
          </cell>
          <cell r="AP861" t="str">
            <v>Véhicules neufs</v>
          </cell>
          <cell r="AQ861" t="str">
            <v>Camions détail</v>
          </cell>
          <cell r="AR861" t="str">
            <v>$</v>
          </cell>
          <cell r="AS861">
            <v>0</v>
          </cell>
          <cell r="AW861">
            <v>0</v>
          </cell>
          <cell r="AY861" t="str">
            <v>NB</v>
          </cell>
        </row>
        <row r="862">
          <cell r="AM862">
            <v>221413.82000000007</v>
          </cell>
          <cell r="AP862" t="str">
            <v>Véhicules neufs</v>
          </cell>
          <cell r="AQ862" t="str">
            <v>Camions détail</v>
          </cell>
          <cell r="AR862" t="str">
            <v>$</v>
          </cell>
          <cell r="AS862">
            <v>0</v>
          </cell>
          <cell r="AW862">
            <v>0</v>
          </cell>
          <cell r="AY862" t="str">
            <v>NB</v>
          </cell>
        </row>
        <row r="863">
          <cell r="AM863">
            <v>0</v>
          </cell>
          <cell r="AP863" t="str">
            <v>Véhicules neufs</v>
          </cell>
          <cell r="AQ863" t="str">
            <v>Camions détail</v>
          </cell>
          <cell r="AR863" t="str">
            <v>$</v>
          </cell>
          <cell r="AS863">
            <v>0</v>
          </cell>
          <cell r="AW863">
            <v>0</v>
          </cell>
          <cell r="AY863" t="str">
            <v>NB</v>
          </cell>
        </row>
        <row r="864">
          <cell r="AM864">
            <v>0</v>
          </cell>
          <cell r="AP864" t="str">
            <v>Véhicules neufs</v>
          </cell>
          <cell r="AQ864" t="str">
            <v>Camions détail</v>
          </cell>
          <cell r="AR864" t="str">
            <v>$</v>
          </cell>
          <cell r="AS864">
            <v>0</v>
          </cell>
          <cell r="AW864">
            <v>0</v>
          </cell>
          <cell r="AY864" t="str">
            <v>NB</v>
          </cell>
        </row>
        <row r="865">
          <cell r="AM865">
            <v>0</v>
          </cell>
          <cell r="AP865" t="str">
            <v>Véhicules neufs</v>
          </cell>
          <cell r="AQ865" t="str">
            <v>Camions electriques</v>
          </cell>
          <cell r="AR865" t="str">
            <v>$</v>
          </cell>
          <cell r="AS865">
            <v>0</v>
          </cell>
          <cell r="AW865">
            <v>0</v>
          </cell>
          <cell r="AY865" t="str">
            <v>NB</v>
          </cell>
        </row>
        <row r="866">
          <cell r="AM866">
            <v>0</v>
          </cell>
          <cell r="AP866" t="e">
            <v>#N/A</v>
          </cell>
          <cell r="AQ866" t="e">
            <v>#N/A</v>
          </cell>
          <cell r="AR866" t="str">
            <v>$</v>
          </cell>
          <cell r="AS866" t="e">
            <v>#N/A</v>
          </cell>
          <cell r="AW866">
            <v>0</v>
          </cell>
          <cell r="AY866" t="str">
            <v>NB</v>
          </cell>
        </row>
        <row r="867">
          <cell r="AM867">
            <v>36688</v>
          </cell>
          <cell r="AP867" t="str">
            <v>Véhicules neufs</v>
          </cell>
          <cell r="AQ867" t="str">
            <v>Camions détail</v>
          </cell>
          <cell r="AR867" t="str">
            <v>$</v>
          </cell>
          <cell r="AS867">
            <v>0</v>
          </cell>
          <cell r="AW867">
            <v>0</v>
          </cell>
          <cell r="AY867" t="str">
            <v>NB</v>
          </cell>
        </row>
        <row r="868">
          <cell r="AM868">
            <v>316197.84000000008</v>
          </cell>
          <cell r="AP868" t="str">
            <v>Véhicules neufs</v>
          </cell>
          <cell r="AQ868" t="str">
            <v>Camions electriques</v>
          </cell>
          <cell r="AR868" t="str">
            <v>$</v>
          </cell>
          <cell r="AS868">
            <v>0</v>
          </cell>
          <cell r="AW868">
            <v>0</v>
          </cell>
          <cell r="AY868" t="str">
            <v>NB</v>
          </cell>
        </row>
        <row r="869">
          <cell r="AM869">
            <v>0</v>
          </cell>
          <cell r="AP869" t="e">
            <v>#N/A</v>
          </cell>
          <cell r="AQ869" t="e">
            <v>#N/A</v>
          </cell>
          <cell r="AR869" t="str">
            <v>$</v>
          </cell>
          <cell r="AS869" t="e">
            <v>#N/A</v>
          </cell>
          <cell r="AW869">
            <v>0</v>
          </cell>
          <cell r="AY869" t="str">
            <v>NB</v>
          </cell>
        </row>
        <row r="870">
          <cell r="AM870">
            <v>0</v>
          </cell>
          <cell r="AP870" t="str">
            <v>Véhicules neufs</v>
          </cell>
          <cell r="AQ870" t="str">
            <v>Camions détail</v>
          </cell>
          <cell r="AR870" t="str">
            <v>$</v>
          </cell>
          <cell r="AS870">
            <v>0</v>
          </cell>
          <cell r="AW870">
            <v>0</v>
          </cell>
          <cell r="AY870" t="str">
            <v>NB</v>
          </cell>
        </row>
        <row r="871">
          <cell r="AM871">
            <v>126926.91</v>
          </cell>
          <cell r="AP871" t="str">
            <v>Véhicules neufs</v>
          </cell>
          <cell r="AQ871" t="str">
            <v>Camions electriques</v>
          </cell>
          <cell r="AR871" t="str">
            <v>$</v>
          </cell>
          <cell r="AS871">
            <v>0</v>
          </cell>
          <cell r="AW871">
            <v>0</v>
          </cell>
          <cell r="AY871" t="str">
            <v>NB</v>
          </cell>
        </row>
        <row r="872">
          <cell r="AM872">
            <v>0</v>
          </cell>
          <cell r="AP872" t="e">
            <v>#N/A</v>
          </cell>
          <cell r="AQ872" t="e">
            <v>#N/A</v>
          </cell>
          <cell r="AR872" t="str">
            <v>$</v>
          </cell>
          <cell r="AS872" t="e">
            <v>#N/A</v>
          </cell>
          <cell r="AW872">
            <v>0</v>
          </cell>
          <cell r="AY872" t="str">
            <v>NB</v>
          </cell>
        </row>
        <row r="873">
          <cell r="AM873">
            <v>0</v>
          </cell>
          <cell r="AP873" t="str">
            <v>Véhicules neufs</v>
          </cell>
          <cell r="AQ873" t="str">
            <v>Camions détail</v>
          </cell>
          <cell r="AR873" t="str">
            <v>$</v>
          </cell>
          <cell r="AS873">
            <v>0</v>
          </cell>
          <cell r="AW873">
            <v>0</v>
          </cell>
          <cell r="AY873" t="str">
            <v>NB</v>
          </cell>
        </row>
        <row r="874">
          <cell r="AM874">
            <v>0</v>
          </cell>
          <cell r="AP874" t="str">
            <v>Véhicules neufs</v>
          </cell>
          <cell r="AQ874" t="str">
            <v>Camions détail</v>
          </cell>
          <cell r="AR874" t="str">
            <v>$</v>
          </cell>
          <cell r="AS874">
            <v>0</v>
          </cell>
          <cell r="AW874">
            <v>0</v>
          </cell>
          <cell r="AY874" t="str">
            <v>NB</v>
          </cell>
        </row>
        <row r="875">
          <cell r="AM875">
            <v>0</v>
          </cell>
          <cell r="AP875" t="e">
            <v>#N/A</v>
          </cell>
          <cell r="AQ875" t="e">
            <v>#N/A</v>
          </cell>
          <cell r="AR875" t="str">
            <v>$</v>
          </cell>
          <cell r="AS875" t="e">
            <v>#N/A</v>
          </cell>
          <cell r="AW875">
            <v>0</v>
          </cell>
          <cell r="AY875" t="str">
            <v>NB</v>
          </cell>
        </row>
        <row r="876">
          <cell r="AM876">
            <v>0</v>
          </cell>
          <cell r="AP876" t="e">
            <v>#N/A</v>
          </cell>
          <cell r="AQ876" t="e">
            <v>#N/A</v>
          </cell>
          <cell r="AR876" t="str">
            <v>$</v>
          </cell>
          <cell r="AS876" t="e">
            <v>#N/A</v>
          </cell>
          <cell r="AW876">
            <v>0</v>
          </cell>
          <cell r="AY876" t="str">
            <v>NB</v>
          </cell>
        </row>
        <row r="877">
          <cell r="AM877">
            <v>4061443.6799999997</v>
          </cell>
          <cell r="AP877" t="str">
            <v>Véhicules neufs</v>
          </cell>
          <cell r="AQ877" t="str">
            <v>Flottes</v>
          </cell>
          <cell r="AR877" t="str">
            <v>$</v>
          </cell>
          <cell r="AS877">
            <v>0</v>
          </cell>
          <cell r="AW877">
            <v>0</v>
          </cell>
          <cell r="AY877" t="str">
            <v>NB</v>
          </cell>
        </row>
        <row r="878">
          <cell r="AM878">
            <v>0</v>
          </cell>
          <cell r="AP878" t="str">
            <v>Véhicules neufs</v>
          </cell>
          <cell r="AQ878" t="str">
            <v>Flottes</v>
          </cell>
          <cell r="AR878" t="str">
            <v>$</v>
          </cell>
          <cell r="AS878">
            <v>0</v>
          </cell>
          <cell r="AW878">
            <v>0</v>
          </cell>
          <cell r="AY878" t="str">
            <v>NB</v>
          </cell>
        </row>
        <row r="879">
          <cell r="AM879">
            <v>0</v>
          </cell>
          <cell r="AP879" t="e">
            <v>#N/A</v>
          </cell>
          <cell r="AQ879" t="e">
            <v>#N/A</v>
          </cell>
          <cell r="AR879" t="str">
            <v>$</v>
          </cell>
          <cell r="AS879" t="e">
            <v>#N/A</v>
          </cell>
          <cell r="AW879">
            <v>0</v>
          </cell>
          <cell r="AY879" t="str">
            <v>NB</v>
          </cell>
        </row>
        <row r="880">
          <cell r="AM880">
            <v>34905.430000000022</v>
          </cell>
          <cell r="AP880" t="str">
            <v>Véhicules neufs</v>
          </cell>
          <cell r="AQ880" t="str">
            <v>Rev. Protections</v>
          </cell>
          <cell r="AR880" t="str">
            <v>$</v>
          </cell>
          <cell r="AS880">
            <v>0</v>
          </cell>
          <cell r="AW880">
            <v>0</v>
          </cell>
          <cell r="AY880" t="str">
            <v>NB</v>
          </cell>
        </row>
        <row r="881">
          <cell r="AM881">
            <v>0</v>
          </cell>
          <cell r="AP881" t="str">
            <v>Véhicules neufs</v>
          </cell>
          <cell r="AQ881" t="str">
            <v>Rev. Protections</v>
          </cell>
          <cell r="AR881" t="str">
            <v>$</v>
          </cell>
          <cell r="AS881">
            <v>0</v>
          </cell>
          <cell r="AW881">
            <v>0</v>
          </cell>
          <cell r="AY881" t="str">
            <v>NB</v>
          </cell>
        </row>
        <row r="882">
          <cell r="AM882">
            <v>4542.12</v>
          </cell>
          <cell r="AP882" t="str">
            <v>Véhicules neufs</v>
          </cell>
          <cell r="AQ882" t="str">
            <v>Rev. Autres</v>
          </cell>
          <cell r="AR882" t="str">
            <v>$</v>
          </cell>
          <cell r="AS882">
            <v>0</v>
          </cell>
          <cell r="AW882">
            <v>0</v>
          </cell>
          <cell r="AY882" t="str">
            <v>NB</v>
          </cell>
        </row>
        <row r="883">
          <cell r="AM883">
            <v>2779.2699999999995</v>
          </cell>
          <cell r="AP883" t="str">
            <v>Véhicules neufs</v>
          </cell>
          <cell r="AQ883" t="str">
            <v>Rev. Autres</v>
          </cell>
          <cell r="AR883" t="str">
            <v>$</v>
          </cell>
          <cell r="AS883">
            <v>0</v>
          </cell>
          <cell r="AW883">
            <v>0</v>
          </cell>
          <cell r="AY883" t="str">
            <v>NB</v>
          </cell>
        </row>
        <row r="884">
          <cell r="AM884">
            <v>2338</v>
          </cell>
          <cell r="AP884" t="str">
            <v>Véhicules neufs</v>
          </cell>
          <cell r="AQ884" t="str">
            <v>Rev. Protections</v>
          </cell>
          <cell r="AR884" t="str">
            <v>$</v>
          </cell>
          <cell r="AS884">
            <v>0</v>
          </cell>
          <cell r="AW884">
            <v>0</v>
          </cell>
          <cell r="AY884" t="str">
            <v>NB</v>
          </cell>
        </row>
        <row r="885">
          <cell r="AM885">
            <v>3590.1600000000017</v>
          </cell>
          <cell r="AP885" t="str">
            <v>Véhicules neufs</v>
          </cell>
          <cell r="AQ885" t="str">
            <v>Rev. Autres</v>
          </cell>
          <cell r="AR885" t="str">
            <v>$</v>
          </cell>
          <cell r="AS885">
            <v>0</v>
          </cell>
          <cell r="AW885">
            <v>0</v>
          </cell>
          <cell r="AY885" t="str">
            <v>NB</v>
          </cell>
        </row>
        <row r="886">
          <cell r="AM886">
            <v>0</v>
          </cell>
          <cell r="AP886" t="str">
            <v>Véhicules usagés</v>
          </cell>
          <cell r="AQ886" t="str">
            <v>Certifié</v>
          </cell>
          <cell r="AR886" t="str">
            <v>$</v>
          </cell>
          <cell r="AS886">
            <v>0</v>
          </cell>
          <cell r="AW886">
            <v>0</v>
          </cell>
          <cell r="AY886" t="str">
            <v>NB</v>
          </cell>
        </row>
        <row r="887">
          <cell r="AM887">
            <v>145119.40000000002</v>
          </cell>
          <cell r="AP887" t="str">
            <v>Véhicules usagés</v>
          </cell>
          <cell r="AQ887" t="str">
            <v>Non Certifié</v>
          </cell>
          <cell r="AR887" t="str">
            <v>$</v>
          </cell>
          <cell r="AS887">
            <v>0</v>
          </cell>
          <cell r="AW887">
            <v>0</v>
          </cell>
          <cell r="AY887" t="str">
            <v>NB</v>
          </cell>
        </row>
        <row r="888">
          <cell r="AM888">
            <v>0</v>
          </cell>
          <cell r="AP888" t="e">
            <v>#N/A</v>
          </cell>
          <cell r="AQ888" t="e">
            <v>#N/A</v>
          </cell>
          <cell r="AR888" t="str">
            <v>$</v>
          </cell>
          <cell r="AS888" t="e">
            <v>#N/A</v>
          </cell>
          <cell r="AW888">
            <v>0</v>
          </cell>
          <cell r="AY888" t="str">
            <v>NB</v>
          </cell>
        </row>
        <row r="889">
          <cell r="AM889">
            <v>0</v>
          </cell>
          <cell r="AP889">
            <v>0</v>
          </cell>
          <cell r="AQ889">
            <v>0</v>
          </cell>
          <cell r="AR889" t="str">
            <v>$</v>
          </cell>
          <cell r="AS889">
            <v>0</v>
          </cell>
          <cell r="AW889">
            <v>0</v>
          </cell>
          <cell r="AY889" t="str">
            <v>NB</v>
          </cell>
        </row>
        <row r="890">
          <cell r="AM890">
            <v>0</v>
          </cell>
          <cell r="AP890" t="str">
            <v>Véhicules usagés</v>
          </cell>
          <cell r="AQ890" t="str">
            <v>Certifié</v>
          </cell>
          <cell r="AR890" t="str">
            <v>$</v>
          </cell>
          <cell r="AS890">
            <v>0</v>
          </cell>
          <cell r="AW890">
            <v>0</v>
          </cell>
          <cell r="AY890" t="str">
            <v>NB</v>
          </cell>
        </row>
        <row r="891">
          <cell r="AM891">
            <v>0</v>
          </cell>
          <cell r="AP891">
            <v>0</v>
          </cell>
          <cell r="AQ891">
            <v>0</v>
          </cell>
          <cell r="AR891" t="str">
            <v>$</v>
          </cell>
          <cell r="AS891">
            <v>0</v>
          </cell>
          <cell r="AW891">
            <v>0</v>
          </cell>
          <cell r="AY891" t="str">
            <v>NB</v>
          </cell>
        </row>
        <row r="892">
          <cell r="AM892">
            <v>0</v>
          </cell>
          <cell r="AP892">
            <v>0</v>
          </cell>
          <cell r="AQ892">
            <v>0</v>
          </cell>
          <cell r="AR892" t="str">
            <v>$</v>
          </cell>
          <cell r="AS892">
            <v>0</v>
          </cell>
          <cell r="AW892">
            <v>0</v>
          </cell>
          <cell r="AY892" t="str">
            <v>NB</v>
          </cell>
        </row>
        <row r="893">
          <cell r="AM893">
            <v>0</v>
          </cell>
          <cell r="AP893">
            <v>0</v>
          </cell>
          <cell r="AQ893">
            <v>0</v>
          </cell>
          <cell r="AR893" t="str">
            <v>$</v>
          </cell>
          <cell r="AS893">
            <v>0</v>
          </cell>
          <cell r="AW893">
            <v>0</v>
          </cell>
          <cell r="AY893" t="str">
            <v>NB</v>
          </cell>
        </row>
        <row r="894">
          <cell r="AM894">
            <v>37130</v>
          </cell>
          <cell r="AP894" t="str">
            <v>Véhicules usagés</v>
          </cell>
          <cell r="AQ894" t="str">
            <v>Ventes au Gros</v>
          </cell>
          <cell r="AR894" t="str">
            <v>$</v>
          </cell>
          <cell r="AS894">
            <v>0</v>
          </cell>
          <cell r="AW894">
            <v>0</v>
          </cell>
          <cell r="AY894" t="str">
            <v>NB</v>
          </cell>
        </row>
        <row r="895">
          <cell r="AM895">
            <v>0</v>
          </cell>
          <cell r="AP895">
            <v>0</v>
          </cell>
          <cell r="AQ895">
            <v>0</v>
          </cell>
          <cell r="AR895" t="str">
            <v>$</v>
          </cell>
          <cell r="AS895">
            <v>0</v>
          </cell>
          <cell r="AW895">
            <v>0</v>
          </cell>
          <cell r="AY895" t="str">
            <v>NB</v>
          </cell>
        </row>
        <row r="896">
          <cell r="AM896">
            <v>0</v>
          </cell>
          <cell r="AP896" t="str">
            <v>Véhicules usagés</v>
          </cell>
          <cell r="AQ896" t="str">
            <v>Ventes au Gros</v>
          </cell>
          <cell r="AR896" t="str">
            <v>$</v>
          </cell>
          <cell r="AS896" t="str">
            <v>Oui</v>
          </cell>
          <cell r="AW896">
            <v>0</v>
          </cell>
          <cell r="AY896" t="str">
            <v>NB</v>
          </cell>
        </row>
        <row r="897">
          <cell r="AM897">
            <v>701274.69999999972</v>
          </cell>
          <cell r="AP897" t="str">
            <v>Véhicules usagés</v>
          </cell>
          <cell r="AQ897" t="str">
            <v>Non Certifié</v>
          </cell>
          <cell r="AR897" t="str">
            <v>$</v>
          </cell>
          <cell r="AS897">
            <v>0</v>
          </cell>
          <cell r="AW897">
            <v>0</v>
          </cell>
          <cell r="AY897" t="str">
            <v>NB</v>
          </cell>
        </row>
        <row r="898">
          <cell r="AM898">
            <v>0</v>
          </cell>
          <cell r="AP898" t="e">
            <v>#N/A</v>
          </cell>
          <cell r="AQ898" t="e">
            <v>#N/A</v>
          </cell>
          <cell r="AR898" t="str">
            <v>$</v>
          </cell>
          <cell r="AS898" t="e">
            <v>#N/A</v>
          </cell>
          <cell r="AW898">
            <v>0</v>
          </cell>
          <cell r="AY898" t="str">
            <v>NB</v>
          </cell>
        </row>
        <row r="899">
          <cell r="AM899">
            <v>163049.32</v>
          </cell>
          <cell r="AP899">
            <v>0</v>
          </cell>
          <cell r="AQ899">
            <v>0</v>
          </cell>
          <cell r="AR899" t="str">
            <v>$</v>
          </cell>
          <cell r="AS899">
            <v>0</v>
          </cell>
          <cell r="AW899">
            <v>0</v>
          </cell>
          <cell r="AY899" t="str">
            <v>NB</v>
          </cell>
        </row>
        <row r="900">
          <cell r="AM900">
            <v>0</v>
          </cell>
          <cell r="AP900" t="e">
            <v>#N/A</v>
          </cell>
          <cell r="AQ900" t="e">
            <v>#N/A</v>
          </cell>
          <cell r="AR900" t="str">
            <v>$</v>
          </cell>
          <cell r="AS900" t="e">
            <v>#N/A</v>
          </cell>
          <cell r="AW900">
            <v>0</v>
          </cell>
          <cell r="AY900" t="str">
            <v>NB</v>
          </cell>
        </row>
        <row r="901">
          <cell r="AM901">
            <v>0</v>
          </cell>
          <cell r="AP901">
            <v>0</v>
          </cell>
          <cell r="AQ901">
            <v>0</v>
          </cell>
          <cell r="AR901" t="str">
            <v>$</v>
          </cell>
          <cell r="AS901">
            <v>0</v>
          </cell>
          <cell r="AW901">
            <v>0</v>
          </cell>
          <cell r="AY901" t="str">
            <v>NB</v>
          </cell>
        </row>
        <row r="902">
          <cell r="AM902">
            <v>0</v>
          </cell>
          <cell r="AP902">
            <v>0</v>
          </cell>
          <cell r="AQ902">
            <v>0</v>
          </cell>
          <cell r="AR902" t="str">
            <v>$</v>
          </cell>
          <cell r="AS902">
            <v>0</v>
          </cell>
          <cell r="AW902">
            <v>0</v>
          </cell>
          <cell r="AY902" t="str">
            <v>NB</v>
          </cell>
        </row>
        <row r="903">
          <cell r="AM903">
            <v>0</v>
          </cell>
          <cell r="AP903">
            <v>0</v>
          </cell>
          <cell r="AQ903">
            <v>0</v>
          </cell>
          <cell r="AR903" t="str">
            <v>$</v>
          </cell>
          <cell r="AS903">
            <v>0</v>
          </cell>
          <cell r="AW903">
            <v>0</v>
          </cell>
          <cell r="AY903" t="str">
            <v>NB</v>
          </cell>
        </row>
        <row r="904">
          <cell r="AM904">
            <v>526722.13999999966</v>
          </cell>
          <cell r="AP904" t="str">
            <v>Véhicules usagés</v>
          </cell>
          <cell r="AQ904" t="str">
            <v>Ventes au Gros</v>
          </cell>
          <cell r="AR904" t="str">
            <v>$</v>
          </cell>
          <cell r="AS904">
            <v>0</v>
          </cell>
          <cell r="AW904">
            <v>0</v>
          </cell>
          <cell r="AY904" t="str">
            <v>NB</v>
          </cell>
        </row>
        <row r="905">
          <cell r="AM905">
            <v>1743500</v>
          </cell>
          <cell r="AP905" t="str">
            <v>Wholesale autres</v>
          </cell>
          <cell r="AQ905" t="str">
            <v>Wholesale Luxueux</v>
          </cell>
          <cell r="AR905" t="str">
            <v>$</v>
          </cell>
          <cell r="AS905">
            <v>0</v>
          </cell>
          <cell r="AW905">
            <v>0</v>
          </cell>
          <cell r="AY905" t="str">
            <v>NB</v>
          </cell>
        </row>
        <row r="906">
          <cell r="AM906">
            <v>0</v>
          </cell>
          <cell r="AP906" t="str">
            <v>Wholesale autres</v>
          </cell>
          <cell r="AQ906" t="str">
            <v>Wholesale Luxueux</v>
          </cell>
          <cell r="AR906" t="str">
            <v>$</v>
          </cell>
          <cell r="AS906">
            <v>0</v>
          </cell>
          <cell r="AW906">
            <v>0</v>
          </cell>
          <cell r="AY906" t="str">
            <v>NB</v>
          </cell>
        </row>
        <row r="907">
          <cell r="AM907">
            <v>0</v>
          </cell>
          <cell r="AP907">
            <v>0</v>
          </cell>
          <cell r="AQ907">
            <v>0</v>
          </cell>
          <cell r="AR907" t="str">
            <v>$</v>
          </cell>
          <cell r="AS907">
            <v>0</v>
          </cell>
          <cell r="AW907">
            <v>0</v>
          </cell>
          <cell r="AY907" t="str">
            <v>NB</v>
          </cell>
        </row>
        <row r="908">
          <cell r="AM908">
            <v>0</v>
          </cell>
          <cell r="AP908" t="str">
            <v>Véhicules usagés</v>
          </cell>
          <cell r="AQ908" t="str">
            <v>Rev. Protections</v>
          </cell>
          <cell r="AR908" t="str">
            <v>$</v>
          </cell>
          <cell r="AS908">
            <v>0</v>
          </cell>
          <cell r="AW908">
            <v>0</v>
          </cell>
          <cell r="AY908" t="str">
            <v>NB</v>
          </cell>
        </row>
        <row r="909">
          <cell r="AM909">
            <v>5911</v>
          </cell>
          <cell r="AP909" t="str">
            <v>Véhicules usagés</v>
          </cell>
          <cell r="AQ909" t="str">
            <v>Rev. Protections</v>
          </cell>
          <cell r="AR909" t="str">
            <v>$</v>
          </cell>
          <cell r="AS909">
            <v>0</v>
          </cell>
          <cell r="AW909">
            <v>0</v>
          </cell>
          <cell r="AY909" t="str">
            <v>NB</v>
          </cell>
        </row>
        <row r="910">
          <cell r="AM910">
            <v>0</v>
          </cell>
          <cell r="AP910" t="e">
            <v>#N/A</v>
          </cell>
          <cell r="AQ910" t="e">
            <v>#N/A</v>
          </cell>
          <cell r="AR910" t="str">
            <v>$</v>
          </cell>
          <cell r="AS910" t="e">
            <v>#N/A</v>
          </cell>
          <cell r="AW910">
            <v>0</v>
          </cell>
          <cell r="AY910" t="str">
            <v>NB</v>
          </cell>
        </row>
        <row r="911">
          <cell r="AM911">
            <v>760</v>
          </cell>
          <cell r="AP911" t="str">
            <v>Véhicules usagés</v>
          </cell>
          <cell r="AQ911" t="str">
            <v>Rev. Protections</v>
          </cell>
          <cell r="AR911" t="str">
            <v>$</v>
          </cell>
          <cell r="AS911">
            <v>0</v>
          </cell>
          <cell r="AW911">
            <v>0</v>
          </cell>
          <cell r="AY911" t="str">
            <v>NB</v>
          </cell>
        </row>
        <row r="912">
          <cell r="AM912">
            <v>0</v>
          </cell>
          <cell r="AP912" t="str">
            <v>Véhicules usagés</v>
          </cell>
          <cell r="AQ912" t="str">
            <v>Rev. Protections</v>
          </cell>
          <cell r="AR912" t="str">
            <v>$</v>
          </cell>
          <cell r="AS912">
            <v>0</v>
          </cell>
          <cell r="AW912">
            <v>0</v>
          </cell>
          <cell r="AY912" t="str">
            <v>NB</v>
          </cell>
        </row>
        <row r="913">
          <cell r="AM913">
            <v>0</v>
          </cell>
          <cell r="AP913" t="str">
            <v>Véhicules usagés</v>
          </cell>
          <cell r="AQ913" t="str">
            <v>Rev. Protections</v>
          </cell>
          <cell r="AR913" t="str">
            <v>$</v>
          </cell>
          <cell r="AS913">
            <v>0</v>
          </cell>
          <cell r="AW913">
            <v>0</v>
          </cell>
          <cell r="AY913" t="str">
            <v>NB</v>
          </cell>
        </row>
        <row r="914">
          <cell r="AM914">
            <v>0</v>
          </cell>
          <cell r="AP914" t="str">
            <v>Wholesale autres</v>
          </cell>
          <cell r="AQ914" t="str">
            <v>Wholesale USA</v>
          </cell>
          <cell r="AR914" t="str">
            <v>$</v>
          </cell>
          <cell r="AS914">
            <v>0</v>
          </cell>
          <cell r="AW914">
            <v>0</v>
          </cell>
          <cell r="AY914" t="str">
            <v>NB</v>
          </cell>
        </row>
        <row r="915">
          <cell r="AM915">
            <v>0</v>
          </cell>
          <cell r="AP915" t="str">
            <v>Wholesale autres</v>
          </cell>
          <cell r="AQ915" t="str">
            <v>Wholesale USA</v>
          </cell>
          <cell r="AR915" t="str">
            <v>$</v>
          </cell>
          <cell r="AS915">
            <v>0</v>
          </cell>
          <cell r="AW915">
            <v>0</v>
          </cell>
          <cell r="AY915" t="str">
            <v>NB</v>
          </cell>
        </row>
        <row r="916">
          <cell r="AM916">
            <v>2077921.9800000004</v>
          </cell>
          <cell r="AP916" t="str">
            <v>Wholesale autres</v>
          </cell>
          <cell r="AQ916" t="str">
            <v>Wholesale USA</v>
          </cell>
          <cell r="AR916" t="str">
            <v>$</v>
          </cell>
          <cell r="AS916">
            <v>0</v>
          </cell>
          <cell r="AW916">
            <v>0</v>
          </cell>
          <cell r="AY916" t="str">
            <v>NB</v>
          </cell>
        </row>
        <row r="917">
          <cell r="AM917">
            <v>1498237.75</v>
          </cell>
          <cell r="AP917">
            <v>0</v>
          </cell>
          <cell r="AQ917">
            <v>0</v>
          </cell>
          <cell r="AR917" t="str">
            <v>$</v>
          </cell>
          <cell r="AS917">
            <v>0</v>
          </cell>
          <cell r="AW917">
            <v>0</v>
          </cell>
          <cell r="AY917" t="str">
            <v>NB</v>
          </cell>
        </row>
        <row r="918">
          <cell r="AM918">
            <v>811256.55999999959</v>
          </cell>
          <cell r="AP918" t="str">
            <v>Wholesale autres</v>
          </cell>
          <cell r="AQ918" t="str">
            <v>Wholesale Canada</v>
          </cell>
          <cell r="AR918" t="str">
            <v>$</v>
          </cell>
          <cell r="AS918">
            <v>0</v>
          </cell>
          <cell r="AW918">
            <v>0</v>
          </cell>
          <cell r="AY918" t="str">
            <v>NB</v>
          </cell>
        </row>
        <row r="919">
          <cell r="AM919">
            <v>17117.98000000001</v>
          </cell>
          <cell r="AP919" t="str">
            <v>Service</v>
          </cell>
          <cell r="AQ919" t="str">
            <v>M/O Client</v>
          </cell>
          <cell r="AR919" t="str">
            <v>$</v>
          </cell>
          <cell r="AS919">
            <v>0</v>
          </cell>
          <cell r="AW919">
            <v>0</v>
          </cell>
          <cell r="AY919" t="str">
            <v>NB</v>
          </cell>
        </row>
        <row r="920">
          <cell r="AM920">
            <v>0</v>
          </cell>
          <cell r="AP920" t="str">
            <v>Service</v>
          </cell>
          <cell r="AQ920" t="str">
            <v>M/O Client</v>
          </cell>
          <cell r="AR920" t="str">
            <v>$</v>
          </cell>
          <cell r="AS920">
            <v>0</v>
          </cell>
          <cell r="AW920">
            <v>0</v>
          </cell>
          <cell r="AY920" t="str">
            <v>NB</v>
          </cell>
        </row>
        <row r="921">
          <cell r="AM921">
            <v>0</v>
          </cell>
          <cell r="AP921" t="str">
            <v>Service</v>
          </cell>
          <cell r="AQ921" t="str">
            <v>M/O Garantie</v>
          </cell>
          <cell r="AR921" t="str">
            <v>$</v>
          </cell>
          <cell r="AS921">
            <v>0</v>
          </cell>
          <cell r="AW921">
            <v>0</v>
          </cell>
          <cell r="AY921" t="str">
            <v>NB</v>
          </cell>
        </row>
        <row r="922">
          <cell r="AM922">
            <v>0</v>
          </cell>
          <cell r="AP922" t="e">
            <v>#N/A</v>
          </cell>
          <cell r="AQ922" t="e">
            <v>#N/A</v>
          </cell>
          <cell r="AR922" t="str">
            <v>$</v>
          </cell>
          <cell r="AS922" t="e">
            <v>#N/A</v>
          </cell>
          <cell r="AW922">
            <v>0</v>
          </cell>
          <cell r="AY922" t="str">
            <v>NB</v>
          </cell>
        </row>
        <row r="923">
          <cell r="AM923">
            <v>426.54999999999973</v>
          </cell>
          <cell r="AP923" t="str">
            <v>Service</v>
          </cell>
          <cell r="AQ923" t="str">
            <v>M/O Client</v>
          </cell>
          <cell r="AR923" t="str">
            <v>$</v>
          </cell>
          <cell r="AS923">
            <v>0</v>
          </cell>
          <cell r="AW923">
            <v>0</v>
          </cell>
          <cell r="AY923" t="str">
            <v>NB</v>
          </cell>
        </row>
        <row r="924">
          <cell r="AM924">
            <v>0</v>
          </cell>
          <cell r="AP924" t="e">
            <v>#N/A</v>
          </cell>
          <cell r="AQ924" t="e">
            <v>#N/A</v>
          </cell>
          <cell r="AR924" t="str">
            <v>$</v>
          </cell>
          <cell r="AS924" t="e">
            <v>#N/A</v>
          </cell>
          <cell r="AW924">
            <v>0</v>
          </cell>
          <cell r="AY924" t="str">
            <v>NB</v>
          </cell>
        </row>
        <row r="925">
          <cell r="AM925">
            <v>6363</v>
          </cell>
          <cell r="AP925" t="str">
            <v>SAAQ</v>
          </cell>
          <cell r="AQ925" t="str">
            <v>Inspection - Véhicules Légers</v>
          </cell>
          <cell r="AR925" t="str">
            <v>$</v>
          </cell>
          <cell r="AS925">
            <v>0</v>
          </cell>
          <cell r="AW925">
            <v>0</v>
          </cell>
          <cell r="AY925" t="str">
            <v>NB</v>
          </cell>
        </row>
        <row r="926">
          <cell r="AM926">
            <v>0</v>
          </cell>
          <cell r="AP926" t="e">
            <v>#N/A</v>
          </cell>
          <cell r="AQ926" t="e">
            <v>#N/A</v>
          </cell>
          <cell r="AR926" t="str">
            <v>$</v>
          </cell>
          <cell r="AS926" t="e">
            <v>#N/A</v>
          </cell>
          <cell r="AW926">
            <v>0</v>
          </cell>
          <cell r="AY926" t="str">
            <v>NB</v>
          </cell>
        </row>
        <row r="927">
          <cell r="AM927">
            <v>0</v>
          </cell>
          <cell r="AP927" t="str">
            <v>SAAQ</v>
          </cell>
          <cell r="AQ927" t="str">
            <v>Inspection - Véhicules Interne</v>
          </cell>
          <cell r="AR927" t="str">
            <v>$</v>
          </cell>
          <cell r="AS927">
            <v>0</v>
          </cell>
          <cell r="AW927">
            <v>0</v>
          </cell>
          <cell r="AY927" t="str">
            <v>NB</v>
          </cell>
        </row>
        <row r="928">
          <cell r="AM928">
            <v>18934.330000000002</v>
          </cell>
          <cell r="AP928" t="str">
            <v>SAAQ</v>
          </cell>
          <cell r="AQ928" t="str">
            <v>Inspection - Véhicules Lourds</v>
          </cell>
          <cell r="AR928" t="str">
            <v>$</v>
          </cell>
          <cell r="AS928">
            <v>0</v>
          </cell>
          <cell r="AW928">
            <v>0</v>
          </cell>
          <cell r="AY928" t="str">
            <v>NB</v>
          </cell>
        </row>
        <row r="929">
          <cell r="AM929">
            <v>0</v>
          </cell>
          <cell r="AP929" t="e">
            <v>#N/A</v>
          </cell>
          <cell r="AQ929" t="e">
            <v>#N/A</v>
          </cell>
          <cell r="AR929" t="str">
            <v>$</v>
          </cell>
          <cell r="AS929" t="e">
            <v>#N/A</v>
          </cell>
          <cell r="AW929">
            <v>0</v>
          </cell>
          <cell r="AY929" t="str">
            <v>NB</v>
          </cell>
        </row>
        <row r="930">
          <cell r="AM930">
            <v>15010.020000000004</v>
          </cell>
          <cell r="AP930" t="str">
            <v>Service</v>
          </cell>
          <cell r="AQ930" t="str">
            <v>M/O Garantie</v>
          </cell>
          <cell r="AR930" t="str">
            <v>$</v>
          </cell>
          <cell r="AS930">
            <v>0</v>
          </cell>
          <cell r="AW930">
            <v>0</v>
          </cell>
          <cell r="AY930" t="str">
            <v>NB</v>
          </cell>
        </row>
        <row r="931">
          <cell r="AM931">
            <v>14223.5</v>
          </cell>
          <cell r="AP931" t="str">
            <v>Service</v>
          </cell>
          <cell r="AQ931" t="str">
            <v>M/O Interne</v>
          </cell>
          <cell r="AR931" t="str">
            <v>$</v>
          </cell>
          <cell r="AS931">
            <v>0</v>
          </cell>
          <cell r="AW931">
            <v>0</v>
          </cell>
          <cell r="AY931" t="str">
            <v>NB</v>
          </cell>
        </row>
        <row r="932">
          <cell r="AM932">
            <v>0</v>
          </cell>
          <cell r="AP932" t="e">
            <v>#N/A</v>
          </cell>
          <cell r="AQ932" t="e">
            <v>#N/A</v>
          </cell>
          <cell r="AR932" t="str">
            <v>$</v>
          </cell>
          <cell r="AS932" t="e">
            <v>#N/A</v>
          </cell>
          <cell r="AW932">
            <v>0</v>
          </cell>
          <cell r="AY932" t="str">
            <v>NB</v>
          </cell>
        </row>
        <row r="933">
          <cell r="AM933">
            <v>177.20000000000005</v>
          </cell>
          <cell r="AP933" t="str">
            <v>SAAQ</v>
          </cell>
          <cell r="AQ933" t="str">
            <v>Inspection - Véhicules Interne</v>
          </cell>
          <cell r="AR933" t="str">
            <v>$</v>
          </cell>
          <cell r="AS933">
            <v>0</v>
          </cell>
          <cell r="AW933">
            <v>0</v>
          </cell>
          <cell r="AY933" t="str">
            <v>NB</v>
          </cell>
        </row>
        <row r="934">
          <cell r="AM934">
            <v>2687.3499999999985</v>
          </cell>
          <cell r="AP934" t="str">
            <v>Service</v>
          </cell>
          <cell r="AQ934" t="str">
            <v>M/O Interne</v>
          </cell>
          <cell r="AR934" t="str">
            <v>$</v>
          </cell>
          <cell r="AS934">
            <v>0</v>
          </cell>
          <cell r="AW934">
            <v>0</v>
          </cell>
          <cell r="AY934" t="str">
            <v>NB</v>
          </cell>
        </row>
        <row r="935">
          <cell r="AM935">
            <v>0</v>
          </cell>
          <cell r="AP935" t="e">
            <v>#N/A</v>
          </cell>
          <cell r="AQ935" t="e">
            <v>#N/A</v>
          </cell>
          <cell r="AR935" t="str">
            <v>$</v>
          </cell>
          <cell r="AS935" t="e">
            <v>#N/A</v>
          </cell>
          <cell r="AW935">
            <v>0</v>
          </cell>
          <cell r="AY935" t="str">
            <v>NB</v>
          </cell>
        </row>
        <row r="936">
          <cell r="AM936">
            <v>159.40999999999985</v>
          </cell>
          <cell r="AP936" t="str">
            <v>Service</v>
          </cell>
          <cell r="AQ936" t="str">
            <v>Ajustement M/O</v>
          </cell>
          <cell r="AR936" t="str">
            <v>$</v>
          </cell>
          <cell r="AS936">
            <v>0</v>
          </cell>
          <cell r="AW936">
            <v>0</v>
          </cell>
          <cell r="AY936" t="str">
            <v>NB</v>
          </cell>
        </row>
        <row r="937">
          <cell r="AM937">
            <v>1417.39</v>
          </cell>
          <cell r="AP937" t="str">
            <v>SAAQ</v>
          </cell>
          <cell r="AQ937" t="str">
            <v>Ajustement M/O SAAQ</v>
          </cell>
          <cell r="AR937" t="str">
            <v>$</v>
          </cell>
          <cell r="AS937">
            <v>0</v>
          </cell>
          <cell r="AW937">
            <v>0</v>
          </cell>
          <cell r="AY937" t="str">
            <v>NB</v>
          </cell>
        </row>
        <row r="938">
          <cell r="AM938">
            <v>7357.9399999999951</v>
          </cell>
          <cell r="AP938" t="str">
            <v>Service</v>
          </cell>
          <cell r="AQ938" t="str">
            <v>Sous-traitement</v>
          </cell>
          <cell r="AR938" t="str">
            <v>$</v>
          </cell>
          <cell r="AS938">
            <v>0</v>
          </cell>
          <cell r="AW938">
            <v>0</v>
          </cell>
          <cell r="AY938" t="str">
            <v>NB</v>
          </cell>
        </row>
        <row r="939">
          <cell r="AM939">
            <v>0</v>
          </cell>
          <cell r="AP939" t="str">
            <v>SAAQ</v>
          </cell>
          <cell r="AQ939" t="str">
            <v>Inspection - Véhicules Interne</v>
          </cell>
          <cell r="AR939" t="str">
            <v>$</v>
          </cell>
          <cell r="AS939">
            <v>0</v>
          </cell>
          <cell r="AW939">
            <v>0</v>
          </cell>
          <cell r="AY939" t="str">
            <v>NB</v>
          </cell>
        </row>
        <row r="940">
          <cell r="AM940">
            <v>0</v>
          </cell>
          <cell r="AP940" t="e">
            <v>#N/A</v>
          </cell>
          <cell r="AQ940" t="e">
            <v>#N/A</v>
          </cell>
          <cell r="AR940" t="str">
            <v>$</v>
          </cell>
          <cell r="AS940" t="e">
            <v>#N/A</v>
          </cell>
          <cell r="AW940">
            <v>0</v>
          </cell>
          <cell r="AY940" t="str">
            <v>NB</v>
          </cell>
        </row>
        <row r="941">
          <cell r="AM941">
            <v>34170.380000000005</v>
          </cell>
          <cell r="AP941" t="str">
            <v>Pièces</v>
          </cell>
          <cell r="AQ941" t="str">
            <v>Pièces Ro Clients</v>
          </cell>
          <cell r="AR941" t="str">
            <v>$</v>
          </cell>
          <cell r="AS941">
            <v>0</v>
          </cell>
          <cell r="AW941">
            <v>0</v>
          </cell>
          <cell r="AY941" t="str">
            <v>NB</v>
          </cell>
        </row>
        <row r="942">
          <cell r="AM942">
            <v>0</v>
          </cell>
          <cell r="AP942" t="str">
            <v>Pièces</v>
          </cell>
          <cell r="AQ942" t="str">
            <v>Pièces Ro Clients</v>
          </cell>
          <cell r="AR942" t="str">
            <v>$</v>
          </cell>
          <cell r="AS942">
            <v>0</v>
          </cell>
          <cell r="AW942">
            <v>0</v>
          </cell>
          <cell r="AY942" t="str">
            <v>NB</v>
          </cell>
        </row>
        <row r="943">
          <cell r="AM943">
            <v>0</v>
          </cell>
          <cell r="AP943">
            <v>0</v>
          </cell>
          <cell r="AQ943">
            <v>0</v>
          </cell>
          <cell r="AR943" t="str">
            <v>$</v>
          </cell>
          <cell r="AS943">
            <v>0</v>
          </cell>
          <cell r="AW943">
            <v>0</v>
          </cell>
          <cell r="AY943" t="str">
            <v>NB</v>
          </cell>
        </row>
        <row r="944">
          <cell r="AM944">
            <v>0</v>
          </cell>
          <cell r="AP944">
            <v>0</v>
          </cell>
          <cell r="AQ944">
            <v>0</v>
          </cell>
          <cell r="AR944" t="str">
            <v>$</v>
          </cell>
          <cell r="AS944">
            <v>0</v>
          </cell>
          <cell r="AW944">
            <v>0</v>
          </cell>
          <cell r="AY944" t="str">
            <v>NB</v>
          </cell>
        </row>
        <row r="945">
          <cell r="AM945">
            <v>0</v>
          </cell>
          <cell r="AP945">
            <v>0</v>
          </cell>
          <cell r="AQ945">
            <v>0</v>
          </cell>
          <cell r="AR945" t="str">
            <v>$</v>
          </cell>
          <cell r="AS945">
            <v>0</v>
          </cell>
          <cell r="AW945">
            <v>0</v>
          </cell>
          <cell r="AY945" t="str">
            <v>NB</v>
          </cell>
        </row>
        <row r="946">
          <cell r="AM946">
            <v>0</v>
          </cell>
          <cell r="AP946" t="e">
            <v>#N/A</v>
          </cell>
          <cell r="AQ946" t="e">
            <v>#N/A</v>
          </cell>
          <cell r="AR946" t="str">
            <v>$</v>
          </cell>
          <cell r="AS946" t="e">
            <v>#N/A</v>
          </cell>
          <cell r="AW946">
            <v>0</v>
          </cell>
          <cell r="AY946" t="str">
            <v>NB</v>
          </cell>
        </row>
        <row r="947">
          <cell r="AM947">
            <v>0</v>
          </cell>
          <cell r="AP947" t="str">
            <v>Service</v>
          </cell>
          <cell r="AQ947" t="str">
            <v>Sous-traitement</v>
          </cell>
          <cell r="AR947" t="str">
            <v>$</v>
          </cell>
          <cell r="AS947">
            <v>0</v>
          </cell>
          <cell r="AW947">
            <v>0</v>
          </cell>
          <cell r="AY947" t="str">
            <v>NB</v>
          </cell>
        </row>
        <row r="948">
          <cell r="AM948">
            <v>1538.1599999999999</v>
          </cell>
          <cell r="AP948" t="str">
            <v>Carrosserie</v>
          </cell>
          <cell r="AQ948" t="str">
            <v>Carrosserie Clients</v>
          </cell>
          <cell r="AR948" t="str">
            <v>$</v>
          </cell>
          <cell r="AS948">
            <v>0</v>
          </cell>
          <cell r="AW948">
            <v>0</v>
          </cell>
          <cell r="AY948" t="str">
            <v>NB</v>
          </cell>
        </row>
        <row r="949">
          <cell r="AM949">
            <v>2248.11</v>
          </cell>
          <cell r="AP949" t="str">
            <v>Carrosserie</v>
          </cell>
          <cell r="AQ949" t="str">
            <v>Carrosserie Concessions</v>
          </cell>
          <cell r="AR949" t="str">
            <v>$</v>
          </cell>
          <cell r="AS949">
            <v>0</v>
          </cell>
          <cell r="AW949">
            <v>0</v>
          </cell>
          <cell r="AY949" t="str">
            <v>NB</v>
          </cell>
        </row>
        <row r="950">
          <cell r="AM950">
            <v>9420.86</v>
          </cell>
          <cell r="AP950" t="str">
            <v>Carrosserie</v>
          </cell>
          <cell r="AQ950" t="str">
            <v>Carrosserie Clients</v>
          </cell>
          <cell r="AR950" t="str">
            <v>$</v>
          </cell>
          <cell r="AS950">
            <v>0</v>
          </cell>
          <cell r="AW950">
            <v>0</v>
          </cell>
          <cell r="AY950" t="str">
            <v>NB</v>
          </cell>
        </row>
        <row r="951">
          <cell r="AM951">
            <v>8383.09</v>
          </cell>
          <cell r="AP951" t="str">
            <v>Carrosserie</v>
          </cell>
          <cell r="AQ951" t="str">
            <v>Carrosserie Concessions</v>
          </cell>
          <cell r="AR951" t="str">
            <v>$</v>
          </cell>
          <cell r="AS951">
            <v>0</v>
          </cell>
          <cell r="AW951">
            <v>0</v>
          </cell>
          <cell r="AY951" t="str">
            <v>NB</v>
          </cell>
        </row>
        <row r="952">
          <cell r="AM952">
            <v>912.3599999999999</v>
          </cell>
          <cell r="AP952" t="str">
            <v>Carrosserie</v>
          </cell>
          <cell r="AQ952" t="str">
            <v>Carrosserie Clients</v>
          </cell>
          <cell r="AR952" t="str">
            <v>$</v>
          </cell>
          <cell r="AS952">
            <v>0</v>
          </cell>
          <cell r="AW952">
            <v>0</v>
          </cell>
          <cell r="AY952" t="str">
            <v>NB</v>
          </cell>
        </row>
        <row r="953">
          <cell r="AM953">
            <v>0</v>
          </cell>
          <cell r="AP953" t="str">
            <v>Carrosserie</v>
          </cell>
          <cell r="AQ953" t="str">
            <v>Carrosserie Concessions</v>
          </cell>
          <cell r="AR953" t="str">
            <v>$</v>
          </cell>
          <cell r="AS953">
            <v>0</v>
          </cell>
          <cell r="AW953">
            <v>0</v>
          </cell>
          <cell r="AY953" t="str">
            <v>NB</v>
          </cell>
        </row>
        <row r="954">
          <cell r="AM954">
            <v>0</v>
          </cell>
          <cell r="AP954" t="str">
            <v>Carrosserie</v>
          </cell>
          <cell r="AQ954" t="str">
            <v>Carrosserie Concessions</v>
          </cell>
          <cell r="AR954" t="str">
            <v>$</v>
          </cell>
          <cell r="AS954">
            <v>0</v>
          </cell>
          <cell r="AW954">
            <v>0</v>
          </cell>
          <cell r="AY954" t="str">
            <v>NB</v>
          </cell>
        </row>
        <row r="955">
          <cell r="AM955">
            <v>0</v>
          </cell>
          <cell r="AP955" t="str">
            <v>Carrosserie</v>
          </cell>
          <cell r="AQ955" t="str">
            <v>Carrosserie Interne</v>
          </cell>
          <cell r="AR955" t="str">
            <v>$</v>
          </cell>
          <cell r="AS955">
            <v>0</v>
          </cell>
          <cell r="AW955">
            <v>0</v>
          </cell>
          <cell r="AY955" t="str">
            <v>NB</v>
          </cell>
        </row>
        <row r="956">
          <cell r="AM956">
            <v>3539.4500000000007</v>
          </cell>
          <cell r="AP956" t="str">
            <v>Carrosserie</v>
          </cell>
          <cell r="AQ956" t="str">
            <v>Carrosserie Interne</v>
          </cell>
          <cell r="AR956" t="str">
            <v>$</v>
          </cell>
          <cell r="AS956">
            <v>0</v>
          </cell>
          <cell r="AW956">
            <v>0</v>
          </cell>
          <cell r="AY956" t="str">
            <v>NB</v>
          </cell>
        </row>
        <row r="957">
          <cell r="AM957">
            <v>362.81000000000006</v>
          </cell>
          <cell r="AP957" t="str">
            <v>Carrosserie</v>
          </cell>
          <cell r="AQ957" t="str">
            <v>Carrosserie Interne</v>
          </cell>
          <cell r="AR957" t="str">
            <v>$</v>
          </cell>
          <cell r="AS957">
            <v>0</v>
          </cell>
          <cell r="AW957">
            <v>0</v>
          </cell>
          <cell r="AY957" t="str">
            <v>NB</v>
          </cell>
        </row>
        <row r="958">
          <cell r="AM958">
            <v>0</v>
          </cell>
          <cell r="AP958" t="str">
            <v>Carrosserie</v>
          </cell>
          <cell r="AQ958" t="str">
            <v>Carrosserie Interne</v>
          </cell>
          <cell r="AR958" t="str">
            <v>$</v>
          </cell>
          <cell r="AS958">
            <v>0</v>
          </cell>
          <cell r="AW958">
            <v>0</v>
          </cell>
          <cell r="AY958" t="str">
            <v>NB</v>
          </cell>
        </row>
        <row r="959">
          <cell r="AM959">
            <v>1014.1700000000001</v>
          </cell>
          <cell r="AP959" t="str">
            <v>Carrosserie</v>
          </cell>
          <cell r="AQ959" t="str">
            <v>Ajustement M/O Carrosserie</v>
          </cell>
          <cell r="AR959" t="str">
            <v>$</v>
          </cell>
          <cell r="AS959">
            <v>0</v>
          </cell>
          <cell r="AW959">
            <v>0</v>
          </cell>
          <cell r="AY959" t="str">
            <v>NB</v>
          </cell>
        </row>
        <row r="960">
          <cell r="AM960">
            <v>35533.639999999956</v>
          </cell>
          <cell r="AP960" t="str">
            <v>Carrosserie</v>
          </cell>
          <cell r="AQ960" t="str">
            <v>Carrosserie Clients</v>
          </cell>
          <cell r="AR960" t="str">
            <v>$</v>
          </cell>
          <cell r="AS960">
            <v>0</v>
          </cell>
          <cell r="AW960">
            <v>0</v>
          </cell>
          <cell r="AY960" t="str">
            <v>NB</v>
          </cell>
        </row>
        <row r="961">
          <cell r="AM961">
            <v>0</v>
          </cell>
          <cell r="AP961" t="str">
            <v>Carrosserie</v>
          </cell>
          <cell r="AQ961" t="str">
            <v>Carrosserie Interne</v>
          </cell>
          <cell r="AR961" t="str">
            <v>$</v>
          </cell>
          <cell r="AS961">
            <v>0</v>
          </cell>
          <cell r="AW961">
            <v>0</v>
          </cell>
          <cell r="AY961" t="str">
            <v>NB</v>
          </cell>
        </row>
        <row r="962">
          <cell r="AM962">
            <v>660</v>
          </cell>
          <cell r="AP962" t="str">
            <v>Carrosserie</v>
          </cell>
          <cell r="AQ962" t="str">
            <v>Carrosserie Concessions</v>
          </cell>
          <cell r="AR962" t="str">
            <v>$</v>
          </cell>
          <cell r="AS962">
            <v>0</v>
          </cell>
          <cell r="AW962">
            <v>0</v>
          </cell>
          <cell r="AY962" t="str">
            <v>NB</v>
          </cell>
        </row>
        <row r="963">
          <cell r="AM963">
            <v>0</v>
          </cell>
          <cell r="AP963" t="str">
            <v>Carrosserie</v>
          </cell>
          <cell r="AQ963" t="str">
            <v>Carrosserie Clients</v>
          </cell>
          <cell r="AR963" t="str">
            <v>$</v>
          </cell>
          <cell r="AS963">
            <v>0</v>
          </cell>
          <cell r="AW963">
            <v>0</v>
          </cell>
          <cell r="AY963" t="str">
            <v>NB</v>
          </cell>
        </row>
        <row r="964">
          <cell r="AM964">
            <v>0</v>
          </cell>
          <cell r="AP964" t="str">
            <v>Carrosserie</v>
          </cell>
          <cell r="AQ964" t="str">
            <v>Carrosserie Interne</v>
          </cell>
          <cell r="AR964" t="str">
            <v>$</v>
          </cell>
          <cell r="AS964">
            <v>0</v>
          </cell>
          <cell r="AW964">
            <v>0</v>
          </cell>
          <cell r="AY964" t="str">
            <v>NB</v>
          </cell>
        </row>
        <row r="965">
          <cell r="AM965">
            <v>0</v>
          </cell>
          <cell r="AP965" t="str">
            <v>Carrosserie</v>
          </cell>
          <cell r="AQ965" t="str">
            <v>Carrosserie Concessions</v>
          </cell>
          <cell r="AR965" t="str">
            <v>$</v>
          </cell>
          <cell r="AS965">
            <v>0</v>
          </cell>
          <cell r="AW965">
            <v>0</v>
          </cell>
          <cell r="AY965" t="str">
            <v>NB</v>
          </cell>
        </row>
        <row r="966">
          <cell r="AM966">
            <v>0</v>
          </cell>
          <cell r="AP966" t="str">
            <v>Carrosserie</v>
          </cell>
          <cell r="AQ966" t="str">
            <v>Carrosserie Clients</v>
          </cell>
          <cell r="AR966" t="str">
            <v>$</v>
          </cell>
          <cell r="AS966">
            <v>0</v>
          </cell>
          <cell r="AW966">
            <v>0</v>
          </cell>
          <cell r="AY966" t="str">
            <v>NB</v>
          </cell>
        </row>
        <row r="967">
          <cell r="AM967">
            <v>0</v>
          </cell>
          <cell r="AP967">
            <v>0</v>
          </cell>
          <cell r="AQ967">
            <v>0</v>
          </cell>
          <cell r="AR967" t="str">
            <v>$</v>
          </cell>
          <cell r="AS967">
            <v>0</v>
          </cell>
          <cell r="AW967">
            <v>0</v>
          </cell>
          <cell r="AY967" t="str">
            <v>NB</v>
          </cell>
        </row>
        <row r="968">
          <cell r="AM968">
            <v>0</v>
          </cell>
          <cell r="AP968">
            <v>0</v>
          </cell>
          <cell r="AQ968">
            <v>0</v>
          </cell>
          <cell r="AR968" t="str">
            <v>$</v>
          </cell>
          <cell r="AS968">
            <v>0</v>
          </cell>
          <cell r="AW968">
            <v>0</v>
          </cell>
          <cell r="AY968" t="str">
            <v>NB</v>
          </cell>
        </row>
        <row r="969">
          <cell r="AM969">
            <v>0</v>
          </cell>
          <cell r="AP969" t="str">
            <v>Pièces</v>
          </cell>
          <cell r="AQ969" t="str">
            <v>Pièces Ro Carrosserie</v>
          </cell>
          <cell r="AR969" t="str">
            <v>$</v>
          </cell>
          <cell r="AS969">
            <v>0</v>
          </cell>
          <cell r="AW969">
            <v>0</v>
          </cell>
          <cell r="AY969" t="str">
            <v>NB</v>
          </cell>
        </row>
        <row r="970">
          <cell r="AM970">
            <v>0</v>
          </cell>
          <cell r="AP970">
            <v>0</v>
          </cell>
          <cell r="AQ970">
            <v>0</v>
          </cell>
          <cell r="AR970" t="str">
            <v>$</v>
          </cell>
          <cell r="AS970">
            <v>0</v>
          </cell>
          <cell r="AW970">
            <v>0</v>
          </cell>
          <cell r="AY970" t="str">
            <v>NB</v>
          </cell>
        </row>
        <row r="971">
          <cell r="AM971">
            <v>0</v>
          </cell>
          <cell r="AP971" t="e">
            <v>#N/A</v>
          </cell>
          <cell r="AQ971" t="e">
            <v>#N/A</v>
          </cell>
          <cell r="AR971" t="str">
            <v>$</v>
          </cell>
          <cell r="AS971" t="e">
            <v>#N/A</v>
          </cell>
          <cell r="AW971">
            <v>0</v>
          </cell>
          <cell r="AY971" t="str">
            <v>NB</v>
          </cell>
        </row>
        <row r="972">
          <cell r="AM972">
            <v>6587.179999999993</v>
          </cell>
          <cell r="AP972" t="str">
            <v>Carrosserie</v>
          </cell>
          <cell r="AQ972" t="str">
            <v>Carrosserie Clients</v>
          </cell>
          <cell r="AR972" t="str">
            <v>$</v>
          </cell>
          <cell r="AS972">
            <v>0</v>
          </cell>
          <cell r="AW972">
            <v>0</v>
          </cell>
          <cell r="AY972" t="str">
            <v>NB</v>
          </cell>
        </row>
        <row r="973">
          <cell r="AM973">
            <v>436.80000000000007</v>
          </cell>
          <cell r="AP973" t="str">
            <v>Carrosserie</v>
          </cell>
          <cell r="AQ973" t="str">
            <v>Carrosserie Interne</v>
          </cell>
          <cell r="AR973" t="str">
            <v>$</v>
          </cell>
          <cell r="AS973">
            <v>0</v>
          </cell>
          <cell r="AW973">
            <v>0</v>
          </cell>
          <cell r="AY973" t="str">
            <v>NB</v>
          </cell>
        </row>
        <row r="974">
          <cell r="AM974">
            <v>4299.1999999999989</v>
          </cell>
          <cell r="AP974" t="str">
            <v>Carrosserie</v>
          </cell>
          <cell r="AQ974" t="str">
            <v>Carrosserie Concessions</v>
          </cell>
          <cell r="AR974" t="str">
            <v>$</v>
          </cell>
          <cell r="AS974">
            <v>0</v>
          </cell>
          <cell r="AW974">
            <v>0</v>
          </cell>
          <cell r="AY974" t="str">
            <v>NB</v>
          </cell>
        </row>
        <row r="975">
          <cell r="AM975">
            <v>3205.6899999999996</v>
          </cell>
          <cell r="AP975" t="str">
            <v>Carrosserie</v>
          </cell>
          <cell r="AQ975" t="str">
            <v>Carrosserie Clients</v>
          </cell>
          <cell r="AR975" t="str">
            <v>$</v>
          </cell>
          <cell r="AS975">
            <v>0</v>
          </cell>
          <cell r="AW975">
            <v>0</v>
          </cell>
          <cell r="AY975" t="str">
            <v>NB</v>
          </cell>
        </row>
        <row r="976">
          <cell r="AM976">
            <v>146.44</v>
          </cell>
          <cell r="AP976" t="str">
            <v>Carrosserie</v>
          </cell>
          <cell r="AQ976" t="str">
            <v>Carrosserie Interne</v>
          </cell>
          <cell r="AR976" t="str">
            <v>$</v>
          </cell>
          <cell r="AS976">
            <v>0</v>
          </cell>
          <cell r="AW976">
            <v>0</v>
          </cell>
          <cell r="AY976" t="str">
            <v>NB</v>
          </cell>
        </row>
        <row r="977">
          <cell r="AM977">
            <v>1757.5499999999993</v>
          </cell>
          <cell r="AP977" t="str">
            <v>Carrosserie</v>
          </cell>
          <cell r="AQ977" t="str">
            <v>Carrosserie Concessions</v>
          </cell>
          <cell r="AR977" t="str">
            <v>$</v>
          </cell>
          <cell r="AS977">
            <v>0</v>
          </cell>
          <cell r="AW977">
            <v>0</v>
          </cell>
          <cell r="AY977" t="str">
            <v>NB</v>
          </cell>
        </row>
        <row r="978">
          <cell r="AM978">
            <v>38986.079999999987</v>
          </cell>
          <cell r="AP978" t="str">
            <v>Pièces</v>
          </cell>
          <cell r="AQ978" t="str">
            <v>P/A Garantie</v>
          </cell>
          <cell r="AR978" t="str">
            <v>$</v>
          </cell>
          <cell r="AS978">
            <v>0</v>
          </cell>
          <cell r="AW978">
            <v>0</v>
          </cell>
          <cell r="AY978" t="str">
            <v>NB</v>
          </cell>
        </row>
        <row r="979">
          <cell r="AM979">
            <v>0</v>
          </cell>
          <cell r="AP979" t="str">
            <v>Pièces</v>
          </cell>
          <cell r="AQ979" t="str">
            <v>P/A Garantie</v>
          </cell>
          <cell r="AR979" t="str">
            <v>$</v>
          </cell>
          <cell r="AS979">
            <v>0</v>
          </cell>
          <cell r="AW979">
            <v>0</v>
          </cell>
          <cell r="AY979" t="str">
            <v>NB</v>
          </cell>
        </row>
        <row r="980">
          <cell r="AM980">
            <v>29438.429999999993</v>
          </cell>
          <cell r="AP980" t="str">
            <v>Pièces</v>
          </cell>
          <cell r="AQ980" t="str">
            <v>Ventes Internes</v>
          </cell>
          <cell r="AR980" t="str">
            <v>$</v>
          </cell>
          <cell r="AS980">
            <v>0</v>
          </cell>
          <cell r="AW980">
            <v>0</v>
          </cell>
          <cell r="AY980" t="str">
            <v>NB</v>
          </cell>
        </row>
        <row r="981">
          <cell r="AM981">
            <v>0</v>
          </cell>
          <cell r="AP981" t="str">
            <v>Pièces</v>
          </cell>
          <cell r="AQ981" t="str">
            <v>Ventes Internes</v>
          </cell>
          <cell r="AR981" t="str">
            <v>$</v>
          </cell>
          <cell r="AS981">
            <v>0</v>
          </cell>
          <cell r="AW981">
            <v>0</v>
          </cell>
          <cell r="AY981" t="str">
            <v>NB</v>
          </cell>
        </row>
        <row r="982">
          <cell r="AM982">
            <v>45135.020000000019</v>
          </cell>
          <cell r="AP982" t="str">
            <v>Pièces</v>
          </cell>
          <cell r="AQ982" t="str">
            <v>Ventes Détails</v>
          </cell>
          <cell r="AR982" t="str">
            <v>$</v>
          </cell>
          <cell r="AS982">
            <v>0</v>
          </cell>
          <cell r="AW982">
            <v>0</v>
          </cell>
          <cell r="AY982" t="str">
            <v>NB</v>
          </cell>
        </row>
        <row r="983">
          <cell r="AM983">
            <v>114121.5</v>
          </cell>
          <cell r="AP983" t="str">
            <v>Pièces</v>
          </cell>
          <cell r="AQ983" t="str">
            <v>Ventes de Gros</v>
          </cell>
          <cell r="AR983" t="str">
            <v>$</v>
          </cell>
          <cell r="AS983">
            <v>0</v>
          </cell>
          <cell r="AW983">
            <v>0</v>
          </cell>
          <cell r="AY983" t="str">
            <v>NB</v>
          </cell>
        </row>
        <row r="984">
          <cell r="AM984">
            <v>-16459.300000000003</v>
          </cell>
          <cell r="AP984" t="str">
            <v>Pièces</v>
          </cell>
          <cell r="AQ984" t="str">
            <v>Escomptes</v>
          </cell>
          <cell r="AR984" t="str">
            <v>$</v>
          </cell>
          <cell r="AS984">
            <v>0</v>
          </cell>
          <cell r="AW984">
            <v>0</v>
          </cell>
          <cell r="AY984" t="str">
            <v>NB</v>
          </cell>
        </row>
        <row r="985">
          <cell r="AM985">
            <v>-1121.25</v>
          </cell>
          <cell r="AP985" t="str">
            <v>Pièces</v>
          </cell>
          <cell r="AQ985" t="str">
            <v>Rectif. Inventaire</v>
          </cell>
          <cell r="AR985" t="str">
            <v>$</v>
          </cell>
          <cell r="AS985">
            <v>0</v>
          </cell>
          <cell r="AW985">
            <v>0</v>
          </cell>
          <cell r="AY985" t="str">
            <v>NB</v>
          </cell>
        </row>
        <row r="986">
          <cell r="AM986">
            <v>10663.350000000006</v>
          </cell>
          <cell r="AP986" t="str">
            <v>Pièces</v>
          </cell>
          <cell r="AQ986" t="str">
            <v>Ventes Pneus</v>
          </cell>
          <cell r="AR986" t="str">
            <v>$</v>
          </cell>
          <cell r="AS986">
            <v>0</v>
          </cell>
          <cell r="AW986">
            <v>0</v>
          </cell>
          <cell r="AY986" t="str">
            <v>NB</v>
          </cell>
        </row>
        <row r="987">
          <cell r="AM987">
            <v>9206.760000000002</v>
          </cell>
          <cell r="AP987" t="str">
            <v>Pièces</v>
          </cell>
          <cell r="AQ987" t="str">
            <v>Huiles et Graisse</v>
          </cell>
          <cell r="AR987" t="str">
            <v>$</v>
          </cell>
          <cell r="AS987">
            <v>0</v>
          </cell>
          <cell r="AW987">
            <v>0</v>
          </cell>
          <cell r="AY987" t="str">
            <v>NB</v>
          </cell>
        </row>
        <row r="988">
          <cell r="AM988">
            <v>0</v>
          </cell>
          <cell r="AP988" t="e">
            <v>#N/A</v>
          </cell>
          <cell r="AQ988" t="e">
            <v>#N/A</v>
          </cell>
          <cell r="AR988" t="str">
            <v>$</v>
          </cell>
          <cell r="AS988" t="e">
            <v>#N/A</v>
          </cell>
          <cell r="AW988">
            <v>0</v>
          </cell>
          <cell r="AY988" t="str">
            <v>NB</v>
          </cell>
        </row>
        <row r="989">
          <cell r="AM989">
            <v>0</v>
          </cell>
          <cell r="AP989" t="e">
            <v>#N/A</v>
          </cell>
          <cell r="AQ989" t="e">
            <v>#N/A</v>
          </cell>
          <cell r="AR989" t="str">
            <v>$</v>
          </cell>
          <cell r="AS989" t="e">
            <v>#N/A</v>
          </cell>
          <cell r="AW989">
            <v>0</v>
          </cell>
          <cell r="AY989" t="str">
            <v>NB</v>
          </cell>
        </row>
        <row r="990">
          <cell r="AM990">
            <v>0</v>
          </cell>
          <cell r="AP990" t="e">
            <v>#N/A</v>
          </cell>
          <cell r="AQ990" t="e">
            <v>#N/A</v>
          </cell>
          <cell r="AR990" t="str">
            <v>$</v>
          </cell>
          <cell r="AS990" t="e">
            <v>#N/A</v>
          </cell>
          <cell r="AW990">
            <v>0</v>
          </cell>
          <cell r="AY990" t="str">
            <v>NB</v>
          </cell>
        </row>
        <row r="991">
          <cell r="AM991">
            <v>0</v>
          </cell>
          <cell r="AP991" t="e">
            <v>#N/A</v>
          </cell>
          <cell r="AQ991" t="e">
            <v>#N/A</v>
          </cell>
          <cell r="AR991" t="str">
            <v>$</v>
          </cell>
          <cell r="AS991" t="e">
            <v>#N/A</v>
          </cell>
          <cell r="AW991">
            <v>0</v>
          </cell>
          <cell r="AY991" t="str">
            <v>NB</v>
          </cell>
        </row>
        <row r="992">
          <cell r="AM992">
            <v>0</v>
          </cell>
          <cell r="AP992" t="e">
            <v>#N/A</v>
          </cell>
          <cell r="AQ992" t="e">
            <v>#N/A</v>
          </cell>
          <cell r="AR992" t="str">
            <v>$</v>
          </cell>
          <cell r="AS992" t="e">
            <v>#N/A</v>
          </cell>
          <cell r="AW992">
            <v>0</v>
          </cell>
          <cell r="AY992" t="str">
            <v>NB</v>
          </cell>
        </row>
        <row r="993">
          <cell r="AM993">
            <v>0</v>
          </cell>
          <cell r="AP993" t="e">
            <v>#N/A</v>
          </cell>
          <cell r="AQ993" t="e">
            <v>#N/A</v>
          </cell>
          <cell r="AR993" t="str">
            <v>$</v>
          </cell>
          <cell r="AS993" t="e">
            <v>#N/A</v>
          </cell>
          <cell r="AW993">
            <v>0</v>
          </cell>
          <cell r="AY993" t="str">
            <v>NB</v>
          </cell>
        </row>
        <row r="994">
          <cell r="AM994">
            <v>0</v>
          </cell>
          <cell r="AP994" t="e">
            <v>#N/A</v>
          </cell>
          <cell r="AQ994" t="e">
            <v>#N/A</v>
          </cell>
          <cell r="AR994" t="str">
            <v>$</v>
          </cell>
          <cell r="AS994" t="e">
            <v>#N/A</v>
          </cell>
          <cell r="AW994">
            <v>0</v>
          </cell>
          <cell r="AY994" t="str">
            <v>NB</v>
          </cell>
        </row>
        <row r="995">
          <cell r="AM995">
            <v>0</v>
          </cell>
          <cell r="AP995" t="e">
            <v>#N/A</v>
          </cell>
          <cell r="AQ995" t="e">
            <v>#N/A</v>
          </cell>
          <cell r="AR995" t="str">
            <v>$</v>
          </cell>
          <cell r="AS995" t="e">
            <v>#N/A</v>
          </cell>
          <cell r="AW995">
            <v>0</v>
          </cell>
          <cell r="AY995" t="str">
            <v>NB</v>
          </cell>
        </row>
        <row r="996">
          <cell r="AM996">
            <v>0</v>
          </cell>
          <cell r="AP996" t="e">
            <v>#N/A</v>
          </cell>
          <cell r="AQ996" t="e">
            <v>#N/A</v>
          </cell>
          <cell r="AR996" t="str">
            <v>$</v>
          </cell>
          <cell r="AS996" t="e">
            <v>#N/A</v>
          </cell>
          <cell r="AW996">
            <v>0</v>
          </cell>
          <cell r="AY996" t="str">
            <v>NB</v>
          </cell>
        </row>
        <row r="997">
          <cell r="AM997">
            <v>0</v>
          </cell>
          <cell r="AP997" t="e">
            <v>#N/A</v>
          </cell>
          <cell r="AQ997" t="e">
            <v>#N/A</v>
          </cell>
          <cell r="AR997" t="str">
            <v>$</v>
          </cell>
          <cell r="AS997" t="e">
            <v>#N/A</v>
          </cell>
          <cell r="AW997">
            <v>0</v>
          </cell>
          <cell r="AY997" t="str">
            <v>NB</v>
          </cell>
        </row>
        <row r="998">
          <cell r="AM998">
            <v>0</v>
          </cell>
          <cell r="AP998" t="e">
            <v>#N/A</v>
          </cell>
          <cell r="AQ998" t="e">
            <v>#N/A</v>
          </cell>
          <cell r="AR998" t="str">
            <v>$</v>
          </cell>
          <cell r="AS998" t="e">
            <v>#N/A</v>
          </cell>
          <cell r="AW998">
            <v>0</v>
          </cell>
          <cell r="AY998" t="str">
            <v>NB</v>
          </cell>
        </row>
        <row r="999">
          <cell r="AM999">
            <v>0</v>
          </cell>
          <cell r="AP999" t="e">
            <v>#N/A</v>
          </cell>
          <cell r="AQ999" t="e">
            <v>#N/A</v>
          </cell>
          <cell r="AR999" t="str">
            <v>$</v>
          </cell>
          <cell r="AS999" t="e">
            <v>#N/A</v>
          </cell>
          <cell r="AW999">
            <v>0</v>
          </cell>
          <cell r="AY999" t="str">
            <v>NB</v>
          </cell>
        </row>
        <row r="1000">
          <cell r="AM1000">
            <v>0</v>
          </cell>
          <cell r="AP1000" t="e">
            <v>#N/A</v>
          </cell>
          <cell r="AQ1000" t="e">
            <v>#N/A</v>
          </cell>
          <cell r="AR1000" t="str">
            <v>$</v>
          </cell>
          <cell r="AS1000" t="e">
            <v>#N/A</v>
          </cell>
          <cell r="AW1000">
            <v>0</v>
          </cell>
          <cell r="AY1000" t="str">
            <v>NB</v>
          </cell>
        </row>
        <row r="1001">
          <cell r="AM1001">
            <v>0</v>
          </cell>
          <cell r="AP1001" t="e">
            <v>#N/A</v>
          </cell>
          <cell r="AQ1001" t="e">
            <v>#N/A</v>
          </cell>
          <cell r="AR1001" t="str">
            <v>$</v>
          </cell>
          <cell r="AS1001" t="e">
            <v>#N/A</v>
          </cell>
          <cell r="AW1001">
            <v>0</v>
          </cell>
          <cell r="AY1001" t="str">
            <v>NB</v>
          </cell>
        </row>
        <row r="1002">
          <cell r="AM1002">
            <v>0</v>
          </cell>
          <cell r="AP1002" t="e">
            <v>#N/A</v>
          </cell>
          <cell r="AQ1002" t="e">
            <v>#N/A</v>
          </cell>
          <cell r="AR1002" t="str">
            <v>$</v>
          </cell>
          <cell r="AS1002" t="e">
            <v>#N/A</v>
          </cell>
          <cell r="AW1002">
            <v>0</v>
          </cell>
          <cell r="AY1002" t="str">
            <v>NB</v>
          </cell>
        </row>
        <row r="1003">
          <cell r="AM1003">
            <v>0</v>
          </cell>
          <cell r="AP1003" t="e">
            <v>#N/A</v>
          </cell>
          <cell r="AQ1003" t="e">
            <v>#N/A</v>
          </cell>
          <cell r="AR1003" t="str">
            <v>$</v>
          </cell>
          <cell r="AS1003" t="e">
            <v>#N/A</v>
          </cell>
          <cell r="AW1003">
            <v>0</v>
          </cell>
          <cell r="AY1003" t="str">
            <v>NB</v>
          </cell>
        </row>
        <row r="1004">
          <cell r="AM1004">
            <v>0</v>
          </cell>
          <cell r="AP1004" t="e">
            <v>#N/A</v>
          </cell>
          <cell r="AQ1004" t="e">
            <v>#N/A</v>
          </cell>
          <cell r="AR1004" t="str">
            <v>$</v>
          </cell>
          <cell r="AS1004" t="e">
            <v>#N/A</v>
          </cell>
          <cell r="AW1004">
            <v>0</v>
          </cell>
          <cell r="AY1004" t="str">
            <v>NB</v>
          </cell>
        </row>
        <row r="1005">
          <cell r="AM1005">
            <v>0</v>
          </cell>
          <cell r="AP1005">
            <v>0</v>
          </cell>
          <cell r="AQ1005">
            <v>0</v>
          </cell>
          <cell r="AR1005" t="str">
            <v>$</v>
          </cell>
          <cell r="AS1005">
            <v>0</v>
          </cell>
          <cell r="AW1005">
            <v>0</v>
          </cell>
          <cell r="AY1005" t="str">
            <v>NB</v>
          </cell>
        </row>
        <row r="1006">
          <cell r="AM1006">
            <v>0</v>
          </cell>
          <cell r="AP1006" t="e">
            <v>#N/A</v>
          </cell>
          <cell r="AQ1006" t="e">
            <v>#N/A</v>
          </cell>
          <cell r="AR1006" t="str">
            <v>$</v>
          </cell>
          <cell r="AS1006" t="e">
            <v>#N/A</v>
          </cell>
          <cell r="AW1006">
            <v>0</v>
          </cell>
          <cell r="AY1006" t="str">
            <v>NB</v>
          </cell>
        </row>
        <row r="1007">
          <cell r="AM1007">
            <v>0</v>
          </cell>
          <cell r="AP1007">
            <v>0</v>
          </cell>
          <cell r="AQ1007">
            <v>0</v>
          </cell>
          <cell r="AR1007" t="str">
            <v>$</v>
          </cell>
          <cell r="AS1007">
            <v>0</v>
          </cell>
          <cell r="AW1007">
            <v>0</v>
          </cell>
          <cell r="AY1007" t="str">
            <v>NB</v>
          </cell>
        </row>
        <row r="1008">
          <cell r="AM1008">
            <v>0</v>
          </cell>
          <cell r="AP1008" t="e">
            <v>#N/A</v>
          </cell>
          <cell r="AQ1008" t="e">
            <v>#N/A</v>
          </cell>
          <cell r="AR1008" t="str">
            <v>$</v>
          </cell>
          <cell r="AS1008" t="e">
            <v>#N/A</v>
          </cell>
          <cell r="AW1008">
            <v>0</v>
          </cell>
          <cell r="AY1008" t="str">
            <v>NB</v>
          </cell>
        </row>
        <row r="1009">
          <cell r="AM1009">
            <v>0</v>
          </cell>
          <cell r="AP1009">
            <v>0</v>
          </cell>
          <cell r="AQ1009">
            <v>0</v>
          </cell>
          <cell r="AR1009" t="str">
            <v>$</v>
          </cell>
          <cell r="AS1009">
            <v>0</v>
          </cell>
          <cell r="AW1009">
            <v>0</v>
          </cell>
          <cell r="AY1009" t="str">
            <v>NB</v>
          </cell>
        </row>
        <row r="1010">
          <cell r="AM1010">
            <v>0</v>
          </cell>
          <cell r="AP1010" t="e">
            <v>#N/A</v>
          </cell>
          <cell r="AQ1010" t="e">
            <v>#N/A</v>
          </cell>
          <cell r="AR1010" t="str">
            <v>$</v>
          </cell>
          <cell r="AS1010" t="e">
            <v>#N/A</v>
          </cell>
          <cell r="AW1010">
            <v>0</v>
          </cell>
          <cell r="AY1010" t="str">
            <v>NB</v>
          </cell>
        </row>
        <row r="1011">
          <cell r="AM1011">
            <v>0</v>
          </cell>
          <cell r="AP1011" t="e">
            <v>#N/A</v>
          </cell>
          <cell r="AQ1011" t="e">
            <v>#N/A</v>
          </cell>
          <cell r="AR1011" t="str">
            <v>$</v>
          </cell>
          <cell r="AS1011" t="e">
            <v>#N/A</v>
          </cell>
          <cell r="AW1011">
            <v>0</v>
          </cell>
          <cell r="AY1011" t="str">
            <v>NB</v>
          </cell>
        </row>
        <row r="1012">
          <cell r="AM1012">
            <v>0</v>
          </cell>
          <cell r="AP1012" t="e">
            <v>#N/A</v>
          </cell>
          <cell r="AQ1012" t="e">
            <v>#N/A</v>
          </cell>
          <cell r="AR1012" t="str">
            <v>$</v>
          </cell>
          <cell r="AS1012" t="e">
            <v>#N/A</v>
          </cell>
          <cell r="AW1012">
            <v>0</v>
          </cell>
          <cell r="AY1012" t="str">
            <v>NB</v>
          </cell>
        </row>
        <row r="1013">
          <cell r="AM1013">
            <v>0</v>
          </cell>
          <cell r="AP1013">
            <v>0</v>
          </cell>
          <cell r="AQ1013">
            <v>0</v>
          </cell>
          <cell r="AR1013" t="str">
            <v>$</v>
          </cell>
          <cell r="AS1013">
            <v>0</v>
          </cell>
          <cell r="AW1013">
            <v>0</v>
          </cell>
          <cell r="AY1013" t="str">
            <v>NB</v>
          </cell>
        </row>
        <row r="1014">
          <cell r="AM1014">
            <v>0</v>
          </cell>
          <cell r="AP1014" t="e">
            <v>#N/A</v>
          </cell>
          <cell r="AQ1014" t="e">
            <v>#N/A</v>
          </cell>
          <cell r="AR1014" t="str">
            <v>$</v>
          </cell>
          <cell r="AS1014" t="e">
            <v>#N/A</v>
          </cell>
          <cell r="AW1014">
            <v>0</v>
          </cell>
          <cell r="AY1014" t="str">
            <v>NB</v>
          </cell>
        </row>
        <row r="1015">
          <cell r="AM1015">
            <v>0</v>
          </cell>
          <cell r="AP1015" t="e">
            <v>#N/A</v>
          </cell>
          <cell r="AQ1015" t="e">
            <v>#N/A</v>
          </cell>
          <cell r="AR1015" t="str">
            <v>$</v>
          </cell>
          <cell r="AS1015" t="e">
            <v>#N/A</v>
          </cell>
          <cell r="AW1015">
            <v>0</v>
          </cell>
          <cell r="AY1015" t="str">
            <v>NB</v>
          </cell>
        </row>
        <row r="1016">
          <cell r="AM1016">
            <v>0</v>
          </cell>
          <cell r="AP1016">
            <v>0</v>
          </cell>
          <cell r="AQ1016">
            <v>0</v>
          </cell>
          <cell r="AR1016" t="str">
            <v>$</v>
          </cell>
          <cell r="AS1016">
            <v>0</v>
          </cell>
          <cell r="AW1016">
            <v>0</v>
          </cell>
          <cell r="AY1016" t="str">
            <v>NB</v>
          </cell>
        </row>
        <row r="1017">
          <cell r="AM1017">
            <v>0</v>
          </cell>
          <cell r="AP1017" t="e">
            <v>#N/A</v>
          </cell>
          <cell r="AQ1017" t="e">
            <v>#N/A</v>
          </cell>
          <cell r="AR1017" t="str">
            <v>$</v>
          </cell>
          <cell r="AS1017" t="e">
            <v>#N/A</v>
          </cell>
          <cell r="AW1017">
            <v>0</v>
          </cell>
          <cell r="AY1017" t="str">
            <v>NB</v>
          </cell>
        </row>
        <row r="1018">
          <cell r="AM1018">
            <v>0</v>
          </cell>
          <cell r="AP1018" t="e">
            <v>#N/A</v>
          </cell>
          <cell r="AQ1018" t="e">
            <v>#N/A</v>
          </cell>
          <cell r="AR1018" t="str">
            <v>$</v>
          </cell>
          <cell r="AS1018" t="e">
            <v>#N/A</v>
          </cell>
          <cell r="AW1018">
            <v>0</v>
          </cell>
          <cell r="AY1018" t="str">
            <v>NB</v>
          </cell>
        </row>
        <row r="1019">
          <cell r="AM1019">
            <v>0</v>
          </cell>
          <cell r="AP1019" t="e">
            <v>#N/A</v>
          </cell>
          <cell r="AQ1019" t="e">
            <v>#N/A</v>
          </cell>
          <cell r="AR1019" t="str">
            <v>$</v>
          </cell>
          <cell r="AS1019" t="e">
            <v>#N/A</v>
          </cell>
          <cell r="AW1019">
            <v>0</v>
          </cell>
          <cell r="AY1019" t="str">
            <v>NB</v>
          </cell>
        </row>
        <row r="1020">
          <cell r="AM1020">
            <v>0</v>
          </cell>
          <cell r="AP1020" t="e">
            <v>#N/A</v>
          </cell>
          <cell r="AQ1020" t="e">
            <v>#N/A</v>
          </cell>
          <cell r="AR1020" t="str">
            <v>$</v>
          </cell>
          <cell r="AS1020" t="e">
            <v>#N/A</v>
          </cell>
          <cell r="AW1020">
            <v>0</v>
          </cell>
          <cell r="AY1020" t="str">
            <v>NB</v>
          </cell>
        </row>
        <row r="1021">
          <cell r="AM1021">
            <v>0</v>
          </cell>
          <cell r="AP1021" t="e">
            <v>#N/A</v>
          </cell>
          <cell r="AQ1021" t="e">
            <v>#N/A</v>
          </cell>
          <cell r="AR1021" t="str">
            <v>$</v>
          </cell>
          <cell r="AS1021" t="e">
            <v>#N/A</v>
          </cell>
          <cell r="AW1021">
            <v>0</v>
          </cell>
          <cell r="AY1021" t="str">
            <v>NB</v>
          </cell>
        </row>
        <row r="1022">
          <cell r="AM1022">
            <v>-1000</v>
          </cell>
          <cell r="AP1022" t="str">
            <v>Véhicules neufs</v>
          </cell>
          <cell r="AQ1022" t="str">
            <v>Rev. Finances</v>
          </cell>
          <cell r="AR1022" t="str">
            <v>$</v>
          </cell>
          <cell r="AS1022" t="str">
            <v>Oui</v>
          </cell>
          <cell r="AW1022">
            <v>1</v>
          </cell>
          <cell r="AY1022" t="str">
            <v>NB</v>
          </cell>
        </row>
        <row r="1023">
          <cell r="AM1023">
            <v>0</v>
          </cell>
          <cell r="AP1023" t="e">
            <v>#N/A</v>
          </cell>
          <cell r="AQ1023" t="e">
            <v>#N/A</v>
          </cell>
          <cell r="AR1023" t="str">
            <v>$</v>
          </cell>
          <cell r="AS1023" t="e">
            <v>#N/A</v>
          </cell>
          <cell r="AW1023">
            <v>0</v>
          </cell>
          <cell r="AY1023" t="str">
            <v>NB</v>
          </cell>
        </row>
        <row r="1024">
          <cell r="AM1024">
            <v>0</v>
          </cell>
          <cell r="AP1024" t="str">
            <v>Véhicules neufs</v>
          </cell>
          <cell r="AQ1024" t="str">
            <v>Rev. Protections</v>
          </cell>
          <cell r="AR1024" t="str">
            <v>$</v>
          </cell>
          <cell r="AS1024" t="str">
            <v>Oui</v>
          </cell>
          <cell r="AW1024">
            <v>0</v>
          </cell>
          <cell r="AY1024" t="str">
            <v>NB</v>
          </cell>
        </row>
        <row r="1025">
          <cell r="AM1025">
            <v>0</v>
          </cell>
          <cell r="AP1025" t="e">
            <v>#N/A</v>
          </cell>
          <cell r="AQ1025" t="e">
            <v>#N/A</v>
          </cell>
          <cell r="AR1025" t="str">
            <v>$</v>
          </cell>
          <cell r="AS1025" t="e">
            <v>#N/A</v>
          </cell>
          <cell r="AW1025">
            <v>0</v>
          </cell>
          <cell r="AY1025" t="str">
            <v>NB</v>
          </cell>
        </row>
        <row r="1026">
          <cell r="AM1026">
            <v>-16990</v>
          </cell>
          <cell r="AP1026" t="str">
            <v>Véhicules usagés</v>
          </cell>
          <cell r="AQ1026" t="str">
            <v>Rev. Finances</v>
          </cell>
          <cell r="AR1026" t="str">
            <v>$</v>
          </cell>
          <cell r="AS1026" t="str">
            <v>Oui</v>
          </cell>
          <cell r="AW1026">
            <v>15</v>
          </cell>
          <cell r="AY1026" t="str">
            <v>NB</v>
          </cell>
        </row>
        <row r="1027">
          <cell r="AM1027">
            <v>0</v>
          </cell>
          <cell r="AP1027" t="e">
            <v>#N/A</v>
          </cell>
          <cell r="AQ1027" t="e">
            <v>#N/A</v>
          </cell>
          <cell r="AR1027" t="str">
            <v>$</v>
          </cell>
          <cell r="AS1027" t="e">
            <v>#N/A</v>
          </cell>
          <cell r="AW1027">
            <v>0</v>
          </cell>
          <cell r="AY1027" t="str">
            <v>NB</v>
          </cell>
        </row>
        <row r="1028">
          <cell r="AM1028">
            <v>0</v>
          </cell>
          <cell r="AP1028" t="str">
            <v>Véhicules usagés</v>
          </cell>
          <cell r="AQ1028" t="str">
            <v>Rev. Protections</v>
          </cell>
          <cell r="AR1028" t="str">
            <v>$</v>
          </cell>
          <cell r="AS1028" t="str">
            <v>Oui</v>
          </cell>
          <cell r="AW1028">
            <v>0</v>
          </cell>
          <cell r="AY1028" t="str">
            <v>NB</v>
          </cell>
        </row>
        <row r="1029">
          <cell r="AM1029">
            <v>0</v>
          </cell>
          <cell r="AP1029" t="e">
            <v>#N/A</v>
          </cell>
          <cell r="AQ1029" t="e">
            <v>#N/A</v>
          </cell>
          <cell r="AR1029" t="str">
            <v>$</v>
          </cell>
          <cell r="AS1029" t="e">
            <v>#N/A</v>
          </cell>
          <cell r="AW1029">
            <v>0</v>
          </cell>
          <cell r="AY1029" t="str">
            <v>NB</v>
          </cell>
        </row>
        <row r="1030">
          <cell r="AM1030">
            <v>0</v>
          </cell>
          <cell r="AP1030" t="e">
            <v>#N/A</v>
          </cell>
          <cell r="AQ1030" t="e">
            <v>#N/A</v>
          </cell>
          <cell r="AR1030" t="str">
            <v>$</v>
          </cell>
          <cell r="AS1030" t="e">
            <v>#N/A</v>
          </cell>
          <cell r="AW1030">
            <v>0</v>
          </cell>
          <cell r="AY1030" t="str">
            <v>NB</v>
          </cell>
        </row>
        <row r="1031">
          <cell r="AM1031">
            <v>0</v>
          </cell>
          <cell r="AP1031" t="e">
            <v>#N/A</v>
          </cell>
          <cell r="AQ1031" t="e">
            <v>#N/A</v>
          </cell>
          <cell r="AR1031" t="str">
            <v>$</v>
          </cell>
          <cell r="AS1031" t="e">
            <v>#N/A</v>
          </cell>
          <cell r="AW1031">
            <v>0</v>
          </cell>
          <cell r="AY1031" t="str">
            <v>NB</v>
          </cell>
        </row>
        <row r="1032">
          <cell r="AM1032">
            <v>0</v>
          </cell>
          <cell r="AP1032" t="e">
            <v>#N/A</v>
          </cell>
          <cell r="AQ1032" t="e">
            <v>#N/A</v>
          </cell>
          <cell r="AR1032" t="str">
            <v>$</v>
          </cell>
          <cell r="AS1032" t="e">
            <v>#N/A</v>
          </cell>
          <cell r="AW1032">
            <v>0</v>
          </cell>
          <cell r="AY1032" t="str">
            <v>NB</v>
          </cell>
        </row>
        <row r="1033">
          <cell r="AM1033">
            <v>0</v>
          </cell>
          <cell r="AP1033" t="e">
            <v>#N/A</v>
          </cell>
          <cell r="AQ1033" t="e">
            <v>#N/A</v>
          </cell>
          <cell r="AR1033" t="str">
            <v>$</v>
          </cell>
          <cell r="AS1033" t="e">
            <v>#N/A</v>
          </cell>
          <cell r="AW1033">
            <v>0</v>
          </cell>
          <cell r="AY1033" t="str">
            <v>NB</v>
          </cell>
        </row>
        <row r="1034">
          <cell r="AM1034">
            <v>0</v>
          </cell>
          <cell r="AP1034" t="e">
            <v>#N/A</v>
          </cell>
          <cell r="AQ1034" t="e">
            <v>#N/A</v>
          </cell>
          <cell r="AR1034" t="str">
            <v>$</v>
          </cell>
          <cell r="AS1034" t="e">
            <v>#N/A</v>
          </cell>
          <cell r="AW1034">
            <v>0</v>
          </cell>
          <cell r="AY1034" t="str">
            <v>NB</v>
          </cell>
        </row>
        <row r="1035">
          <cell r="AM1035">
            <v>0</v>
          </cell>
          <cell r="AP1035" t="e">
            <v>#N/A</v>
          </cell>
          <cell r="AQ1035" t="e">
            <v>#N/A</v>
          </cell>
          <cell r="AR1035" t="str">
            <v>$</v>
          </cell>
          <cell r="AS1035" t="e">
            <v>#N/A</v>
          </cell>
          <cell r="AW1035">
            <v>0</v>
          </cell>
          <cell r="AY1035" t="str">
            <v>NB</v>
          </cell>
        </row>
        <row r="1036">
          <cell r="AM1036">
            <v>0</v>
          </cell>
          <cell r="AP1036" t="e">
            <v>#N/A</v>
          </cell>
          <cell r="AQ1036" t="e">
            <v>#N/A</v>
          </cell>
          <cell r="AR1036" t="str">
            <v>$</v>
          </cell>
          <cell r="AS1036" t="e">
            <v>#N/A</v>
          </cell>
          <cell r="AW1036">
            <v>0</v>
          </cell>
          <cell r="AY1036" t="str">
            <v>NB</v>
          </cell>
        </row>
        <row r="1037">
          <cell r="AM1037">
            <v>0</v>
          </cell>
          <cell r="AP1037" t="e">
            <v>#N/A</v>
          </cell>
          <cell r="AQ1037" t="e">
            <v>#N/A</v>
          </cell>
          <cell r="AR1037" t="str">
            <v>$</v>
          </cell>
          <cell r="AS1037" t="e">
            <v>#N/A</v>
          </cell>
          <cell r="AW1037">
            <v>0</v>
          </cell>
          <cell r="AY1037" t="str">
            <v>NB</v>
          </cell>
        </row>
        <row r="1038">
          <cell r="AM1038">
            <v>0</v>
          </cell>
          <cell r="AP1038">
            <v>0</v>
          </cell>
          <cell r="AQ1038">
            <v>0</v>
          </cell>
          <cell r="AR1038" t="str">
            <v>$</v>
          </cell>
          <cell r="AS1038">
            <v>0</v>
          </cell>
          <cell r="AW1038">
            <v>0</v>
          </cell>
          <cell r="AY1038" t="str">
            <v>NB</v>
          </cell>
        </row>
        <row r="1039">
          <cell r="AM1039">
            <v>0</v>
          </cell>
          <cell r="AP1039" t="e">
            <v>#N/A</v>
          </cell>
          <cell r="AQ1039" t="e">
            <v>#N/A</v>
          </cell>
          <cell r="AR1039" t="str">
            <v>$</v>
          </cell>
          <cell r="AS1039" t="e">
            <v>#N/A</v>
          </cell>
          <cell r="AW1039">
            <v>0</v>
          </cell>
          <cell r="AY1039" t="str">
            <v>NB</v>
          </cell>
        </row>
        <row r="1040">
          <cell r="AM1040">
            <v>0</v>
          </cell>
          <cell r="AP1040">
            <v>0</v>
          </cell>
          <cell r="AQ1040">
            <v>0</v>
          </cell>
          <cell r="AR1040" t="str">
            <v>$</v>
          </cell>
          <cell r="AS1040">
            <v>0</v>
          </cell>
          <cell r="AW1040">
            <v>0</v>
          </cell>
          <cell r="AY1040" t="str">
            <v>NB</v>
          </cell>
        </row>
        <row r="1041">
          <cell r="AM1041">
            <v>0</v>
          </cell>
          <cell r="AP1041" t="e">
            <v>#N/A</v>
          </cell>
          <cell r="AQ1041" t="e">
            <v>#N/A</v>
          </cell>
          <cell r="AR1041" t="str">
            <v>$</v>
          </cell>
          <cell r="AS1041" t="e">
            <v>#N/A</v>
          </cell>
          <cell r="AW1041">
            <v>0</v>
          </cell>
          <cell r="AY1041" t="str">
            <v>NB</v>
          </cell>
        </row>
        <row r="1042">
          <cell r="AM1042">
            <v>12426.580000000002</v>
          </cell>
          <cell r="AP1042" t="str">
            <v>Véhicules neufs</v>
          </cell>
          <cell r="AQ1042" t="str">
            <v>Comm. F&amp;I</v>
          </cell>
          <cell r="AR1042" t="str">
            <v>$</v>
          </cell>
          <cell r="AS1042">
            <v>0</v>
          </cell>
          <cell r="AW1042">
            <v>0</v>
          </cell>
          <cell r="AY1042" t="str">
            <v>NB</v>
          </cell>
        </row>
        <row r="1043">
          <cell r="AM1043">
            <v>0</v>
          </cell>
          <cell r="AP1043" t="e">
            <v>#N/A</v>
          </cell>
          <cell r="AQ1043" t="e">
            <v>#N/A</v>
          </cell>
          <cell r="AR1043" t="str">
            <v>$</v>
          </cell>
          <cell r="AS1043" t="e">
            <v>#N/A</v>
          </cell>
          <cell r="AW1043">
            <v>0</v>
          </cell>
          <cell r="AY1043" t="str">
            <v>NB</v>
          </cell>
        </row>
        <row r="1044">
          <cell r="AM1044">
            <v>4791.3599999999969</v>
          </cell>
          <cell r="AP1044" t="str">
            <v>Véhicules usagés</v>
          </cell>
          <cell r="AQ1044" t="str">
            <v>Comm. F&amp;I</v>
          </cell>
          <cell r="AR1044" t="str">
            <v>$</v>
          </cell>
          <cell r="AS1044">
            <v>0</v>
          </cell>
          <cell r="AW1044">
            <v>0</v>
          </cell>
          <cell r="AY1044" t="str">
            <v>NB</v>
          </cell>
        </row>
        <row r="1045">
          <cell r="AM1045">
            <v>0</v>
          </cell>
          <cell r="AP1045" t="e">
            <v>#N/A</v>
          </cell>
          <cell r="AQ1045" t="e">
            <v>#N/A</v>
          </cell>
          <cell r="AR1045" t="str">
            <v>$</v>
          </cell>
          <cell r="AS1045" t="e">
            <v>#N/A</v>
          </cell>
          <cell r="AW1045">
            <v>0</v>
          </cell>
          <cell r="AY1045" t="str">
            <v>NB</v>
          </cell>
        </row>
        <row r="1046">
          <cell r="AM1046">
            <v>0</v>
          </cell>
          <cell r="AP1046" t="e">
            <v>#N/A</v>
          </cell>
          <cell r="AQ1046" t="e">
            <v>#N/A</v>
          </cell>
          <cell r="AR1046" t="str">
            <v>$</v>
          </cell>
          <cell r="AS1046" t="e">
            <v>#N/A</v>
          </cell>
          <cell r="AW1046">
            <v>0</v>
          </cell>
          <cell r="AY1046" t="str">
            <v>NB</v>
          </cell>
        </row>
        <row r="1047">
          <cell r="AM1047">
            <v>0</v>
          </cell>
          <cell r="AP1047" t="e">
            <v>#N/A</v>
          </cell>
          <cell r="AQ1047" t="e">
            <v>#N/A</v>
          </cell>
          <cell r="AR1047" t="str">
            <v>$</v>
          </cell>
          <cell r="AS1047" t="e">
            <v>#N/A</v>
          </cell>
          <cell r="AW1047">
            <v>0</v>
          </cell>
          <cell r="AY1047" t="str">
            <v>NB</v>
          </cell>
        </row>
        <row r="1048">
          <cell r="AM1048">
            <v>0</v>
          </cell>
          <cell r="AP1048">
            <v>0</v>
          </cell>
          <cell r="AQ1048">
            <v>0</v>
          </cell>
          <cell r="AR1048" t="str">
            <v>$</v>
          </cell>
          <cell r="AS1048">
            <v>0</v>
          </cell>
          <cell r="AW1048">
            <v>0</v>
          </cell>
          <cell r="AY1048" t="str">
            <v>NB</v>
          </cell>
        </row>
        <row r="1049">
          <cell r="AM1049">
            <v>0</v>
          </cell>
          <cell r="AP1049" t="e">
            <v>#N/A</v>
          </cell>
          <cell r="AQ1049" t="e">
            <v>#N/A</v>
          </cell>
          <cell r="AR1049" t="str">
            <v>$</v>
          </cell>
          <cell r="AS1049" t="e">
            <v>#N/A</v>
          </cell>
          <cell r="AW1049">
            <v>0</v>
          </cell>
          <cell r="AY1049" t="str">
            <v>NB</v>
          </cell>
        </row>
        <row r="1050">
          <cell r="AM1050">
            <v>0</v>
          </cell>
          <cell r="AP1050" t="e">
            <v>#N/A</v>
          </cell>
          <cell r="AQ1050" t="e">
            <v>#N/A</v>
          </cell>
          <cell r="AR1050" t="str">
            <v>$</v>
          </cell>
          <cell r="AS1050" t="e">
            <v>#N/A</v>
          </cell>
          <cell r="AW1050">
            <v>0</v>
          </cell>
          <cell r="AY1050" t="str">
            <v>NB</v>
          </cell>
        </row>
        <row r="1051">
          <cell r="AM1051">
            <v>-11713.380000000001</v>
          </cell>
          <cell r="AP1051" t="str">
            <v>TOTAL DES REVENUS ET DÉPENSES</v>
          </cell>
          <cell r="AQ1051" t="str">
            <v>Revenus autres</v>
          </cell>
          <cell r="AR1051" t="str">
            <v>$</v>
          </cell>
          <cell r="AS1051">
            <v>0</v>
          </cell>
          <cell r="AW1051">
            <v>-14</v>
          </cell>
          <cell r="AY1051" t="str">
            <v>NB</v>
          </cell>
        </row>
        <row r="1052">
          <cell r="AM1052">
            <v>0</v>
          </cell>
          <cell r="AP1052" t="e">
            <v>#N/A</v>
          </cell>
          <cell r="AQ1052" t="e">
            <v>#N/A</v>
          </cell>
          <cell r="AR1052" t="str">
            <v>$</v>
          </cell>
          <cell r="AS1052" t="e">
            <v>#N/A</v>
          </cell>
          <cell r="AW1052">
            <v>0</v>
          </cell>
          <cell r="AY1052" t="str">
            <v>NB</v>
          </cell>
        </row>
        <row r="1053">
          <cell r="AM1053">
            <v>-11258.919999999998</v>
          </cell>
          <cell r="AP1053" t="str">
            <v>Véhicules neufs</v>
          </cell>
          <cell r="AQ1053" t="str">
            <v>Crédit Boni TD</v>
          </cell>
          <cell r="AR1053" t="str">
            <v>$</v>
          </cell>
          <cell r="AS1053">
            <v>0</v>
          </cell>
          <cell r="AW1053">
            <v>1</v>
          </cell>
          <cell r="AY1053" t="str">
            <v>NB</v>
          </cell>
        </row>
        <row r="1054">
          <cell r="AM1054">
            <v>-823.13999999999942</v>
          </cell>
          <cell r="AP1054" t="str">
            <v>Véhicules usagés</v>
          </cell>
          <cell r="AQ1054" t="str">
            <v>Crédit Boni TD</v>
          </cell>
          <cell r="AR1054" t="str">
            <v>$</v>
          </cell>
          <cell r="AS1054">
            <v>0</v>
          </cell>
          <cell r="AW1054">
            <v>1</v>
          </cell>
          <cell r="AY1054" t="str">
            <v>NB</v>
          </cell>
        </row>
        <row r="1055">
          <cell r="AM1055">
            <v>-4744.12</v>
          </cell>
          <cell r="AP1055" t="str">
            <v>Wholesale autres</v>
          </cell>
          <cell r="AQ1055" t="str">
            <v>Crédit Boni TD</v>
          </cell>
          <cell r="AR1055" t="str">
            <v>$</v>
          </cell>
          <cell r="AS1055">
            <v>0</v>
          </cell>
          <cell r="AW1055">
            <v>1</v>
          </cell>
          <cell r="AY1055" t="str">
            <v>NB</v>
          </cell>
        </row>
        <row r="1056">
          <cell r="AM1056">
            <v>-12975.439999999988</v>
          </cell>
          <cell r="AP1056" t="str">
            <v>TOTAL DES REVENUS ET DÉPENSES</v>
          </cell>
          <cell r="AQ1056" t="str">
            <v>Intérêts sur prêt</v>
          </cell>
          <cell r="AR1056" t="str">
            <v>$</v>
          </cell>
          <cell r="AS1056">
            <v>0</v>
          </cell>
          <cell r="AW1056">
            <v>2</v>
          </cell>
          <cell r="AY1056" t="str">
            <v>NB</v>
          </cell>
        </row>
        <row r="1057">
          <cell r="AM1057">
            <v>-50.679999999999382</v>
          </cell>
          <cell r="AP1057" t="str">
            <v>TOTAL DES REVENUS ET DÉPENSES</v>
          </cell>
          <cell r="AQ1057" t="str">
            <v>Revenus d'intérêts Floor plan</v>
          </cell>
          <cell r="AR1057" t="str">
            <v>$</v>
          </cell>
          <cell r="AS1057">
            <v>0</v>
          </cell>
          <cell r="AW1057">
            <v>1</v>
          </cell>
          <cell r="AY1057" t="str">
            <v>NB</v>
          </cell>
        </row>
        <row r="1058">
          <cell r="AM1058">
            <v>-2794.3899999999994</v>
          </cell>
          <cell r="AP1058" t="str">
            <v>Véhicules neufs</v>
          </cell>
          <cell r="AQ1058" t="str">
            <v>Programme Excellence</v>
          </cell>
          <cell r="AR1058" t="str">
            <v>$</v>
          </cell>
          <cell r="AS1058">
            <v>0</v>
          </cell>
          <cell r="AW1058">
            <v>8</v>
          </cell>
          <cell r="AY1058" t="str">
            <v>NB</v>
          </cell>
        </row>
        <row r="1059">
          <cell r="AM1059">
            <v>0</v>
          </cell>
          <cell r="AP1059" t="e">
            <v>#N/A</v>
          </cell>
          <cell r="AQ1059" t="e">
            <v>#N/A</v>
          </cell>
          <cell r="AR1059" t="str">
            <v>$</v>
          </cell>
          <cell r="AS1059" t="e">
            <v>#N/A</v>
          </cell>
          <cell r="AW1059">
            <v>0</v>
          </cell>
          <cell r="AY1059" t="str">
            <v>NB</v>
          </cell>
        </row>
        <row r="1060">
          <cell r="AM1060">
            <v>0</v>
          </cell>
          <cell r="AP1060" t="e">
            <v>#N/A</v>
          </cell>
          <cell r="AQ1060" t="e">
            <v>#N/A</v>
          </cell>
          <cell r="AR1060" t="str">
            <v>$</v>
          </cell>
          <cell r="AS1060" t="e">
            <v>#N/A</v>
          </cell>
          <cell r="AW1060">
            <v>0</v>
          </cell>
          <cell r="AY1060" t="str">
            <v>NB</v>
          </cell>
        </row>
        <row r="1061">
          <cell r="AM1061">
            <v>2208.6699999999983</v>
          </cell>
          <cell r="AP1061" t="str">
            <v>TOTAL DES REVENUS ET DÉPENSES</v>
          </cell>
          <cell r="AQ1061" t="str">
            <v>Revenus autres</v>
          </cell>
          <cell r="AR1061" t="str">
            <v>$</v>
          </cell>
          <cell r="AS1061">
            <v>0</v>
          </cell>
          <cell r="AW1061">
            <v>0</v>
          </cell>
          <cell r="AY1061" t="str">
            <v>NB</v>
          </cell>
        </row>
        <row r="1062">
          <cell r="AM1062">
            <v>20970.439999999988</v>
          </cell>
          <cell r="AP1062" t="str">
            <v>TOTAL DES REVENUS ET DÉPENSES</v>
          </cell>
          <cell r="AQ1062" t="str">
            <v>Intérêts sur prêt</v>
          </cell>
          <cell r="AR1062" t="str">
            <v>$</v>
          </cell>
          <cell r="AS1062">
            <v>0</v>
          </cell>
          <cell r="AW1062">
            <v>0</v>
          </cell>
          <cell r="AY1062" t="str">
            <v>NB</v>
          </cell>
        </row>
        <row r="1063">
          <cell r="AM1063">
            <v>0</v>
          </cell>
          <cell r="AP1063" t="e">
            <v>#N/A</v>
          </cell>
          <cell r="AQ1063" t="e">
            <v>#N/A</v>
          </cell>
          <cell r="AR1063" t="str">
            <v>$</v>
          </cell>
          <cell r="AS1063" t="e">
            <v>#N/A</v>
          </cell>
          <cell r="AW1063">
            <v>0</v>
          </cell>
          <cell r="AY1063" t="str">
            <v>NB</v>
          </cell>
        </row>
        <row r="1064">
          <cell r="AM1064">
            <v>0</v>
          </cell>
          <cell r="AP1064" t="str">
            <v>Wholesale autres</v>
          </cell>
          <cell r="AQ1064" t="str">
            <v>Frais de livraison</v>
          </cell>
          <cell r="AR1064" t="str">
            <v>$</v>
          </cell>
          <cell r="AS1064">
            <v>0</v>
          </cell>
          <cell r="AW1064">
            <v>0</v>
          </cell>
          <cell r="AY1064" t="str">
            <v>NB</v>
          </cell>
        </row>
        <row r="1065">
          <cell r="AM1065">
            <v>0</v>
          </cell>
          <cell r="AP1065" t="e">
            <v>#N/A</v>
          </cell>
          <cell r="AQ1065" t="e">
            <v>#N/A</v>
          </cell>
          <cell r="AR1065" t="str">
            <v>$</v>
          </cell>
          <cell r="AS1065" t="e">
            <v>#N/A</v>
          </cell>
          <cell r="AW1065">
            <v>0</v>
          </cell>
          <cell r="AY1065" t="str">
            <v>NB</v>
          </cell>
        </row>
        <row r="1066">
          <cell r="AM1066">
            <v>0</v>
          </cell>
          <cell r="AP1066" t="e">
            <v>#N/A</v>
          </cell>
          <cell r="AQ1066" t="e">
            <v>#N/A</v>
          </cell>
          <cell r="AR1066" t="str">
            <v>$</v>
          </cell>
          <cell r="AS1066" t="e">
            <v>#N/A</v>
          </cell>
          <cell r="AW1066">
            <v>0</v>
          </cell>
          <cell r="AY1066" t="str">
            <v>NB</v>
          </cell>
        </row>
        <row r="1067">
          <cell r="AM1067">
            <v>0</v>
          </cell>
          <cell r="AP1067" t="e">
            <v>#N/A</v>
          </cell>
          <cell r="AQ1067" t="e">
            <v>#N/A</v>
          </cell>
          <cell r="AR1067" t="str">
            <v>$</v>
          </cell>
          <cell r="AS1067" t="e">
            <v>#N/A</v>
          </cell>
          <cell r="AW1067">
            <v>0</v>
          </cell>
          <cell r="AY1067" t="str">
            <v>NB</v>
          </cell>
        </row>
        <row r="1068">
          <cell r="AM1068">
            <v>0</v>
          </cell>
          <cell r="AP1068" t="e">
            <v>#N/A</v>
          </cell>
          <cell r="AQ1068" t="e">
            <v>#N/A</v>
          </cell>
          <cell r="AR1068" t="str">
            <v>$</v>
          </cell>
          <cell r="AS1068" t="e">
            <v>#N/A</v>
          </cell>
          <cell r="AW1068">
            <v>0</v>
          </cell>
          <cell r="AY1068" t="str">
            <v>NB</v>
          </cell>
        </row>
        <row r="1069">
          <cell r="AM1069">
            <v>0</v>
          </cell>
          <cell r="AP1069" t="e">
            <v>#N/A</v>
          </cell>
          <cell r="AQ1069" t="e">
            <v>#N/A</v>
          </cell>
          <cell r="AR1069" t="str">
            <v>$</v>
          </cell>
          <cell r="AS1069" t="e">
            <v>#N/A</v>
          </cell>
          <cell r="AW1069">
            <v>0</v>
          </cell>
          <cell r="AY1069" t="str">
            <v>NB</v>
          </cell>
        </row>
        <row r="1070">
          <cell r="AM1070">
            <v>0</v>
          </cell>
          <cell r="AP1070" t="e">
            <v>#N/A</v>
          </cell>
          <cell r="AQ1070" t="e">
            <v>#N/A</v>
          </cell>
          <cell r="AR1070" t="str">
            <v>$</v>
          </cell>
          <cell r="AS1070" t="e">
            <v>#N/A</v>
          </cell>
          <cell r="AW1070">
            <v>0</v>
          </cell>
          <cell r="AY1070" t="str">
            <v>NB</v>
          </cell>
        </row>
        <row r="1071">
          <cell r="AM1071">
            <v>0</v>
          </cell>
          <cell r="AP1071" t="e">
            <v>#N/A</v>
          </cell>
          <cell r="AQ1071" t="e">
            <v>#N/A</v>
          </cell>
          <cell r="AR1071" t="str">
            <v>$</v>
          </cell>
          <cell r="AS1071" t="e">
            <v>#N/A</v>
          </cell>
          <cell r="AW1071">
            <v>0</v>
          </cell>
          <cell r="AY1071" t="str">
            <v>NB</v>
          </cell>
        </row>
        <row r="1072">
          <cell r="AM1072">
            <v>0</v>
          </cell>
          <cell r="AP1072" t="e">
            <v>#N/A</v>
          </cell>
          <cell r="AQ1072" t="e">
            <v>#N/A</v>
          </cell>
          <cell r="AR1072" t="str">
            <v>$</v>
          </cell>
          <cell r="AS1072" t="e">
            <v>#N/A</v>
          </cell>
          <cell r="AW1072">
            <v>0</v>
          </cell>
          <cell r="AY1072" t="str">
            <v>NB</v>
          </cell>
        </row>
        <row r="1073">
          <cell r="AM1073">
            <v>0</v>
          </cell>
          <cell r="AP1073" t="e">
            <v>#N/A</v>
          </cell>
          <cell r="AQ1073" t="e">
            <v>#N/A</v>
          </cell>
          <cell r="AR1073" t="str">
            <v>$</v>
          </cell>
          <cell r="AS1073" t="e">
            <v>#N/A</v>
          </cell>
          <cell r="AW1073">
            <v>0</v>
          </cell>
          <cell r="AY1073" t="str">
            <v>NB</v>
          </cell>
        </row>
        <row r="1074">
          <cell r="AM1074">
            <v>0</v>
          </cell>
          <cell r="AP1074" t="e">
            <v>#N/A</v>
          </cell>
          <cell r="AQ1074" t="e">
            <v>#N/A</v>
          </cell>
          <cell r="AR1074" t="str">
            <v>$</v>
          </cell>
          <cell r="AS1074" t="e">
            <v>#N/A</v>
          </cell>
          <cell r="AW1074">
            <v>0</v>
          </cell>
          <cell r="AY1074" t="str">
            <v>NB</v>
          </cell>
        </row>
        <row r="1075">
          <cell r="AM1075">
            <v>0</v>
          </cell>
          <cell r="AP1075" t="e">
            <v>#N/A</v>
          </cell>
          <cell r="AQ1075" t="e">
            <v>#N/A</v>
          </cell>
          <cell r="AR1075" t="str">
            <v>$</v>
          </cell>
          <cell r="AS1075" t="e">
            <v>#N/A</v>
          </cell>
          <cell r="AW1075">
            <v>0</v>
          </cell>
          <cell r="AY1075" t="str">
            <v>NB</v>
          </cell>
        </row>
        <row r="1076">
          <cell r="AM1076">
            <v>0</v>
          </cell>
          <cell r="AP1076" t="e">
            <v>#N/A</v>
          </cell>
          <cell r="AQ1076" t="e">
            <v>#N/A</v>
          </cell>
          <cell r="AR1076" t="str">
            <v>$</v>
          </cell>
          <cell r="AS1076" t="e">
            <v>#N/A</v>
          </cell>
          <cell r="AW1076">
            <v>0</v>
          </cell>
          <cell r="AY1076" t="str">
            <v>NB</v>
          </cell>
        </row>
        <row r="1077">
          <cell r="AM1077">
            <v>0</v>
          </cell>
          <cell r="AP1077" t="e">
            <v>#N/A</v>
          </cell>
          <cell r="AQ1077" t="e">
            <v>#N/A</v>
          </cell>
          <cell r="AR1077" t="str">
            <v>$</v>
          </cell>
          <cell r="AS1077" t="e">
            <v>#N/A</v>
          </cell>
          <cell r="AW1077">
            <v>0</v>
          </cell>
          <cell r="AY1077" t="str">
            <v>NB</v>
          </cell>
        </row>
        <row r="1089">
          <cell r="AP1089">
            <v>0</v>
          </cell>
        </row>
      </sheetData>
      <sheetData sheetId="14"/>
      <sheetData sheetId="15">
        <row r="2">
          <cell r="AM2" t="str">
            <v>Solde courant</v>
          </cell>
          <cell r="AP2" t="str">
            <v>Debits</v>
          </cell>
          <cell r="AQ2" t="str">
            <v>Classification</v>
          </cell>
          <cell r="AR2" t="str">
            <v>$ / NB</v>
          </cell>
          <cell r="AS2" t="str">
            <v>Ventes</v>
          </cell>
          <cell r="AW2" t="str">
            <v>Solde courant</v>
          </cell>
          <cell r="AY2" t="str">
            <v>$ / NB</v>
          </cell>
        </row>
        <row r="3">
          <cell r="AM3">
            <v>57662.239999999991</v>
          </cell>
          <cell r="AP3" t="str">
            <v>Véhicules neufs</v>
          </cell>
          <cell r="AQ3" t="str">
            <v>Comm. vendeurs</v>
          </cell>
          <cell r="AR3" t="str">
            <v>$</v>
          </cell>
          <cell r="AS3">
            <v>0</v>
          </cell>
          <cell r="AW3">
            <v>0</v>
          </cell>
          <cell r="AY3" t="str">
            <v>NB</v>
          </cell>
        </row>
        <row r="4">
          <cell r="AM4">
            <v>10778.59</v>
          </cell>
          <cell r="AP4" t="str">
            <v>Véhicules usagés</v>
          </cell>
          <cell r="AQ4" t="str">
            <v>Comm. vendeurs</v>
          </cell>
          <cell r="AR4" t="str">
            <v>$</v>
          </cell>
          <cell r="AS4">
            <v>0</v>
          </cell>
          <cell r="AW4">
            <v>0</v>
          </cell>
          <cell r="AY4" t="str">
            <v>NB</v>
          </cell>
        </row>
        <row r="5">
          <cell r="AM5">
            <v>0</v>
          </cell>
          <cell r="AP5" t="str">
            <v>Wholesale autres</v>
          </cell>
          <cell r="AQ5" t="str">
            <v>Comm. vendeurs</v>
          </cell>
          <cell r="AR5" t="str">
            <v>$</v>
          </cell>
          <cell r="AS5">
            <v>0</v>
          </cell>
          <cell r="AW5">
            <v>0</v>
          </cell>
          <cell r="AY5" t="str">
            <v>NB</v>
          </cell>
        </row>
        <row r="6">
          <cell r="AM6">
            <v>-15770.8</v>
          </cell>
          <cell r="AP6" t="str">
            <v>Véhicules neufs</v>
          </cell>
          <cell r="AQ6" t="str">
            <v>Frais de livraison</v>
          </cell>
          <cell r="AR6" t="str">
            <v>$</v>
          </cell>
          <cell r="AS6">
            <v>0</v>
          </cell>
          <cell r="AW6">
            <v>0</v>
          </cell>
          <cell r="AY6" t="str">
            <v>NB</v>
          </cell>
        </row>
        <row r="7">
          <cell r="AM7">
            <v>-2719.9399999999996</v>
          </cell>
          <cell r="AP7" t="str">
            <v>Véhicules usagés</v>
          </cell>
          <cell r="AQ7" t="str">
            <v>Frais de livraison</v>
          </cell>
          <cell r="AR7" t="str">
            <v>$</v>
          </cell>
          <cell r="AS7">
            <v>0</v>
          </cell>
          <cell r="AW7">
            <v>0</v>
          </cell>
          <cell r="AY7" t="str">
            <v>NB</v>
          </cell>
        </row>
        <row r="8">
          <cell r="AM8">
            <v>496.19999999999982</v>
          </cell>
          <cell r="AP8" t="str">
            <v>Wholesale autres</v>
          </cell>
          <cell r="AQ8" t="str">
            <v>Frais de livraison</v>
          </cell>
          <cell r="AR8" t="str">
            <v>$</v>
          </cell>
          <cell r="AS8">
            <v>0</v>
          </cell>
          <cell r="AW8">
            <v>0</v>
          </cell>
          <cell r="AY8" t="str">
            <v>NB</v>
          </cell>
        </row>
        <row r="9">
          <cell r="AM9">
            <v>669.98</v>
          </cell>
          <cell r="AP9" t="str">
            <v>Véhicules neufs</v>
          </cell>
          <cell r="AQ9" t="str">
            <v>Service gratuit 1</v>
          </cell>
          <cell r="AR9" t="str">
            <v>$</v>
          </cell>
          <cell r="AS9">
            <v>0</v>
          </cell>
          <cell r="AW9">
            <v>0</v>
          </cell>
          <cell r="AY9" t="str">
            <v>NB</v>
          </cell>
        </row>
        <row r="10">
          <cell r="AM10">
            <v>687.43</v>
          </cell>
          <cell r="AP10" t="str">
            <v>Véhicules usagés</v>
          </cell>
          <cell r="AQ10" t="str">
            <v>Service gratuit 1</v>
          </cell>
          <cell r="AR10" t="str">
            <v>$</v>
          </cell>
          <cell r="AS10">
            <v>0</v>
          </cell>
          <cell r="AW10">
            <v>0</v>
          </cell>
          <cell r="AY10" t="str">
            <v>NB</v>
          </cell>
        </row>
        <row r="11">
          <cell r="AM11">
            <v>0</v>
          </cell>
          <cell r="AP11" t="str">
            <v>Wholesale autres</v>
          </cell>
          <cell r="AQ11" t="str">
            <v>Service gratuit 1</v>
          </cell>
          <cell r="AR11" t="str">
            <v>$</v>
          </cell>
          <cell r="AS11">
            <v>0</v>
          </cell>
          <cell r="AW11">
            <v>0</v>
          </cell>
          <cell r="AY11" t="str">
            <v>NB</v>
          </cell>
        </row>
        <row r="12">
          <cell r="AM12">
            <v>0</v>
          </cell>
          <cell r="AP12" t="e">
            <v>#N/A</v>
          </cell>
          <cell r="AQ12" t="e">
            <v>#N/A</v>
          </cell>
          <cell r="AR12" t="str">
            <v>$</v>
          </cell>
          <cell r="AS12" t="e">
            <v>#N/A</v>
          </cell>
          <cell r="AW12">
            <v>0</v>
          </cell>
          <cell r="AY12" t="str">
            <v>NB</v>
          </cell>
        </row>
        <row r="13">
          <cell r="AM13">
            <v>2428.3099999999977</v>
          </cell>
          <cell r="AP13" t="str">
            <v>Véhicules neufs</v>
          </cell>
          <cell r="AQ13" t="str">
            <v>Salaires propriétaire</v>
          </cell>
          <cell r="AR13" t="str">
            <v>$</v>
          </cell>
          <cell r="AS13">
            <v>0</v>
          </cell>
          <cell r="AW13">
            <v>0</v>
          </cell>
          <cell r="AY13" t="str">
            <v>NB</v>
          </cell>
        </row>
        <row r="14">
          <cell r="AM14">
            <v>1618.8700000000026</v>
          </cell>
          <cell r="AP14" t="str">
            <v>Véhicules usagés</v>
          </cell>
          <cell r="AQ14" t="str">
            <v>Salaires propriétaire</v>
          </cell>
          <cell r="AR14" t="str">
            <v>$</v>
          </cell>
          <cell r="AS14">
            <v>0</v>
          </cell>
          <cell r="AW14">
            <v>0</v>
          </cell>
          <cell r="AY14" t="str">
            <v>NB</v>
          </cell>
        </row>
        <row r="15">
          <cell r="AM15">
            <v>2428.3099999999977</v>
          </cell>
          <cell r="AP15" t="str">
            <v>Service</v>
          </cell>
          <cell r="AQ15" t="str">
            <v>Salaires propriétaire</v>
          </cell>
          <cell r="AR15" t="str">
            <v>$</v>
          </cell>
          <cell r="AS15">
            <v>0</v>
          </cell>
          <cell r="AW15">
            <v>0</v>
          </cell>
          <cell r="AY15" t="str">
            <v>NB</v>
          </cell>
        </row>
        <row r="16">
          <cell r="AM16">
            <v>809.44000000000233</v>
          </cell>
          <cell r="AP16" t="str">
            <v>Carrosserie</v>
          </cell>
          <cell r="AQ16" t="str">
            <v>Salaires propriétaire</v>
          </cell>
          <cell r="AR16" t="str">
            <v>$</v>
          </cell>
          <cell r="AS16">
            <v>0</v>
          </cell>
          <cell r="AW16">
            <v>0</v>
          </cell>
          <cell r="AY16" t="str">
            <v>NB</v>
          </cell>
        </row>
        <row r="17">
          <cell r="AM17">
            <v>809.45000000000073</v>
          </cell>
          <cell r="AP17" t="str">
            <v>Pièces</v>
          </cell>
          <cell r="AQ17" t="str">
            <v>Salaires propriétaire</v>
          </cell>
          <cell r="AR17" t="str">
            <v>$</v>
          </cell>
          <cell r="AS17">
            <v>0</v>
          </cell>
          <cell r="AW17">
            <v>0</v>
          </cell>
          <cell r="AY17" t="str">
            <v>NB</v>
          </cell>
        </row>
        <row r="18">
          <cell r="AM18">
            <v>0</v>
          </cell>
          <cell r="AP18" t="e">
            <v>#N/A</v>
          </cell>
          <cell r="AQ18" t="e">
            <v>#N/A</v>
          </cell>
          <cell r="AR18" t="str">
            <v>$</v>
          </cell>
          <cell r="AS18" t="e">
            <v>#N/A</v>
          </cell>
          <cell r="AW18">
            <v>0</v>
          </cell>
          <cell r="AY18" t="str">
            <v>NB</v>
          </cell>
        </row>
        <row r="19">
          <cell r="AM19">
            <v>9257.4600000000064</v>
          </cell>
          <cell r="AP19" t="str">
            <v>Véhicules neufs</v>
          </cell>
          <cell r="AQ19" t="str">
            <v>Salaires cadres</v>
          </cell>
          <cell r="AR19" t="str">
            <v>$</v>
          </cell>
          <cell r="AS19">
            <v>0</v>
          </cell>
          <cell r="AW19">
            <v>0</v>
          </cell>
          <cell r="AY19" t="str">
            <v>NB</v>
          </cell>
        </row>
        <row r="20">
          <cell r="AM20">
            <v>17042.630000000005</v>
          </cell>
          <cell r="AP20" t="str">
            <v>Véhicules usagés</v>
          </cell>
          <cell r="AQ20" t="str">
            <v>Salaires cadres</v>
          </cell>
          <cell r="AR20" t="str">
            <v>$</v>
          </cell>
          <cell r="AS20">
            <v>0</v>
          </cell>
          <cell r="AW20">
            <v>0</v>
          </cell>
          <cell r="AY20" t="str">
            <v>NB</v>
          </cell>
        </row>
        <row r="21">
          <cell r="AM21">
            <v>2962.7299999999814</v>
          </cell>
          <cell r="AP21" t="str">
            <v>Wholesale autres</v>
          </cell>
          <cell r="AQ21" t="str">
            <v>Salaires cadres</v>
          </cell>
          <cell r="AR21" t="str">
            <v>$</v>
          </cell>
          <cell r="AS21">
            <v>0</v>
          </cell>
          <cell r="AW21">
            <v>0</v>
          </cell>
          <cell r="AY21" t="str">
            <v>NB</v>
          </cell>
        </row>
        <row r="22">
          <cell r="AM22">
            <v>5906.5900000000038</v>
          </cell>
          <cell r="AP22" t="str">
            <v>Service</v>
          </cell>
          <cell r="AQ22" t="str">
            <v>Salaires cadres</v>
          </cell>
          <cell r="AR22" t="str">
            <v>$</v>
          </cell>
          <cell r="AS22">
            <v>0</v>
          </cell>
          <cell r="AW22">
            <v>0</v>
          </cell>
          <cell r="AY22" t="str">
            <v>NB</v>
          </cell>
        </row>
        <row r="23">
          <cell r="AM23">
            <v>8498.7099999999991</v>
          </cell>
          <cell r="AP23" t="str">
            <v>Carrosserie</v>
          </cell>
          <cell r="AQ23" t="str">
            <v>Salaires cadres</v>
          </cell>
          <cell r="AR23" t="str">
            <v>$</v>
          </cell>
          <cell r="AS23">
            <v>0</v>
          </cell>
          <cell r="AW23">
            <v>0</v>
          </cell>
          <cell r="AY23" t="str">
            <v>NB</v>
          </cell>
        </row>
        <row r="24">
          <cell r="AM24">
            <v>1404.4300000000003</v>
          </cell>
          <cell r="AP24" t="str">
            <v>Pièces</v>
          </cell>
          <cell r="AQ24" t="str">
            <v>Salaires cadres</v>
          </cell>
          <cell r="AR24" t="str">
            <v>$</v>
          </cell>
          <cell r="AS24">
            <v>0</v>
          </cell>
          <cell r="AW24">
            <v>0</v>
          </cell>
          <cell r="AY24" t="str">
            <v>NB</v>
          </cell>
        </row>
        <row r="25">
          <cell r="AM25">
            <v>0</v>
          </cell>
          <cell r="AP25" t="e">
            <v>#N/A</v>
          </cell>
          <cell r="AQ25" t="e">
            <v>#N/A</v>
          </cell>
          <cell r="AR25" t="str">
            <v>$</v>
          </cell>
          <cell r="AS25" t="e">
            <v>#N/A</v>
          </cell>
          <cell r="AW25">
            <v>0</v>
          </cell>
          <cell r="AY25" t="str">
            <v>NB</v>
          </cell>
        </row>
        <row r="26">
          <cell r="AM26">
            <v>27701.049999999988</v>
          </cell>
          <cell r="AP26" t="str">
            <v>Véhicules neufs</v>
          </cell>
          <cell r="AQ26" t="str">
            <v>Salaires commis</v>
          </cell>
          <cell r="AR26" t="str">
            <v>$</v>
          </cell>
          <cell r="AS26">
            <v>0</v>
          </cell>
          <cell r="AW26">
            <v>0</v>
          </cell>
          <cell r="AY26" t="str">
            <v>NB</v>
          </cell>
        </row>
        <row r="27">
          <cell r="AM27">
            <v>4912.130000000001</v>
          </cell>
          <cell r="AP27" t="str">
            <v>Véhicules usagés</v>
          </cell>
          <cell r="AQ27" t="str">
            <v>Salaires commis</v>
          </cell>
          <cell r="AR27" t="str">
            <v>$</v>
          </cell>
          <cell r="AS27">
            <v>0</v>
          </cell>
          <cell r="AW27">
            <v>0</v>
          </cell>
          <cell r="AY27" t="str">
            <v>NB</v>
          </cell>
        </row>
        <row r="28">
          <cell r="AM28">
            <v>5130.5999999999985</v>
          </cell>
          <cell r="AP28" t="str">
            <v>Wholesale autres</v>
          </cell>
          <cell r="AQ28" t="str">
            <v>Salaires commis</v>
          </cell>
          <cell r="AR28" t="str">
            <v>$</v>
          </cell>
          <cell r="AS28">
            <v>0</v>
          </cell>
          <cell r="AW28">
            <v>0</v>
          </cell>
          <cell r="AY28" t="str">
            <v>NB</v>
          </cell>
        </row>
        <row r="29">
          <cell r="AM29">
            <v>25872.709999999992</v>
          </cell>
          <cell r="AP29" t="str">
            <v>Service</v>
          </cell>
          <cell r="AQ29" t="str">
            <v>Salaires commis</v>
          </cell>
          <cell r="AR29" t="str">
            <v>$</v>
          </cell>
          <cell r="AS29">
            <v>0</v>
          </cell>
          <cell r="AW29">
            <v>0</v>
          </cell>
          <cell r="AY29" t="str">
            <v>NB</v>
          </cell>
        </row>
        <row r="30">
          <cell r="AM30">
            <v>5927.8699999999953</v>
          </cell>
          <cell r="AP30" t="str">
            <v>Carrosserie</v>
          </cell>
          <cell r="AQ30" t="str">
            <v>Salaires commis</v>
          </cell>
          <cell r="AR30" t="str">
            <v>$</v>
          </cell>
          <cell r="AS30">
            <v>0</v>
          </cell>
          <cell r="AW30">
            <v>0</v>
          </cell>
          <cell r="AY30" t="str">
            <v>NB</v>
          </cell>
        </row>
        <row r="31">
          <cell r="AM31">
            <v>2792.75</v>
          </cell>
          <cell r="AP31" t="str">
            <v>Pièces</v>
          </cell>
          <cell r="AQ31" t="str">
            <v>Salaires commis</v>
          </cell>
          <cell r="AR31" t="str">
            <v>$</v>
          </cell>
          <cell r="AS31">
            <v>0</v>
          </cell>
          <cell r="AW31">
            <v>0</v>
          </cell>
          <cell r="AY31" t="str">
            <v>NB</v>
          </cell>
        </row>
        <row r="32">
          <cell r="AM32">
            <v>0</v>
          </cell>
          <cell r="AP32" t="e">
            <v>#N/A</v>
          </cell>
          <cell r="AQ32" t="e">
            <v>#N/A</v>
          </cell>
          <cell r="AR32" t="str">
            <v>$</v>
          </cell>
          <cell r="AS32" t="e">
            <v>#N/A</v>
          </cell>
          <cell r="AW32">
            <v>0</v>
          </cell>
          <cell r="AY32" t="str">
            <v>NB</v>
          </cell>
        </row>
        <row r="33">
          <cell r="AM33">
            <v>4057.0300000000025</v>
          </cell>
          <cell r="AP33" t="str">
            <v>Véhicules neufs</v>
          </cell>
          <cell r="AQ33" t="str">
            <v>Salaires autres</v>
          </cell>
          <cell r="AR33" t="str">
            <v>$</v>
          </cell>
          <cell r="AS33">
            <v>0</v>
          </cell>
          <cell r="AW33">
            <v>0</v>
          </cell>
          <cell r="AY33" t="str">
            <v>NB</v>
          </cell>
        </row>
        <row r="34">
          <cell r="AM34">
            <v>1498.7600000000002</v>
          </cell>
          <cell r="AP34" t="str">
            <v>Véhicules usagés</v>
          </cell>
          <cell r="AQ34" t="str">
            <v>Salaires autres</v>
          </cell>
          <cell r="AR34" t="str">
            <v>$</v>
          </cell>
          <cell r="AS34">
            <v>0</v>
          </cell>
          <cell r="AW34">
            <v>0</v>
          </cell>
          <cell r="AY34" t="str">
            <v>NB</v>
          </cell>
        </row>
        <row r="35">
          <cell r="AM35">
            <v>34960</v>
          </cell>
          <cell r="AP35" t="str">
            <v>Wholesale autres</v>
          </cell>
          <cell r="AQ35" t="str">
            <v>Salaires autres</v>
          </cell>
          <cell r="AR35" t="str">
            <v>$</v>
          </cell>
          <cell r="AS35">
            <v>0</v>
          </cell>
          <cell r="AW35">
            <v>0</v>
          </cell>
          <cell r="AY35" t="str">
            <v>NB</v>
          </cell>
        </row>
        <row r="36">
          <cell r="AM36">
            <v>28878.739999999991</v>
          </cell>
          <cell r="AP36" t="str">
            <v>Service</v>
          </cell>
          <cell r="AQ36" t="str">
            <v>Salaires autres</v>
          </cell>
          <cell r="AR36" t="str">
            <v>$</v>
          </cell>
          <cell r="AS36">
            <v>0</v>
          </cell>
          <cell r="AW36">
            <v>0</v>
          </cell>
          <cell r="AY36" t="str">
            <v>NB</v>
          </cell>
        </row>
        <row r="37">
          <cell r="AM37">
            <v>76</v>
          </cell>
          <cell r="AP37" t="str">
            <v>Carrosserie</v>
          </cell>
          <cell r="AQ37" t="str">
            <v>Salaires autres</v>
          </cell>
          <cell r="AR37" t="str">
            <v>$</v>
          </cell>
          <cell r="AS37">
            <v>0</v>
          </cell>
          <cell r="AW37">
            <v>0</v>
          </cell>
          <cell r="AY37" t="str">
            <v>NB</v>
          </cell>
        </row>
        <row r="38">
          <cell r="AM38">
            <v>20178.540000000008</v>
          </cell>
          <cell r="AP38" t="str">
            <v>Pièces</v>
          </cell>
          <cell r="AQ38" t="str">
            <v>Salaires autres</v>
          </cell>
          <cell r="AR38" t="str">
            <v>$</v>
          </cell>
          <cell r="AS38">
            <v>0</v>
          </cell>
          <cell r="AW38">
            <v>0</v>
          </cell>
          <cell r="AY38" t="str">
            <v>NB</v>
          </cell>
        </row>
        <row r="39">
          <cell r="AM39">
            <v>0</v>
          </cell>
          <cell r="AP39" t="e">
            <v>#N/A</v>
          </cell>
          <cell r="AQ39" t="e">
            <v>#N/A</v>
          </cell>
          <cell r="AR39" t="str">
            <v>$</v>
          </cell>
          <cell r="AS39" t="e">
            <v>#N/A</v>
          </cell>
          <cell r="AW39">
            <v>0</v>
          </cell>
          <cell r="AY39" t="str">
            <v>NB</v>
          </cell>
        </row>
        <row r="40">
          <cell r="AM40">
            <v>18093.270000000004</v>
          </cell>
          <cell r="AP40" t="str">
            <v>Véhicules neufs</v>
          </cell>
          <cell r="AQ40" t="str">
            <v>Salaires en absences</v>
          </cell>
          <cell r="AR40" t="str">
            <v>$</v>
          </cell>
          <cell r="AS40">
            <v>0</v>
          </cell>
          <cell r="AW40">
            <v>0</v>
          </cell>
          <cell r="AY40" t="str">
            <v>NB</v>
          </cell>
        </row>
        <row r="41">
          <cell r="AM41">
            <v>1766.2999999999993</v>
          </cell>
          <cell r="AP41" t="str">
            <v>Véhicules usagés</v>
          </cell>
          <cell r="AQ41" t="str">
            <v>Salaires en absences</v>
          </cell>
          <cell r="AR41" t="str">
            <v>$</v>
          </cell>
          <cell r="AS41">
            <v>0</v>
          </cell>
          <cell r="AW41">
            <v>0</v>
          </cell>
          <cell r="AY41" t="str">
            <v>NB</v>
          </cell>
        </row>
        <row r="42">
          <cell r="AM42">
            <v>2596.1999999999989</v>
          </cell>
          <cell r="AP42" t="str">
            <v>Wholesale autres</v>
          </cell>
          <cell r="AQ42" t="str">
            <v>Salaires en absences</v>
          </cell>
          <cell r="AR42" t="str">
            <v>$</v>
          </cell>
          <cell r="AS42">
            <v>0</v>
          </cell>
          <cell r="AW42">
            <v>0</v>
          </cell>
          <cell r="AY42" t="str">
            <v>NB</v>
          </cell>
        </row>
        <row r="43">
          <cell r="AM43">
            <v>24874.010000000009</v>
          </cell>
          <cell r="AP43" t="str">
            <v>Service</v>
          </cell>
          <cell r="AQ43" t="str">
            <v>Salaires en absences</v>
          </cell>
          <cell r="AR43" t="str">
            <v>$</v>
          </cell>
          <cell r="AS43">
            <v>0</v>
          </cell>
          <cell r="AW43">
            <v>0</v>
          </cell>
          <cell r="AY43" t="str">
            <v>NB</v>
          </cell>
        </row>
        <row r="44">
          <cell r="AM44">
            <v>3416.2299999999996</v>
          </cell>
          <cell r="AP44" t="str">
            <v>Carrosserie</v>
          </cell>
          <cell r="AQ44" t="str">
            <v>Salaires en absences</v>
          </cell>
          <cell r="AR44" t="str">
            <v>$</v>
          </cell>
          <cell r="AS44">
            <v>0</v>
          </cell>
          <cell r="AW44">
            <v>0</v>
          </cell>
          <cell r="AY44" t="str">
            <v>NB</v>
          </cell>
        </row>
        <row r="45">
          <cell r="AM45">
            <v>2698.4500000000007</v>
          </cell>
          <cell r="AP45" t="str">
            <v>Pièces</v>
          </cell>
          <cell r="AQ45" t="str">
            <v>Salaires en absences</v>
          </cell>
          <cell r="AR45" t="str">
            <v>$</v>
          </cell>
          <cell r="AS45">
            <v>0</v>
          </cell>
          <cell r="AW45">
            <v>0</v>
          </cell>
          <cell r="AY45" t="str">
            <v>NB</v>
          </cell>
        </row>
        <row r="46">
          <cell r="AM46">
            <v>0</v>
          </cell>
          <cell r="AP46" t="e">
            <v>#N/A</v>
          </cell>
          <cell r="AQ46" t="e">
            <v>#N/A</v>
          </cell>
          <cell r="AR46" t="str">
            <v>$</v>
          </cell>
          <cell r="AS46" t="e">
            <v>#N/A</v>
          </cell>
          <cell r="AW46">
            <v>0</v>
          </cell>
          <cell r="AY46" t="str">
            <v>NB</v>
          </cell>
        </row>
        <row r="47">
          <cell r="AM47">
            <v>19782.369999999995</v>
          </cell>
          <cell r="AP47" t="str">
            <v>Véhicules neufs</v>
          </cell>
          <cell r="AQ47" t="str">
            <v>Déduction à la source</v>
          </cell>
          <cell r="AR47" t="str">
            <v>$</v>
          </cell>
          <cell r="AS47">
            <v>0</v>
          </cell>
          <cell r="AW47">
            <v>0</v>
          </cell>
          <cell r="AY47" t="str">
            <v>NB</v>
          </cell>
        </row>
        <row r="48">
          <cell r="AM48">
            <v>3329.0599999999995</v>
          </cell>
          <cell r="AP48" t="str">
            <v>Véhicules usagés</v>
          </cell>
          <cell r="AQ48" t="str">
            <v>Déduction à la source</v>
          </cell>
          <cell r="AR48" t="str">
            <v>$</v>
          </cell>
          <cell r="AS48">
            <v>0</v>
          </cell>
          <cell r="AW48">
            <v>0</v>
          </cell>
          <cell r="AY48" t="str">
            <v>NB</v>
          </cell>
        </row>
        <row r="49">
          <cell r="AM49">
            <v>2966.3899999999994</v>
          </cell>
          <cell r="AP49" t="str">
            <v>Wholesale autres</v>
          </cell>
          <cell r="AQ49" t="str">
            <v>Déduction à la source</v>
          </cell>
          <cell r="AR49" t="str">
            <v>$</v>
          </cell>
          <cell r="AS49">
            <v>0</v>
          </cell>
          <cell r="AW49">
            <v>0</v>
          </cell>
          <cell r="AY49" t="str">
            <v>NB</v>
          </cell>
        </row>
        <row r="50">
          <cell r="AM50">
            <v>10851.210000000006</v>
          </cell>
          <cell r="AP50" t="str">
            <v>Service</v>
          </cell>
          <cell r="AQ50" t="str">
            <v>Déduction à la source</v>
          </cell>
          <cell r="AR50" t="str">
            <v>$</v>
          </cell>
          <cell r="AS50">
            <v>0</v>
          </cell>
          <cell r="AW50">
            <v>0</v>
          </cell>
          <cell r="AY50" t="str">
            <v>NB</v>
          </cell>
        </row>
        <row r="51">
          <cell r="AM51">
            <v>4038.2000000000007</v>
          </cell>
          <cell r="AP51" t="str">
            <v>Carrosserie</v>
          </cell>
          <cell r="AQ51" t="str">
            <v>Déduction à la source</v>
          </cell>
          <cell r="AR51" t="str">
            <v>$</v>
          </cell>
          <cell r="AS51">
            <v>0</v>
          </cell>
          <cell r="AW51">
            <v>0</v>
          </cell>
          <cell r="AY51" t="str">
            <v>NB</v>
          </cell>
        </row>
        <row r="52">
          <cell r="AM52">
            <v>2709.0499999999993</v>
          </cell>
          <cell r="AP52" t="str">
            <v>Pièces</v>
          </cell>
          <cell r="AQ52" t="str">
            <v>Déduction à la source</v>
          </cell>
          <cell r="AR52" t="str">
            <v>$</v>
          </cell>
          <cell r="AS52">
            <v>0</v>
          </cell>
          <cell r="AW52">
            <v>0</v>
          </cell>
          <cell r="AY52" t="str">
            <v>NB</v>
          </cell>
        </row>
        <row r="53">
          <cell r="AM53">
            <v>0</v>
          </cell>
          <cell r="AP53" t="e">
            <v>#N/A</v>
          </cell>
          <cell r="AQ53" t="e">
            <v>#N/A</v>
          </cell>
          <cell r="AR53" t="str">
            <v>$</v>
          </cell>
          <cell r="AS53" t="e">
            <v>#N/A</v>
          </cell>
          <cell r="AW53">
            <v>0</v>
          </cell>
          <cell r="AY53" t="str">
            <v>NB</v>
          </cell>
        </row>
        <row r="54">
          <cell r="AM54">
            <v>3563.3799999999974</v>
          </cell>
          <cell r="AP54" t="str">
            <v>Véhicules neufs</v>
          </cell>
          <cell r="AQ54" t="str">
            <v>Bénéfices marginaux</v>
          </cell>
          <cell r="AR54" t="str">
            <v>$</v>
          </cell>
          <cell r="AS54">
            <v>0</v>
          </cell>
          <cell r="AW54">
            <v>0</v>
          </cell>
          <cell r="AY54" t="str">
            <v>NB</v>
          </cell>
        </row>
        <row r="55">
          <cell r="AM55">
            <v>1059.3500000000004</v>
          </cell>
          <cell r="AP55" t="str">
            <v>Véhicules usagés</v>
          </cell>
          <cell r="AQ55" t="str">
            <v>Bénéfices marginaux</v>
          </cell>
          <cell r="AR55" t="str">
            <v>$</v>
          </cell>
          <cell r="AS55">
            <v>0</v>
          </cell>
          <cell r="AW55">
            <v>0</v>
          </cell>
          <cell r="AY55" t="str">
            <v>NB</v>
          </cell>
        </row>
        <row r="56">
          <cell r="AM56">
            <v>328.94000000000051</v>
          </cell>
          <cell r="AP56" t="str">
            <v>Wholesale autres</v>
          </cell>
          <cell r="AQ56" t="str">
            <v>Bénéfices marginaux</v>
          </cell>
          <cell r="AR56" t="str">
            <v>$</v>
          </cell>
          <cell r="AS56">
            <v>0</v>
          </cell>
          <cell r="AW56">
            <v>0</v>
          </cell>
          <cell r="AY56" t="str">
            <v>NB</v>
          </cell>
        </row>
        <row r="57">
          <cell r="AM57">
            <v>9511.3800000000047</v>
          </cell>
          <cell r="AP57" t="str">
            <v>Service</v>
          </cell>
          <cell r="AQ57" t="str">
            <v>Bénéfices marginaux</v>
          </cell>
          <cell r="AR57" t="str">
            <v>$</v>
          </cell>
          <cell r="AS57">
            <v>0</v>
          </cell>
          <cell r="AW57">
            <v>0</v>
          </cell>
          <cell r="AY57" t="str">
            <v>NB</v>
          </cell>
        </row>
        <row r="58">
          <cell r="AM58">
            <v>2285.9899999999998</v>
          </cell>
          <cell r="AP58" t="str">
            <v>Carrosserie</v>
          </cell>
          <cell r="AQ58" t="str">
            <v>Bénéfices marginaux</v>
          </cell>
          <cell r="AR58" t="str">
            <v>$</v>
          </cell>
          <cell r="AS58">
            <v>0</v>
          </cell>
          <cell r="AW58">
            <v>0</v>
          </cell>
          <cell r="AY58" t="str">
            <v>NB</v>
          </cell>
        </row>
        <row r="59">
          <cell r="AM59">
            <v>871.92000000000007</v>
          </cell>
          <cell r="AP59" t="str">
            <v>Pièces</v>
          </cell>
          <cell r="AQ59" t="str">
            <v>Bénéfices marginaux</v>
          </cell>
          <cell r="AR59" t="str">
            <v>$</v>
          </cell>
          <cell r="AS59">
            <v>0</v>
          </cell>
          <cell r="AW59">
            <v>0</v>
          </cell>
          <cell r="AY59" t="str">
            <v>NB</v>
          </cell>
        </row>
        <row r="60">
          <cell r="AM60">
            <v>0</v>
          </cell>
          <cell r="AP60" t="e">
            <v>#N/A</v>
          </cell>
          <cell r="AQ60" t="e">
            <v>#N/A</v>
          </cell>
          <cell r="AR60" t="str">
            <v>$</v>
          </cell>
          <cell r="AS60" t="e">
            <v>#N/A</v>
          </cell>
          <cell r="AW60">
            <v>0</v>
          </cell>
          <cell r="AY60" t="str">
            <v>NB</v>
          </cell>
        </row>
        <row r="61">
          <cell r="AM61">
            <v>0</v>
          </cell>
          <cell r="AP61" t="e">
            <v>#N/A</v>
          </cell>
          <cell r="AQ61" t="e">
            <v>#N/A</v>
          </cell>
          <cell r="AR61" t="str">
            <v>$</v>
          </cell>
          <cell r="AS61" t="e">
            <v>#N/A</v>
          </cell>
          <cell r="AW61">
            <v>0</v>
          </cell>
          <cell r="AY61" t="str">
            <v>NB</v>
          </cell>
        </row>
        <row r="62">
          <cell r="AM62">
            <v>11.850000000000023</v>
          </cell>
          <cell r="AP62" t="str">
            <v>Véhicules neufs</v>
          </cell>
          <cell r="AQ62" t="str">
            <v>Csst</v>
          </cell>
          <cell r="AR62" t="str">
            <v>$</v>
          </cell>
          <cell r="AS62">
            <v>0</v>
          </cell>
          <cell r="AW62">
            <v>0</v>
          </cell>
          <cell r="AY62" t="str">
            <v>NB</v>
          </cell>
        </row>
        <row r="63">
          <cell r="AM63">
            <v>28.629999999999995</v>
          </cell>
          <cell r="AP63" t="str">
            <v>Véhicules usagés</v>
          </cell>
          <cell r="AQ63" t="str">
            <v>Csst</v>
          </cell>
          <cell r="AR63" t="str">
            <v>$</v>
          </cell>
          <cell r="AS63">
            <v>0</v>
          </cell>
          <cell r="AW63">
            <v>0</v>
          </cell>
          <cell r="AY63" t="str">
            <v>NB</v>
          </cell>
        </row>
        <row r="64">
          <cell r="AM64">
            <v>0</v>
          </cell>
          <cell r="AP64" t="str">
            <v>Wholesale autres</v>
          </cell>
          <cell r="AQ64" t="str">
            <v>Csst</v>
          </cell>
          <cell r="AR64" t="str">
            <v>$</v>
          </cell>
          <cell r="AS64">
            <v>0</v>
          </cell>
          <cell r="AW64">
            <v>0</v>
          </cell>
          <cell r="AY64" t="str">
            <v>NB</v>
          </cell>
        </row>
        <row r="65">
          <cell r="AM65">
            <v>1005.04</v>
          </cell>
          <cell r="AP65" t="str">
            <v>Service</v>
          </cell>
          <cell r="AQ65" t="str">
            <v>Csst</v>
          </cell>
          <cell r="AR65" t="str">
            <v>$</v>
          </cell>
          <cell r="AS65">
            <v>0</v>
          </cell>
          <cell r="AW65">
            <v>0</v>
          </cell>
          <cell r="AY65" t="str">
            <v>NB</v>
          </cell>
        </row>
        <row r="66">
          <cell r="AM66">
            <v>28.150000000000006</v>
          </cell>
          <cell r="AP66" t="str">
            <v>Carrosserie</v>
          </cell>
          <cell r="AQ66" t="str">
            <v>Csst</v>
          </cell>
          <cell r="AR66" t="str">
            <v>$</v>
          </cell>
          <cell r="AS66">
            <v>0</v>
          </cell>
          <cell r="AW66">
            <v>0</v>
          </cell>
          <cell r="AY66" t="str">
            <v>NB</v>
          </cell>
        </row>
        <row r="67">
          <cell r="AM67">
            <v>159.55999999999995</v>
          </cell>
          <cell r="AP67" t="str">
            <v>Pièces</v>
          </cell>
          <cell r="AQ67" t="str">
            <v>Csst</v>
          </cell>
          <cell r="AR67" t="str">
            <v>$</v>
          </cell>
          <cell r="AS67">
            <v>0</v>
          </cell>
          <cell r="AW67">
            <v>0</v>
          </cell>
          <cell r="AY67" t="str">
            <v>NB</v>
          </cell>
        </row>
        <row r="68">
          <cell r="AM68">
            <v>0</v>
          </cell>
          <cell r="AP68" t="str">
            <v>SAAQ</v>
          </cell>
          <cell r="AQ68" t="str">
            <v>Csst</v>
          </cell>
          <cell r="AR68" t="str">
            <v>$</v>
          </cell>
          <cell r="AS68">
            <v>0</v>
          </cell>
          <cell r="AW68">
            <v>0</v>
          </cell>
          <cell r="AY68" t="str">
            <v>NB</v>
          </cell>
        </row>
        <row r="69">
          <cell r="AM69">
            <v>0</v>
          </cell>
          <cell r="AP69" t="e">
            <v>#N/A</v>
          </cell>
          <cell r="AQ69" t="e">
            <v>#N/A</v>
          </cell>
          <cell r="AR69" t="str">
            <v>$</v>
          </cell>
          <cell r="AS69" t="e">
            <v>#N/A</v>
          </cell>
          <cell r="AW69">
            <v>0</v>
          </cell>
          <cell r="AY69" t="str">
            <v>NB</v>
          </cell>
        </row>
        <row r="70">
          <cell r="AM70">
            <v>0</v>
          </cell>
          <cell r="AP70" t="e">
            <v>#N/A</v>
          </cell>
          <cell r="AQ70" t="e">
            <v>#N/A</v>
          </cell>
          <cell r="AR70" t="str">
            <v>$</v>
          </cell>
          <cell r="AS70" t="e">
            <v>#N/A</v>
          </cell>
          <cell r="AW70">
            <v>0</v>
          </cell>
          <cell r="AY70" t="str">
            <v>NB</v>
          </cell>
        </row>
        <row r="71">
          <cell r="AM71">
            <v>1004.8900000000003</v>
          </cell>
          <cell r="AP71" t="str">
            <v>Véhicules neufs</v>
          </cell>
          <cell r="AQ71" t="str">
            <v>Frais postaux</v>
          </cell>
          <cell r="AR71" t="str">
            <v>$</v>
          </cell>
          <cell r="AS71">
            <v>0</v>
          </cell>
          <cell r="AW71">
            <v>0</v>
          </cell>
          <cell r="AY71" t="str">
            <v>NB</v>
          </cell>
        </row>
        <row r="72">
          <cell r="AM72">
            <v>1077.96</v>
          </cell>
          <cell r="AP72" t="str">
            <v>Véhicules usagés</v>
          </cell>
          <cell r="AQ72" t="str">
            <v>Frais postaux</v>
          </cell>
          <cell r="AR72" t="str">
            <v>$</v>
          </cell>
          <cell r="AS72">
            <v>0</v>
          </cell>
          <cell r="AW72">
            <v>0</v>
          </cell>
          <cell r="AY72" t="str">
            <v>NB</v>
          </cell>
        </row>
        <row r="73">
          <cell r="AM73">
            <v>21.070000000000618</v>
          </cell>
          <cell r="AP73" t="str">
            <v>Wholesale autres</v>
          </cell>
          <cell r="AQ73" t="str">
            <v>Frais postaux</v>
          </cell>
          <cell r="AR73" t="str">
            <v>$</v>
          </cell>
          <cell r="AS73">
            <v>0</v>
          </cell>
          <cell r="AW73">
            <v>0</v>
          </cell>
          <cell r="AY73" t="str">
            <v>NB</v>
          </cell>
        </row>
        <row r="74">
          <cell r="AM74">
            <v>715.44</v>
          </cell>
          <cell r="AP74" t="str">
            <v>Service</v>
          </cell>
          <cell r="AQ74" t="str">
            <v>Frais postaux</v>
          </cell>
          <cell r="AR74" t="str">
            <v>$</v>
          </cell>
          <cell r="AS74">
            <v>0</v>
          </cell>
          <cell r="AW74">
            <v>0</v>
          </cell>
          <cell r="AY74" t="str">
            <v>NB</v>
          </cell>
        </row>
        <row r="75">
          <cell r="AM75">
            <v>227.16000000000008</v>
          </cell>
          <cell r="AP75" t="str">
            <v>Carrosserie</v>
          </cell>
          <cell r="AQ75" t="str">
            <v>Frais postaux</v>
          </cell>
          <cell r="AR75" t="str">
            <v>$</v>
          </cell>
          <cell r="AS75">
            <v>0</v>
          </cell>
          <cell r="AW75">
            <v>0</v>
          </cell>
          <cell r="AY75" t="str">
            <v>NB</v>
          </cell>
        </row>
        <row r="76">
          <cell r="AM76">
            <v>548.92000000000007</v>
          </cell>
          <cell r="AP76" t="str">
            <v>Pièces</v>
          </cell>
          <cell r="AQ76" t="str">
            <v>Frais postaux</v>
          </cell>
          <cell r="AR76" t="str">
            <v>$</v>
          </cell>
          <cell r="AS76">
            <v>0</v>
          </cell>
          <cell r="AW76">
            <v>0</v>
          </cell>
          <cell r="AY76" t="str">
            <v>NB</v>
          </cell>
        </row>
        <row r="77">
          <cell r="AM77">
            <v>0</v>
          </cell>
          <cell r="AP77" t="e">
            <v>#N/A</v>
          </cell>
          <cell r="AQ77" t="e">
            <v>#N/A</v>
          </cell>
          <cell r="AR77" t="str">
            <v>$</v>
          </cell>
          <cell r="AS77" t="e">
            <v>#N/A</v>
          </cell>
          <cell r="AW77">
            <v>0</v>
          </cell>
          <cell r="AY77" t="str">
            <v>NB</v>
          </cell>
        </row>
        <row r="78">
          <cell r="AM78">
            <v>17239.509999999995</v>
          </cell>
          <cell r="AP78" t="str">
            <v>Véhicules neufs</v>
          </cell>
          <cell r="AQ78" t="str">
            <v>Frais véhicules de cie</v>
          </cell>
          <cell r="AR78" t="str">
            <v>$</v>
          </cell>
          <cell r="AS78">
            <v>0</v>
          </cell>
          <cell r="AW78">
            <v>0</v>
          </cell>
          <cell r="AY78" t="str">
            <v>NB</v>
          </cell>
        </row>
        <row r="79">
          <cell r="AM79">
            <v>2757.26</v>
          </cell>
          <cell r="AP79" t="str">
            <v>Véhicules usagés</v>
          </cell>
          <cell r="AQ79" t="str">
            <v>Frais véhicules de cie</v>
          </cell>
          <cell r="AR79" t="str">
            <v>$</v>
          </cell>
          <cell r="AS79">
            <v>0</v>
          </cell>
          <cell r="AW79">
            <v>0</v>
          </cell>
          <cell r="AY79" t="str">
            <v>NB</v>
          </cell>
        </row>
        <row r="80">
          <cell r="AM80">
            <v>0</v>
          </cell>
          <cell r="AP80" t="str">
            <v>Wholesale autres</v>
          </cell>
          <cell r="AQ80" t="str">
            <v>Frais véhicules de cie</v>
          </cell>
          <cell r="AR80" t="str">
            <v>$</v>
          </cell>
          <cell r="AS80">
            <v>0</v>
          </cell>
          <cell r="AW80">
            <v>0</v>
          </cell>
          <cell r="AY80" t="str">
            <v>NB</v>
          </cell>
        </row>
        <row r="81">
          <cell r="AM81">
            <v>10703.549999999996</v>
          </cell>
          <cell r="AP81" t="str">
            <v>Service</v>
          </cell>
          <cell r="AQ81" t="str">
            <v>Frais véhicules de cie</v>
          </cell>
          <cell r="AR81" t="str">
            <v>$</v>
          </cell>
          <cell r="AS81">
            <v>0</v>
          </cell>
          <cell r="AW81">
            <v>0</v>
          </cell>
          <cell r="AY81" t="str">
            <v>NB</v>
          </cell>
        </row>
        <row r="82">
          <cell r="AM82">
            <v>248.63000000000011</v>
          </cell>
          <cell r="AP82" t="str">
            <v>Carrosserie</v>
          </cell>
          <cell r="AQ82" t="str">
            <v>Frais véhicules de cie</v>
          </cell>
          <cell r="AR82" t="str">
            <v>$</v>
          </cell>
          <cell r="AS82">
            <v>0</v>
          </cell>
          <cell r="AW82">
            <v>0</v>
          </cell>
          <cell r="AY82" t="str">
            <v>NB</v>
          </cell>
        </row>
        <row r="83">
          <cell r="AM83">
            <v>2479.7599999999984</v>
          </cell>
          <cell r="AP83" t="str">
            <v>Pièces</v>
          </cell>
          <cell r="AQ83" t="str">
            <v>Frais véhicules de cie</v>
          </cell>
          <cell r="AR83" t="str">
            <v>$</v>
          </cell>
          <cell r="AS83">
            <v>0</v>
          </cell>
          <cell r="AW83">
            <v>0</v>
          </cell>
          <cell r="AY83" t="str">
            <v>NB</v>
          </cell>
        </row>
        <row r="84">
          <cell r="AM84">
            <v>0</v>
          </cell>
          <cell r="AP84" t="e">
            <v>#N/A</v>
          </cell>
          <cell r="AQ84" t="e">
            <v>#N/A</v>
          </cell>
          <cell r="AR84" t="str">
            <v>$</v>
          </cell>
          <cell r="AS84" t="e">
            <v>#N/A</v>
          </cell>
          <cell r="AW84">
            <v>0</v>
          </cell>
          <cell r="AY84" t="str">
            <v>NB</v>
          </cell>
        </row>
        <row r="85">
          <cell r="AM85">
            <v>0</v>
          </cell>
          <cell r="AP85">
            <v>0</v>
          </cell>
          <cell r="AQ85">
            <v>0</v>
          </cell>
          <cell r="AR85" t="str">
            <v>$</v>
          </cell>
          <cell r="AS85">
            <v>0</v>
          </cell>
          <cell r="AW85">
            <v>0</v>
          </cell>
          <cell r="AY85" t="str">
            <v>NB</v>
          </cell>
        </row>
        <row r="86">
          <cell r="AM86">
            <v>0</v>
          </cell>
          <cell r="AP86">
            <v>0</v>
          </cell>
          <cell r="AQ86">
            <v>0</v>
          </cell>
          <cell r="AR86" t="str">
            <v>$</v>
          </cell>
          <cell r="AS86">
            <v>0</v>
          </cell>
          <cell r="AW86">
            <v>0</v>
          </cell>
          <cell r="AY86" t="str">
            <v>NB</v>
          </cell>
        </row>
        <row r="87">
          <cell r="AM87">
            <v>0</v>
          </cell>
          <cell r="AP87">
            <v>0</v>
          </cell>
          <cell r="AQ87">
            <v>0</v>
          </cell>
          <cell r="AR87" t="str">
            <v>$</v>
          </cell>
          <cell r="AS87">
            <v>0</v>
          </cell>
          <cell r="AW87">
            <v>0</v>
          </cell>
          <cell r="AY87" t="str">
            <v>NB</v>
          </cell>
        </row>
        <row r="88">
          <cell r="AM88">
            <v>0</v>
          </cell>
          <cell r="AP88" t="str">
            <v>Véhicules neufs</v>
          </cell>
          <cell r="AQ88" t="str">
            <v>Divers</v>
          </cell>
          <cell r="AR88" t="str">
            <v>$</v>
          </cell>
          <cell r="AS88">
            <v>0</v>
          </cell>
          <cell r="AW88">
            <v>0</v>
          </cell>
          <cell r="AY88" t="str">
            <v>NB</v>
          </cell>
        </row>
        <row r="89">
          <cell r="AM89">
            <v>0</v>
          </cell>
          <cell r="AP89" t="str">
            <v>Véhicules usagés</v>
          </cell>
          <cell r="AQ89" t="str">
            <v>Divers</v>
          </cell>
          <cell r="AR89" t="str">
            <v>$</v>
          </cell>
          <cell r="AS89">
            <v>0</v>
          </cell>
          <cell r="AW89">
            <v>0</v>
          </cell>
          <cell r="AY89" t="str">
            <v>NB</v>
          </cell>
        </row>
        <row r="90">
          <cell r="AM90">
            <v>0</v>
          </cell>
          <cell r="AP90" t="str">
            <v>Service</v>
          </cell>
          <cell r="AQ90" t="str">
            <v>Divers</v>
          </cell>
          <cell r="AR90" t="str">
            <v>$</v>
          </cell>
          <cell r="AS90">
            <v>0</v>
          </cell>
          <cell r="AW90">
            <v>0</v>
          </cell>
          <cell r="AY90" t="str">
            <v>NB</v>
          </cell>
        </row>
        <row r="91">
          <cell r="AM91">
            <v>0</v>
          </cell>
          <cell r="AP91" t="str">
            <v>Pièces</v>
          </cell>
          <cell r="AQ91" t="str">
            <v>Divers</v>
          </cell>
          <cell r="AR91" t="str">
            <v>$</v>
          </cell>
          <cell r="AS91">
            <v>0</v>
          </cell>
          <cell r="AW91">
            <v>0</v>
          </cell>
          <cell r="AY91" t="str">
            <v>NB</v>
          </cell>
        </row>
        <row r="92">
          <cell r="AM92">
            <v>0</v>
          </cell>
          <cell r="AP92" t="e">
            <v>#N/A</v>
          </cell>
          <cell r="AQ92" t="e">
            <v>#N/A</v>
          </cell>
          <cell r="AR92" t="str">
            <v>$</v>
          </cell>
          <cell r="AS92" t="e">
            <v>#N/A</v>
          </cell>
          <cell r="AW92">
            <v>0</v>
          </cell>
          <cell r="AY92" t="str">
            <v>NB</v>
          </cell>
        </row>
        <row r="93">
          <cell r="AM93">
            <v>341.48</v>
          </cell>
          <cell r="AP93" t="str">
            <v>Véhicules neufs</v>
          </cell>
          <cell r="AQ93" t="str">
            <v>Frais bancaires</v>
          </cell>
          <cell r="AR93" t="str">
            <v>$</v>
          </cell>
          <cell r="AS93">
            <v>0</v>
          </cell>
          <cell r="AW93">
            <v>0</v>
          </cell>
          <cell r="AY93" t="str">
            <v>NB</v>
          </cell>
        </row>
        <row r="94">
          <cell r="AM94">
            <v>266.81000000000017</v>
          </cell>
          <cell r="AP94" t="str">
            <v>Véhicules usagés</v>
          </cell>
          <cell r="AQ94" t="str">
            <v>Frais bancaires</v>
          </cell>
          <cell r="AR94" t="str">
            <v>$</v>
          </cell>
          <cell r="AS94">
            <v>0</v>
          </cell>
          <cell r="AW94">
            <v>0</v>
          </cell>
          <cell r="AY94" t="str">
            <v>NB</v>
          </cell>
        </row>
        <row r="95">
          <cell r="AM95">
            <v>0</v>
          </cell>
          <cell r="AP95" t="str">
            <v>Wholesale autres</v>
          </cell>
          <cell r="AQ95" t="str">
            <v>Frais bancaires</v>
          </cell>
          <cell r="AR95" t="str">
            <v>$</v>
          </cell>
          <cell r="AS95">
            <v>0</v>
          </cell>
          <cell r="AW95">
            <v>0</v>
          </cell>
          <cell r="AY95" t="str">
            <v>NB</v>
          </cell>
        </row>
        <row r="96">
          <cell r="AM96">
            <v>346.23</v>
          </cell>
          <cell r="AP96" t="str">
            <v>Service</v>
          </cell>
          <cell r="AQ96" t="str">
            <v>Frais bancaires</v>
          </cell>
          <cell r="AR96" t="str">
            <v>$</v>
          </cell>
          <cell r="AS96">
            <v>0</v>
          </cell>
          <cell r="AW96">
            <v>0</v>
          </cell>
          <cell r="AY96" t="str">
            <v>NB</v>
          </cell>
        </row>
        <row r="97">
          <cell r="AM97">
            <v>107.16000000000008</v>
          </cell>
          <cell r="AP97" t="str">
            <v>Carrosserie</v>
          </cell>
          <cell r="AQ97" t="str">
            <v>Frais bancaires</v>
          </cell>
          <cell r="AR97" t="str">
            <v>$</v>
          </cell>
          <cell r="AS97">
            <v>0</v>
          </cell>
          <cell r="AW97">
            <v>0</v>
          </cell>
          <cell r="AY97" t="str">
            <v>NB</v>
          </cell>
        </row>
        <row r="98">
          <cell r="AM98">
            <v>107.15000000000009</v>
          </cell>
          <cell r="AP98" t="str">
            <v>Pièces</v>
          </cell>
          <cell r="AQ98" t="str">
            <v>Frais bancaires</v>
          </cell>
          <cell r="AR98" t="str">
            <v>$</v>
          </cell>
          <cell r="AS98">
            <v>0</v>
          </cell>
          <cell r="AW98">
            <v>0</v>
          </cell>
          <cell r="AY98" t="str">
            <v>NB</v>
          </cell>
        </row>
        <row r="99">
          <cell r="AM99">
            <v>0</v>
          </cell>
          <cell r="AP99" t="e">
            <v>#N/A</v>
          </cell>
          <cell r="AQ99" t="e">
            <v>#N/A</v>
          </cell>
          <cell r="AR99" t="str">
            <v>$</v>
          </cell>
          <cell r="AS99" t="e">
            <v>#N/A</v>
          </cell>
          <cell r="AW99">
            <v>0</v>
          </cell>
          <cell r="AY99" t="str">
            <v>NB</v>
          </cell>
        </row>
        <row r="100">
          <cell r="AM100">
            <v>791.38999999999942</v>
          </cell>
          <cell r="AP100" t="str">
            <v>Véhicules neufs</v>
          </cell>
          <cell r="AQ100" t="str">
            <v>Papeterie</v>
          </cell>
          <cell r="AR100" t="str">
            <v>$</v>
          </cell>
          <cell r="AS100">
            <v>0</v>
          </cell>
          <cell r="AW100">
            <v>0</v>
          </cell>
          <cell r="AY100" t="str">
            <v>NB</v>
          </cell>
        </row>
        <row r="101">
          <cell r="AM101">
            <v>362.8799999999992</v>
          </cell>
          <cell r="AP101" t="str">
            <v>Véhicules usagés</v>
          </cell>
          <cell r="AQ101" t="str">
            <v>Papeterie</v>
          </cell>
          <cell r="AR101" t="str">
            <v>$</v>
          </cell>
          <cell r="AS101">
            <v>0</v>
          </cell>
          <cell r="AW101">
            <v>0</v>
          </cell>
          <cell r="AY101" t="str">
            <v>NB</v>
          </cell>
        </row>
        <row r="102">
          <cell r="AM102">
            <v>116</v>
          </cell>
          <cell r="AP102" t="str">
            <v>Wholesale autres</v>
          </cell>
          <cell r="AQ102" t="str">
            <v>Papeterie</v>
          </cell>
          <cell r="AR102" t="str">
            <v>$</v>
          </cell>
          <cell r="AS102">
            <v>0</v>
          </cell>
          <cell r="AW102">
            <v>0</v>
          </cell>
          <cell r="AY102" t="str">
            <v>NB</v>
          </cell>
        </row>
        <row r="103">
          <cell r="AM103">
            <v>1456.2999999999993</v>
          </cell>
          <cell r="AP103" t="str">
            <v>Service</v>
          </cell>
          <cell r="AQ103" t="str">
            <v>Papeterie</v>
          </cell>
          <cell r="AR103" t="str">
            <v>$</v>
          </cell>
          <cell r="AS103">
            <v>0</v>
          </cell>
          <cell r="AW103">
            <v>0</v>
          </cell>
          <cell r="AY103" t="str">
            <v>NB</v>
          </cell>
        </row>
        <row r="104">
          <cell r="AM104">
            <v>181.46000000000004</v>
          </cell>
          <cell r="AP104" t="str">
            <v>Carrosserie</v>
          </cell>
          <cell r="AQ104" t="str">
            <v>Papeterie</v>
          </cell>
          <cell r="AR104" t="str">
            <v>$</v>
          </cell>
          <cell r="AS104">
            <v>0</v>
          </cell>
          <cell r="AW104">
            <v>0</v>
          </cell>
          <cell r="AY104" t="str">
            <v>NB</v>
          </cell>
        </row>
        <row r="105">
          <cell r="AM105">
            <v>480.9699999999998</v>
          </cell>
          <cell r="AP105" t="str">
            <v>Pièces</v>
          </cell>
          <cell r="AQ105" t="str">
            <v>Papeterie</v>
          </cell>
          <cell r="AR105" t="str">
            <v>$</v>
          </cell>
          <cell r="AS105">
            <v>0</v>
          </cell>
          <cell r="AW105">
            <v>0</v>
          </cell>
          <cell r="AY105" t="str">
            <v>NB</v>
          </cell>
        </row>
        <row r="106">
          <cell r="AM106">
            <v>0</v>
          </cell>
          <cell r="AP106" t="e">
            <v>#N/A</v>
          </cell>
          <cell r="AQ106" t="e">
            <v>#N/A</v>
          </cell>
          <cell r="AR106" t="str">
            <v>$</v>
          </cell>
          <cell r="AS106" t="e">
            <v>#N/A</v>
          </cell>
          <cell r="AW106">
            <v>0</v>
          </cell>
          <cell r="AY106" t="str">
            <v>NB</v>
          </cell>
        </row>
        <row r="107">
          <cell r="AM107">
            <v>937.11000000000013</v>
          </cell>
          <cell r="AP107" t="str">
            <v>Véhicules neufs</v>
          </cell>
          <cell r="AQ107" t="str">
            <v>Fournitures autres</v>
          </cell>
          <cell r="AR107" t="str">
            <v>$</v>
          </cell>
          <cell r="AS107">
            <v>0</v>
          </cell>
          <cell r="AW107">
            <v>0</v>
          </cell>
          <cell r="AY107" t="str">
            <v>NB</v>
          </cell>
        </row>
        <row r="108">
          <cell r="AM108">
            <v>67.150000000000091</v>
          </cell>
          <cell r="AP108" t="str">
            <v>Véhicules usagés</v>
          </cell>
          <cell r="AQ108" t="str">
            <v>Fournitures autres</v>
          </cell>
          <cell r="AR108" t="str">
            <v>$</v>
          </cell>
          <cell r="AS108">
            <v>0</v>
          </cell>
          <cell r="AW108">
            <v>0</v>
          </cell>
          <cell r="AY108" t="str">
            <v>NB</v>
          </cell>
        </row>
        <row r="109">
          <cell r="AM109">
            <v>0</v>
          </cell>
          <cell r="AP109" t="str">
            <v>Wholesale autres</v>
          </cell>
          <cell r="AQ109" t="str">
            <v>Fournitures autres</v>
          </cell>
          <cell r="AR109" t="str">
            <v>$</v>
          </cell>
          <cell r="AS109">
            <v>0</v>
          </cell>
          <cell r="AW109">
            <v>0</v>
          </cell>
          <cell r="AY109" t="str">
            <v>NB</v>
          </cell>
        </row>
        <row r="110">
          <cell r="AM110">
            <v>5690.52</v>
          </cell>
          <cell r="AP110" t="str">
            <v>Service</v>
          </cell>
          <cell r="AQ110" t="str">
            <v>Fournitures autres</v>
          </cell>
          <cell r="AR110" t="str">
            <v>$</v>
          </cell>
          <cell r="AS110">
            <v>0</v>
          </cell>
          <cell r="AW110">
            <v>0</v>
          </cell>
          <cell r="AY110" t="str">
            <v>NB</v>
          </cell>
        </row>
        <row r="111">
          <cell r="AM111">
            <v>2281.880000000001</v>
          </cell>
          <cell r="AP111" t="str">
            <v>Carrosserie</v>
          </cell>
          <cell r="AQ111" t="str">
            <v>Fournitures autres</v>
          </cell>
          <cell r="AR111" t="str">
            <v>$</v>
          </cell>
          <cell r="AS111">
            <v>0</v>
          </cell>
          <cell r="AW111">
            <v>0</v>
          </cell>
          <cell r="AY111" t="str">
            <v>NB</v>
          </cell>
        </row>
        <row r="112">
          <cell r="AM112">
            <v>34.969999999999914</v>
          </cell>
          <cell r="AP112" t="str">
            <v>Pièces</v>
          </cell>
          <cell r="AQ112" t="str">
            <v>Fournitures autres</v>
          </cell>
          <cell r="AR112" t="str">
            <v>$</v>
          </cell>
          <cell r="AS112">
            <v>0</v>
          </cell>
          <cell r="AW112">
            <v>0</v>
          </cell>
          <cell r="AY112" t="str">
            <v>NB</v>
          </cell>
        </row>
        <row r="113">
          <cell r="AM113">
            <v>0</v>
          </cell>
          <cell r="AP113" t="str">
            <v>Service</v>
          </cell>
          <cell r="AQ113" t="str">
            <v>Fournitures autres</v>
          </cell>
          <cell r="AR113" t="str">
            <v>$</v>
          </cell>
          <cell r="AS113">
            <v>0</v>
          </cell>
          <cell r="AW113">
            <v>0</v>
          </cell>
          <cell r="AY113" t="str">
            <v>NB</v>
          </cell>
        </row>
        <row r="114">
          <cell r="AM114">
            <v>0</v>
          </cell>
          <cell r="AP114" t="e">
            <v>#N/A</v>
          </cell>
          <cell r="AQ114" t="e">
            <v>#N/A</v>
          </cell>
          <cell r="AR114" t="str">
            <v>$</v>
          </cell>
          <cell r="AS114" t="e">
            <v>#N/A</v>
          </cell>
          <cell r="AW114">
            <v>0</v>
          </cell>
          <cell r="AY114" t="str">
            <v>NB</v>
          </cell>
        </row>
        <row r="115">
          <cell r="AM115">
            <v>1134.0199999999995</v>
          </cell>
          <cell r="AP115" t="str">
            <v>Véhicules neufs</v>
          </cell>
          <cell r="AQ115" t="str">
            <v>Publicité 1</v>
          </cell>
          <cell r="AR115" t="str">
            <v>$</v>
          </cell>
          <cell r="AS115">
            <v>0</v>
          </cell>
          <cell r="AW115">
            <v>0</v>
          </cell>
          <cell r="AY115" t="str">
            <v>NB</v>
          </cell>
        </row>
        <row r="116">
          <cell r="AM116">
            <v>19.799999999999997</v>
          </cell>
          <cell r="AP116" t="str">
            <v>Véhicules usagés</v>
          </cell>
          <cell r="AQ116" t="str">
            <v>Publicité 1</v>
          </cell>
          <cell r="AR116" t="str">
            <v>$</v>
          </cell>
          <cell r="AS116">
            <v>0</v>
          </cell>
          <cell r="AW116">
            <v>0</v>
          </cell>
          <cell r="AY116" t="str">
            <v>NB</v>
          </cell>
        </row>
        <row r="117">
          <cell r="AM117">
            <v>0</v>
          </cell>
          <cell r="AP117" t="str">
            <v>Wholesale autres</v>
          </cell>
          <cell r="AQ117" t="str">
            <v>Publicité 1</v>
          </cell>
          <cell r="AR117" t="str">
            <v>$</v>
          </cell>
          <cell r="AS117">
            <v>0</v>
          </cell>
          <cell r="AW117">
            <v>0</v>
          </cell>
          <cell r="AY117" t="str">
            <v>NB</v>
          </cell>
        </row>
        <row r="118">
          <cell r="AM118">
            <v>1074.6199999999999</v>
          </cell>
          <cell r="AP118" t="str">
            <v>Service</v>
          </cell>
          <cell r="AQ118" t="str">
            <v>Publicité 2</v>
          </cell>
          <cell r="AR118" t="str">
            <v>$</v>
          </cell>
          <cell r="AS118">
            <v>0</v>
          </cell>
          <cell r="AW118">
            <v>0</v>
          </cell>
          <cell r="AY118" t="str">
            <v>NB</v>
          </cell>
        </row>
        <row r="119">
          <cell r="AM119">
            <v>4.9499999999999993</v>
          </cell>
          <cell r="AP119" t="str">
            <v>Carrosserie</v>
          </cell>
          <cell r="AQ119" t="str">
            <v>Publicité 2</v>
          </cell>
          <cell r="AR119" t="str">
            <v>$</v>
          </cell>
          <cell r="AS119">
            <v>0</v>
          </cell>
          <cell r="AW119">
            <v>0</v>
          </cell>
          <cell r="AY119" t="str">
            <v>NB</v>
          </cell>
        </row>
        <row r="120">
          <cell r="AM120">
            <v>1074.6099999999997</v>
          </cell>
          <cell r="AP120" t="str">
            <v>Pièces</v>
          </cell>
          <cell r="AQ120" t="str">
            <v>Publicité 2</v>
          </cell>
          <cell r="AR120" t="str">
            <v>$</v>
          </cell>
          <cell r="AS120">
            <v>0</v>
          </cell>
          <cell r="AW120">
            <v>0</v>
          </cell>
          <cell r="AY120" t="str">
            <v>NB</v>
          </cell>
        </row>
        <row r="121">
          <cell r="AM121">
            <v>0</v>
          </cell>
          <cell r="AP121" t="str">
            <v>Véhicules neufs</v>
          </cell>
          <cell r="AQ121" t="str">
            <v>Publicité 1</v>
          </cell>
          <cell r="AR121" t="str">
            <v>$</v>
          </cell>
          <cell r="AS121">
            <v>0</v>
          </cell>
          <cell r="AW121">
            <v>0</v>
          </cell>
          <cell r="AY121" t="str">
            <v>NB</v>
          </cell>
        </row>
        <row r="122">
          <cell r="AM122">
            <v>0</v>
          </cell>
          <cell r="AP122" t="str">
            <v>Véhicules usagés</v>
          </cell>
          <cell r="AQ122" t="str">
            <v>Publicité 1</v>
          </cell>
          <cell r="AR122" t="str">
            <v>$</v>
          </cell>
          <cell r="AS122">
            <v>0</v>
          </cell>
          <cell r="AW122">
            <v>0</v>
          </cell>
          <cell r="AY122" t="str">
            <v>NB</v>
          </cell>
        </row>
        <row r="123">
          <cell r="AM123">
            <v>0</v>
          </cell>
          <cell r="AP123" t="str">
            <v>Service</v>
          </cell>
          <cell r="AQ123" t="str">
            <v>Publicité 2</v>
          </cell>
          <cell r="AR123" t="str">
            <v>$</v>
          </cell>
          <cell r="AS123">
            <v>0</v>
          </cell>
          <cell r="AW123">
            <v>0</v>
          </cell>
          <cell r="AY123" t="str">
            <v>NB</v>
          </cell>
        </row>
        <row r="124">
          <cell r="AM124">
            <v>0</v>
          </cell>
          <cell r="AP124" t="str">
            <v>Carrosserie</v>
          </cell>
          <cell r="AQ124" t="str">
            <v>Publicité 2</v>
          </cell>
          <cell r="AR124" t="str">
            <v>$</v>
          </cell>
          <cell r="AS124">
            <v>0</v>
          </cell>
          <cell r="AW124">
            <v>0</v>
          </cell>
          <cell r="AY124" t="str">
            <v>NB</v>
          </cell>
        </row>
        <row r="125">
          <cell r="AM125">
            <v>0</v>
          </cell>
          <cell r="AP125" t="str">
            <v>Pièces</v>
          </cell>
          <cell r="AQ125" t="str">
            <v>Publicité 2</v>
          </cell>
          <cell r="AR125" t="str">
            <v>$</v>
          </cell>
          <cell r="AS125">
            <v>0</v>
          </cell>
          <cell r="AW125">
            <v>0</v>
          </cell>
          <cell r="AY125" t="str">
            <v>NB</v>
          </cell>
        </row>
        <row r="126">
          <cell r="AM126">
            <v>0</v>
          </cell>
          <cell r="AP126" t="str">
            <v>SAAQ</v>
          </cell>
          <cell r="AQ126" t="str">
            <v>Publicité 2</v>
          </cell>
          <cell r="AR126" t="str">
            <v>$</v>
          </cell>
          <cell r="AS126">
            <v>0</v>
          </cell>
          <cell r="AW126">
            <v>0</v>
          </cell>
          <cell r="AY126" t="str">
            <v>NB</v>
          </cell>
        </row>
        <row r="127">
          <cell r="AM127">
            <v>0</v>
          </cell>
          <cell r="AP127" t="e">
            <v>#N/A</v>
          </cell>
          <cell r="AQ127" t="e">
            <v>#N/A</v>
          </cell>
          <cell r="AR127" t="str">
            <v>$</v>
          </cell>
          <cell r="AS127" t="e">
            <v>#N/A</v>
          </cell>
          <cell r="AW127">
            <v>0</v>
          </cell>
          <cell r="AY127" t="str">
            <v>NB</v>
          </cell>
        </row>
        <row r="128">
          <cell r="AM128">
            <v>0</v>
          </cell>
          <cell r="AP128" t="e">
            <v>#N/A</v>
          </cell>
          <cell r="AQ128" t="e">
            <v>#N/A</v>
          </cell>
          <cell r="AR128" t="str">
            <v>$</v>
          </cell>
          <cell r="AS128" t="e">
            <v>#N/A</v>
          </cell>
          <cell r="AW128">
            <v>0</v>
          </cell>
          <cell r="AY128" t="str">
            <v>NB</v>
          </cell>
        </row>
        <row r="129">
          <cell r="AM129">
            <v>17449.010000000002</v>
          </cell>
          <cell r="AP129" t="str">
            <v>Véhicules neufs</v>
          </cell>
          <cell r="AQ129" t="str">
            <v>Publicité 1</v>
          </cell>
          <cell r="AR129" t="str">
            <v>$</v>
          </cell>
          <cell r="AS129">
            <v>0</v>
          </cell>
          <cell r="AW129">
            <v>0</v>
          </cell>
          <cell r="AY129" t="str">
            <v>NB</v>
          </cell>
        </row>
        <row r="130">
          <cell r="AM130">
            <v>2736.8099999999977</v>
          </cell>
          <cell r="AP130" t="str">
            <v>Véhicules usagés</v>
          </cell>
          <cell r="AQ130" t="str">
            <v>Publicité 1</v>
          </cell>
          <cell r="AR130" t="str">
            <v>$</v>
          </cell>
          <cell r="AS130">
            <v>0</v>
          </cell>
          <cell r="AW130">
            <v>0</v>
          </cell>
          <cell r="AY130" t="str">
            <v>NB</v>
          </cell>
        </row>
        <row r="131">
          <cell r="AM131">
            <v>0</v>
          </cell>
          <cell r="AP131" t="str">
            <v>Wholesale autres</v>
          </cell>
          <cell r="AQ131" t="str">
            <v>Publicité 1</v>
          </cell>
          <cell r="AR131" t="str">
            <v>$</v>
          </cell>
          <cell r="AS131">
            <v>0</v>
          </cell>
          <cell r="AW131">
            <v>0</v>
          </cell>
          <cell r="AY131" t="str">
            <v>NB</v>
          </cell>
        </row>
        <row r="132">
          <cell r="AM132">
            <v>114.10000000000036</v>
          </cell>
          <cell r="AP132" t="str">
            <v>Service</v>
          </cell>
          <cell r="AQ132" t="str">
            <v>Publicité 2</v>
          </cell>
          <cell r="AR132" t="str">
            <v>$</v>
          </cell>
          <cell r="AS132">
            <v>0</v>
          </cell>
          <cell r="AW132">
            <v>0</v>
          </cell>
          <cell r="AY132" t="str">
            <v>NB</v>
          </cell>
        </row>
        <row r="133">
          <cell r="AM133">
            <v>-16.589999999999918</v>
          </cell>
          <cell r="AP133" t="str">
            <v>Carrosserie</v>
          </cell>
          <cell r="AQ133" t="str">
            <v>Publicité 2</v>
          </cell>
          <cell r="AR133" t="str">
            <v>$</v>
          </cell>
          <cell r="AS133">
            <v>0</v>
          </cell>
          <cell r="AW133">
            <v>0</v>
          </cell>
          <cell r="AY133" t="str">
            <v>NB</v>
          </cell>
        </row>
        <row r="134">
          <cell r="AM134">
            <v>-16.589999999999918</v>
          </cell>
          <cell r="AP134" t="str">
            <v>Pièces</v>
          </cell>
          <cell r="AQ134" t="str">
            <v>Publicité 2</v>
          </cell>
          <cell r="AR134" t="str">
            <v>$</v>
          </cell>
          <cell r="AS134">
            <v>0</v>
          </cell>
          <cell r="AW134">
            <v>0</v>
          </cell>
          <cell r="AY134" t="str">
            <v>NB</v>
          </cell>
        </row>
        <row r="135">
          <cell r="AM135">
            <v>0</v>
          </cell>
          <cell r="AP135" t="e">
            <v>#N/A</v>
          </cell>
          <cell r="AQ135" t="e">
            <v>#N/A</v>
          </cell>
          <cell r="AR135" t="str">
            <v>$</v>
          </cell>
          <cell r="AS135" t="e">
            <v>#N/A</v>
          </cell>
          <cell r="AW135">
            <v>0</v>
          </cell>
          <cell r="AY135" t="str">
            <v>NB</v>
          </cell>
        </row>
        <row r="136">
          <cell r="AM136">
            <v>0</v>
          </cell>
          <cell r="AP136" t="str">
            <v>Véhicules neufs</v>
          </cell>
          <cell r="AQ136" t="str">
            <v>Publicité 1</v>
          </cell>
          <cell r="AR136" t="str">
            <v>$</v>
          </cell>
          <cell r="AS136">
            <v>0</v>
          </cell>
          <cell r="AW136">
            <v>0</v>
          </cell>
          <cell r="AY136" t="str">
            <v>NB</v>
          </cell>
        </row>
        <row r="137">
          <cell r="AM137">
            <v>0</v>
          </cell>
          <cell r="AP137" t="str">
            <v>Véhicules usagés</v>
          </cell>
          <cell r="AQ137" t="str">
            <v>Publicité 1</v>
          </cell>
          <cell r="AR137" t="str">
            <v>$</v>
          </cell>
          <cell r="AS137">
            <v>0</v>
          </cell>
          <cell r="AW137">
            <v>0</v>
          </cell>
          <cell r="AY137" t="str">
            <v>NB</v>
          </cell>
        </row>
        <row r="138">
          <cell r="AM138">
            <v>0</v>
          </cell>
          <cell r="AP138" t="str">
            <v>Service</v>
          </cell>
          <cell r="AQ138" t="str">
            <v>Publicité 2</v>
          </cell>
          <cell r="AR138" t="str">
            <v>$</v>
          </cell>
          <cell r="AS138">
            <v>0</v>
          </cell>
          <cell r="AW138">
            <v>0</v>
          </cell>
          <cell r="AY138" t="str">
            <v>NB</v>
          </cell>
        </row>
        <row r="139">
          <cell r="AM139">
            <v>0</v>
          </cell>
          <cell r="AP139" t="str">
            <v>Carrosserie</v>
          </cell>
          <cell r="AQ139" t="str">
            <v>Publicité 2</v>
          </cell>
          <cell r="AR139" t="str">
            <v>$</v>
          </cell>
          <cell r="AS139">
            <v>0</v>
          </cell>
          <cell r="AW139">
            <v>0</v>
          </cell>
          <cell r="AY139" t="str">
            <v>NB</v>
          </cell>
        </row>
        <row r="140">
          <cell r="AM140">
            <v>0</v>
          </cell>
          <cell r="AP140" t="str">
            <v>Pièces</v>
          </cell>
          <cell r="AQ140" t="str">
            <v>Publicité 2</v>
          </cell>
          <cell r="AR140" t="str">
            <v>$</v>
          </cell>
          <cell r="AS140">
            <v>0</v>
          </cell>
          <cell r="AW140">
            <v>0</v>
          </cell>
          <cell r="AY140" t="str">
            <v>NB</v>
          </cell>
        </row>
        <row r="141">
          <cell r="AM141">
            <v>1299.6200000000008</v>
          </cell>
          <cell r="AP141" t="str">
            <v>Service</v>
          </cell>
          <cell r="AQ141" t="str">
            <v>Service gratuit 2</v>
          </cell>
          <cell r="AR141" t="str">
            <v>$</v>
          </cell>
          <cell r="AS141">
            <v>0</v>
          </cell>
          <cell r="AW141">
            <v>0</v>
          </cell>
          <cell r="AY141" t="str">
            <v>NB</v>
          </cell>
        </row>
        <row r="142">
          <cell r="AM142">
            <v>2239.5899999999983</v>
          </cell>
          <cell r="AP142" t="str">
            <v>Carrosserie</v>
          </cell>
          <cell r="AQ142" t="str">
            <v>Service gratuit 2</v>
          </cell>
          <cell r="AR142" t="str">
            <v>$</v>
          </cell>
          <cell r="AS142">
            <v>0</v>
          </cell>
          <cell r="AW142">
            <v>0</v>
          </cell>
          <cell r="AY142" t="str">
            <v>NB</v>
          </cell>
        </row>
        <row r="143">
          <cell r="AM143">
            <v>170.20999999999992</v>
          </cell>
          <cell r="AP143" t="str">
            <v>Pièces</v>
          </cell>
          <cell r="AQ143" t="str">
            <v>Service gratuit 2</v>
          </cell>
          <cell r="AR143" t="str">
            <v>$</v>
          </cell>
          <cell r="AS143">
            <v>0</v>
          </cell>
          <cell r="AW143">
            <v>0</v>
          </cell>
          <cell r="AY143" t="str">
            <v>NB</v>
          </cell>
        </row>
        <row r="144">
          <cell r="AM144">
            <v>0</v>
          </cell>
          <cell r="AP144" t="e">
            <v>#N/A</v>
          </cell>
          <cell r="AQ144" t="e">
            <v>#N/A</v>
          </cell>
          <cell r="AR144" t="str">
            <v>$</v>
          </cell>
          <cell r="AS144" t="e">
            <v>#N/A</v>
          </cell>
          <cell r="AW144">
            <v>0</v>
          </cell>
          <cell r="AY144" t="str">
            <v>NB</v>
          </cell>
        </row>
        <row r="145">
          <cell r="AM145">
            <v>4373.82</v>
          </cell>
          <cell r="AP145" t="str">
            <v>Véhicules neufs</v>
          </cell>
          <cell r="AQ145" t="str">
            <v>Informatique</v>
          </cell>
          <cell r="AR145" t="str">
            <v>$</v>
          </cell>
          <cell r="AS145">
            <v>0</v>
          </cell>
          <cell r="AW145">
            <v>0</v>
          </cell>
          <cell r="AY145" t="str">
            <v>NB</v>
          </cell>
        </row>
        <row r="146">
          <cell r="AM146">
            <v>2128.0300000000007</v>
          </cell>
          <cell r="AP146" t="str">
            <v>Véhicules usagés</v>
          </cell>
          <cell r="AQ146" t="str">
            <v>Informatique</v>
          </cell>
          <cell r="AR146" t="str">
            <v>$</v>
          </cell>
          <cell r="AS146">
            <v>0</v>
          </cell>
          <cell r="AW146">
            <v>0</v>
          </cell>
          <cell r="AY146" t="str">
            <v>NB</v>
          </cell>
        </row>
        <row r="147">
          <cell r="AM147">
            <v>0</v>
          </cell>
          <cell r="AP147" t="str">
            <v>Wholesale autres</v>
          </cell>
          <cell r="AQ147" t="str">
            <v>Informatique</v>
          </cell>
          <cell r="AR147" t="str">
            <v>$</v>
          </cell>
          <cell r="AS147">
            <v>0</v>
          </cell>
          <cell r="AW147">
            <v>0</v>
          </cell>
          <cell r="AY147" t="str">
            <v>NB</v>
          </cell>
        </row>
        <row r="148">
          <cell r="AM148">
            <v>3059.0899999999983</v>
          </cell>
          <cell r="AP148" t="str">
            <v>Service</v>
          </cell>
          <cell r="AQ148" t="str">
            <v>Informatique</v>
          </cell>
          <cell r="AR148" t="str">
            <v>$</v>
          </cell>
          <cell r="AS148">
            <v>0</v>
          </cell>
          <cell r="AW148">
            <v>0</v>
          </cell>
          <cell r="AY148" t="str">
            <v>NB</v>
          </cell>
        </row>
        <row r="149">
          <cell r="AM149">
            <v>775.07999999999993</v>
          </cell>
          <cell r="AP149" t="str">
            <v>Carrosserie</v>
          </cell>
          <cell r="AQ149" t="str">
            <v>Informatique</v>
          </cell>
          <cell r="AR149" t="str">
            <v>$</v>
          </cell>
          <cell r="AS149">
            <v>0</v>
          </cell>
          <cell r="AW149">
            <v>0</v>
          </cell>
          <cell r="AY149" t="str">
            <v>NB</v>
          </cell>
        </row>
        <row r="150">
          <cell r="AM150">
            <v>1886.3899999999994</v>
          </cell>
          <cell r="AP150" t="str">
            <v>Pièces</v>
          </cell>
          <cell r="AQ150" t="str">
            <v>Informatique</v>
          </cell>
          <cell r="AR150" t="str">
            <v>$</v>
          </cell>
          <cell r="AS150">
            <v>0</v>
          </cell>
          <cell r="AW150">
            <v>0</v>
          </cell>
          <cell r="AY150" t="str">
            <v>NB</v>
          </cell>
        </row>
        <row r="151">
          <cell r="AM151">
            <v>0</v>
          </cell>
          <cell r="AP151" t="str">
            <v>SAAQ</v>
          </cell>
          <cell r="AQ151" t="str">
            <v>Informatique</v>
          </cell>
          <cell r="AR151" t="str">
            <v>$</v>
          </cell>
          <cell r="AS151">
            <v>0</v>
          </cell>
          <cell r="AW151">
            <v>0</v>
          </cell>
          <cell r="AY151" t="str">
            <v>NB</v>
          </cell>
        </row>
        <row r="152">
          <cell r="AM152">
            <v>0</v>
          </cell>
          <cell r="AP152" t="e">
            <v>#N/A</v>
          </cell>
          <cell r="AQ152" t="e">
            <v>#N/A</v>
          </cell>
          <cell r="AR152" t="str">
            <v>$</v>
          </cell>
          <cell r="AS152" t="e">
            <v>#N/A</v>
          </cell>
          <cell r="AW152">
            <v>0</v>
          </cell>
          <cell r="AY152" t="str">
            <v>NB</v>
          </cell>
        </row>
        <row r="153">
          <cell r="AM153">
            <v>0</v>
          </cell>
          <cell r="AP153" t="e">
            <v>#N/A</v>
          </cell>
          <cell r="AQ153" t="e">
            <v>#N/A</v>
          </cell>
          <cell r="AR153" t="str">
            <v>$</v>
          </cell>
          <cell r="AS153" t="e">
            <v>#N/A</v>
          </cell>
          <cell r="AW153">
            <v>0</v>
          </cell>
          <cell r="AY153" t="str">
            <v>NB</v>
          </cell>
        </row>
        <row r="154">
          <cell r="AM154">
            <v>4003.9300000000003</v>
          </cell>
          <cell r="AP154" t="str">
            <v>Véhicules neufs</v>
          </cell>
          <cell r="AQ154" t="str">
            <v>Services extérieurs</v>
          </cell>
          <cell r="AR154" t="str">
            <v>$</v>
          </cell>
          <cell r="AS154">
            <v>0</v>
          </cell>
          <cell r="AW154">
            <v>0</v>
          </cell>
          <cell r="AY154" t="str">
            <v>NB</v>
          </cell>
        </row>
        <row r="155">
          <cell r="AM155">
            <v>2135.9899999999998</v>
          </cell>
          <cell r="AP155" t="str">
            <v>Véhicules usagés</v>
          </cell>
          <cell r="AQ155" t="str">
            <v>Services extérieurs</v>
          </cell>
          <cell r="AR155" t="str">
            <v>$</v>
          </cell>
          <cell r="AS155">
            <v>0</v>
          </cell>
          <cell r="AW155">
            <v>0</v>
          </cell>
          <cell r="AY155" t="str">
            <v>NB</v>
          </cell>
        </row>
        <row r="156">
          <cell r="AM156">
            <v>0</v>
          </cell>
          <cell r="AP156" t="str">
            <v>Wholesale autres</v>
          </cell>
          <cell r="AQ156" t="str">
            <v>Services extérieurs</v>
          </cell>
          <cell r="AR156" t="str">
            <v>$</v>
          </cell>
          <cell r="AS156">
            <v>0</v>
          </cell>
          <cell r="AW156">
            <v>0</v>
          </cell>
          <cell r="AY156" t="str">
            <v>NB</v>
          </cell>
        </row>
        <row r="157">
          <cell r="AM157">
            <v>9624.2200000000012</v>
          </cell>
          <cell r="AP157" t="str">
            <v>Service</v>
          </cell>
          <cell r="AQ157" t="str">
            <v>Services extérieurs</v>
          </cell>
          <cell r="AR157" t="str">
            <v>$</v>
          </cell>
          <cell r="AS157">
            <v>0</v>
          </cell>
          <cell r="AW157">
            <v>0</v>
          </cell>
          <cell r="AY157" t="str">
            <v>NB</v>
          </cell>
        </row>
        <row r="158">
          <cell r="AM158">
            <v>2555.0400000000009</v>
          </cell>
          <cell r="AP158" t="str">
            <v>Carrosserie</v>
          </cell>
          <cell r="AQ158" t="str">
            <v>Services extérieurs</v>
          </cell>
          <cell r="AR158" t="str">
            <v>$</v>
          </cell>
          <cell r="AS158">
            <v>0</v>
          </cell>
          <cell r="AW158">
            <v>0</v>
          </cell>
          <cell r="AY158" t="str">
            <v>NB</v>
          </cell>
        </row>
        <row r="159">
          <cell r="AM159">
            <v>1485.0599999999995</v>
          </cell>
          <cell r="AP159" t="str">
            <v>Pièces</v>
          </cell>
          <cell r="AQ159" t="str">
            <v>Services extérieurs</v>
          </cell>
          <cell r="AR159" t="str">
            <v>$</v>
          </cell>
          <cell r="AS159">
            <v>0</v>
          </cell>
          <cell r="AW159">
            <v>0</v>
          </cell>
          <cell r="AY159" t="str">
            <v>NB</v>
          </cell>
        </row>
        <row r="160">
          <cell r="AM160">
            <v>0</v>
          </cell>
          <cell r="AP160" t="str">
            <v>SAAQ</v>
          </cell>
          <cell r="AQ160" t="str">
            <v>Services extérieurs</v>
          </cell>
          <cell r="AR160" t="str">
            <v>$</v>
          </cell>
          <cell r="AS160">
            <v>0</v>
          </cell>
          <cell r="AW160">
            <v>0</v>
          </cell>
          <cell r="AY160" t="str">
            <v>NB</v>
          </cell>
        </row>
        <row r="161">
          <cell r="AM161">
            <v>0</v>
          </cell>
          <cell r="AP161" t="e">
            <v>#N/A</v>
          </cell>
          <cell r="AQ161" t="e">
            <v>#N/A</v>
          </cell>
          <cell r="AR161" t="str">
            <v>$</v>
          </cell>
          <cell r="AS161" t="e">
            <v>#N/A</v>
          </cell>
          <cell r="AW161">
            <v>0</v>
          </cell>
          <cell r="AY161" t="str">
            <v>NB</v>
          </cell>
        </row>
        <row r="162">
          <cell r="AM162">
            <v>0</v>
          </cell>
          <cell r="AP162" t="e">
            <v>#N/A</v>
          </cell>
          <cell r="AQ162" t="e">
            <v>#N/A</v>
          </cell>
          <cell r="AR162" t="str">
            <v>$</v>
          </cell>
          <cell r="AS162" t="e">
            <v>#N/A</v>
          </cell>
          <cell r="AW162">
            <v>0</v>
          </cell>
          <cell r="AY162" t="str">
            <v>NB</v>
          </cell>
        </row>
        <row r="163">
          <cell r="AM163">
            <v>1801.44</v>
          </cell>
          <cell r="AP163" t="str">
            <v>Véhicules neufs</v>
          </cell>
          <cell r="AQ163" t="str">
            <v>Frais de déplacement</v>
          </cell>
          <cell r="AR163" t="str">
            <v>$</v>
          </cell>
          <cell r="AS163">
            <v>0</v>
          </cell>
          <cell r="AW163">
            <v>0</v>
          </cell>
          <cell r="AY163" t="str">
            <v>NB</v>
          </cell>
        </row>
        <row r="164">
          <cell r="AM164">
            <v>1703.7000000000007</v>
          </cell>
          <cell r="AP164" t="str">
            <v>Véhicules neufs</v>
          </cell>
          <cell r="AQ164" t="str">
            <v>Frais de déplacement</v>
          </cell>
          <cell r="AR164" t="str">
            <v>$</v>
          </cell>
          <cell r="AS164">
            <v>0</v>
          </cell>
          <cell r="AW164">
            <v>0</v>
          </cell>
          <cell r="AY164" t="str">
            <v>NB</v>
          </cell>
        </row>
        <row r="165">
          <cell r="AM165">
            <v>0</v>
          </cell>
          <cell r="AP165" t="str">
            <v>Véhicules neufs</v>
          </cell>
          <cell r="AQ165" t="str">
            <v>Frais de déplacement</v>
          </cell>
          <cell r="AR165" t="str">
            <v>$</v>
          </cell>
          <cell r="AS165">
            <v>0</v>
          </cell>
          <cell r="AW165">
            <v>0</v>
          </cell>
          <cell r="AY165" t="str">
            <v>NB</v>
          </cell>
        </row>
        <row r="166">
          <cell r="AM166">
            <v>1010.7400000000016</v>
          </cell>
          <cell r="AP166" t="str">
            <v>Véhicules usagés</v>
          </cell>
          <cell r="AQ166" t="str">
            <v>Frais de déplacement</v>
          </cell>
          <cell r="AR166" t="str">
            <v>$</v>
          </cell>
          <cell r="AS166">
            <v>0</v>
          </cell>
          <cell r="AW166">
            <v>0</v>
          </cell>
          <cell r="AY166" t="str">
            <v>NB</v>
          </cell>
        </row>
        <row r="167">
          <cell r="AM167">
            <v>0</v>
          </cell>
          <cell r="AP167" t="str">
            <v>Véhicules usagés</v>
          </cell>
          <cell r="AQ167" t="str">
            <v>Frais de déplacement</v>
          </cell>
          <cell r="AR167" t="str">
            <v>$</v>
          </cell>
          <cell r="AS167">
            <v>0</v>
          </cell>
          <cell r="AW167">
            <v>0</v>
          </cell>
          <cell r="AY167" t="str">
            <v>NB</v>
          </cell>
        </row>
        <row r="168">
          <cell r="AM168">
            <v>0</v>
          </cell>
          <cell r="AP168" t="str">
            <v>Wholesale autres</v>
          </cell>
          <cell r="AQ168" t="str">
            <v>Frais de déplacement</v>
          </cell>
          <cell r="AR168" t="str">
            <v>$</v>
          </cell>
          <cell r="AS168">
            <v>0</v>
          </cell>
          <cell r="AW168">
            <v>0</v>
          </cell>
          <cell r="AY168" t="str">
            <v>NB</v>
          </cell>
        </row>
        <row r="169">
          <cell r="AM169">
            <v>0</v>
          </cell>
          <cell r="AP169" t="str">
            <v>Wholesale autres</v>
          </cell>
          <cell r="AQ169" t="str">
            <v>Frais de déplacement</v>
          </cell>
          <cell r="AR169" t="str">
            <v>$</v>
          </cell>
          <cell r="AS169">
            <v>0</v>
          </cell>
          <cell r="AW169">
            <v>0</v>
          </cell>
          <cell r="AY169" t="str">
            <v>NB</v>
          </cell>
        </row>
        <row r="170">
          <cell r="AM170">
            <v>1516.1000000000022</v>
          </cell>
          <cell r="AP170" t="str">
            <v>Service</v>
          </cell>
          <cell r="AQ170" t="str">
            <v>Frais de déplacement</v>
          </cell>
          <cell r="AR170" t="str">
            <v>$</v>
          </cell>
          <cell r="AS170">
            <v>0</v>
          </cell>
          <cell r="AW170">
            <v>0</v>
          </cell>
          <cell r="AY170" t="str">
            <v>NB</v>
          </cell>
        </row>
        <row r="171">
          <cell r="AM171">
            <v>25.519999999999982</v>
          </cell>
          <cell r="AP171" t="str">
            <v>Service</v>
          </cell>
          <cell r="AQ171" t="str">
            <v>Frais de déplacement</v>
          </cell>
          <cell r="AR171" t="str">
            <v>$</v>
          </cell>
          <cell r="AS171">
            <v>0</v>
          </cell>
          <cell r="AW171">
            <v>0</v>
          </cell>
          <cell r="AY171" t="str">
            <v>NB</v>
          </cell>
        </row>
        <row r="172">
          <cell r="AM172">
            <v>505.36000000000058</v>
          </cell>
          <cell r="AP172" t="str">
            <v>Carrosserie</v>
          </cell>
          <cell r="AQ172" t="str">
            <v>Frais de déplacement</v>
          </cell>
          <cell r="AR172" t="str">
            <v>$</v>
          </cell>
          <cell r="AS172">
            <v>0</v>
          </cell>
          <cell r="AW172">
            <v>0</v>
          </cell>
          <cell r="AY172" t="str">
            <v>NB</v>
          </cell>
        </row>
        <row r="173">
          <cell r="AM173">
            <v>0</v>
          </cell>
          <cell r="AP173" t="str">
            <v>Carrosserie</v>
          </cell>
          <cell r="AQ173" t="str">
            <v>Frais de déplacement</v>
          </cell>
          <cell r="AR173" t="str">
            <v>$</v>
          </cell>
          <cell r="AS173">
            <v>0</v>
          </cell>
          <cell r="AW173">
            <v>0</v>
          </cell>
          <cell r="AY173" t="str">
            <v>NB</v>
          </cell>
        </row>
        <row r="174">
          <cell r="AM174">
            <v>505.38000000000011</v>
          </cell>
          <cell r="AP174" t="str">
            <v>Pièces</v>
          </cell>
          <cell r="AQ174" t="str">
            <v>Frais de déplacement</v>
          </cell>
          <cell r="AR174" t="str">
            <v>$</v>
          </cell>
          <cell r="AS174">
            <v>0</v>
          </cell>
          <cell r="AW174">
            <v>0</v>
          </cell>
          <cell r="AY174" t="str">
            <v>NB</v>
          </cell>
        </row>
        <row r="175">
          <cell r="AM175">
            <v>0</v>
          </cell>
          <cell r="AP175" t="str">
            <v>Pièces</v>
          </cell>
          <cell r="AQ175" t="str">
            <v>Frais de déplacement</v>
          </cell>
          <cell r="AR175" t="str">
            <v>$</v>
          </cell>
          <cell r="AS175">
            <v>0</v>
          </cell>
          <cell r="AW175">
            <v>0</v>
          </cell>
          <cell r="AY175" t="str">
            <v>NB</v>
          </cell>
        </row>
        <row r="176">
          <cell r="AM176">
            <v>0</v>
          </cell>
          <cell r="AP176" t="e">
            <v>#N/A</v>
          </cell>
          <cell r="AQ176" t="e">
            <v>#N/A</v>
          </cell>
          <cell r="AR176" t="str">
            <v>$</v>
          </cell>
          <cell r="AS176" t="e">
            <v>#N/A</v>
          </cell>
          <cell r="AW176">
            <v>0</v>
          </cell>
          <cell r="AY176" t="str">
            <v>NB</v>
          </cell>
        </row>
        <row r="177">
          <cell r="AM177">
            <v>1299.7900000000009</v>
          </cell>
          <cell r="AP177" t="str">
            <v>Véhicules neufs</v>
          </cell>
          <cell r="AQ177" t="str">
            <v>Divers</v>
          </cell>
          <cell r="AR177" t="str">
            <v>$</v>
          </cell>
          <cell r="AS177">
            <v>0</v>
          </cell>
          <cell r="AW177">
            <v>0</v>
          </cell>
          <cell r="AY177" t="str">
            <v>NB</v>
          </cell>
        </row>
        <row r="178">
          <cell r="AM178">
            <v>1397.3199999999997</v>
          </cell>
          <cell r="AP178" t="str">
            <v>Véhicules usagés</v>
          </cell>
          <cell r="AQ178" t="str">
            <v>Divers</v>
          </cell>
          <cell r="AR178" t="str">
            <v>$</v>
          </cell>
          <cell r="AS178">
            <v>0</v>
          </cell>
          <cell r="AW178">
            <v>0</v>
          </cell>
          <cell r="AY178" t="str">
            <v>NB</v>
          </cell>
        </row>
        <row r="179">
          <cell r="AM179">
            <v>621</v>
          </cell>
          <cell r="AP179" t="str">
            <v>Service</v>
          </cell>
          <cell r="AQ179" t="str">
            <v>Divers</v>
          </cell>
          <cell r="AR179" t="str">
            <v>$</v>
          </cell>
          <cell r="AS179">
            <v>0</v>
          </cell>
          <cell r="AW179">
            <v>0</v>
          </cell>
          <cell r="AY179" t="str">
            <v>NB</v>
          </cell>
        </row>
        <row r="180">
          <cell r="AM180">
            <v>1070.9300000000003</v>
          </cell>
          <cell r="AP180" t="str">
            <v>Carrosserie</v>
          </cell>
          <cell r="AQ180" t="str">
            <v>Divers</v>
          </cell>
          <cell r="AR180" t="str">
            <v>$</v>
          </cell>
          <cell r="AS180">
            <v>0</v>
          </cell>
          <cell r="AW180">
            <v>0</v>
          </cell>
          <cell r="AY180" t="str">
            <v>NB</v>
          </cell>
        </row>
        <row r="181">
          <cell r="AM181">
            <v>987.38000000000011</v>
          </cell>
          <cell r="AP181" t="str">
            <v>Pièces</v>
          </cell>
          <cell r="AQ181" t="str">
            <v>Divers</v>
          </cell>
          <cell r="AR181" t="str">
            <v>$</v>
          </cell>
          <cell r="AS181">
            <v>0</v>
          </cell>
          <cell r="AW181">
            <v>0</v>
          </cell>
          <cell r="AY181" t="str">
            <v>NB</v>
          </cell>
        </row>
        <row r="182">
          <cell r="AM182">
            <v>0</v>
          </cell>
          <cell r="AP182" t="e">
            <v>#N/A</v>
          </cell>
          <cell r="AQ182" t="e">
            <v>#N/A</v>
          </cell>
          <cell r="AR182" t="str">
            <v>$</v>
          </cell>
          <cell r="AS182" t="e">
            <v>#N/A</v>
          </cell>
          <cell r="AW182">
            <v>0</v>
          </cell>
          <cell r="AY182" t="str">
            <v>NB</v>
          </cell>
        </row>
        <row r="183">
          <cell r="AM183">
            <v>742.5</v>
          </cell>
          <cell r="AP183" t="str">
            <v>Véhicules neufs</v>
          </cell>
          <cell r="AQ183" t="str">
            <v>Honoraires</v>
          </cell>
          <cell r="AR183" t="str">
            <v>$</v>
          </cell>
          <cell r="AS183">
            <v>0</v>
          </cell>
          <cell r="AW183">
            <v>0</v>
          </cell>
          <cell r="AY183" t="str">
            <v>NB</v>
          </cell>
        </row>
        <row r="184">
          <cell r="AM184">
            <v>495</v>
          </cell>
          <cell r="AP184" t="str">
            <v>Véhicules usagés</v>
          </cell>
          <cell r="AQ184" t="str">
            <v>Honoraires</v>
          </cell>
          <cell r="AR184" t="str">
            <v>$</v>
          </cell>
          <cell r="AS184">
            <v>0</v>
          </cell>
          <cell r="AW184">
            <v>0</v>
          </cell>
          <cell r="AY184" t="str">
            <v>NB</v>
          </cell>
        </row>
        <row r="185">
          <cell r="AM185">
            <v>0</v>
          </cell>
          <cell r="AP185" t="str">
            <v>Wholesale autres</v>
          </cell>
          <cell r="AQ185" t="str">
            <v>Honoraires</v>
          </cell>
          <cell r="AR185" t="str">
            <v>$</v>
          </cell>
          <cell r="AS185">
            <v>0</v>
          </cell>
          <cell r="AW185">
            <v>0</v>
          </cell>
          <cell r="AY185" t="str">
            <v>NB</v>
          </cell>
        </row>
        <row r="186">
          <cell r="AM186">
            <v>1605.44</v>
          </cell>
          <cell r="AP186" t="str">
            <v>Service</v>
          </cell>
          <cell r="AQ186" t="str">
            <v>Honoraires</v>
          </cell>
          <cell r="AR186" t="str">
            <v>$</v>
          </cell>
          <cell r="AS186">
            <v>0</v>
          </cell>
          <cell r="AW186">
            <v>0</v>
          </cell>
          <cell r="AY186" t="str">
            <v>NB</v>
          </cell>
        </row>
        <row r="187">
          <cell r="AM187">
            <v>978.43999999999994</v>
          </cell>
          <cell r="AP187" t="str">
            <v>Carrosserie</v>
          </cell>
          <cell r="AQ187" t="str">
            <v>Honoraires</v>
          </cell>
          <cell r="AR187" t="str">
            <v>$</v>
          </cell>
          <cell r="AS187">
            <v>0</v>
          </cell>
          <cell r="AW187">
            <v>0</v>
          </cell>
          <cell r="AY187" t="str">
            <v>NB</v>
          </cell>
        </row>
        <row r="188">
          <cell r="AM188">
            <v>612.97</v>
          </cell>
          <cell r="AP188" t="str">
            <v>Pièces</v>
          </cell>
          <cell r="AQ188" t="str">
            <v>Honoraires</v>
          </cell>
          <cell r="AR188" t="str">
            <v>$</v>
          </cell>
          <cell r="AS188">
            <v>0</v>
          </cell>
          <cell r="AW188">
            <v>0</v>
          </cell>
          <cell r="AY188" t="str">
            <v>NB</v>
          </cell>
        </row>
        <row r="189">
          <cell r="AM189">
            <v>0</v>
          </cell>
          <cell r="AP189" t="e">
            <v>#N/A</v>
          </cell>
          <cell r="AQ189" t="e">
            <v>#N/A</v>
          </cell>
          <cell r="AR189" t="str">
            <v>$</v>
          </cell>
          <cell r="AS189" t="e">
            <v>#N/A</v>
          </cell>
          <cell r="AW189">
            <v>0</v>
          </cell>
          <cell r="AY189" t="str">
            <v>NB</v>
          </cell>
        </row>
        <row r="190">
          <cell r="AM190">
            <v>1028.7700000000004</v>
          </cell>
          <cell r="AP190" t="str">
            <v>Véhicules neufs</v>
          </cell>
          <cell r="AQ190" t="str">
            <v>Téléphone</v>
          </cell>
          <cell r="AR190" t="str">
            <v>$</v>
          </cell>
          <cell r="AS190">
            <v>0</v>
          </cell>
          <cell r="AW190">
            <v>0</v>
          </cell>
          <cell r="AY190" t="str">
            <v>NB</v>
          </cell>
        </row>
        <row r="191">
          <cell r="AM191">
            <v>685.85000000000036</v>
          </cell>
          <cell r="AP191" t="str">
            <v>Véhicules usagés</v>
          </cell>
          <cell r="AQ191" t="str">
            <v>Téléphone</v>
          </cell>
          <cell r="AR191" t="str">
            <v>$</v>
          </cell>
          <cell r="AS191">
            <v>0</v>
          </cell>
          <cell r="AW191">
            <v>0</v>
          </cell>
          <cell r="AY191" t="str">
            <v>NB</v>
          </cell>
        </row>
        <row r="192">
          <cell r="AM192">
            <v>0</v>
          </cell>
          <cell r="AP192" t="str">
            <v>Wholesale autres</v>
          </cell>
          <cell r="AQ192" t="str">
            <v>Téléphone</v>
          </cell>
          <cell r="AR192" t="str">
            <v>$</v>
          </cell>
          <cell r="AS192">
            <v>0</v>
          </cell>
          <cell r="AW192">
            <v>0</v>
          </cell>
          <cell r="AY192" t="str">
            <v>NB</v>
          </cell>
        </row>
        <row r="193">
          <cell r="AM193">
            <v>1083.7699999999995</v>
          </cell>
          <cell r="AP193" t="str">
            <v>Service</v>
          </cell>
          <cell r="AQ193" t="str">
            <v>Téléphone</v>
          </cell>
          <cell r="AR193" t="str">
            <v>$</v>
          </cell>
          <cell r="AS193">
            <v>0</v>
          </cell>
          <cell r="AW193">
            <v>0</v>
          </cell>
          <cell r="AY193" t="str">
            <v>NB</v>
          </cell>
        </row>
        <row r="194">
          <cell r="AM194">
            <v>342.92000000000007</v>
          </cell>
          <cell r="AP194" t="str">
            <v>Carrosserie</v>
          </cell>
          <cell r="AQ194" t="str">
            <v>Téléphone</v>
          </cell>
          <cell r="AR194" t="str">
            <v>$</v>
          </cell>
          <cell r="AS194">
            <v>0</v>
          </cell>
          <cell r="AW194">
            <v>0</v>
          </cell>
          <cell r="AY194" t="str">
            <v>NB</v>
          </cell>
        </row>
        <row r="195">
          <cell r="AM195">
            <v>342.91000000000031</v>
          </cell>
          <cell r="AP195" t="str">
            <v>Pièces</v>
          </cell>
          <cell r="AQ195" t="str">
            <v>Téléphone</v>
          </cell>
          <cell r="AR195" t="str">
            <v>$</v>
          </cell>
          <cell r="AS195">
            <v>0</v>
          </cell>
          <cell r="AW195">
            <v>0</v>
          </cell>
          <cell r="AY195" t="str">
            <v>NB</v>
          </cell>
        </row>
        <row r="196">
          <cell r="AM196">
            <v>0</v>
          </cell>
          <cell r="AP196" t="e">
            <v>#N/A</v>
          </cell>
          <cell r="AQ196" t="e">
            <v>#N/A</v>
          </cell>
          <cell r="AR196" t="str">
            <v>$</v>
          </cell>
          <cell r="AS196" t="e">
            <v>#N/A</v>
          </cell>
          <cell r="AW196">
            <v>0</v>
          </cell>
          <cell r="AY196" t="str">
            <v>NB</v>
          </cell>
        </row>
        <row r="197">
          <cell r="AM197">
            <v>665</v>
          </cell>
          <cell r="AP197" t="str">
            <v>Véhicules neufs</v>
          </cell>
          <cell r="AQ197" t="str">
            <v>Formation</v>
          </cell>
          <cell r="AR197" t="str">
            <v>$</v>
          </cell>
          <cell r="AS197">
            <v>0</v>
          </cell>
          <cell r="AW197">
            <v>0</v>
          </cell>
          <cell r="AY197" t="str">
            <v>NB</v>
          </cell>
        </row>
        <row r="198">
          <cell r="AM198">
            <v>0</v>
          </cell>
          <cell r="AP198" t="str">
            <v>Véhicules usagés</v>
          </cell>
          <cell r="AQ198" t="str">
            <v>Formation</v>
          </cell>
          <cell r="AR198" t="str">
            <v>$</v>
          </cell>
          <cell r="AS198">
            <v>0</v>
          </cell>
          <cell r="AW198">
            <v>0</v>
          </cell>
          <cell r="AY198" t="str">
            <v>NB</v>
          </cell>
        </row>
        <row r="199">
          <cell r="AM199">
            <v>0</v>
          </cell>
          <cell r="AP199" t="str">
            <v>Wholesale autres</v>
          </cell>
          <cell r="AQ199" t="str">
            <v>Formation</v>
          </cell>
          <cell r="AR199" t="str">
            <v>$</v>
          </cell>
          <cell r="AS199">
            <v>0</v>
          </cell>
          <cell r="AW199">
            <v>0</v>
          </cell>
          <cell r="AY199" t="str">
            <v>NB</v>
          </cell>
        </row>
        <row r="200">
          <cell r="AM200">
            <v>1293.6000000000004</v>
          </cell>
          <cell r="AP200" t="str">
            <v>Service</v>
          </cell>
          <cell r="AQ200" t="str">
            <v>Formation</v>
          </cell>
          <cell r="AR200" t="str">
            <v>$</v>
          </cell>
          <cell r="AS200">
            <v>0</v>
          </cell>
          <cell r="AW200">
            <v>0</v>
          </cell>
          <cell r="AY200" t="str">
            <v>NB</v>
          </cell>
        </row>
        <row r="201">
          <cell r="AM201">
            <v>0</v>
          </cell>
          <cell r="AP201" t="str">
            <v>Carrosserie</v>
          </cell>
          <cell r="AQ201" t="str">
            <v>Formation</v>
          </cell>
          <cell r="AR201" t="str">
            <v>$</v>
          </cell>
          <cell r="AS201">
            <v>0</v>
          </cell>
          <cell r="AW201">
            <v>0</v>
          </cell>
          <cell r="AY201" t="str">
            <v>NB</v>
          </cell>
        </row>
        <row r="202">
          <cell r="AM202">
            <v>0</v>
          </cell>
          <cell r="AP202" t="str">
            <v>Pièces</v>
          </cell>
          <cell r="AQ202" t="str">
            <v>Formation</v>
          </cell>
          <cell r="AR202" t="str">
            <v>$</v>
          </cell>
          <cell r="AS202">
            <v>0</v>
          </cell>
          <cell r="AW202">
            <v>0</v>
          </cell>
          <cell r="AY202" t="str">
            <v>NB</v>
          </cell>
        </row>
        <row r="203">
          <cell r="AM203">
            <v>0</v>
          </cell>
          <cell r="AP203">
            <v>0</v>
          </cell>
          <cell r="AQ203">
            <v>0</v>
          </cell>
          <cell r="AR203" t="str">
            <v>$</v>
          </cell>
          <cell r="AS203">
            <v>0</v>
          </cell>
          <cell r="AW203">
            <v>0</v>
          </cell>
          <cell r="AY203" t="str">
            <v>NB</v>
          </cell>
        </row>
        <row r="204">
          <cell r="AM204">
            <v>63490.869999999995</v>
          </cell>
          <cell r="AP204" t="str">
            <v>Véhicules neufs</v>
          </cell>
          <cell r="AQ204" t="str">
            <v>Intérêt de gros</v>
          </cell>
          <cell r="AR204" t="str">
            <v>$</v>
          </cell>
          <cell r="AS204">
            <v>0</v>
          </cell>
          <cell r="AW204">
            <v>0</v>
          </cell>
          <cell r="AY204" t="str">
            <v>NB</v>
          </cell>
        </row>
        <row r="205">
          <cell r="AM205">
            <v>22227.789999999979</v>
          </cell>
          <cell r="AP205" t="str">
            <v>Véhicules usagés</v>
          </cell>
          <cell r="AQ205" t="str">
            <v>Intérêt de gros</v>
          </cell>
          <cell r="AR205" t="str">
            <v>$</v>
          </cell>
          <cell r="AS205">
            <v>0</v>
          </cell>
          <cell r="AW205">
            <v>0</v>
          </cell>
          <cell r="AY205" t="str">
            <v>NB</v>
          </cell>
        </row>
        <row r="206">
          <cell r="AM206">
            <v>9034.6000000000058</v>
          </cell>
          <cell r="AP206" t="str">
            <v>Wholesale autres</v>
          </cell>
          <cell r="AQ206" t="str">
            <v>Intérêt de gros</v>
          </cell>
          <cell r="AR206" t="str">
            <v>$</v>
          </cell>
          <cell r="AS206">
            <v>0</v>
          </cell>
          <cell r="AW206">
            <v>0</v>
          </cell>
          <cell r="AY206" t="str">
            <v>NB</v>
          </cell>
        </row>
        <row r="207">
          <cell r="AM207">
            <v>0</v>
          </cell>
          <cell r="AP207" t="str">
            <v>Service</v>
          </cell>
          <cell r="AQ207" t="str">
            <v>Divers</v>
          </cell>
          <cell r="AR207" t="str">
            <v>$</v>
          </cell>
          <cell r="AS207">
            <v>0</v>
          </cell>
          <cell r="AW207">
            <v>0</v>
          </cell>
          <cell r="AY207" t="str">
            <v>NB</v>
          </cell>
        </row>
        <row r="208">
          <cell r="AM208">
            <v>0</v>
          </cell>
          <cell r="AP208" t="e">
            <v>#N/A</v>
          </cell>
          <cell r="AQ208" t="e">
            <v>#N/A</v>
          </cell>
          <cell r="AR208" t="str">
            <v>$</v>
          </cell>
          <cell r="AS208" t="e">
            <v>#N/A</v>
          </cell>
          <cell r="AW208">
            <v>0</v>
          </cell>
          <cell r="AY208" t="str">
            <v>NB</v>
          </cell>
        </row>
        <row r="209">
          <cell r="AM209">
            <v>0</v>
          </cell>
          <cell r="AP209" t="e">
            <v>#N/A</v>
          </cell>
          <cell r="AQ209" t="e">
            <v>#N/A</v>
          </cell>
          <cell r="AR209" t="str">
            <v>$</v>
          </cell>
          <cell r="AS209" t="e">
            <v>#N/A</v>
          </cell>
          <cell r="AW209">
            <v>0</v>
          </cell>
          <cell r="AY209" t="str">
            <v>NB</v>
          </cell>
        </row>
        <row r="210">
          <cell r="AM210">
            <v>893.88999999999942</v>
          </cell>
          <cell r="AP210" t="str">
            <v>Véhicules neufs</v>
          </cell>
          <cell r="AQ210" t="str">
            <v>Divers</v>
          </cell>
          <cell r="AR210" t="str">
            <v>$</v>
          </cell>
          <cell r="AS210">
            <v>0</v>
          </cell>
          <cell r="AW210">
            <v>0</v>
          </cell>
          <cell r="AY210" t="str">
            <v>NB</v>
          </cell>
        </row>
        <row r="211">
          <cell r="AM211">
            <v>595.90999999999985</v>
          </cell>
          <cell r="AP211" t="str">
            <v>Véhicules usagés</v>
          </cell>
          <cell r="AQ211" t="str">
            <v>Divers</v>
          </cell>
          <cell r="AR211" t="str">
            <v>$</v>
          </cell>
          <cell r="AS211">
            <v>0</v>
          </cell>
          <cell r="AW211">
            <v>0</v>
          </cell>
          <cell r="AY211" t="str">
            <v>NB</v>
          </cell>
        </row>
        <row r="212">
          <cell r="AM212">
            <v>0</v>
          </cell>
          <cell r="AP212" t="str">
            <v>Wholesale autres</v>
          </cell>
          <cell r="AQ212" t="str">
            <v>Divers</v>
          </cell>
          <cell r="AR212" t="str">
            <v>$</v>
          </cell>
          <cell r="AS212">
            <v>0</v>
          </cell>
          <cell r="AW212">
            <v>0</v>
          </cell>
          <cell r="AY212" t="str">
            <v>NB</v>
          </cell>
        </row>
        <row r="213">
          <cell r="AM213">
            <v>843.94</v>
          </cell>
          <cell r="AP213" t="str">
            <v>Service</v>
          </cell>
          <cell r="AQ213" t="str">
            <v>Divers</v>
          </cell>
          <cell r="AR213" t="str">
            <v>$</v>
          </cell>
          <cell r="AS213">
            <v>0</v>
          </cell>
          <cell r="AW213">
            <v>0</v>
          </cell>
          <cell r="AY213" t="str">
            <v>NB</v>
          </cell>
        </row>
        <row r="214">
          <cell r="AM214">
            <v>297.96000000000004</v>
          </cell>
          <cell r="AP214" t="str">
            <v>Carrosserie</v>
          </cell>
          <cell r="AQ214" t="str">
            <v>Divers</v>
          </cell>
          <cell r="AR214" t="str">
            <v>$</v>
          </cell>
          <cell r="AS214">
            <v>0</v>
          </cell>
          <cell r="AW214">
            <v>0</v>
          </cell>
          <cell r="AY214" t="str">
            <v>NB</v>
          </cell>
        </row>
        <row r="215">
          <cell r="AM215">
            <v>297.95000000000027</v>
          </cell>
          <cell r="AP215" t="str">
            <v>Pièces</v>
          </cell>
          <cell r="AQ215" t="str">
            <v>Divers</v>
          </cell>
          <cell r="AR215" t="str">
            <v>$</v>
          </cell>
          <cell r="AS215">
            <v>0</v>
          </cell>
          <cell r="AW215">
            <v>0</v>
          </cell>
          <cell r="AY215" t="str">
            <v>NB</v>
          </cell>
        </row>
        <row r="216">
          <cell r="AM216">
            <v>0</v>
          </cell>
          <cell r="AP216" t="str">
            <v>SAAQ</v>
          </cell>
          <cell r="AQ216" t="str">
            <v>Divers</v>
          </cell>
          <cell r="AR216" t="str">
            <v>$</v>
          </cell>
          <cell r="AS216">
            <v>0</v>
          </cell>
          <cell r="AW216">
            <v>0</v>
          </cell>
          <cell r="AY216" t="str">
            <v>NB</v>
          </cell>
        </row>
        <row r="217">
          <cell r="AM217">
            <v>0</v>
          </cell>
          <cell r="AP217">
            <v>0</v>
          </cell>
          <cell r="AQ217">
            <v>0</v>
          </cell>
          <cell r="AR217" t="str">
            <v>$</v>
          </cell>
          <cell r="AS217">
            <v>0</v>
          </cell>
          <cell r="AW217">
            <v>0</v>
          </cell>
          <cell r="AY217" t="str">
            <v>NB</v>
          </cell>
        </row>
        <row r="218">
          <cell r="AM218">
            <v>0</v>
          </cell>
          <cell r="AP218" t="e">
            <v>#N/A</v>
          </cell>
          <cell r="AQ218" t="e">
            <v>#N/A</v>
          </cell>
          <cell r="AR218" t="str">
            <v>$</v>
          </cell>
          <cell r="AS218" t="e">
            <v>#N/A</v>
          </cell>
          <cell r="AW218">
            <v>0</v>
          </cell>
          <cell r="AY218" t="str">
            <v>NB</v>
          </cell>
        </row>
        <row r="219">
          <cell r="AM219">
            <v>-117391.40000000014</v>
          </cell>
          <cell r="AP219" t="str">
            <v>Véhicules neufs</v>
          </cell>
          <cell r="AQ219" t="str">
            <v>Crédit Intérêts Floor Plan</v>
          </cell>
          <cell r="AR219" t="str">
            <v>$</v>
          </cell>
          <cell r="AS219">
            <v>0</v>
          </cell>
          <cell r="AW219">
            <v>0</v>
          </cell>
          <cell r="AY219" t="str">
            <v>NB</v>
          </cell>
        </row>
        <row r="220">
          <cell r="AM220">
            <v>0</v>
          </cell>
          <cell r="AP220" t="str">
            <v>Véhicules usagés</v>
          </cell>
          <cell r="AQ220" t="str">
            <v>Crédit Intérêts Floor Plan</v>
          </cell>
          <cell r="AR220" t="str">
            <v>$</v>
          </cell>
          <cell r="AS220">
            <v>0</v>
          </cell>
          <cell r="AW220">
            <v>0</v>
          </cell>
          <cell r="AY220" t="str">
            <v>NB</v>
          </cell>
        </row>
        <row r="221">
          <cell r="AM221">
            <v>0</v>
          </cell>
          <cell r="AP221" t="str">
            <v>Wholesale autres</v>
          </cell>
          <cell r="AQ221" t="str">
            <v>Crédit Intérêts Floor Plan</v>
          </cell>
          <cell r="AR221" t="str">
            <v>$</v>
          </cell>
          <cell r="AS221">
            <v>0</v>
          </cell>
          <cell r="AW221">
            <v>0</v>
          </cell>
          <cell r="AY221" t="str">
            <v>NB</v>
          </cell>
        </row>
        <row r="222">
          <cell r="AM222">
            <v>0</v>
          </cell>
          <cell r="AP222" t="e">
            <v>#N/A</v>
          </cell>
          <cell r="AQ222" t="e">
            <v>#N/A</v>
          </cell>
          <cell r="AR222" t="str">
            <v>$</v>
          </cell>
          <cell r="AS222" t="e">
            <v>#N/A</v>
          </cell>
          <cell r="AW222">
            <v>0</v>
          </cell>
          <cell r="AY222" t="str">
            <v>NB</v>
          </cell>
        </row>
        <row r="223">
          <cell r="AM223">
            <v>0</v>
          </cell>
          <cell r="AP223" t="str">
            <v>Véhicules neufs</v>
          </cell>
          <cell r="AQ223" t="str">
            <v>Divers</v>
          </cell>
          <cell r="AR223" t="str">
            <v>$</v>
          </cell>
          <cell r="AS223">
            <v>0</v>
          </cell>
          <cell r="AW223">
            <v>0</v>
          </cell>
          <cell r="AY223" t="str">
            <v>NB</v>
          </cell>
        </row>
        <row r="224">
          <cell r="AM224">
            <v>0</v>
          </cell>
          <cell r="AP224" t="str">
            <v>Véhicules usagés</v>
          </cell>
          <cell r="AQ224" t="str">
            <v>Divers</v>
          </cell>
          <cell r="AR224" t="str">
            <v>$</v>
          </cell>
          <cell r="AS224">
            <v>0</v>
          </cell>
          <cell r="AW224">
            <v>0</v>
          </cell>
          <cell r="AY224" t="str">
            <v>NB</v>
          </cell>
        </row>
        <row r="225">
          <cell r="AM225">
            <v>0</v>
          </cell>
          <cell r="AP225" t="str">
            <v>Service</v>
          </cell>
          <cell r="AQ225" t="str">
            <v>Divers</v>
          </cell>
          <cell r="AR225" t="str">
            <v>$</v>
          </cell>
          <cell r="AS225">
            <v>0</v>
          </cell>
          <cell r="AW225">
            <v>0</v>
          </cell>
          <cell r="AY225" t="str">
            <v>NB</v>
          </cell>
        </row>
        <row r="226">
          <cell r="AM226">
            <v>0</v>
          </cell>
          <cell r="AP226" t="str">
            <v>Carrosserie</v>
          </cell>
          <cell r="AQ226" t="str">
            <v>Divers</v>
          </cell>
          <cell r="AR226" t="str">
            <v>$</v>
          </cell>
          <cell r="AS226">
            <v>0</v>
          </cell>
          <cell r="AW226">
            <v>0</v>
          </cell>
          <cell r="AY226" t="str">
            <v>NB</v>
          </cell>
        </row>
        <row r="227">
          <cell r="AM227">
            <v>0</v>
          </cell>
          <cell r="AP227" t="str">
            <v>Pièces</v>
          </cell>
          <cell r="AQ227" t="str">
            <v>Divers</v>
          </cell>
          <cell r="AR227" t="str">
            <v>$</v>
          </cell>
          <cell r="AS227">
            <v>0</v>
          </cell>
          <cell r="AW227">
            <v>0</v>
          </cell>
          <cell r="AY227" t="str">
            <v>NB</v>
          </cell>
        </row>
        <row r="228">
          <cell r="AM228">
            <v>0</v>
          </cell>
          <cell r="AP228" t="e">
            <v>#N/A</v>
          </cell>
          <cell r="AQ228" t="e">
            <v>#N/A</v>
          </cell>
          <cell r="AR228" t="str">
            <v>$</v>
          </cell>
          <cell r="AS228" t="e">
            <v>#N/A</v>
          </cell>
          <cell r="AW228">
            <v>0</v>
          </cell>
          <cell r="AY228" t="str">
            <v>NB</v>
          </cell>
        </row>
        <row r="229">
          <cell r="AM229">
            <v>21000</v>
          </cell>
          <cell r="AP229" t="str">
            <v>Véhicules neufs</v>
          </cell>
          <cell r="AQ229" t="str">
            <v>Loyer</v>
          </cell>
          <cell r="AR229" t="str">
            <v>$</v>
          </cell>
          <cell r="AS229">
            <v>0</v>
          </cell>
          <cell r="AW229">
            <v>0</v>
          </cell>
          <cell r="AY229" t="str">
            <v>NB</v>
          </cell>
        </row>
        <row r="230">
          <cell r="AM230">
            <v>14000</v>
          </cell>
          <cell r="AP230" t="str">
            <v>Véhicules usagés</v>
          </cell>
          <cell r="AQ230" t="str">
            <v>Loyer</v>
          </cell>
          <cell r="AR230" t="str">
            <v>$</v>
          </cell>
          <cell r="AS230">
            <v>0</v>
          </cell>
          <cell r="AW230">
            <v>0</v>
          </cell>
          <cell r="AY230" t="str">
            <v>NB</v>
          </cell>
        </row>
        <row r="231">
          <cell r="AM231">
            <v>0</v>
          </cell>
          <cell r="AP231" t="str">
            <v>Wholesale autres</v>
          </cell>
          <cell r="AQ231" t="str">
            <v>Loyer</v>
          </cell>
          <cell r="AR231" t="str">
            <v>$</v>
          </cell>
          <cell r="AS231">
            <v>0</v>
          </cell>
          <cell r="AW231">
            <v>0</v>
          </cell>
          <cell r="AY231" t="str">
            <v>NB</v>
          </cell>
        </row>
        <row r="232">
          <cell r="AM232">
            <v>21000</v>
          </cell>
          <cell r="AP232" t="str">
            <v>Service</v>
          </cell>
          <cell r="AQ232" t="str">
            <v>Loyer</v>
          </cell>
          <cell r="AR232" t="str">
            <v>$</v>
          </cell>
          <cell r="AS232">
            <v>0</v>
          </cell>
          <cell r="AW232">
            <v>0</v>
          </cell>
          <cell r="AY232" t="str">
            <v>NB</v>
          </cell>
        </row>
        <row r="233">
          <cell r="AM233">
            <v>7000</v>
          </cell>
          <cell r="AP233" t="str">
            <v>Carrosserie</v>
          </cell>
          <cell r="AQ233" t="str">
            <v>Loyer</v>
          </cell>
          <cell r="AR233" t="str">
            <v>$</v>
          </cell>
          <cell r="AS233">
            <v>0</v>
          </cell>
          <cell r="AW233">
            <v>0</v>
          </cell>
          <cell r="AY233" t="str">
            <v>NB</v>
          </cell>
        </row>
        <row r="234">
          <cell r="AM234">
            <v>7000</v>
          </cell>
          <cell r="AP234" t="str">
            <v>Pièces</v>
          </cell>
          <cell r="AQ234" t="str">
            <v>Loyer</v>
          </cell>
          <cell r="AR234" t="str">
            <v>$</v>
          </cell>
          <cell r="AS234">
            <v>0</v>
          </cell>
          <cell r="AW234">
            <v>0</v>
          </cell>
          <cell r="AY234" t="str">
            <v>NB</v>
          </cell>
        </row>
        <row r="235">
          <cell r="AM235">
            <v>0</v>
          </cell>
          <cell r="AP235" t="e">
            <v>#N/A</v>
          </cell>
          <cell r="AQ235" t="e">
            <v>#N/A</v>
          </cell>
          <cell r="AR235" t="str">
            <v>$</v>
          </cell>
          <cell r="AS235" t="e">
            <v>#N/A</v>
          </cell>
          <cell r="AW235">
            <v>0</v>
          </cell>
          <cell r="AY235" t="str">
            <v>NB</v>
          </cell>
        </row>
        <row r="236">
          <cell r="AM236">
            <v>14485</v>
          </cell>
          <cell r="AP236" t="str">
            <v>Véhicules neufs</v>
          </cell>
          <cell r="AQ236" t="str">
            <v>Loyer</v>
          </cell>
          <cell r="AR236" t="str">
            <v>$</v>
          </cell>
          <cell r="AS236">
            <v>0</v>
          </cell>
          <cell r="AW236">
            <v>0</v>
          </cell>
          <cell r="AY236" t="str">
            <v>NB</v>
          </cell>
        </row>
        <row r="237">
          <cell r="AM237">
            <v>7990</v>
          </cell>
          <cell r="AP237" t="str">
            <v>Véhicules usagés</v>
          </cell>
          <cell r="AQ237" t="str">
            <v>Loyer</v>
          </cell>
          <cell r="AR237" t="str">
            <v>$</v>
          </cell>
          <cell r="AS237">
            <v>0</v>
          </cell>
          <cell r="AW237">
            <v>0</v>
          </cell>
          <cell r="AY237" t="str">
            <v>NB</v>
          </cell>
        </row>
        <row r="238">
          <cell r="AM238">
            <v>0</v>
          </cell>
          <cell r="AP238" t="str">
            <v>Wholesale autres</v>
          </cell>
          <cell r="AQ238" t="str">
            <v>Loyer</v>
          </cell>
          <cell r="AR238" t="str">
            <v>$</v>
          </cell>
          <cell r="AS238">
            <v>0</v>
          </cell>
          <cell r="AW238">
            <v>0</v>
          </cell>
          <cell r="AY238" t="str">
            <v>NB</v>
          </cell>
        </row>
        <row r="239">
          <cell r="AM239">
            <v>11985</v>
          </cell>
          <cell r="AP239" t="str">
            <v>Service</v>
          </cell>
          <cell r="AQ239" t="str">
            <v>Loyer</v>
          </cell>
          <cell r="AR239" t="str">
            <v>$</v>
          </cell>
          <cell r="AS239">
            <v>0</v>
          </cell>
          <cell r="AW239">
            <v>0</v>
          </cell>
          <cell r="AY239" t="str">
            <v>NB</v>
          </cell>
        </row>
        <row r="240">
          <cell r="AM240">
            <v>3995</v>
          </cell>
          <cell r="AP240" t="str">
            <v>Carrosserie</v>
          </cell>
          <cell r="AQ240" t="str">
            <v>Loyer</v>
          </cell>
          <cell r="AR240" t="str">
            <v>$</v>
          </cell>
          <cell r="AS240">
            <v>0</v>
          </cell>
          <cell r="AW240">
            <v>0</v>
          </cell>
          <cell r="AY240" t="str">
            <v>NB</v>
          </cell>
        </row>
        <row r="241">
          <cell r="AM241">
            <v>3995</v>
          </cell>
          <cell r="AP241" t="str">
            <v>Pièces</v>
          </cell>
          <cell r="AQ241" t="str">
            <v>Loyer</v>
          </cell>
          <cell r="AR241" t="str">
            <v>$</v>
          </cell>
          <cell r="AS241">
            <v>0</v>
          </cell>
          <cell r="AW241">
            <v>0</v>
          </cell>
          <cell r="AY241" t="str">
            <v>NB</v>
          </cell>
        </row>
        <row r="242">
          <cell r="AM242">
            <v>0</v>
          </cell>
          <cell r="AP242" t="e">
            <v>#N/A</v>
          </cell>
          <cell r="AQ242" t="e">
            <v>#N/A</v>
          </cell>
          <cell r="AR242" t="str">
            <v>$</v>
          </cell>
          <cell r="AS242" t="e">
            <v>#N/A</v>
          </cell>
          <cell r="AW242">
            <v>0</v>
          </cell>
          <cell r="AY242" t="str">
            <v>NB</v>
          </cell>
        </row>
        <row r="243">
          <cell r="AM243">
            <v>3974.9400000000005</v>
          </cell>
          <cell r="AP243" t="str">
            <v>Véhicules neufs</v>
          </cell>
          <cell r="AQ243" t="str">
            <v>Services extérieurs</v>
          </cell>
          <cell r="AR243" t="str">
            <v>$</v>
          </cell>
          <cell r="AS243">
            <v>0</v>
          </cell>
          <cell r="AW243">
            <v>0</v>
          </cell>
          <cell r="AY243" t="str">
            <v>NB</v>
          </cell>
        </row>
        <row r="244">
          <cell r="AM244">
            <v>2649.9500000000007</v>
          </cell>
          <cell r="AP244" t="str">
            <v>Véhicules usagés</v>
          </cell>
          <cell r="AQ244" t="str">
            <v>Services extérieurs</v>
          </cell>
          <cell r="AR244" t="str">
            <v>$</v>
          </cell>
          <cell r="AS244">
            <v>0</v>
          </cell>
          <cell r="AW244">
            <v>0</v>
          </cell>
          <cell r="AY244" t="str">
            <v>NB</v>
          </cell>
        </row>
        <row r="245">
          <cell r="AM245">
            <v>0</v>
          </cell>
          <cell r="AP245" t="str">
            <v>Wholesale autres</v>
          </cell>
          <cell r="AQ245" t="str">
            <v>Services extérieurs</v>
          </cell>
          <cell r="AR245" t="str">
            <v>$</v>
          </cell>
          <cell r="AS245">
            <v>0</v>
          </cell>
          <cell r="AW245">
            <v>0</v>
          </cell>
          <cell r="AY245" t="str">
            <v>NB</v>
          </cell>
        </row>
        <row r="246">
          <cell r="AM246">
            <v>4394.9400000000023</v>
          </cell>
          <cell r="AP246" t="str">
            <v>Service</v>
          </cell>
          <cell r="AQ246" t="str">
            <v>Services extérieurs</v>
          </cell>
          <cell r="AR246" t="str">
            <v>$</v>
          </cell>
          <cell r="AS246">
            <v>0</v>
          </cell>
          <cell r="AW246">
            <v>0</v>
          </cell>
          <cell r="AY246" t="str">
            <v>NB</v>
          </cell>
        </row>
        <row r="247">
          <cell r="AM247">
            <v>2546.4899999999998</v>
          </cell>
          <cell r="AP247" t="str">
            <v>Carrosserie</v>
          </cell>
          <cell r="AQ247" t="str">
            <v>Services extérieurs</v>
          </cell>
          <cell r="AR247" t="str">
            <v>$</v>
          </cell>
          <cell r="AS247">
            <v>0</v>
          </cell>
          <cell r="AW247">
            <v>0</v>
          </cell>
          <cell r="AY247" t="str">
            <v>NB</v>
          </cell>
        </row>
        <row r="248">
          <cell r="AM248">
            <v>1324.92</v>
          </cell>
          <cell r="AP248" t="str">
            <v>Pièces</v>
          </cell>
          <cell r="AQ248" t="str">
            <v>Services extérieurs</v>
          </cell>
          <cell r="AR248" t="str">
            <v>$</v>
          </cell>
          <cell r="AS248">
            <v>0</v>
          </cell>
          <cell r="AW248">
            <v>0</v>
          </cell>
          <cell r="AY248" t="str">
            <v>NB</v>
          </cell>
        </row>
        <row r="249">
          <cell r="AM249">
            <v>0</v>
          </cell>
          <cell r="AP249" t="e">
            <v>#N/A</v>
          </cell>
          <cell r="AQ249" t="e">
            <v>#N/A</v>
          </cell>
          <cell r="AR249" t="str">
            <v>$</v>
          </cell>
          <cell r="AS249" t="e">
            <v>#N/A</v>
          </cell>
          <cell r="AW249">
            <v>0</v>
          </cell>
          <cell r="AY249" t="str">
            <v>NB</v>
          </cell>
        </row>
        <row r="250">
          <cell r="AM250">
            <v>41.919999999999987</v>
          </cell>
          <cell r="AP250" t="str">
            <v>Véhicules neufs</v>
          </cell>
          <cell r="AQ250" t="str">
            <v>Amortissement</v>
          </cell>
          <cell r="AR250" t="str">
            <v>$</v>
          </cell>
          <cell r="AS250">
            <v>0</v>
          </cell>
          <cell r="AW250">
            <v>0</v>
          </cell>
          <cell r="AY250" t="str">
            <v>NB</v>
          </cell>
        </row>
        <row r="251">
          <cell r="AM251">
            <v>27.950000000000017</v>
          </cell>
          <cell r="AP251" t="str">
            <v>Véhicules usagés</v>
          </cell>
          <cell r="AQ251" t="str">
            <v>Amortissement</v>
          </cell>
          <cell r="AR251" t="str">
            <v>$</v>
          </cell>
          <cell r="AS251">
            <v>0</v>
          </cell>
          <cell r="AW251">
            <v>0</v>
          </cell>
          <cell r="AY251" t="str">
            <v>NB</v>
          </cell>
        </row>
        <row r="252">
          <cell r="AM252">
            <v>41.919999999999987</v>
          </cell>
          <cell r="AP252" t="str">
            <v>Service</v>
          </cell>
          <cell r="AQ252" t="str">
            <v>Amortissement</v>
          </cell>
          <cell r="AR252" t="str">
            <v>$</v>
          </cell>
          <cell r="AS252">
            <v>0</v>
          </cell>
          <cell r="AW252">
            <v>0</v>
          </cell>
          <cell r="AY252" t="str">
            <v>NB</v>
          </cell>
        </row>
        <row r="253">
          <cell r="AM253">
            <v>13.970000000000013</v>
          </cell>
          <cell r="AP253" t="str">
            <v>Carrosserie</v>
          </cell>
          <cell r="AQ253" t="str">
            <v>Amortissement</v>
          </cell>
          <cell r="AR253" t="str">
            <v>$</v>
          </cell>
          <cell r="AS253">
            <v>0</v>
          </cell>
          <cell r="AW253">
            <v>0</v>
          </cell>
          <cell r="AY253" t="str">
            <v>NB</v>
          </cell>
        </row>
        <row r="254">
          <cell r="AM254">
            <v>13.970000000000013</v>
          </cell>
          <cell r="AP254" t="str">
            <v>Pièces</v>
          </cell>
          <cell r="AQ254" t="str">
            <v>Amortissement</v>
          </cell>
          <cell r="AR254" t="str">
            <v>$</v>
          </cell>
          <cell r="AS254">
            <v>0</v>
          </cell>
          <cell r="AW254">
            <v>0</v>
          </cell>
          <cell r="AY254" t="str">
            <v>NB</v>
          </cell>
        </row>
        <row r="255">
          <cell r="AM255">
            <v>0</v>
          </cell>
          <cell r="AP255" t="e">
            <v>#N/A</v>
          </cell>
          <cell r="AQ255" t="e">
            <v>#N/A</v>
          </cell>
          <cell r="AR255" t="str">
            <v>$</v>
          </cell>
          <cell r="AS255" t="e">
            <v>#N/A</v>
          </cell>
          <cell r="AW255">
            <v>0</v>
          </cell>
          <cell r="AY255" t="str">
            <v>NB</v>
          </cell>
        </row>
        <row r="256">
          <cell r="AM256">
            <v>9647.4</v>
          </cell>
          <cell r="AP256" t="str">
            <v>Véhicules neufs</v>
          </cell>
          <cell r="AQ256" t="str">
            <v>Taxes foncières</v>
          </cell>
          <cell r="AR256" t="str">
            <v>$</v>
          </cell>
          <cell r="AS256">
            <v>0</v>
          </cell>
          <cell r="AW256">
            <v>0</v>
          </cell>
          <cell r="AY256" t="str">
            <v>NB</v>
          </cell>
        </row>
        <row r="257">
          <cell r="AM257">
            <v>6431.6</v>
          </cell>
          <cell r="AP257" t="str">
            <v>Véhicules usagés</v>
          </cell>
          <cell r="AQ257" t="str">
            <v>Taxes foncières</v>
          </cell>
          <cell r="AR257" t="str">
            <v>$</v>
          </cell>
          <cell r="AS257">
            <v>0</v>
          </cell>
          <cell r="AW257">
            <v>0</v>
          </cell>
          <cell r="AY257" t="str">
            <v>NB</v>
          </cell>
        </row>
        <row r="258">
          <cell r="AM258">
            <v>9647.4</v>
          </cell>
          <cell r="AP258" t="str">
            <v>Service</v>
          </cell>
          <cell r="AQ258" t="str">
            <v>Taxes foncières</v>
          </cell>
          <cell r="AR258" t="str">
            <v>$</v>
          </cell>
          <cell r="AS258">
            <v>0</v>
          </cell>
          <cell r="AW258">
            <v>0</v>
          </cell>
          <cell r="AY258" t="str">
            <v>NB</v>
          </cell>
        </row>
        <row r="259">
          <cell r="AM259">
            <v>3215.8</v>
          </cell>
          <cell r="AP259" t="str">
            <v>Carrosserie</v>
          </cell>
          <cell r="AQ259" t="str">
            <v>Taxes foncières</v>
          </cell>
          <cell r="AR259" t="str">
            <v>$</v>
          </cell>
          <cell r="AS259">
            <v>0</v>
          </cell>
          <cell r="AW259">
            <v>0</v>
          </cell>
          <cell r="AY259" t="str">
            <v>NB</v>
          </cell>
        </row>
        <row r="260">
          <cell r="AM260">
            <v>3215.8</v>
          </cell>
          <cell r="AP260" t="str">
            <v>Pièces</v>
          </cell>
          <cell r="AQ260" t="str">
            <v>Taxes foncières</v>
          </cell>
          <cell r="AR260" t="str">
            <v>$</v>
          </cell>
          <cell r="AS260">
            <v>0</v>
          </cell>
          <cell r="AW260">
            <v>0</v>
          </cell>
          <cell r="AY260" t="str">
            <v>NB</v>
          </cell>
        </row>
        <row r="261">
          <cell r="AM261">
            <v>0</v>
          </cell>
          <cell r="AP261" t="e">
            <v>#N/A</v>
          </cell>
          <cell r="AQ261" t="e">
            <v>#N/A</v>
          </cell>
          <cell r="AR261" t="str">
            <v>$</v>
          </cell>
          <cell r="AS261" t="e">
            <v>#N/A</v>
          </cell>
          <cell r="AW261">
            <v>0</v>
          </cell>
          <cell r="AY261" t="str">
            <v>NB</v>
          </cell>
        </row>
        <row r="262">
          <cell r="AM262">
            <v>3922.0800000000017</v>
          </cell>
          <cell r="AP262" t="str">
            <v>Véhicules neufs</v>
          </cell>
          <cell r="AQ262" t="str">
            <v>Assurances</v>
          </cell>
          <cell r="AR262" t="str">
            <v>$</v>
          </cell>
          <cell r="AS262">
            <v>0</v>
          </cell>
          <cell r="AW262">
            <v>0</v>
          </cell>
          <cell r="AY262" t="str">
            <v>NB</v>
          </cell>
        </row>
        <row r="263">
          <cell r="AM263">
            <v>2614.7200000000012</v>
          </cell>
          <cell r="AP263" t="str">
            <v>Véhicules usagés</v>
          </cell>
          <cell r="AQ263" t="str">
            <v>Assurances</v>
          </cell>
          <cell r="AR263" t="str">
            <v>$</v>
          </cell>
          <cell r="AS263">
            <v>0</v>
          </cell>
          <cell r="AW263">
            <v>0</v>
          </cell>
          <cell r="AY263" t="str">
            <v>NB</v>
          </cell>
        </row>
        <row r="264">
          <cell r="AM264">
            <v>3922.0800000000017</v>
          </cell>
          <cell r="AP264" t="str">
            <v>Service</v>
          </cell>
          <cell r="AQ264" t="str">
            <v>Assurances</v>
          </cell>
          <cell r="AR264" t="str">
            <v>$</v>
          </cell>
          <cell r="AS264">
            <v>0</v>
          </cell>
          <cell r="AW264">
            <v>0</v>
          </cell>
          <cell r="AY264" t="str">
            <v>NB</v>
          </cell>
        </row>
        <row r="265">
          <cell r="AM265">
            <v>1307.3600000000006</v>
          </cell>
          <cell r="AP265" t="str">
            <v>Carrosserie</v>
          </cell>
          <cell r="AQ265" t="str">
            <v>Assurances</v>
          </cell>
          <cell r="AR265" t="str">
            <v>$</v>
          </cell>
          <cell r="AS265">
            <v>0</v>
          </cell>
          <cell r="AW265">
            <v>0</v>
          </cell>
          <cell r="AY265" t="str">
            <v>NB</v>
          </cell>
        </row>
        <row r="266">
          <cell r="AM266">
            <v>1307.3699999999999</v>
          </cell>
          <cell r="AP266" t="str">
            <v>Pièces</v>
          </cell>
          <cell r="AQ266" t="str">
            <v>Assurances</v>
          </cell>
          <cell r="AR266" t="str">
            <v>$</v>
          </cell>
          <cell r="AS266">
            <v>0</v>
          </cell>
          <cell r="AW266">
            <v>0</v>
          </cell>
          <cell r="AY266" t="str">
            <v>NB</v>
          </cell>
        </row>
        <row r="267">
          <cell r="AM267">
            <v>0</v>
          </cell>
          <cell r="AP267" t="e">
            <v>#N/A</v>
          </cell>
          <cell r="AQ267" t="e">
            <v>#N/A</v>
          </cell>
          <cell r="AR267" t="str">
            <v>$</v>
          </cell>
          <cell r="AS267" t="e">
            <v>#N/A</v>
          </cell>
          <cell r="AW267">
            <v>0</v>
          </cell>
          <cell r="AY267" t="str">
            <v>NB</v>
          </cell>
        </row>
        <row r="268">
          <cell r="AM268">
            <v>2642.5599999999995</v>
          </cell>
          <cell r="AP268" t="str">
            <v>Véhicules neufs</v>
          </cell>
          <cell r="AQ268" t="str">
            <v>Chauffage, éclairage</v>
          </cell>
          <cell r="AR268" t="str">
            <v>$</v>
          </cell>
          <cell r="AS268">
            <v>0</v>
          </cell>
          <cell r="AW268">
            <v>0</v>
          </cell>
          <cell r="AY268" t="str">
            <v>NB</v>
          </cell>
        </row>
        <row r="269">
          <cell r="AM269">
            <v>1090.06</v>
          </cell>
          <cell r="AP269" t="str">
            <v>Véhicules usagés</v>
          </cell>
          <cell r="AQ269" t="str">
            <v>Chauffage, éclairage</v>
          </cell>
          <cell r="AR269" t="str">
            <v>$</v>
          </cell>
          <cell r="AS269">
            <v>0</v>
          </cell>
          <cell r="AW269">
            <v>0</v>
          </cell>
          <cell r="AY269" t="str">
            <v>NB</v>
          </cell>
        </row>
        <row r="270">
          <cell r="AM270">
            <v>2178.3799999999974</v>
          </cell>
          <cell r="AP270" t="str">
            <v>Service</v>
          </cell>
          <cell r="AQ270" t="str">
            <v>Chauffage, éclairage</v>
          </cell>
          <cell r="AR270" t="str">
            <v>$</v>
          </cell>
          <cell r="AS270">
            <v>0</v>
          </cell>
          <cell r="AW270">
            <v>0</v>
          </cell>
          <cell r="AY270" t="str">
            <v>NB</v>
          </cell>
        </row>
        <row r="271">
          <cell r="AM271">
            <v>1951.2899999999991</v>
          </cell>
          <cell r="AP271" t="str">
            <v>Carrosserie</v>
          </cell>
          <cell r="AQ271" t="str">
            <v>Chauffage, éclairage</v>
          </cell>
          <cell r="AR271" t="str">
            <v>$</v>
          </cell>
          <cell r="AS271">
            <v>0</v>
          </cell>
          <cell r="AW271">
            <v>0</v>
          </cell>
          <cell r="AY271" t="str">
            <v>NB</v>
          </cell>
        </row>
        <row r="272">
          <cell r="AM272">
            <v>1242.6199999999999</v>
          </cell>
          <cell r="AP272" t="str">
            <v>Pièces</v>
          </cell>
          <cell r="AQ272" t="str">
            <v>Chauffage, éclairage</v>
          </cell>
          <cell r="AR272" t="str">
            <v>$</v>
          </cell>
          <cell r="AS272">
            <v>0</v>
          </cell>
          <cell r="AW272">
            <v>0</v>
          </cell>
          <cell r="AY272" t="str">
            <v>NB</v>
          </cell>
        </row>
        <row r="273">
          <cell r="AM273">
            <v>0</v>
          </cell>
          <cell r="AP273" t="e">
            <v>#N/A</v>
          </cell>
          <cell r="AQ273" t="e">
            <v>#N/A</v>
          </cell>
          <cell r="AR273" t="str">
            <v>$</v>
          </cell>
          <cell r="AS273" t="e">
            <v>#N/A</v>
          </cell>
          <cell r="AW273">
            <v>0</v>
          </cell>
          <cell r="AY273" t="str">
            <v>NB</v>
          </cell>
        </row>
        <row r="274">
          <cell r="AM274">
            <v>0</v>
          </cell>
          <cell r="AP274">
            <v>0</v>
          </cell>
          <cell r="AQ274">
            <v>0</v>
          </cell>
          <cell r="AR274" t="str">
            <v>$</v>
          </cell>
          <cell r="AS274">
            <v>0</v>
          </cell>
          <cell r="AW274">
            <v>0</v>
          </cell>
          <cell r="AY274" t="str">
            <v>NB</v>
          </cell>
        </row>
        <row r="275">
          <cell r="AM275">
            <v>0</v>
          </cell>
          <cell r="AP275">
            <v>0</v>
          </cell>
          <cell r="AQ275">
            <v>0</v>
          </cell>
          <cell r="AR275" t="str">
            <v>$</v>
          </cell>
          <cell r="AS275">
            <v>0</v>
          </cell>
          <cell r="AW275">
            <v>0</v>
          </cell>
          <cell r="AY275" t="str">
            <v>NB</v>
          </cell>
        </row>
        <row r="276">
          <cell r="AM276">
            <v>0</v>
          </cell>
          <cell r="AP276">
            <v>0</v>
          </cell>
          <cell r="AQ276">
            <v>0</v>
          </cell>
          <cell r="AR276" t="str">
            <v>$</v>
          </cell>
          <cell r="AS276">
            <v>0</v>
          </cell>
          <cell r="AW276">
            <v>0</v>
          </cell>
          <cell r="AY276" t="str">
            <v>NB</v>
          </cell>
        </row>
        <row r="277">
          <cell r="AM277">
            <v>0</v>
          </cell>
          <cell r="AP277">
            <v>0</v>
          </cell>
          <cell r="AQ277">
            <v>0</v>
          </cell>
          <cell r="AR277" t="str">
            <v>$</v>
          </cell>
          <cell r="AS277">
            <v>0</v>
          </cell>
          <cell r="AW277">
            <v>0</v>
          </cell>
          <cell r="AY277" t="str">
            <v>NB</v>
          </cell>
        </row>
        <row r="278">
          <cell r="AM278">
            <v>0</v>
          </cell>
          <cell r="AP278">
            <v>0</v>
          </cell>
          <cell r="AQ278">
            <v>0</v>
          </cell>
          <cell r="AR278" t="str">
            <v>$</v>
          </cell>
          <cell r="AS278">
            <v>0</v>
          </cell>
          <cell r="AW278">
            <v>0</v>
          </cell>
          <cell r="AY278" t="str">
            <v>NB</v>
          </cell>
        </row>
        <row r="279">
          <cell r="AM279">
            <v>0</v>
          </cell>
          <cell r="AP279" t="e">
            <v>#N/A</v>
          </cell>
          <cell r="AQ279" t="e">
            <v>#N/A</v>
          </cell>
          <cell r="AR279" t="str">
            <v>$</v>
          </cell>
          <cell r="AS279" t="e">
            <v>#N/A</v>
          </cell>
          <cell r="AW279">
            <v>0</v>
          </cell>
          <cell r="AY279" t="str">
            <v>NB</v>
          </cell>
        </row>
        <row r="280">
          <cell r="AM280">
            <v>3000</v>
          </cell>
          <cell r="AP280" t="str">
            <v>Véhicules neufs</v>
          </cell>
          <cell r="AQ280" t="str">
            <v>Taxes d`affaires</v>
          </cell>
          <cell r="AR280" t="str">
            <v>$</v>
          </cell>
          <cell r="AS280">
            <v>0</v>
          </cell>
          <cell r="AW280">
            <v>0</v>
          </cell>
          <cell r="AY280" t="str">
            <v>NB</v>
          </cell>
        </row>
        <row r="281">
          <cell r="AM281">
            <v>2000</v>
          </cell>
          <cell r="AP281" t="str">
            <v>Véhicules usagés</v>
          </cell>
          <cell r="AQ281" t="str">
            <v>Taxes d`affaires</v>
          </cell>
          <cell r="AR281" t="str">
            <v>$</v>
          </cell>
          <cell r="AS281">
            <v>0</v>
          </cell>
          <cell r="AW281">
            <v>0</v>
          </cell>
          <cell r="AY281" t="str">
            <v>NB</v>
          </cell>
        </row>
        <row r="282">
          <cell r="AM282">
            <v>0</v>
          </cell>
          <cell r="AP282" t="str">
            <v>Wholesale autres</v>
          </cell>
          <cell r="AQ282" t="str">
            <v>Taxes d`affaires</v>
          </cell>
          <cell r="AR282" t="str">
            <v>$</v>
          </cell>
          <cell r="AS282">
            <v>0</v>
          </cell>
          <cell r="AW282">
            <v>0</v>
          </cell>
          <cell r="AY282" t="str">
            <v>NB</v>
          </cell>
        </row>
        <row r="283">
          <cell r="AM283">
            <v>3000</v>
          </cell>
          <cell r="AP283" t="str">
            <v>Service</v>
          </cell>
          <cell r="AQ283" t="str">
            <v>Taxes d`affaires</v>
          </cell>
          <cell r="AR283" t="str">
            <v>$</v>
          </cell>
          <cell r="AS283">
            <v>0</v>
          </cell>
          <cell r="AW283">
            <v>0</v>
          </cell>
          <cell r="AY283" t="str">
            <v>NB</v>
          </cell>
        </row>
        <row r="284">
          <cell r="AM284">
            <v>1000</v>
          </cell>
          <cell r="AP284" t="str">
            <v>Carrosserie</v>
          </cell>
          <cell r="AQ284" t="str">
            <v>Taxes d`affaires</v>
          </cell>
          <cell r="AR284" t="str">
            <v>$</v>
          </cell>
          <cell r="AS284">
            <v>0</v>
          </cell>
          <cell r="AW284">
            <v>0</v>
          </cell>
          <cell r="AY284" t="str">
            <v>NB</v>
          </cell>
        </row>
        <row r="285">
          <cell r="AM285">
            <v>1000</v>
          </cell>
          <cell r="AP285" t="str">
            <v>Pièces</v>
          </cell>
          <cell r="AQ285" t="str">
            <v>Taxes d`affaires</v>
          </cell>
          <cell r="AR285" t="str">
            <v>$</v>
          </cell>
          <cell r="AS285">
            <v>0</v>
          </cell>
          <cell r="AW285">
            <v>0</v>
          </cell>
          <cell r="AY285" t="str">
            <v>NB</v>
          </cell>
        </row>
        <row r="286">
          <cell r="AM286">
            <v>0</v>
          </cell>
          <cell r="AP286" t="e">
            <v>#N/A</v>
          </cell>
          <cell r="AQ286" t="e">
            <v>#N/A</v>
          </cell>
          <cell r="AR286" t="str">
            <v>$</v>
          </cell>
          <cell r="AS286" t="e">
            <v>#N/A</v>
          </cell>
          <cell r="AW286">
            <v>0</v>
          </cell>
          <cell r="AY286" t="str">
            <v>NB</v>
          </cell>
        </row>
        <row r="287">
          <cell r="AM287">
            <v>0</v>
          </cell>
          <cell r="AP287" t="str">
            <v>Véhicules neufs</v>
          </cell>
          <cell r="AQ287" t="str">
            <v>Réparation équipement</v>
          </cell>
          <cell r="AR287" t="str">
            <v>$</v>
          </cell>
          <cell r="AS287">
            <v>0</v>
          </cell>
          <cell r="AW287">
            <v>0</v>
          </cell>
          <cell r="AY287" t="str">
            <v>NB</v>
          </cell>
        </row>
        <row r="288">
          <cell r="AM288">
            <v>0</v>
          </cell>
          <cell r="AP288" t="str">
            <v>Véhicules usagés</v>
          </cell>
          <cell r="AQ288" t="str">
            <v>Réparation équipement</v>
          </cell>
          <cell r="AR288" t="str">
            <v>$</v>
          </cell>
          <cell r="AS288">
            <v>0</v>
          </cell>
          <cell r="AW288">
            <v>0</v>
          </cell>
          <cell r="AY288" t="str">
            <v>NB</v>
          </cell>
        </row>
        <row r="289">
          <cell r="AM289">
            <v>2250.75</v>
          </cell>
          <cell r="AP289" t="str">
            <v>Service</v>
          </cell>
          <cell r="AQ289" t="str">
            <v>Réparation équipement</v>
          </cell>
          <cell r="AR289" t="str">
            <v>$</v>
          </cell>
          <cell r="AS289">
            <v>0</v>
          </cell>
          <cell r="AW289">
            <v>0</v>
          </cell>
          <cell r="AY289" t="str">
            <v>NB</v>
          </cell>
        </row>
        <row r="290">
          <cell r="AM290">
            <v>3707.26</v>
          </cell>
          <cell r="AP290" t="str">
            <v>Carrosserie</v>
          </cell>
          <cell r="AQ290" t="str">
            <v>Réparation équipement</v>
          </cell>
          <cell r="AR290" t="str">
            <v>$</v>
          </cell>
          <cell r="AS290">
            <v>0</v>
          </cell>
          <cell r="AW290">
            <v>0</v>
          </cell>
          <cell r="AY290" t="str">
            <v>NB</v>
          </cell>
        </row>
        <row r="291">
          <cell r="AM291">
            <v>0</v>
          </cell>
          <cell r="AP291" t="str">
            <v>Pièces</v>
          </cell>
          <cell r="AQ291" t="str">
            <v>Réparation équipement</v>
          </cell>
          <cell r="AR291" t="str">
            <v>$</v>
          </cell>
          <cell r="AS291">
            <v>0</v>
          </cell>
          <cell r="AW291">
            <v>0</v>
          </cell>
          <cell r="AY291" t="str">
            <v>NB</v>
          </cell>
        </row>
        <row r="292">
          <cell r="AM292">
            <v>0</v>
          </cell>
          <cell r="AP292" t="e">
            <v>#N/A</v>
          </cell>
          <cell r="AQ292" t="e">
            <v>#N/A</v>
          </cell>
          <cell r="AR292" t="str">
            <v>$</v>
          </cell>
          <cell r="AS292" t="e">
            <v>#N/A</v>
          </cell>
          <cell r="AW292">
            <v>0</v>
          </cell>
          <cell r="AY292" t="str">
            <v>NB</v>
          </cell>
        </row>
        <row r="293">
          <cell r="AM293">
            <v>3422.2099999999991</v>
          </cell>
          <cell r="AP293" t="str">
            <v>Véhicules neufs</v>
          </cell>
          <cell r="AQ293" t="str">
            <v>Amortissement</v>
          </cell>
          <cell r="AR293" t="str">
            <v>$</v>
          </cell>
          <cell r="AS293">
            <v>0</v>
          </cell>
          <cell r="AW293">
            <v>0</v>
          </cell>
          <cell r="AY293" t="str">
            <v>NB</v>
          </cell>
        </row>
        <row r="294">
          <cell r="AM294">
            <v>2281.4800000000014</v>
          </cell>
          <cell r="AP294" t="str">
            <v>Véhicules usagés</v>
          </cell>
          <cell r="AQ294" t="str">
            <v>Amortissement</v>
          </cell>
          <cell r="AR294" t="str">
            <v>$</v>
          </cell>
          <cell r="AS294">
            <v>0</v>
          </cell>
          <cell r="AW294">
            <v>0</v>
          </cell>
          <cell r="AY294" t="str">
            <v>NB</v>
          </cell>
        </row>
        <row r="295">
          <cell r="AM295">
            <v>3422.2099999999991</v>
          </cell>
          <cell r="AP295" t="str">
            <v>Service</v>
          </cell>
          <cell r="AQ295" t="str">
            <v>Amortissement</v>
          </cell>
          <cell r="AR295" t="str">
            <v>$</v>
          </cell>
          <cell r="AS295">
            <v>0</v>
          </cell>
          <cell r="AW295">
            <v>0</v>
          </cell>
          <cell r="AY295" t="str">
            <v>NB</v>
          </cell>
        </row>
        <row r="296">
          <cell r="AM296">
            <v>1140.7399999999998</v>
          </cell>
          <cell r="AP296" t="str">
            <v>Carrosserie</v>
          </cell>
          <cell r="AQ296" t="str">
            <v>Amortissement</v>
          </cell>
          <cell r="AR296" t="str">
            <v>$</v>
          </cell>
          <cell r="AS296">
            <v>0</v>
          </cell>
          <cell r="AW296">
            <v>0</v>
          </cell>
          <cell r="AY296" t="str">
            <v>NB</v>
          </cell>
        </row>
        <row r="297">
          <cell r="AM297">
            <v>1140.7399999999998</v>
          </cell>
          <cell r="AP297" t="str">
            <v>Pièces</v>
          </cell>
          <cell r="AQ297" t="str">
            <v>Amortissement</v>
          </cell>
          <cell r="AR297" t="str">
            <v>$</v>
          </cell>
          <cell r="AS297">
            <v>0</v>
          </cell>
          <cell r="AW297">
            <v>0</v>
          </cell>
          <cell r="AY297" t="str">
            <v>NB</v>
          </cell>
        </row>
        <row r="298">
          <cell r="AM298">
            <v>0</v>
          </cell>
          <cell r="AP298" t="e">
            <v>#N/A</v>
          </cell>
          <cell r="AQ298" t="e">
            <v>#N/A</v>
          </cell>
          <cell r="AR298" t="str">
            <v>$</v>
          </cell>
          <cell r="AS298" t="e">
            <v>#N/A</v>
          </cell>
          <cell r="AW298">
            <v>0</v>
          </cell>
          <cell r="AY298" t="str">
            <v>NB</v>
          </cell>
        </row>
        <row r="299">
          <cell r="AM299">
            <v>59.980000000000018</v>
          </cell>
          <cell r="AP299" t="str">
            <v>Véhicules neufs</v>
          </cell>
          <cell r="AQ299" t="str">
            <v>Location équipement</v>
          </cell>
          <cell r="AR299" t="str">
            <v>$</v>
          </cell>
          <cell r="AS299">
            <v>0</v>
          </cell>
          <cell r="AW299">
            <v>0</v>
          </cell>
          <cell r="AY299" t="str">
            <v>NB</v>
          </cell>
        </row>
        <row r="300">
          <cell r="AM300">
            <v>37.490000000000009</v>
          </cell>
          <cell r="AP300" t="str">
            <v>Véhicules usagés</v>
          </cell>
          <cell r="AQ300" t="str">
            <v>Location équipement</v>
          </cell>
          <cell r="AR300" t="str">
            <v>$</v>
          </cell>
          <cell r="AS300">
            <v>0</v>
          </cell>
          <cell r="AW300">
            <v>0</v>
          </cell>
          <cell r="AY300" t="str">
            <v>NB</v>
          </cell>
        </row>
        <row r="301">
          <cell r="AM301">
            <v>29.989999999999782</v>
          </cell>
          <cell r="AP301" t="str">
            <v>Service</v>
          </cell>
          <cell r="AQ301" t="str">
            <v>Location équipement</v>
          </cell>
          <cell r="AR301" t="str">
            <v>$</v>
          </cell>
          <cell r="AS301">
            <v>0</v>
          </cell>
          <cell r="AW301">
            <v>0</v>
          </cell>
          <cell r="AY301" t="str">
            <v>NB</v>
          </cell>
        </row>
        <row r="302">
          <cell r="AM302">
            <v>7.5</v>
          </cell>
          <cell r="AP302" t="str">
            <v>Carrosserie</v>
          </cell>
          <cell r="AQ302" t="str">
            <v>Location équipement</v>
          </cell>
          <cell r="AR302" t="str">
            <v>$</v>
          </cell>
          <cell r="AS302">
            <v>0</v>
          </cell>
          <cell r="AW302">
            <v>0</v>
          </cell>
          <cell r="AY302" t="str">
            <v>NB</v>
          </cell>
        </row>
        <row r="303">
          <cell r="AM303">
            <v>31.490000000000009</v>
          </cell>
          <cell r="AP303" t="str">
            <v>Pièces</v>
          </cell>
          <cell r="AQ303" t="str">
            <v>Location équipement</v>
          </cell>
          <cell r="AR303" t="str">
            <v>$</v>
          </cell>
          <cell r="AS303">
            <v>0</v>
          </cell>
          <cell r="AW303">
            <v>0</v>
          </cell>
          <cell r="AY303" t="str">
            <v>NB</v>
          </cell>
        </row>
        <row r="304">
          <cell r="AM304">
            <v>0</v>
          </cell>
          <cell r="AP304" t="e">
            <v>#N/A</v>
          </cell>
          <cell r="AQ304" t="e">
            <v>#N/A</v>
          </cell>
          <cell r="AR304" t="str">
            <v>$</v>
          </cell>
          <cell r="AS304" t="e">
            <v>#N/A</v>
          </cell>
          <cell r="AW304">
            <v>0</v>
          </cell>
          <cell r="AY304" t="str">
            <v>NB</v>
          </cell>
        </row>
        <row r="305">
          <cell r="AM305">
            <v>0</v>
          </cell>
          <cell r="AP305" t="e">
            <v>#N/A</v>
          </cell>
          <cell r="AQ305" t="e">
            <v>#N/A</v>
          </cell>
          <cell r="AR305" t="str">
            <v>$</v>
          </cell>
          <cell r="AS305" t="e">
            <v>#N/A</v>
          </cell>
          <cell r="AW305">
            <v>0</v>
          </cell>
          <cell r="AY305" t="str">
            <v>NB</v>
          </cell>
        </row>
        <row r="306">
          <cell r="AM306">
            <v>0</v>
          </cell>
          <cell r="AP306">
            <v>0</v>
          </cell>
          <cell r="AQ306">
            <v>0</v>
          </cell>
          <cell r="AR306" t="str">
            <v>$</v>
          </cell>
          <cell r="AS306">
            <v>0</v>
          </cell>
          <cell r="AW306">
            <v>0</v>
          </cell>
          <cell r="AY306" t="str">
            <v>NB</v>
          </cell>
        </row>
        <row r="307">
          <cell r="AM307">
            <v>0</v>
          </cell>
          <cell r="AP307" t="str">
            <v>Bilan</v>
          </cell>
          <cell r="AQ307" t="str">
            <v>Encaisse</v>
          </cell>
          <cell r="AR307" t="str">
            <v>$</v>
          </cell>
          <cell r="AS307">
            <v>0</v>
          </cell>
          <cell r="AW307">
            <v>0</v>
          </cell>
          <cell r="AY307" t="str">
            <v>NB</v>
          </cell>
        </row>
        <row r="308">
          <cell r="AM308">
            <v>0</v>
          </cell>
          <cell r="AP308" t="str">
            <v>Bilan</v>
          </cell>
          <cell r="AQ308" t="str">
            <v>Salaires à Payer</v>
          </cell>
          <cell r="AR308" t="str">
            <v>$</v>
          </cell>
          <cell r="AS308">
            <v>0</v>
          </cell>
          <cell r="AW308">
            <v>0</v>
          </cell>
          <cell r="AY308" t="str">
            <v>NB</v>
          </cell>
        </row>
        <row r="309">
          <cell r="AM309">
            <v>0</v>
          </cell>
          <cell r="AP309" t="str">
            <v>Bilan</v>
          </cell>
          <cell r="AQ309" t="str">
            <v>Encaisse</v>
          </cell>
          <cell r="AR309" t="str">
            <v>$</v>
          </cell>
          <cell r="AS309">
            <v>0</v>
          </cell>
          <cell r="AW309">
            <v>0</v>
          </cell>
          <cell r="AY309" t="str">
            <v>NB</v>
          </cell>
        </row>
        <row r="310">
          <cell r="AM310">
            <v>0</v>
          </cell>
          <cell r="AP310" t="e">
            <v>#N/A</v>
          </cell>
          <cell r="AQ310" t="e">
            <v>#N/A</v>
          </cell>
          <cell r="AR310" t="str">
            <v>$</v>
          </cell>
          <cell r="AS310" t="e">
            <v>#N/A</v>
          </cell>
          <cell r="AW310">
            <v>0</v>
          </cell>
          <cell r="AY310" t="str">
            <v>NB</v>
          </cell>
        </row>
        <row r="311">
          <cell r="AM311">
            <v>-3239101.43</v>
          </cell>
          <cell r="AP311" t="str">
            <v>Bilan</v>
          </cell>
          <cell r="AQ311" t="str">
            <v>Encaisse</v>
          </cell>
          <cell r="AR311" t="str">
            <v>$</v>
          </cell>
          <cell r="AS311">
            <v>0</v>
          </cell>
          <cell r="AW311">
            <v>0</v>
          </cell>
          <cell r="AY311" t="str">
            <v>NB</v>
          </cell>
        </row>
        <row r="312">
          <cell r="AM312">
            <v>0</v>
          </cell>
          <cell r="AP312" t="e">
            <v>#N/A</v>
          </cell>
          <cell r="AQ312" t="e">
            <v>#N/A</v>
          </cell>
          <cell r="AR312" t="str">
            <v>$</v>
          </cell>
          <cell r="AS312" t="e">
            <v>#N/A</v>
          </cell>
          <cell r="AW312">
            <v>0</v>
          </cell>
          <cell r="AY312" t="str">
            <v>NB</v>
          </cell>
        </row>
        <row r="313">
          <cell r="AM313">
            <v>0</v>
          </cell>
          <cell r="AP313">
            <v>0</v>
          </cell>
          <cell r="AQ313">
            <v>0</v>
          </cell>
          <cell r="AR313" t="str">
            <v>$</v>
          </cell>
          <cell r="AS313">
            <v>0</v>
          </cell>
          <cell r="AW313">
            <v>0</v>
          </cell>
          <cell r="AY313" t="str">
            <v>NB</v>
          </cell>
        </row>
        <row r="314">
          <cell r="AM314">
            <v>0</v>
          </cell>
          <cell r="AP314" t="e">
            <v>#N/A</v>
          </cell>
          <cell r="AQ314" t="e">
            <v>#N/A</v>
          </cell>
          <cell r="AR314" t="str">
            <v>$</v>
          </cell>
          <cell r="AS314" t="e">
            <v>#N/A</v>
          </cell>
          <cell r="AW314">
            <v>0</v>
          </cell>
          <cell r="AY314" t="str">
            <v>NB</v>
          </cell>
        </row>
        <row r="315">
          <cell r="AM315">
            <v>0</v>
          </cell>
          <cell r="AP315" t="str">
            <v>Bilan</v>
          </cell>
          <cell r="AQ315" t="str">
            <v>Encaisse</v>
          </cell>
          <cell r="AR315" t="str">
            <v>$</v>
          </cell>
          <cell r="AS315">
            <v>0</v>
          </cell>
          <cell r="AW315">
            <v>0</v>
          </cell>
          <cell r="AY315" t="str">
            <v>NB</v>
          </cell>
        </row>
        <row r="316">
          <cell r="AM316">
            <v>0</v>
          </cell>
          <cell r="AP316" t="e">
            <v>#N/A</v>
          </cell>
          <cell r="AQ316" t="e">
            <v>#N/A</v>
          </cell>
          <cell r="AR316" t="str">
            <v>$</v>
          </cell>
          <cell r="AS316" t="e">
            <v>#N/A</v>
          </cell>
          <cell r="AW316">
            <v>0</v>
          </cell>
          <cell r="AY316" t="str">
            <v>NB</v>
          </cell>
        </row>
        <row r="317">
          <cell r="AM317">
            <v>0</v>
          </cell>
          <cell r="AP317">
            <v>0</v>
          </cell>
          <cell r="AQ317">
            <v>0</v>
          </cell>
          <cell r="AR317" t="str">
            <v>$</v>
          </cell>
          <cell r="AS317">
            <v>0</v>
          </cell>
          <cell r="AW317">
            <v>0</v>
          </cell>
          <cell r="AY317" t="str">
            <v>NB</v>
          </cell>
        </row>
        <row r="318">
          <cell r="AM318">
            <v>-170474.77000000002</v>
          </cell>
          <cell r="AP318" t="str">
            <v>Bilan</v>
          </cell>
          <cell r="AQ318" t="str">
            <v>Recevables Contrats en Transit</v>
          </cell>
          <cell r="AR318" t="str">
            <v>$</v>
          </cell>
          <cell r="AS318">
            <v>0</v>
          </cell>
          <cell r="AW318">
            <v>0</v>
          </cell>
          <cell r="AY318" t="str">
            <v>NB</v>
          </cell>
        </row>
        <row r="319">
          <cell r="AM319">
            <v>0</v>
          </cell>
          <cell r="AP319" t="e">
            <v>#N/A</v>
          </cell>
          <cell r="AQ319" t="e">
            <v>#N/A</v>
          </cell>
          <cell r="AR319" t="str">
            <v>$</v>
          </cell>
          <cell r="AS319" t="e">
            <v>#N/A</v>
          </cell>
          <cell r="AW319">
            <v>0</v>
          </cell>
          <cell r="AY319" t="str">
            <v>NB</v>
          </cell>
        </row>
        <row r="320">
          <cell r="AM320">
            <v>0</v>
          </cell>
          <cell r="AP320" t="e">
            <v>#N/A</v>
          </cell>
          <cell r="AQ320" t="e">
            <v>#N/A</v>
          </cell>
          <cell r="AR320" t="str">
            <v>$</v>
          </cell>
          <cell r="AS320" t="e">
            <v>#N/A</v>
          </cell>
          <cell r="AW320">
            <v>0</v>
          </cell>
          <cell r="AY320" t="str">
            <v>NB</v>
          </cell>
        </row>
        <row r="321">
          <cell r="AM321">
            <v>42364.7</v>
          </cell>
          <cell r="AP321" t="str">
            <v>Bilan</v>
          </cell>
          <cell r="AQ321" t="str">
            <v>Recevables Véhicules</v>
          </cell>
          <cell r="AR321" t="str">
            <v>$</v>
          </cell>
          <cell r="AS321">
            <v>0</v>
          </cell>
          <cell r="AW321">
            <v>0</v>
          </cell>
          <cell r="AY321" t="str">
            <v>NB</v>
          </cell>
        </row>
        <row r="322">
          <cell r="AM322">
            <v>0</v>
          </cell>
          <cell r="AP322">
            <v>0</v>
          </cell>
          <cell r="AQ322">
            <v>0</v>
          </cell>
          <cell r="AR322" t="str">
            <v>$</v>
          </cell>
          <cell r="AS322">
            <v>0</v>
          </cell>
          <cell r="AW322">
            <v>0</v>
          </cell>
          <cell r="AY322" t="str">
            <v>NB</v>
          </cell>
        </row>
        <row r="323">
          <cell r="AM323">
            <v>-134110.07999999996</v>
          </cell>
          <cell r="AP323" t="str">
            <v>Bilan</v>
          </cell>
          <cell r="AQ323" t="str">
            <v>Recevables Pièces et Service</v>
          </cell>
          <cell r="AR323" t="str">
            <v>$</v>
          </cell>
          <cell r="AS323">
            <v>0</v>
          </cell>
          <cell r="AW323">
            <v>0</v>
          </cell>
          <cell r="AY323" t="str">
            <v>NB</v>
          </cell>
        </row>
        <row r="324">
          <cell r="AM324">
            <v>107430.09000000001</v>
          </cell>
          <cell r="AP324" t="str">
            <v>Bilan</v>
          </cell>
          <cell r="AQ324" t="str">
            <v>Recevables Véhicules</v>
          </cell>
          <cell r="AR324" t="str">
            <v>$</v>
          </cell>
          <cell r="AS324">
            <v>0</v>
          </cell>
          <cell r="AW324">
            <v>0</v>
          </cell>
          <cell r="AY324" t="str">
            <v>NB</v>
          </cell>
        </row>
        <row r="325">
          <cell r="AM325">
            <v>56681.440000000002</v>
          </cell>
          <cell r="AP325" t="str">
            <v>Bilan</v>
          </cell>
          <cell r="AQ325" t="str">
            <v>Recevables Carrosserie</v>
          </cell>
          <cell r="AR325" t="str">
            <v>$</v>
          </cell>
          <cell r="AS325">
            <v>0</v>
          </cell>
          <cell r="AW325">
            <v>0</v>
          </cell>
          <cell r="AY325" t="str">
            <v>NB</v>
          </cell>
        </row>
        <row r="326">
          <cell r="AM326">
            <v>1000</v>
          </cell>
          <cell r="AP326" t="str">
            <v>Bilan</v>
          </cell>
          <cell r="AQ326" t="str">
            <v>Recevables Véhicules</v>
          </cell>
          <cell r="AR326" t="str">
            <v>$</v>
          </cell>
          <cell r="AS326">
            <v>0</v>
          </cell>
          <cell r="AW326">
            <v>0</v>
          </cell>
          <cell r="AY326" t="str">
            <v>NB</v>
          </cell>
        </row>
        <row r="327">
          <cell r="AM327">
            <v>-11731.350000000006</v>
          </cell>
          <cell r="AP327" t="str">
            <v>Bilan</v>
          </cell>
          <cell r="AQ327" t="str">
            <v>Taxes de Vente à Payer</v>
          </cell>
          <cell r="AR327" t="str">
            <v>$</v>
          </cell>
          <cell r="AS327">
            <v>0</v>
          </cell>
          <cell r="AW327">
            <v>0</v>
          </cell>
          <cell r="AY327" t="str">
            <v>NB</v>
          </cell>
        </row>
        <row r="328">
          <cell r="AM328">
            <v>81203.690000000061</v>
          </cell>
          <cell r="AP328" t="str">
            <v>Bilan</v>
          </cell>
          <cell r="AQ328" t="str">
            <v>Taxes de Vente à Payer</v>
          </cell>
          <cell r="AR328" t="str">
            <v>$</v>
          </cell>
          <cell r="AS328">
            <v>0</v>
          </cell>
          <cell r="AW328">
            <v>0</v>
          </cell>
          <cell r="AY328" t="str">
            <v>NB</v>
          </cell>
        </row>
        <row r="329">
          <cell r="AM329">
            <v>-7065.9400000000023</v>
          </cell>
          <cell r="AP329" t="str">
            <v>Bilan</v>
          </cell>
          <cell r="AQ329" t="str">
            <v>Recevables Autres</v>
          </cell>
          <cell r="AR329" t="str">
            <v>$</v>
          </cell>
          <cell r="AS329">
            <v>0</v>
          </cell>
          <cell r="AW329">
            <v>0</v>
          </cell>
          <cell r="AY329" t="str">
            <v>NB</v>
          </cell>
        </row>
        <row r="330">
          <cell r="AM330">
            <v>-335888.84</v>
          </cell>
          <cell r="AP330" t="str">
            <v>Bilan</v>
          </cell>
          <cell r="AQ330" t="str">
            <v>Recevables Véhicules</v>
          </cell>
          <cell r="AR330" t="str">
            <v>$</v>
          </cell>
          <cell r="AS330">
            <v>0</v>
          </cell>
          <cell r="AW330">
            <v>0</v>
          </cell>
          <cell r="AY330" t="str">
            <v>NB</v>
          </cell>
        </row>
        <row r="331">
          <cell r="AM331">
            <v>783957.80999999994</v>
          </cell>
          <cell r="AP331" t="str">
            <v>Bilan</v>
          </cell>
          <cell r="AQ331" t="str">
            <v>Recevables Véhicules</v>
          </cell>
          <cell r="AR331" t="str">
            <v>$</v>
          </cell>
          <cell r="AS331">
            <v>0</v>
          </cell>
          <cell r="AW331">
            <v>0</v>
          </cell>
          <cell r="AY331" t="str">
            <v>NB</v>
          </cell>
        </row>
        <row r="332">
          <cell r="AM332">
            <v>0</v>
          </cell>
          <cell r="AP332" t="e">
            <v>#N/A</v>
          </cell>
          <cell r="AQ332" t="e">
            <v>#N/A</v>
          </cell>
          <cell r="AR332" t="str">
            <v>$</v>
          </cell>
          <cell r="AS332" t="e">
            <v>#N/A</v>
          </cell>
          <cell r="AW332">
            <v>0</v>
          </cell>
          <cell r="AY332" t="str">
            <v>NB</v>
          </cell>
        </row>
        <row r="333">
          <cell r="AM333">
            <v>-1504210.3399999999</v>
          </cell>
          <cell r="AP333" t="str">
            <v>Bilan</v>
          </cell>
          <cell r="AQ333" t="str">
            <v>Recevables Véhicules</v>
          </cell>
          <cell r="AR333" t="str">
            <v>$</v>
          </cell>
          <cell r="AS333">
            <v>0</v>
          </cell>
          <cell r="AW333">
            <v>0</v>
          </cell>
          <cell r="AY333" t="str">
            <v>NB</v>
          </cell>
        </row>
        <row r="334">
          <cell r="AM334">
            <v>244343.28</v>
          </cell>
          <cell r="AP334" t="str">
            <v>Bilan</v>
          </cell>
          <cell r="AQ334" t="str">
            <v>Recevables Véhicules</v>
          </cell>
          <cell r="AR334" t="str">
            <v>$</v>
          </cell>
          <cell r="AS334">
            <v>0</v>
          </cell>
          <cell r="AW334">
            <v>0</v>
          </cell>
          <cell r="AY334" t="str">
            <v>NB</v>
          </cell>
        </row>
        <row r="335">
          <cell r="AM335">
            <v>0</v>
          </cell>
          <cell r="AP335" t="e">
            <v>#N/A</v>
          </cell>
          <cell r="AQ335" t="e">
            <v>#N/A</v>
          </cell>
          <cell r="AR335" t="str">
            <v>$</v>
          </cell>
          <cell r="AS335" t="e">
            <v>#N/A</v>
          </cell>
          <cell r="AW335">
            <v>0</v>
          </cell>
          <cell r="AY335" t="str">
            <v>NB</v>
          </cell>
        </row>
        <row r="336">
          <cell r="AM336">
            <v>48765.5</v>
          </cell>
          <cell r="AP336" t="str">
            <v>Bilan</v>
          </cell>
          <cell r="AQ336" t="str">
            <v>Recevables Véhicules</v>
          </cell>
          <cell r="AR336" t="str">
            <v>$</v>
          </cell>
          <cell r="AS336">
            <v>0</v>
          </cell>
          <cell r="AW336">
            <v>0</v>
          </cell>
          <cell r="AY336" t="str">
            <v>NB</v>
          </cell>
        </row>
        <row r="337">
          <cell r="AM337">
            <v>-181455.74</v>
          </cell>
          <cell r="AP337" t="str">
            <v>Bilan</v>
          </cell>
          <cell r="AQ337" t="str">
            <v>Recevables Véhicules</v>
          </cell>
          <cell r="AR337" t="str">
            <v>$</v>
          </cell>
          <cell r="AS337">
            <v>0</v>
          </cell>
          <cell r="AW337">
            <v>0</v>
          </cell>
          <cell r="AY337" t="str">
            <v>NB</v>
          </cell>
        </row>
        <row r="338">
          <cell r="AM338">
            <v>0</v>
          </cell>
          <cell r="AP338" t="str">
            <v>Bilan</v>
          </cell>
          <cell r="AQ338" t="str">
            <v>Recevables Véhicules</v>
          </cell>
          <cell r="AR338" t="str">
            <v>$</v>
          </cell>
          <cell r="AS338">
            <v>0</v>
          </cell>
          <cell r="AW338">
            <v>0</v>
          </cell>
          <cell r="AY338" t="str">
            <v>NB</v>
          </cell>
        </row>
        <row r="339">
          <cell r="AM339">
            <v>0</v>
          </cell>
          <cell r="AP339" t="str">
            <v>Bilan</v>
          </cell>
          <cell r="AQ339" t="str">
            <v>Recevables Véhicules</v>
          </cell>
          <cell r="AR339" t="str">
            <v>$</v>
          </cell>
          <cell r="AS339">
            <v>0</v>
          </cell>
          <cell r="AW339">
            <v>0</v>
          </cell>
          <cell r="AY339" t="str">
            <v>NB</v>
          </cell>
        </row>
        <row r="340">
          <cell r="AM340">
            <v>0</v>
          </cell>
          <cell r="AP340" t="e">
            <v>#N/A</v>
          </cell>
          <cell r="AQ340" t="e">
            <v>#N/A</v>
          </cell>
          <cell r="AR340" t="str">
            <v>$</v>
          </cell>
          <cell r="AS340" t="e">
            <v>#N/A</v>
          </cell>
          <cell r="AW340">
            <v>0</v>
          </cell>
          <cell r="AY340" t="str">
            <v>NB</v>
          </cell>
        </row>
        <row r="341">
          <cell r="AM341">
            <v>0</v>
          </cell>
          <cell r="AP341" t="e">
            <v>#N/A</v>
          </cell>
          <cell r="AQ341" t="e">
            <v>#N/A</v>
          </cell>
          <cell r="AR341" t="str">
            <v>$</v>
          </cell>
          <cell r="AS341" t="e">
            <v>#N/A</v>
          </cell>
          <cell r="AW341">
            <v>0</v>
          </cell>
          <cell r="AY341" t="str">
            <v>NB</v>
          </cell>
        </row>
        <row r="342">
          <cell r="AM342">
            <v>-1034421.61</v>
          </cell>
          <cell r="AP342" t="str">
            <v>Bilan</v>
          </cell>
          <cell r="AQ342" t="str">
            <v>Recevables Intercos</v>
          </cell>
          <cell r="AR342" t="str">
            <v>$</v>
          </cell>
          <cell r="AS342">
            <v>0</v>
          </cell>
          <cell r="AW342">
            <v>0</v>
          </cell>
          <cell r="AY342" t="str">
            <v>NB</v>
          </cell>
        </row>
        <row r="343">
          <cell r="AM343">
            <v>0</v>
          </cell>
          <cell r="AP343" t="str">
            <v>Bilan</v>
          </cell>
          <cell r="AQ343" t="str">
            <v>Recevables Intercos</v>
          </cell>
          <cell r="AR343" t="str">
            <v>$</v>
          </cell>
          <cell r="AS343">
            <v>0</v>
          </cell>
          <cell r="AW343">
            <v>0</v>
          </cell>
          <cell r="AY343" t="str">
            <v>NB</v>
          </cell>
        </row>
        <row r="344">
          <cell r="AM344">
            <v>-752653.65</v>
          </cell>
          <cell r="AP344" t="str">
            <v>Bilan</v>
          </cell>
          <cell r="AQ344" t="str">
            <v>Recevables Intercos</v>
          </cell>
          <cell r="AR344" t="str">
            <v>$</v>
          </cell>
          <cell r="AS344">
            <v>0</v>
          </cell>
          <cell r="AW344">
            <v>0</v>
          </cell>
          <cell r="AY344" t="str">
            <v>NB</v>
          </cell>
        </row>
        <row r="345">
          <cell r="AM345">
            <v>0</v>
          </cell>
          <cell r="AP345" t="str">
            <v>Bilan</v>
          </cell>
          <cell r="AQ345" t="str">
            <v>Recevables Intercos</v>
          </cell>
          <cell r="AR345" t="str">
            <v>$</v>
          </cell>
          <cell r="AS345">
            <v>0</v>
          </cell>
          <cell r="AW345">
            <v>0</v>
          </cell>
          <cell r="AY345" t="str">
            <v>NB</v>
          </cell>
        </row>
        <row r="346">
          <cell r="AM346">
            <v>0</v>
          </cell>
          <cell r="AP346" t="str">
            <v>Bilan</v>
          </cell>
          <cell r="AQ346" t="str">
            <v>Recevables Véhicules</v>
          </cell>
          <cell r="AR346" t="str">
            <v>$</v>
          </cell>
          <cell r="AS346">
            <v>0</v>
          </cell>
          <cell r="AW346">
            <v>0</v>
          </cell>
          <cell r="AY346" t="str">
            <v>NB</v>
          </cell>
        </row>
        <row r="347">
          <cell r="AM347">
            <v>-1051532.1399999999</v>
          </cell>
          <cell r="AP347" t="str">
            <v>Bilan</v>
          </cell>
          <cell r="AQ347" t="str">
            <v>Recevables Véhicules</v>
          </cell>
          <cell r="AR347" t="str">
            <v>$</v>
          </cell>
          <cell r="AS347">
            <v>0</v>
          </cell>
          <cell r="AW347">
            <v>0</v>
          </cell>
          <cell r="AY347" t="str">
            <v>NB</v>
          </cell>
        </row>
        <row r="348">
          <cell r="AM348">
            <v>-606890.55000000005</v>
          </cell>
          <cell r="AP348" t="str">
            <v>Bilan</v>
          </cell>
          <cell r="AQ348" t="str">
            <v>Recevables Véhicules</v>
          </cell>
          <cell r="AR348" t="str">
            <v>$</v>
          </cell>
          <cell r="AS348">
            <v>0</v>
          </cell>
          <cell r="AW348">
            <v>0</v>
          </cell>
          <cell r="AY348" t="str">
            <v>NB</v>
          </cell>
        </row>
        <row r="349">
          <cell r="AM349">
            <v>0</v>
          </cell>
          <cell r="AP349" t="str">
            <v>Bilan</v>
          </cell>
          <cell r="AQ349" t="str">
            <v>Recevables Véhicules</v>
          </cell>
          <cell r="AR349" t="str">
            <v>$</v>
          </cell>
          <cell r="AS349">
            <v>0</v>
          </cell>
          <cell r="AW349">
            <v>0</v>
          </cell>
          <cell r="AY349" t="str">
            <v>NB</v>
          </cell>
        </row>
        <row r="350">
          <cell r="AM350">
            <v>0</v>
          </cell>
          <cell r="AP350">
            <v>0</v>
          </cell>
          <cell r="AQ350">
            <v>0</v>
          </cell>
          <cell r="AR350" t="str">
            <v>$</v>
          </cell>
          <cell r="AS350">
            <v>0</v>
          </cell>
          <cell r="AW350">
            <v>0</v>
          </cell>
          <cell r="AY350" t="str">
            <v>NB</v>
          </cell>
        </row>
        <row r="351">
          <cell r="AM351">
            <v>-987400.93</v>
          </cell>
          <cell r="AP351" t="str">
            <v>Bilan</v>
          </cell>
          <cell r="AQ351" t="str">
            <v>Recevables Véhicules</v>
          </cell>
          <cell r="AR351" t="str">
            <v>$</v>
          </cell>
          <cell r="AS351">
            <v>0</v>
          </cell>
          <cell r="AW351">
            <v>0</v>
          </cell>
          <cell r="AY351" t="str">
            <v>NB</v>
          </cell>
        </row>
        <row r="352">
          <cell r="AM352">
            <v>2053576.9</v>
          </cell>
          <cell r="AP352" t="str">
            <v>Bilan</v>
          </cell>
          <cell r="AQ352" t="str">
            <v>Recevables Intercos</v>
          </cell>
          <cell r="AR352" t="str">
            <v>$</v>
          </cell>
          <cell r="AS352">
            <v>0</v>
          </cell>
          <cell r="AW352">
            <v>0</v>
          </cell>
          <cell r="AY352" t="str">
            <v>NB</v>
          </cell>
        </row>
        <row r="353">
          <cell r="AM353">
            <v>0</v>
          </cell>
          <cell r="AP353" t="str">
            <v>Bilan</v>
          </cell>
          <cell r="AQ353" t="str">
            <v>Recevables Intercos</v>
          </cell>
          <cell r="AR353" t="str">
            <v>$</v>
          </cell>
          <cell r="AS353">
            <v>0</v>
          </cell>
          <cell r="AW353">
            <v>0</v>
          </cell>
          <cell r="AY353" t="str">
            <v>NB</v>
          </cell>
        </row>
        <row r="354">
          <cell r="AM354">
            <v>24663.360000000001</v>
          </cell>
          <cell r="AP354" t="str">
            <v>Bilan</v>
          </cell>
          <cell r="AQ354" t="str">
            <v>Recevables Véhicules</v>
          </cell>
          <cell r="AR354" t="str">
            <v>$</v>
          </cell>
          <cell r="AS354">
            <v>0</v>
          </cell>
          <cell r="AW354">
            <v>0</v>
          </cell>
          <cell r="AY354" t="str">
            <v>NB</v>
          </cell>
        </row>
        <row r="355">
          <cell r="AM355">
            <v>142.55999999999767</v>
          </cell>
          <cell r="AP355" t="str">
            <v>Bilan</v>
          </cell>
          <cell r="AQ355" t="str">
            <v>Recevables Intercos</v>
          </cell>
          <cell r="AR355" t="str">
            <v>$</v>
          </cell>
          <cell r="AS355">
            <v>0</v>
          </cell>
          <cell r="AW355">
            <v>0</v>
          </cell>
          <cell r="AY355" t="str">
            <v>NB</v>
          </cell>
        </row>
        <row r="356">
          <cell r="AM356">
            <v>0</v>
          </cell>
          <cell r="AP356" t="str">
            <v>Bilan</v>
          </cell>
          <cell r="AQ356" t="str">
            <v>Recevables Intercos</v>
          </cell>
          <cell r="AR356" t="str">
            <v>$</v>
          </cell>
          <cell r="AS356">
            <v>0</v>
          </cell>
          <cell r="AW356">
            <v>0</v>
          </cell>
          <cell r="AY356" t="str">
            <v>NB</v>
          </cell>
        </row>
        <row r="357">
          <cell r="AM357">
            <v>-1444.68</v>
          </cell>
          <cell r="AP357" t="str">
            <v>Bilan</v>
          </cell>
          <cell r="AQ357" t="str">
            <v>Recevables Intercos</v>
          </cell>
          <cell r="AR357" t="str">
            <v>$</v>
          </cell>
          <cell r="AS357">
            <v>0</v>
          </cell>
          <cell r="AW357">
            <v>0</v>
          </cell>
          <cell r="AY357" t="str">
            <v>NB</v>
          </cell>
        </row>
        <row r="358">
          <cell r="AM358">
            <v>0</v>
          </cell>
          <cell r="AP358" t="str">
            <v>Bilan</v>
          </cell>
          <cell r="AQ358" t="str">
            <v>Recevables Intercos</v>
          </cell>
          <cell r="AR358" t="str">
            <v>$</v>
          </cell>
          <cell r="AS358">
            <v>0</v>
          </cell>
          <cell r="AW358">
            <v>0</v>
          </cell>
          <cell r="AY358" t="str">
            <v>NB</v>
          </cell>
        </row>
        <row r="359">
          <cell r="AM359">
            <v>0</v>
          </cell>
          <cell r="AP359">
            <v>0</v>
          </cell>
          <cell r="AQ359">
            <v>0</v>
          </cell>
          <cell r="AR359" t="str">
            <v>$</v>
          </cell>
          <cell r="AS359">
            <v>0</v>
          </cell>
          <cell r="AW359">
            <v>0</v>
          </cell>
          <cell r="AY359" t="str">
            <v>NB</v>
          </cell>
        </row>
        <row r="360">
          <cell r="AM360">
            <v>0</v>
          </cell>
          <cell r="AP360" t="str">
            <v>Bilan</v>
          </cell>
          <cell r="AQ360" t="str">
            <v>Recevables Intercos</v>
          </cell>
          <cell r="AR360" t="str">
            <v>$</v>
          </cell>
          <cell r="AS360">
            <v>0</v>
          </cell>
          <cell r="AW360">
            <v>0</v>
          </cell>
          <cell r="AY360" t="str">
            <v>NB</v>
          </cell>
        </row>
        <row r="361">
          <cell r="AM361">
            <v>0</v>
          </cell>
          <cell r="AP361" t="e">
            <v>#N/A</v>
          </cell>
          <cell r="AQ361" t="e">
            <v>#N/A</v>
          </cell>
          <cell r="AR361" t="str">
            <v>$</v>
          </cell>
          <cell r="AS361" t="e">
            <v>#N/A</v>
          </cell>
          <cell r="AW361">
            <v>0</v>
          </cell>
          <cell r="AY361" t="str">
            <v>NB</v>
          </cell>
        </row>
        <row r="362">
          <cell r="AM362">
            <v>0</v>
          </cell>
          <cell r="AP362">
            <v>0</v>
          </cell>
          <cell r="AQ362">
            <v>0</v>
          </cell>
          <cell r="AR362" t="str">
            <v>$</v>
          </cell>
          <cell r="AS362">
            <v>0</v>
          </cell>
          <cell r="AW362">
            <v>0</v>
          </cell>
          <cell r="AY362" t="str">
            <v>NB</v>
          </cell>
        </row>
        <row r="363">
          <cell r="AM363">
            <v>-5206.1099999998696</v>
          </cell>
          <cell r="AP363" t="str">
            <v>Bilan</v>
          </cell>
          <cell r="AQ363" t="str">
            <v>Recevables Intercos</v>
          </cell>
          <cell r="AR363" t="str">
            <v>$</v>
          </cell>
          <cell r="AS363">
            <v>0</v>
          </cell>
          <cell r="AW363">
            <v>0</v>
          </cell>
          <cell r="AY363" t="str">
            <v>NB</v>
          </cell>
        </row>
        <row r="364">
          <cell r="AM364">
            <v>0</v>
          </cell>
          <cell r="AP364" t="str">
            <v>Bilan</v>
          </cell>
          <cell r="AQ364" t="str">
            <v>Recevables Véhicules</v>
          </cell>
          <cell r="AR364" t="str">
            <v>$</v>
          </cell>
          <cell r="AS364">
            <v>0</v>
          </cell>
          <cell r="AW364">
            <v>0</v>
          </cell>
          <cell r="AY364" t="str">
            <v>NB</v>
          </cell>
        </row>
        <row r="365">
          <cell r="AM365">
            <v>0</v>
          </cell>
          <cell r="AP365" t="str">
            <v>Bilan</v>
          </cell>
          <cell r="AQ365" t="str">
            <v>Recevables Véhicules</v>
          </cell>
          <cell r="AR365" t="str">
            <v>$</v>
          </cell>
          <cell r="AS365">
            <v>0</v>
          </cell>
          <cell r="AW365">
            <v>0</v>
          </cell>
          <cell r="AY365" t="str">
            <v>NB</v>
          </cell>
        </row>
        <row r="366">
          <cell r="AM366">
            <v>0</v>
          </cell>
          <cell r="AP366" t="e">
            <v>#N/A</v>
          </cell>
          <cell r="AQ366" t="e">
            <v>#N/A</v>
          </cell>
          <cell r="AR366" t="str">
            <v>$</v>
          </cell>
          <cell r="AS366" t="e">
            <v>#N/A</v>
          </cell>
          <cell r="AW366">
            <v>0</v>
          </cell>
          <cell r="AY366" t="str">
            <v>NB</v>
          </cell>
        </row>
        <row r="367">
          <cell r="AM367">
            <v>0</v>
          </cell>
          <cell r="AP367" t="str">
            <v>Bilan</v>
          </cell>
          <cell r="AQ367" t="str">
            <v>Encaisse</v>
          </cell>
          <cell r="AR367" t="str">
            <v>$</v>
          </cell>
          <cell r="AS367">
            <v>0</v>
          </cell>
          <cell r="AW367">
            <v>0</v>
          </cell>
          <cell r="AY367" t="str">
            <v>NB</v>
          </cell>
        </row>
        <row r="368">
          <cell r="AM368">
            <v>0</v>
          </cell>
          <cell r="AP368" t="str">
            <v>Bilan</v>
          </cell>
          <cell r="AQ368" t="str">
            <v>Encaisse</v>
          </cell>
          <cell r="AR368" t="str">
            <v>$</v>
          </cell>
          <cell r="AS368">
            <v>0</v>
          </cell>
          <cell r="AW368">
            <v>0</v>
          </cell>
          <cell r="AY368" t="str">
            <v>NB</v>
          </cell>
        </row>
        <row r="369">
          <cell r="AM369">
            <v>0</v>
          </cell>
          <cell r="AP369" t="str">
            <v>Bilan</v>
          </cell>
          <cell r="AQ369" t="str">
            <v>Encaisse</v>
          </cell>
          <cell r="AR369" t="str">
            <v>$</v>
          </cell>
          <cell r="AS369">
            <v>0</v>
          </cell>
          <cell r="AW369">
            <v>0</v>
          </cell>
          <cell r="AY369" t="str">
            <v>NB</v>
          </cell>
        </row>
        <row r="370">
          <cell r="AM370">
            <v>0</v>
          </cell>
          <cell r="AP370" t="str">
            <v>Bilan</v>
          </cell>
          <cell r="AQ370" t="str">
            <v>Encaisse</v>
          </cell>
          <cell r="AR370" t="str">
            <v>$</v>
          </cell>
          <cell r="AS370">
            <v>0</v>
          </cell>
          <cell r="AW370">
            <v>0</v>
          </cell>
          <cell r="AY370" t="str">
            <v>NB</v>
          </cell>
        </row>
        <row r="371">
          <cell r="AM371">
            <v>0</v>
          </cell>
          <cell r="AP371" t="str">
            <v>Bilan</v>
          </cell>
          <cell r="AQ371" t="str">
            <v>Encaisse</v>
          </cell>
          <cell r="AR371" t="str">
            <v>$</v>
          </cell>
          <cell r="AS371">
            <v>0</v>
          </cell>
          <cell r="AW371">
            <v>0</v>
          </cell>
          <cell r="AY371" t="str">
            <v>NB</v>
          </cell>
        </row>
        <row r="372">
          <cell r="AM372">
            <v>0</v>
          </cell>
          <cell r="AP372" t="str">
            <v>Bilan</v>
          </cell>
          <cell r="AQ372" t="str">
            <v>Encaisse</v>
          </cell>
          <cell r="AR372" t="str">
            <v>$</v>
          </cell>
          <cell r="AS372">
            <v>0</v>
          </cell>
          <cell r="AW372">
            <v>0</v>
          </cell>
          <cell r="AY372" t="str">
            <v>NB</v>
          </cell>
        </row>
        <row r="373">
          <cell r="AM373">
            <v>0</v>
          </cell>
          <cell r="AP373" t="e">
            <v>#N/A</v>
          </cell>
          <cell r="AQ373" t="e">
            <v>#N/A</v>
          </cell>
          <cell r="AR373" t="str">
            <v>$</v>
          </cell>
          <cell r="AS373" t="e">
            <v>#N/A</v>
          </cell>
          <cell r="AW373">
            <v>0</v>
          </cell>
          <cell r="AY373" t="str">
            <v>NB</v>
          </cell>
        </row>
        <row r="374">
          <cell r="AM374">
            <v>0</v>
          </cell>
          <cell r="AP374" t="str">
            <v>Bilan</v>
          </cell>
          <cell r="AQ374" t="str">
            <v>Inventaire Véhicules Neufs</v>
          </cell>
          <cell r="AR374" t="str">
            <v>$</v>
          </cell>
          <cell r="AS374">
            <v>0</v>
          </cell>
          <cell r="AW374">
            <v>0</v>
          </cell>
          <cell r="AY374" t="str">
            <v>NB</v>
          </cell>
        </row>
        <row r="375">
          <cell r="AM375">
            <v>0</v>
          </cell>
          <cell r="AP375" t="e">
            <v>#N/A</v>
          </cell>
          <cell r="AQ375" t="e">
            <v>#N/A</v>
          </cell>
          <cell r="AR375" t="str">
            <v>$</v>
          </cell>
          <cell r="AS375" t="e">
            <v>#N/A</v>
          </cell>
          <cell r="AW375">
            <v>0</v>
          </cell>
          <cell r="AY375" t="str">
            <v>NB</v>
          </cell>
        </row>
        <row r="376">
          <cell r="AM376">
            <v>-1606803.9199999981</v>
          </cell>
          <cell r="AP376" t="str">
            <v>Bilan</v>
          </cell>
          <cell r="AQ376" t="str">
            <v>Inventaire Véhicules Neufs</v>
          </cell>
          <cell r="AR376" t="str">
            <v>$</v>
          </cell>
          <cell r="AS376">
            <v>0</v>
          </cell>
          <cell r="AW376">
            <v>0</v>
          </cell>
          <cell r="AY376" t="str">
            <v>NB</v>
          </cell>
        </row>
        <row r="377">
          <cell r="AM377">
            <v>-139186.41999999998</v>
          </cell>
          <cell r="AP377" t="str">
            <v>Bilan</v>
          </cell>
          <cell r="AQ377" t="str">
            <v>Inventaire Véhicules Usagés</v>
          </cell>
          <cell r="AR377" t="str">
            <v>$</v>
          </cell>
          <cell r="AS377">
            <v>0</v>
          </cell>
          <cell r="AW377">
            <v>0</v>
          </cell>
          <cell r="AY377" t="str">
            <v>NB</v>
          </cell>
        </row>
        <row r="378">
          <cell r="AM378">
            <v>0</v>
          </cell>
          <cell r="AP378" t="e">
            <v>#N/A</v>
          </cell>
          <cell r="AQ378" t="e">
            <v>#N/A</v>
          </cell>
          <cell r="AR378" t="str">
            <v>$</v>
          </cell>
          <cell r="AS378" t="e">
            <v>#N/A</v>
          </cell>
          <cell r="AW378">
            <v>0</v>
          </cell>
          <cell r="AY378" t="str">
            <v>NB</v>
          </cell>
        </row>
        <row r="379">
          <cell r="AM379">
            <v>744923.8200000003</v>
          </cell>
          <cell r="AP379" t="str">
            <v>Bilan</v>
          </cell>
          <cell r="AQ379" t="str">
            <v>Inventaire Véhicules Usagés</v>
          </cell>
          <cell r="AR379" t="str">
            <v>$</v>
          </cell>
          <cell r="AS379">
            <v>0</v>
          </cell>
          <cell r="AW379">
            <v>0</v>
          </cell>
          <cell r="AY379" t="str">
            <v>NB</v>
          </cell>
        </row>
        <row r="380">
          <cell r="AM380">
            <v>-2299960.5999999996</v>
          </cell>
          <cell r="AP380" t="str">
            <v>Bilan</v>
          </cell>
          <cell r="AQ380" t="str">
            <v>Inventaire Véhicules Usagés</v>
          </cell>
          <cell r="AR380" t="str">
            <v>$</v>
          </cell>
          <cell r="AS380">
            <v>0</v>
          </cell>
          <cell r="AW380">
            <v>0</v>
          </cell>
          <cell r="AY380" t="str">
            <v>NB</v>
          </cell>
        </row>
        <row r="381">
          <cell r="AM381">
            <v>0</v>
          </cell>
          <cell r="AP381" t="e">
            <v>#N/A</v>
          </cell>
          <cell r="AQ381" t="e">
            <v>#N/A</v>
          </cell>
          <cell r="AR381" t="str">
            <v>$</v>
          </cell>
          <cell r="AS381" t="e">
            <v>#N/A</v>
          </cell>
          <cell r="AW381">
            <v>0</v>
          </cell>
          <cell r="AY381" t="str">
            <v>NB</v>
          </cell>
        </row>
        <row r="382">
          <cell r="AM382">
            <v>28192.430000000022</v>
          </cell>
          <cell r="AP382" t="str">
            <v>Bilan</v>
          </cell>
          <cell r="AQ382" t="str">
            <v>Inventaire Pièces, Pneus, Huile</v>
          </cell>
          <cell r="AR382" t="str">
            <v>$</v>
          </cell>
          <cell r="AS382">
            <v>0</v>
          </cell>
          <cell r="AW382">
            <v>0</v>
          </cell>
          <cell r="AY382" t="str">
            <v>NB</v>
          </cell>
        </row>
        <row r="383">
          <cell r="AM383">
            <v>3342.4800000000105</v>
          </cell>
          <cell r="AP383" t="str">
            <v>Bilan</v>
          </cell>
          <cell r="AQ383" t="str">
            <v>Inventaire Pièces, Pneus, Huile</v>
          </cell>
          <cell r="AR383" t="str">
            <v>$</v>
          </cell>
          <cell r="AS383">
            <v>0</v>
          </cell>
          <cell r="AW383">
            <v>0</v>
          </cell>
          <cell r="AY383" t="str">
            <v>NB</v>
          </cell>
        </row>
        <row r="384">
          <cell r="AM384">
            <v>0</v>
          </cell>
          <cell r="AP384" t="e">
            <v>#N/A</v>
          </cell>
          <cell r="AQ384" t="e">
            <v>#N/A</v>
          </cell>
          <cell r="AR384" t="str">
            <v>$</v>
          </cell>
          <cell r="AS384" t="e">
            <v>#N/A</v>
          </cell>
          <cell r="AW384">
            <v>0</v>
          </cell>
          <cell r="AY384" t="str">
            <v>NB</v>
          </cell>
        </row>
        <row r="385">
          <cell r="AM385">
            <v>0</v>
          </cell>
          <cell r="AP385" t="str">
            <v>Bilan</v>
          </cell>
          <cell r="AQ385" t="str">
            <v>Inventaire Pièces, Pneus, Huile</v>
          </cell>
          <cell r="AR385" t="str">
            <v>$</v>
          </cell>
          <cell r="AS385">
            <v>0</v>
          </cell>
          <cell r="AW385">
            <v>0</v>
          </cell>
          <cell r="AY385" t="str">
            <v>NB</v>
          </cell>
        </row>
        <row r="386">
          <cell r="AM386">
            <v>-1211.3399999999965</v>
          </cell>
          <cell r="AP386" t="str">
            <v>Bilan</v>
          </cell>
          <cell r="AQ386" t="str">
            <v>Inventaire Pièces, Pneus, Huile</v>
          </cell>
          <cell r="AR386" t="str">
            <v>$</v>
          </cell>
          <cell r="AS386">
            <v>0</v>
          </cell>
          <cell r="AW386">
            <v>0</v>
          </cell>
          <cell r="AY386" t="str">
            <v>NB</v>
          </cell>
        </row>
        <row r="387">
          <cell r="AM387">
            <v>1769.76</v>
          </cell>
          <cell r="AP387" t="str">
            <v>Bilan</v>
          </cell>
          <cell r="AQ387" t="str">
            <v>Sous-Traitance</v>
          </cell>
          <cell r="AR387" t="str">
            <v>$</v>
          </cell>
          <cell r="AS387">
            <v>0</v>
          </cell>
          <cell r="AW387">
            <v>0</v>
          </cell>
          <cell r="AY387" t="str">
            <v>NB</v>
          </cell>
        </row>
        <row r="388">
          <cell r="AM388">
            <v>-18596.16</v>
          </cell>
          <cell r="AP388" t="str">
            <v>Bilan</v>
          </cell>
          <cell r="AQ388" t="str">
            <v>Sous-Traitance</v>
          </cell>
          <cell r="AR388" t="str">
            <v>$</v>
          </cell>
          <cell r="AS388">
            <v>0</v>
          </cell>
          <cell r="AW388">
            <v>0</v>
          </cell>
          <cell r="AY388" t="str">
            <v>NB</v>
          </cell>
        </row>
        <row r="389">
          <cell r="AM389">
            <v>6661.6900000000005</v>
          </cell>
          <cell r="AP389" t="str">
            <v>Bilan</v>
          </cell>
          <cell r="AQ389" t="str">
            <v>Travaux en Cours</v>
          </cell>
          <cell r="AR389" t="str">
            <v>$</v>
          </cell>
          <cell r="AS389">
            <v>0</v>
          </cell>
          <cell r="AW389">
            <v>0</v>
          </cell>
          <cell r="AY389" t="str">
            <v>NB</v>
          </cell>
        </row>
        <row r="390">
          <cell r="AM390">
            <v>-852.21</v>
          </cell>
          <cell r="AP390" t="str">
            <v>Bilan</v>
          </cell>
          <cell r="AQ390" t="str">
            <v>Travaux en Cours</v>
          </cell>
          <cell r="AR390" t="str">
            <v>$</v>
          </cell>
          <cell r="AS390">
            <v>0</v>
          </cell>
          <cell r="AW390">
            <v>0</v>
          </cell>
          <cell r="AY390" t="str">
            <v>NB</v>
          </cell>
        </row>
        <row r="391">
          <cell r="AM391">
            <v>-35500</v>
          </cell>
          <cell r="AP391" t="str">
            <v>Bilan</v>
          </cell>
          <cell r="AQ391" t="str">
            <v>Recevables Autres</v>
          </cell>
          <cell r="AR391" t="str">
            <v>$</v>
          </cell>
          <cell r="AS391">
            <v>0</v>
          </cell>
          <cell r="AW391">
            <v>0</v>
          </cell>
          <cell r="AY391" t="str">
            <v>NB</v>
          </cell>
        </row>
        <row r="392">
          <cell r="AM392">
            <v>0</v>
          </cell>
          <cell r="AP392" t="e">
            <v>#N/A</v>
          </cell>
          <cell r="AQ392" t="e">
            <v>#N/A</v>
          </cell>
          <cell r="AR392" t="str">
            <v>$</v>
          </cell>
          <cell r="AS392" t="e">
            <v>#N/A</v>
          </cell>
          <cell r="AW392">
            <v>0</v>
          </cell>
          <cell r="AY392" t="str">
            <v>NB</v>
          </cell>
        </row>
        <row r="393">
          <cell r="AM393">
            <v>0</v>
          </cell>
          <cell r="AP393">
            <v>0</v>
          </cell>
          <cell r="AQ393">
            <v>0</v>
          </cell>
          <cell r="AR393" t="str">
            <v>$</v>
          </cell>
          <cell r="AS393">
            <v>0</v>
          </cell>
          <cell r="AW393">
            <v>0</v>
          </cell>
          <cell r="AY393" t="str">
            <v>NB</v>
          </cell>
        </row>
        <row r="394">
          <cell r="AM394">
            <v>0</v>
          </cell>
          <cell r="AP394" t="str">
            <v>Bilan</v>
          </cell>
          <cell r="AQ394" t="str">
            <v>Encaisse</v>
          </cell>
          <cell r="AR394" t="str">
            <v>$</v>
          </cell>
          <cell r="AS394">
            <v>0</v>
          </cell>
          <cell r="AW394">
            <v>0</v>
          </cell>
          <cell r="AY394" t="str">
            <v>NB</v>
          </cell>
        </row>
        <row r="395">
          <cell r="AM395">
            <v>14884.310000000001</v>
          </cell>
          <cell r="AP395" t="str">
            <v>Bilan</v>
          </cell>
          <cell r="AQ395" t="str">
            <v>Recevables Manufacturier</v>
          </cell>
          <cell r="AR395" t="str">
            <v>$</v>
          </cell>
          <cell r="AS395">
            <v>0</v>
          </cell>
          <cell r="AW395">
            <v>0</v>
          </cell>
          <cell r="AY395" t="str">
            <v>NB</v>
          </cell>
        </row>
        <row r="396">
          <cell r="AM396">
            <v>-15194.98000000004</v>
          </cell>
          <cell r="AP396" t="str">
            <v>Bilan</v>
          </cell>
          <cell r="AQ396" t="str">
            <v>Recevables Manufacturier</v>
          </cell>
          <cell r="AR396" t="str">
            <v>$</v>
          </cell>
          <cell r="AS396">
            <v>0</v>
          </cell>
          <cell r="AW396">
            <v>0</v>
          </cell>
          <cell r="AY396" t="str">
            <v>NB</v>
          </cell>
        </row>
        <row r="397">
          <cell r="AM397">
            <v>-457859.86</v>
          </cell>
          <cell r="AP397" t="str">
            <v>Bilan</v>
          </cell>
          <cell r="AQ397" t="str">
            <v>Recevables Manufacturier</v>
          </cell>
          <cell r="AR397" t="str">
            <v>$</v>
          </cell>
          <cell r="AS397">
            <v>0</v>
          </cell>
          <cell r="AW397">
            <v>0</v>
          </cell>
          <cell r="AY397" t="str">
            <v>NB</v>
          </cell>
        </row>
        <row r="398">
          <cell r="AM398">
            <v>-2994.3999999999996</v>
          </cell>
          <cell r="AP398" t="str">
            <v>Bilan</v>
          </cell>
          <cell r="AQ398" t="str">
            <v>Frais Payés d'Avance</v>
          </cell>
          <cell r="AR398" t="str">
            <v>$</v>
          </cell>
          <cell r="AS398">
            <v>0</v>
          </cell>
          <cell r="AW398">
            <v>0</v>
          </cell>
          <cell r="AY398" t="str">
            <v>NB</v>
          </cell>
        </row>
        <row r="399">
          <cell r="AM399">
            <v>-24746.690000000002</v>
          </cell>
          <cell r="AP399" t="str">
            <v>Bilan</v>
          </cell>
          <cell r="AQ399" t="str">
            <v>Recevables Garantie Manufacturier</v>
          </cell>
          <cell r="AR399" t="str">
            <v>$</v>
          </cell>
          <cell r="AS399">
            <v>0</v>
          </cell>
          <cell r="AW399">
            <v>0</v>
          </cell>
          <cell r="AY399" t="str">
            <v>NB</v>
          </cell>
        </row>
        <row r="400">
          <cell r="AM400">
            <v>0</v>
          </cell>
          <cell r="AP400" t="e">
            <v>#N/A</v>
          </cell>
          <cell r="AQ400" t="e">
            <v>#N/A</v>
          </cell>
          <cell r="AR400" t="str">
            <v>$</v>
          </cell>
          <cell r="AS400" t="e">
            <v>#N/A</v>
          </cell>
          <cell r="AW400">
            <v>0</v>
          </cell>
          <cell r="AY400" t="str">
            <v>NB</v>
          </cell>
        </row>
        <row r="401">
          <cell r="AM401">
            <v>0</v>
          </cell>
          <cell r="AP401" t="e">
            <v>#N/A</v>
          </cell>
          <cell r="AQ401" t="e">
            <v>#N/A</v>
          </cell>
          <cell r="AR401" t="str">
            <v>$</v>
          </cell>
          <cell r="AS401" t="e">
            <v>#N/A</v>
          </cell>
          <cell r="AW401">
            <v>0</v>
          </cell>
          <cell r="AY401" t="str">
            <v>NB</v>
          </cell>
        </row>
        <row r="402">
          <cell r="AM402">
            <v>0</v>
          </cell>
          <cell r="AP402" t="e">
            <v>#N/A</v>
          </cell>
          <cell r="AQ402" t="e">
            <v>#N/A</v>
          </cell>
          <cell r="AR402" t="str">
            <v>$</v>
          </cell>
          <cell r="AS402" t="e">
            <v>#N/A</v>
          </cell>
          <cell r="AW402">
            <v>0</v>
          </cell>
          <cell r="AY402" t="str">
            <v>NB</v>
          </cell>
        </row>
        <row r="403">
          <cell r="AM403">
            <v>-1872876.37</v>
          </cell>
          <cell r="AP403" t="str">
            <v>Bilan</v>
          </cell>
          <cell r="AQ403" t="str">
            <v>Recevables Autres</v>
          </cell>
          <cell r="AR403" t="str">
            <v>$</v>
          </cell>
          <cell r="AS403">
            <v>0</v>
          </cell>
          <cell r="AW403">
            <v>0</v>
          </cell>
          <cell r="AY403" t="str">
            <v>NB</v>
          </cell>
        </row>
        <row r="404">
          <cell r="AM404">
            <v>-27927.129999999997</v>
          </cell>
          <cell r="AP404" t="str">
            <v>Bilan</v>
          </cell>
          <cell r="AQ404" t="str">
            <v>Frais Payés d'Avance</v>
          </cell>
          <cell r="AR404" t="str">
            <v>$</v>
          </cell>
          <cell r="AS404">
            <v>0</v>
          </cell>
          <cell r="AW404">
            <v>0</v>
          </cell>
          <cell r="AY404" t="str">
            <v>NB</v>
          </cell>
        </row>
        <row r="405">
          <cell r="AM405">
            <v>-13073.610000000008</v>
          </cell>
          <cell r="AP405" t="str">
            <v>Bilan</v>
          </cell>
          <cell r="AQ405" t="str">
            <v>Frais Payés d'Avance</v>
          </cell>
          <cell r="AR405" t="str">
            <v>$</v>
          </cell>
          <cell r="AS405">
            <v>0</v>
          </cell>
          <cell r="AW405">
            <v>0</v>
          </cell>
          <cell r="AY405" t="str">
            <v>NB</v>
          </cell>
        </row>
        <row r="406">
          <cell r="AM406">
            <v>33010.649999999907</v>
          </cell>
          <cell r="AP406" t="str">
            <v>Bilan</v>
          </cell>
          <cell r="AQ406" t="str">
            <v>Frais Payés d'Avance</v>
          </cell>
          <cell r="AR406" t="str">
            <v>$</v>
          </cell>
          <cell r="AS406">
            <v>0</v>
          </cell>
          <cell r="AW406">
            <v>0</v>
          </cell>
          <cell r="AY406" t="str">
            <v>NB</v>
          </cell>
        </row>
        <row r="407">
          <cell r="AM407">
            <v>0</v>
          </cell>
          <cell r="AP407" t="e">
            <v>#N/A</v>
          </cell>
          <cell r="AQ407" t="e">
            <v>#N/A</v>
          </cell>
          <cell r="AR407" t="str">
            <v>$</v>
          </cell>
          <cell r="AS407" t="e">
            <v>#N/A</v>
          </cell>
          <cell r="AW407">
            <v>0</v>
          </cell>
          <cell r="AY407" t="str">
            <v>NB</v>
          </cell>
        </row>
        <row r="408">
          <cell r="AM408">
            <v>0</v>
          </cell>
          <cell r="AP408" t="e">
            <v>#N/A</v>
          </cell>
          <cell r="AQ408" t="e">
            <v>#N/A</v>
          </cell>
          <cell r="AR408" t="str">
            <v>$</v>
          </cell>
          <cell r="AS408" t="e">
            <v>#N/A</v>
          </cell>
          <cell r="AW408">
            <v>0</v>
          </cell>
          <cell r="AY408" t="str">
            <v>NB</v>
          </cell>
        </row>
        <row r="409">
          <cell r="AM409">
            <v>0</v>
          </cell>
          <cell r="AP409">
            <v>0</v>
          </cell>
          <cell r="AQ409">
            <v>0</v>
          </cell>
          <cell r="AR409" t="str">
            <v>$</v>
          </cell>
          <cell r="AS409">
            <v>0</v>
          </cell>
          <cell r="AW409">
            <v>0</v>
          </cell>
          <cell r="AY409" t="str">
            <v>NB</v>
          </cell>
        </row>
        <row r="410">
          <cell r="AM410">
            <v>2469.2900000000373</v>
          </cell>
          <cell r="AP410" t="str">
            <v>Bilan</v>
          </cell>
          <cell r="AQ410" t="str">
            <v>Équipements Service</v>
          </cell>
          <cell r="AR410" t="str">
            <v>$</v>
          </cell>
          <cell r="AS410">
            <v>0</v>
          </cell>
          <cell r="AW410">
            <v>0</v>
          </cell>
          <cell r="AY410" t="str">
            <v>NB</v>
          </cell>
        </row>
        <row r="411">
          <cell r="AM411">
            <v>0</v>
          </cell>
          <cell r="AP411" t="str">
            <v>Bilan</v>
          </cell>
          <cell r="AQ411" t="str">
            <v>Équipements Service</v>
          </cell>
          <cell r="AR411" t="str">
            <v>$</v>
          </cell>
          <cell r="AS411">
            <v>0</v>
          </cell>
          <cell r="AW411">
            <v>0</v>
          </cell>
          <cell r="AY411" t="str">
            <v>NB</v>
          </cell>
        </row>
        <row r="412">
          <cell r="AM412">
            <v>1680.8099999999977</v>
          </cell>
          <cell r="AP412" t="str">
            <v>Bilan</v>
          </cell>
          <cell r="AQ412" t="str">
            <v>Mobilier</v>
          </cell>
          <cell r="AR412" t="str">
            <v>$</v>
          </cell>
          <cell r="AS412">
            <v>0</v>
          </cell>
          <cell r="AW412">
            <v>0</v>
          </cell>
          <cell r="AY412" t="str">
            <v>NB</v>
          </cell>
        </row>
        <row r="413">
          <cell r="AM413">
            <v>0</v>
          </cell>
          <cell r="AP413" t="str">
            <v>Bilan</v>
          </cell>
          <cell r="AQ413" t="str">
            <v>Équipements Service</v>
          </cell>
          <cell r="AR413" t="str">
            <v>$</v>
          </cell>
          <cell r="AS413">
            <v>0</v>
          </cell>
          <cell r="AW413">
            <v>0</v>
          </cell>
          <cell r="AY413" t="str">
            <v>NB</v>
          </cell>
        </row>
        <row r="414">
          <cell r="AM414">
            <v>0</v>
          </cell>
          <cell r="AP414" t="str">
            <v>Bilan</v>
          </cell>
          <cell r="AQ414" t="str">
            <v>Améliorations Locatives</v>
          </cell>
          <cell r="AR414" t="str">
            <v>$</v>
          </cell>
          <cell r="AS414">
            <v>0</v>
          </cell>
          <cell r="AW414">
            <v>0</v>
          </cell>
          <cell r="AY414" t="str">
            <v>NB</v>
          </cell>
        </row>
        <row r="415">
          <cell r="AM415">
            <v>0</v>
          </cell>
          <cell r="AP415" t="str">
            <v>Bilan</v>
          </cell>
          <cell r="AQ415" t="str">
            <v>Équipements Informatique</v>
          </cell>
          <cell r="AR415" t="str">
            <v>$</v>
          </cell>
          <cell r="AS415">
            <v>0</v>
          </cell>
          <cell r="AW415">
            <v>0</v>
          </cell>
          <cell r="AY415" t="str">
            <v>NB</v>
          </cell>
        </row>
        <row r="416">
          <cell r="AM416">
            <v>0</v>
          </cell>
          <cell r="AP416" t="str">
            <v>Bilan</v>
          </cell>
          <cell r="AQ416" t="str">
            <v>Enseigne</v>
          </cell>
          <cell r="AR416" t="str">
            <v>$</v>
          </cell>
          <cell r="AS416">
            <v>0</v>
          </cell>
          <cell r="AW416">
            <v>0</v>
          </cell>
          <cell r="AY416" t="str">
            <v>NB</v>
          </cell>
        </row>
        <row r="417">
          <cell r="AM417">
            <v>0</v>
          </cell>
          <cell r="AP417">
            <v>0</v>
          </cell>
          <cell r="AQ417">
            <v>0</v>
          </cell>
          <cell r="AR417" t="str">
            <v>$</v>
          </cell>
          <cell r="AS417">
            <v>0</v>
          </cell>
          <cell r="AW417">
            <v>0</v>
          </cell>
          <cell r="AY417" t="str">
            <v>NB</v>
          </cell>
        </row>
        <row r="418">
          <cell r="AM418">
            <v>0</v>
          </cell>
          <cell r="AP418" t="str">
            <v>Bilan</v>
          </cell>
          <cell r="AQ418" t="str">
            <v>Avances à Recevoir Long Terme</v>
          </cell>
          <cell r="AR418" t="str">
            <v>$</v>
          </cell>
          <cell r="AS418">
            <v>0</v>
          </cell>
          <cell r="AW418">
            <v>0</v>
          </cell>
          <cell r="AY418" t="str">
            <v>NB</v>
          </cell>
        </row>
        <row r="419">
          <cell r="AM419">
            <v>2000000</v>
          </cell>
          <cell r="AP419" t="str">
            <v>Bilan</v>
          </cell>
          <cell r="AQ419" t="str">
            <v>Encaisse</v>
          </cell>
          <cell r="AR419" t="str">
            <v>$</v>
          </cell>
          <cell r="AS419">
            <v>0</v>
          </cell>
          <cell r="AW419">
            <v>0</v>
          </cell>
          <cell r="AY419" t="str">
            <v>NB</v>
          </cell>
        </row>
        <row r="420">
          <cell r="AM420">
            <v>0</v>
          </cell>
          <cell r="AP420" t="str">
            <v>Bilan</v>
          </cell>
          <cell r="AQ420" t="str">
            <v>Avances à Recevoir Long Terme</v>
          </cell>
          <cell r="AR420" t="str">
            <v>$</v>
          </cell>
          <cell r="AS420">
            <v>0</v>
          </cell>
          <cell r="AW420">
            <v>0</v>
          </cell>
          <cell r="AY420" t="str">
            <v>NB</v>
          </cell>
        </row>
        <row r="421">
          <cell r="AM421">
            <v>0</v>
          </cell>
          <cell r="AP421" t="str">
            <v>Bilan</v>
          </cell>
          <cell r="AQ421" t="str">
            <v>Avances à Recevoir Long Terme</v>
          </cell>
          <cell r="AR421" t="str">
            <v>$</v>
          </cell>
          <cell r="AS421">
            <v>0</v>
          </cell>
          <cell r="AW421">
            <v>0</v>
          </cell>
          <cell r="AY421" t="str">
            <v>NB</v>
          </cell>
        </row>
        <row r="422">
          <cell r="AM422">
            <v>436101.47</v>
          </cell>
          <cell r="AP422" t="str">
            <v>Bilan</v>
          </cell>
          <cell r="AQ422" t="str">
            <v>Comptes à Payer Fournisseurs</v>
          </cell>
          <cell r="AR422" t="str">
            <v>$</v>
          </cell>
          <cell r="AS422">
            <v>0</v>
          </cell>
          <cell r="AW422">
            <v>0</v>
          </cell>
          <cell r="AY422" t="str">
            <v>NB</v>
          </cell>
        </row>
        <row r="423">
          <cell r="AM423">
            <v>0</v>
          </cell>
          <cell r="AP423" t="e">
            <v>#N/A</v>
          </cell>
          <cell r="AQ423" t="e">
            <v>#N/A</v>
          </cell>
          <cell r="AR423" t="str">
            <v>$</v>
          </cell>
          <cell r="AS423" t="e">
            <v>#N/A</v>
          </cell>
          <cell r="AW423">
            <v>0</v>
          </cell>
          <cell r="AY423" t="str">
            <v>NB</v>
          </cell>
        </row>
        <row r="424">
          <cell r="AM424">
            <v>0</v>
          </cell>
          <cell r="AP424" t="str">
            <v>Bilan</v>
          </cell>
          <cell r="AQ424" t="str">
            <v>Autres Comptes à Payer</v>
          </cell>
          <cell r="AR424" t="str">
            <v>$</v>
          </cell>
          <cell r="AS424">
            <v>0</v>
          </cell>
          <cell r="AW424">
            <v>0</v>
          </cell>
          <cell r="AY424" t="str">
            <v>NB</v>
          </cell>
        </row>
        <row r="425">
          <cell r="AM425">
            <v>9361.0999999999985</v>
          </cell>
          <cell r="AP425" t="str">
            <v>Bilan</v>
          </cell>
          <cell r="AQ425" t="str">
            <v>Autres Comptes à Payer</v>
          </cell>
          <cell r="AR425" t="str">
            <v>$</v>
          </cell>
          <cell r="AS425">
            <v>0</v>
          </cell>
          <cell r="AW425">
            <v>0</v>
          </cell>
          <cell r="AY425" t="str">
            <v>NB</v>
          </cell>
        </row>
        <row r="426">
          <cell r="AM426">
            <v>1530</v>
          </cell>
          <cell r="AP426" t="str">
            <v>Bilan</v>
          </cell>
          <cell r="AQ426" t="str">
            <v>Taxes de Vente à Payer</v>
          </cell>
          <cell r="AR426" t="str">
            <v>$</v>
          </cell>
          <cell r="AS426">
            <v>0</v>
          </cell>
          <cell r="AW426">
            <v>0</v>
          </cell>
          <cell r="AY426" t="str">
            <v>NB</v>
          </cell>
        </row>
        <row r="427">
          <cell r="AM427">
            <v>0</v>
          </cell>
          <cell r="AP427" t="str">
            <v>Bilan</v>
          </cell>
          <cell r="AQ427" t="str">
            <v>Payables Intercos</v>
          </cell>
          <cell r="AR427" t="str">
            <v>$</v>
          </cell>
          <cell r="AS427">
            <v>0</v>
          </cell>
          <cell r="AW427">
            <v>0</v>
          </cell>
          <cell r="AY427" t="str">
            <v>NB</v>
          </cell>
        </row>
        <row r="428">
          <cell r="AM428">
            <v>1903102.06</v>
          </cell>
          <cell r="AP428" t="str">
            <v>Bilan</v>
          </cell>
          <cell r="AQ428" t="str">
            <v>Payables Intercos</v>
          </cell>
          <cell r="AR428" t="str">
            <v>$</v>
          </cell>
          <cell r="AS428">
            <v>0</v>
          </cell>
          <cell r="AW428">
            <v>0</v>
          </cell>
          <cell r="AY428" t="str">
            <v>NB</v>
          </cell>
        </row>
        <row r="429">
          <cell r="AM429">
            <v>5500000</v>
          </cell>
          <cell r="AP429" t="str">
            <v>Bilan</v>
          </cell>
          <cell r="AQ429" t="str">
            <v>Payables Intercos</v>
          </cell>
          <cell r="AR429" t="str">
            <v>$</v>
          </cell>
          <cell r="AS429">
            <v>0</v>
          </cell>
          <cell r="AW429">
            <v>0</v>
          </cell>
          <cell r="AY429" t="str">
            <v>NB</v>
          </cell>
        </row>
        <row r="430">
          <cell r="AM430">
            <v>0</v>
          </cell>
          <cell r="AP430" t="str">
            <v>Bilan</v>
          </cell>
          <cell r="AQ430" t="str">
            <v>Payables Intercos</v>
          </cell>
          <cell r="AR430" t="str">
            <v>$</v>
          </cell>
          <cell r="AS430">
            <v>0</v>
          </cell>
          <cell r="AW430">
            <v>0</v>
          </cell>
          <cell r="AY430" t="str">
            <v>NB</v>
          </cell>
        </row>
        <row r="431">
          <cell r="AM431">
            <v>-102129</v>
          </cell>
          <cell r="AP431">
            <v>0</v>
          </cell>
          <cell r="AQ431">
            <v>0</v>
          </cell>
          <cell r="AR431" t="str">
            <v>$</v>
          </cell>
          <cell r="AS431">
            <v>0</v>
          </cell>
          <cell r="AW431">
            <v>0</v>
          </cell>
          <cell r="AY431" t="str">
            <v>NB</v>
          </cell>
        </row>
        <row r="432">
          <cell r="AM432">
            <v>252113.78</v>
          </cell>
          <cell r="AP432" t="str">
            <v>Bilan</v>
          </cell>
          <cell r="AQ432" t="str">
            <v>Autres Courus</v>
          </cell>
          <cell r="AR432" t="str">
            <v>$</v>
          </cell>
          <cell r="AS432">
            <v>0</v>
          </cell>
          <cell r="AW432">
            <v>0</v>
          </cell>
          <cell r="AY432" t="str">
            <v>NB</v>
          </cell>
        </row>
        <row r="433">
          <cell r="AM433">
            <v>-238443.54</v>
          </cell>
          <cell r="AP433" t="str">
            <v>Bilan</v>
          </cell>
          <cell r="AQ433" t="str">
            <v>Autres Courus</v>
          </cell>
          <cell r="AR433" t="str">
            <v>$</v>
          </cell>
          <cell r="AS433">
            <v>0</v>
          </cell>
          <cell r="AW433">
            <v>0</v>
          </cell>
          <cell r="AY433" t="str">
            <v>NB</v>
          </cell>
        </row>
        <row r="434">
          <cell r="AM434">
            <v>300254.79000000004</v>
          </cell>
          <cell r="AP434" t="str">
            <v>Bilan</v>
          </cell>
          <cell r="AQ434" t="str">
            <v>Autres Courus</v>
          </cell>
          <cell r="AR434" t="str">
            <v>$</v>
          </cell>
          <cell r="AS434">
            <v>0</v>
          </cell>
          <cell r="AW434">
            <v>0</v>
          </cell>
          <cell r="AY434" t="str">
            <v>NB</v>
          </cell>
        </row>
        <row r="435">
          <cell r="AM435">
            <v>0</v>
          </cell>
          <cell r="AP435" t="str">
            <v>Bilan</v>
          </cell>
          <cell r="AQ435" t="str">
            <v>Payables Intercos</v>
          </cell>
          <cell r="AR435" t="str">
            <v>$</v>
          </cell>
          <cell r="AS435">
            <v>0</v>
          </cell>
          <cell r="AW435">
            <v>0</v>
          </cell>
          <cell r="AY435" t="str">
            <v>NB</v>
          </cell>
        </row>
        <row r="436">
          <cell r="AM436">
            <v>-14890782.34</v>
          </cell>
          <cell r="AP436" t="str">
            <v>Bilan</v>
          </cell>
          <cell r="AQ436" t="str">
            <v>Payables Intercos</v>
          </cell>
          <cell r="AR436" t="str">
            <v>$</v>
          </cell>
          <cell r="AS436">
            <v>0</v>
          </cell>
          <cell r="AW436">
            <v>0</v>
          </cell>
          <cell r="AY436" t="str">
            <v>NB</v>
          </cell>
        </row>
        <row r="437">
          <cell r="AM437">
            <v>0</v>
          </cell>
          <cell r="AP437" t="str">
            <v>Bilan</v>
          </cell>
          <cell r="AQ437" t="str">
            <v>Payables Intercos</v>
          </cell>
          <cell r="AR437" t="str">
            <v>$</v>
          </cell>
          <cell r="AS437">
            <v>0</v>
          </cell>
          <cell r="AW437">
            <v>0</v>
          </cell>
          <cell r="AY437" t="str">
            <v>NB</v>
          </cell>
        </row>
        <row r="438">
          <cell r="AM438">
            <v>0</v>
          </cell>
          <cell r="AP438" t="e">
            <v>#N/A</v>
          </cell>
          <cell r="AQ438" t="e">
            <v>#N/A</v>
          </cell>
          <cell r="AR438" t="str">
            <v>$</v>
          </cell>
          <cell r="AS438" t="e">
            <v>#N/A</v>
          </cell>
          <cell r="AW438">
            <v>0</v>
          </cell>
          <cell r="AY438" t="str">
            <v>NB</v>
          </cell>
        </row>
        <row r="439">
          <cell r="AM439">
            <v>0</v>
          </cell>
          <cell r="AP439" t="e">
            <v>#N/A</v>
          </cell>
          <cell r="AQ439" t="e">
            <v>#N/A</v>
          </cell>
          <cell r="AR439" t="str">
            <v>$</v>
          </cell>
          <cell r="AS439" t="e">
            <v>#N/A</v>
          </cell>
          <cell r="AW439">
            <v>0</v>
          </cell>
          <cell r="AY439" t="str">
            <v>NB</v>
          </cell>
        </row>
        <row r="440">
          <cell r="AM440">
            <v>5380090.4400000013</v>
          </cell>
          <cell r="AP440" t="str">
            <v>Bilan</v>
          </cell>
          <cell r="AQ440" t="str">
            <v>Effet à Payer Véhicules Neufs</v>
          </cell>
          <cell r="AR440" t="str">
            <v>$</v>
          </cell>
          <cell r="AS440">
            <v>0</v>
          </cell>
          <cell r="AW440">
            <v>0</v>
          </cell>
          <cell r="AY440" t="str">
            <v>NB</v>
          </cell>
        </row>
        <row r="441">
          <cell r="AM441">
            <v>4095386</v>
          </cell>
          <cell r="AP441" t="str">
            <v>Bilan</v>
          </cell>
          <cell r="AQ441" t="str">
            <v>Effet à Payer Véhicules Usagés</v>
          </cell>
          <cell r="AR441" t="str">
            <v>$</v>
          </cell>
          <cell r="AS441">
            <v>0</v>
          </cell>
          <cell r="AW441">
            <v>0</v>
          </cell>
          <cell r="AY441" t="str">
            <v>NB</v>
          </cell>
        </row>
        <row r="442">
          <cell r="AM442">
            <v>0</v>
          </cell>
          <cell r="AP442" t="e">
            <v>#N/A</v>
          </cell>
          <cell r="AQ442" t="e">
            <v>#N/A</v>
          </cell>
          <cell r="AR442" t="str">
            <v>$</v>
          </cell>
          <cell r="AS442" t="e">
            <v>#N/A</v>
          </cell>
          <cell r="AW442">
            <v>0</v>
          </cell>
          <cell r="AY442" t="str">
            <v>NB</v>
          </cell>
        </row>
        <row r="443">
          <cell r="AM443">
            <v>-120000</v>
          </cell>
          <cell r="AP443">
            <v>0</v>
          </cell>
          <cell r="AQ443">
            <v>0</v>
          </cell>
          <cell r="AR443" t="str">
            <v>$</v>
          </cell>
          <cell r="AS443">
            <v>0</v>
          </cell>
          <cell r="AW443">
            <v>0</v>
          </cell>
          <cell r="AY443" t="str">
            <v>NB</v>
          </cell>
        </row>
        <row r="444">
          <cell r="AM444">
            <v>0</v>
          </cell>
          <cell r="AP444" t="e">
            <v>#N/A</v>
          </cell>
          <cell r="AQ444" t="e">
            <v>#N/A</v>
          </cell>
          <cell r="AR444" t="str">
            <v>$</v>
          </cell>
          <cell r="AS444" t="e">
            <v>#N/A</v>
          </cell>
          <cell r="AW444">
            <v>0</v>
          </cell>
          <cell r="AY444" t="str">
            <v>NB</v>
          </cell>
        </row>
        <row r="445">
          <cell r="AM445">
            <v>-73648</v>
          </cell>
          <cell r="AP445">
            <v>0</v>
          </cell>
          <cell r="AQ445">
            <v>0</v>
          </cell>
          <cell r="AR445" t="str">
            <v>$</v>
          </cell>
          <cell r="AS445">
            <v>0</v>
          </cell>
          <cell r="AW445">
            <v>0</v>
          </cell>
          <cell r="AY445" t="str">
            <v>NB</v>
          </cell>
        </row>
        <row r="446">
          <cell r="AM446">
            <v>1989.5499999999993</v>
          </cell>
          <cell r="AP446" t="str">
            <v>Bilan</v>
          </cell>
          <cell r="AQ446" t="str">
            <v>DAS à Payer</v>
          </cell>
          <cell r="AR446" t="str">
            <v>$</v>
          </cell>
          <cell r="AS446">
            <v>0</v>
          </cell>
          <cell r="AW446">
            <v>0</v>
          </cell>
          <cell r="AY446" t="str">
            <v>NB</v>
          </cell>
        </row>
        <row r="447">
          <cell r="AM447">
            <v>-52135.47</v>
          </cell>
          <cell r="AP447" t="str">
            <v>Bilan</v>
          </cell>
          <cell r="AQ447" t="str">
            <v>Salaires à Payer</v>
          </cell>
          <cell r="AR447" t="str">
            <v>$</v>
          </cell>
          <cell r="AS447">
            <v>0</v>
          </cell>
          <cell r="AW447">
            <v>0</v>
          </cell>
          <cell r="AY447" t="str">
            <v>NB</v>
          </cell>
        </row>
        <row r="448">
          <cell r="AM448">
            <v>5967.1900000000023</v>
          </cell>
          <cell r="AP448" t="str">
            <v>Bilan</v>
          </cell>
          <cell r="AQ448" t="str">
            <v>Salaires à Payer</v>
          </cell>
          <cell r="AR448" t="str">
            <v>$</v>
          </cell>
          <cell r="AS448">
            <v>0</v>
          </cell>
          <cell r="AW448">
            <v>0</v>
          </cell>
          <cell r="AY448" t="str">
            <v>NB</v>
          </cell>
        </row>
        <row r="449">
          <cell r="AM449">
            <v>0</v>
          </cell>
          <cell r="AP449">
            <v>0</v>
          </cell>
          <cell r="AQ449">
            <v>0</v>
          </cell>
          <cell r="AR449" t="str">
            <v>$</v>
          </cell>
          <cell r="AS449">
            <v>0</v>
          </cell>
          <cell r="AW449">
            <v>0</v>
          </cell>
          <cell r="AY449" t="str">
            <v>NB</v>
          </cell>
        </row>
        <row r="450">
          <cell r="AM450">
            <v>0</v>
          </cell>
          <cell r="AP450" t="e">
            <v>#N/A</v>
          </cell>
          <cell r="AQ450" t="e">
            <v>#N/A</v>
          </cell>
          <cell r="AR450" t="str">
            <v>$</v>
          </cell>
          <cell r="AS450" t="e">
            <v>#N/A</v>
          </cell>
          <cell r="AW450">
            <v>0</v>
          </cell>
          <cell r="AY450" t="str">
            <v>NB</v>
          </cell>
        </row>
        <row r="451">
          <cell r="AM451">
            <v>0</v>
          </cell>
          <cell r="AP451">
            <v>0</v>
          </cell>
          <cell r="AQ451">
            <v>0</v>
          </cell>
          <cell r="AR451" t="str">
            <v>$</v>
          </cell>
          <cell r="AS451">
            <v>0</v>
          </cell>
          <cell r="AW451">
            <v>0</v>
          </cell>
          <cell r="AY451" t="str">
            <v>NB</v>
          </cell>
        </row>
        <row r="452">
          <cell r="AM452">
            <v>0</v>
          </cell>
          <cell r="AP452" t="e">
            <v>#N/A</v>
          </cell>
          <cell r="AQ452" t="e">
            <v>#N/A</v>
          </cell>
          <cell r="AR452" t="str">
            <v>$</v>
          </cell>
          <cell r="AS452" t="e">
            <v>#N/A</v>
          </cell>
          <cell r="AW452">
            <v>0</v>
          </cell>
          <cell r="AY452" t="str">
            <v>NB</v>
          </cell>
        </row>
        <row r="453">
          <cell r="AM453">
            <v>28063.000000000029</v>
          </cell>
          <cell r="AP453" t="str">
            <v>Bilan</v>
          </cell>
          <cell r="AQ453" t="str">
            <v>Frais Payés d'Avance</v>
          </cell>
          <cell r="AR453" t="str">
            <v>$</v>
          </cell>
          <cell r="AS453">
            <v>0</v>
          </cell>
          <cell r="AW453">
            <v>0</v>
          </cell>
          <cell r="AY453" t="str">
            <v>NB</v>
          </cell>
        </row>
        <row r="454">
          <cell r="AM454">
            <v>0</v>
          </cell>
          <cell r="AP454">
            <v>0</v>
          </cell>
          <cell r="AQ454">
            <v>0</v>
          </cell>
          <cell r="AR454" t="str">
            <v>$</v>
          </cell>
          <cell r="AS454">
            <v>0</v>
          </cell>
          <cell r="AW454">
            <v>0</v>
          </cell>
          <cell r="AY454" t="str">
            <v>NB</v>
          </cell>
        </row>
        <row r="455">
          <cell r="AM455">
            <v>21502</v>
          </cell>
          <cell r="AP455" t="str">
            <v>Bilan</v>
          </cell>
          <cell r="AQ455" t="str">
            <v>Frais Payés d'Avance</v>
          </cell>
          <cell r="AR455" t="str">
            <v>$</v>
          </cell>
          <cell r="AS455">
            <v>0</v>
          </cell>
          <cell r="AW455">
            <v>0</v>
          </cell>
          <cell r="AY455" t="str">
            <v>NB</v>
          </cell>
        </row>
        <row r="456">
          <cell r="AM456">
            <v>0</v>
          </cell>
          <cell r="AP456">
            <v>0</v>
          </cell>
          <cell r="AQ456">
            <v>0</v>
          </cell>
          <cell r="AR456" t="str">
            <v>$</v>
          </cell>
          <cell r="AS456">
            <v>0</v>
          </cell>
          <cell r="AW456">
            <v>0</v>
          </cell>
          <cell r="AY456" t="str">
            <v>NB</v>
          </cell>
        </row>
        <row r="457">
          <cell r="AM457">
            <v>0</v>
          </cell>
          <cell r="AP457" t="e">
            <v>#N/A</v>
          </cell>
          <cell r="AQ457" t="e">
            <v>#N/A</v>
          </cell>
          <cell r="AR457" t="str">
            <v>$</v>
          </cell>
          <cell r="AS457" t="e">
            <v>#N/A</v>
          </cell>
          <cell r="AW457">
            <v>0</v>
          </cell>
          <cell r="AY457" t="str">
            <v>NB</v>
          </cell>
        </row>
        <row r="458">
          <cell r="AM458">
            <v>0</v>
          </cell>
          <cell r="AP458">
            <v>0</v>
          </cell>
          <cell r="AQ458">
            <v>0</v>
          </cell>
          <cell r="AR458" t="str">
            <v>$</v>
          </cell>
          <cell r="AS458">
            <v>0</v>
          </cell>
          <cell r="AW458">
            <v>0</v>
          </cell>
          <cell r="AY458" t="str">
            <v>NB</v>
          </cell>
        </row>
        <row r="459">
          <cell r="AM459">
            <v>0</v>
          </cell>
          <cell r="AP459">
            <v>0</v>
          </cell>
          <cell r="AQ459">
            <v>0</v>
          </cell>
          <cell r="AR459" t="str">
            <v>$</v>
          </cell>
          <cell r="AS459">
            <v>0</v>
          </cell>
          <cell r="AW459">
            <v>0</v>
          </cell>
          <cell r="AY459" t="str">
            <v>NB</v>
          </cell>
        </row>
        <row r="460">
          <cell r="AM460">
            <v>0</v>
          </cell>
          <cell r="AP460">
            <v>0</v>
          </cell>
          <cell r="AQ460">
            <v>0</v>
          </cell>
          <cell r="AR460" t="str">
            <v>$</v>
          </cell>
          <cell r="AS460">
            <v>0</v>
          </cell>
          <cell r="AW460">
            <v>0</v>
          </cell>
          <cell r="AY460" t="str">
            <v>NB</v>
          </cell>
        </row>
        <row r="461">
          <cell r="AM461">
            <v>-214.84000000000015</v>
          </cell>
          <cell r="AP461" t="str">
            <v>Bilan</v>
          </cell>
          <cell r="AQ461" t="str">
            <v>DAS à Payer</v>
          </cell>
          <cell r="AR461" t="str">
            <v>$</v>
          </cell>
          <cell r="AS461">
            <v>0</v>
          </cell>
          <cell r="AW461">
            <v>0</v>
          </cell>
          <cell r="AY461" t="str">
            <v>NB</v>
          </cell>
        </row>
        <row r="462">
          <cell r="AM462">
            <v>49497.569999999992</v>
          </cell>
          <cell r="AP462" t="str">
            <v>Bilan</v>
          </cell>
          <cell r="AQ462" t="str">
            <v>Taxes de Vente à Payer</v>
          </cell>
          <cell r="AR462" t="str">
            <v>$</v>
          </cell>
          <cell r="AS462">
            <v>0</v>
          </cell>
          <cell r="AW462">
            <v>0</v>
          </cell>
          <cell r="AY462" t="str">
            <v>NB</v>
          </cell>
        </row>
        <row r="463">
          <cell r="AM463">
            <v>358760.03</v>
          </cell>
          <cell r="AP463" t="str">
            <v>Bilan</v>
          </cell>
          <cell r="AQ463" t="str">
            <v>Taxes de Vente à Payer</v>
          </cell>
          <cell r="AR463" t="str">
            <v>$</v>
          </cell>
          <cell r="AS463">
            <v>0</v>
          </cell>
          <cell r="AW463">
            <v>0</v>
          </cell>
          <cell r="AY463" t="str">
            <v>NB</v>
          </cell>
        </row>
        <row r="464">
          <cell r="AM464">
            <v>310.58999999999997</v>
          </cell>
          <cell r="AP464" t="str">
            <v>Bilan</v>
          </cell>
          <cell r="AQ464" t="str">
            <v>Taxes de Vente à Payer</v>
          </cell>
          <cell r="AR464" t="str">
            <v>$</v>
          </cell>
          <cell r="AS464">
            <v>0</v>
          </cell>
          <cell r="AW464">
            <v>0</v>
          </cell>
          <cell r="AY464" t="str">
            <v>NB</v>
          </cell>
        </row>
        <row r="465">
          <cell r="AM465">
            <v>20940.100000000002</v>
          </cell>
          <cell r="AP465" t="str">
            <v>Bilan</v>
          </cell>
          <cell r="AQ465" t="str">
            <v>Taxes de Vente à Payer</v>
          </cell>
          <cell r="AR465" t="str">
            <v>$</v>
          </cell>
          <cell r="AS465">
            <v>0</v>
          </cell>
          <cell r="AW465">
            <v>0</v>
          </cell>
          <cell r="AY465" t="str">
            <v>NB</v>
          </cell>
        </row>
        <row r="466">
          <cell r="AM466">
            <v>-64424</v>
          </cell>
          <cell r="AP466" t="str">
            <v>Bilan</v>
          </cell>
          <cell r="AQ466" t="str">
            <v>Impôts à payer</v>
          </cell>
          <cell r="AR466" t="str">
            <v>$</v>
          </cell>
          <cell r="AS466">
            <v>0</v>
          </cell>
          <cell r="AW466">
            <v>0</v>
          </cell>
          <cell r="AY466" t="str">
            <v>NB</v>
          </cell>
        </row>
        <row r="467">
          <cell r="AM467">
            <v>5419.0800000000017</v>
          </cell>
          <cell r="AP467" t="str">
            <v>Bilan</v>
          </cell>
          <cell r="AQ467" t="str">
            <v>Salaires à Payer</v>
          </cell>
          <cell r="AR467" t="str">
            <v>$</v>
          </cell>
          <cell r="AS467">
            <v>0</v>
          </cell>
          <cell r="AW467">
            <v>0</v>
          </cell>
          <cell r="AY467" t="str">
            <v>NB</v>
          </cell>
        </row>
        <row r="468">
          <cell r="AM468">
            <v>-30.200000000000728</v>
          </cell>
          <cell r="AP468" t="str">
            <v>Bilan</v>
          </cell>
          <cell r="AQ468" t="str">
            <v>Autres Courus</v>
          </cell>
          <cell r="AR468" t="str">
            <v>$</v>
          </cell>
          <cell r="AS468">
            <v>0</v>
          </cell>
          <cell r="AW468">
            <v>0</v>
          </cell>
          <cell r="AY468" t="str">
            <v>NB</v>
          </cell>
        </row>
        <row r="469">
          <cell r="AM469">
            <v>0</v>
          </cell>
          <cell r="AP469" t="str">
            <v>Bilan</v>
          </cell>
          <cell r="AQ469" t="str">
            <v>Autres Courus</v>
          </cell>
          <cell r="AR469" t="str">
            <v>$</v>
          </cell>
          <cell r="AS469">
            <v>0</v>
          </cell>
          <cell r="AW469">
            <v>0</v>
          </cell>
          <cell r="AY469" t="str">
            <v>NB</v>
          </cell>
        </row>
        <row r="470">
          <cell r="AM470">
            <v>12329.139999999985</v>
          </cell>
          <cell r="AP470" t="str">
            <v>Bilan</v>
          </cell>
          <cell r="AQ470" t="str">
            <v>Salaires à Payer</v>
          </cell>
          <cell r="AR470" t="str">
            <v>$</v>
          </cell>
          <cell r="AS470">
            <v>0</v>
          </cell>
          <cell r="AW470">
            <v>0</v>
          </cell>
          <cell r="AY470" t="str">
            <v>NB</v>
          </cell>
        </row>
        <row r="471">
          <cell r="AM471">
            <v>29890.370000000003</v>
          </cell>
          <cell r="AP471" t="str">
            <v>Bilan</v>
          </cell>
          <cell r="AQ471" t="str">
            <v>Autres Courus</v>
          </cell>
          <cell r="AR471" t="str">
            <v>$</v>
          </cell>
          <cell r="AS471">
            <v>0</v>
          </cell>
          <cell r="AW471">
            <v>0</v>
          </cell>
          <cell r="AY471" t="str">
            <v>NB</v>
          </cell>
        </row>
        <row r="472">
          <cell r="AM472">
            <v>116605.91999999998</v>
          </cell>
          <cell r="AP472" t="str">
            <v>Bilan</v>
          </cell>
          <cell r="AQ472" t="str">
            <v>Autres Courus</v>
          </cell>
          <cell r="AR472" t="str">
            <v>$</v>
          </cell>
          <cell r="AS472">
            <v>0</v>
          </cell>
          <cell r="AW472">
            <v>0</v>
          </cell>
          <cell r="AY472" t="str">
            <v>NB</v>
          </cell>
        </row>
        <row r="473">
          <cell r="AM473">
            <v>0</v>
          </cell>
          <cell r="AP473" t="str">
            <v>Bilan</v>
          </cell>
          <cell r="AQ473" t="str">
            <v>Autres Courus</v>
          </cell>
          <cell r="AR473" t="str">
            <v>$</v>
          </cell>
          <cell r="AS473">
            <v>0</v>
          </cell>
          <cell r="AW473">
            <v>0</v>
          </cell>
          <cell r="AY473" t="str">
            <v>NB</v>
          </cell>
        </row>
        <row r="474">
          <cell r="AM474">
            <v>0</v>
          </cell>
          <cell r="AP474" t="str">
            <v>Bilan</v>
          </cell>
          <cell r="AQ474" t="str">
            <v>Autres Courus</v>
          </cell>
          <cell r="AR474" t="str">
            <v>$</v>
          </cell>
          <cell r="AS474">
            <v>0</v>
          </cell>
          <cell r="AW474">
            <v>0</v>
          </cell>
          <cell r="AY474" t="str">
            <v>NB</v>
          </cell>
        </row>
        <row r="475">
          <cell r="AM475">
            <v>0</v>
          </cell>
          <cell r="AP475" t="str">
            <v>Bilan</v>
          </cell>
          <cell r="AQ475" t="str">
            <v>Autres Comptes à Payer</v>
          </cell>
          <cell r="AR475" t="str">
            <v>$</v>
          </cell>
          <cell r="AS475">
            <v>0</v>
          </cell>
          <cell r="AW475">
            <v>0</v>
          </cell>
          <cell r="AY475" t="str">
            <v>NB</v>
          </cell>
        </row>
        <row r="476">
          <cell r="AM476">
            <v>0</v>
          </cell>
          <cell r="AP476">
            <v>0</v>
          </cell>
          <cell r="AQ476">
            <v>0</v>
          </cell>
          <cell r="AR476" t="str">
            <v>$</v>
          </cell>
          <cell r="AS476">
            <v>0</v>
          </cell>
          <cell r="AW476">
            <v>0</v>
          </cell>
          <cell r="AY476" t="str">
            <v>NB</v>
          </cell>
        </row>
        <row r="477">
          <cell r="AM477">
            <v>0</v>
          </cell>
          <cell r="AP477" t="str">
            <v>Bilan</v>
          </cell>
          <cell r="AQ477" t="str">
            <v>Autres Courus</v>
          </cell>
          <cell r="AR477" t="str">
            <v>$</v>
          </cell>
          <cell r="AS477">
            <v>0</v>
          </cell>
          <cell r="AW477">
            <v>0</v>
          </cell>
          <cell r="AY477" t="str">
            <v>NB</v>
          </cell>
        </row>
        <row r="478">
          <cell r="AM478">
            <v>-7250</v>
          </cell>
          <cell r="AP478" t="str">
            <v>Bilan</v>
          </cell>
          <cell r="AQ478" t="str">
            <v>Autres Courus</v>
          </cell>
          <cell r="AR478" t="str">
            <v>$</v>
          </cell>
          <cell r="AS478">
            <v>0</v>
          </cell>
          <cell r="AW478">
            <v>0</v>
          </cell>
          <cell r="AY478" t="str">
            <v>NB</v>
          </cell>
        </row>
        <row r="479">
          <cell r="AM479">
            <v>0</v>
          </cell>
          <cell r="AP479" t="str">
            <v>Bilan</v>
          </cell>
          <cell r="AQ479" t="str">
            <v>Autres Courus</v>
          </cell>
          <cell r="AR479" t="str">
            <v>$</v>
          </cell>
          <cell r="AS479">
            <v>0</v>
          </cell>
          <cell r="AW479">
            <v>0</v>
          </cell>
          <cell r="AY479" t="str">
            <v>NB</v>
          </cell>
        </row>
        <row r="480">
          <cell r="AM480">
            <v>0</v>
          </cell>
          <cell r="AP480" t="str">
            <v>Bilan</v>
          </cell>
          <cell r="AQ480" t="str">
            <v>Autres Courus</v>
          </cell>
          <cell r="AR480" t="str">
            <v>$</v>
          </cell>
          <cell r="AS480">
            <v>0</v>
          </cell>
          <cell r="AW480">
            <v>0</v>
          </cell>
          <cell r="AY480" t="str">
            <v>NB</v>
          </cell>
        </row>
        <row r="481">
          <cell r="AM481">
            <v>0</v>
          </cell>
          <cell r="AP481" t="str">
            <v>Bilan</v>
          </cell>
          <cell r="AQ481" t="str">
            <v>Autres Courus</v>
          </cell>
          <cell r="AR481" t="str">
            <v>$</v>
          </cell>
          <cell r="AS481">
            <v>0</v>
          </cell>
          <cell r="AW481">
            <v>0</v>
          </cell>
          <cell r="AY481" t="str">
            <v>NB</v>
          </cell>
        </row>
        <row r="482">
          <cell r="AM482">
            <v>14999.999999999998</v>
          </cell>
          <cell r="AP482" t="str">
            <v>Bilan</v>
          </cell>
          <cell r="AQ482" t="str">
            <v>Autres Courus</v>
          </cell>
          <cell r="AR482" t="str">
            <v>$</v>
          </cell>
          <cell r="AS482">
            <v>0</v>
          </cell>
          <cell r="AW482">
            <v>0</v>
          </cell>
          <cell r="AY482" t="str">
            <v>NB</v>
          </cell>
        </row>
        <row r="483">
          <cell r="AM483">
            <v>0</v>
          </cell>
          <cell r="AP483" t="e">
            <v>#N/A</v>
          </cell>
          <cell r="AQ483" t="e">
            <v>#N/A</v>
          </cell>
          <cell r="AR483" t="str">
            <v>$</v>
          </cell>
          <cell r="AS483" t="e">
            <v>#N/A</v>
          </cell>
          <cell r="AW483">
            <v>0</v>
          </cell>
          <cell r="AY483" t="str">
            <v>NB</v>
          </cell>
        </row>
        <row r="484">
          <cell r="AM484">
            <v>0</v>
          </cell>
          <cell r="AP484" t="str">
            <v>Bilan</v>
          </cell>
          <cell r="AQ484" t="str">
            <v>Impôts Futurs à payer</v>
          </cell>
          <cell r="AR484" t="str">
            <v>$</v>
          </cell>
          <cell r="AS484">
            <v>0</v>
          </cell>
          <cell r="AW484">
            <v>0</v>
          </cell>
          <cell r="AY484" t="str">
            <v>NB</v>
          </cell>
        </row>
        <row r="485">
          <cell r="AM485">
            <v>3697580.28</v>
          </cell>
          <cell r="AP485" t="str">
            <v>Bilan</v>
          </cell>
          <cell r="AQ485" t="str">
            <v>Marge de crédit</v>
          </cell>
          <cell r="AR485" t="str">
            <v>$</v>
          </cell>
          <cell r="AS485">
            <v>0</v>
          </cell>
          <cell r="AW485">
            <v>0</v>
          </cell>
          <cell r="AY485" t="str">
            <v>NB</v>
          </cell>
        </row>
        <row r="486">
          <cell r="AM486">
            <v>0</v>
          </cell>
          <cell r="AP486" t="str">
            <v>Bilan</v>
          </cell>
          <cell r="AQ486" t="str">
            <v>Frais Payés d'Avance</v>
          </cell>
          <cell r="AR486" t="str">
            <v>$</v>
          </cell>
          <cell r="AS486">
            <v>0</v>
          </cell>
          <cell r="AW486">
            <v>0</v>
          </cell>
          <cell r="AY486" t="str">
            <v>NB</v>
          </cell>
        </row>
        <row r="487">
          <cell r="AM487">
            <v>0</v>
          </cell>
          <cell r="AP487">
            <v>0</v>
          </cell>
          <cell r="AQ487">
            <v>0</v>
          </cell>
          <cell r="AR487" t="str">
            <v>$</v>
          </cell>
          <cell r="AS487">
            <v>0</v>
          </cell>
          <cell r="AW487">
            <v>0</v>
          </cell>
          <cell r="AY487" t="str">
            <v>NB</v>
          </cell>
        </row>
        <row r="488">
          <cell r="AM488">
            <v>-5029.8600000001024</v>
          </cell>
          <cell r="AP488" t="str">
            <v>Bilan</v>
          </cell>
          <cell r="AQ488" t="str">
            <v>Équipements Service</v>
          </cell>
          <cell r="AR488" t="str">
            <v>$</v>
          </cell>
          <cell r="AS488">
            <v>0</v>
          </cell>
          <cell r="AW488">
            <v>0</v>
          </cell>
          <cell r="AY488" t="str">
            <v>NB</v>
          </cell>
        </row>
        <row r="489">
          <cell r="AM489">
            <v>-94.360000000000014</v>
          </cell>
          <cell r="AP489" t="str">
            <v>Bilan</v>
          </cell>
          <cell r="AQ489" t="str">
            <v>Équipements Service</v>
          </cell>
          <cell r="AR489" t="str">
            <v>$</v>
          </cell>
          <cell r="AS489">
            <v>0</v>
          </cell>
          <cell r="AW489">
            <v>0</v>
          </cell>
          <cell r="AY489" t="str">
            <v>NB</v>
          </cell>
        </row>
        <row r="490">
          <cell r="AM490">
            <v>-824.95999999996275</v>
          </cell>
          <cell r="AP490" t="str">
            <v>Bilan</v>
          </cell>
          <cell r="AQ490" t="str">
            <v>Mobilier</v>
          </cell>
          <cell r="AR490" t="str">
            <v>$</v>
          </cell>
          <cell r="AS490">
            <v>0</v>
          </cell>
          <cell r="AW490">
            <v>0</v>
          </cell>
          <cell r="AY490" t="str">
            <v>NB</v>
          </cell>
        </row>
        <row r="491">
          <cell r="AM491">
            <v>-1739.3600000000006</v>
          </cell>
          <cell r="AP491" t="str">
            <v>Bilan</v>
          </cell>
          <cell r="AQ491" t="str">
            <v>Équipements Service</v>
          </cell>
          <cell r="AR491" t="str">
            <v>$</v>
          </cell>
          <cell r="AS491">
            <v>0</v>
          </cell>
          <cell r="AW491">
            <v>0</v>
          </cell>
          <cell r="AY491" t="str">
            <v>NB</v>
          </cell>
        </row>
        <row r="492">
          <cell r="AM492">
            <v>-2190.1399999999994</v>
          </cell>
          <cell r="AP492" t="str">
            <v>Bilan</v>
          </cell>
          <cell r="AQ492" t="str">
            <v>Améliorations Locatives</v>
          </cell>
          <cell r="AR492" t="str">
            <v>$</v>
          </cell>
          <cell r="AS492">
            <v>0</v>
          </cell>
          <cell r="AW492">
            <v>0</v>
          </cell>
          <cell r="AY492" t="str">
            <v>NB</v>
          </cell>
        </row>
        <row r="493">
          <cell r="AM493">
            <v>-767.81999999997788</v>
          </cell>
          <cell r="AP493" t="str">
            <v>Bilan</v>
          </cell>
          <cell r="AQ493" t="str">
            <v>Équipements Informatique</v>
          </cell>
          <cell r="AR493" t="str">
            <v>$</v>
          </cell>
          <cell r="AS493">
            <v>0</v>
          </cell>
          <cell r="AW493">
            <v>0</v>
          </cell>
          <cell r="AY493" t="str">
            <v>NB</v>
          </cell>
        </row>
        <row r="494">
          <cell r="AM494">
            <v>-139.72999999999593</v>
          </cell>
          <cell r="AP494" t="str">
            <v>Bilan</v>
          </cell>
          <cell r="AQ494" t="str">
            <v>Enseigne</v>
          </cell>
          <cell r="AR494" t="str">
            <v>$</v>
          </cell>
          <cell r="AS494">
            <v>0</v>
          </cell>
          <cell r="AW494">
            <v>0</v>
          </cell>
          <cell r="AY494" t="str">
            <v>NB</v>
          </cell>
        </row>
        <row r="495">
          <cell r="AM495">
            <v>0</v>
          </cell>
          <cell r="AP495">
            <v>0</v>
          </cell>
          <cell r="AQ495">
            <v>0</v>
          </cell>
          <cell r="AR495" t="str">
            <v>$</v>
          </cell>
          <cell r="AS495">
            <v>0</v>
          </cell>
          <cell r="AW495">
            <v>0</v>
          </cell>
          <cell r="AY495" t="str">
            <v>NB</v>
          </cell>
        </row>
        <row r="496">
          <cell r="AM496">
            <v>0</v>
          </cell>
          <cell r="AP496" t="str">
            <v>Bilan</v>
          </cell>
          <cell r="AQ496" t="str">
            <v>Capital Actions</v>
          </cell>
          <cell r="AR496" t="str">
            <v>$</v>
          </cell>
          <cell r="AS496">
            <v>0</v>
          </cell>
          <cell r="AW496">
            <v>0</v>
          </cell>
          <cell r="AY496" t="str">
            <v>NB</v>
          </cell>
        </row>
        <row r="497">
          <cell r="AM497">
            <v>0</v>
          </cell>
          <cell r="AP497" t="str">
            <v>Bilan</v>
          </cell>
          <cell r="AQ497" t="str">
            <v>Capital Actions</v>
          </cell>
          <cell r="AR497" t="str">
            <v>$</v>
          </cell>
          <cell r="AS497">
            <v>0</v>
          </cell>
          <cell r="AW497">
            <v>0</v>
          </cell>
          <cell r="AY497" t="str">
            <v>NB</v>
          </cell>
        </row>
        <row r="498">
          <cell r="AM498">
            <v>0</v>
          </cell>
          <cell r="AP498" t="str">
            <v>Bilan</v>
          </cell>
          <cell r="AQ498" t="str">
            <v>Capital Actions</v>
          </cell>
          <cell r="AR498" t="str">
            <v>$</v>
          </cell>
          <cell r="AS498">
            <v>0</v>
          </cell>
          <cell r="AW498">
            <v>0</v>
          </cell>
          <cell r="AY498" t="str">
            <v>NB</v>
          </cell>
        </row>
        <row r="499">
          <cell r="AM499">
            <v>0</v>
          </cell>
          <cell r="AP499" t="str">
            <v>Bilan</v>
          </cell>
          <cell r="AQ499" t="str">
            <v>Capital Actions</v>
          </cell>
          <cell r="AR499" t="str">
            <v>$</v>
          </cell>
          <cell r="AS499">
            <v>0</v>
          </cell>
          <cell r="AW499">
            <v>0</v>
          </cell>
          <cell r="AY499" t="str">
            <v>NB</v>
          </cell>
        </row>
        <row r="500">
          <cell r="AM500">
            <v>0</v>
          </cell>
          <cell r="AP500" t="str">
            <v>Bilan</v>
          </cell>
          <cell r="AQ500" t="str">
            <v>Capital Actions</v>
          </cell>
          <cell r="AR500" t="str">
            <v>$</v>
          </cell>
          <cell r="AS500">
            <v>0</v>
          </cell>
          <cell r="AW500">
            <v>0</v>
          </cell>
          <cell r="AY500" t="str">
            <v>NB</v>
          </cell>
        </row>
        <row r="501">
          <cell r="AM501">
            <v>3790100</v>
          </cell>
          <cell r="AP501" t="str">
            <v>Bilan</v>
          </cell>
          <cell r="AQ501" t="str">
            <v>Capital Actions</v>
          </cell>
          <cell r="AR501" t="str">
            <v>$</v>
          </cell>
          <cell r="AS501">
            <v>0</v>
          </cell>
          <cell r="AW501">
            <v>0</v>
          </cell>
          <cell r="AY501" t="str">
            <v>NB</v>
          </cell>
        </row>
        <row r="502">
          <cell r="AM502">
            <v>-3790051</v>
          </cell>
          <cell r="AP502" t="str">
            <v>Bilan</v>
          </cell>
          <cell r="AQ502" t="str">
            <v>Capital Actions</v>
          </cell>
          <cell r="AR502" t="str">
            <v>$</v>
          </cell>
          <cell r="AS502">
            <v>0</v>
          </cell>
          <cell r="AW502">
            <v>0</v>
          </cell>
          <cell r="AY502" t="str">
            <v>NB</v>
          </cell>
        </row>
        <row r="503">
          <cell r="AM503">
            <v>3790051</v>
          </cell>
          <cell r="AP503" t="str">
            <v>Bilan</v>
          </cell>
          <cell r="AQ503" t="str">
            <v>Bénéfices non répartis</v>
          </cell>
          <cell r="AR503" t="str">
            <v>$</v>
          </cell>
          <cell r="AS503">
            <v>0</v>
          </cell>
          <cell r="AW503">
            <v>0</v>
          </cell>
          <cell r="AY503" t="str">
            <v>NB</v>
          </cell>
        </row>
        <row r="504">
          <cell r="AM504">
            <v>0</v>
          </cell>
          <cell r="AP504">
            <v>0</v>
          </cell>
          <cell r="AQ504">
            <v>0</v>
          </cell>
          <cell r="AR504" t="str">
            <v>$</v>
          </cell>
          <cell r="AS504">
            <v>0</v>
          </cell>
          <cell r="AW504">
            <v>0</v>
          </cell>
          <cell r="AY504" t="str">
            <v>NB</v>
          </cell>
        </row>
        <row r="505">
          <cell r="AM505">
            <v>0</v>
          </cell>
          <cell r="AP505" t="e">
            <v>#N/A</v>
          </cell>
          <cell r="AQ505" t="e">
            <v>#N/A</v>
          </cell>
          <cell r="AR505" t="str">
            <v>$</v>
          </cell>
          <cell r="AS505" t="e">
            <v>#N/A</v>
          </cell>
          <cell r="AW505">
            <v>0</v>
          </cell>
          <cell r="AY505" t="str">
            <v>NB</v>
          </cell>
        </row>
        <row r="506">
          <cell r="AM506">
            <v>0</v>
          </cell>
          <cell r="AP506" t="str">
            <v>Véhicules neufs</v>
          </cell>
          <cell r="AQ506" t="str">
            <v>Autos détail</v>
          </cell>
          <cell r="AR506" t="str">
            <v>$</v>
          </cell>
          <cell r="AS506" t="str">
            <v>Oui</v>
          </cell>
          <cell r="AW506">
            <v>0</v>
          </cell>
          <cell r="AY506" t="str">
            <v>NB</v>
          </cell>
        </row>
        <row r="507">
          <cell r="AM507">
            <v>0</v>
          </cell>
          <cell r="AP507" t="str">
            <v>Véhicules neufs</v>
          </cell>
          <cell r="AQ507" t="str">
            <v>Autos détail</v>
          </cell>
          <cell r="AR507" t="str">
            <v>$</v>
          </cell>
          <cell r="AS507" t="str">
            <v>Oui</v>
          </cell>
          <cell r="AW507">
            <v>0</v>
          </cell>
          <cell r="AY507" t="str">
            <v>NB</v>
          </cell>
        </row>
        <row r="508">
          <cell r="AM508">
            <v>0</v>
          </cell>
          <cell r="AP508" t="str">
            <v>Véhicules neufs</v>
          </cell>
          <cell r="AQ508" t="str">
            <v>Autos détail</v>
          </cell>
          <cell r="AR508" t="str">
            <v>$</v>
          </cell>
          <cell r="AS508" t="str">
            <v>Oui</v>
          </cell>
          <cell r="AW508">
            <v>0</v>
          </cell>
          <cell r="AY508" t="str">
            <v>NB</v>
          </cell>
        </row>
        <row r="509">
          <cell r="AM509">
            <v>0</v>
          </cell>
          <cell r="AP509" t="str">
            <v>Véhicules neufs</v>
          </cell>
          <cell r="AQ509" t="str">
            <v>Autos détail</v>
          </cell>
          <cell r="AR509" t="str">
            <v>$</v>
          </cell>
          <cell r="AS509" t="str">
            <v>Oui</v>
          </cell>
          <cell r="AW509">
            <v>0</v>
          </cell>
          <cell r="AY509" t="str">
            <v>NB</v>
          </cell>
        </row>
        <row r="510">
          <cell r="AM510">
            <v>0</v>
          </cell>
          <cell r="AP510" t="e">
            <v>#N/A</v>
          </cell>
          <cell r="AQ510" t="e">
            <v>#N/A</v>
          </cell>
          <cell r="AR510" t="str">
            <v>$</v>
          </cell>
          <cell r="AS510" t="e">
            <v>#N/A</v>
          </cell>
          <cell r="AW510">
            <v>0</v>
          </cell>
          <cell r="AY510" t="str">
            <v>NB</v>
          </cell>
        </row>
        <row r="511">
          <cell r="AM511">
            <v>0</v>
          </cell>
          <cell r="AP511" t="e">
            <v>#N/A</v>
          </cell>
          <cell r="AQ511" t="e">
            <v>#N/A</v>
          </cell>
          <cell r="AR511" t="str">
            <v>$</v>
          </cell>
          <cell r="AS511" t="e">
            <v>#N/A</v>
          </cell>
          <cell r="AW511">
            <v>0</v>
          </cell>
          <cell r="AY511" t="str">
            <v>NB</v>
          </cell>
        </row>
        <row r="512">
          <cell r="AM512">
            <v>0</v>
          </cell>
          <cell r="AP512" t="e">
            <v>#N/A</v>
          </cell>
          <cell r="AQ512" t="e">
            <v>#N/A</v>
          </cell>
          <cell r="AR512" t="str">
            <v>$</v>
          </cell>
          <cell r="AS512" t="e">
            <v>#N/A</v>
          </cell>
          <cell r="AW512">
            <v>0</v>
          </cell>
          <cell r="AY512" t="str">
            <v>NB</v>
          </cell>
        </row>
        <row r="513">
          <cell r="AM513">
            <v>0</v>
          </cell>
          <cell r="AP513" t="str">
            <v>Véhicules neufs</v>
          </cell>
          <cell r="AQ513" t="str">
            <v>Autos détail</v>
          </cell>
          <cell r="AR513" t="str">
            <v>$</v>
          </cell>
          <cell r="AS513" t="str">
            <v>Oui</v>
          </cell>
          <cell r="AW513">
            <v>0</v>
          </cell>
          <cell r="AY513" t="str">
            <v>NB</v>
          </cell>
        </row>
        <row r="514">
          <cell r="AM514">
            <v>0</v>
          </cell>
          <cell r="AP514" t="str">
            <v>Véhicules neufs</v>
          </cell>
          <cell r="AQ514" t="str">
            <v>Autos détail</v>
          </cell>
          <cell r="AR514" t="str">
            <v>$</v>
          </cell>
          <cell r="AS514" t="str">
            <v>Oui</v>
          </cell>
          <cell r="AW514">
            <v>0</v>
          </cell>
          <cell r="AY514" t="str">
            <v>NB</v>
          </cell>
        </row>
        <row r="515">
          <cell r="AM515">
            <v>0</v>
          </cell>
          <cell r="AP515" t="e">
            <v>#N/A</v>
          </cell>
          <cell r="AQ515" t="e">
            <v>#N/A</v>
          </cell>
          <cell r="AR515" t="str">
            <v>$</v>
          </cell>
          <cell r="AS515" t="e">
            <v>#N/A</v>
          </cell>
          <cell r="AW515">
            <v>0</v>
          </cell>
          <cell r="AY515" t="str">
            <v>NB</v>
          </cell>
        </row>
        <row r="516">
          <cell r="AM516">
            <v>0</v>
          </cell>
          <cell r="AP516" t="str">
            <v>Véhicules neufs</v>
          </cell>
          <cell r="AQ516" t="str">
            <v>Autos détail</v>
          </cell>
          <cell r="AR516" t="str">
            <v>$</v>
          </cell>
          <cell r="AS516" t="str">
            <v>Oui</v>
          </cell>
          <cell r="AW516">
            <v>0</v>
          </cell>
          <cell r="AY516" t="str">
            <v>NB</v>
          </cell>
        </row>
        <row r="517">
          <cell r="AM517">
            <v>0</v>
          </cell>
          <cell r="AP517" t="str">
            <v>Véhicules neufs</v>
          </cell>
          <cell r="AQ517" t="str">
            <v>Autos détail</v>
          </cell>
          <cell r="AR517" t="str">
            <v>$</v>
          </cell>
          <cell r="AS517" t="str">
            <v>Oui</v>
          </cell>
          <cell r="AW517">
            <v>0</v>
          </cell>
          <cell r="AY517" t="str">
            <v>NB</v>
          </cell>
        </row>
        <row r="518">
          <cell r="AM518">
            <v>0</v>
          </cell>
          <cell r="AP518" t="e">
            <v>#N/A</v>
          </cell>
          <cell r="AQ518" t="e">
            <v>#N/A</v>
          </cell>
          <cell r="AR518" t="str">
            <v>$</v>
          </cell>
          <cell r="AS518" t="e">
            <v>#N/A</v>
          </cell>
          <cell r="AW518">
            <v>0</v>
          </cell>
          <cell r="AY518" t="str">
            <v>NB</v>
          </cell>
        </row>
        <row r="519">
          <cell r="AM519">
            <v>0</v>
          </cell>
          <cell r="AP519" t="e">
            <v>#N/A</v>
          </cell>
          <cell r="AQ519" t="e">
            <v>#N/A</v>
          </cell>
          <cell r="AR519" t="str">
            <v>$</v>
          </cell>
          <cell r="AS519" t="e">
            <v>#N/A</v>
          </cell>
          <cell r="AW519">
            <v>0</v>
          </cell>
          <cell r="AY519" t="str">
            <v>NB</v>
          </cell>
        </row>
        <row r="520">
          <cell r="AM520">
            <v>0</v>
          </cell>
          <cell r="AP520" t="str">
            <v>Véhicules neufs</v>
          </cell>
          <cell r="AQ520" t="str">
            <v>Camions electriques</v>
          </cell>
          <cell r="AR520" t="str">
            <v>$</v>
          </cell>
          <cell r="AS520" t="str">
            <v>Oui</v>
          </cell>
          <cell r="AW520">
            <v>0</v>
          </cell>
          <cell r="AY520" t="str">
            <v>NB</v>
          </cell>
        </row>
        <row r="521">
          <cell r="AM521">
            <v>0</v>
          </cell>
          <cell r="AP521" t="e">
            <v>#N/A</v>
          </cell>
          <cell r="AQ521" t="e">
            <v>#N/A</v>
          </cell>
          <cell r="AR521" t="str">
            <v>$</v>
          </cell>
          <cell r="AS521" t="e">
            <v>#N/A</v>
          </cell>
          <cell r="AW521">
            <v>0</v>
          </cell>
          <cell r="AY521" t="str">
            <v>NB</v>
          </cell>
        </row>
        <row r="522">
          <cell r="AM522">
            <v>0</v>
          </cell>
          <cell r="AP522" t="e">
            <v>#N/A</v>
          </cell>
          <cell r="AQ522" t="e">
            <v>#N/A</v>
          </cell>
          <cell r="AR522" t="str">
            <v>$</v>
          </cell>
          <cell r="AS522" t="e">
            <v>#N/A</v>
          </cell>
          <cell r="AW522">
            <v>0</v>
          </cell>
          <cell r="AY522" t="str">
            <v>NB</v>
          </cell>
        </row>
        <row r="523">
          <cell r="AM523">
            <v>0</v>
          </cell>
          <cell r="AP523" t="e">
            <v>#N/A</v>
          </cell>
          <cell r="AQ523" t="e">
            <v>#N/A</v>
          </cell>
          <cell r="AR523" t="str">
            <v>$</v>
          </cell>
          <cell r="AS523" t="e">
            <v>#N/A</v>
          </cell>
          <cell r="AW523">
            <v>0</v>
          </cell>
          <cell r="AY523" t="str">
            <v>NB</v>
          </cell>
        </row>
        <row r="524">
          <cell r="AM524">
            <v>0</v>
          </cell>
          <cell r="AP524" t="str">
            <v>Véhicules neufs</v>
          </cell>
          <cell r="AQ524" t="str">
            <v>Autos détail</v>
          </cell>
          <cell r="AR524" t="str">
            <v>$</v>
          </cell>
          <cell r="AS524" t="str">
            <v>Oui</v>
          </cell>
          <cell r="AW524">
            <v>0</v>
          </cell>
          <cell r="AY524" t="str">
            <v>NB</v>
          </cell>
        </row>
        <row r="525">
          <cell r="AM525">
            <v>0</v>
          </cell>
          <cell r="AP525" t="e">
            <v>#N/A</v>
          </cell>
          <cell r="AQ525" t="e">
            <v>#N/A</v>
          </cell>
          <cell r="AR525" t="str">
            <v>$</v>
          </cell>
          <cell r="AS525" t="e">
            <v>#N/A</v>
          </cell>
          <cell r="AW525">
            <v>0</v>
          </cell>
          <cell r="AY525" t="str">
            <v>NB</v>
          </cell>
        </row>
        <row r="526">
          <cell r="AM526">
            <v>0</v>
          </cell>
          <cell r="AP526" t="str">
            <v>Véhicules neufs</v>
          </cell>
          <cell r="AQ526" t="str">
            <v>Autos détail</v>
          </cell>
          <cell r="AR526" t="str">
            <v>$</v>
          </cell>
          <cell r="AS526" t="str">
            <v>Oui</v>
          </cell>
          <cell r="AW526">
            <v>0</v>
          </cell>
          <cell r="AY526" t="str">
            <v>NB</v>
          </cell>
        </row>
        <row r="527">
          <cell r="AM527">
            <v>0</v>
          </cell>
          <cell r="AP527" t="str">
            <v>Véhicules neufs</v>
          </cell>
          <cell r="AQ527" t="str">
            <v>Autos détail</v>
          </cell>
          <cell r="AR527" t="str">
            <v>$</v>
          </cell>
          <cell r="AS527" t="str">
            <v>Oui</v>
          </cell>
          <cell r="AW527">
            <v>0</v>
          </cell>
          <cell r="AY527" t="str">
            <v>NB</v>
          </cell>
        </row>
        <row r="528">
          <cell r="AM528">
            <v>0</v>
          </cell>
          <cell r="AP528">
            <v>0</v>
          </cell>
          <cell r="AQ528">
            <v>0</v>
          </cell>
          <cell r="AR528" t="str">
            <v>$</v>
          </cell>
          <cell r="AS528">
            <v>0</v>
          </cell>
          <cell r="AW528">
            <v>0</v>
          </cell>
          <cell r="AY528" t="str">
            <v>NB</v>
          </cell>
        </row>
        <row r="529">
          <cell r="AM529">
            <v>0</v>
          </cell>
          <cell r="AP529" t="e">
            <v>#N/A</v>
          </cell>
          <cell r="AQ529" t="e">
            <v>#N/A</v>
          </cell>
          <cell r="AR529" t="str">
            <v>$</v>
          </cell>
          <cell r="AS529" t="e">
            <v>#N/A</v>
          </cell>
          <cell r="AW529">
            <v>0</v>
          </cell>
          <cell r="AY529" t="str">
            <v>NB</v>
          </cell>
        </row>
        <row r="530">
          <cell r="AM530">
            <v>0</v>
          </cell>
          <cell r="AP530" t="e">
            <v>#N/A</v>
          </cell>
          <cell r="AQ530" t="e">
            <v>#N/A</v>
          </cell>
          <cell r="AR530" t="str">
            <v>$</v>
          </cell>
          <cell r="AS530" t="e">
            <v>#N/A</v>
          </cell>
          <cell r="AW530">
            <v>0</v>
          </cell>
          <cell r="AY530" t="str">
            <v>NB</v>
          </cell>
        </row>
        <row r="531">
          <cell r="AM531">
            <v>0</v>
          </cell>
          <cell r="AP531">
            <v>0</v>
          </cell>
          <cell r="AQ531">
            <v>0</v>
          </cell>
          <cell r="AR531" t="str">
            <v>$</v>
          </cell>
          <cell r="AS531">
            <v>0</v>
          </cell>
          <cell r="AW531">
            <v>34</v>
          </cell>
          <cell r="AY531" t="str">
            <v>NB</v>
          </cell>
        </row>
        <row r="532">
          <cell r="AM532">
            <v>0</v>
          </cell>
          <cell r="AP532" t="e">
            <v>#N/A</v>
          </cell>
          <cell r="AQ532" t="e">
            <v>#N/A</v>
          </cell>
          <cell r="AR532" t="str">
            <v>$</v>
          </cell>
          <cell r="AS532" t="e">
            <v>#N/A</v>
          </cell>
          <cell r="AW532">
            <v>0</v>
          </cell>
          <cell r="AY532" t="str">
            <v>NB</v>
          </cell>
        </row>
        <row r="533">
          <cell r="AM533">
            <v>0</v>
          </cell>
          <cell r="AP533" t="e">
            <v>#N/A</v>
          </cell>
          <cell r="AQ533" t="e">
            <v>#N/A</v>
          </cell>
          <cell r="AR533" t="str">
            <v>$</v>
          </cell>
          <cell r="AS533" t="e">
            <v>#N/A</v>
          </cell>
          <cell r="AW533">
            <v>0</v>
          </cell>
          <cell r="AY533" t="str">
            <v>NB</v>
          </cell>
        </row>
        <row r="534">
          <cell r="AM534">
            <v>0</v>
          </cell>
          <cell r="AP534" t="e">
            <v>#N/A</v>
          </cell>
          <cell r="AQ534" t="e">
            <v>#N/A</v>
          </cell>
          <cell r="AR534" t="str">
            <v>$</v>
          </cell>
          <cell r="AS534" t="e">
            <v>#N/A</v>
          </cell>
          <cell r="AW534">
            <v>0</v>
          </cell>
          <cell r="AY534" t="str">
            <v>NB</v>
          </cell>
        </row>
        <row r="535">
          <cell r="AM535">
            <v>0</v>
          </cell>
          <cell r="AP535" t="e">
            <v>#N/A</v>
          </cell>
          <cell r="AQ535" t="e">
            <v>#N/A</v>
          </cell>
          <cell r="AR535" t="str">
            <v>$</v>
          </cell>
          <cell r="AS535" t="e">
            <v>#N/A</v>
          </cell>
          <cell r="AW535">
            <v>0</v>
          </cell>
          <cell r="AY535" t="str">
            <v>NB</v>
          </cell>
        </row>
        <row r="536">
          <cell r="AM536">
            <v>0</v>
          </cell>
          <cell r="AP536" t="e">
            <v>#N/A</v>
          </cell>
          <cell r="AQ536" t="e">
            <v>#N/A</v>
          </cell>
          <cell r="AR536" t="str">
            <v>$</v>
          </cell>
          <cell r="AS536" t="e">
            <v>#N/A</v>
          </cell>
          <cell r="AW536">
            <v>0</v>
          </cell>
          <cell r="AY536" t="str">
            <v>NB</v>
          </cell>
        </row>
        <row r="537">
          <cell r="AM537">
            <v>0</v>
          </cell>
          <cell r="AP537" t="e">
            <v>#N/A</v>
          </cell>
          <cell r="AQ537" t="e">
            <v>#N/A</v>
          </cell>
          <cell r="AR537" t="str">
            <v>$</v>
          </cell>
          <cell r="AS537" t="e">
            <v>#N/A</v>
          </cell>
          <cell r="AW537">
            <v>0</v>
          </cell>
          <cell r="AY537" t="str">
            <v>NB</v>
          </cell>
        </row>
        <row r="538">
          <cell r="AM538">
            <v>-51735.5</v>
          </cell>
          <cell r="AP538" t="str">
            <v>Véhicules neufs</v>
          </cell>
          <cell r="AQ538" t="str">
            <v>Camions détail</v>
          </cell>
          <cell r="AR538" t="str">
            <v>$</v>
          </cell>
          <cell r="AS538" t="str">
            <v>Oui</v>
          </cell>
          <cell r="AW538">
            <v>1</v>
          </cell>
          <cell r="AY538" t="str">
            <v>NB</v>
          </cell>
        </row>
        <row r="539">
          <cell r="AM539">
            <v>0</v>
          </cell>
          <cell r="AP539" t="str">
            <v>Véhicules neufs</v>
          </cell>
          <cell r="AQ539" t="str">
            <v>Camions electriques</v>
          </cell>
          <cell r="AR539" t="str">
            <v>$</v>
          </cell>
          <cell r="AS539" t="str">
            <v>Oui</v>
          </cell>
          <cell r="AW539">
            <v>0</v>
          </cell>
          <cell r="AY539" t="str">
            <v>NB</v>
          </cell>
        </row>
        <row r="540">
          <cell r="AM540">
            <v>0</v>
          </cell>
          <cell r="AP540" t="e">
            <v>#N/A</v>
          </cell>
          <cell r="AQ540" t="e">
            <v>#N/A</v>
          </cell>
          <cell r="AR540" t="str">
            <v>$</v>
          </cell>
          <cell r="AS540" t="e">
            <v>#N/A</v>
          </cell>
          <cell r="AW540">
            <v>0</v>
          </cell>
          <cell r="AY540" t="str">
            <v>NB</v>
          </cell>
        </row>
        <row r="541">
          <cell r="AM541">
            <v>0</v>
          </cell>
          <cell r="AP541" t="str">
            <v>Véhicules neufs</v>
          </cell>
          <cell r="AQ541" t="str">
            <v>Camions détail</v>
          </cell>
          <cell r="AR541" t="str">
            <v>$</v>
          </cell>
          <cell r="AS541" t="str">
            <v>Oui</v>
          </cell>
          <cell r="AW541">
            <v>0</v>
          </cell>
          <cell r="AY541" t="str">
            <v>NB</v>
          </cell>
        </row>
        <row r="542">
          <cell r="AM542">
            <v>0</v>
          </cell>
          <cell r="AP542" t="str">
            <v>Véhicules neufs</v>
          </cell>
          <cell r="AQ542" t="str">
            <v>Camions electriques</v>
          </cell>
          <cell r="AR542" t="str">
            <v>$</v>
          </cell>
          <cell r="AS542" t="str">
            <v>Oui</v>
          </cell>
          <cell r="AW542">
            <v>0</v>
          </cell>
          <cell r="AY542" t="str">
            <v>NB</v>
          </cell>
        </row>
        <row r="543">
          <cell r="AM543">
            <v>0</v>
          </cell>
          <cell r="AP543" t="e">
            <v>#N/A</v>
          </cell>
          <cell r="AQ543" t="e">
            <v>#N/A</v>
          </cell>
          <cell r="AR543" t="str">
            <v>$</v>
          </cell>
          <cell r="AS543" t="e">
            <v>#N/A</v>
          </cell>
          <cell r="AW543">
            <v>0</v>
          </cell>
          <cell r="AY543" t="str">
            <v>NB</v>
          </cell>
        </row>
        <row r="544">
          <cell r="AM544">
            <v>0</v>
          </cell>
          <cell r="AP544" t="e">
            <v>#N/A</v>
          </cell>
          <cell r="AQ544" t="e">
            <v>#N/A</v>
          </cell>
          <cell r="AR544" t="str">
            <v>$</v>
          </cell>
          <cell r="AS544" t="e">
            <v>#N/A</v>
          </cell>
          <cell r="AW544">
            <v>0</v>
          </cell>
          <cell r="AY544" t="str">
            <v>NB</v>
          </cell>
        </row>
        <row r="545">
          <cell r="AM545">
            <v>-57676.660000000033</v>
          </cell>
          <cell r="AP545" t="str">
            <v>Véhicules neufs</v>
          </cell>
          <cell r="AQ545" t="str">
            <v>Camions détail</v>
          </cell>
          <cell r="AR545" t="str">
            <v>$</v>
          </cell>
          <cell r="AS545" t="str">
            <v>Oui</v>
          </cell>
          <cell r="AW545">
            <v>1</v>
          </cell>
          <cell r="AY545" t="str">
            <v>NB</v>
          </cell>
        </row>
        <row r="546">
          <cell r="AM546">
            <v>-114917.5</v>
          </cell>
          <cell r="AP546" t="str">
            <v>Véhicules neufs</v>
          </cell>
          <cell r="AQ546" t="str">
            <v>Camions détail</v>
          </cell>
          <cell r="AR546" t="str">
            <v>$</v>
          </cell>
          <cell r="AS546" t="str">
            <v>Oui</v>
          </cell>
          <cell r="AW546">
            <v>2</v>
          </cell>
          <cell r="AY546" t="str">
            <v>NB</v>
          </cell>
        </row>
        <row r="547">
          <cell r="AM547">
            <v>0</v>
          </cell>
          <cell r="AP547" t="str">
            <v>Véhicules neufs</v>
          </cell>
          <cell r="AQ547" t="str">
            <v>Camions détail</v>
          </cell>
          <cell r="AR547" t="str">
            <v>$</v>
          </cell>
          <cell r="AS547" t="str">
            <v>Oui</v>
          </cell>
          <cell r="AW547">
            <v>0</v>
          </cell>
          <cell r="AY547" t="str">
            <v>NB</v>
          </cell>
        </row>
        <row r="548">
          <cell r="AM548">
            <v>-97264.260000000009</v>
          </cell>
          <cell r="AP548" t="str">
            <v>Véhicules neufs</v>
          </cell>
          <cell r="AQ548" t="str">
            <v>Camions détail</v>
          </cell>
          <cell r="AR548" t="str">
            <v>$</v>
          </cell>
          <cell r="AS548" t="str">
            <v>Oui</v>
          </cell>
          <cell r="AW548">
            <v>3</v>
          </cell>
          <cell r="AY548" t="str">
            <v>NB</v>
          </cell>
        </row>
        <row r="549">
          <cell r="AM549">
            <v>0</v>
          </cell>
          <cell r="AP549" t="e">
            <v>#N/A</v>
          </cell>
          <cell r="AQ549" t="e">
            <v>#N/A</v>
          </cell>
          <cell r="AR549" t="str">
            <v>$</v>
          </cell>
          <cell r="AS549" t="e">
            <v>#N/A</v>
          </cell>
          <cell r="AW549">
            <v>0</v>
          </cell>
          <cell r="AY549" t="str">
            <v>NB</v>
          </cell>
        </row>
        <row r="550">
          <cell r="AM550">
            <v>-63539</v>
          </cell>
          <cell r="AP550" t="str">
            <v>Véhicules neufs</v>
          </cell>
          <cell r="AQ550" t="str">
            <v>Camions détail</v>
          </cell>
          <cell r="AR550" t="str">
            <v>$</v>
          </cell>
          <cell r="AS550" t="str">
            <v>Oui</v>
          </cell>
          <cell r="AW550">
            <v>1</v>
          </cell>
          <cell r="AY550" t="str">
            <v>NB</v>
          </cell>
        </row>
        <row r="551">
          <cell r="AM551">
            <v>0</v>
          </cell>
          <cell r="AP551" t="str">
            <v>Véhicules neufs</v>
          </cell>
          <cell r="AQ551" t="str">
            <v>Camions détail</v>
          </cell>
          <cell r="AR551" t="str">
            <v>$</v>
          </cell>
          <cell r="AS551" t="str">
            <v>Oui</v>
          </cell>
          <cell r="AW551">
            <v>0</v>
          </cell>
          <cell r="AY551" t="str">
            <v>NB</v>
          </cell>
        </row>
        <row r="552">
          <cell r="AM552">
            <v>-35540.670000000013</v>
          </cell>
          <cell r="AP552" t="str">
            <v>Véhicules neufs</v>
          </cell>
          <cell r="AQ552" t="str">
            <v>Camions détail</v>
          </cell>
          <cell r="AR552" t="str">
            <v>$</v>
          </cell>
          <cell r="AS552" t="str">
            <v>Oui</v>
          </cell>
          <cell r="AW552">
            <v>1</v>
          </cell>
          <cell r="AY552" t="str">
            <v>NB</v>
          </cell>
        </row>
        <row r="553">
          <cell r="AM553">
            <v>0</v>
          </cell>
          <cell r="AP553" t="e">
            <v>#N/A</v>
          </cell>
          <cell r="AQ553" t="e">
            <v>#N/A</v>
          </cell>
          <cell r="AR553" t="str">
            <v>$</v>
          </cell>
          <cell r="AS553" t="e">
            <v>#N/A</v>
          </cell>
          <cell r="AW553">
            <v>0</v>
          </cell>
          <cell r="AY553" t="str">
            <v>NB</v>
          </cell>
        </row>
        <row r="554">
          <cell r="AM554">
            <v>-125055.15000000002</v>
          </cell>
          <cell r="AP554" t="str">
            <v>Véhicules neufs</v>
          </cell>
          <cell r="AQ554" t="str">
            <v>Camions détail</v>
          </cell>
          <cell r="AR554" t="str">
            <v>$</v>
          </cell>
          <cell r="AS554" t="str">
            <v>Oui</v>
          </cell>
          <cell r="AW554">
            <v>4</v>
          </cell>
          <cell r="AY554" t="str">
            <v>NB</v>
          </cell>
        </row>
        <row r="555">
          <cell r="AM555">
            <v>-188405</v>
          </cell>
          <cell r="AP555" t="str">
            <v>Véhicules neufs</v>
          </cell>
          <cell r="AQ555" t="str">
            <v>Camions détail</v>
          </cell>
          <cell r="AR555" t="str">
            <v>$</v>
          </cell>
          <cell r="AS555" t="str">
            <v>Oui</v>
          </cell>
          <cell r="AW555">
            <v>2</v>
          </cell>
          <cell r="AY555" t="str">
            <v>NB</v>
          </cell>
        </row>
        <row r="556">
          <cell r="AM556">
            <v>-1016209.21</v>
          </cell>
          <cell r="AP556" t="str">
            <v>Véhicules neufs</v>
          </cell>
          <cell r="AQ556" t="str">
            <v>Camions détail</v>
          </cell>
          <cell r="AR556" t="str">
            <v>$</v>
          </cell>
          <cell r="AS556" t="str">
            <v>Oui</v>
          </cell>
          <cell r="AW556">
            <v>15</v>
          </cell>
          <cell r="AY556" t="str">
            <v>NB</v>
          </cell>
        </row>
        <row r="557">
          <cell r="AM557">
            <v>0</v>
          </cell>
          <cell r="AP557" t="str">
            <v>Véhicules neufs</v>
          </cell>
          <cell r="AQ557" t="str">
            <v>Camions electriques</v>
          </cell>
          <cell r="AR557" t="str">
            <v>$</v>
          </cell>
          <cell r="AS557" t="str">
            <v>Oui</v>
          </cell>
          <cell r="AW557">
            <v>0</v>
          </cell>
          <cell r="AY557" t="str">
            <v>NB</v>
          </cell>
        </row>
        <row r="558">
          <cell r="AM558">
            <v>-203067</v>
          </cell>
          <cell r="AP558" t="str">
            <v>Véhicules neufs</v>
          </cell>
          <cell r="AQ558" t="str">
            <v>Camions détail</v>
          </cell>
          <cell r="AR558" t="str">
            <v>$</v>
          </cell>
          <cell r="AS558" t="str">
            <v>Oui</v>
          </cell>
          <cell r="AW558">
            <v>2</v>
          </cell>
          <cell r="AY558" t="str">
            <v>NB</v>
          </cell>
        </row>
        <row r="559">
          <cell r="AM559">
            <v>0</v>
          </cell>
          <cell r="AP559" t="e">
            <v>#N/A</v>
          </cell>
          <cell r="AQ559" t="e">
            <v>#N/A</v>
          </cell>
          <cell r="AR559" t="str">
            <v>$</v>
          </cell>
          <cell r="AS559" t="e">
            <v>#N/A</v>
          </cell>
          <cell r="AW559">
            <v>0</v>
          </cell>
          <cell r="AY559" t="str">
            <v>NB</v>
          </cell>
        </row>
        <row r="560">
          <cell r="AM560">
            <v>-670474.4700000002</v>
          </cell>
          <cell r="AP560" t="str">
            <v>Véhicules neufs</v>
          </cell>
          <cell r="AQ560" t="str">
            <v>Camions détail</v>
          </cell>
          <cell r="AR560" t="str">
            <v>$</v>
          </cell>
          <cell r="AS560" t="str">
            <v>Oui</v>
          </cell>
          <cell r="AW560">
            <v>7</v>
          </cell>
          <cell r="AY560" t="str">
            <v>NB</v>
          </cell>
        </row>
        <row r="561">
          <cell r="AM561">
            <v>-753130.83999999985</v>
          </cell>
          <cell r="AP561" t="str">
            <v>Véhicules neufs</v>
          </cell>
          <cell r="AQ561" t="str">
            <v>Camions détail</v>
          </cell>
          <cell r="AR561" t="str">
            <v>$</v>
          </cell>
          <cell r="AS561" t="str">
            <v>Oui</v>
          </cell>
          <cell r="AW561">
            <v>10</v>
          </cell>
          <cell r="AY561" t="str">
            <v>NB</v>
          </cell>
        </row>
        <row r="562">
          <cell r="AM562">
            <v>-319212</v>
          </cell>
          <cell r="AP562" t="str">
            <v>Véhicules neufs</v>
          </cell>
          <cell r="AQ562" t="str">
            <v>Camions electriques</v>
          </cell>
          <cell r="AR562" t="str">
            <v>$</v>
          </cell>
          <cell r="AS562" t="str">
            <v>Oui</v>
          </cell>
          <cell r="AW562">
            <v>3</v>
          </cell>
          <cell r="AY562" t="str">
            <v>NB</v>
          </cell>
        </row>
        <row r="563">
          <cell r="AM563">
            <v>0</v>
          </cell>
          <cell r="AP563" t="e">
            <v>#N/A</v>
          </cell>
          <cell r="AQ563" t="e">
            <v>#N/A</v>
          </cell>
          <cell r="AR563" t="str">
            <v>$</v>
          </cell>
          <cell r="AS563" t="e">
            <v>#N/A</v>
          </cell>
          <cell r="AW563">
            <v>0</v>
          </cell>
          <cell r="AY563" t="str">
            <v>NB</v>
          </cell>
        </row>
        <row r="564">
          <cell r="AM564">
            <v>0</v>
          </cell>
          <cell r="AP564" t="str">
            <v>Véhicules neufs</v>
          </cell>
          <cell r="AQ564" t="str">
            <v>Camions détail</v>
          </cell>
          <cell r="AR564" t="str">
            <v>$</v>
          </cell>
          <cell r="AS564" t="str">
            <v>Oui</v>
          </cell>
          <cell r="AW564">
            <v>0</v>
          </cell>
          <cell r="AY564" t="str">
            <v>NB</v>
          </cell>
        </row>
        <row r="565">
          <cell r="AM565">
            <v>-625673.20000000019</v>
          </cell>
          <cell r="AP565" t="str">
            <v>Véhicules neufs</v>
          </cell>
          <cell r="AQ565" t="str">
            <v>Camions détail</v>
          </cell>
          <cell r="AR565" t="str">
            <v>$</v>
          </cell>
          <cell r="AS565" t="str">
            <v>Oui</v>
          </cell>
          <cell r="AW565">
            <v>6</v>
          </cell>
          <cell r="AY565" t="str">
            <v>NB</v>
          </cell>
        </row>
        <row r="566">
          <cell r="AM566">
            <v>0</v>
          </cell>
          <cell r="AP566" t="str">
            <v>Véhicules neufs</v>
          </cell>
          <cell r="AQ566" t="str">
            <v>Camions détail</v>
          </cell>
          <cell r="AR566" t="str">
            <v>$</v>
          </cell>
          <cell r="AS566" t="str">
            <v>Oui</v>
          </cell>
          <cell r="AW566">
            <v>0</v>
          </cell>
          <cell r="AY566" t="str">
            <v>NB</v>
          </cell>
        </row>
        <row r="567">
          <cell r="AM567">
            <v>0</v>
          </cell>
          <cell r="AP567" t="str">
            <v>Véhicules neufs</v>
          </cell>
          <cell r="AQ567" t="str">
            <v>Camions détail</v>
          </cell>
          <cell r="AR567" t="str">
            <v>$</v>
          </cell>
          <cell r="AS567" t="str">
            <v>Oui</v>
          </cell>
          <cell r="AW567">
            <v>0</v>
          </cell>
          <cell r="AY567" t="str">
            <v>NB</v>
          </cell>
        </row>
        <row r="568">
          <cell r="AM568">
            <v>-62956</v>
          </cell>
          <cell r="AP568" t="str">
            <v>Véhicules neufs</v>
          </cell>
          <cell r="AQ568" t="str">
            <v>Camions electriques</v>
          </cell>
          <cell r="AR568" t="str">
            <v>$</v>
          </cell>
          <cell r="AS568" t="str">
            <v>Oui</v>
          </cell>
          <cell r="AW568">
            <v>1</v>
          </cell>
          <cell r="AY568" t="str">
            <v>NB</v>
          </cell>
        </row>
        <row r="569">
          <cell r="AM569">
            <v>0</v>
          </cell>
          <cell r="AP569" t="e">
            <v>#N/A</v>
          </cell>
          <cell r="AQ569" t="e">
            <v>#N/A</v>
          </cell>
          <cell r="AR569" t="str">
            <v>$</v>
          </cell>
          <cell r="AS569" t="e">
            <v>#N/A</v>
          </cell>
          <cell r="AW569">
            <v>0</v>
          </cell>
          <cell r="AY569" t="str">
            <v>NB</v>
          </cell>
        </row>
        <row r="570">
          <cell r="AM570">
            <v>-71991</v>
          </cell>
          <cell r="AP570" t="str">
            <v>Véhicules neufs</v>
          </cell>
          <cell r="AQ570" t="str">
            <v>Camions détail</v>
          </cell>
          <cell r="AR570" t="str">
            <v>$</v>
          </cell>
          <cell r="AS570" t="str">
            <v>Oui</v>
          </cell>
          <cell r="AW570">
            <v>2</v>
          </cell>
          <cell r="AY570" t="str">
            <v>NB</v>
          </cell>
        </row>
        <row r="571">
          <cell r="AM571">
            <v>-735739.88999999966</v>
          </cell>
          <cell r="AP571" t="str">
            <v>Véhicules neufs</v>
          </cell>
          <cell r="AQ571" t="str">
            <v>Camions electriques</v>
          </cell>
          <cell r="AR571" t="str">
            <v>$</v>
          </cell>
          <cell r="AS571" t="str">
            <v>Oui</v>
          </cell>
          <cell r="AW571">
            <v>14</v>
          </cell>
          <cell r="AY571" t="str">
            <v>NB</v>
          </cell>
        </row>
        <row r="572">
          <cell r="AM572">
            <v>0</v>
          </cell>
          <cell r="AP572" t="e">
            <v>#N/A</v>
          </cell>
          <cell r="AQ572" t="e">
            <v>#N/A</v>
          </cell>
          <cell r="AR572" t="str">
            <v>$</v>
          </cell>
          <cell r="AS572" t="e">
            <v>#N/A</v>
          </cell>
          <cell r="AW572">
            <v>0</v>
          </cell>
          <cell r="AY572" t="str">
            <v>NB</v>
          </cell>
        </row>
        <row r="573">
          <cell r="AM573">
            <v>0</v>
          </cell>
          <cell r="AP573" t="str">
            <v>Véhicules neufs</v>
          </cell>
          <cell r="AQ573" t="str">
            <v>Camions détail</v>
          </cell>
          <cell r="AR573" t="str">
            <v>$</v>
          </cell>
          <cell r="AS573" t="str">
            <v>Oui</v>
          </cell>
          <cell r="AW573">
            <v>0</v>
          </cell>
          <cell r="AY573" t="str">
            <v>NB</v>
          </cell>
        </row>
        <row r="574">
          <cell r="AM574">
            <v>0</v>
          </cell>
          <cell r="AP574" t="str">
            <v>Véhicules neufs</v>
          </cell>
          <cell r="AQ574" t="str">
            <v>Camions electriques</v>
          </cell>
          <cell r="AR574" t="str">
            <v>$</v>
          </cell>
          <cell r="AS574" t="str">
            <v>Oui</v>
          </cell>
          <cell r="AW574">
            <v>0</v>
          </cell>
          <cell r="AY574" t="str">
            <v>NB</v>
          </cell>
        </row>
        <row r="575">
          <cell r="AM575">
            <v>0</v>
          </cell>
          <cell r="AP575" t="e">
            <v>#N/A</v>
          </cell>
          <cell r="AQ575" t="e">
            <v>#N/A</v>
          </cell>
          <cell r="AR575" t="str">
            <v>$</v>
          </cell>
          <cell r="AS575" t="e">
            <v>#N/A</v>
          </cell>
          <cell r="AW575">
            <v>0</v>
          </cell>
          <cell r="AY575" t="str">
            <v>NB</v>
          </cell>
        </row>
        <row r="576">
          <cell r="AM576">
            <v>0</v>
          </cell>
          <cell r="AP576" t="str">
            <v>Véhicules neufs</v>
          </cell>
          <cell r="AQ576" t="str">
            <v>Camions détail</v>
          </cell>
          <cell r="AR576" t="str">
            <v>$</v>
          </cell>
          <cell r="AS576" t="str">
            <v>Oui</v>
          </cell>
          <cell r="AW576">
            <v>0</v>
          </cell>
          <cell r="AY576" t="str">
            <v>NB</v>
          </cell>
        </row>
        <row r="577">
          <cell r="AM577">
            <v>-117481</v>
          </cell>
          <cell r="AP577" t="str">
            <v>Véhicules neufs</v>
          </cell>
          <cell r="AQ577" t="str">
            <v>Camions détail</v>
          </cell>
          <cell r="AR577" t="str">
            <v>$</v>
          </cell>
          <cell r="AS577" t="str">
            <v>Oui</v>
          </cell>
          <cell r="AW577">
            <v>2</v>
          </cell>
          <cell r="AY577" t="str">
            <v>NB</v>
          </cell>
        </row>
        <row r="578">
          <cell r="AM578">
            <v>0</v>
          </cell>
          <cell r="AP578" t="e">
            <v>#N/A</v>
          </cell>
          <cell r="AQ578" t="e">
            <v>#N/A</v>
          </cell>
          <cell r="AR578" t="str">
            <v>$</v>
          </cell>
          <cell r="AS578" t="e">
            <v>#N/A</v>
          </cell>
          <cell r="AW578">
            <v>0</v>
          </cell>
          <cell r="AY578" t="str">
            <v>NB</v>
          </cell>
        </row>
        <row r="579">
          <cell r="AM579">
            <v>0</v>
          </cell>
          <cell r="AP579" t="e">
            <v>#N/A</v>
          </cell>
          <cell r="AQ579" t="e">
            <v>#N/A</v>
          </cell>
          <cell r="AR579" t="str">
            <v>$</v>
          </cell>
          <cell r="AS579" t="e">
            <v>#N/A</v>
          </cell>
          <cell r="AW579">
            <v>0</v>
          </cell>
          <cell r="AY579" t="str">
            <v>NB</v>
          </cell>
        </row>
        <row r="580">
          <cell r="AM580">
            <v>-5953154.9800000042</v>
          </cell>
          <cell r="AP580" t="str">
            <v>Véhicules neufs</v>
          </cell>
          <cell r="AQ580" t="str">
            <v>Flottes</v>
          </cell>
          <cell r="AR580" t="str">
            <v>$</v>
          </cell>
          <cell r="AS580" t="str">
            <v>Oui</v>
          </cell>
          <cell r="AW580">
            <v>93</v>
          </cell>
          <cell r="AY580" t="str">
            <v>NB</v>
          </cell>
        </row>
        <row r="581">
          <cell r="AM581">
            <v>0</v>
          </cell>
          <cell r="AP581" t="str">
            <v>Véhicules neufs</v>
          </cell>
          <cell r="AQ581" t="str">
            <v>Flottes</v>
          </cell>
          <cell r="AR581" t="str">
            <v>$</v>
          </cell>
          <cell r="AS581" t="str">
            <v>Oui</v>
          </cell>
          <cell r="AW581">
            <v>0</v>
          </cell>
          <cell r="AY581" t="str">
            <v>NB</v>
          </cell>
        </row>
        <row r="582">
          <cell r="AM582">
            <v>-75173.520000000019</v>
          </cell>
          <cell r="AP582" t="str">
            <v>Véhicules neufs</v>
          </cell>
          <cell r="AQ582" t="str">
            <v>Rev. Protections</v>
          </cell>
          <cell r="AR582" t="str">
            <v>$</v>
          </cell>
          <cell r="AS582" t="str">
            <v>Oui</v>
          </cell>
          <cell r="AW582">
            <v>21</v>
          </cell>
          <cell r="AY582" t="str">
            <v>NB</v>
          </cell>
        </row>
        <row r="583">
          <cell r="AM583">
            <v>0</v>
          </cell>
          <cell r="AP583" t="str">
            <v>Véhicules neufs</v>
          </cell>
          <cell r="AQ583" t="str">
            <v>Rev. Protections</v>
          </cell>
          <cell r="AR583" t="str">
            <v>$</v>
          </cell>
          <cell r="AS583" t="str">
            <v>Oui</v>
          </cell>
          <cell r="AW583">
            <v>0</v>
          </cell>
          <cell r="AY583" t="str">
            <v>NB</v>
          </cell>
        </row>
        <row r="584">
          <cell r="AM584">
            <v>0</v>
          </cell>
          <cell r="AP584" t="str">
            <v>Véhicules neufs</v>
          </cell>
          <cell r="AQ584" t="str">
            <v>Rev. Autres</v>
          </cell>
          <cell r="AR584" t="str">
            <v>$</v>
          </cell>
          <cell r="AS584" t="str">
            <v>Oui</v>
          </cell>
          <cell r="AW584">
            <v>0</v>
          </cell>
          <cell r="AY584" t="str">
            <v>NB</v>
          </cell>
        </row>
        <row r="585">
          <cell r="AM585">
            <v>-6350</v>
          </cell>
          <cell r="AP585" t="str">
            <v>Véhicules neufs</v>
          </cell>
          <cell r="AQ585" t="str">
            <v>Rev. Autres</v>
          </cell>
          <cell r="AR585" t="str">
            <v>$</v>
          </cell>
          <cell r="AS585" t="str">
            <v>Oui</v>
          </cell>
          <cell r="AW585">
            <v>12</v>
          </cell>
          <cell r="AY585" t="str">
            <v>NB</v>
          </cell>
        </row>
        <row r="586">
          <cell r="AM586">
            <v>-4384</v>
          </cell>
          <cell r="AP586" t="str">
            <v>Véhicules neufs</v>
          </cell>
          <cell r="AQ586" t="str">
            <v>Rev. Protections</v>
          </cell>
          <cell r="AR586" t="str">
            <v>$</v>
          </cell>
          <cell r="AS586" t="str">
            <v>Oui</v>
          </cell>
          <cell r="AW586">
            <v>2</v>
          </cell>
          <cell r="AY586" t="str">
            <v>NB</v>
          </cell>
        </row>
        <row r="587">
          <cell r="AM587">
            <v>-10197</v>
          </cell>
          <cell r="AP587" t="str">
            <v>Véhicules neufs</v>
          </cell>
          <cell r="AQ587" t="str">
            <v>Rev. Autres</v>
          </cell>
          <cell r="AR587" t="str">
            <v>$</v>
          </cell>
          <cell r="AS587" t="str">
            <v>Oui</v>
          </cell>
          <cell r="AW587">
            <v>22</v>
          </cell>
          <cell r="AY587" t="str">
            <v>NB</v>
          </cell>
        </row>
        <row r="588">
          <cell r="AM588">
            <v>0</v>
          </cell>
          <cell r="AP588" t="str">
            <v>Véhicules usagés</v>
          </cell>
          <cell r="AQ588" t="str">
            <v>Certifié</v>
          </cell>
          <cell r="AR588" t="str">
            <v>$</v>
          </cell>
          <cell r="AS588" t="str">
            <v>Oui</v>
          </cell>
          <cell r="AW588">
            <v>0</v>
          </cell>
          <cell r="AY588" t="str">
            <v>NB</v>
          </cell>
        </row>
        <row r="589">
          <cell r="AM589">
            <v>-78092</v>
          </cell>
          <cell r="AP589" t="str">
            <v>Véhicules usagés</v>
          </cell>
          <cell r="AQ589" t="str">
            <v>Non Certifié</v>
          </cell>
          <cell r="AR589" t="str">
            <v>$</v>
          </cell>
          <cell r="AS589" t="str">
            <v>Oui</v>
          </cell>
          <cell r="AW589">
            <v>3</v>
          </cell>
          <cell r="AY589" t="str">
            <v>NB</v>
          </cell>
        </row>
        <row r="590">
          <cell r="AM590">
            <v>0</v>
          </cell>
          <cell r="AP590" t="e">
            <v>#N/A</v>
          </cell>
          <cell r="AQ590" t="e">
            <v>#N/A</v>
          </cell>
          <cell r="AR590" t="str">
            <v>$</v>
          </cell>
          <cell r="AS590" t="e">
            <v>#N/A</v>
          </cell>
          <cell r="AW590">
            <v>0</v>
          </cell>
          <cell r="AY590" t="str">
            <v>NB</v>
          </cell>
        </row>
        <row r="591">
          <cell r="AM591">
            <v>0</v>
          </cell>
          <cell r="AP591">
            <v>0</v>
          </cell>
          <cell r="AQ591">
            <v>0</v>
          </cell>
          <cell r="AR591" t="str">
            <v>$</v>
          </cell>
          <cell r="AS591">
            <v>0</v>
          </cell>
          <cell r="AW591">
            <v>0</v>
          </cell>
          <cell r="AY591" t="str">
            <v>NB</v>
          </cell>
        </row>
        <row r="592">
          <cell r="AM592">
            <v>0</v>
          </cell>
          <cell r="AP592">
            <v>0</v>
          </cell>
          <cell r="AQ592">
            <v>0</v>
          </cell>
          <cell r="AR592" t="str">
            <v>$</v>
          </cell>
          <cell r="AS592">
            <v>0</v>
          </cell>
          <cell r="AW592">
            <v>0</v>
          </cell>
          <cell r="AY592" t="str">
            <v>NB</v>
          </cell>
        </row>
        <row r="593">
          <cell r="AM593">
            <v>0</v>
          </cell>
          <cell r="AP593">
            <v>0</v>
          </cell>
          <cell r="AQ593">
            <v>0</v>
          </cell>
          <cell r="AR593" t="str">
            <v>$</v>
          </cell>
          <cell r="AS593">
            <v>0</v>
          </cell>
          <cell r="AW593">
            <v>0</v>
          </cell>
          <cell r="AY593" t="str">
            <v>NB</v>
          </cell>
        </row>
        <row r="594">
          <cell r="AM594">
            <v>-18400</v>
          </cell>
          <cell r="AP594" t="str">
            <v>Véhicules usagés</v>
          </cell>
          <cell r="AQ594" t="str">
            <v>Ventes au Gros</v>
          </cell>
          <cell r="AR594" t="str">
            <v>$</v>
          </cell>
          <cell r="AS594" t="str">
            <v>Oui</v>
          </cell>
          <cell r="AW594">
            <v>2</v>
          </cell>
          <cell r="AY594" t="str">
            <v>NB</v>
          </cell>
        </row>
        <row r="595">
          <cell r="AM595">
            <v>0</v>
          </cell>
          <cell r="AP595">
            <v>0</v>
          </cell>
          <cell r="AQ595">
            <v>0</v>
          </cell>
          <cell r="AR595" t="str">
            <v>$</v>
          </cell>
          <cell r="AS595">
            <v>0</v>
          </cell>
          <cell r="AW595">
            <v>0</v>
          </cell>
          <cell r="AY595" t="str">
            <v>NB</v>
          </cell>
        </row>
        <row r="596">
          <cell r="AM596">
            <v>0</v>
          </cell>
          <cell r="AP596" t="str">
            <v>Véhicules usagés</v>
          </cell>
          <cell r="AQ596" t="str">
            <v>Ventes au Gros</v>
          </cell>
          <cell r="AR596" t="str">
            <v>$</v>
          </cell>
          <cell r="AS596" t="str">
            <v>Oui</v>
          </cell>
          <cell r="AW596">
            <v>0</v>
          </cell>
          <cell r="AY596" t="str">
            <v>NB</v>
          </cell>
        </row>
        <row r="597">
          <cell r="AM597">
            <v>-284816</v>
          </cell>
          <cell r="AP597" t="str">
            <v>Véhicules usagés</v>
          </cell>
          <cell r="AQ597" t="str">
            <v>Non Certifié</v>
          </cell>
          <cell r="AR597" t="str">
            <v>$</v>
          </cell>
          <cell r="AS597" t="str">
            <v>Oui</v>
          </cell>
          <cell r="AW597">
            <v>9</v>
          </cell>
          <cell r="AY597" t="str">
            <v>NB</v>
          </cell>
        </row>
        <row r="598">
          <cell r="AM598">
            <v>0</v>
          </cell>
          <cell r="AP598" t="e">
            <v>#N/A</v>
          </cell>
          <cell r="AQ598" t="e">
            <v>#N/A</v>
          </cell>
          <cell r="AR598" t="str">
            <v>$</v>
          </cell>
          <cell r="AS598" t="e">
            <v>#N/A</v>
          </cell>
          <cell r="AW598">
            <v>0</v>
          </cell>
          <cell r="AY598" t="str">
            <v>NB</v>
          </cell>
        </row>
        <row r="599">
          <cell r="AM599">
            <v>0</v>
          </cell>
          <cell r="AP599">
            <v>0</v>
          </cell>
          <cell r="AQ599">
            <v>0</v>
          </cell>
          <cell r="AR599" t="str">
            <v>$</v>
          </cell>
          <cell r="AS599">
            <v>0</v>
          </cell>
          <cell r="AW599">
            <v>0</v>
          </cell>
          <cell r="AY599" t="str">
            <v>NB</v>
          </cell>
        </row>
        <row r="600">
          <cell r="AM600">
            <v>0</v>
          </cell>
          <cell r="AP600">
            <v>0</v>
          </cell>
          <cell r="AQ600">
            <v>0</v>
          </cell>
          <cell r="AR600" t="str">
            <v>$</v>
          </cell>
          <cell r="AS600">
            <v>0</v>
          </cell>
          <cell r="AW600">
            <v>0</v>
          </cell>
          <cell r="AY600" t="str">
            <v>NB</v>
          </cell>
        </row>
        <row r="601">
          <cell r="AM601">
            <v>0</v>
          </cell>
          <cell r="AP601">
            <v>0</v>
          </cell>
          <cell r="AQ601">
            <v>0</v>
          </cell>
          <cell r="AR601" t="str">
            <v>$</v>
          </cell>
          <cell r="AS601">
            <v>0</v>
          </cell>
          <cell r="AW601">
            <v>0</v>
          </cell>
          <cell r="AY601" t="str">
            <v>NB</v>
          </cell>
        </row>
        <row r="602">
          <cell r="AM602">
            <v>-1655984.7599999998</v>
          </cell>
          <cell r="AP602" t="str">
            <v>Véhicules usagés</v>
          </cell>
          <cell r="AQ602" t="str">
            <v>Ventes au Gros</v>
          </cell>
          <cell r="AR602" t="str">
            <v>$</v>
          </cell>
          <cell r="AS602" t="str">
            <v>Oui</v>
          </cell>
          <cell r="AW602">
            <v>45</v>
          </cell>
          <cell r="AY602" t="str">
            <v>NB</v>
          </cell>
        </row>
        <row r="603">
          <cell r="AM603">
            <v>-2135700</v>
          </cell>
          <cell r="AP603" t="str">
            <v>Wholesale autres</v>
          </cell>
          <cell r="AQ603" t="str">
            <v>Wholesale Luxueux</v>
          </cell>
          <cell r="AR603" t="str">
            <v>$</v>
          </cell>
          <cell r="AS603" t="str">
            <v>Oui</v>
          </cell>
          <cell r="AW603">
            <v>11</v>
          </cell>
          <cell r="AY603" t="str">
            <v>NB</v>
          </cell>
        </row>
        <row r="604">
          <cell r="AM604">
            <v>0</v>
          </cell>
          <cell r="AP604">
            <v>0</v>
          </cell>
          <cell r="AQ604">
            <v>0</v>
          </cell>
          <cell r="AR604" t="str">
            <v>$</v>
          </cell>
          <cell r="AS604">
            <v>0</v>
          </cell>
          <cell r="AW604">
            <v>0</v>
          </cell>
          <cell r="AY604" t="str">
            <v>NB</v>
          </cell>
        </row>
        <row r="605">
          <cell r="AM605">
            <v>-6585</v>
          </cell>
          <cell r="AP605" t="str">
            <v>Véhicules usagés</v>
          </cell>
          <cell r="AQ605" t="str">
            <v>Rev. Protections</v>
          </cell>
          <cell r="AR605" t="str">
            <v>$</v>
          </cell>
          <cell r="AS605" t="str">
            <v>Oui</v>
          </cell>
          <cell r="AW605">
            <v>2</v>
          </cell>
          <cell r="AY605" t="str">
            <v>NB</v>
          </cell>
        </row>
        <row r="606">
          <cell r="AM606">
            <v>0</v>
          </cell>
          <cell r="AP606" t="str">
            <v>Véhicules usagés</v>
          </cell>
          <cell r="AQ606" t="str">
            <v>Rev. Protections</v>
          </cell>
          <cell r="AR606" t="str">
            <v>$</v>
          </cell>
          <cell r="AS606" t="str">
            <v>Oui</v>
          </cell>
          <cell r="AW606">
            <v>0</v>
          </cell>
          <cell r="AY606" t="str">
            <v>NB</v>
          </cell>
        </row>
        <row r="607">
          <cell r="AM607">
            <v>-1022</v>
          </cell>
          <cell r="AP607" t="str">
            <v>Véhicules usagés</v>
          </cell>
          <cell r="AQ607" t="str">
            <v>Rev. Protections</v>
          </cell>
          <cell r="AR607" t="str">
            <v>$</v>
          </cell>
          <cell r="AS607" t="str">
            <v>Oui</v>
          </cell>
          <cell r="AW607">
            <v>1</v>
          </cell>
          <cell r="AY607" t="str">
            <v>NB</v>
          </cell>
        </row>
        <row r="608">
          <cell r="AM608">
            <v>0</v>
          </cell>
          <cell r="AP608" t="str">
            <v>Wholesale autres</v>
          </cell>
          <cell r="AQ608" t="str">
            <v>Wholesale USA</v>
          </cell>
          <cell r="AR608" t="str">
            <v>$</v>
          </cell>
          <cell r="AS608" t="str">
            <v>Oui</v>
          </cell>
          <cell r="AW608">
            <v>0</v>
          </cell>
          <cell r="AY608" t="str">
            <v>NB</v>
          </cell>
        </row>
        <row r="609">
          <cell r="AM609">
            <v>0</v>
          </cell>
          <cell r="AP609" t="str">
            <v>Wholesale autres</v>
          </cell>
          <cell r="AQ609" t="str">
            <v>Wholesale USA</v>
          </cell>
          <cell r="AR609" t="str">
            <v>$</v>
          </cell>
          <cell r="AS609" t="str">
            <v>Oui</v>
          </cell>
          <cell r="AW609">
            <v>0</v>
          </cell>
          <cell r="AY609" t="str">
            <v>NB</v>
          </cell>
        </row>
        <row r="610">
          <cell r="AM610">
            <v>-2014170.7699999996</v>
          </cell>
          <cell r="AP610" t="str">
            <v>Wholesale autres</v>
          </cell>
          <cell r="AQ610" t="str">
            <v>Wholesale USA</v>
          </cell>
          <cell r="AR610" t="str">
            <v>$</v>
          </cell>
          <cell r="AS610" t="str">
            <v>Oui</v>
          </cell>
          <cell r="AW610">
            <v>60</v>
          </cell>
          <cell r="AY610" t="str">
            <v>NB</v>
          </cell>
        </row>
        <row r="611">
          <cell r="AM611">
            <v>-62929.130000000005</v>
          </cell>
          <cell r="AP611" t="str">
            <v>Service</v>
          </cell>
          <cell r="AQ611" t="str">
            <v>M/O Client</v>
          </cell>
          <cell r="AR611" t="str">
            <v>$</v>
          </cell>
          <cell r="AS611" t="str">
            <v>Oui</v>
          </cell>
          <cell r="AW611">
            <v>169</v>
          </cell>
          <cell r="AY611" t="str">
            <v>NB</v>
          </cell>
        </row>
        <row r="612">
          <cell r="AM612">
            <v>0</v>
          </cell>
          <cell r="AP612" t="e">
            <v>#N/A</v>
          </cell>
          <cell r="AQ612" t="e">
            <v>#N/A</v>
          </cell>
          <cell r="AR612" t="str">
            <v>$</v>
          </cell>
          <cell r="AS612" t="e">
            <v>#N/A</v>
          </cell>
          <cell r="AW612">
            <v>0</v>
          </cell>
          <cell r="AY612" t="str">
            <v>NB</v>
          </cell>
        </row>
        <row r="613">
          <cell r="AM613">
            <v>0</v>
          </cell>
          <cell r="AP613" t="e">
            <v>#N/A</v>
          </cell>
          <cell r="AQ613" t="e">
            <v>#N/A</v>
          </cell>
          <cell r="AR613" t="str">
            <v>$</v>
          </cell>
          <cell r="AS613" t="e">
            <v>#N/A</v>
          </cell>
          <cell r="AW613">
            <v>0</v>
          </cell>
          <cell r="AY613" t="str">
            <v>NB</v>
          </cell>
        </row>
        <row r="614">
          <cell r="AM614">
            <v>-2508.6199999999953</v>
          </cell>
          <cell r="AP614" t="str">
            <v>Service</v>
          </cell>
          <cell r="AQ614" t="str">
            <v>M/O Client</v>
          </cell>
          <cell r="AR614" t="str">
            <v>$</v>
          </cell>
          <cell r="AS614" t="str">
            <v>Oui</v>
          </cell>
          <cell r="AW614">
            <v>14</v>
          </cell>
          <cell r="AY614" t="str">
            <v>NB</v>
          </cell>
        </row>
        <row r="615">
          <cell r="AM615">
            <v>-84875</v>
          </cell>
          <cell r="AP615" t="str">
            <v>SAAQ</v>
          </cell>
          <cell r="AQ615" t="str">
            <v>Inspection - Véhicules Légers</v>
          </cell>
          <cell r="AR615" t="str">
            <v>$</v>
          </cell>
          <cell r="AS615" t="str">
            <v>Oui</v>
          </cell>
          <cell r="AW615">
            <v>611</v>
          </cell>
          <cell r="AY615" t="str">
            <v>NB</v>
          </cell>
        </row>
        <row r="616">
          <cell r="AM616">
            <v>0</v>
          </cell>
          <cell r="AP616" t="str">
            <v>SAAQ</v>
          </cell>
          <cell r="AQ616" t="str">
            <v>Inspection - Véhicules Interne</v>
          </cell>
          <cell r="AR616" t="str">
            <v>$</v>
          </cell>
          <cell r="AS616" t="str">
            <v>Oui</v>
          </cell>
          <cell r="AW616">
            <v>0</v>
          </cell>
          <cell r="AY616" t="str">
            <v>NB</v>
          </cell>
        </row>
        <row r="617">
          <cell r="AM617">
            <v>0</v>
          </cell>
          <cell r="AP617" t="str">
            <v>SAAQ</v>
          </cell>
          <cell r="AQ617" t="str">
            <v>Inspection - Véhicules Lourds</v>
          </cell>
          <cell r="AR617" t="str">
            <v>$</v>
          </cell>
          <cell r="AS617" t="str">
            <v>Oui</v>
          </cell>
          <cell r="AW617">
            <v>0</v>
          </cell>
          <cell r="AY617" t="str">
            <v>NB</v>
          </cell>
        </row>
        <row r="618">
          <cell r="AM618">
            <v>-42415.419999999984</v>
          </cell>
          <cell r="AP618" t="str">
            <v>Service</v>
          </cell>
          <cell r="AQ618" t="str">
            <v>M/O Garantie</v>
          </cell>
          <cell r="AR618" t="str">
            <v>$</v>
          </cell>
          <cell r="AS618" t="str">
            <v>Oui</v>
          </cell>
          <cell r="AW618">
            <v>287</v>
          </cell>
          <cell r="AY618" t="str">
            <v>NB</v>
          </cell>
        </row>
        <row r="619">
          <cell r="AM619">
            <v>-35692.549999999988</v>
          </cell>
          <cell r="AP619" t="str">
            <v>Service</v>
          </cell>
          <cell r="AQ619" t="str">
            <v>M/O Interne</v>
          </cell>
          <cell r="AR619" t="str">
            <v>$</v>
          </cell>
          <cell r="AS619" t="str">
            <v>Oui</v>
          </cell>
          <cell r="AW619">
            <v>270</v>
          </cell>
          <cell r="AY619" t="str">
            <v>NB</v>
          </cell>
        </row>
        <row r="620">
          <cell r="AM620">
            <v>-3260</v>
          </cell>
          <cell r="AP620" t="str">
            <v>SAAQ</v>
          </cell>
          <cell r="AQ620" t="str">
            <v>Inspection - Véhicules Interne</v>
          </cell>
          <cell r="AR620" t="str">
            <v>$</v>
          </cell>
          <cell r="AS620" t="str">
            <v>Oui</v>
          </cell>
          <cell r="AW620">
            <v>26</v>
          </cell>
          <cell r="AY620" t="str">
            <v>NB</v>
          </cell>
        </row>
        <row r="621">
          <cell r="AM621">
            <v>-27544.119999999995</v>
          </cell>
          <cell r="AP621" t="str">
            <v>Service</v>
          </cell>
          <cell r="AQ621" t="str">
            <v>M/O Interne</v>
          </cell>
          <cell r="AR621" t="str">
            <v>$</v>
          </cell>
          <cell r="AS621" t="str">
            <v>Oui</v>
          </cell>
          <cell r="AW621">
            <v>185</v>
          </cell>
          <cell r="AY621" t="str">
            <v>NB</v>
          </cell>
        </row>
        <row r="622">
          <cell r="AM622">
            <v>0</v>
          </cell>
          <cell r="AP622" t="e">
            <v>#N/A</v>
          </cell>
          <cell r="AQ622" t="e">
            <v>#N/A</v>
          </cell>
          <cell r="AR622" t="str">
            <v>$</v>
          </cell>
          <cell r="AS622" t="e">
            <v>#N/A</v>
          </cell>
          <cell r="AW622">
            <v>0</v>
          </cell>
          <cell r="AY622" t="str">
            <v>NB</v>
          </cell>
        </row>
        <row r="623">
          <cell r="AM623">
            <v>0</v>
          </cell>
          <cell r="AP623">
            <v>0</v>
          </cell>
          <cell r="AQ623">
            <v>0</v>
          </cell>
          <cell r="AR623" t="str">
            <v>$</v>
          </cell>
          <cell r="AS623">
            <v>0</v>
          </cell>
          <cell r="AW623">
            <v>0</v>
          </cell>
          <cell r="AY623" t="str">
            <v>NB</v>
          </cell>
        </row>
        <row r="624">
          <cell r="AM624">
            <v>-20615.989999999991</v>
          </cell>
          <cell r="AP624" t="str">
            <v>Service</v>
          </cell>
          <cell r="AQ624" t="str">
            <v>Sous-traitement</v>
          </cell>
          <cell r="AR624" t="str">
            <v>$</v>
          </cell>
          <cell r="AS624" t="str">
            <v>Oui</v>
          </cell>
          <cell r="AW624">
            <v>50</v>
          </cell>
          <cell r="AY624" t="str">
            <v>NB</v>
          </cell>
        </row>
        <row r="625">
          <cell r="AM625">
            <v>0</v>
          </cell>
          <cell r="AP625" t="str">
            <v>SAAQ</v>
          </cell>
          <cell r="AQ625" t="str">
            <v>Inspection - Véhicules Interne</v>
          </cell>
          <cell r="AR625" t="str">
            <v>$</v>
          </cell>
          <cell r="AS625" t="str">
            <v>Oui</v>
          </cell>
          <cell r="AW625">
            <v>0</v>
          </cell>
          <cell r="AY625" t="str">
            <v>NB</v>
          </cell>
        </row>
        <row r="626">
          <cell r="AM626">
            <v>0</v>
          </cell>
          <cell r="AP626" t="e">
            <v>#N/A</v>
          </cell>
          <cell r="AQ626" t="e">
            <v>#N/A</v>
          </cell>
          <cell r="AR626" t="str">
            <v>$</v>
          </cell>
          <cell r="AS626" t="e">
            <v>#N/A</v>
          </cell>
          <cell r="AW626">
            <v>0</v>
          </cell>
          <cell r="AY626" t="str">
            <v>NB</v>
          </cell>
        </row>
        <row r="627">
          <cell r="AM627">
            <v>-56069.880000000005</v>
          </cell>
          <cell r="AP627" t="str">
            <v>Pièces</v>
          </cell>
          <cell r="AQ627" t="str">
            <v>Pièces Ro Clients</v>
          </cell>
          <cell r="AR627" t="str">
            <v>$</v>
          </cell>
          <cell r="AS627" t="str">
            <v>Oui</v>
          </cell>
          <cell r="AW627">
            <v>188</v>
          </cell>
          <cell r="AY627" t="str">
            <v>NB</v>
          </cell>
        </row>
        <row r="628">
          <cell r="AM628">
            <v>0</v>
          </cell>
          <cell r="AP628" t="str">
            <v>Pièces</v>
          </cell>
          <cell r="AQ628" t="str">
            <v>Pièces Ro Clients</v>
          </cell>
          <cell r="AR628" t="str">
            <v>$</v>
          </cell>
          <cell r="AS628" t="str">
            <v>Oui</v>
          </cell>
          <cell r="AW628">
            <v>0</v>
          </cell>
          <cell r="AY628" t="str">
            <v>NB</v>
          </cell>
        </row>
        <row r="629">
          <cell r="AM629">
            <v>0</v>
          </cell>
          <cell r="AP629">
            <v>0</v>
          </cell>
          <cell r="AQ629">
            <v>0</v>
          </cell>
          <cell r="AR629" t="str">
            <v>$</v>
          </cell>
          <cell r="AS629">
            <v>0</v>
          </cell>
          <cell r="AW629">
            <v>0</v>
          </cell>
          <cell r="AY629" t="str">
            <v>NB</v>
          </cell>
        </row>
        <row r="630">
          <cell r="AM630">
            <v>0</v>
          </cell>
          <cell r="AP630">
            <v>0</v>
          </cell>
          <cell r="AQ630">
            <v>0</v>
          </cell>
          <cell r="AR630" t="str">
            <v>$</v>
          </cell>
          <cell r="AS630">
            <v>0</v>
          </cell>
          <cell r="AW630">
            <v>0</v>
          </cell>
          <cell r="AY630" t="str">
            <v>NB</v>
          </cell>
        </row>
        <row r="631">
          <cell r="AM631">
            <v>0</v>
          </cell>
          <cell r="AP631">
            <v>0</v>
          </cell>
          <cell r="AQ631">
            <v>0</v>
          </cell>
          <cell r="AR631" t="str">
            <v>$</v>
          </cell>
          <cell r="AS631">
            <v>0</v>
          </cell>
          <cell r="AW631">
            <v>0</v>
          </cell>
          <cell r="AY631" t="str">
            <v>NB</v>
          </cell>
        </row>
        <row r="632">
          <cell r="AM632">
            <v>0</v>
          </cell>
          <cell r="AP632" t="e">
            <v>#N/A</v>
          </cell>
          <cell r="AQ632" t="e">
            <v>#N/A</v>
          </cell>
          <cell r="AR632" t="str">
            <v>$</v>
          </cell>
          <cell r="AS632" t="e">
            <v>#N/A</v>
          </cell>
          <cell r="AW632">
            <v>0</v>
          </cell>
          <cell r="AY632" t="str">
            <v>NB</v>
          </cell>
        </row>
        <row r="633">
          <cell r="AM633">
            <v>-2800.7999999999993</v>
          </cell>
          <cell r="AP633" t="str">
            <v>Service</v>
          </cell>
          <cell r="AQ633" t="str">
            <v>Sous-traitement</v>
          </cell>
          <cell r="AR633" t="str">
            <v>$</v>
          </cell>
          <cell r="AS633" t="str">
            <v>Oui</v>
          </cell>
          <cell r="AW633">
            <v>248</v>
          </cell>
          <cell r="AY633" t="str">
            <v>NB</v>
          </cell>
        </row>
        <row r="634">
          <cell r="AM634">
            <v>0</v>
          </cell>
          <cell r="AP634" t="str">
            <v>Carrosserie</v>
          </cell>
          <cell r="AQ634" t="str">
            <v>Carrosserie Clients</v>
          </cell>
          <cell r="AR634" t="str">
            <v>$</v>
          </cell>
          <cell r="AS634" t="str">
            <v>Oui</v>
          </cell>
          <cell r="AW634">
            <v>1</v>
          </cell>
          <cell r="AY634" t="str">
            <v>NB</v>
          </cell>
        </row>
        <row r="635">
          <cell r="AM635">
            <v>-57794.450000000012</v>
          </cell>
          <cell r="AP635" t="str">
            <v>Carrosserie</v>
          </cell>
          <cell r="AQ635" t="str">
            <v>Carrosserie Clients</v>
          </cell>
          <cell r="AR635" t="str">
            <v>$</v>
          </cell>
          <cell r="AS635" t="str">
            <v>Oui</v>
          </cell>
          <cell r="AW635">
            <v>43</v>
          </cell>
          <cell r="AY635" t="str">
            <v>NB</v>
          </cell>
        </row>
        <row r="636">
          <cell r="AM636">
            <v>0</v>
          </cell>
          <cell r="AP636" t="str">
            <v>Carrosserie</v>
          </cell>
          <cell r="AQ636" t="str">
            <v>Carrosserie Interne</v>
          </cell>
          <cell r="AR636" t="str">
            <v>$</v>
          </cell>
          <cell r="AS636" t="str">
            <v>Oui</v>
          </cell>
          <cell r="AW636">
            <v>0</v>
          </cell>
          <cell r="AY636" t="str">
            <v>NB</v>
          </cell>
        </row>
        <row r="637">
          <cell r="AM637">
            <v>-6317.7599999999984</v>
          </cell>
          <cell r="AP637" t="str">
            <v>Carrosserie</v>
          </cell>
          <cell r="AQ637" t="str">
            <v>Carrosserie Interne</v>
          </cell>
          <cell r="AR637" t="str">
            <v>$</v>
          </cell>
          <cell r="AS637" t="str">
            <v>Oui</v>
          </cell>
          <cell r="AW637">
            <v>11</v>
          </cell>
          <cell r="AY637" t="str">
            <v>NB</v>
          </cell>
        </row>
        <row r="638">
          <cell r="AM638">
            <v>0</v>
          </cell>
          <cell r="AP638" t="str">
            <v>Carrosserie</v>
          </cell>
          <cell r="AQ638" t="str">
            <v>Ajustement M/O Carrosserie</v>
          </cell>
          <cell r="AR638" t="str">
            <v>$</v>
          </cell>
          <cell r="AS638" t="str">
            <v>Oui</v>
          </cell>
          <cell r="AW638">
            <v>0</v>
          </cell>
          <cell r="AY638" t="str">
            <v>NB</v>
          </cell>
        </row>
        <row r="639">
          <cell r="AM639">
            <v>-121530.18000000005</v>
          </cell>
          <cell r="AP639" t="str">
            <v>Carrosserie</v>
          </cell>
          <cell r="AQ639" t="str">
            <v>Carrosserie Clients</v>
          </cell>
          <cell r="AR639" t="str">
            <v>$</v>
          </cell>
          <cell r="AS639" t="str">
            <v>Oui</v>
          </cell>
          <cell r="AW639">
            <v>42</v>
          </cell>
          <cell r="AY639" t="str">
            <v>NB</v>
          </cell>
        </row>
        <row r="640">
          <cell r="AM640">
            <v>0</v>
          </cell>
          <cell r="AP640" t="str">
            <v>Pièces</v>
          </cell>
          <cell r="AQ640" t="str">
            <v>Pièces Ro Carrosserie</v>
          </cell>
          <cell r="AR640" t="str">
            <v>$</v>
          </cell>
          <cell r="AS640" t="str">
            <v>Oui</v>
          </cell>
          <cell r="AW640">
            <v>2</v>
          </cell>
          <cell r="AY640" t="str">
            <v>NB</v>
          </cell>
        </row>
        <row r="641">
          <cell r="AM641">
            <v>0</v>
          </cell>
          <cell r="AP641">
            <v>0</v>
          </cell>
          <cell r="AQ641">
            <v>0</v>
          </cell>
          <cell r="AR641" t="str">
            <v>$</v>
          </cell>
          <cell r="AS641">
            <v>0</v>
          </cell>
          <cell r="AW641">
            <v>0</v>
          </cell>
          <cell r="AY641" t="str">
            <v>NB</v>
          </cell>
        </row>
        <row r="642">
          <cell r="AM642">
            <v>0</v>
          </cell>
          <cell r="AP642">
            <v>0</v>
          </cell>
          <cell r="AQ642">
            <v>0</v>
          </cell>
          <cell r="AR642" t="str">
            <v>$</v>
          </cell>
          <cell r="AS642">
            <v>0</v>
          </cell>
          <cell r="AW642">
            <v>0</v>
          </cell>
          <cell r="AY642" t="str">
            <v>NB</v>
          </cell>
        </row>
        <row r="643">
          <cell r="AM643">
            <v>-18501.020000000004</v>
          </cell>
          <cell r="AP643" t="str">
            <v>Carrosserie</v>
          </cell>
          <cell r="AQ643" t="str">
            <v>Carrosserie Clients</v>
          </cell>
          <cell r="AR643" t="str">
            <v>$</v>
          </cell>
          <cell r="AS643" t="str">
            <v>Oui</v>
          </cell>
          <cell r="AW643">
            <v>36</v>
          </cell>
          <cell r="AY643" t="str">
            <v>NB</v>
          </cell>
        </row>
        <row r="644">
          <cell r="AM644">
            <v>-33016.760000000009</v>
          </cell>
          <cell r="AP644" t="str">
            <v>Pièces</v>
          </cell>
          <cell r="AQ644" t="str">
            <v>P/A Garantie</v>
          </cell>
          <cell r="AR644" t="str">
            <v>$</v>
          </cell>
          <cell r="AS644" t="str">
            <v>Oui</v>
          </cell>
          <cell r="AW644">
            <v>181</v>
          </cell>
          <cell r="AY644" t="str">
            <v>NB</v>
          </cell>
        </row>
        <row r="645">
          <cell r="AM645">
            <v>0</v>
          </cell>
          <cell r="AP645" t="str">
            <v>Pièces</v>
          </cell>
          <cell r="AQ645" t="str">
            <v>P/A Garantie</v>
          </cell>
          <cell r="AR645" t="str">
            <v>$</v>
          </cell>
          <cell r="AS645" t="str">
            <v>Oui</v>
          </cell>
          <cell r="AW645">
            <v>0</v>
          </cell>
          <cell r="AY645" t="str">
            <v>NB</v>
          </cell>
        </row>
        <row r="646">
          <cell r="AM646">
            <v>-63526.010000000009</v>
          </cell>
          <cell r="AP646" t="str">
            <v>Pièces</v>
          </cell>
          <cell r="AQ646" t="str">
            <v>Ventes Internes</v>
          </cell>
          <cell r="AR646" t="str">
            <v>$</v>
          </cell>
          <cell r="AS646" t="str">
            <v>Oui</v>
          </cell>
          <cell r="AW646">
            <v>176</v>
          </cell>
          <cell r="AY646" t="str">
            <v>NB</v>
          </cell>
        </row>
        <row r="647">
          <cell r="AM647">
            <v>0</v>
          </cell>
          <cell r="AP647" t="str">
            <v>Pièces</v>
          </cell>
          <cell r="AQ647" t="str">
            <v>Ventes Internes</v>
          </cell>
          <cell r="AR647" t="str">
            <v>$</v>
          </cell>
          <cell r="AS647" t="str">
            <v>Oui</v>
          </cell>
          <cell r="AW647">
            <v>0</v>
          </cell>
          <cell r="AY647" t="str">
            <v>NB</v>
          </cell>
        </row>
        <row r="648">
          <cell r="AM648">
            <v>-22368.210000000021</v>
          </cell>
          <cell r="AP648" t="str">
            <v>Pièces</v>
          </cell>
          <cell r="AQ648" t="str">
            <v>Ventes Détails</v>
          </cell>
          <cell r="AR648" t="str">
            <v>$</v>
          </cell>
          <cell r="AS648" t="str">
            <v>Oui</v>
          </cell>
          <cell r="AW648">
            <v>130</v>
          </cell>
          <cell r="AY648" t="str">
            <v>NB</v>
          </cell>
        </row>
        <row r="649">
          <cell r="AM649">
            <v>-130237.25</v>
          </cell>
          <cell r="AP649" t="str">
            <v>Pièces</v>
          </cell>
          <cell r="AQ649" t="str">
            <v>Ventes de Gros</v>
          </cell>
          <cell r="AR649" t="str">
            <v>$</v>
          </cell>
          <cell r="AS649" t="str">
            <v>Oui</v>
          </cell>
          <cell r="AW649">
            <v>355</v>
          </cell>
          <cell r="AY649" t="str">
            <v>NB</v>
          </cell>
        </row>
        <row r="650">
          <cell r="AM650">
            <v>0</v>
          </cell>
          <cell r="AP650">
            <v>0</v>
          </cell>
          <cell r="AQ650">
            <v>0</v>
          </cell>
          <cell r="AR650" t="str">
            <v>$</v>
          </cell>
          <cell r="AS650">
            <v>0</v>
          </cell>
          <cell r="AW650">
            <v>0</v>
          </cell>
          <cell r="AY650" t="str">
            <v>NB</v>
          </cell>
        </row>
        <row r="651">
          <cell r="AM651">
            <v>0</v>
          </cell>
          <cell r="AP651">
            <v>0</v>
          </cell>
          <cell r="AQ651">
            <v>0</v>
          </cell>
          <cell r="AR651" t="str">
            <v>$</v>
          </cell>
          <cell r="AS651">
            <v>0</v>
          </cell>
          <cell r="AW651">
            <v>0</v>
          </cell>
          <cell r="AY651" t="str">
            <v>NB</v>
          </cell>
        </row>
        <row r="652">
          <cell r="AM652">
            <v>-3728.3699999999953</v>
          </cell>
          <cell r="AP652" t="str">
            <v>Pièces</v>
          </cell>
          <cell r="AQ652" t="str">
            <v>Ventes Pneus</v>
          </cell>
          <cell r="AR652" t="str">
            <v>$</v>
          </cell>
          <cell r="AS652" t="str">
            <v>Oui</v>
          </cell>
          <cell r="AW652">
            <v>6</v>
          </cell>
          <cell r="AY652" t="str">
            <v>NB</v>
          </cell>
        </row>
        <row r="653">
          <cell r="AM653">
            <v>-14938.45</v>
          </cell>
          <cell r="AP653" t="str">
            <v>Pièces</v>
          </cell>
          <cell r="AQ653" t="str">
            <v>Huiles et Graisse</v>
          </cell>
          <cell r="AR653" t="str">
            <v>$</v>
          </cell>
          <cell r="AS653" t="str">
            <v>Oui</v>
          </cell>
          <cell r="AW653">
            <v>173</v>
          </cell>
          <cell r="AY653" t="str">
            <v>NB</v>
          </cell>
        </row>
        <row r="654">
          <cell r="AM654">
            <v>0</v>
          </cell>
          <cell r="AP654" t="str">
            <v>Service</v>
          </cell>
          <cell r="AQ654" t="str">
            <v>Frais véhicules de cie</v>
          </cell>
          <cell r="AR654" t="str">
            <v>$</v>
          </cell>
          <cell r="AS654">
            <v>0</v>
          </cell>
          <cell r="AW654">
            <v>0</v>
          </cell>
          <cell r="AY654" t="str">
            <v>NB</v>
          </cell>
        </row>
        <row r="655">
          <cell r="AM655">
            <v>2327.75</v>
          </cell>
          <cell r="AP655" t="str">
            <v>Carrosserie</v>
          </cell>
          <cell r="AQ655" t="str">
            <v>Frais véhicules de cie</v>
          </cell>
          <cell r="AR655" t="str">
            <v>$</v>
          </cell>
          <cell r="AS655">
            <v>0</v>
          </cell>
          <cell r="AW655">
            <v>-4</v>
          </cell>
          <cell r="AY655" t="str">
            <v>NB</v>
          </cell>
        </row>
        <row r="656">
          <cell r="AM656">
            <v>0</v>
          </cell>
          <cell r="AP656" t="e">
            <v>#N/A</v>
          </cell>
          <cell r="AQ656" t="e">
            <v>#N/A</v>
          </cell>
          <cell r="AR656" t="str">
            <v>$</v>
          </cell>
          <cell r="AS656" t="e">
            <v>#N/A</v>
          </cell>
          <cell r="AW656">
            <v>0</v>
          </cell>
          <cell r="AY656" t="str">
            <v>NB</v>
          </cell>
        </row>
        <row r="657">
          <cell r="AM657">
            <v>0</v>
          </cell>
          <cell r="AP657" t="e">
            <v>#N/A</v>
          </cell>
          <cell r="AQ657" t="e">
            <v>#N/A</v>
          </cell>
          <cell r="AR657" t="str">
            <v>$</v>
          </cell>
          <cell r="AS657" t="e">
            <v>#N/A</v>
          </cell>
          <cell r="AW657">
            <v>0</v>
          </cell>
          <cell r="AY657" t="str">
            <v>NB</v>
          </cell>
        </row>
        <row r="658">
          <cell r="AM658">
            <v>0</v>
          </cell>
          <cell r="AP658" t="e">
            <v>#N/A</v>
          </cell>
          <cell r="AQ658" t="e">
            <v>#N/A</v>
          </cell>
          <cell r="AR658" t="str">
            <v>$</v>
          </cell>
          <cell r="AS658" t="e">
            <v>#N/A</v>
          </cell>
          <cell r="AW658">
            <v>0</v>
          </cell>
          <cell r="AY658" t="str">
            <v>NB</v>
          </cell>
        </row>
        <row r="659">
          <cell r="AM659">
            <v>0</v>
          </cell>
          <cell r="AP659" t="e">
            <v>#N/A</v>
          </cell>
          <cell r="AQ659" t="e">
            <v>#N/A</v>
          </cell>
          <cell r="AR659" t="str">
            <v>$</v>
          </cell>
          <cell r="AS659" t="e">
            <v>#N/A</v>
          </cell>
          <cell r="AW659">
            <v>0</v>
          </cell>
          <cell r="AY659" t="str">
            <v>NB</v>
          </cell>
        </row>
        <row r="660">
          <cell r="AM660">
            <v>0</v>
          </cell>
          <cell r="AP660" t="e">
            <v>#N/A</v>
          </cell>
          <cell r="AQ660" t="e">
            <v>#N/A</v>
          </cell>
          <cell r="AR660" t="str">
            <v>$</v>
          </cell>
          <cell r="AS660" t="e">
            <v>#N/A</v>
          </cell>
          <cell r="AW660">
            <v>0</v>
          </cell>
          <cell r="AY660" t="str">
            <v>NB</v>
          </cell>
        </row>
        <row r="661">
          <cell r="AM661">
            <v>0</v>
          </cell>
          <cell r="AP661" t="e">
            <v>#N/A</v>
          </cell>
          <cell r="AQ661" t="e">
            <v>#N/A</v>
          </cell>
          <cell r="AR661" t="str">
            <v>$</v>
          </cell>
          <cell r="AS661" t="e">
            <v>#N/A</v>
          </cell>
          <cell r="AW661">
            <v>0</v>
          </cell>
          <cell r="AY661" t="str">
            <v>NB</v>
          </cell>
        </row>
        <row r="662">
          <cell r="AM662">
            <v>0</v>
          </cell>
          <cell r="AP662" t="e">
            <v>#N/A</v>
          </cell>
          <cell r="AQ662" t="e">
            <v>#N/A</v>
          </cell>
          <cell r="AR662" t="str">
            <v>$</v>
          </cell>
          <cell r="AS662" t="e">
            <v>#N/A</v>
          </cell>
          <cell r="AW662">
            <v>0</v>
          </cell>
          <cell r="AY662" t="str">
            <v>NB</v>
          </cell>
        </row>
        <row r="663">
          <cell r="AM663">
            <v>0</v>
          </cell>
          <cell r="AP663" t="e">
            <v>#N/A</v>
          </cell>
          <cell r="AQ663" t="e">
            <v>#N/A</v>
          </cell>
          <cell r="AR663" t="str">
            <v>$</v>
          </cell>
          <cell r="AS663" t="e">
            <v>#N/A</v>
          </cell>
          <cell r="AW663">
            <v>0</v>
          </cell>
          <cell r="AY663" t="str">
            <v>NB</v>
          </cell>
        </row>
        <row r="664">
          <cell r="AM664">
            <v>0</v>
          </cell>
          <cell r="AP664" t="e">
            <v>#N/A</v>
          </cell>
          <cell r="AQ664" t="e">
            <v>#N/A</v>
          </cell>
          <cell r="AR664" t="str">
            <v>$</v>
          </cell>
          <cell r="AS664" t="e">
            <v>#N/A</v>
          </cell>
          <cell r="AW664">
            <v>0</v>
          </cell>
          <cell r="AY664" t="str">
            <v>NB</v>
          </cell>
        </row>
        <row r="665">
          <cell r="AM665">
            <v>0</v>
          </cell>
          <cell r="AP665" t="e">
            <v>#N/A</v>
          </cell>
          <cell r="AQ665" t="e">
            <v>#N/A</v>
          </cell>
          <cell r="AR665" t="str">
            <v>$</v>
          </cell>
          <cell r="AS665" t="e">
            <v>#N/A</v>
          </cell>
          <cell r="AW665">
            <v>0</v>
          </cell>
          <cell r="AY665" t="str">
            <v>NB</v>
          </cell>
        </row>
        <row r="666">
          <cell r="AM666">
            <v>0</v>
          </cell>
          <cell r="AP666" t="e">
            <v>#N/A</v>
          </cell>
          <cell r="AQ666" t="e">
            <v>#N/A</v>
          </cell>
          <cell r="AR666" t="str">
            <v>$</v>
          </cell>
          <cell r="AS666" t="e">
            <v>#N/A</v>
          </cell>
          <cell r="AW666">
            <v>0</v>
          </cell>
          <cell r="AY666" t="str">
            <v>NB</v>
          </cell>
        </row>
        <row r="667">
          <cell r="AM667">
            <v>0</v>
          </cell>
          <cell r="AP667" t="e">
            <v>#N/A</v>
          </cell>
          <cell r="AQ667" t="e">
            <v>#N/A</v>
          </cell>
          <cell r="AR667" t="str">
            <v>$</v>
          </cell>
          <cell r="AS667" t="e">
            <v>#N/A</v>
          </cell>
          <cell r="AW667">
            <v>0</v>
          </cell>
          <cell r="AY667" t="str">
            <v>NB</v>
          </cell>
        </row>
        <row r="668">
          <cell r="AM668">
            <v>0</v>
          </cell>
          <cell r="AP668">
            <v>0</v>
          </cell>
          <cell r="AQ668">
            <v>0</v>
          </cell>
          <cell r="AR668" t="str">
            <v>$</v>
          </cell>
          <cell r="AS668">
            <v>0</v>
          </cell>
          <cell r="AW668">
            <v>0</v>
          </cell>
          <cell r="AY668" t="str">
            <v>NB</v>
          </cell>
        </row>
        <row r="669">
          <cell r="AM669">
            <v>0</v>
          </cell>
          <cell r="AP669" t="e">
            <v>#N/A</v>
          </cell>
          <cell r="AQ669" t="e">
            <v>#N/A</v>
          </cell>
          <cell r="AR669" t="str">
            <v>$</v>
          </cell>
          <cell r="AS669" t="e">
            <v>#N/A</v>
          </cell>
          <cell r="AW669">
            <v>0</v>
          </cell>
          <cell r="AY669" t="str">
            <v>NB</v>
          </cell>
        </row>
        <row r="670">
          <cell r="AM670">
            <v>0</v>
          </cell>
          <cell r="AP670" t="e">
            <v>#N/A</v>
          </cell>
          <cell r="AQ670" t="e">
            <v>#N/A</v>
          </cell>
          <cell r="AR670" t="str">
            <v>$</v>
          </cell>
          <cell r="AS670" t="e">
            <v>#N/A</v>
          </cell>
          <cell r="AW670">
            <v>0</v>
          </cell>
          <cell r="AY670" t="str">
            <v>NB</v>
          </cell>
        </row>
        <row r="671">
          <cell r="AM671">
            <v>0</v>
          </cell>
          <cell r="AP671">
            <v>0</v>
          </cell>
          <cell r="AQ671">
            <v>0</v>
          </cell>
          <cell r="AR671" t="str">
            <v>$</v>
          </cell>
          <cell r="AS671">
            <v>0</v>
          </cell>
          <cell r="AW671">
            <v>0</v>
          </cell>
          <cell r="AY671" t="str">
            <v>NB</v>
          </cell>
        </row>
        <row r="672">
          <cell r="AM672">
            <v>0</v>
          </cell>
          <cell r="AP672" t="e">
            <v>#N/A</v>
          </cell>
          <cell r="AQ672" t="e">
            <v>#N/A</v>
          </cell>
          <cell r="AR672" t="str">
            <v>$</v>
          </cell>
          <cell r="AS672" t="e">
            <v>#N/A</v>
          </cell>
          <cell r="AW672">
            <v>0</v>
          </cell>
          <cell r="AY672" t="str">
            <v>NB</v>
          </cell>
        </row>
        <row r="673">
          <cell r="AM673">
            <v>0</v>
          </cell>
          <cell r="AP673" t="e">
            <v>#N/A</v>
          </cell>
          <cell r="AQ673" t="e">
            <v>#N/A</v>
          </cell>
          <cell r="AR673" t="str">
            <v>$</v>
          </cell>
          <cell r="AS673" t="e">
            <v>#N/A</v>
          </cell>
          <cell r="AW673">
            <v>0</v>
          </cell>
          <cell r="AY673" t="str">
            <v>NB</v>
          </cell>
        </row>
        <row r="674">
          <cell r="AM674">
            <v>0</v>
          </cell>
          <cell r="AP674" t="e">
            <v>#N/A</v>
          </cell>
          <cell r="AQ674" t="e">
            <v>#N/A</v>
          </cell>
          <cell r="AR674" t="str">
            <v>$</v>
          </cell>
          <cell r="AS674" t="e">
            <v>#N/A</v>
          </cell>
          <cell r="AW674">
            <v>0</v>
          </cell>
          <cell r="AY674" t="str">
            <v>NB</v>
          </cell>
        </row>
        <row r="675">
          <cell r="AM675">
            <v>0</v>
          </cell>
          <cell r="AP675" t="e">
            <v>#N/A</v>
          </cell>
          <cell r="AQ675" t="e">
            <v>#N/A</v>
          </cell>
          <cell r="AR675" t="str">
            <v>$</v>
          </cell>
          <cell r="AS675" t="e">
            <v>#N/A</v>
          </cell>
          <cell r="AW675">
            <v>0</v>
          </cell>
          <cell r="AY675" t="str">
            <v>NB</v>
          </cell>
        </row>
        <row r="676">
          <cell r="AM676">
            <v>0</v>
          </cell>
          <cell r="AP676" t="e">
            <v>#N/A</v>
          </cell>
          <cell r="AQ676" t="e">
            <v>#N/A</v>
          </cell>
          <cell r="AR676" t="str">
            <v>$</v>
          </cell>
          <cell r="AS676" t="e">
            <v>#N/A</v>
          </cell>
          <cell r="AW676">
            <v>0</v>
          </cell>
          <cell r="AY676" t="str">
            <v>NB</v>
          </cell>
        </row>
        <row r="677">
          <cell r="AM677">
            <v>0</v>
          </cell>
          <cell r="AP677" t="e">
            <v>#N/A</v>
          </cell>
          <cell r="AQ677" t="e">
            <v>#N/A</v>
          </cell>
          <cell r="AR677" t="str">
            <v>$</v>
          </cell>
          <cell r="AS677" t="e">
            <v>#N/A</v>
          </cell>
          <cell r="AW677">
            <v>0</v>
          </cell>
          <cell r="AY677" t="str">
            <v>NB</v>
          </cell>
        </row>
        <row r="678">
          <cell r="AM678">
            <v>0</v>
          </cell>
          <cell r="AP678" t="e">
            <v>#N/A</v>
          </cell>
          <cell r="AQ678" t="e">
            <v>#N/A</v>
          </cell>
          <cell r="AR678" t="str">
            <v>$</v>
          </cell>
          <cell r="AS678" t="e">
            <v>#N/A</v>
          </cell>
          <cell r="AW678">
            <v>0</v>
          </cell>
          <cell r="AY678" t="str">
            <v>NB</v>
          </cell>
        </row>
        <row r="679">
          <cell r="AM679">
            <v>0</v>
          </cell>
          <cell r="AP679" t="e">
            <v>#N/A</v>
          </cell>
          <cell r="AQ679" t="e">
            <v>#N/A</v>
          </cell>
          <cell r="AR679" t="str">
            <v>$</v>
          </cell>
          <cell r="AS679" t="e">
            <v>#N/A</v>
          </cell>
          <cell r="AW679">
            <v>0</v>
          </cell>
          <cell r="AY679" t="str">
            <v>NB</v>
          </cell>
        </row>
        <row r="680">
          <cell r="AM680">
            <v>0</v>
          </cell>
          <cell r="AP680" t="e">
            <v>#N/A</v>
          </cell>
          <cell r="AQ680" t="e">
            <v>#N/A</v>
          </cell>
          <cell r="AR680" t="str">
            <v>$</v>
          </cell>
          <cell r="AS680" t="e">
            <v>#N/A</v>
          </cell>
          <cell r="AW680">
            <v>0</v>
          </cell>
          <cell r="AY680" t="str">
            <v>NB</v>
          </cell>
        </row>
        <row r="681">
          <cell r="AM681">
            <v>0</v>
          </cell>
          <cell r="AP681" t="str">
            <v>Véhicules neufs</v>
          </cell>
          <cell r="AQ681" t="str">
            <v>Autos détail</v>
          </cell>
          <cell r="AR681" t="str">
            <v>$</v>
          </cell>
          <cell r="AS681">
            <v>0</v>
          </cell>
          <cell r="AW681">
            <v>0</v>
          </cell>
          <cell r="AY681" t="str">
            <v>NB</v>
          </cell>
        </row>
        <row r="682">
          <cell r="AM682">
            <v>0</v>
          </cell>
          <cell r="AP682" t="str">
            <v>Véhicules neufs</v>
          </cell>
          <cell r="AQ682" t="str">
            <v>Autos détail</v>
          </cell>
          <cell r="AR682" t="str">
            <v>$</v>
          </cell>
          <cell r="AS682">
            <v>0</v>
          </cell>
          <cell r="AW682">
            <v>0</v>
          </cell>
          <cell r="AY682" t="str">
            <v>NB</v>
          </cell>
        </row>
        <row r="683">
          <cell r="AM683">
            <v>0</v>
          </cell>
          <cell r="AP683" t="str">
            <v>Véhicules neufs</v>
          </cell>
          <cell r="AQ683" t="str">
            <v>Autos détail</v>
          </cell>
          <cell r="AR683" t="str">
            <v>$</v>
          </cell>
          <cell r="AS683">
            <v>0</v>
          </cell>
          <cell r="AW683">
            <v>0</v>
          </cell>
          <cell r="AY683" t="str">
            <v>NB</v>
          </cell>
        </row>
        <row r="684">
          <cell r="AM684">
            <v>0</v>
          </cell>
          <cell r="AP684" t="str">
            <v>Véhicules neufs</v>
          </cell>
          <cell r="AQ684" t="str">
            <v>Autos détail</v>
          </cell>
          <cell r="AR684" t="str">
            <v>$</v>
          </cell>
          <cell r="AS684">
            <v>0</v>
          </cell>
          <cell r="AW684">
            <v>0</v>
          </cell>
          <cell r="AY684" t="str">
            <v>NB</v>
          </cell>
        </row>
        <row r="685">
          <cell r="AM685">
            <v>0</v>
          </cell>
          <cell r="AP685" t="e">
            <v>#N/A</v>
          </cell>
          <cell r="AQ685" t="e">
            <v>#N/A</v>
          </cell>
          <cell r="AR685" t="str">
            <v>$</v>
          </cell>
          <cell r="AS685" t="e">
            <v>#N/A</v>
          </cell>
          <cell r="AW685">
            <v>0</v>
          </cell>
          <cell r="AY685" t="str">
            <v>NB</v>
          </cell>
        </row>
        <row r="686">
          <cell r="AM686">
            <v>0</v>
          </cell>
          <cell r="AP686" t="e">
            <v>#N/A</v>
          </cell>
          <cell r="AQ686" t="e">
            <v>#N/A</v>
          </cell>
          <cell r="AR686" t="str">
            <v>$</v>
          </cell>
          <cell r="AS686" t="e">
            <v>#N/A</v>
          </cell>
          <cell r="AW686">
            <v>0</v>
          </cell>
          <cell r="AY686" t="str">
            <v>NB</v>
          </cell>
        </row>
        <row r="687">
          <cell r="AM687">
            <v>0</v>
          </cell>
          <cell r="AP687" t="e">
            <v>#N/A</v>
          </cell>
          <cell r="AQ687" t="e">
            <v>#N/A</v>
          </cell>
          <cell r="AR687" t="str">
            <v>$</v>
          </cell>
          <cell r="AS687" t="e">
            <v>#N/A</v>
          </cell>
          <cell r="AW687">
            <v>0</v>
          </cell>
          <cell r="AY687" t="str">
            <v>NB</v>
          </cell>
        </row>
        <row r="688">
          <cell r="AM688">
            <v>0</v>
          </cell>
          <cell r="AP688" t="e">
            <v>#N/A</v>
          </cell>
          <cell r="AQ688" t="e">
            <v>#N/A</v>
          </cell>
          <cell r="AR688" t="str">
            <v>$</v>
          </cell>
          <cell r="AS688" t="e">
            <v>#N/A</v>
          </cell>
          <cell r="AW688">
            <v>0</v>
          </cell>
          <cell r="AY688" t="str">
            <v>NB</v>
          </cell>
        </row>
        <row r="689">
          <cell r="AM689">
            <v>0</v>
          </cell>
          <cell r="AP689" t="str">
            <v>Véhicules neufs</v>
          </cell>
          <cell r="AQ689" t="str">
            <v>Autos détail</v>
          </cell>
          <cell r="AR689" t="str">
            <v>$</v>
          </cell>
          <cell r="AS689">
            <v>0</v>
          </cell>
          <cell r="AW689">
            <v>0</v>
          </cell>
          <cell r="AY689" t="str">
            <v>NB</v>
          </cell>
        </row>
        <row r="690">
          <cell r="AM690">
            <v>0</v>
          </cell>
          <cell r="AP690" t="str">
            <v>Véhicules neufs</v>
          </cell>
          <cell r="AQ690" t="str">
            <v>Autos détail</v>
          </cell>
          <cell r="AR690" t="str">
            <v>$</v>
          </cell>
          <cell r="AS690">
            <v>0</v>
          </cell>
          <cell r="AW690">
            <v>0</v>
          </cell>
          <cell r="AY690" t="str">
            <v>NB</v>
          </cell>
        </row>
        <row r="691">
          <cell r="AM691">
            <v>0</v>
          </cell>
          <cell r="AP691" t="e">
            <v>#N/A</v>
          </cell>
          <cell r="AQ691" t="e">
            <v>#N/A</v>
          </cell>
          <cell r="AR691" t="str">
            <v>$</v>
          </cell>
          <cell r="AS691" t="e">
            <v>#N/A</v>
          </cell>
          <cell r="AW691">
            <v>0</v>
          </cell>
          <cell r="AY691" t="str">
            <v>NB</v>
          </cell>
        </row>
        <row r="692">
          <cell r="AM692">
            <v>0</v>
          </cell>
          <cell r="AP692" t="str">
            <v>Véhicules neufs</v>
          </cell>
          <cell r="AQ692" t="str">
            <v>Autos détail</v>
          </cell>
          <cell r="AR692" t="str">
            <v>$</v>
          </cell>
          <cell r="AS692">
            <v>0</v>
          </cell>
          <cell r="AW692">
            <v>0</v>
          </cell>
          <cell r="AY692" t="str">
            <v>NB</v>
          </cell>
        </row>
        <row r="693">
          <cell r="AM693">
            <v>0</v>
          </cell>
          <cell r="AP693" t="str">
            <v>Véhicules neufs</v>
          </cell>
          <cell r="AQ693" t="str">
            <v>Autos détail</v>
          </cell>
          <cell r="AR693" t="str">
            <v>$</v>
          </cell>
          <cell r="AS693">
            <v>0</v>
          </cell>
          <cell r="AW693">
            <v>0</v>
          </cell>
          <cell r="AY693" t="str">
            <v>NB</v>
          </cell>
        </row>
        <row r="694">
          <cell r="AM694">
            <v>0</v>
          </cell>
          <cell r="AP694" t="e">
            <v>#N/A</v>
          </cell>
          <cell r="AQ694" t="e">
            <v>#N/A</v>
          </cell>
          <cell r="AR694" t="str">
            <v>$</v>
          </cell>
          <cell r="AS694" t="e">
            <v>#N/A</v>
          </cell>
          <cell r="AW694">
            <v>0</v>
          </cell>
          <cell r="AY694" t="str">
            <v>NB</v>
          </cell>
        </row>
        <row r="695">
          <cell r="AM695">
            <v>0</v>
          </cell>
          <cell r="AP695" t="e">
            <v>#N/A</v>
          </cell>
          <cell r="AQ695" t="e">
            <v>#N/A</v>
          </cell>
          <cell r="AR695" t="str">
            <v>$</v>
          </cell>
          <cell r="AS695" t="e">
            <v>#N/A</v>
          </cell>
          <cell r="AW695">
            <v>0</v>
          </cell>
          <cell r="AY695" t="str">
            <v>NB</v>
          </cell>
        </row>
        <row r="696">
          <cell r="AM696">
            <v>0</v>
          </cell>
          <cell r="AP696" t="str">
            <v>Véhicules neufs</v>
          </cell>
          <cell r="AQ696" t="str">
            <v>Camions electriques</v>
          </cell>
          <cell r="AR696" t="str">
            <v>$</v>
          </cell>
          <cell r="AS696">
            <v>0</v>
          </cell>
          <cell r="AW696">
            <v>0</v>
          </cell>
          <cell r="AY696" t="str">
            <v>NB</v>
          </cell>
        </row>
        <row r="697">
          <cell r="AM697">
            <v>0</v>
          </cell>
          <cell r="AP697" t="e">
            <v>#N/A</v>
          </cell>
          <cell r="AQ697" t="e">
            <v>#N/A</v>
          </cell>
          <cell r="AR697" t="str">
            <v>$</v>
          </cell>
          <cell r="AS697" t="e">
            <v>#N/A</v>
          </cell>
          <cell r="AW697">
            <v>0</v>
          </cell>
          <cell r="AY697" t="str">
            <v>NB</v>
          </cell>
        </row>
        <row r="698">
          <cell r="AM698">
            <v>0</v>
          </cell>
          <cell r="AP698" t="e">
            <v>#N/A</v>
          </cell>
          <cell r="AQ698" t="e">
            <v>#N/A</v>
          </cell>
          <cell r="AR698" t="str">
            <v>$</v>
          </cell>
          <cell r="AS698" t="e">
            <v>#N/A</v>
          </cell>
          <cell r="AW698">
            <v>0</v>
          </cell>
          <cell r="AY698" t="str">
            <v>NB</v>
          </cell>
        </row>
        <row r="699">
          <cell r="AM699">
            <v>0</v>
          </cell>
          <cell r="AP699" t="e">
            <v>#N/A</v>
          </cell>
          <cell r="AQ699" t="e">
            <v>#N/A</v>
          </cell>
          <cell r="AR699" t="str">
            <v>$</v>
          </cell>
          <cell r="AS699" t="e">
            <v>#N/A</v>
          </cell>
          <cell r="AW699">
            <v>0</v>
          </cell>
          <cell r="AY699" t="str">
            <v>NB</v>
          </cell>
        </row>
        <row r="700">
          <cell r="AM700">
            <v>0</v>
          </cell>
          <cell r="AP700" t="str">
            <v>Véhicules neufs</v>
          </cell>
          <cell r="AQ700" t="str">
            <v>Autos détail</v>
          </cell>
          <cell r="AR700" t="str">
            <v>$</v>
          </cell>
          <cell r="AS700">
            <v>0</v>
          </cell>
          <cell r="AW700">
            <v>0</v>
          </cell>
          <cell r="AY700" t="str">
            <v>NB</v>
          </cell>
        </row>
        <row r="701">
          <cell r="AM701">
            <v>0</v>
          </cell>
          <cell r="AP701" t="e">
            <v>#N/A</v>
          </cell>
          <cell r="AQ701" t="e">
            <v>#N/A</v>
          </cell>
          <cell r="AR701" t="str">
            <v>$</v>
          </cell>
          <cell r="AS701" t="e">
            <v>#N/A</v>
          </cell>
          <cell r="AW701">
            <v>0</v>
          </cell>
          <cell r="AY701" t="str">
            <v>NB</v>
          </cell>
        </row>
        <row r="702">
          <cell r="AM702">
            <v>0</v>
          </cell>
          <cell r="AP702" t="str">
            <v>Véhicules neufs</v>
          </cell>
          <cell r="AQ702" t="str">
            <v>Autos détail</v>
          </cell>
          <cell r="AR702" t="str">
            <v>$</v>
          </cell>
          <cell r="AS702">
            <v>0</v>
          </cell>
          <cell r="AW702">
            <v>0</v>
          </cell>
          <cell r="AY702" t="str">
            <v>NB</v>
          </cell>
        </row>
        <row r="703">
          <cell r="AM703">
            <v>0</v>
          </cell>
          <cell r="AP703" t="str">
            <v>Véhicules neufs</v>
          </cell>
          <cell r="AQ703" t="str">
            <v>Autos détail</v>
          </cell>
          <cell r="AR703" t="str">
            <v>$</v>
          </cell>
          <cell r="AS703">
            <v>0</v>
          </cell>
          <cell r="AW703">
            <v>0</v>
          </cell>
          <cell r="AY703" t="str">
            <v>NB</v>
          </cell>
        </row>
        <row r="704">
          <cell r="AM704">
            <v>0</v>
          </cell>
          <cell r="AP704">
            <v>0</v>
          </cell>
          <cell r="AQ704">
            <v>0</v>
          </cell>
          <cell r="AR704" t="str">
            <v>$</v>
          </cell>
          <cell r="AS704">
            <v>0</v>
          </cell>
          <cell r="AW704">
            <v>0</v>
          </cell>
          <cell r="AY704" t="str">
            <v>NB</v>
          </cell>
        </row>
        <row r="705">
          <cell r="AM705">
            <v>0</v>
          </cell>
          <cell r="AP705" t="e">
            <v>#N/A</v>
          </cell>
          <cell r="AQ705" t="e">
            <v>#N/A</v>
          </cell>
          <cell r="AR705" t="str">
            <v>$</v>
          </cell>
          <cell r="AS705" t="e">
            <v>#N/A</v>
          </cell>
          <cell r="AW705">
            <v>0</v>
          </cell>
          <cell r="AY705" t="str">
            <v>NB</v>
          </cell>
        </row>
        <row r="706">
          <cell r="AM706">
            <v>0</v>
          </cell>
          <cell r="AP706" t="e">
            <v>#N/A</v>
          </cell>
          <cell r="AQ706" t="e">
            <v>#N/A</v>
          </cell>
          <cell r="AR706" t="str">
            <v>$</v>
          </cell>
          <cell r="AS706" t="e">
            <v>#N/A</v>
          </cell>
          <cell r="AW706">
            <v>0</v>
          </cell>
          <cell r="AY706" t="str">
            <v>NB</v>
          </cell>
        </row>
        <row r="707">
          <cell r="AM707">
            <v>0</v>
          </cell>
          <cell r="AP707">
            <v>0</v>
          </cell>
          <cell r="AQ707">
            <v>0</v>
          </cell>
          <cell r="AR707" t="str">
            <v>$</v>
          </cell>
          <cell r="AS707">
            <v>0</v>
          </cell>
          <cell r="AW707">
            <v>0</v>
          </cell>
          <cell r="AY707" t="str">
            <v>NB</v>
          </cell>
        </row>
        <row r="708">
          <cell r="AM708">
            <v>0</v>
          </cell>
          <cell r="AP708" t="e">
            <v>#N/A</v>
          </cell>
          <cell r="AQ708" t="e">
            <v>#N/A</v>
          </cell>
          <cell r="AR708" t="str">
            <v>$</v>
          </cell>
          <cell r="AS708" t="e">
            <v>#N/A</v>
          </cell>
          <cell r="AW708">
            <v>0</v>
          </cell>
          <cell r="AY708" t="str">
            <v>NB</v>
          </cell>
        </row>
        <row r="709">
          <cell r="AM709">
            <v>0</v>
          </cell>
          <cell r="AP709" t="e">
            <v>#N/A</v>
          </cell>
          <cell r="AQ709" t="e">
            <v>#N/A</v>
          </cell>
          <cell r="AR709" t="str">
            <v>$</v>
          </cell>
          <cell r="AS709" t="e">
            <v>#N/A</v>
          </cell>
          <cell r="AW709">
            <v>0</v>
          </cell>
          <cell r="AY709" t="str">
            <v>NB</v>
          </cell>
        </row>
        <row r="710">
          <cell r="AM710">
            <v>0</v>
          </cell>
          <cell r="AP710" t="e">
            <v>#N/A</v>
          </cell>
          <cell r="AQ710" t="e">
            <v>#N/A</v>
          </cell>
          <cell r="AR710" t="str">
            <v>$</v>
          </cell>
          <cell r="AS710" t="e">
            <v>#N/A</v>
          </cell>
          <cell r="AW710">
            <v>0</v>
          </cell>
          <cell r="AY710" t="str">
            <v>NB</v>
          </cell>
        </row>
        <row r="711">
          <cell r="AM711">
            <v>0</v>
          </cell>
          <cell r="AP711" t="e">
            <v>#N/A</v>
          </cell>
          <cell r="AQ711" t="e">
            <v>#N/A</v>
          </cell>
          <cell r="AR711" t="str">
            <v>$</v>
          </cell>
          <cell r="AS711" t="e">
            <v>#N/A</v>
          </cell>
          <cell r="AW711">
            <v>0</v>
          </cell>
          <cell r="AY711" t="str">
            <v>NB</v>
          </cell>
        </row>
        <row r="712">
          <cell r="AM712">
            <v>0</v>
          </cell>
          <cell r="AP712" t="e">
            <v>#N/A</v>
          </cell>
          <cell r="AQ712" t="e">
            <v>#N/A</v>
          </cell>
          <cell r="AR712" t="str">
            <v>$</v>
          </cell>
          <cell r="AS712" t="e">
            <v>#N/A</v>
          </cell>
          <cell r="AW712">
            <v>0</v>
          </cell>
          <cell r="AY712" t="str">
            <v>NB</v>
          </cell>
        </row>
        <row r="713">
          <cell r="AM713">
            <v>0</v>
          </cell>
          <cell r="AP713" t="e">
            <v>#N/A</v>
          </cell>
          <cell r="AQ713" t="e">
            <v>#N/A</v>
          </cell>
          <cell r="AR713" t="str">
            <v>$</v>
          </cell>
          <cell r="AS713" t="e">
            <v>#N/A</v>
          </cell>
          <cell r="AW713">
            <v>0</v>
          </cell>
          <cell r="AY713" t="str">
            <v>NB</v>
          </cell>
        </row>
        <row r="714">
          <cell r="AM714">
            <v>50079.539999999979</v>
          </cell>
          <cell r="AP714" t="str">
            <v>Véhicules neufs</v>
          </cell>
          <cell r="AQ714" t="str">
            <v>Camions détail</v>
          </cell>
          <cell r="AR714" t="str">
            <v>$</v>
          </cell>
          <cell r="AS714">
            <v>0</v>
          </cell>
          <cell r="AW714">
            <v>0</v>
          </cell>
          <cell r="AY714" t="str">
            <v>NB</v>
          </cell>
        </row>
        <row r="715">
          <cell r="AM715">
            <v>0</v>
          </cell>
          <cell r="AP715" t="str">
            <v>Véhicules neufs</v>
          </cell>
          <cell r="AQ715" t="str">
            <v>Camions electriques</v>
          </cell>
          <cell r="AR715" t="str">
            <v>$</v>
          </cell>
          <cell r="AS715">
            <v>0</v>
          </cell>
          <cell r="AW715">
            <v>0</v>
          </cell>
          <cell r="AY715" t="str">
            <v>NB</v>
          </cell>
        </row>
        <row r="716">
          <cell r="AM716">
            <v>0</v>
          </cell>
          <cell r="AP716" t="e">
            <v>#N/A</v>
          </cell>
          <cell r="AQ716" t="e">
            <v>#N/A</v>
          </cell>
          <cell r="AR716" t="str">
            <v>$</v>
          </cell>
          <cell r="AS716" t="e">
            <v>#N/A</v>
          </cell>
          <cell r="AW716">
            <v>0</v>
          </cell>
          <cell r="AY716" t="str">
            <v>NB</v>
          </cell>
        </row>
        <row r="717">
          <cell r="AM717">
            <v>0</v>
          </cell>
          <cell r="AP717" t="str">
            <v>Véhicules neufs</v>
          </cell>
          <cell r="AQ717" t="str">
            <v>Camions détail</v>
          </cell>
          <cell r="AR717" t="str">
            <v>$</v>
          </cell>
          <cell r="AS717">
            <v>0</v>
          </cell>
          <cell r="AW717">
            <v>0</v>
          </cell>
          <cell r="AY717" t="str">
            <v>NB</v>
          </cell>
        </row>
        <row r="718">
          <cell r="AM718">
            <v>0</v>
          </cell>
          <cell r="AP718" t="str">
            <v>Véhicules neufs</v>
          </cell>
          <cell r="AQ718" t="str">
            <v>Camions electriques</v>
          </cell>
          <cell r="AR718" t="str">
            <v>$</v>
          </cell>
          <cell r="AS718">
            <v>0</v>
          </cell>
          <cell r="AW718">
            <v>0</v>
          </cell>
          <cell r="AY718" t="str">
            <v>NB</v>
          </cell>
        </row>
        <row r="719">
          <cell r="AM719">
            <v>0</v>
          </cell>
          <cell r="AP719" t="e">
            <v>#N/A</v>
          </cell>
          <cell r="AQ719" t="e">
            <v>#N/A</v>
          </cell>
          <cell r="AR719" t="str">
            <v>$</v>
          </cell>
          <cell r="AS719" t="e">
            <v>#N/A</v>
          </cell>
          <cell r="AW719">
            <v>0</v>
          </cell>
          <cell r="AY719" t="str">
            <v>NB</v>
          </cell>
        </row>
        <row r="720">
          <cell r="AM720">
            <v>0</v>
          </cell>
          <cell r="AP720" t="e">
            <v>#N/A</v>
          </cell>
          <cell r="AQ720" t="e">
            <v>#N/A</v>
          </cell>
          <cell r="AR720" t="str">
            <v>$</v>
          </cell>
          <cell r="AS720" t="e">
            <v>#N/A</v>
          </cell>
          <cell r="AW720">
            <v>0</v>
          </cell>
          <cell r="AY720" t="str">
            <v>NB</v>
          </cell>
        </row>
        <row r="721">
          <cell r="AM721">
            <v>56093.640000000014</v>
          </cell>
          <cell r="AP721" t="str">
            <v>Véhicules neufs</v>
          </cell>
          <cell r="AQ721" t="str">
            <v>Camions détail</v>
          </cell>
          <cell r="AR721" t="str">
            <v>$</v>
          </cell>
          <cell r="AS721">
            <v>0</v>
          </cell>
          <cell r="AW721">
            <v>0</v>
          </cell>
          <cell r="AY721" t="str">
            <v>NB</v>
          </cell>
        </row>
        <row r="722">
          <cell r="AM722">
            <v>109456.45000000001</v>
          </cell>
          <cell r="AP722" t="str">
            <v>Véhicules neufs</v>
          </cell>
          <cell r="AQ722" t="str">
            <v>Camions détail</v>
          </cell>
          <cell r="AR722" t="str">
            <v>$</v>
          </cell>
          <cell r="AS722">
            <v>0</v>
          </cell>
          <cell r="AW722">
            <v>0</v>
          </cell>
          <cell r="AY722" t="str">
            <v>NB</v>
          </cell>
        </row>
        <row r="723">
          <cell r="AM723">
            <v>0</v>
          </cell>
          <cell r="AP723" t="str">
            <v>Véhicules neufs</v>
          </cell>
          <cell r="AQ723" t="str">
            <v>Camions détail</v>
          </cell>
          <cell r="AR723" t="str">
            <v>$</v>
          </cell>
          <cell r="AS723">
            <v>0</v>
          </cell>
          <cell r="AW723">
            <v>0</v>
          </cell>
          <cell r="AY723" t="str">
            <v>NB</v>
          </cell>
        </row>
        <row r="724">
          <cell r="AM724">
            <v>92530.32</v>
          </cell>
          <cell r="AP724" t="str">
            <v>Véhicules neufs</v>
          </cell>
          <cell r="AQ724" t="str">
            <v>Camions détail</v>
          </cell>
          <cell r="AR724" t="str">
            <v>$</v>
          </cell>
          <cell r="AS724">
            <v>0</v>
          </cell>
          <cell r="AW724">
            <v>0</v>
          </cell>
          <cell r="AY724" t="str">
            <v>NB</v>
          </cell>
        </row>
        <row r="725">
          <cell r="AM725">
            <v>0</v>
          </cell>
          <cell r="AP725" t="e">
            <v>#N/A</v>
          </cell>
          <cell r="AQ725" t="e">
            <v>#N/A</v>
          </cell>
          <cell r="AR725" t="str">
            <v>$</v>
          </cell>
          <cell r="AS725" t="e">
            <v>#N/A</v>
          </cell>
          <cell r="AW725">
            <v>0</v>
          </cell>
          <cell r="AY725" t="str">
            <v>NB</v>
          </cell>
        </row>
        <row r="726">
          <cell r="AM726">
            <v>60539.5</v>
          </cell>
          <cell r="AP726" t="str">
            <v>Véhicules neufs</v>
          </cell>
          <cell r="AQ726" t="str">
            <v>Camions détail</v>
          </cell>
          <cell r="AR726" t="str">
            <v>$</v>
          </cell>
          <cell r="AS726">
            <v>0</v>
          </cell>
          <cell r="AW726">
            <v>0</v>
          </cell>
          <cell r="AY726" t="str">
            <v>NB</v>
          </cell>
        </row>
        <row r="727">
          <cell r="AM727">
            <v>0</v>
          </cell>
          <cell r="AP727" t="str">
            <v>Véhicules neufs</v>
          </cell>
          <cell r="AQ727" t="str">
            <v>Camions détail</v>
          </cell>
          <cell r="AR727" t="str">
            <v>$</v>
          </cell>
          <cell r="AS727">
            <v>0</v>
          </cell>
          <cell r="AW727">
            <v>0</v>
          </cell>
          <cell r="AY727" t="str">
            <v>NB</v>
          </cell>
        </row>
        <row r="728">
          <cell r="AM728">
            <v>35805.919999999984</v>
          </cell>
          <cell r="AP728" t="str">
            <v>Véhicules neufs</v>
          </cell>
          <cell r="AQ728" t="str">
            <v>Camions détail</v>
          </cell>
          <cell r="AR728" t="str">
            <v>$</v>
          </cell>
          <cell r="AS728">
            <v>0</v>
          </cell>
          <cell r="AW728">
            <v>0</v>
          </cell>
          <cell r="AY728" t="str">
            <v>NB</v>
          </cell>
        </row>
        <row r="729">
          <cell r="AM729">
            <v>0</v>
          </cell>
          <cell r="AP729" t="e">
            <v>#N/A</v>
          </cell>
          <cell r="AQ729" t="e">
            <v>#N/A</v>
          </cell>
          <cell r="AR729" t="str">
            <v>$</v>
          </cell>
          <cell r="AS729" t="e">
            <v>#N/A</v>
          </cell>
          <cell r="AW729">
            <v>0</v>
          </cell>
          <cell r="AY729" t="str">
            <v>NB</v>
          </cell>
        </row>
        <row r="730">
          <cell r="AM730">
            <v>119621.63000000006</v>
          </cell>
          <cell r="AP730" t="str">
            <v>Véhicules neufs</v>
          </cell>
          <cell r="AQ730" t="str">
            <v>Camions détail</v>
          </cell>
          <cell r="AR730" t="str">
            <v>$</v>
          </cell>
          <cell r="AS730">
            <v>0</v>
          </cell>
          <cell r="AW730">
            <v>0</v>
          </cell>
          <cell r="AY730" t="str">
            <v>NB</v>
          </cell>
        </row>
        <row r="731">
          <cell r="AM731">
            <v>178867.24</v>
          </cell>
          <cell r="AP731" t="str">
            <v>Véhicules neufs</v>
          </cell>
          <cell r="AQ731" t="str">
            <v>Camions détail</v>
          </cell>
          <cell r="AR731" t="str">
            <v>$</v>
          </cell>
          <cell r="AS731">
            <v>0</v>
          </cell>
          <cell r="AW731">
            <v>0</v>
          </cell>
          <cell r="AY731" t="str">
            <v>NB</v>
          </cell>
        </row>
        <row r="732">
          <cell r="AM732">
            <v>970784.18999999948</v>
          </cell>
          <cell r="AP732" t="str">
            <v>Véhicules neufs</v>
          </cell>
          <cell r="AQ732" t="str">
            <v>Camions détail</v>
          </cell>
          <cell r="AR732" t="str">
            <v>$</v>
          </cell>
          <cell r="AS732">
            <v>0</v>
          </cell>
          <cell r="AW732">
            <v>0</v>
          </cell>
          <cell r="AY732" t="str">
            <v>NB</v>
          </cell>
        </row>
        <row r="733">
          <cell r="AM733">
            <v>0</v>
          </cell>
          <cell r="AP733" t="str">
            <v>Véhicules neufs</v>
          </cell>
          <cell r="AQ733" t="str">
            <v>Camions electriques</v>
          </cell>
          <cell r="AR733" t="str">
            <v>$</v>
          </cell>
          <cell r="AS733">
            <v>0</v>
          </cell>
          <cell r="AW733">
            <v>0</v>
          </cell>
          <cell r="AY733" t="str">
            <v>NB</v>
          </cell>
        </row>
        <row r="734">
          <cell r="AM734">
            <v>195081.81999999983</v>
          </cell>
          <cell r="AP734" t="str">
            <v>Véhicules neufs</v>
          </cell>
          <cell r="AQ734" t="str">
            <v>Camions détail</v>
          </cell>
          <cell r="AR734" t="str">
            <v>$</v>
          </cell>
          <cell r="AS734">
            <v>0</v>
          </cell>
          <cell r="AW734">
            <v>0</v>
          </cell>
          <cell r="AY734" t="str">
            <v>NB</v>
          </cell>
        </row>
        <row r="735">
          <cell r="AM735">
            <v>0</v>
          </cell>
          <cell r="AP735" t="e">
            <v>#N/A</v>
          </cell>
          <cell r="AQ735" t="e">
            <v>#N/A</v>
          </cell>
          <cell r="AR735" t="str">
            <v>$</v>
          </cell>
          <cell r="AS735" t="e">
            <v>#N/A</v>
          </cell>
          <cell r="AW735">
            <v>0</v>
          </cell>
          <cell r="AY735" t="str">
            <v>NB</v>
          </cell>
        </row>
        <row r="736">
          <cell r="AM736">
            <v>636822.92000000016</v>
          </cell>
          <cell r="AP736" t="str">
            <v>Véhicules neufs</v>
          </cell>
          <cell r="AQ736" t="str">
            <v>Camions détail</v>
          </cell>
          <cell r="AR736" t="str">
            <v>$</v>
          </cell>
          <cell r="AS736">
            <v>0</v>
          </cell>
          <cell r="AW736">
            <v>0</v>
          </cell>
          <cell r="AY736" t="str">
            <v>NB</v>
          </cell>
        </row>
        <row r="737">
          <cell r="AM737">
            <v>723617.43999999948</v>
          </cell>
          <cell r="AP737" t="str">
            <v>Véhicules neufs</v>
          </cell>
          <cell r="AQ737" t="str">
            <v>Camions détail</v>
          </cell>
          <cell r="AR737" t="str">
            <v>$</v>
          </cell>
          <cell r="AS737">
            <v>0</v>
          </cell>
          <cell r="AW737">
            <v>0</v>
          </cell>
          <cell r="AY737" t="str">
            <v>NB</v>
          </cell>
        </row>
        <row r="738">
          <cell r="AM738">
            <v>312633.55000000005</v>
          </cell>
          <cell r="AP738" t="str">
            <v>Véhicules neufs</v>
          </cell>
          <cell r="AQ738" t="str">
            <v>Camions electriques</v>
          </cell>
          <cell r="AR738" t="str">
            <v>$</v>
          </cell>
          <cell r="AS738">
            <v>0</v>
          </cell>
          <cell r="AW738">
            <v>0</v>
          </cell>
          <cell r="AY738" t="str">
            <v>NB</v>
          </cell>
        </row>
        <row r="739">
          <cell r="AM739">
            <v>0</v>
          </cell>
          <cell r="AP739" t="e">
            <v>#N/A</v>
          </cell>
          <cell r="AQ739" t="e">
            <v>#N/A</v>
          </cell>
          <cell r="AR739" t="str">
            <v>$</v>
          </cell>
          <cell r="AS739" t="e">
            <v>#N/A</v>
          </cell>
          <cell r="AW739">
            <v>0</v>
          </cell>
          <cell r="AY739" t="str">
            <v>NB</v>
          </cell>
        </row>
        <row r="740">
          <cell r="AM740">
            <v>0</v>
          </cell>
          <cell r="AP740" t="str">
            <v>Véhicules neufs</v>
          </cell>
          <cell r="AQ740" t="str">
            <v>Camions détail</v>
          </cell>
          <cell r="AR740" t="str">
            <v>$</v>
          </cell>
          <cell r="AS740">
            <v>0</v>
          </cell>
          <cell r="AW740">
            <v>0</v>
          </cell>
          <cell r="AY740" t="str">
            <v>NB</v>
          </cell>
        </row>
        <row r="741">
          <cell r="AM741">
            <v>595652.71999999974</v>
          </cell>
          <cell r="AP741" t="str">
            <v>Véhicules neufs</v>
          </cell>
          <cell r="AQ741" t="str">
            <v>Camions détail</v>
          </cell>
          <cell r="AR741" t="str">
            <v>$</v>
          </cell>
          <cell r="AS741">
            <v>0</v>
          </cell>
          <cell r="AW741">
            <v>0</v>
          </cell>
          <cell r="AY741" t="str">
            <v>NB</v>
          </cell>
        </row>
        <row r="742">
          <cell r="AM742">
            <v>0</v>
          </cell>
          <cell r="AP742" t="str">
            <v>Véhicules neufs</v>
          </cell>
          <cell r="AQ742" t="str">
            <v>Camions détail</v>
          </cell>
          <cell r="AR742" t="str">
            <v>$</v>
          </cell>
          <cell r="AS742">
            <v>0</v>
          </cell>
          <cell r="AW742">
            <v>0</v>
          </cell>
          <cell r="AY742" t="str">
            <v>NB</v>
          </cell>
        </row>
        <row r="743">
          <cell r="AM743">
            <v>0</v>
          </cell>
          <cell r="AP743" t="str">
            <v>Véhicules neufs</v>
          </cell>
          <cell r="AQ743" t="str">
            <v>Camions détail</v>
          </cell>
          <cell r="AR743" t="str">
            <v>$</v>
          </cell>
          <cell r="AS743">
            <v>0</v>
          </cell>
          <cell r="AW743">
            <v>0</v>
          </cell>
          <cell r="AY743" t="str">
            <v>NB</v>
          </cell>
        </row>
        <row r="744">
          <cell r="AM744">
            <v>62366.469999999972</v>
          </cell>
          <cell r="AP744" t="str">
            <v>Véhicules neufs</v>
          </cell>
          <cell r="AQ744" t="str">
            <v>Camions electriques</v>
          </cell>
          <cell r="AR744" t="str">
            <v>$</v>
          </cell>
          <cell r="AS744">
            <v>0</v>
          </cell>
          <cell r="AW744">
            <v>0</v>
          </cell>
          <cell r="AY744" t="str">
            <v>NB</v>
          </cell>
        </row>
        <row r="745">
          <cell r="AM745">
            <v>0</v>
          </cell>
          <cell r="AP745" t="e">
            <v>#N/A</v>
          </cell>
          <cell r="AQ745" t="e">
            <v>#N/A</v>
          </cell>
          <cell r="AR745" t="str">
            <v>$</v>
          </cell>
          <cell r="AS745" t="e">
            <v>#N/A</v>
          </cell>
          <cell r="AW745">
            <v>0</v>
          </cell>
          <cell r="AY745" t="str">
            <v>NB</v>
          </cell>
        </row>
        <row r="746">
          <cell r="AM746">
            <v>69626.5</v>
          </cell>
          <cell r="AP746" t="str">
            <v>Véhicules neufs</v>
          </cell>
          <cell r="AQ746" t="str">
            <v>Camions détail</v>
          </cell>
          <cell r="AR746" t="str">
            <v>$</v>
          </cell>
          <cell r="AS746">
            <v>0</v>
          </cell>
          <cell r="AW746">
            <v>0</v>
          </cell>
          <cell r="AY746" t="str">
            <v>NB</v>
          </cell>
        </row>
        <row r="747">
          <cell r="AM747">
            <v>728220.33000000054</v>
          </cell>
          <cell r="AP747" t="str">
            <v>Véhicules neufs</v>
          </cell>
          <cell r="AQ747" t="str">
            <v>Camions electriques</v>
          </cell>
          <cell r="AR747" t="str">
            <v>$</v>
          </cell>
          <cell r="AS747">
            <v>0</v>
          </cell>
          <cell r="AW747">
            <v>0</v>
          </cell>
          <cell r="AY747" t="str">
            <v>NB</v>
          </cell>
        </row>
        <row r="748">
          <cell r="AM748">
            <v>0</v>
          </cell>
          <cell r="AP748" t="e">
            <v>#N/A</v>
          </cell>
          <cell r="AQ748" t="e">
            <v>#N/A</v>
          </cell>
          <cell r="AR748" t="str">
            <v>$</v>
          </cell>
          <cell r="AS748" t="e">
            <v>#N/A</v>
          </cell>
          <cell r="AW748">
            <v>0</v>
          </cell>
          <cell r="AY748" t="str">
            <v>NB</v>
          </cell>
        </row>
        <row r="749">
          <cell r="AM749">
            <v>0</v>
          </cell>
          <cell r="AP749" t="str">
            <v>Véhicules neufs</v>
          </cell>
          <cell r="AQ749" t="str">
            <v>Camions détail</v>
          </cell>
          <cell r="AR749" t="str">
            <v>$</v>
          </cell>
          <cell r="AS749">
            <v>0</v>
          </cell>
          <cell r="AW749">
            <v>0</v>
          </cell>
          <cell r="AY749" t="str">
            <v>NB</v>
          </cell>
        </row>
        <row r="750">
          <cell r="AM750">
            <v>0</v>
          </cell>
          <cell r="AP750" t="str">
            <v>Véhicules neufs</v>
          </cell>
          <cell r="AQ750" t="str">
            <v>Camions electriques</v>
          </cell>
          <cell r="AR750" t="str">
            <v>$</v>
          </cell>
          <cell r="AS750">
            <v>0</v>
          </cell>
          <cell r="AW750">
            <v>0</v>
          </cell>
          <cell r="AY750" t="str">
            <v>NB</v>
          </cell>
        </row>
        <row r="751">
          <cell r="AM751">
            <v>0</v>
          </cell>
          <cell r="AP751" t="e">
            <v>#N/A</v>
          </cell>
          <cell r="AQ751" t="e">
            <v>#N/A</v>
          </cell>
          <cell r="AR751" t="str">
            <v>$</v>
          </cell>
          <cell r="AS751" t="e">
            <v>#N/A</v>
          </cell>
          <cell r="AW751">
            <v>0</v>
          </cell>
          <cell r="AY751" t="str">
            <v>NB</v>
          </cell>
        </row>
        <row r="752">
          <cell r="AM752">
            <v>0</v>
          </cell>
          <cell r="AP752" t="str">
            <v>Véhicules neufs</v>
          </cell>
          <cell r="AQ752" t="str">
            <v>Camions détail</v>
          </cell>
          <cell r="AR752" t="str">
            <v>$</v>
          </cell>
          <cell r="AS752">
            <v>0</v>
          </cell>
          <cell r="AW752">
            <v>0</v>
          </cell>
          <cell r="AY752" t="str">
            <v>NB</v>
          </cell>
        </row>
        <row r="753">
          <cell r="AM753">
            <v>111175.5</v>
          </cell>
          <cell r="AP753" t="str">
            <v>Véhicules neufs</v>
          </cell>
          <cell r="AQ753" t="str">
            <v>Camions détail</v>
          </cell>
          <cell r="AR753" t="str">
            <v>$</v>
          </cell>
          <cell r="AS753">
            <v>0</v>
          </cell>
          <cell r="AW753">
            <v>0</v>
          </cell>
          <cell r="AY753" t="str">
            <v>NB</v>
          </cell>
        </row>
        <row r="754">
          <cell r="AM754">
            <v>0</v>
          </cell>
          <cell r="AP754" t="e">
            <v>#N/A</v>
          </cell>
          <cell r="AQ754" t="e">
            <v>#N/A</v>
          </cell>
          <cell r="AR754" t="str">
            <v>$</v>
          </cell>
          <cell r="AS754" t="e">
            <v>#N/A</v>
          </cell>
          <cell r="AW754">
            <v>0</v>
          </cell>
          <cell r="AY754" t="str">
            <v>NB</v>
          </cell>
        </row>
        <row r="755">
          <cell r="AM755">
            <v>0</v>
          </cell>
          <cell r="AP755" t="e">
            <v>#N/A</v>
          </cell>
          <cell r="AQ755" t="e">
            <v>#N/A</v>
          </cell>
          <cell r="AR755" t="str">
            <v>$</v>
          </cell>
          <cell r="AS755" t="e">
            <v>#N/A</v>
          </cell>
          <cell r="AW755">
            <v>0</v>
          </cell>
          <cell r="AY755" t="str">
            <v>NB</v>
          </cell>
        </row>
        <row r="756">
          <cell r="AM756">
            <v>5897684.2799999937</v>
          </cell>
          <cell r="AP756" t="str">
            <v>Véhicules neufs</v>
          </cell>
          <cell r="AQ756" t="str">
            <v>Flottes</v>
          </cell>
          <cell r="AR756" t="str">
            <v>$</v>
          </cell>
          <cell r="AS756">
            <v>0</v>
          </cell>
          <cell r="AW756">
            <v>0</v>
          </cell>
          <cell r="AY756" t="str">
            <v>NB</v>
          </cell>
        </row>
        <row r="757">
          <cell r="AM757">
            <v>0</v>
          </cell>
          <cell r="AP757" t="str">
            <v>Véhicules neufs</v>
          </cell>
          <cell r="AQ757" t="str">
            <v>Flottes</v>
          </cell>
          <cell r="AR757" t="str">
            <v>$</v>
          </cell>
          <cell r="AS757">
            <v>0</v>
          </cell>
          <cell r="AW757">
            <v>0</v>
          </cell>
          <cell r="AY757" t="str">
            <v>NB</v>
          </cell>
        </row>
        <row r="758">
          <cell r="AM758">
            <v>45444.700000000012</v>
          </cell>
          <cell r="AP758" t="str">
            <v>Véhicules neufs</v>
          </cell>
          <cell r="AQ758" t="str">
            <v>Rev. Protections</v>
          </cell>
          <cell r="AR758" t="str">
            <v>$</v>
          </cell>
          <cell r="AS758">
            <v>0</v>
          </cell>
          <cell r="AW758">
            <v>0</v>
          </cell>
          <cell r="AY758" t="str">
            <v>NB</v>
          </cell>
        </row>
        <row r="759">
          <cell r="AM759">
            <v>0</v>
          </cell>
          <cell r="AP759" t="str">
            <v>Véhicules neufs</v>
          </cell>
          <cell r="AQ759" t="str">
            <v>Rev. Protections</v>
          </cell>
          <cell r="AR759" t="str">
            <v>$</v>
          </cell>
          <cell r="AS759">
            <v>0</v>
          </cell>
          <cell r="AW759">
            <v>0</v>
          </cell>
          <cell r="AY759" t="str">
            <v>NB</v>
          </cell>
        </row>
        <row r="760">
          <cell r="AM760">
            <v>0</v>
          </cell>
          <cell r="AP760" t="str">
            <v>Véhicules neufs</v>
          </cell>
          <cell r="AQ760" t="str">
            <v>Rev. Autres</v>
          </cell>
          <cell r="AR760" t="str">
            <v>$</v>
          </cell>
          <cell r="AS760">
            <v>0</v>
          </cell>
          <cell r="AW760">
            <v>0</v>
          </cell>
          <cell r="AY760" t="str">
            <v>NB</v>
          </cell>
        </row>
        <row r="761">
          <cell r="AM761">
            <v>420</v>
          </cell>
          <cell r="AP761" t="str">
            <v>Véhicules neufs</v>
          </cell>
          <cell r="AQ761" t="str">
            <v>Rev. Autres</v>
          </cell>
          <cell r="AR761" t="str">
            <v>$</v>
          </cell>
          <cell r="AS761">
            <v>0</v>
          </cell>
          <cell r="AW761">
            <v>0</v>
          </cell>
          <cell r="AY761" t="str">
            <v>NB</v>
          </cell>
        </row>
        <row r="762">
          <cell r="AM762">
            <v>3068.8000000000029</v>
          </cell>
          <cell r="AP762" t="str">
            <v>Véhicules neufs</v>
          </cell>
          <cell r="AQ762" t="str">
            <v>Rev. Protections</v>
          </cell>
          <cell r="AR762" t="str">
            <v>$</v>
          </cell>
          <cell r="AS762">
            <v>0</v>
          </cell>
          <cell r="AW762">
            <v>0</v>
          </cell>
          <cell r="AY762" t="str">
            <v>NB</v>
          </cell>
        </row>
        <row r="763">
          <cell r="AM763">
            <v>7920</v>
          </cell>
          <cell r="AP763" t="str">
            <v>Véhicules neufs</v>
          </cell>
          <cell r="AQ763" t="str">
            <v>Rev. Autres</v>
          </cell>
          <cell r="AR763" t="str">
            <v>$</v>
          </cell>
          <cell r="AS763">
            <v>0</v>
          </cell>
          <cell r="AW763">
            <v>0</v>
          </cell>
          <cell r="AY763" t="str">
            <v>NB</v>
          </cell>
        </row>
        <row r="764">
          <cell r="AM764">
            <v>0</v>
          </cell>
          <cell r="AP764" t="str">
            <v>Véhicules usagés</v>
          </cell>
          <cell r="AQ764" t="str">
            <v>Certifié</v>
          </cell>
          <cell r="AR764" t="str">
            <v>$</v>
          </cell>
          <cell r="AS764">
            <v>0</v>
          </cell>
          <cell r="AW764">
            <v>0</v>
          </cell>
          <cell r="AY764" t="str">
            <v>NB</v>
          </cell>
        </row>
        <row r="765">
          <cell r="AM765">
            <v>76509.860000000102</v>
          </cell>
          <cell r="AP765" t="str">
            <v>Véhicules usagés</v>
          </cell>
          <cell r="AQ765" t="str">
            <v>Non Certifié</v>
          </cell>
          <cell r="AR765" t="str">
            <v>$</v>
          </cell>
          <cell r="AS765">
            <v>0</v>
          </cell>
          <cell r="AW765">
            <v>0</v>
          </cell>
          <cell r="AY765" t="str">
            <v>NB</v>
          </cell>
        </row>
        <row r="766">
          <cell r="AM766">
            <v>0</v>
          </cell>
          <cell r="AP766" t="str">
            <v>Véhicules usagés</v>
          </cell>
          <cell r="AQ766" t="str">
            <v>Certifié</v>
          </cell>
          <cell r="AR766" t="str">
            <v>$</v>
          </cell>
          <cell r="AS766">
            <v>0</v>
          </cell>
          <cell r="AW766">
            <v>0</v>
          </cell>
          <cell r="AY766" t="str">
            <v>NB</v>
          </cell>
        </row>
        <row r="767">
          <cell r="AM767">
            <v>0</v>
          </cell>
          <cell r="AP767">
            <v>0</v>
          </cell>
          <cell r="AQ767">
            <v>0</v>
          </cell>
          <cell r="AR767" t="str">
            <v>$</v>
          </cell>
          <cell r="AS767">
            <v>0</v>
          </cell>
          <cell r="AW767">
            <v>0</v>
          </cell>
          <cell r="AY767" t="str">
            <v>NB</v>
          </cell>
        </row>
        <row r="768">
          <cell r="AM768">
            <v>0</v>
          </cell>
          <cell r="AP768">
            <v>0</v>
          </cell>
          <cell r="AQ768">
            <v>0</v>
          </cell>
          <cell r="AR768" t="str">
            <v>$</v>
          </cell>
          <cell r="AS768">
            <v>0</v>
          </cell>
          <cell r="AW768">
            <v>0</v>
          </cell>
          <cell r="AY768" t="str">
            <v>NB</v>
          </cell>
        </row>
        <row r="769">
          <cell r="AM769">
            <v>0</v>
          </cell>
          <cell r="AP769">
            <v>0</v>
          </cell>
          <cell r="AQ769">
            <v>0</v>
          </cell>
          <cell r="AR769" t="str">
            <v>$</v>
          </cell>
          <cell r="AS769">
            <v>0</v>
          </cell>
          <cell r="AW769">
            <v>0</v>
          </cell>
          <cell r="AY769" t="str">
            <v>NB</v>
          </cell>
        </row>
        <row r="770">
          <cell r="AM770">
            <v>19776</v>
          </cell>
          <cell r="AP770" t="str">
            <v>Véhicules usagés</v>
          </cell>
          <cell r="AQ770" t="str">
            <v>Ventes au Gros</v>
          </cell>
          <cell r="AR770" t="str">
            <v>$</v>
          </cell>
          <cell r="AS770">
            <v>0</v>
          </cell>
          <cell r="AW770">
            <v>0</v>
          </cell>
          <cell r="AY770" t="str">
            <v>NB</v>
          </cell>
        </row>
        <row r="771">
          <cell r="AM771">
            <v>0</v>
          </cell>
          <cell r="AP771">
            <v>0</v>
          </cell>
          <cell r="AQ771">
            <v>0</v>
          </cell>
          <cell r="AR771" t="str">
            <v>$</v>
          </cell>
          <cell r="AS771">
            <v>0</v>
          </cell>
          <cell r="AW771">
            <v>0</v>
          </cell>
          <cell r="AY771" t="str">
            <v>NB</v>
          </cell>
        </row>
        <row r="772">
          <cell r="AM772">
            <v>0</v>
          </cell>
          <cell r="AP772" t="str">
            <v>Véhicules usagés</v>
          </cell>
          <cell r="AQ772" t="str">
            <v>Ventes au Gros</v>
          </cell>
          <cell r="AR772" t="str">
            <v>$</v>
          </cell>
          <cell r="AS772" t="str">
            <v>Oui</v>
          </cell>
          <cell r="AW772">
            <v>0</v>
          </cell>
          <cell r="AY772" t="str">
            <v>NB</v>
          </cell>
        </row>
        <row r="773">
          <cell r="AM773">
            <v>272045.1100000001</v>
          </cell>
          <cell r="AP773" t="str">
            <v>Véhicules usagés</v>
          </cell>
          <cell r="AQ773" t="str">
            <v>Non Certifié</v>
          </cell>
          <cell r="AR773" t="str">
            <v>$</v>
          </cell>
          <cell r="AS773">
            <v>0</v>
          </cell>
          <cell r="AW773">
            <v>0</v>
          </cell>
          <cell r="AY773" t="str">
            <v>NB</v>
          </cell>
        </row>
        <row r="774">
          <cell r="AM774">
            <v>0</v>
          </cell>
          <cell r="AP774" t="e">
            <v>#N/A</v>
          </cell>
          <cell r="AQ774" t="e">
            <v>#N/A</v>
          </cell>
          <cell r="AR774" t="str">
            <v>$</v>
          </cell>
          <cell r="AS774" t="e">
            <v>#N/A</v>
          </cell>
          <cell r="AW774">
            <v>0</v>
          </cell>
          <cell r="AY774" t="str">
            <v>NB</v>
          </cell>
        </row>
        <row r="775">
          <cell r="AM775">
            <v>0</v>
          </cell>
          <cell r="AP775">
            <v>0</v>
          </cell>
          <cell r="AQ775">
            <v>0</v>
          </cell>
          <cell r="AR775" t="str">
            <v>$</v>
          </cell>
          <cell r="AS775">
            <v>0</v>
          </cell>
          <cell r="AW775">
            <v>0</v>
          </cell>
          <cell r="AY775" t="str">
            <v>NB</v>
          </cell>
        </row>
        <row r="776">
          <cell r="AM776">
            <v>0</v>
          </cell>
          <cell r="AP776">
            <v>0</v>
          </cell>
          <cell r="AQ776">
            <v>0</v>
          </cell>
          <cell r="AR776" t="str">
            <v>$</v>
          </cell>
          <cell r="AS776">
            <v>0</v>
          </cell>
          <cell r="AW776">
            <v>0</v>
          </cell>
          <cell r="AY776" t="str">
            <v>NB</v>
          </cell>
        </row>
        <row r="777">
          <cell r="AM777">
            <v>0</v>
          </cell>
          <cell r="AP777">
            <v>0</v>
          </cell>
          <cell r="AQ777">
            <v>0</v>
          </cell>
          <cell r="AR777" t="str">
            <v>$</v>
          </cell>
          <cell r="AS777">
            <v>0</v>
          </cell>
          <cell r="AW777">
            <v>0</v>
          </cell>
          <cell r="AY777" t="str">
            <v>NB</v>
          </cell>
        </row>
        <row r="778">
          <cell r="AM778">
            <v>1616001.2699999996</v>
          </cell>
          <cell r="AP778" t="str">
            <v>Véhicules usagés</v>
          </cell>
          <cell r="AQ778" t="str">
            <v>Ventes au Gros</v>
          </cell>
          <cell r="AR778" t="str">
            <v>$</v>
          </cell>
          <cell r="AS778">
            <v>0</v>
          </cell>
          <cell r="AW778">
            <v>0</v>
          </cell>
          <cell r="AY778" t="str">
            <v>NB</v>
          </cell>
        </row>
        <row r="779">
          <cell r="AM779">
            <v>2083930</v>
          </cell>
          <cell r="AP779" t="str">
            <v>Wholesale autres</v>
          </cell>
          <cell r="AQ779" t="str">
            <v>Wholesale Luxueux</v>
          </cell>
          <cell r="AR779" t="str">
            <v>$</v>
          </cell>
          <cell r="AS779">
            <v>0</v>
          </cell>
          <cell r="AW779">
            <v>0</v>
          </cell>
          <cell r="AY779" t="str">
            <v>NB</v>
          </cell>
        </row>
        <row r="780">
          <cell r="AM780">
            <v>0</v>
          </cell>
          <cell r="AP780">
            <v>0</v>
          </cell>
          <cell r="AQ780">
            <v>0</v>
          </cell>
          <cell r="AR780" t="str">
            <v>$</v>
          </cell>
          <cell r="AS780">
            <v>0</v>
          </cell>
          <cell r="AW780">
            <v>0</v>
          </cell>
          <cell r="AY780" t="str">
            <v>NB</v>
          </cell>
        </row>
        <row r="781">
          <cell r="AM781">
            <v>3885</v>
          </cell>
          <cell r="AP781" t="str">
            <v>Véhicules usagés</v>
          </cell>
          <cell r="AQ781" t="str">
            <v>Rev. Protections</v>
          </cell>
          <cell r="AR781" t="str">
            <v>$</v>
          </cell>
          <cell r="AS781">
            <v>0</v>
          </cell>
          <cell r="AW781">
            <v>0</v>
          </cell>
          <cell r="AY781" t="str">
            <v>NB</v>
          </cell>
        </row>
        <row r="782">
          <cell r="AM782">
            <v>0</v>
          </cell>
          <cell r="AP782" t="str">
            <v>Véhicules usagés</v>
          </cell>
          <cell r="AQ782" t="str">
            <v>Rev. Protections</v>
          </cell>
          <cell r="AR782" t="str">
            <v>$</v>
          </cell>
          <cell r="AS782">
            <v>0</v>
          </cell>
          <cell r="AW782">
            <v>0</v>
          </cell>
          <cell r="AY782" t="str">
            <v>NB</v>
          </cell>
        </row>
        <row r="783">
          <cell r="AM783">
            <v>715.39999999999964</v>
          </cell>
          <cell r="AP783" t="str">
            <v>Véhicules usagés</v>
          </cell>
          <cell r="AQ783" t="str">
            <v>Rev. Protections</v>
          </cell>
          <cell r="AR783" t="str">
            <v>$</v>
          </cell>
          <cell r="AS783">
            <v>0</v>
          </cell>
          <cell r="AW783">
            <v>0</v>
          </cell>
          <cell r="AY783" t="str">
            <v>NB</v>
          </cell>
        </row>
        <row r="784">
          <cell r="AM784">
            <v>-0.43000000005122274</v>
          </cell>
          <cell r="AP784" t="str">
            <v>Wholesale autres</v>
          </cell>
          <cell r="AQ784" t="str">
            <v>Wholesale USA</v>
          </cell>
          <cell r="AR784" t="str">
            <v>$</v>
          </cell>
          <cell r="AS784">
            <v>0</v>
          </cell>
          <cell r="AW784">
            <v>0</v>
          </cell>
          <cell r="AY784" t="str">
            <v>NB</v>
          </cell>
        </row>
        <row r="785">
          <cell r="AM785">
            <v>0</v>
          </cell>
          <cell r="AP785" t="str">
            <v>Wholesale autres</v>
          </cell>
          <cell r="AQ785" t="str">
            <v>Wholesale USA</v>
          </cell>
          <cell r="AR785" t="str">
            <v>$</v>
          </cell>
          <cell r="AS785">
            <v>0</v>
          </cell>
          <cell r="AW785">
            <v>0</v>
          </cell>
          <cell r="AY785" t="str">
            <v>NB</v>
          </cell>
        </row>
        <row r="786">
          <cell r="AM786">
            <v>1991265.1900000013</v>
          </cell>
          <cell r="AP786" t="str">
            <v>Wholesale autres</v>
          </cell>
          <cell r="AQ786" t="str">
            <v>Wholesale USA</v>
          </cell>
          <cell r="AR786" t="str">
            <v>$</v>
          </cell>
          <cell r="AS786">
            <v>0</v>
          </cell>
          <cell r="AW786">
            <v>0</v>
          </cell>
          <cell r="AY786" t="str">
            <v>NB</v>
          </cell>
        </row>
        <row r="787">
          <cell r="AM787">
            <v>14845.64</v>
          </cell>
          <cell r="AP787" t="str">
            <v>Service</v>
          </cell>
          <cell r="AQ787" t="str">
            <v>M/O Client</v>
          </cell>
          <cell r="AR787" t="str">
            <v>$</v>
          </cell>
          <cell r="AS787">
            <v>0</v>
          </cell>
          <cell r="AW787">
            <v>0</v>
          </cell>
          <cell r="AY787" t="str">
            <v>NB</v>
          </cell>
        </row>
        <row r="788">
          <cell r="AM788">
            <v>0</v>
          </cell>
          <cell r="AP788" t="str">
            <v>Service</v>
          </cell>
          <cell r="AQ788" t="str">
            <v>M/O Garantie</v>
          </cell>
          <cell r="AR788" t="str">
            <v>$</v>
          </cell>
          <cell r="AS788">
            <v>0</v>
          </cell>
          <cell r="AW788">
            <v>0</v>
          </cell>
          <cell r="AY788" t="str">
            <v>NB</v>
          </cell>
        </row>
        <row r="789">
          <cell r="AM789">
            <v>0</v>
          </cell>
          <cell r="AP789" t="e">
            <v>#N/A</v>
          </cell>
          <cell r="AQ789" t="e">
            <v>#N/A</v>
          </cell>
          <cell r="AR789" t="str">
            <v>$</v>
          </cell>
          <cell r="AS789" t="e">
            <v>#N/A</v>
          </cell>
          <cell r="AW789">
            <v>0</v>
          </cell>
          <cell r="AY789" t="str">
            <v>NB</v>
          </cell>
        </row>
        <row r="790">
          <cell r="AM790">
            <v>472.04999999999927</v>
          </cell>
          <cell r="AP790" t="str">
            <v>Service</v>
          </cell>
          <cell r="AQ790" t="str">
            <v>M/O Client</v>
          </cell>
          <cell r="AR790" t="str">
            <v>$</v>
          </cell>
          <cell r="AS790">
            <v>0</v>
          </cell>
          <cell r="AW790">
            <v>0</v>
          </cell>
          <cell r="AY790" t="str">
            <v>NB</v>
          </cell>
        </row>
        <row r="791">
          <cell r="AM791">
            <v>21084.430000000008</v>
          </cell>
          <cell r="AP791" t="str">
            <v>SAAQ</v>
          </cell>
          <cell r="AQ791" t="str">
            <v>Inspection - Véhicules Légers</v>
          </cell>
          <cell r="AR791" t="str">
            <v>$</v>
          </cell>
          <cell r="AS791">
            <v>0</v>
          </cell>
          <cell r="AW791">
            <v>0</v>
          </cell>
          <cell r="AY791" t="str">
            <v>NB</v>
          </cell>
        </row>
        <row r="792">
          <cell r="AM792">
            <v>0</v>
          </cell>
          <cell r="AP792" t="str">
            <v>SAAQ</v>
          </cell>
          <cell r="AQ792" t="str">
            <v>Inspection - Véhicules Interne</v>
          </cell>
          <cell r="AR792" t="str">
            <v>$</v>
          </cell>
          <cell r="AS792">
            <v>0</v>
          </cell>
          <cell r="AW792">
            <v>0</v>
          </cell>
          <cell r="AY792" t="str">
            <v>NB</v>
          </cell>
        </row>
        <row r="793">
          <cell r="AM793">
            <v>0</v>
          </cell>
          <cell r="AP793" t="str">
            <v>SAAQ</v>
          </cell>
          <cell r="AQ793" t="str">
            <v>Inspection - Véhicules Lourds</v>
          </cell>
          <cell r="AR793" t="str">
            <v>$</v>
          </cell>
          <cell r="AS793">
            <v>0</v>
          </cell>
          <cell r="AW793">
            <v>0</v>
          </cell>
          <cell r="AY793" t="str">
            <v>NB</v>
          </cell>
        </row>
        <row r="794">
          <cell r="AM794">
            <v>12474.279999999999</v>
          </cell>
          <cell r="AP794" t="str">
            <v>Service</v>
          </cell>
          <cell r="AQ794" t="str">
            <v>M/O Garantie</v>
          </cell>
          <cell r="AR794" t="str">
            <v>$</v>
          </cell>
          <cell r="AS794">
            <v>0</v>
          </cell>
          <cell r="AW794">
            <v>0</v>
          </cell>
          <cell r="AY794" t="str">
            <v>NB</v>
          </cell>
        </row>
        <row r="795">
          <cell r="AM795">
            <v>10274.169999999998</v>
          </cell>
          <cell r="AP795" t="str">
            <v>Service</v>
          </cell>
          <cell r="AQ795" t="str">
            <v>M/O Interne</v>
          </cell>
          <cell r="AR795" t="str">
            <v>$</v>
          </cell>
          <cell r="AS795">
            <v>0</v>
          </cell>
          <cell r="AW795">
            <v>0</v>
          </cell>
          <cell r="AY795" t="str">
            <v>NB</v>
          </cell>
        </row>
        <row r="796">
          <cell r="AM796">
            <v>730.03</v>
          </cell>
          <cell r="AP796" t="str">
            <v>SAAQ</v>
          </cell>
          <cell r="AQ796" t="str">
            <v>Inspection - Véhicules Interne</v>
          </cell>
          <cell r="AR796" t="str">
            <v>$</v>
          </cell>
          <cell r="AS796">
            <v>0</v>
          </cell>
          <cell r="AW796">
            <v>0</v>
          </cell>
          <cell r="AY796" t="str">
            <v>NB</v>
          </cell>
        </row>
        <row r="797">
          <cell r="AM797">
            <v>4540.5299999999988</v>
          </cell>
          <cell r="AP797" t="str">
            <v>Service</v>
          </cell>
          <cell r="AQ797" t="str">
            <v>M/O Interne</v>
          </cell>
          <cell r="AR797" t="str">
            <v>$</v>
          </cell>
          <cell r="AS797">
            <v>0</v>
          </cell>
          <cell r="AW797">
            <v>0</v>
          </cell>
          <cell r="AY797" t="str">
            <v>NB</v>
          </cell>
        </row>
        <row r="798">
          <cell r="AM798">
            <v>0</v>
          </cell>
          <cell r="AP798" t="e">
            <v>#N/A</v>
          </cell>
          <cell r="AQ798" t="e">
            <v>#N/A</v>
          </cell>
          <cell r="AR798" t="str">
            <v>$</v>
          </cell>
          <cell r="AS798" t="e">
            <v>#N/A</v>
          </cell>
          <cell r="AW798">
            <v>0</v>
          </cell>
          <cell r="AY798" t="str">
            <v>NB</v>
          </cell>
        </row>
        <row r="799">
          <cell r="AM799">
            <v>-1791.8900000000031</v>
          </cell>
          <cell r="AP799" t="str">
            <v>Service</v>
          </cell>
          <cell r="AQ799" t="str">
            <v>Ajustement M/O</v>
          </cell>
          <cell r="AR799" t="str">
            <v>$</v>
          </cell>
          <cell r="AS799">
            <v>0</v>
          </cell>
          <cell r="AW799">
            <v>0</v>
          </cell>
          <cell r="AY799" t="str">
            <v>NB</v>
          </cell>
        </row>
        <row r="800">
          <cell r="AM800">
            <v>16839.679999999993</v>
          </cell>
          <cell r="AP800" t="str">
            <v>Service</v>
          </cell>
          <cell r="AQ800" t="str">
            <v>Sous-traitement</v>
          </cell>
          <cell r="AR800" t="str">
            <v>$</v>
          </cell>
          <cell r="AS800">
            <v>0</v>
          </cell>
          <cell r="AW800">
            <v>0</v>
          </cell>
          <cell r="AY800" t="str">
            <v>NB</v>
          </cell>
        </row>
        <row r="801">
          <cell r="AM801">
            <v>0</v>
          </cell>
          <cell r="AP801" t="str">
            <v>SAAQ</v>
          </cell>
          <cell r="AQ801" t="str">
            <v>Inspection - Véhicules Interne</v>
          </cell>
          <cell r="AR801" t="str">
            <v>$</v>
          </cell>
          <cell r="AS801">
            <v>0</v>
          </cell>
          <cell r="AW801">
            <v>0</v>
          </cell>
          <cell r="AY801" t="str">
            <v>NB</v>
          </cell>
        </row>
        <row r="802">
          <cell r="AM802">
            <v>0</v>
          </cell>
          <cell r="AP802" t="e">
            <v>#N/A</v>
          </cell>
          <cell r="AQ802" t="e">
            <v>#N/A</v>
          </cell>
          <cell r="AR802" t="str">
            <v>$</v>
          </cell>
          <cell r="AS802" t="e">
            <v>#N/A</v>
          </cell>
          <cell r="AW802">
            <v>0</v>
          </cell>
          <cell r="AY802" t="str">
            <v>NB</v>
          </cell>
        </row>
        <row r="803">
          <cell r="AM803">
            <v>34903.079999999958</v>
          </cell>
          <cell r="AP803" t="str">
            <v>Pièces</v>
          </cell>
          <cell r="AQ803" t="str">
            <v>Pièces Ro Clients</v>
          </cell>
          <cell r="AR803" t="str">
            <v>$</v>
          </cell>
          <cell r="AS803">
            <v>0</v>
          </cell>
          <cell r="AW803">
            <v>0</v>
          </cell>
          <cell r="AY803" t="str">
            <v>NB</v>
          </cell>
        </row>
        <row r="804">
          <cell r="AM804">
            <v>0</v>
          </cell>
          <cell r="AP804" t="str">
            <v>Pièces</v>
          </cell>
          <cell r="AQ804" t="str">
            <v>Pièces Ro Clients</v>
          </cell>
          <cell r="AR804" t="str">
            <v>$</v>
          </cell>
          <cell r="AS804">
            <v>0</v>
          </cell>
          <cell r="AW804">
            <v>0</v>
          </cell>
          <cell r="AY804" t="str">
            <v>NB</v>
          </cell>
        </row>
        <row r="805">
          <cell r="AM805">
            <v>0</v>
          </cell>
          <cell r="AP805">
            <v>0</v>
          </cell>
          <cell r="AQ805">
            <v>0</v>
          </cell>
          <cell r="AR805" t="str">
            <v>$</v>
          </cell>
          <cell r="AS805">
            <v>0</v>
          </cell>
          <cell r="AW805">
            <v>0</v>
          </cell>
          <cell r="AY805" t="str">
            <v>NB</v>
          </cell>
        </row>
        <row r="806">
          <cell r="AM806">
            <v>0</v>
          </cell>
          <cell r="AP806">
            <v>0</v>
          </cell>
          <cell r="AQ806">
            <v>0</v>
          </cell>
          <cell r="AR806" t="str">
            <v>$</v>
          </cell>
          <cell r="AS806">
            <v>0</v>
          </cell>
          <cell r="AW806">
            <v>0</v>
          </cell>
          <cell r="AY806" t="str">
            <v>NB</v>
          </cell>
        </row>
        <row r="807">
          <cell r="AM807">
            <v>0</v>
          </cell>
          <cell r="AP807">
            <v>0</v>
          </cell>
          <cell r="AQ807">
            <v>0</v>
          </cell>
          <cell r="AR807" t="str">
            <v>$</v>
          </cell>
          <cell r="AS807">
            <v>0</v>
          </cell>
          <cell r="AW807">
            <v>0</v>
          </cell>
          <cell r="AY807" t="str">
            <v>NB</v>
          </cell>
        </row>
        <row r="808">
          <cell r="AM808">
            <v>0</v>
          </cell>
          <cell r="AP808" t="e">
            <v>#N/A</v>
          </cell>
          <cell r="AQ808" t="e">
            <v>#N/A</v>
          </cell>
          <cell r="AR808" t="str">
            <v>$</v>
          </cell>
          <cell r="AS808" t="e">
            <v>#N/A</v>
          </cell>
          <cell r="AW808">
            <v>0</v>
          </cell>
          <cell r="AY808" t="str">
            <v>NB</v>
          </cell>
        </row>
        <row r="809">
          <cell r="AM809">
            <v>1369.7099999999991</v>
          </cell>
          <cell r="AP809" t="str">
            <v>Service</v>
          </cell>
          <cell r="AQ809" t="str">
            <v>Sous-traitement</v>
          </cell>
          <cell r="AR809" t="str">
            <v>$</v>
          </cell>
          <cell r="AS809">
            <v>0</v>
          </cell>
          <cell r="AW809">
            <v>0</v>
          </cell>
          <cell r="AY809" t="str">
            <v>NB</v>
          </cell>
        </row>
        <row r="810">
          <cell r="AM810">
            <v>0</v>
          </cell>
          <cell r="AP810" t="str">
            <v>Carrosserie</v>
          </cell>
          <cell r="AQ810" t="str">
            <v>Carrosserie Clients</v>
          </cell>
          <cell r="AR810" t="str">
            <v>$</v>
          </cell>
          <cell r="AS810">
            <v>0</v>
          </cell>
          <cell r="AW810">
            <v>0</v>
          </cell>
          <cell r="AY810" t="str">
            <v>NB</v>
          </cell>
        </row>
        <row r="811">
          <cell r="AM811">
            <v>22945.809999999998</v>
          </cell>
          <cell r="AP811" t="str">
            <v>Carrosserie</v>
          </cell>
          <cell r="AQ811" t="str">
            <v>Carrosserie Clients</v>
          </cell>
          <cell r="AR811" t="str">
            <v>$</v>
          </cell>
          <cell r="AS811">
            <v>0</v>
          </cell>
          <cell r="AW811">
            <v>0</v>
          </cell>
          <cell r="AY811" t="str">
            <v>NB</v>
          </cell>
        </row>
        <row r="812">
          <cell r="AM812">
            <v>0</v>
          </cell>
          <cell r="AP812" t="str">
            <v>Carrosserie</v>
          </cell>
          <cell r="AQ812" t="str">
            <v>Carrosserie Interne</v>
          </cell>
          <cell r="AR812" t="str">
            <v>$</v>
          </cell>
          <cell r="AS812">
            <v>0</v>
          </cell>
          <cell r="AW812">
            <v>0</v>
          </cell>
          <cell r="AY812" t="str">
            <v>NB</v>
          </cell>
        </row>
        <row r="813">
          <cell r="AM813">
            <v>2999.0699999999997</v>
          </cell>
          <cell r="AP813" t="str">
            <v>Carrosserie</v>
          </cell>
          <cell r="AQ813" t="str">
            <v>Carrosserie Interne</v>
          </cell>
          <cell r="AR813" t="str">
            <v>$</v>
          </cell>
          <cell r="AS813">
            <v>0</v>
          </cell>
          <cell r="AW813">
            <v>0</v>
          </cell>
          <cell r="AY813" t="str">
            <v>NB</v>
          </cell>
        </row>
        <row r="814">
          <cell r="AM814">
            <v>-4037.2300000000005</v>
          </cell>
          <cell r="AP814" t="str">
            <v>Carrosserie</v>
          </cell>
          <cell r="AQ814" t="str">
            <v>Ajustement M/O Carrosserie</v>
          </cell>
          <cell r="AR814" t="str">
            <v>$</v>
          </cell>
          <cell r="AS814">
            <v>0</v>
          </cell>
          <cell r="AW814">
            <v>0</v>
          </cell>
          <cell r="AY814" t="str">
            <v>NB</v>
          </cell>
        </row>
        <row r="815">
          <cell r="AM815">
            <v>91785.110000000044</v>
          </cell>
          <cell r="AP815" t="str">
            <v>Carrosserie</v>
          </cell>
          <cell r="AQ815" t="str">
            <v>Carrosserie Clients</v>
          </cell>
          <cell r="AR815" t="str">
            <v>$</v>
          </cell>
          <cell r="AS815">
            <v>0</v>
          </cell>
          <cell r="AW815">
            <v>0</v>
          </cell>
          <cell r="AY815" t="str">
            <v>NB</v>
          </cell>
        </row>
        <row r="816">
          <cell r="AM816">
            <v>0</v>
          </cell>
          <cell r="AP816" t="str">
            <v>Pièces</v>
          </cell>
          <cell r="AQ816" t="str">
            <v>Pièces Ro Carrosserie</v>
          </cell>
          <cell r="AR816" t="str">
            <v>$</v>
          </cell>
          <cell r="AS816">
            <v>0</v>
          </cell>
          <cell r="AW816">
            <v>0</v>
          </cell>
          <cell r="AY816" t="str">
            <v>NB</v>
          </cell>
        </row>
        <row r="817">
          <cell r="AM817">
            <v>0</v>
          </cell>
          <cell r="AP817">
            <v>0</v>
          </cell>
          <cell r="AQ817">
            <v>0</v>
          </cell>
          <cell r="AR817" t="str">
            <v>$</v>
          </cell>
          <cell r="AS817">
            <v>0</v>
          </cell>
          <cell r="AW817">
            <v>0</v>
          </cell>
          <cell r="AY817" t="str">
            <v>NB</v>
          </cell>
        </row>
        <row r="818">
          <cell r="AM818">
            <v>0</v>
          </cell>
          <cell r="AP818" t="e">
            <v>#N/A</v>
          </cell>
          <cell r="AQ818" t="e">
            <v>#N/A</v>
          </cell>
          <cell r="AR818" t="str">
            <v>$</v>
          </cell>
          <cell r="AS818" t="e">
            <v>#N/A</v>
          </cell>
          <cell r="AW818">
            <v>0</v>
          </cell>
          <cell r="AY818" t="str">
            <v>NB</v>
          </cell>
        </row>
        <row r="819">
          <cell r="AM819">
            <v>5313.3899999999994</v>
          </cell>
          <cell r="AP819" t="str">
            <v>Carrosserie</v>
          </cell>
          <cell r="AQ819" t="str">
            <v>Carrosserie Clients</v>
          </cell>
          <cell r="AR819" t="str">
            <v>$</v>
          </cell>
          <cell r="AS819">
            <v>0</v>
          </cell>
          <cell r="AW819">
            <v>0</v>
          </cell>
          <cell r="AY819" t="str">
            <v>NB</v>
          </cell>
        </row>
        <row r="820">
          <cell r="AM820">
            <v>22934.76999999999</v>
          </cell>
          <cell r="AP820" t="str">
            <v>Pièces</v>
          </cell>
          <cell r="AQ820" t="str">
            <v>P/A Garantie</v>
          </cell>
          <cell r="AR820" t="str">
            <v>$</v>
          </cell>
          <cell r="AS820">
            <v>0</v>
          </cell>
          <cell r="AW820">
            <v>0</v>
          </cell>
          <cell r="AY820" t="str">
            <v>NB</v>
          </cell>
        </row>
        <row r="821">
          <cell r="AM821">
            <v>0</v>
          </cell>
          <cell r="AP821" t="str">
            <v>Pièces</v>
          </cell>
          <cell r="AQ821" t="str">
            <v>P/A Garantie</v>
          </cell>
          <cell r="AR821" t="str">
            <v>$</v>
          </cell>
          <cell r="AS821">
            <v>0</v>
          </cell>
          <cell r="AW821">
            <v>0</v>
          </cell>
          <cell r="AY821" t="str">
            <v>NB</v>
          </cell>
        </row>
        <row r="822">
          <cell r="AM822">
            <v>44038.959999999963</v>
          </cell>
          <cell r="AP822" t="str">
            <v>Pièces</v>
          </cell>
          <cell r="AQ822" t="str">
            <v>Ventes Internes</v>
          </cell>
          <cell r="AR822" t="str">
            <v>$</v>
          </cell>
          <cell r="AS822">
            <v>0</v>
          </cell>
          <cell r="AW822">
            <v>0</v>
          </cell>
          <cell r="AY822" t="str">
            <v>NB</v>
          </cell>
        </row>
        <row r="823">
          <cell r="AM823">
            <v>0</v>
          </cell>
          <cell r="AP823" t="str">
            <v>Pièces</v>
          </cell>
          <cell r="AQ823" t="str">
            <v>Ventes Internes</v>
          </cell>
          <cell r="AR823" t="str">
            <v>$</v>
          </cell>
          <cell r="AS823">
            <v>0</v>
          </cell>
          <cell r="AW823">
            <v>0</v>
          </cell>
          <cell r="AY823" t="str">
            <v>NB</v>
          </cell>
        </row>
        <row r="824">
          <cell r="AM824">
            <v>18150.369999999995</v>
          </cell>
          <cell r="AP824" t="str">
            <v>Pièces</v>
          </cell>
          <cell r="AQ824" t="str">
            <v>Ventes Détails</v>
          </cell>
          <cell r="AR824" t="str">
            <v>$</v>
          </cell>
          <cell r="AS824">
            <v>0</v>
          </cell>
          <cell r="AW824">
            <v>0</v>
          </cell>
          <cell r="AY824" t="str">
            <v>NB</v>
          </cell>
        </row>
        <row r="825">
          <cell r="AM825">
            <v>92813.580000000075</v>
          </cell>
          <cell r="AP825" t="str">
            <v>Pièces</v>
          </cell>
          <cell r="AQ825" t="str">
            <v>Ventes de Gros</v>
          </cell>
          <cell r="AR825" t="str">
            <v>$</v>
          </cell>
          <cell r="AS825">
            <v>0</v>
          </cell>
          <cell r="AW825">
            <v>0</v>
          </cell>
          <cell r="AY825" t="str">
            <v>NB</v>
          </cell>
        </row>
        <row r="826">
          <cell r="AM826">
            <v>-15825.900000000001</v>
          </cell>
          <cell r="AP826" t="str">
            <v>Pièces</v>
          </cell>
          <cell r="AQ826" t="str">
            <v>Escomptes</v>
          </cell>
          <cell r="AR826" t="str">
            <v>$</v>
          </cell>
          <cell r="AS826">
            <v>0</v>
          </cell>
          <cell r="AW826">
            <v>0</v>
          </cell>
          <cell r="AY826" t="str">
            <v>NB</v>
          </cell>
        </row>
        <row r="827">
          <cell r="AM827">
            <v>-2669.91</v>
          </cell>
          <cell r="AP827" t="str">
            <v>Pièces</v>
          </cell>
          <cell r="AQ827" t="str">
            <v>Rectif. Inventaire</v>
          </cell>
          <cell r="AR827" t="str">
            <v>$</v>
          </cell>
          <cell r="AS827">
            <v>0</v>
          </cell>
          <cell r="AW827">
            <v>0</v>
          </cell>
          <cell r="AY827" t="str">
            <v>NB</v>
          </cell>
        </row>
        <row r="828">
          <cell r="AM828">
            <v>3278.7799999999988</v>
          </cell>
          <cell r="AP828" t="str">
            <v>Pièces</v>
          </cell>
          <cell r="AQ828" t="str">
            <v>Ventes Pneus</v>
          </cell>
          <cell r="AR828" t="str">
            <v>$</v>
          </cell>
          <cell r="AS828">
            <v>0</v>
          </cell>
          <cell r="AW828">
            <v>0</v>
          </cell>
          <cell r="AY828" t="str">
            <v>NB</v>
          </cell>
        </row>
        <row r="829">
          <cell r="AM829">
            <v>11119.330000000002</v>
          </cell>
          <cell r="AP829" t="str">
            <v>Pièces</v>
          </cell>
          <cell r="AQ829" t="str">
            <v>Huiles et Graisse</v>
          </cell>
          <cell r="AR829" t="str">
            <v>$</v>
          </cell>
          <cell r="AS829">
            <v>0</v>
          </cell>
          <cell r="AW829">
            <v>0</v>
          </cell>
          <cell r="AY829" t="str">
            <v>NB</v>
          </cell>
        </row>
        <row r="830">
          <cell r="AM830">
            <v>0</v>
          </cell>
          <cell r="AP830" t="e">
            <v>#N/A</v>
          </cell>
          <cell r="AQ830" t="e">
            <v>#N/A</v>
          </cell>
          <cell r="AR830" t="str">
            <v>$</v>
          </cell>
          <cell r="AS830" t="e">
            <v>#N/A</v>
          </cell>
          <cell r="AW830">
            <v>0</v>
          </cell>
          <cell r="AY830" t="str">
            <v>NB</v>
          </cell>
        </row>
        <row r="831">
          <cell r="AM831">
            <v>0</v>
          </cell>
          <cell r="AP831" t="e">
            <v>#N/A</v>
          </cell>
          <cell r="AQ831" t="e">
            <v>#N/A</v>
          </cell>
          <cell r="AR831" t="str">
            <v>$</v>
          </cell>
          <cell r="AS831" t="e">
            <v>#N/A</v>
          </cell>
          <cell r="AW831">
            <v>0</v>
          </cell>
          <cell r="AY831" t="str">
            <v>NB</v>
          </cell>
        </row>
        <row r="832">
          <cell r="AM832">
            <v>0</v>
          </cell>
          <cell r="AP832" t="e">
            <v>#N/A</v>
          </cell>
          <cell r="AQ832" t="e">
            <v>#N/A</v>
          </cell>
          <cell r="AR832" t="str">
            <v>$</v>
          </cell>
          <cell r="AS832" t="e">
            <v>#N/A</v>
          </cell>
          <cell r="AW832">
            <v>0</v>
          </cell>
          <cell r="AY832" t="str">
            <v>NB</v>
          </cell>
        </row>
        <row r="833">
          <cell r="AM833">
            <v>0</v>
          </cell>
          <cell r="AP833" t="e">
            <v>#N/A</v>
          </cell>
          <cell r="AQ833" t="e">
            <v>#N/A</v>
          </cell>
          <cell r="AR833" t="str">
            <v>$</v>
          </cell>
          <cell r="AS833" t="e">
            <v>#N/A</v>
          </cell>
          <cell r="AW833">
            <v>0</v>
          </cell>
          <cell r="AY833" t="str">
            <v>NB</v>
          </cell>
        </row>
        <row r="834">
          <cell r="AM834">
            <v>0</v>
          </cell>
          <cell r="AP834" t="e">
            <v>#N/A</v>
          </cell>
          <cell r="AQ834" t="e">
            <v>#N/A</v>
          </cell>
          <cell r="AR834" t="str">
            <v>$</v>
          </cell>
          <cell r="AS834" t="e">
            <v>#N/A</v>
          </cell>
          <cell r="AW834">
            <v>0</v>
          </cell>
          <cell r="AY834" t="str">
            <v>NB</v>
          </cell>
        </row>
        <row r="835">
          <cell r="AM835">
            <v>0</v>
          </cell>
          <cell r="AP835" t="e">
            <v>#N/A</v>
          </cell>
          <cell r="AQ835" t="e">
            <v>#N/A</v>
          </cell>
          <cell r="AR835" t="str">
            <v>$</v>
          </cell>
          <cell r="AS835" t="e">
            <v>#N/A</v>
          </cell>
          <cell r="AW835">
            <v>0</v>
          </cell>
          <cell r="AY835" t="str">
            <v>NB</v>
          </cell>
        </row>
        <row r="836">
          <cell r="AM836">
            <v>0</v>
          </cell>
          <cell r="AP836" t="e">
            <v>#N/A</v>
          </cell>
          <cell r="AQ836" t="e">
            <v>#N/A</v>
          </cell>
          <cell r="AR836" t="str">
            <v>$</v>
          </cell>
          <cell r="AS836" t="e">
            <v>#N/A</v>
          </cell>
          <cell r="AW836">
            <v>0</v>
          </cell>
          <cell r="AY836" t="str">
            <v>NB</v>
          </cell>
        </row>
        <row r="837">
          <cell r="AM837">
            <v>0</v>
          </cell>
          <cell r="AP837" t="e">
            <v>#N/A</v>
          </cell>
          <cell r="AQ837" t="e">
            <v>#N/A</v>
          </cell>
          <cell r="AR837" t="str">
            <v>$</v>
          </cell>
          <cell r="AS837" t="e">
            <v>#N/A</v>
          </cell>
          <cell r="AW837">
            <v>0</v>
          </cell>
          <cell r="AY837" t="str">
            <v>NB</v>
          </cell>
        </row>
        <row r="838">
          <cell r="AM838">
            <v>0</v>
          </cell>
          <cell r="AP838" t="e">
            <v>#N/A</v>
          </cell>
          <cell r="AQ838" t="e">
            <v>#N/A</v>
          </cell>
          <cell r="AR838" t="str">
            <v>$</v>
          </cell>
          <cell r="AS838" t="e">
            <v>#N/A</v>
          </cell>
          <cell r="AW838">
            <v>0</v>
          </cell>
          <cell r="AY838" t="str">
            <v>NB</v>
          </cell>
        </row>
        <row r="839">
          <cell r="AM839">
            <v>0</v>
          </cell>
          <cell r="AP839" t="e">
            <v>#N/A</v>
          </cell>
          <cell r="AQ839" t="e">
            <v>#N/A</v>
          </cell>
          <cell r="AR839" t="str">
            <v>$</v>
          </cell>
          <cell r="AS839" t="e">
            <v>#N/A</v>
          </cell>
          <cell r="AW839">
            <v>0</v>
          </cell>
          <cell r="AY839" t="str">
            <v>NB</v>
          </cell>
        </row>
        <row r="840">
          <cell r="AM840">
            <v>0</v>
          </cell>
          <cell r="AP840" t="e">
            <v>#N/A</v>
          </cell>
          <cell r="AQ840" t="e">
            <v>#N/A</v>
          </cell>
          <cell r="AR840" t="str">
            <v>$</v>
          </cell>
          <cell r="AS840" t="e">
            <v>#N/A</v>
          </cell>
          <cell r="AW840">
            <v>0</v>
          </cell>
          <cell r="AY840" t="str">
            <v>NB</v>
          </cell>
        </row>
        <row r="841">
          <cell r="AM841">
            <v>0</v>
          </cell>
          <cell r="AP841" t="e">
            <v>#N/A</v>
          </cell>
          <cell r="AQ841" t="e">
            <v>#N/A</v>
          </cell>
          <cell r="AR841" t="str">
            <v>$</v>
          </cell>
          <cell r="AS841" t="e">
            <v>#N/A</v>
          </cell>
          <cell r="AW841">
            <v>0</v>
          </cell>
          <cell r="AY841" t="str">
            <v>NB</v>
          </cell>
        </row>
        <row r="842">
          <cell r="AM842">
            <v>0</v>
          </cell>
          <cell r="AP842" t="e">
            <v>#N/A</v>
          </cell>
          <cell r="AQ842" t="e">
            <v>#N/A</v>
          </cell>
          <cell r="AR842" t="str">
            <v>$</v>
          </cell>
          <cell r="AS842" t="e">
            <v>#N/A</v>
          </cell>
          <cell r="AW842">
            <v>0</v>
          </cell>
          <cell r="AY842" t="str">
            <v>NB</v>
          </cell>
        </row>
        <row r="843">
          <cell r="AM843">
            <v>0</v>
          </cell>
          <cell r="AP843" t="e">
            <v>#N/A</v>
          </cell>
          <cell r="AQ843" t="e">
            <v>#N/A</v>
          </cell>
          <cell r="AR843" t="str">
            <v>$</v>
          </cell>
          <cell r="AS843" t="e">
            <v>#N/A</v>
          </cell>
          <cell r="AW843">
            <v>0</v>
          </cell>
          <cell r="AY843" t="str">
            <v>NB</v>
          </cell>
        </row>
        <row r="844">
          <cell r="AM844">
            <v>0</v>
          </cell>
          <cell r="AP844" t="e">
            <v>#N/A</v>
          </cell>
          <cell r="AQ844" t="e">
            <v>#N/A</v>
          </cell>
          <cell r="AR844" t="str">
            <v>$</v>
          </cell>
          <cell r="AS844" t="e">
            <v>#N/A</v>
          </cell>
          <cell r="AW844">
            <v>0</v>
          </cell>
          <cell r="AY844" t="str">
            <v>NB</v>
          </cell>
        </row>
        <row r="845">
          <cell r="AM845">
            <v>0</v>
          </cell>
          <cell r="AP845" t="e">
            <v>#N/A</v>
          </cell>
          <cell r="AQ845" t="e">
            <v>#N/A</v>
          </cell>
          <cell r="AR845" t="str">
            <v>$</v>
          </cell>
          <cell r="AS845" t="e">
            <v>#N/A</v>
          </cell>
          <cell r="AW845">
            <v>0</v>
          </cell>
          <cell r="AY845" t="str">
            <v>NB</v>
          </cell>
        </row>
        <row r="846">
          <cell r="AM846">
            <v>0</v>
          </cell>
          <cell r="AP846" t="e">
            <v>#N/A</v>
          </cell>
          <cell r="AQ846" t="e">
            <v>#N/A</v>
          </cell>
          <cell r="AR846" t="str">
            <v>$</v>
          </cell>
          <cell r="AS846" t="e">
            <v>#N/A</v>
          </cell>
          <cell r="AW846">
            <v>0</v>
          </cell>
          <cell r="AY846" t="str">
            <v>NB</v>
          </cell>
        </row>
        <row r="847">
          <cell r="AM847">
            <v>0</v>
          </cell>
          <cell r="AP847">
            <v>0</v>
          </cell>
          <cell r="AQ847">
            <v>0</v>
          </cell>
          <cell r="AR847" t="str">
            <v>$</v>
          </cell>
          <cell r="AS847">
            <v>0</v>
          </cell>
          <cell r="AW847">
            <v>0</v>
          </cell>
          <cell r="AY847" t="str">
            <v>NB</v>
          </cell>
        </row>
        <row r="848">
          <cell r="AM848">
            <v>0</v>
          </cell>
          <cell r="AP848" t="e">
            <v>#N/A</v>
          </cell>
          <cell r="AQ848" t="e">
            <v>#N/A</v>
          </cell>
          <cell r="AR848" t="str">
            <v>$</v>
          </cell>
          <cell r="AS848" t="e">
            <v>#N/A</v>
          </cell>
          <cell r="AW848">
            <v>0</v>
          </cell>
          <cell r="AY848" t="str">
            <v>NB</v>
          </cell>
        </row>
        <row r="849">
          <cell r="AM849">
            <v>0</v>
          </cell>
          <cell r="AP849">
            <v>0</v>
          </cell>
          <cell r="AQ849">
            <v>0</v>
          </cell>
          <cell r="AR849" t="str">
            <v>$</v>
          </cell>
          <cell r="AS849">
            <v>0</v>
          </cell>
          <cell r="AW849">
            <v>0</v>
          </cell>
          <cell r="AY849" t="str">
            <v>NB</v>
          </cell>
        </row>
        <row r="850">
          <cell r="AM850">
            <v>0</v>
          </cell>
          <cell r="AP850" t="e">
            <v>#N/A</v>
          </cell>
          <cell r="AQ850" t="e">
            <v>#N/A</v>
          </cell>
          <cell r="AR850" t="str">
            <v>$</v>
          </cell>
          <cell r="AS850" t="e">
            <v>#N/A</v>
          </cell>
          <cell r="AW850">
            <v>0</v>
          </cell>
          <cell r="AY850" t="str">
            <v>NB</v>
          </cell>
        </row>
        <row r="851">
          <cell r="AM851">
            <v>0</v>
          </cell>
          <cell r="AP851">
            <v>0</v>
          </cell>
          <cell r="AQ851">
            <v>0</v>
          </cell>
          <cell r="AR851" t="str">
            <v>$</v>
          </cell>
          <cell r="AS851">
            <v>0</v>
          </cell>
          <cell r="AW851">
            <v>0</v>
          </cell>
          <cell r="AY851" t="str">
            <v>NB</v>
          </cell>
        </row>
        <row r="852">
          <cell r="AM852">
            <v>0</v>
          </cell>
          <cell r="AP852" t="e">
            <v>#N/A</v>
          </cell>
          <cell r="AQ852" t="e">
            <v>#N/A</v>
          </cell>
          <cell r="AR852" t="str">
            <v>$</v>
          </cell>
          <cell r="AS852" t="e">
            <v>#N/A</v>
          </cell>
          <cell r="AW852">
            <v>0</v>
          </cell>
          <cell r="AY852" t="str">
            <v>NB</v>
          </cell>
        </row>
        <row r="853">
          <cell r="AM853">
            <v>0</v>
          </cell>
          <cell r="AP853" t="e">
            <v>#N/A</v>
          </cell>
          <cell r="AQ853" t="e">
            <v>#N/A</v>
          </cell>
          <cell r="AR853" t="str">
            <v>$</v>
          </cell>
          <cell r="AS853" t="e">
            <v>#N/A</v>
          </cell>
          <cell r="AW853">
            <v>0</v>
          </cell>
          <cell r="AY853" t="str">
            <v>NB</v>
          </cell>
        </row>
        <row r="854">
          <cell r="AM854">
            <v>0</v>
          </cell>
          <cell r="AP854" t="e">
            <v>#N/A</v>
          </cell>
          <cell r="AQ854" t="e">
            <v>#N/A</v>
          </cell>
          <cell r="AR854" t="str">
            <v>$</v>
          </cell>
          <cell r="AS854" t="e">
            <v>#N/A</v>
          </cell>
          <cell r="AW854">
            <v>0</v>
          </cell>
          <cell r="AY854" t="str">
            <v>NB</v>
          </cell>
        </row>
        <row r="855">
          <cell r="AM855">
            <v>0</v>
          </cell>
          <cell r="AP855">
            <v>0</v>
          </cell>
          <cell r="AQ855">
            <v>0</v>
          </cell>
          <cell r="AR855" t="str">
            <v>$</v>
          </cell>
          <cell r="AS855">
            <v>0</v>
          </cell>
          <cell r="AW855">
            <v>0</v>
          </cell>
          <cell r="AY855" t="str">
            <v>NB</v>
          </cell>
        </row>
        <row r="856">
          <cell r="AM856">
            <v>0</v>
          </cell>
          <cell r="AP856" t="e">
            <v>#N/A</v>
          </cell>
          <cell r="AQ856" t="e">
            <v>#N/A</v>
          </cell>
          <cell r="AR856" t="str">
            <v>$</v>
          </cell>
          <cell r="AS856" t="e">
            <v>#N/A</v>
          </cell>
          <cell r="AW856">
            <v>0</v>
          </cell>
          <cell r="AY856" t="str">
            <v>NB</v>
          </cell>
        </row>
        <row r="857">
          <cell r="AM857">
            <v>0</v>
          </cell>
          <cell r="AP857" t="e">
            <v>#N/A</v>
          </cell>
          <cell r="AQ857" t="e">
            <v>#N/A</v>
          </cell>
          <cell r="AR857" t="str">
            <v>$</v>
          </cell>
          <cell r="AS857" t="e">
            <v>#N/A</v>
          </cell>
          <cell r="AW857">
            <v>0</v>
          </cell>
          <cell r="AY857" t="str">
            <v>NB</v>
          </cell>
        </row>
        <row r="858">
          <cell r="AM858">
            <v>0</v>
          </cell>
          <cell r="AP858">
            <v>0</v>
          </cell>
          <cell r="AQ858">
            <v>0</v>
          </cell>
          <cell r="AR858" t="str">
            <v>$</v>
          </cell>
          <cell r="AS858">
            <v>0</v>
          </cell>
          <cell r="AW858">
            <v>0</v>
          </cell>
          <cell r="AY858" t="str">
            <v>NB</v>
          </cell>
        </row>
        <row r="859">
          <cell r="AM859">
            <v>0</v>
          </cell>
          <cell r="AP859" t="e">
            <v>#N/A</v>
          </cell>
          <cell r="AQ859" t="e">
            <v>#N/A</v>
          </cell>
          <cell r="AR859" t="str">
            <v>$</v>
          </cell>
          <cell r="AS859" t="e">
            <v>#N/A</v>
          </cell>
          <cell r="AW859">
            <v>0</v>
          </cell>
          <cell r="AY859" t="str">
            <v>NB</v>
          </cell>
        </row>
        <row r="860">
          <cell r="AM860">
            <v>0</v>
          </cell>
          <cell r="AP860" t="e">
            <v>#N/A</v>
          </cell>
          <cell r="AQ860" t="e">
            <v>#N/A</v>
          </cell>
          <cell r="AR860" t="str">
            <v>$</v>
          </cell>
          <cell r="AS860" t="e">
            <v>#N/A</v>
          </cell>
          <cell r="AW860">
            <v>0</v>
          </cell>
          <cell r="AY860" t="str">
            <v>NB</v>
          </cell>
        </row>
        <row r="861">
          <cell r="AM861">
            <v>0</v>
          </cell>
          <cell r="AP861" t="e">
            <v>#N/A</v>
          </cell>
          <cell r="AQ861" t="e">
            <v>#N/A</v>
          </cell>
          <cell r="AR861" t="str">
            <v>$</v>
          </cell>
          <cell r="AS861" t="e">
            <v>#N/A</v>
          </cell>
          <cell r="AW861">
            <v>0</v>
          </cell>
          <cell r="AY861" t="str">
            <v>NB</v>
          </cell>
        </row>
        <row r="862">
          <cell r="AM862">
            <v>0</v>
          </cell>
          <cell r="AP862" t="e">
            <v>#N/A</v>
          </cell>
          <cell r="AQ862" t="e">
            <v>#N/A</v>
          </cell>
          <cell r="AR862" t="str">
            <v>$</v>
          </cell>
          <cell r="AS862" t="e">
            <v>#N/A</v>
          </cell>
          <cell r="AW862">
            <v>0</v>
          </cell>
          <cell r="AY862" t="str">
            <v>NB</v>
          </cell>
        </row>
        <row r="863">
          <cell r="AM863">
            <v>0</v>
          </cell>
          <cell r="AP863" t="e">
            <v>#N/A</v>
          </cell>
          <cell r="AQ863" t="e">
            <v>#N/A</v>
          </cell>
          <cell r="AR863" t="str">
            <v>$</v>
          </cell>
          <cell r="AS863" t="e">
            <v>#N/A</v>
          </cell>
          <cell r="AW863">
            <v>0</v>
          </cell>
          <cell r="AY863" t="str">
            <v>NB</v>
          </cell>
        </row>
        <row r="864">
          <cell r="AM864">
            <v>-1649.7600000000002</v>
          </cell>
          <cell r="AP864" t="str">
            <v>Véhicules neufs</v>
          </cell>
          <cell r="AQ864" t="str">
            <v>Rev. Finances</v>
          </cell>
          <cell r="AR864" t="str">
            <v>$</v>
          </cell>
          <cell r="AS864" t="str">
            <v>Oui</v>
          </cell>
          <cell r="AW864">
            <v>3</v>
          </cell>
          <cell r="AY864" t="str">
            <v>NB</v>
          </cell>
        </row>
        <row r="865">
          <cell r="AM865">
            <v>0</v>
          </cell>
          <cell r="AP865" t="e">
            <v>#N/A</v>
          </cell>
          <cell r="AQ865" t="e">
            <v>#N/A</v>
          </cell>
          <cell r="AR865" t="str">
            <v>$</v>
          </cell>
          <cell r="AS865" t="e">
            <v>#N/A</v>
          </cell>
          <cell r="AW865">
            <v>0</v>
          </cell>
          <cell r="AY865" t="str">
            <v>NB</v>
          </cell>
        </row>
        <row r="866">
          <cell r="AM866">
            <v>-13007.219999999998</v>
          </cell>
          <cell r="AP866" t="str">
            <v>Véhicules neufs</v>
          </cell>
          <cell r="AQ866" t="str">
            <v>Rev. Protections</v>
          </cell>
          <cell r="AR866" t="str">
            <v>$</v>
          </cell>
          <cell r="AS866" t="str">
            <v>Oui</v>
          </cell>
          <cell r="AW866">
            <v>0</v>
          </cell>
          <cell r="AY866" t="str">
            <v>NB</v>
          </cell>
        </row>
        <row r="867">
          <cell r="AM867">
            <v>0</v>
          </cell>
          <cell r="AP867" t="e">
            <v>#N/A</v>
          </cell>
          <cell r="AQ867" t="e">
            <v>#N/A</v>
          </cell>
          <cell r="AR867" t="str">
            <v>$</v>
          </cell>
          <cell r="AS867" t="e">
            <v>#N/A</v>
          </cell>
          <cell r="AW867">
            <v>0</v>
          </cell>
          <cell r="AY867" t="str">
            <v>NB</v>
          </cell>
        </row>
        <row r="868">
          <cell r="AM868">
            <v>-5873.99</v>
          </cell>
          <cell r="AP868" t="str">
            <v>Véhicules usagés</v>
          </cell>
          <cell r="AQ868" t="str">
            <v>Rev. Finances</v>
          </cell>
          <cell r="AR868" t="str">
            <v>$</v>
          </cell>
          <cell r="AS868" t="str">
            <v>Oui</v>
          </cell>
          <cell r="AW868">
            <v>6</v>
          </cell>
          <cell r="AY868" t="str">
            <v>NB</v>
          </cell>
        </row>
        <row r="869">
          <cell r="AM869">
            <v>0</v>
          </cell>
          <cell r="AP869" t="e">
            <v>#N/A</v>
          </cell>
          <cell r="AQ869" t="e">
            <v>#N/A</v>
          </cell>
          <cell r="AR869" t="str">
            <v>$</v>
          </cell>
          <cell r="AS869" t="e">
            <v>#N/A</v>
          </cell>
          <cell r="AW869">
            <v>0</v>
          </cell>
          <cell r="AY869" t="str">
            <v>NB</v>
          </cell>
        </row>
        <row r="870">
          <cell r="AM870">
            <v>0</v>
          </cell>
          <cell r="AP870" t="str">
            <v>Véhicules usagés</v>
          </cell>
          <cell r="AQ870" t="str">
            <v>Rev. Protections</v>
          </cell>
          <cell r="AR870" t="str">
            <v>$</v>
          </cell>
          <cell r="AS870" t="str">
            <v>Oui</v>
          </cell>
          <cell r="AW870">
            <v>0</v>
          </cell>
          <cell r="AY870" t="str">
            <v>NB</v>
          </cell>
        </row>
        <row r="871">
          <cell r="AM871">
            <v>0</v>
          </cell>
          <cell r="AP871" t="e">
            <v>#N/A</v>
          </cell>
          <cell r="AQ871" t="e">
            <v>#N/A</v>
          </cell>
          <cell r="AR871" t="str">
            <v>$</v>
          </cell>
          <cell r="AS871" t="e">
            <v>#N/A</v>
          </cell>
          <cell r="AW871">
            <v>0</v>
          </cell>
          <cell r="AY871" t="str">
            <v>NB</v>
          </cell>
        </row>
        <row r="872">
          <cell r="AM872">
            <v>0</v>
          </cell>
          <cell r="AP872" t="e">
            <v>#N/A</v>
          </cell>
          <cell r="AQ872" t="e">
            <v>#N/A</v>
          </cell>
          <cell r="AR872" t="str">
            <v>$</v>
          </cell>
          <cell r="AS872" t="e">
            <v>#N/A</v>
          </cell>
          <cell r="AW872">
            <v>0</v>
          </cell>
          <cell r="AY872" t="str">
            <v>NB</v>
          </cell>
        </row>
        <row r="873">
          <cell r="AM873">
            <v>0</v>
          </cell>
          <cell r="AP873" t="e">
            <v>#N/A</v>
          </cell>
          <cell r="AQ873" t="e">
            <v>#N/A</v>
          </cell>
          <cell r="AR873" t="str">
            <v>$</v>
          </cell>
          <cell r="AS873" t="e">
            <v>#N/A</v>
          </cell>
          <cell r="AW873">
            <v>0</v>
          </cell>
          <cell r="AY873" t="str">
            <v>NB</v>
          </cell>
        </row>
        <row r="874">
          <cell r="AM874">
            <v>0</v>
          </cell>
          <cell r="AP874" t="e">
            <v>#N/A</v>
          </cell>
          <cell r="AQ874" t="e">
            <v>#N/A</v>
          </cell>
          <cell r="AR874" t="str">
            <v>$</v>
          </cell>
          <cell r="AS874" t="e">
            <v>#N/A</v>
          </cell>
          <cell r="AW874">
            <v>0</v>
          </cell>
          <cell r="AY874" t="str">
            <v>NB</v>
          </cell>
        </row>
        <row r="875">
          <cell r="AM875">
            <v>0</v>
          </cell>
          <cell r="AP875" t="e">
            <v>#N/A</v>
          </cell>
          <cell r="AQ875" t="e">
            <v>#N/A</v>
          </cell>
          <cell r="AR875" t="str">
            <v>$</v>
          </cell>
          <cell r="AS875" t="e">
            <v>#N/A</v>
          </cell>
          <cell r="AW875">
            <v>0</v>
          </cell>
          <cell r="AY875" t="str">
            <v>NB</v>
          </cell>
        </row>
        <row r="876">
          <cell r="AM876">
            <v>0</v>
          </cell>
          <cell r="AP876" t="e">
            <v>#N/A</v>
          </cell>
          <cell r="AQ876" t="e">
            <v>#N/A</v>
          </cell>
          <cell r="AR876" t="str">
            <v>$</v>
          </cell>
          <cell r="AS876" t="e">
            <v>#N/A</v>
          </cell>
          <cell r="AW876">
            <v>0</v>
          </cell>
          <cell r="AY876" t="str">
            <v>NB</v>
          </cell>
        </row>
        <row r="877">
          <cell r="AM877">
            <v>0</v>
          </cell>
          <cell r="AP877" t="e">
            <v>#N/A</v>
          </cell>
          <cell r="AQ877" t="e">
            <v>#N/A</v>
          </cell>
          <cell r="AR877" t="str">
            <v>$</v>
          </cell>
          <cell r="AS877" t="e">
            <v>#N/A</v>
          </cell>
          <cell r="AW877">
            <v>0</v>
          </cell>
          <cell r="AY877" t="str">
            <v>NB</v>
          </cell>
        </row>
        <row r="878">
          <cell r="AM878">
            <v>0</v>
          </cell>
          <cell r="AP878" t="e">
            <v>#N/A</v>
          </cell>
          <cell r="AQ878" t="e">
            <v>#N/A</v>
          </cell>
          <cell r="AR878" t="str">
            <v>$</v>
          </cell>
          <cell r="AS878" t="e">
            <v>#N/A</v>
          </cell>
          <cell r="AW878">
            <v>0</v>
          </cell>
          <cell r="AY878" t="str">
            <v>NB</v>
          </cell>
        </row>
        <row r="879">
          <cell r="AM879">
            <v>0</v>
          </cell>
          <cell r="AP879" t="e">
            <v>#N/A</v>
          </cell>
          <cell r="AQ879" t="e">
            <v>#N/A</v>
          </cell>
          <cell r="AR879" t="str">
            <v>$</v>
          </cell>
          <cell r="AS879" t="e">
            <v>#N/A</v>
          </cell>
          <cell r="AW879">
            <v>0</v>
          </cell>
          <cell r="AY879" t="str">
            <v>NB</v>
          </cell>
        </row>
        <row r="880">
          <cell r="AM880">
            <v>0</v>
          </cell>
          <cell r="AP880">
            <v>0</v>
          </cell>
          <cell r="AQ880">
            <v>0</v>
          </cell>
          <cell r="AR880" t="str">
            <v>$</v>
          </cell>
          <cell r="AS880">
            <v>0</v>
          </cell>
          <cell r="AW880">
            <v>0</v>
          </cell>
          <cell r="AY880" t="str">
            <v>NB</v>
          </cell>
        </row>
        <row r="881">
          <cell r="AM881">
            <v>0</v>
          </cell>
          <cell r="AP881" t="e">
            <v>#N/A</v>
          </cell>
          <cell r="AQ881" t="e">
            <v>#N/A</v>
          </cell>
          <cell r="AR881" t="str">
            <v>$</v>
          </cell>
          <cell r="AS881" t="e">
            <v>#N/A</v>
          </cell>
          <cell r="AW881">
            <v>0</v>
          </cell>
          <cell r="AY881" t="str">
            <v>NB</v>
          </cell>
        </row>
        <row r="882">
          <cell r="AM882">
            <v>0</v>
          </cell>
          <cell r="AP882">
            <v>0</v>
          </cell>
          <cell r="AQ882">
            <v>0</v>
          </cell>
          <cell r="AR882" t="str">
            <v>$</v>
          </cell>
          <cell r="AS882">
            <v>0</v>
          </cell>
          <cell r="AW882">
            <v>0</v>
          </cell>
          <cell r="AY882" t="str">
            <v>NB</v>
          </cell>
        </row>
        <row r="883">
          <cell r="AM883">
            <v>0</v>
          </cell>
          <cell r="AP883" t="e">
            <v>#N/A</v>
          </cell>
          <cell r="AQ883" t="e">
            <v>#N/A</v>
          </cell>
          <cell r="AR883" t="str">
            <v>$</v>
          </cell>
          <cell r="AS883" t="e">
            <v>#N/A</v>
          </cell>
          <cell r="AW883">
            <v>0</v>
          </cell>
          <cell r="AY883" t="str">
            <v>NB</v>
          </cell>
        </row>
        <row r="884">
          <cell r="AM884">
            <v>12049.37000000001</v>
          </cell>
          <cell r="AP884" t="str">
            <v>Véhicules neufs</v>
          </cell>
          <cell r="AQ884" t="str">
            <v>Comm. F&amp;I</v>
          </cell>
          <cell r="AR884" t="str">
            <v>$</v>
          </cell>
          <cell r="AS884">
            <v>0</v>
          </cell>
          <cell r="AW884">
            <v>0</v>
          </cell>
          <cell r="AY884" t="str">
            <v>NB</v>
          </cell>
        </row>
        <row r="885">
          <cell r="AM885">
            <v>0</v>
          </cell>
          <cell r="AP885" t="e">
            <v>#N/A</v>
          </cell>
          <cell r="AQ885" t="e">
            <v>#N/A</v>
          </cell>
          <cell r="AR885" t="str">
            <v>$</v>
          </cell>
          <cell r="AS885" t="e">
            <v>#N/A</v>
          </cell>
          <cell r="AW885">
            <v>0</v>
          </cell>
          <cell r="AY885" t="str">
            <v>NB</v>
          </cell>
        </row>
        <row r="886">
          <cell r="AM886">
            <v>2188.369999999999</v>
          </cell>
          <cell r="AP886" t="str">
            <v>Véhicules usagés</v>
          </cell>
          <cell r="AQ886" t="str">
            <v>Comm. F&amp;I</v>
          </cell>
          <cell r="AR886" t="str">
            <v>$</v>
          </cell>
          <cell r="AS886">
            <v>0</v>
          </cell>
          <cell r="AW886">
            <v>0</v>
          </cell>
          <cell r="AY886" t="str">
            <v>NB</v>
          </cell>
        </row>
        <row r="887">
          <cell r="AM887">
            <v>0</v>
          </cell>
          <cell r="AP887" t="e">
            <v>#N/A</v>
          </cell>
          <cell r="AQ887" t="e">
            <v>#N/A</v>
          </cell>
          <cell r="AR887" t="str">
            <v>$</v>
          </cell>
          <cell r="AS887" t="e">
            <v>#N/A</v>
          </cell>
          <cell r="AW887">
            <v>0</v>
          </cell>
          <cell r="AY887" t="str">
            <v>NB</v>
          </cell>
        </row>
        <row r="888">
          <cell r="AM888">
            <v>0</v>
          </cell>
          <cell r="AP888" t="e">
            <v>#N/A</v>
          </cell>
          <cell r="AQ888" t="e">
            <v>#N/A</v>
          </cell>
          <cell r="AR888" t="str">
            <v>$</v>
          </cell>
          <cell r="AS888" t="e">
            <v>#N/A</v>
          </cell>
          <cell r="AW888">
            <v>0</v>
          </cell>
          <cell r="AY888" t="str">
            <v>NB</v>
          </cell>
        </row>
        <row r="889">
          <cell r="AM889">
            <v>0</v>
          </cell>
          <cell r="AP889" t="e">
            <v>#N/A</v>
          </cell>
          <cell r="AQ889" t="e">
            <v>#N/A</v>
          </cell>
          <cell r="AR889" t="str">
            <v>$</v>
          </cell>
          <cell r="AS889" t="e">
            <v>#N/A</v>
          </cell>
          <cell r="AW889">
            <v>0</v>
          </cell>
          <cell r="AY889" t="str">
            <v>NB</v>
          </cell>
        </row>
        <row r="890">
          <cell r="AM890">
            <v>0</v>
          </cell>
          <cell r="AP890">
            <v>0</v>
          </cell>
          <cell r="AQ890">
            <v>0</v>
          </cell>
          <cell r="AR890" t="str">
            <v>$</v>
          </cell>
          <cell r="AS890">
            <v>0</v>
          </cell>
          <cell r="AW890">
            <v>0</v>
          </cell>
          <cell r="AY890" t="str">
            <v>NB</v>
          </cell>
        </row>
        <row r="891">
          <cell r="AM891">
            <v>0</v>
          </cell>
          <cell r="AP891" t="e">
            <v>#N/A</v>
          </cell>
          <cell r="AQ891" t="e">
            <v>#N/A</v>
          </cell>
          <cell r="AR891" t="str">
            <v>$</v>
          </cell>
          <cell r="AS891" t="e">
            <v>#N/A</v>
          </cell>
          <cell r="AW891">
            <v>0</v>
          </cell>
          <cell r="AY891" t="str">
            <v>NB</v>
          </cell>
        </row>
        <row r="892">
          <cell r="AM892">
            <v>0</v>
          </cell>
          <cell r="AP892" t="e">
            <v>#N/A</v>
          </cell>
          <cell r="AQ892" t="e">
            <v>#N/A</v>
          </cell>
          <cell r="AR892" t="str">
            <v>$</v>
          </cell>
          <cell r="AS892" t="e">
            <v>#N/A</v>
          </cell>
          <cell r="AW892">
            <v>0</v>
          </cell>
          <cell r="AY892" t="str">
            <v>NB</v>
          </cell>
        </row>
        <row r="893">
          <cell r="AM893">
            <v>-38588.540000000037</v>
          </cell>
          <cell r="AP893" t="str">
            <v>TOTAL DES REVENUS ET DÉPENSES</v>
          </cell>
          <cell r="AQ893" t="str">
            <v>Revenus autres</v>
          </cell>
          <cell r="AR893" t="str">
            <v>$</v>
          </cell>
          <cell r="AS893">
            <v>0</v>
          </cell>
          <cell r="AW893">
            <v>6</v>
          </cell>
          <cell r="AY893" t="str">
            <v>NB</v>
          </cell>
        </row>
        <row r="894">
          <cell r="AM894">
            <v>-25095</v>
          </cell>
          <cell r="AP894" t="str">
            <v>Véhicules neufs</v>
          </cell>
          <cell r="AQ894" t="str">
            <v>Programme Excellence</v>
          </cell>
          <cell r="AR894" t="str">
            <v>$</v>
          </cell>
          <cell r="AS894">
            <v>0</v>
          </cell>
          <cell r="AW894">
            <v>3</v>
          </cell>
          <cell r="AY894" t="str">
            <v>NB</v>
          </cell>
        </row>
        <row r="895">
          <cell r="AM895">
            <v>0</v>
          </cell>
          <cell r="AP895" t="e">
            <v>#N/A</v>
          </cell>
          <cell r="AQ895" t="e">
            <v>#N/A</v>
          </cell>
          <cell r="AR895" t="str">
            <v>$</v>
          </cell>
          <cell r="AS895" t="e">
            <v>#N/A</v>
          </cell>
          <cell r="AW895">
            <v>0</v>
          </cell>
          <cell r="AY895" t="str">
            <v>NB</v>
          </cell>
        </row>
        <row r="896">
          <cell r="AM896">
            <v>0</v>
          </cell>
          <cell r="AP896" t="e">
            <v>#N/A</v>
          </cell>
          <cell r="AQ896" t="e">
            <v>#N/A</v>
          </cell>
          <cell r="AR896" t="str">
            <v>$</v>
          </cell>
          <cell r="AS896" t="e">
            <v>#N/A</v>
          </cell>
          <cell r="AW896">
            <v>0</v>
          </cell>
          <cell r="AY896" t="str">
            <v>NB</v>
          </cell>
        </row>
        <row r="897">
          <cell r="AM897">
            <v>260.22000000000025</v>
          </cell>
          <cell r="AP897" t="str">
            <v>TOTAL DES REVENUS ET DÉPENSES</v>
          </cell>
          <cell r="AQ897" t="str">
            <v>Revenus autres</v>
          </cell>
          <cell r="AR897" t="str">
            <v>$</v>
          </cell>
          <cell r="AS897">
            <v>0</v>
          </cell>
          <cell r="AW897">
            <v>0</v>
          </cell>
          <cell r="AY897" t="str">
            <v>NB</v>
          </cell>
        </row>
        <row r="898">
          <cell r="AM898">
            <v>0</v>
          </cell>
          <cell r="AP898" t="e">
            <v>#N/A</v>
          </cell>
          <cell r="AQ898" t="e">
            <v>#N/A</v>
          </cell>
          <cell r="AR898" t="str">
            <v>$</v>
          </cell>
          <cell r="AS898" t="e">
            <v>#N/A</v>
          </cell>
          <cell r="AW898">
            <v>0</v>
          </cell>
          <cell r="AY898" t="str">
            <v>NB</v>
          </cell>
        </row>
        <row r="899">
          <cell r="AM899">
            <v>-21613.940000000002</v>
          </cell>
          <cell r="AP899" t="str">
            <v>Wholesale autres</v>
          </cell>
          <cell r="AQ899" t="str">
            <v>Frais de livraison</v>
          </cell>
          <cell r="AR899" t="str">
            <v>$</v>
          </cell>
          <cell r="AS899">
            <v>0</v>
          </cell>
          <cell r="AW899">
            <v>0</v>
          </cell>
          <cell r="AY899" t="str">
            <v>NB</v>
          </cell>
        </row>
      </sheetData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es"/>
      <sheetName val="Bilan"/>
      <sheetName val="Budget original"/>
      <sheetName val="Réel 2024"/>
      <sheetName val="Capex"/>
      <sheetName val="Inventaire_Used"/>
      <sheetName val="Inventaire_Neuf"/>
      <sheetName val="2pager"/>
      <sheetName val="Print_Mois"/>
      <sheetName val="Print_AAD"/>
      <sheetName val="Q2"/>
      <sheetName val="Carrosserie_Mois"/>
      <sheetName val="Carrosserie_AAD"/>
      <sheetName val="BV_Data_An_Cour"/>
      <sheetName val="Data_Validation"/>
      <sheetName val="BV_Data_An_Prec"/>
      <sheetName val="Résumé"/>
      <sheetName val="Mensuel 2026"/>
    </sheetNames>
    <sheetDataSet>
      <sheetData sheetId="0">
        <row r="1">
          <cell r="B1" t="str">
            <v>Ste-Marie Auto</v>
          </cell>
        </row>
        <row r="3">
          <cell r="B3" t="str">
            <v>Aout</v>
          </cell>
        </row>
        <row r="4">
          <cell r="B4">
            <v>2026</v>
          </cell>
        </row>
      </sheetData>
      <sheetData sheetId="1"/>
      <sheetData sheetId="2">
        <row r="2">
          <cell r="B2" t="str">
            <v>Mois</v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O2" t="str">
            <v/>
          </cell>
          <cell r="P2" t="str">
            <v/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Z2" t="str">
            <v/>
          </cell>
          <cell r="AA2" t="str">
            <v/>
          </cell>
          <cell r="AB2" t="str">
            <v/>
          </cell>
          <cell r="AC2" t="str">
            <v/>
          </cell>
          <cell r="AD2" t="str">
            <v/>
          </cell>
          <cell r="AE2" t="str">
            <v/>
          </cell>
          <cell r="AF2" t="str">
            <v/>
          </cell>
          <cell r="AG2" t="str">
            <v/>
          </cell>
          <cell r="AH2" t="str">
            <v/>
          </cell>
          <cell r="AI2" t="str">
            <v/>
          </cell>
          <cell r="AJ2" t="str">
            <v/>
          </cell>
          <cell r="AK2" t="str">
            <v/>
          </cell>
          <cell r="AL2" t="str">
            <v/>
          </cell>
          <cell r="AM2" t="str">
            <v/>
          </cell>
          <cell r="AN2" t="str">
            <v/>
          </cell>
          <cell r="AO2" t="str">
            <v/>
          </cell>
        </row>
        <row r="3">
          <cell r="B3" t="str">
            <v>YTD</v>
          </cell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e">
            <v>#N/A</v>
          </cell>
          <cell r="AB3" t="e">
            <v>#N/A</v>
          </cell>
          <cell r="AC3" t="e">
            <v>#N/A</v>
          </cell>
          <cell r="AD3" t="str">
            <v/>
          </cell>
          <cell r="AE3" t="str">
            <v/>
          </cell>
          <cell r="AF3" t="str">
            <v/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4">
          <cell r="B4" t="str">
            <v>Budget 2025</v>
          </cell>
          <cell r="C4" t="str">
            <v>Véhicules neufs</v>
          </cell>
        </row>
        <row r="6">
          <cell r="B6" t="str">
            <v>Mois</v>
          </cell>
          <cell r="C6" t="str">
            <v>TOTAL</v>
          </cell>
          <cell r="F6" t="str">
            <v>Janvier</v>
          </cell>
          <cell r="I6" t="str">
            <v>Février</v>
          </cell>
          <cell r="L6" t="str">
            <v>Mars</v>
          </cell>
          <cell r="O6" t="str">
            <v>Avril</v>
          </cell>
          <cell r="R6" t="str">
            <v>Mai</v>
          </cell>
          <cell r="U6" t="str">
            <v>Juin</v>
          </cell>
          <cell r="X6" t="str">
            <v>Juillet</v>
          </cell>
          <cell r="AA6" t="str">
            <v>Août</v>
          </cell>
          <cell r="AD6" t="str">
            <v>Septembre</v>
          </cell>
          <cell r="AG6" t="str">
            <v>Octobre</v>
          </cell>
          <cell r="AJ6" t="str">
            <v>Novembre</v>
          </cell>
          <cell r="AM6" t="str">
            <v>Décembre</v>
          </cell>
        </row>
        <row r="7">
          <cell r="C7" t="str">
            <v>UNITE</v>
          </cell>
          <cell r="D7" t="str">
            <v>$P/UNITE</v>
          </cell>
          <cell r="E7" t="str">
            <v>$PROFITS</v>
          </cell>
          <cell r="F7" t="str">
            <v>UNITE</v>
          </cell>
          <cell r="G7" t="str">
            <v>$P/UNITE</v>
          </cell>
          <cell r="H7" t="str">
            <v>$PROFITS</v>
          </cell>
          <cell r="I7" t="str">
            <v>UNITE</v>
          </cell>
          <cell r="J7" t="str">
            <v>$P/UNITE</v>
          </cell>
          <cell r="K7" t="str">
            <v>$PROFITS</v>
          </cell>
          <cell r="L7" t="str">
            <v>UNITE</v>
          </cell>
          <cell r="M7" t="str">
            <v>$P/UNITE</v>
          </cell>
          <cell r="N7" t="str">
            <v>$PROFITS</v>
          </cell>
          <cell r="O7" t="str">
            <v>UNITE</v>
          </cell>
          <cell r="P7" t="str">
            <v>$P/UNITE</v>
          </cell>
          <cell r="Q7" t="str">
            <v>$PROFITS</v>
          </cell>
          <cell r="R7" t="str">
            <v>UNITE</v>
          </cell>
          <cell r="S7" t="str">
            <v>$P/UNITE</v>
          </cell>
          <cell r="T7" t="str">
            <v>$PROFITS</v>
          </cell>
          <cell r="U7" t="str">
            <v>UNITE</v>
          </cell>
          <cell r="V7" t="str">
            <v>$P/UNITE</v>
          </cell>
          <cell r="W7" t="str">
            <v>$PROFITS</v>
          </cell>
          <cell r="X7" t="str">
            <v>UNITE</v>
          </cell>
          <cell r="Y7" t="str">
            <v>$P/UNITE</v>
          </cell>
          <cell r="Z7" t="str">
            <v>$PROFITS</v>
          </cell>
          <cell r="AA7" t="str">
            <v>UNITE</v>
          </cell>
          <cell r="AB7" t="str">
            <v>$P/UNITE</v>
          </cell>
          <cell r="AC7" t="str">
            <v>$PROFITS</v>
          </cell>
          <cell r="AD7" t="str">
            <v>UNITE</v>
          </cell>
          <cell r="AE7" t="str">
            <v>$P/UNITE</v>
          </cell>
          <cell r="AF7" t="str">
            <v>$PROFITS</v>
          </cell>
          <cell r="AG7" t="str">
            <v>UNITE</v>
          </cell>
          <cell r="AH7" t="str">
            <v>$P/UNITE</v>
          </cell>
          <cell r="AI7" t="str">
            <v>$PROFITS</v>
          </cell>
          <cell r="AJ7" t="str">
            <v>UNITE</v>
          </cell>
          <cell r="AK7" t="str">
            <v>$P/UNITE</v>
          </cell>
          <cell r="AL7" t="str">
            <v>$PROFITS</v>
          </cell>
          <cell r="AM7" t="str">
            <v>UNITE</v>
          </cell>
          <cell r="AN7" t="str">
            <v>$P/UNITE</v>
          </cell>
          <cell r="AO7" t="str">
            <v>$PROFITS</v>
          </cell>
        </row>
        <row r="8">
          <cell r="A8" t="str">
            <v>Véhicules neufsVentes nettes</v>
          </cell>
          <cell r="B8" t="str">
            <v>Ventes nettes</v>
          </cell>
        </row>
        <row r="9">
          <cell r="A9" t="str">
            <v>Véhicules neufsAutos détail</v>
          </cell>
          <cell r="B9" t="str">
            <v>Autos détail</v>
          </cell>
        </row>
        <row r="10">
          <cell r="A10" t="str">
            <v>Véhicules neufsCamions détail</v>
          </cell>
          <cell r="B10" t="str">
            <v>Camions détail</v>
          </cell>
        </row>
        <row r="11">
          <cell r="A11" t="str">
            <v>Véhicules neufsSprinter</v>
          </cell>
          <cell r="B11" t="str">
            <v>Sprinter</v>
          </cell>
        </row>
        <row r="12">
          <cell r="A12" t="str">
            <v>Véhicules neufsMoto détail</v>
          </cell>
          <cell r="B12" t="str">
            <v>Moto détail</v>
          </cell>
        </row>
        <row r="13">
          <cell r="A13" t="str">
            <v>Véhicules neufs[...]</v>
          </cell>
          <cell r="B13" t="str">
            <v>[...]</v>
          </cell>
        </row>
        <row r="14">
          <cell r="A14" t="str">
            <v>Véhicules neufs[...]</v>
          </cell>
          <cell r="B14" t="str">
            <v>[...]</v>
          </cell>
        </row>
        <row r="15">
          <cell r="A15" t="str">
            <v>Véhicules neufs[...]</v>
          </cell>
          <cell r="B15" t="str">
            <v>[...]</v>
          </cell>
        </row>
        <row r="16">
          <cell r="A16" t="str">
            <v>Véhicules neufsTotal Neufs</v>
          </cell>
          <cell r="B16" t="str">
            <v>Total Neufs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B18" t="str">
            <v>Ex-Démos et courtoisies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B20" t="str">
            <v>Flottes</v>
          </cell>
        </row>
        <row r="21">
          <cell r="A21" t="str">
            <v>Véhicules neufs</v>
          </cell>
        </row>
        <row r="22">
          <cell r="A22" t="str">
            <v>Véhicules neufsRachat bail</v>
          </cell>
          <cell r="B22" t="str">
            <v>Rachat bail</v>
          </cell>
        </row>
        <row r="23">
          <cell r="A23" t="str">
            <v>Véhicules neufs</v>
          </cell>
        </row>
        <row r="24">
          <cell r="A24" t="str">
            <v>Véhicules neufsRev. Finances</v>
          </cell>
          <cell r="B24" t="str">
            <v>Rev. Finances</v>
          </cell>
        </row>
        <row r="25">
          <cell r="A25" t="str">
            <v>Véhicules neufsRev. Protections</v>
          </cell>
          <cell r="B25" t="str">
            <v>Rev. Protections</v>
          </cell>
        </row>
        <row r="26">
          <cell r="A26" t="str">
            <v>Véhicules neufsRev. Autres</v>
          </cell>
          <cell r="B26" t="str">
            <v>Rev. Autres</v>
          </cell>
        </row>
        <row r="27">
          <cell r="A27" t="str">
            <v>Véhicules neufsTotal F&amp;I</v>
          </cell>
          <cell r="B27" t="str">
            <v>Total F&amp;I</v>
          </cell>
        </row>
        <row r="28">
          <cell r="A28" t="str">
            <v>Véhicules neufs</v>
          </cell>
        </row>
        <row r="29">
          <cell r="A29" t="str">
            <v>Véhicules neufs</v>
          </cell>
        </row>
        <row r="30">
          <cell r="A30" t="str">
            <v>Véhicules neufsTotal Dépt. Neufs</v>
          </cell>
          <cell r="B30" t="str">
            <v>Total Dépt. Neufs</v>
          </cell>
        </row>
        <row r="31">
          <cell r="A31" t="str">
            <v>Véhicules neufs</v>
          </cell>
        </row>
        <row r="32">
          <cell r="A32" t="str">
            <v>Véhicules neufs</v>
          </cell>
        </row>
        <row r="33">
          <cell r="A33" t="str">
            <v>Véhicules neufsDEPENSES</v>
          </cell>
          <cell r="B33" t="str">
            <v>DEPENSES</v>
          </cell>
        </row>
        <row r="34">
          <cell r="A34" t="str">
            <v>Véhicules neufsComm. vendeurs</v>
          </cell>
          <cell r="B34" t="str">
            <v>Comm. vendeurs</v>
          </cell>
        </row>
        <row r="35">
          <cell r="A35" t="str">
            <v>Véhicules neufsComm. F&amp;I</v>
          </cell>
          <cell r="B35" t="str">
            <v>Comm. F&amp;I</v>
          </cell>
        </row>
        <row r="36">
          <cell r="A36" t="str">
            <v>Véhicules neufsFrais de livraison</v>
          </cell>
          <cell r="B36" t="str">
            <v>Frais de livraison</v>
          </cell>
        </row>
        <row r="37">
          <cell r="A37" t="str">
            <v>Véhicules neufsService gratuit 1</v>
          </cell>
          <cell r="B37" t="str">
            <v>Service gratuit 1</v>
          </cell>
        </row>
        <row r="38">
          <cell r="A38" t="str">
            <v>Véhicules neufsEntretien stock</v>
          </cell>
          <cell r="B38" t="str">
            <v>Entretien stock</v>
          </cell>
        </row>
        <row r="39">
          <cell r="A39" t="str">
            <v>Véhicules neufsPublicité 1</v>
          </cell>
          <cell r="B39" t="str">
            <v>Publicité 1</v>
          </cell>
        </row>
        <row r="40">
          <cell r="A40" t="str">
            <v>Véhicules neufsIntérêt de gros</v>
          </cell>
          <cell r="B40" t="str">
            <v>Intérêt de gros</v>
          </cell>
        </row>
        <row r="41">
          <cell r="A41" t="str">
            <v>Véhicules neufs[...]</v>
          </cell>
          <cell r="B41" t="str">
            <v>[...]</v>
          </cell>
        </row>
        <row r="42">
          <cell r="A42" t="str">
            <v>Véhicules neufs[...]</v>
          </cell>
          <cell r="B42" t="str">
            <v>[...]</v>
          </cell>
        </row>
        <row r="43">
          <cell r="A43" t="str">
            <v>Véhicules neufs[...]</v>
          </cell>
          <cell r="B43" t="str">
            <v>[...]</v>
          </cell>
        </row>
        <row r="44">
          <cell r="A44" t="str">
            <v>Véhicules neufsTOTAL VARIABLES</v>
          </cell>
          <cell r="B44" t="str">
            <v>TOTAL VARIABLES</v>
          </cell>
        </row>
        <row r="45">
          <cell r="A45" t="str">
            <v>Véhicules neufsSalaires cadres</v>
          </cell>
          <cell r="B45" t="str">
            <v>Salaires cadres</v>
          </cell>
        </row>
        <row r="46">
          <cell r="A46" t="str">
            <v>Véhicules neufsSalaires commis</v>
          </cell>
          <cell r="B46" t="str">
            <v>Salaires commis</v>
          </cell>
        </row>
        <row r="47">
          <cell r="A47" t="str">
            <v>Véhicules neufsSalaires autres</v>
          </cell>
          <cell r="B47" t="str">
            <v>Salaires autres</v>
          </cell>
        </row>
        <row r="48">
          <cell r="A48" t="str">
            <v>Véhicules neufsSalaires spécialistes</v>
          </cell>
          <cell r="B48" t="str">
            <v>Salaires spécialistes</v>
          </cell>
        </row>
        <row r="49">
          <cell r="A49" t="str">
            <v>Véhicules neufs[...]</v>
          </cell>
          <cell r="B49" t="str">
            <v>[...]</v>
          </cell>
        </row>
        <row r="50">
          <cell r="A50" t="str">
            <v>Véhicules neufs[...]</v>
          </cell>
          <cell r="B50" t="str">
            <v>[...]</v>
          </cell>
        </row>
        <row r="51">
          <cell r="A51" t="str">
            <v>Véhicules neufs[...]</v>
          </cell>
          <cell r="B51" t="str">
            <v>[...]</v>
          </cell>
        </row>
        <row r="52">
          <cell r="A52" t="str">
            <v>Véhicules neufsSalaires en absences</v>
          </cell>
          <cell r="B52" t="str">
            <v>Salaires en absences</v>
          </cell>
        </row>
        <row r="53">
          <cell r="A53" t="str">
            <v>Véhicules neufsDéduction à la source</v>
          </cell>
          <cell r="B53" t="str">
            <v>Déduction à la source</v>
          </cell>
        </row>
        <row r="54">
          <cell r="A54" t="str">
            <v>Véhicules neufsBénéfices marginaux</v>
          </cell>
          <cell r="B54" t="str">
            <v>Bénéfices marginaux</v>
          </cell>
        </row>
        <row r="55">
          <cell r="A55" t="str">
            <v>Véhicules neufsCsst</v>
          </cell>
          <cell r="B55" t="str">
            <v>Csst</v>
          </cell>
        </row>
        <row r="56">
          <cell r="A56" t="str">
            <v>Véhicules neufs[...]</v>
          </cell>
          <cell r="B56" t="str">
            <v>[...]</v>
          </cell>
        </row>
        <row r="57">
          <cell r="A57" t="str">
            <v>Véhicules neufsTOTAL PERSONNEL</v>
          </cell>
          <cell r="B57" t="str">
            <v>TOTAL PERSONNEL</v>
          </cell>
        </row>
        <row r="58">
          <cell r="A58" t="str">
            <v>Véhicules neufsPublicité 2</v>
          </cell>
          <cell r="B58" t="str">
            <v>Publicité 2</v>
          </cell>
        </row>
        <row r="59">
          <cell r="A59" t="str">
            <v>Véhicules neufsService gratuit 2</v>
          </cell>
          <cell r="B59" t="str">
            <v>Service gratuit 2</v>
          </cell>
        </row>
        <row r="60">
          <cell r="A60" t="str">
            <v>Véhicules neufsFrais véhicules de cie</v>
          </cell>
          <cell r="B60" t="str">
            <v>Frais véhicules de cie</v>
          </cell>
        </row>
        <row r="61">
          <cell r="A61" t="str">
            <v>Véhicules neufsInformatique</v>
          </cell>
          <cell r="B61" t="str">
            <v>Informatique</v>
          </cell>
        </row>
        <row r="62">
          <cell r="A62" t="str">
            <v>Véhicules neufsFrais de déplacement</v>
          </cell>
          <cell r="B62" t="str">
            <v>Frais de déplacement</v>
          </cell>
        </row>
        <row r="63">
          <cell r="A63" t="str">
            <v>Véhicules neufsServices extérieurs</v>
          </cell>
          <cell r="B63" t="str">
            <v>Services extérieurs</v>
          </cell>
        </row>
        <row r="64">
          <cell r="A64" t="str">
            <v>Véhicules neufsFournitures autres</v>
          </cell>
          <cell r="B64" t="str">
            <v>Fournitures autres</v>
          </cell>
        </row>
        <row r="65">
          <cell r="A65" t="str">
            <v>Véhicules neufsUniformes</v>
          </cell>
          <cell r="B65" t="str">
            <v>Uniformes</v>
          </cell>
        </row>
        <row r="66">
          <cell r="A66" t="str">
            <v>Véhicules neufsPapeterie</v>
          </cell>
          <cell r="B66" t="str">
            <v>Papeterie</v>
          </cell>
        </row>
        <row r="67">
          <cell r="A67" t="str">
            <v>Véhicules neufsTéléphone</v>
          </cell>
          <cell r="B67" t="str">
            <v>Téléphone</v>
          </cell>
        </row>
        <row r="68">
          <cell r="A68" t="str">
            <v>Véhicules neufsFrais postaux</v>
          </cell>
          <cell r="B68" t="str">
            <v>Frais postaux</v>
          </cell>
        </row>
        <row r="69">
          <cell r="A69" t="str">
            <v>Véhicules neufsDivers</v>
          </cell>
          <cell r="B69" t="str">
            <v>Divers</v>
          </cell>
        </row>
        <row r="70">
          <cell r="A70" t="str">
            <v>Véhicules neufsFormation</v>
          </cell>
          <cell r="B70" t="str">
            <v>Formation</v>
          </cell>
        </row>
        <row r="71">
          <cell r="A71" t="str">
            <v>Véhicules neufsFrais bancaires</v>
          </cell>
          <cell r="B71" t="str">
            <v>Frais bancaires</v>
          </cell>
        </row>
        <row r="72">
          <cell r="A72" t="str">
            <v>Véhicules neufs[...]</v>
          </cell>
          <cell r="B72" t="str">
            <v>[...]</v>
          </cell>
        </row>
        <row r="73">
          <cell r="A73" t="str">
            <v>Véhicules neufs[...]</v>
          </cell>
          <cell r="B73" t="str">
            <v>[...]</v>
          </cell>
        </row>
        <row r="74">
          <cell r="A74" t="str">
            <v>Véhicules neufs[...]</v>
          </cell>
          <cell r="B74" t="str">
            <v>[...]</v>
          </cell>
        </row>
        <row r="75">
          <cell r="A75" t="str">
            <v>Véhicules neufsTOTAL SEMI-FIXES</v>
          </cell>
          <cell r="B75" t="str">
            <v>TOTAL SEMI-FIXES</v>
          </cell>
        </row>
        <row r="76">
          <cell r="A76" t="str">
            <v>Véhicules neufs</v>
          </cell>
        </row>
        <row r="77">
          <cell r="A77" t="str">
            <v>Véhicules neufsTOTAL DES DÉPENSES</v>
          </cell>
          <cell r="B77" t="str">
            <v>TOTAL DES DÉPENSES</v>
          </cell>
        </row>
        <row r="78">
          <cell r="A78" t="str">
            <v>Véhicules neufsProgramme neuf 1</v>
          </cell>
          <cell r="B78" t="str">
            <v>Programme neuf 1</v>
          </cell>
        </row>
        <row r="79">
          <cell r="A79" t="str">
            <v>Véhicules neufsProgramme neuf 2</v>
          </cell>
          <cell r="B79" t="str">
            <v>Programme neuf 2</v>
          </cell>
        </row>
        <row r="80">
          <cell r="A80" t="str">
            <v>Véhicules neufsProgramme neuf 3</v>
          </cell>
          <cell r="B80" t="str">
            <v>Programme neuf 3</v>
          </cell>
        </row>
        <row r="81">
          <cell r="A81" t="str">
            <v>Véhicules neufsHoldbacks</v>
          </cell>
          <cell r="B81" t="str">
            <v>Holdbacks</v>
          </cell>
        </row>
        <row r="82">
          <cell r="A82" t="str">
            <v>Véhicules neufs[...]</v>
          </cell>
          <cell r="B82" t="str">
            <v>[...]</v>
          </cell>
        </row>
        <row r="83">
          <cell r="A83" t="str">
            <v>Véhicules neufs[...]</v>
          </cell>
          <cell r="B83" t="str">
            <v>[...]</v>
          </cell>
        </row>
        <row r="84">
          <cell r="A84" t="str">
            <v>Véhicules neufs[...]</v>
          </cell>
          <cell r="B84" t="str">
            <v>[...]</v>
          </cell>
        </row>
        <row r="85">
          <cell r="A85" t="str">
            <v>Véhicules neufsFrais administration</v>
          </cell>
          <cell r="B85" t="str">
            <v>Frais administration</v>
          </cell>
        </row>
        <row r="86">
          <cell r="A86" t="str">
            <v>Véhicules neufsAUTRES REVENUS</v>
          </cell>
          <cell r="B86" t="str">
            <v>AUTRES REVENUS</v>
          </cell>
        </row>
        <row r="87">
          <cell r="A87" t="str">
            <v>Véhicules neufs</v>
          </cell>
        </row>
        <row r="88">
          <cell r="A88" t="str">
            <v>Véhicules neufsPROFIT DÉPARTEMENTAL</v>
          </cell>
          <cell r="B88" t="str">
            <v>PROFIT DÉPARTEMENTAL</v>
          </cell>
        </row>
        <row r="92">
          <cell r="B92" t="str">
            <v>Budget 2025</v>
          </cell>
          <cell r="C92" t="str">
            <v>Véhicules usagés</v>
          </cell>
        </row>
        <row r="94">
          <cell r="B94" t="str">
            <v>Mois</v>
          </cell>
          <cell r="C94">
            <v>2021</v>
          </cell>
          <cell r="F94" t="str">
            <v>Janvier</v>
          </cell>
          <cell r="I94" t="str">
            <v>Février</v>
          </cell>
          <cell r="L94" t="str">
            <v>Mars</v>
          </cell>
          <cell r="O94" t="str">
            <v>Avril</v>
          </cell>
          <cell r="R94" t="str">
            <v>Mai</v>
          </cell>
          <cell r="U94" t="str">
            <v>Juin</v>
          </cell>
          <cell r="X94" t="str">
            <v>Juillet</v>
          </cell>
          <cell r="AA94" t="str">
            <v>Août</v>
          </cell>
          <cell r="AD94" t="str">
            <v>Septembre</v>
          </cell>
          <cell r="AG94" t="str">
            <v>Octobre</v>
          </cell>
          <cell r="AJ94" t="str">
            <v>Novembre</v>
          </cell>
          <cell r="AM94" t="str">
            <v>Décembre</v>
          </cell>
        </row>
        <row r="95">
          <cell r="C95" t="str">
            <v>UNITE</v>
          </cell>
          <cell r="D95" t="str">
            <v>$P/UNITE</v>
          </cell>
          <cell r="E95" t="str">
            <v>$PROFITS</v>
          </cell>
          <cell r="F95" t="str">
            <v>UNITE</v>
          </cell>
          <cell r="G95" t="str">
            <v>$P/UNITE</v>
          </cell>
          <cell r="H95" t="str">
            <v>$PROFITS</v>
          </cell>
          <cell r="I95" t="str">
            <v>UNITE</v>
          </cell>
          <cell r="J95" t="str">
            <v>$P/UNITE</v>
          </cell>
          <cell r="K95" t="str">
            <v>$PROFITS</v>
          </cell>
          <cell r="L95" t="str">
            <v>UNITE</v>
          </cell>
          <cell r="M95" t="str">
            <v>$P/UNITE</v>
          </cell>
          <cell r="N95" t="str">
            <v>$PROFITS</v>
          </cell>
          <cell r="O95" t="str">
            <v>UNITE</v>
          </cell>
          <cell r="P95" t="str">
            <v>$P/UNITE</v>
          </cell>
          <cell r="Q95" t="str">
            <v>$PROFITS</v>
          </cell>
          <cell r="R95" t="str">
            <v>UNITE</v>
          </cell>
          <cell r="S95" t="str">
            <v>$P/UNITE</v>
          </cell>
          <cell r="T95" t="str">
            <v>$PROFITS</v>
          </cell>
          <cell r="U95" t="str">
            <v>UNITE</v>
          </cell>
          <cell r="V95" t="str">
            <v>$P/UNITE</v>
          </cell>
          <cell r="W95" t="str">
            <v>$PROFITS</v>
          </cell>
          <cell r="X95" t="str">
            <v>UNITE</v>
          </cell>
          <cell r="Y95" t="str">
            <v>$P/UNITE</v>
          </cell>
          <cell r="Z95" t="str">
            <v>$PROFITS</v>
          </cell>
          <cell r="AA95" t="str">
            <v>UNITE</v>
          </cell>
          <cell r="AB95" t="str">
            <v>$P/UNITE</v>
          </cell>
          <cell r="AC95" t="str">
            <v>$PROFITS</v>
          </cell>
          <cell r="AD95" t="str">
            <v>UNITE</v>
          </cell>
          <cell r="AE95" t="str">
            <v>$P/UNITE</v>
          </cell>
          <cell r="AF95" t="str">
            <v>$PROFITS</v>
          </cell>
          <cell r="AG95" t="str">
            <v>UNITE</v>
          </cell>
          <cell r="AH95" t="str">
            <v>$P/UNITE</v>
          </cell>
          <cell r="AI95" t="str">
            <v>$PROFITS</v>
          </cell>
          <cell r="AJ95" t="str">
            <v>UNITE</v>
          </cell>
          <cell r="AK95" t="str">
            <v>$P/UNITE</v>
          </cell>
          <cell r="AL95" t="str">
            <v>$PROFITS</v>
          </cell>
          <cell r="AM95" t="str">
            <v>UNITE</v>
          </cell>
          <cell r="AN95" t="str">
            <v>$P/UNITE</v>
          </cell>
          <cell r="AO95" t="str">
            <v>$PROFITS</v>
          </cell>
        </row>
        <row r="96">
          <cell r="A96" t="str">
            <v>Véhicules usagésVentes nettes</v>
          </cell>
          <cell r="B96" t="str">
            <v>Ventes nettes</v>
          </cell>
        </row>
        <row r="97">
          <cell r="A97" t="str">
            <v>Véhicules usagésCertifié</v>
          </cell>
          <cell r="B97" t="str">
            <v>Certifié</v>
          </cell>
        </row>
        <row r="98">
          <cell r="A98" t="str">
            <v>Véhicules usagésNon Certifié</v>
          </cell>
          <cell r="B98" t="str">
            <v>Non Certifié</v>
          </cell>
        </row>
        <row r="99">
          <cell r="A99" t="str">
            <v>Véhicules usagésAutres Marques</v>
          </cell>
          <cell r="B99" t="str">
            <v>Autres Marques</v>
          </cell>
        </row>
        <row r="100">
          <cell r="A100" t="str">
            <v>Véhicules usagésTotal Usagés</v>
          </cell>
          <cell r="B100" t="str">
            <v>Total Usagés</v>
          </cell>
        </row>
        <row r="101">
          <cell r="A101" t="str">
            <v>Véhicules usagés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B103" t="str">
            <v>Ventes au Gros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B105" t="str">
            <v>Rev. Finances</v>
          </cell>
        </row>
        <row r="106">
          <cell r="A106" t="str">
            <v>Véhicules usagésRev. Protections</v>
          </cell>
          <cell r="B106" t="str">
            <v>Rev. Protections</v>
          </cell>
        </row>
        <row r="107">
          <cell r="A107" t="str">
            <v>Véhicules usagésRev. Autres</v>
          </cell>
          <cell r="B107" t="str">
            <v>Rev. Autres</v>
          </cell>
        </row>
        <row r="108">
          <cell r="A108" t="str">
            <v>Véhicules usagésTotal F&amp;I</v>
          </cell>
          <cell r="B108" t="str">
            <v>Total F&amp;I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B111" t="str">
            <v>Total Dépt. Usagés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  <cell r="B114" t="str">
            <v>DEPENSES</v>
          </cell>
        </row>
        <row r="115">
          <cell r="A115" t="str">
            <v>Véhicules usagésComm. vendeurs</v>
          </cell>
          <cell r="B115" t="str">
            <v>Comm. vendeurs</v>
          </cell>
        </row>
        <row r="116">
          <cell r="A116" t="str">
            <v>Véhicules usagésComm. F&amp;I</v>
          </cell>
          <cell r="B116" t="str">
            <v>Comm. F&amp;I</v>
          </cell>
        </row>
        <row r="117">
          <cell r="A117" t="str">
            <v>Véhicules usagésFrais de livraison</v>
          </cell>
          <cell r="B117" t="str">
            <v>Frais de livraison</v>
          </cell>
        </row>
        <row r="118">
          <cell r="A118" t="str">
            <v>Véhicules usagésService gratuit 1</v>
          </cell>
          <cell r="B118" t="str">
            <v>Service gratuit 1</v>
          </cell>
        </row>
        <row r="119">
          <cell r="A119" t="str">
            <v>Véhicules usagésEntretien stock</v>
          </cell>
          <cell r="B119" t="str">
            <v>Entretien stock</v>
          </cell>
        </row>
        <row r="120">
          <cell r="A120" t="str">
            <v>Véhicules usagésPublicité 1</v>
          </cell>
          <cell r="B120" t="str">
            <v>Publicité 1</v>
          </cell>
        </row>
        <row r="121">
          <cell r="A121" t="str">
            <v>Véhicules usagésIntérêt de gros</v>
          </cell>
          <cell r="B121" t="str">
            <v>Intérêt de gros</v>
          </cell>
        </row>
        <row r="122">
          <cell r="A122" t="str">
            <v>Véhicules usagés[...]</v>
          </cell>
          <cell r="B122" t="str">
            <v>[...]</v>
          </cell>
        </row>
        <row r="123">
          <cell r="A123" t="str">
            <v>Véhicules usagés[...]</v>
          </cell>
          <cell r="B123" t="str">
            <v>[...]</v>
          </cell>
        </row>
        <row r="124">
          <cell r="A124" t="str">
            <v>Véhicules usagés[...]</v>
          </cell>
          <cell r="B124" t="str">
            <v>[...]</v>
          </cell>
        </row>
        <row r="125">
          <cell r="A125" t="str">
            <v>Véhicules usagésTOTAL VARIABLES</v>
          </cell>
          <cell r="B125" t="str">
            <v>TOTAL VARIABLES</v>
          </cell>
        </row>
        <row r="126">
          <cell r="A126" t="str">
            <v>Véhicules usagésSalaires cadres</v>
          </cell>
          <cell r="B126" t="str">
            <v>Salaires cadres</v>
          </cell>
        </row>
        <row r="127">
          <cell r="A127" t="str">
            <v>Véhicules usagésSalaires commis</v>
          </cell>
          <cell r="B127" t="str">
            <v>Salaires commis</v>
          </cell>
        </row>
        <row r="128">
          <cell r="A128" t="str">
            <v>Véhicules usagésSalaires autres</v>
          </cell>
          <cell r="B128" t="str">
            <v>Salaires autres</v>
          </cell>
        </row>
        <row r="129">
          <cell r="A129" t="str">
            <v>Véhicules usagésSalaires spécialistes</v>
          </cell>
          <cell r="B129" t="str">
            <v>Salaires spécialistes</v>
          </cell>
        </row>
        <row r="130">
          <cell r="A130" t="str">
            <v>Véhicules usagés[...]</v>
          </cell>
          <cell r="B130" t="str">
            <v>[...]</v>
          </cell>
        </row>
        <row r="131">
          <cell r="A131" t="str">
            <v>Véhicules usagés[...]</v>
          </cell>
          <cell r="B131" t="str">
            <v>[...]</v>
          </cell>
        </row>
        <row r="132">
          <cell r="A132" t="str">
            <v>Véhicules usagés[...]</v>
          </cell>
          <cell r="B132" t="str">
            <v>[...]</v>
          </cell>
        </row>
        <row r="133">
          <cell r="A133" t="str">
            <v>Véhicules usagésSalaires en absences</v>
          </cell>
          <cell r="B133" t="str">
            <v>Salaires en absences</v>
          </cell>
        </row>
        <row r="134">
          <cell r="A134" t="str">
            <v>Véhicules usagésDéduction à la source</v>
          </cell>
          <cell r="B134" t="str">
            <v>Déduction à la source</v>
          </cell>
        </row>
        <row r="135">
          <cell r="A135" t="str">
            <v>Véhicules usagésBénéfices marginaux</v>
          </cell>
          <cell r="B135" t="str">
            <v>Bénéfices marginaux</v>
          </cell>
        </row>
        <row r="136">
          <cell r="A136" t="str">
            <v>Véhicules usagésCsst</v>
          </cell>
          <cell r="B136" t="str">
            <v>Csst</v>
          </cell>
        </row>
        <row r="137">
          <cell r="A137" t="str">
            <v>Véhicules usagés[...]</v>
          </cell>
          <cell r="B137" t="str">
            <v>[...]</v>
          </cell>
        </row>
        <row r="138">
          <cell r="A138" t="str">
            <v>Véhicules usagésTOTAL PERSONNEL</v>
          </cell>
          <cell r="B138" t="str">
            <v>TOTAL PERSONNEL</v>
          </cell>
        </row>
        <row r="139">
          <cell r="A139" t="str">
            <v>Véhicules usagésPublicité 2</v>
          </cell>
          <cell r="B139" t="str">
            <v>Publicité 2</v>
          </cell>
        </row>
        <row r="140">
          <cell r="A140" t="str">
            <v>Véhicules usagésService gratuit 2</v>
          </cell>
          <cell r="B140" t="str">
            <v>Service gratuit 2</v>
          </cell>
        </row>
        <row r="141">
          <cell r="A141" t="str">
            <v>Véhicules usagésFrais véhicules de cie</v>
          </cell>
          <cell r="B141" t="str">
            <v>Frais véhicules de cie</v>
          </cell>
        </row>
        <row r="142">
          <cell r="A142" t="str">
            <v>Véhicules usagésInformatique</v>
          </cell>
          <cell r="B142" t="str">
            <v>Informatique</v>
          </cell>
        </row>
        <row r="143">
          <cell r="A143" t="str">
            <v>Véhicules usagésFrais de déplacement</v>
          </cell>
          <cell r="B143" t="str">
            <v>Frais de déplacement</v>
          </cell>
        </row>
        <row r="144">
          <cell r="A144" t="str">
            <v>Véhicules usagésServices extérieurs</v>
          </cell>
          <cell r="B144" t="str">
            <v>Services extérieurs</v>
          </cell>
        </row>
        <row r="145">
          <cell r="A145" t="str">
            <v>Véhicules usagésFournitures autres</v>
          </cell>
          <cell r="B145" t="str">
            <v>Fournitures autres</v>
          </cell>
        </row>
        <row r="146">
          <cell r="A146" t="str">
            <v>Véhicules usagésUniformes</v>
          </cell>
          <cell r="B146" t="str">
            <v>Uniformes</v>
          </cell>
        </row>
        <row r="147">
          <cell r="A147" t="str">
            <v>Véhicules usagésPapeterie</v>
          </cell>
          <cell r="B147" t="str">
            <v>Papeterie</v>
          </cell>
        </row>
        <row r="148">
          <cell r="A148" t="str">
            <v>Véhicules usagésTéléphone</v>
          </cell>
          <cell r="B148" t="str">
            <v>Téléphone</v>
          </cell>
        </row>
        <row r="149">
          <cell r="A149" t="str">
            <v>Véhicules usagésFrais postaux</v>
          </cell>
          <cell r="B149" t="str">
            <v>Frais postaux</v>
          </cell>
        </row>
        <row r="150">
          <cell r="A150" t="str">
            <v>Véhicules usagésDivers</v>
          </cell>
          <cell r="B150" t="str">
            <v>Divers</v>
          </cell>
        </row>
        <row r="151">
          <cell r="A151" t="str">
            <v>Véhicules usagésFormation</v>
          </cell>
          <cell r="B151" t="str">
            <v>Formation</v>
          </cell>
        </row>
        <row r="152">
          <cell r="A152" t="str">
            <v>Véhicules usagésFrais bancaires</v>
          </cell>
          <cell r="B152" t="str">
            <v>Frais bancaires</v>
          </cell>
        </row>
        <row r="153">
          <cell r="A153" t="str">
            <v>Véhicules usagés[...]</v>
          </cell>
          <cell r="B153" t="str">
            <v>[...]</v>
          </cell>
        </row>
        <row r="154">
          <cell r="A154" t="str">
            <v>Véhicules usagés[...]</v>
          </cell>
          <cell r="B154" t="str">
            <v>[...]</v>
          </cell>
        </row>
        <row r="155">
          <cell r="A155" t="str">
            <v>Véhicules usagés[...]</v>
          </cell>
          <cell r="B155" t="str">
            <v>[...]</v>
          </cell>
        </row>
        <row r="156">
          <cell r="A156" t="str">
            <v>Véhicules usagésTOTAL SEMI-FIXES</v>
          </cell>
          <cell r="B156" t="str">
            <v>TOTAL SEMI-FIXES</v>
          </cell>
        </row>
        <row r="157">
          <cell r="A157" t="str">
            <v>Véhicules usagés</v>
          </cell>
        </row>
        <row r="158">
          <cell r="A158" t="str">
            <v>Véhicules usagésTOTAL DES DÉPENSES</v>
          </cell>
          <cell r="B158" t="str">
            <v>TOTAL DES DÉPENSES</v>
          </cell>
        </row>
        <row r="159">
          <cell r="A159" t="str">
            <v>Véhicules usagésProgramme used 1</v>
          </cell>
          <cell r="B159" t="str">
            <v>Programme used 1</v>
          </cell>
        </row>
        <row r="160">
          <cell r="A160" t="str">
            <v>Véhicules usagésProgramme used 2</v>
          </cell>
          <cell r="B160" t="str">
            <v>Programme used 2</v>
          </cell>
        </row>
        <row r="161">
          <cell r="A161" t="str">
            <v>Véhicules usagésProgramme used 3</v>
          </cell>
          <cell r="B161" t="str">
            <v>Programme used 3</v>
          </cell>
        </row>
        <row r="162">
          <cell r="A162" t="str">
            <v>Véhicules usagés[...]</v>
          </cell>
          <cell r="B162" t="str">
            <v>[...]</v>
          </cell>
        </row>
        <row r="163">
          <cell r="A163" t="str">
            <v>Véhicules usagés[...]</v>
          </cell>
          <cell r="B163" t="str">
            <v>[...]</v>
          </cell>
        </row>
        <row r="164">
          <cell r="A164" t="str">
            <v>Véhicules usagés[...]</v>
          </cell>
          <cell r="B164" t="str">
            <v>[...]</v>
          </cell>
        </row>
        <row r="165">
          <cell r="A165" t="str">
            <v>Véhicules usagésFrais administration</v>
          </cell>
          <cell r="B165" t="str">
            <v>Frais administration</v>
          </cell>
        </row>
        <row r="166">
          <cell r="A166" t="str">
            <v>Véhicules usagésAUTRES REVENUS</v>
          </cell>
          <cell r="B166" t="str">
            <v>AUTRES REVENUS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B168" t="str">
            <v>PROFIT DÉPARTEMENTAL</v>
          </cell>
        </row>
        <row r="171">
          <cell r="B171" t="str">
            <v>Budget 2025</v>
          </cell>
          <cell r="C171" t="str">
            <v>Service</v>
          </cell>
        </row>
        <row r="173">
          <cell r="B173" t="str">
            <v>Mois</v>
          </cell>
        </row>
        <row r="174">
          <cell r="A174" t="str">
            <v>Service</v>
          </cell>
        </row>
        <row r="175">
          <cell r="A175" t="str">
            <v>ServiceM/O Client</v>
          </cell>
          <cell r="B175" t="str">
            <v>M/O Client</v>
          </cell>
        </row>
        <row r="176">
          <cell r="A176" t="str">
            <v>Service% profit / ventes</v>
          </cell>
          <cell r="B176" t="str">
            <v>% profit / ventes</v>
          </cell>
        </row>
        <row r="177">
          <cell r="A177" t="str">
            <v>Service</v>
          </cell>
        </row>
        <row r="178">
          <cell r="A178" t="str">
            <v>ServiceM/O Garantie</v>
          </cell>
          <cell r="B178" t="str">
            <v>M/O Garantie</v>
          </cell>
        </row>
        <row r="179">
          <cell r="A179" t="str">
            <v>Service% profit / ventes</v>
          </cell>
          <cell r="B179" t="str">
            <v>% profit / ventes</v>
          </cell>
        </row>
        <row r="180">
          <cell r="A180" t="str">
            <v>Service</v>
          </cell>
        </row>
        <row r="181">
          <cell r="A181" t="str">
            <v>ServiceM/O Interne</v>
          </cell>
          <cell r="B181" t="str">
            <v>M/O Interne</v>
          </cell>
        </row>
        <row r="182">
          <cell r="A182" t="str">
            <v>Service% profit / ventes</v>
          </cell>
          <cell r="B182" t="str">
            <v>% profit / ventes</v>
          </cell>
        </row>
        <row r="183">
          <cell r="A183" t="str">
            <v>Service</v>
          </cell>
        </row>
        <row r="184">
          <cell r="A184" t="str">
            <v>ServiceM/O Esthétique</v>
          </cell>
          <cell r="B184" t="str">
            <v>M/O Esthétique</v>
          </cell>
        </row>
        <row r="185">
          <cell r="A185" t="str">
            <v>Service% profit / ventes</v>
          </cell>
          <cell r="B185" t="str">
            <v>% profit / ventes</v>
          </cell>
        </row>
        <row r="186">
          <cell r="A186" t="str">
            <v>Service</v>
          </cell>
        </row>
        <row r="187">
          <cell r="A187" t="str">
            <v>ServiceAjustement M/O</v>
          </cell>
          <cell r="B187" t="str">
            <v>Ajustement M/O</v>
          </cell>
        </row>
        <row r="188">
          <cell r="A188" t="str">
            <v>ServiceSous-total M/O</v>
          </cell>
          <cell r="B188" t="str">
            <v>Sous-total M/O</v>
          </cell>
        </row>
        <row r="189">
          <cell r="A189" t="str">
            <v>Service% protit / ventes</v>
          </cell>
          <cell r="B189" t="str">
            <v>% protit / ventes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B191" t="str">
            <v>Sous-traitement</v>
          </cell>
        </row>
        <row r="192">
          <cell r="A192" t="str">
            <v>Service% profit / ventes</v>
          </cell>
          <cell r="B192" t="str">
            <v>% profit / ventes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B194" t="str">
            <v>M.O. Recond. MCPA</v>
          </cell>
        </row>
        <row r="195">
          <cell r="A195" t="str">
            <v>Service% profit / ventes</v>
          </cell>
          <cell r="B195" t="str">
            <v>% profit / ventes</v>
          </cell>
        </row>
        <row r="196">
          <cell r="A196" t="str">
            <v>Service</v>
          </cell>
        </row>
        <row r="197">
          <cell r="A197" t="str">
            <v>ServiceTotal Mécanique</v>
          </cell>
          <cell r="B197" t="str">
            <v>Total Mécanique</v>
          </cell>
        </row>
        <row r="198">
          <cell r="A198" t="str">
            <v>Service</v>
          </cell>
        </row>
        <row r="199">
          <cell r="A199" t="str">
            <v>Service</v>
          </cell>
        </row>
        <row r="200">
          <cell r="A200" t="str">
            <v>ServiceDEPENSES</v>
          </cell>
          <cell r="B200" t="str">
            <v>DEPENSES</v>
          </cell>
        </row>
        <row r="201">
          <cell r="A201" t="str">
            <v>ServiceSalaires cadres</v>
          </cell>
          <cell r="B201" t="str">
            <v>Salaires cadres</v>
          </cell>
        </row>
        <row r="202">
          <cell r="A202" t="str">
            <v>ServiceSalaires commis</v>
          </cell>
          <cell r="B202" t="str">
            <v>Salaires commis</v>
          </cell>
        </row>
        <row r="203">
          <cell r="A203" t="str">
            <v>ServiceSalaires autres</v>
          </cell>
          <cell r="B203" t="str">
            <v>Salaires autres</v>
          </cell>
        </row>
        <row r="204">
          <cell r="A204" t="str">
            <v>ServiceSalaires spécialistes</v>
          </cell>
          <cell r="B204" t="str">
            <v>Salaires spécialistes</v>
          </cell>
        </row>
        <row r="205">
          <cell r="A205" t="str">
            <v>Service[...]</v>
          </cell>
          <cell r="B205" t="str">
            <v>[...]</v>
          </cell>
        </row>
        <row r="206">
          <cell r="A206" t="str">
            <v>Service[...]</v>
          </cell>
          <cell r="B206" t="str">
            <v>[...]</v>
          </cell>
        </row>
        <row r="207">
          <cell r="A207" t="str">
            <v>Service[...]</v>
          </cell>
          <cell r="B207" t="str">
            <v>[...]</v>
          </cell>
        </row>
        <row r="208">
          <cell r="A208" t="str">
            <v>ServiceSalaires en absences</v>
          </cell>
          <cell r="B208" t="str">
            <v>Salaires en absences</v>
          </cell>
        </row>
        <row r="209">
          <cell r="A209" t="str">
            <v>ServiceDéduction à la source</v>
          </cell>
          <cell r="B209" t="str">
            <v>Déduction à la source</v>
          </cell>
        </row>
        <row r="210">
          <cell r="A210" t="str">
            <v>ServiceBénéfices marginaux</v>
          </cell>
          <cell r="B210" t="str">
            <v>Bénéfices marginaux</v>
          </cell>
        </row>
        <row r="211">
          <cell r="A211" t="str">
            <v>ServiceCsst</v>
          </cell>
          <cell r="B211" t="str">
            <v>Csst</v>
          </cell>
        </row>
        <row r="212">
          <cell r="A212" t="str">
            <v>Service[...]</v>
          </cell>
          <cell r="B212" t="str">
            <v>[...]</v>
          </cell>
        </row>
        <row r="213">
          <cell r="A213" t="str">
            <v>ServiceTOTAL PERSONNEL</v>
          </cell>
          <cell r="B213" t="str">
            <v>TOTAL PERSONNEL</v>
          </cell>
        </row>
        <row r="214">
          <cell r="A214" t="str">
            <v>ServicePublicité 2</v>
          </cell>
          <cell r="B214" t="str">
            <v>Publicité 2</v>
          </cell>
        </row>
        <row r="215">
          <cell r="A215" t="str">
            <v>ServiceService gratuit 2</v>
          </cell>
          <cell r="B215" t="str">
            <v>Service gratuit 2</v>
          </cell>
        </row>
        <row r="216">
          <cell r="A216" t="str">
            <v>ServiceFrais véhicules de cie</v>
          </cell>
          <cell r="B216" t="str">
            <v>Frais véhicules de cie</v>
          </cell>
        </row>
        <row r="217">
          <cell r="A217" t="str">
            <v>ServiceInformatique</v>
          </cell>
          <cell r="B217" t="str">
            <v>Informatique</v>
          </cell>
        </row>
        <row r="218">
          <cell r="A218" t="str">
            <v>ServiceFrais de déplacement</v>
          </cell>
          <cell r="B218" t="str">
            <v>Frais de déplacement</v>
          </cell>
        </row>
        <row r="219">
          <cell r="A219" t="str">
            <v>ServiceServices extérieurs</v>
          </cell>
          <cell r="B219" t="str">
            <v>Services extérieurs</v>
          </cell>
        </row>
        <row r="220">
          <cell r="A220" t="str">
            <v>ServiceFournitures d'atelier</v>
          </cell>
          <cell r="B220" t="str">
            <v>Fournitures d'atelier</v>
          </cell>
        </row>
        <row r="221">
          <cell r="A221" t="str">
            <v>ServiceFournitures autres</v>
          </cell>
          <cell r="B221" t="str">
            <v>Fournitures autres</v>
          </cell>
        </row>
        <row r="222">
          <cell r="A222" t="str">
            <v>ServiceUniformes</v>
          </cell>
          <cell r="B222" t="str">
            <v>Uniformes</v>
          </cell>
        </row>
        <row r="223">
          <cell r="A223" t="str">
            <v>ServicePapeterie</v>
          </cell>
          <cell r="B223" t="str">
            <v>Papeterie</v>
          </cell>
        </row>
        <row r="224">
          <cell r="A224" t="str">
            <v>ServiceTéléphone</v>
          </cell>
          <cell r="B224" t="str">
            <v>Téléphone</v>
          </cell>
        </row>
        <row r="225">
          <cell r="A225" t="str">
            <v>ServiceFrais postaux</v>
          </cell>
          <cell r="B225" t="str">
            <v>Frais postaux</v>
          </cell>
        </row>
        <row r="226">
          <cell r="A226" t="str">
            <v>ServiceDivers</v>
          </cell>
          <cell r="B226" t="str">
            <v>Divers</v>
          </cell>
        </row>
        <row r="227">
          <cell r="A227" t="str">
            <v>ServiceFormation</v>
          </cell>
          <cell r="B227" t="str">
            <v>Formation</v>
          </cell>
        </row>
        <row r="228">
          <cell r="A228" t="str">
            <v>ServiceFrais bancaires</v>
          </cell>
          <cell r="B228" t="str">
            <v>Frais bancaires</v>
          </cell>
        </row>
        <row r="229">
          <cell r="A229" t="str">
            <v>Service[...]</v>
          </cell>
          <cell r="B229" t="str">
            <v>[...]</v>
          </cell>
        </row>
        <row r="230">
          <cell r="A230" t="str">
            <v>Service[...]</v>
          </cell>
          <cell r="B230" t="str">
            <v>[...]</v>
          </cell>
        </row>
        <row r="231">
          <cell r="A231" t="str">
            <v>Service[...]</v>
          </cell>
          <cell r="B231" t="str">
            <v>[...]</v>
          </cell>
        </row>
        <row r="232">
          <cell r="A232" t="str">
            <v>ServiceTOTAL SEMI-FIXES</v>
          </cell>
          <cell r="B232" t="str">
            <v>TOTAL SEMI-FIXES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B234" t="str">
            <v>TOTAL DES DÉPENSES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B236" t="str">
            <v>PROFIT DÉPARTEMENTAL</v>
          </cell>
        </row>
        <row r="239">
          <cell r="B239" t="str">
            <v>Budget 2025</v>
          </cell>
          <cell r="C239" t="str">
            <v>Carrosserie</v>
          </cell>
        </row>
        <row r="241">
          <cell r="B241" t="str">
            <v>Mois</v>
          </cell>
        </row>
        <row r="242">
          <cell r="A242" t="str">
            <v>Carrosserie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B244" t="str">
            <v>M/O Sous-traitement</v>
          </cell>
        </row>
        <row r="245">
          <cell r="A245" t="str">
            <v>Carrosserie% profit / ventes</v>
          </cell>
          <cell r="B245" t="str">
            <v>% profit / ventes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B247" t="str">
            <v>M/O Carrosserie</v>
          </cell>
        </row>
        <row r="248">
          <cell r="A248" t="str">
            <v>Carrosserie% profit / ventes</v>
          </cell>
          <cell r="B248" t="str">
            <v>% profit / ventes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B250" t="str">
            <v>M/O Esthétique Carr.</v>
          </cell>
        </row>
        <row r="251">
          <cell r="A251" t="str">
            <v>Carrosserie% profit / ventes</v>
          </cell>
          <cell r="B251" t="str">
            <v>% profit / ventes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B253" t="str">
            <v>Total Mécanique</v>
          </cell>
        </row>
        <row r="254">
          <cell r="A254" t="str">
            <v>Carrosserie</v>
          </cell>
        </row>
        <row r="255">
          <cell r="A255" t="str">
            <v>Carrosserie</v>
          </cell>
        </row>
        <row r="256">
          <cell r="A256" t="str">
            <v>CarrosserieDEPENSES</v>
          </cell>
          <cell r="B256" t="str">
            <v>DEPENSES</v>
          </cell>
        </row>
        <row r="257">
          <cell r="A257" t="str">
            <v>CarrosserieSalaires cadres</v>
          </cell>
          <cell r="B257" t="str">
            <v>Salaires cadres</v>
          </cell>
        </row>
        <row r="258">
          <cell r="A258" t="str">
            <v>CarrosserieSalaires commis</v>
          </cell>
          <cell r="B258" t="str">
            <v>Salaires commis</v>
          </cell>
        </row>
        <row r="259">
          <cell r="A259" t="str">
            <v>CarrosserieSalaires autres</v>
          </cell>
          <cell r="B259" t="str">
            <v>Salaires autres</v>
          </cell>
        </row>
        <row r="260">
          <cell r="A260" t="str">
            <v>CarrosserieSalaires spécialistes</v>
          </cell>
          <cell r="B260" t="str">
            <v>Salaires spécialistes</v>
          </cell>
        </row>
        <row r="261">
          <cell r="A261" t="str">
            <v>Carrosserie[...]</v>
          </cell>
          <cell r="B261" t="str">
            <v>[...]</v>
          </cell>
        </row>
        <row r="262">
          <cell r="A262" t="str">
            <v>Carrosserie[...]</v>
          </cell>
          <cell r="B262" t="str">
            <v>[...]</v>
          </cell>
        </row>
        <row r="263">
          <cell r="A263" t="str">
            <v>Carrosserie[...]</v>
          </cell>
          <cell r="B263" t="str">
            <v>[...]</v>
          </cell>
        </row>
        <row r="264">
          <cell r="A264" t="str">
            <v>CarrosserieSalaires en absences</v>
          </cell>
          <cell r="B264" t="str">
            <v>Salaires en absences</v>
          </cell>
        </row>
        <row r="265">
          <cell r="A265" t="str">
            <v>CarrosserieDéduction à la source</v>
          </cell>
          <cell r="B265" t="str">
            <v>Déduction à la source</v>
          </cell>
        </row>
        <row r="266">
          <cell r="A266" t="str">
            <v>CarrosserieBénéfices marginaux</v>
          </cell>
          <cell r="B266" t="str">
            <v>Bénéfices marginaux</v>
          </cell>
        </row>
        <row r="267">
          <cell r="A267" t="str">
            <v>CarrosserieCsst</v>
          </cell>
          <cell r="B267" t="str">
            <v>Csst</v>
          </cell>
        </row>
        <row r="268">
          <cell r="A268" t="str">
            <v>Carrosserie[...]</v>
          </cell>
          <cell r="B268" t="str">
            <v>[...]</v>
          </cell>
        </row>
        <row r="269">
          <cell r="A269" t="str">
            <v>CarrosserieTOTAL PERSONNEL</v>
          </cell>
          <cell r="B269" t="str">
            <v>TOTAL PERSONNEL</v>
          </cell>
        </row>
        <row r="270">
          <cell r="A270" t="str">
            <v>CarrosseriePublicité 2</v>
          </cell>
          <cell r="B270" t="str">
            <v>Publicité 2</v>
          </cell>
        </row>
        <row r="271">
          <cell r="A271" t="str">
            <v>CarrosserieService gratuit 2</v>
          </cell>
          <cell r="B271" t="str">
            <v>Service gratuit 2</v>
          </cell>
        </row>
        <row r="272">
          <cell r="A272" t="str">
            <v>CarrosserieFrais véhicules de cie</v>
          </cell>
          <cell r="B272" t="str">
            <v>Frais véhicules de cie</v>
          </cell>
        </row>
        <row r="273">
          <cell r="A273" t="str">
            <v>CarrosserieInformatique</v>
          </cell>
          <cell r="B273" t="str">
            <v>Informatique</v>
          </cell>
        </row>
        <row r="274">
          <cell r="A274" t="str">
            <v>CarrosserieFrais de déplacement</v>
          </cell>
          <cell r="B274" t="str">
            <v>Frais de déplacement</v>
          </cell>
        </row>
        <row r="275">
          <cell r="A275" t="str">
            <v>CarrosserieServices extérieurs</v>
          </cell>
          <cell r="B275" t="str">
            <v>Services extérieurs</v>
          </cell>
        </row>
        <row r="276">
          <cell r="A276" t="str">
            <v>CarrosserieFournitures d'atelier</v>
          </cell>
          <cell r="B276" t="str">
            <v>Fournitures d'atelier</v>
          </cell>
        </row>
        <row r="277">
          <cell r="A277" t="str">
            <v>CarrosserieFournitures autres</v>
          </cell>
          <cell r="B277" t="str">
            <v>Fournitures autres</v>
          </cell>
        </row>
        <row r="278">
          <cell r="A278" t="str">
            <v>CarrosserieUniformes</v>
          </cell>
          <cell r="B278" t="str">
            <v>Uniformes</v>
          </cell>
        </row>
        <row r="279">
          <cell r="A279" t="str">
            <v>CarrosseriePapeterie</v>
          </cell>
          <cell r="B279" t="str">
            <v>Papeterie</v>
          </cell>
        </row>
        <row r="280">
          <cell r="A280" t="str">
            <v>CarrosserieTéléphone</v>
          </cell>
          <cell r="B280" t="str">
            <v>Téléphone</v>
          </cell>
        </row>
        <row r="281">
          <cell r="A281" t="str">
            <v>CarrosserieFrais postaux</v>
          </cell>
          <cell r="B281" t="str">
            <v>Frais postaux</v>
          </cell>
        </row>
        <row r="282">
          <cell r="A282" t="str">
            <v>CarrosserieDivers</v>
          </cell>
          <cell r="B282" t="str">
            <v>Divers</v>
          </cell>
        </row>
        <row r="283">
          <cell r="A283" t="str">
            <v>CarrosserieFormation</v>
          </cell>
          <cell r="B283" t="str">
            <v>Formation</v>
          </cell>
        </row>
        <row r="284">
          <cell r="A284" t="str">
            <v>CarrosserieFrais bancaires</v>
          </cell>
          <cell r="B284" t="str">
            <v>Frais bancaires</v>
          </cell>
        </row>
        <row r="285">
          <cell r="A285" t="str">
            <v>Carrosserie[...]</v>
          </cell>
          <cell r="B285" t="str">
            <v>[...]</v>
          </cell>
        </row>
        <row r="286">
          <cell r="A286" t="str">
            <v>Carrosserie[...]</v>
          </cell>
          <cell r="B286" t="str">
            <v>[...]</v>
          </cell>
        </row>
        <row r="287">
          <cell r="A287" t="str">
            <v>Carrosserie[...]</v>
          </cell>
          <cell r="B287" t="str">
            <v>[...]</v>
          </cell>
        </row>
        <row r="288">
          <cell r="A288" t="str">
            <v>CarrosserieTOTAL SEMI-FIXES</v>
          </cell>
          <cell r="B288" t="str">
            <v>TOTAL SEMI-FIXES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B290" t="str">
            <v>TOTAL DES DÉPENSES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B292" t="str">
            <v>PROFIT DÉPARTEMENTAL</v>
          </cell>
        </row>
        <row r="294">
          <cell r="B294" t="str">
            <v>Budget 2025</v>
          </cell>
          <cell r="C294" t="str">
            <v>Pièces</v>
          </cell>
        </row>
        <row r="296">
          <cell r="B296" t="str">
            <v>Mois</v>
          </cell>
        </row>
        <row r="297">
          <cell r="A297" t="str">
            <v>Pièces</v>
          </cell>
        </row>
        <row r="298">
          <cell r="A298" t="str">
            <v>PiècesPièces Ro Clients</v>
          </cell>
          <cell r="B298" t="str">
            <v>Pièces Ro Clients</v>
          </cell>
        </row>
        <row r="299">
          <cell r="A299" t="str">
            <v>PiècesPièces Ro Carrosserie</v>
          </cell>
          <cell r="B299" t="str">
            <v>Pièces Ro Carrosserie</v>
          </cell>
        </row>
        <row r="300">
          <cell r="A300" t="str">
            <v>PiècesP/A Garantie</v>
          </cell>
          <cell r="B300" t="str">
            <v>P/A Garantie</v>
          </cell>
        </row>
        <row r="301">
          <cell r="A301" t="str">
            <v>PiècesVentes Internes</v>
          </cell>
          <cell r="B301" t="str">
            <v>Ventes Internes</v>
          </cell>
        </row>
        <row r="302">
          <cell r="A302" t="str">
            <v>PiècesVentes Détails</v>
          </cell>
          <cell r="B302" t="str">
            <v>Ventes Détails</v>
          </cell>
        </row>
        <row r="303">
          <cell r="A303" t="str">
            <v>PiècesVentes de Gros</v>
          </cell>
          <cell r="B303" t="str">
            <v>Ventes de Gros</v>
          </cell>
        </row>
        <row r="304">
          <cell r="A304" t="str">
            <v>Pièces[...]</v>
          </cell>
          <cell r="B304" t="str">
            <v>[...]</v>
          </cell>
        </row>
        <row r="305">
          <cell r="A305" t="str">
            <v>PiècesEscomptes</v>
          </cell>
          <cell r="B305" t="str">
            <v>Escomptes</v>
          </cell>
        </row>
        <row r="306">
          <cell r="A306" t="str">
            <v>PiècesRectif. Inventaire</v>
          </cell>
          <cell r="B306" t="str">
            <v>Rectif. Inventaire</v>
          </cell>
        </row>
        <row r="307">
          <cell r="A307" t="str">
            <v>PiècesSous-total Pièces</v>
          </cell>
          <cell r="B307" t="str">
            <v>Sous-total Pièces</v>
          </cell>
        </row>
        <row r="308">
          <cell r="A308" t="str">
            <v>Pièces</v>
          </cell>
        </row>
        <row r="309">
          <cell r="A309" t="str">
            <v>Pièces</v>
          </cell>
        </row>
        <row r="310">
          <cell r="A310" t="str">
            <v>PiècesVentes Pneus</v>
          </cell>
          <cell r="B310" t="str">
            <v>Ventes Pneus</v>
          </cell>
        </row>
        <row r="311">
          <cell r="A311" t="str">
            <v>PiècesHuiles et Graisse</v>
          </cell>
          <cell r="B311" t="str">
            <v>Huiles et Graisse</v>
          </cell>
        </row>
        <row r="312">
          <cell r="A312" t="str">
            <v>PiècesSous-total Pièces et Acc.</v>
          </cell>
          <cell r="B312" t="str">
            <v>Sous-total Pièces et Acc.</v>
          </cell>
        </row>
        <row r="313">
          <cell r="A313" t="str">
            <v>Pièces</v>
          </cell>
        </row>
        <row r="314">
          <cell r="A314" t="str">
            <v>Pièces</v>
          </cell>
        </row>
        <row r="315">
          <cell r="A315" t="str">
            <v>PiècesAutostock</v>
          </cell>
          <cell r="B315" t="str">
            <v>Autostock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B317" t="str">
            <v>Total Dépt. Pièces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  <cell r="B320" t="str">
            <v>DEPENSES</v>
          </cell>
        </row>
        <row r="321">
          <cell r="A321" t="str">
            <v>PiècesSalaires cadres</v>
          </cell>
          <cell r="B321" t="str">
            <v>Salaires cadres</v>
          </cell>
        </row>
        <row r="322">
          <cell r="A322" t="str">
            <v>PiècesSalaires commis</v>
          </cell>
          <cell r="B322" t="str">
            <v>Salaires commis</v>
          </cell>
        </row>
        <row r="323">
          <cell r="A323" t="str">
            <v>PiècesSalaires autres</v>
          </cell>
          <cell r="B323" t="str">
            <v>Salaires autres</v>
          </cell>
        </row>
        <row r="324">
          <cell r="A324" t="str">
            <v>PiècesSalaires spécialistes</v>
          </cell>
          <cell r="B324" t="str">
            <v>Salaires spécialistes</v>
          </cell>
        </row>
        <row r="325">
          <cell r="A325" t="str">
            <v>Pièces[...]</v>
          </cell>
          <cell r="B325" t="str">
            <v>[...]</v>
          </cell>
        </row>
        <row r="326">
          <cell r="A326" t="str">
            <v>Pièces[...]</v>
          </cell>
          <cell r="B326" t="str">
            <v>[...]</v>
          </cell>
        </row>
        <row r="327">
          <cell r="A327" t="str">
            <v>Pièces[...]</v>
          </cell>
          <cell r="B327" t="str">
            <v>[...]</v>
          </cell>
        </row>
        <row r="328">
          <cell r="A328" t="str">
            <v>PiècesSalaires en absences</v>
          </cell>
          <cell r="B328" t="str">
            <v>Salaires en absences</v>
          </cell>
        </row>
        <row r="329">
          <cell r="A329" t="str">
            <v>PiècesDéduction à la source</v>
          </cell>
          <cell r="B329" t="str">
            <v>Déduction à la source</v>
          </cell>
        </row>
        <row r="330">
          <cell r="A330" t="str">
            <v>PiècesBénéfices marginaux</v>
          </cell>
          <cell r="B330" t="str">
            <v>Bénéfices marginaux</v>
          </cell>
        </row>
        <row r="331">
          <cell r="A331" t="str">
            <v>PiècesCsst</v>
          </cell>
          <cell r="B331" t="str">
            <v>Csst</v>
          </cell>
        </row>
        <row r="332">
          <cell r="A332" t="str">
            <v>Pièces[...]</v>
          </cell>
          <cell r="B332" t="str">
            <v>[...]</v>
          </cell>
        </row>
        <row r="333">
          <cell r="A333" t="str">
            <v>PiècesTOTAL PERSONNEL</v>
          </cell>
          <cell r="B333" t="str">
            <v>TOTAL PERSONNEL</v>
          </cell>
        </row>
        <row r="334">
          <cell r="A334" t="str">
            <v>PiècesPublicité 2</v>
          </cell>
          <cell r="B334" t="str">
            <v>Publicité 2</v>
          </cell>
        </row>
        <row r="335">
          <cell r="A335" t="str">
            <v>PiècesService gratuit 2</v>
          </cell>
          <cell r="B335" t="str">
            <v>Service gratuit 2</v>
          </cell>
        </row>
        <row r="336">
          <cell r="A336" t="str">
            <v>PiècesFrais véhicules de cie</v>
          </cell>
          <cell r="B336" t="str">
            <v>Frais véhicules de cie</v>
          </cell>
        </row>
        <row r="337">
          <cell r="A337" t="str">
            <v>PiècesInformatique</v>
          </cell>
          <cell r="B337" t="str">
            <v>Informatique</v>
          </cell>
        </row>
        <row r="338">
          <cell r="A338" t="str">
            <v>PiècesFrais de déplacement</v>
          </cell>
          <cell r="B338" t="str">
            <v>Frais de déplacement</v>
          </cell>
        </row>
        <row r="339">
          <cell r="A339" t="str">
            <v>PiècesServices extérieurs</v>
          </cell>
          <cell r="B339" t="str">
            <v>Services extérieurs</v>
          </cell>
        </row>
        <row r="340">
          <cell r="A340" t="str">
            <v>PiècesFournitures d'atelier</v>
          </cell>
          <cell r="B340" t="str">
            <v>Fournitures d'atelier</v>
          </cell>
        </row>
        <row r="341">
          <cell r="A341" t="str">
            <v>PiècesFournitures autres</v>
          </cell>
          <cell r="B341" t="str">
            <v>Fournitures autres</v>
          </cell>
        </row>
        <row r="342">
          <cell r="A342" t="str">
            <v>PiècesUniformes</v>
          </cell>
          <cell r="B342" t="str">
            <v>Uniformes</v>
          </cell>
        </row>
        <row r="343">
          <cell r="A343" t="str">
            <v>PiècesPapeterie</v>
          </cell>
          <cell r="B343" t="str">
            <v>Papeterie</v>
          </cell>
        </row>
        <row r="344">
          <cell r="A344" t="str">
            <v>PiècesTéléphone</v>
          </cell>
          <cell r="B344" t="str">
            <v>Téléphone</v>
          </cell>
        </row>
        <row r="345">
          <cell r="A345" t="str">
            <v>PiècesFrais postaux</v>
          </cell>
          <cell r="B345" t="str">
            <v>Frais postaux</v>
          </cell>
        </row>
        <row r="346">
          <cell r="A346" t="str">
            <v>PiècesDivers</v>
          </cell>
          <cell r="B346" t="str">
            <v>Divers</v>
          </cell>
        </row>
        <row r="347">
          <cell r="A347" t="str">
            <v>PiècesFormation</v>
          </cell>
          <cell r="B347" t="str">
            <v>Formation</v>
          </cell>
        </row>
        <row r="348">
          <cell r="A348" t="str">
            <v>PiècesFrais bancaires</v>
          </cell>
          <cell r="B348" t="str">
            <v>Frais bancaires</v>
          </cell>
        </row>
        <row r="349">
          <cell r="A349" t="str">
            <v>Pièces[...]</v>
          </cell>
          <cell r="B349" t="str">
            <v>[...]</v>
          </cell>
        </row>
        <row r="350">
          <cell r="A350" t="str">
            <v>Pièces[...]</v>
          </cell>
          <cell r="B350" t="str">
            <v>[...]</v>
          </cell>
        </row>
        <row r="351">
          <cell r="A351" t="str">
            <v>Pièces[...]</v>
          </cell>
          <cell r="B351" t="str">
            <v>[...]</v>
          </cell>
        </row>
        <row r="352">
          <cell r="A352" t="str">
            <v>PiècesTOTAL SEMI-FIXES</v>
          </cell>
          <cell r="B352" t="str">
            <v>TOTAL SEMI-FIXES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B354" t="str">
            <v>TOTAL DES DÉPENSES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B356" t="str">
            <v>PROFIT DÉPARTEMENTAL</v>
          </cell>
        </row>
        <row r="359">
          <cell r="B359" t="str">
            <v>Budget 2025</v>
          </cell>
          <cell r="C359" t="str">
            <v>Boutique</v>
          </cell>
        </row>
        <row r="361">
          <cell r="B361" t="str">
            <v>Mois</v>
          </cell>
        </row>
        <row r="363">
          <cell r="A363" t="str">
            <v>BoutiqueBoutique</v>
          </cell>
          <cell r="B363" t="str">
            <v>Boutique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B365" t="str">
            <v>Total Dépt. Boutique</v>
          </cell>
        </row>
        <row r="366">
          <cell r="A366" t="str">
            <v>Boutique</v>
          </cell>
        </row>
        <row r="367">
          <cell r="A367" t="str">
            <v>BoutiqueDEPENSES</v>
          </cell>
          <cell r="B367" t="str">
            <v>DEPENSES</v>
          </cell>
        </row>
        <row r="368">
          <cell r="A368" t="str">
            <v>BoutiqueSalaires cadres</v>
          </cell>
          <cell r="B368" t="str">
            <v>Salaires cadres</v>
          </cell>
        </row>
        <row r="369">
          <cell r="A369" t="str">
            <v>BoutiqueSalaires commis</v>
          </cell>
          <cell r="B369" t="str">
            <v>Salaires commis</v>
          </cell>
        </row>
        <row r="370">
          <cell r="A370" t="str">
            <v>BoutiqueSalaires autres</v>
          </cell>
          <cell r="B370" t="str">
            <v>Salaires autres</v>
          </cell>
        </row>
        <row r="371">
          <cell r="A371" t="str">
            <v>BoutiqueSalaires spécialistes</v>
          </cell>
          <cell r="B371" t="str">
            <v>Salaires spécialistes</v>
          </cell>
        </row>
        <row r="372">
          <cell r="A372" t="str">
            <v>Boutique[...]</v>
          </cell>
          <cell r="B372" t="str">
            <v>[...]</v>
          </cell>
        </row>
        <row r="373">
          <cell r="A373" t="str">
            <v>Boutique[...]</v>
          </cell>
          <cell r="B373" t="str">
            <v>[...]</v>
          </cell>
        </row>
        <row r="374">
          <cell r="A374" t="str">
            <v>Boutique[...]</v>
          </cell>
          <cell r="B374" t="str">
            <v>[...]</v>
          </cell>
        </row>
        <row r="375">
          <cell r="A375" t="str">
            <v>BoutiqueSalaires en absences</v>
          </cell>
          <cell r="B375" t="str">
            <v>Salaires en absences</v>
          </cell>
        </row>
        <row r="376">
          <cell r="A376" t="str">
            <v>BoutiqueDéduction à la source</v>
          </cell>
          <cell r="B376" t="str">
            <v>Déduction à la source</v>
          </cell>
        </row>
        <row r="377">
          <cell r="A377" t="str">
            <v>BoutiqueBénéfices marginaux</v>
          </cell>
          <cell r="B377" t="str">
            <v>Bénéfices marginaux</v>
          </cell>
        </row>
        <row r="378">
          <cell r="A378" t="str">
            <v>BoutiqueCsst</v>
          </cell>
          <cell r="B378" t="str">
            <v>Csst</v>
          </cell>
        </row>
        <row r="379">
          <cell r="A379" t="str">
            <v>Boutique[...]</v>
          </cell>
          <cell r="B379" t="str">
            <v>[...]</v>
          </cell>
        </row>
        <row r="380">
          <cell r="A380" t="str">
            <v>BoutiqueTOTAL PERSONNEL</v>
          </cell>
          <cell r="B380" t="str">
            <v>TOTAL PERSONNEL</v>
          </cell>
        </row>
        <row r="381">
          <cell r="A381" t="str">
            <v>BoutiquePublicité 2</v>
          </cell>
          <cell r="B381" t="str">
            <v>Publicité 2</v>
          </cell>
        </row>
        <row r="382">
          <cell r="A382" t="str">
            <v>BoutiqueService gratuit 2</v>
          </cell>
          <cell r="B382" t="str">
            <v>Service gratuit 2</v>
          </cell>
        </row>
        <row r="383">
          <cell r="A383" t="str">
            <v>BoutiqueFrais véhicules de cie</v>
          </cell>
          <cell r="B383" t="str">
            <v>Frais véhicules de cie</v>
          </cell>
        </row>
        <row r="384">
          <cell r="A384" t="str">
            <v>BoutiqueInformatique</v>
          </cell>
          <cell r="B384" t="str">
            <v>Informatique</v>
          </cell>
        </row>
        <row r="385">
          <cell r="A385" t="str">
            <v>BoutiqueFrais de déplacement</v>
          </cell>
          <cell r="B385" t="str">
            <v>Frais de déplacement</v>
          </cell>
        </row>
        <row r="386">
          <cell r="A386" t="str">
            <v>BoutiqueServices extérieurs</v>
          </cell>
          <cell r="B386" t="str">
            <v>Services extérieurs</v>
          </cell>
        </row>
        <row r="387">
          <cell r="A387" t="str">
            <v>BoutiqueFournitures autres</v>
          </cell>
          <cell r="B387" t="str">
            <v>Fournitures autres</v>
          </cell>
        </row>
        <row r="388">
          <cell r="A388" t="str">
            <v>BoutiqueUniformes</v>
          </cell>
          <cell r="B388" t="str">
            <v>Uniformes</v>
          </cell>
        </row>
        <row r="389">
          <cell r="A389" t="str">
            <v>BoutiquePapeterie</v>
          </cell>
          <cell r="B389" t="str">
            <v>Papeterie</v>
          </cell>
        </row>
        <row r="390">
          <cell r="A390" t="str">
            <v>BoutiqueTéléphone</v>
          </cell>
          <cell r="B390" t="str">
            <v>Téléphone</v>
          </cell>
        </row>
        <row r="391">
          <cell r="A391" t="str">
            <v>BoutiqueFrais postaux</v>
          </cell>
          <cell r="B391" t="str">
            <v>Frais postaux</v>
          </cell>
        </row>
        <row r="392">
          <cell r="A392" t="str">
            <v>BoutiqueDivers</v>
          </cell>
          <cell r="B392" t="str">
            <v>Divers</v>
          </cell>
        </row>
        <row r="393">
          <cell r="A393" t="str">
            <v>BoutiqueFormation</v>
          </cell>
          <cell r="B393" t="str">
            <v>Formation</v>
          </cell>
        </row>
        <row r="394">
          <cell r="A394" t="str">
            <v>BoutiqueFrais bancaires</v>
          </cell>
          <cell r="B394" t="str">
            <v>Frais bancaires</v>
          </cell>
        </row>
        <row r="395">
          <cell r="A395" t="str">
            <v>Boutique[...]</v>
          </cell>
          <cell r="B395" t="str">
            <v>[...]</v>
          </cell>
        </row>
        <row r="396">
          <cell r="A396" t="str">
            <v>Boutique[...]</v>
          </cell>
          <cell r="B396" t="str">
            <v>[...]</v>
          </cell>
        </row>
        <row r="397">
          <cell r="A397" t="str">
            <v>Boutique[...]</v>
          </cell>
          <cell r="B397" t="str">
            <v>[...]</v>
          </cell>
        </row>
        <row r="398">
          <cell r="A398" t="str">
            <v>BoutiqueTOTAL SEMI-FIXES</v>
          </cell>
          <cell r="B398" t="str">
            <v>TOTAL SEMI-FIXES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B400" t="str">
            <v>TOTAL DES DÉPENSES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B402" t="str">
            <v>PROFIT DÉPARTEMENTAL</v>
          </cell>
        </row>
        <row r="405">
          <cell r="B405" t="str">
            <v>Budget 2025</v>
          </cell>
          <cell r="C405" t="str">
            <v>TOTAL  DES  REVENUS  ET  DÉPENSES</v>
          </cell>
        </row>
        <row r="407">
          <cell r="B407" t="str">
            <v>Mois</v>
          </cell>
        </row>
        <row r="409">
          <cell r="A409" t="str">
            <v>Ventes nettes</v>
          </cell>
          <cell r="B409" t="str">
            <v>Ventes nettes</v>
          </cell>
        </row>
        <row r="410">
          <cell r="A410" t="str">
            <v>Profit brut</v>
          </cell>
          <cell r="B410" t="str">
            <v>Profit brut</v>
          </cell>
        </row>
        <row r="411">
          <cell r="A411" t="str">
            <v>DÉPENSES</v>
          </cell>
          <cell r="B411" t="str">
            <v>DÉPENSES</v>
          </cell>
        </row>
        <row r="412">
          <cell r="A412" t="str">
            <v>Comm. vendeurs</v>
          </cell>
          <cell r="B412" t="str">
            <v>Comm. vendeurs</v>
          </cell>
        </row>
        <row r="413">
          <cell r="A413" t="str">
            <v>Comm. F&amp;I</v>
          </cell>
          <cell r="B413" t="str">
            <v>Comm. F&amp;I</v>
          </cell>
        </row>
        <row r="414">
          <cell r="A414" t="str">
            <v>Frais de livraison</v>
          </cell>
          <cell r="B414" t="str">
            <v>Frais de livraison</v>
          </cell>
        </row>
        <row r="415">
          <cell r="A415" t="str">
            <v>Service gratuit 1</v>
          </cell>
          <cell r="B415" t="str">
            <v>Service gratuit 1</v>
          </cell>
        </row>
        <row r="416">
          <cell r="A416" t="str">
            <v>Entretien stock</v>
          </cell>
          <cell r="B416" t="str">
            <v>Entretien stock</v>
          </cell>
        </row>
        <row r="417">
          <cell r="A417" t="str">
            <v>Publicité 1</v>
          </cell>
          <cell r="B417" t="str">
            <v>Publicité 1</v>
          </cell>
        </row>
        <row r="418">
          <cell r="A418" t="str">
            <v>Intérêt de gros</v>
          </cell>
          <cell r="B418" t="str">
            <v>Intérêt de gros</v>
          </cell>
        </row>
        <row r="419">
          <cell r="A419" t="str">
            <v>[...]</v>
          </cell>
          <cell r="B419" t="str">
            <v>[...]</v>
          </cell>
        </row>
        <row r="420">
          <cell r="A420" t="str">
            <v>[...]</v>
          </cell>
          <cell r="B420" t="str">
            <v>[...]</v>
          </cell>
        </row>
        <row r="421">
          <cell r="A421" t="str">
            <v>[...]</v>
          </cell>
          <cell r="B421" t="str">
            <v>[...]</v>
          </cell>
        </row>
        <row r="422">
          <cell r="A422" t="str">
            <v>TOTAL VARIABLES</v>
          </cell>
          <cell r="B422" t="str">
            <v>TOTAL VARIABLES</v>
          </cell>
        </row>
        <row r="423">
          <cell r="A423" t="str">
            <v>Salaires propriétaire</v>
          </cell>
          <cell r="B423" t="str">
            <v>Salaires propriétaire</v>
          </cell>
        </row>
        <row r="424">
          <cell r="A424" t="str">
            <v>Salaires cadres</v>
          </cell>
          <cell r="B424" t="str">
            <v>Salaires cadres</v>
          </cell>
        </row>
        <row r="425">
          <cell r="A425" t="str">
            <v>Salaires commis</v>
          </cell>
          <cell r="B425" t="str">
            <v>Salaires commis</v>
          </cell>
        </row>
        <row r="426">
          <cell r="A426" t="str">
            <v>Salaires autres</v>
          </cell>
          <cell r="B426" t="str">
            <v>Salaires autres</v>
          </cell>
        </row>
        <row r="427">
          <cell r="A427" t="str">
            <v>Salaires spécialistes</v>
          </cell>
          <cell r="B427" t="str">
            <v>Salaires spécialistes</v>
          </cell>
        </row>
        <row r="428">
          <cell r="A428" t="str">
            <v>[...]</v>
          </cell>
          <cell r="B428" t="str">
            <v>[...]</v>
          </cell>
        </row>
        <row r="429">
          <cell r="A429" t="str">
            <v>[...]</v>
          </cell>
          <cell r="B429" t="str">
            <v>[...]</v>
          </cell>
        </row>
        <row r="430">
          <cell r="A430" t="str">
            <v>[...]</v>
          </cell>
          <cell r="B430" t="str">
            <v>[...]</v>
          </cell>
        </row>
        <row r="431">
          <cell r="A431" t="str">
            <v>Salaires en absences</v>
          </cell>
          <cell r="B431" t="str">
            <v>Salaires en absences</v>
          </cell>
        </row>
        <row r="432">
          <cell r="A432" t="str">
            <v>Déduction à la source</v>
          </cell>
          <cell r="B432" t="str">
            <v>Déduction à la source</v>
          </cell>
        </row>
        <row r="433">
          <cell r="A433" t="str">
            <v>Bénéfices marginaux</v>
          </cell>
          <cell r="B433" t="str">
            <v>Bénéfices marginaux</v>
          </cell>
        </row>
        <row r="434">
          <cell r="A434" t="str">
            <v>Csst</v>
          </cell>
          <cell r="B434" t="str">
            <v>Csst</v>
          </cell>
        </row>
        <row r="435">
          <cell r="A435" t="str">
            <v>[...]</v>
          </cell>
          <cell r="B435" t="str">
            <v>[...]</v>
          </cell>
        </row>
        <row r="436">
          <cell r="A436" t="str">
            <v>TOTAL PERSONNEL</v>
          </cell>
          <cell r="B436" t="str">
            <v>TOTAL PERSONNEL</v>
          </cell>
        </row>
        <row r="437">
          <cell r="A437" t="str">
            <v>Publicité 2</v>
          </cell>
          <cell r="B437" t="str">
            <v>Publicité 2</v>
          </cell>
        </row>
        <row r="438">
          <cell r="A438" t="str">
            <v>Service gratuit 2</v>
          </cell>
          <cell r="B438" t="str">
            <v>Service gratuit 2</v>
          </cell>
        </row>
        <row r="439">
          <cell r="A439" t="str">
            <v>Frais véhicules de cie</v>
          </cell>
          <cell r="B439" t="str">
            <v>Frais véhicules de cie</v>
          </cell>
        </row>
        <row r="440">
          <cell r="A440" t="str">
            <v>Informatique</v>
          </cell>
          <cell r="B440" t="str">
            <v>Informatique</v>
          </cell>
        </row>
        <row r="441">
          <cell r="A441" t="str">
            <v>Frais de déplacement</v>
          </cell>
          <cell r="B441" t="str">
            <v>Frais de déplacement</v>
          </cell>
        </row>
        <row r="442">
          <cell r="A442" t="str">
            <v>Services extérieurs</v>
          </cell>
          <cell r="B442" t="str">
            <v>Services extérieurs</v>
          </cell>
        </row>
        <row r="443">
          <cell r="B443" t="str">
            <v>Fournitures d'atelier</v>
          </cell>
        </row>
        <row r="444">
          <cell r="A444" t="str">
            <v>Fournitures autres</v>
          </cell>
          <cell r="B444" t="str">
            <v>Fournitures autres</v>
          </cell>
        </row>
        <row r="445">
          <cell r="A445" t="str">
            <v>Uniformes</v>
          </cell>
          <cell r="B445" t="str">
            <v>Uniformes</v>
          </cell>
        </row>
        <row r="446">
          <cell r="A446" t="str">
            <v>Papeterie</v>
          </cell>
          <cell r="B446" t="str">
            <v>Papeterie</v>
          </cell>
        </row>
        <row r="447">
          <cell r="A447" t="str">
            <v>Téléphone</v>
          </cell>
          <cell r="B447" t="str">
            <v>Téléphone</v>
          </cell>
        </row>
        <row r="448">
          <cell r="A448" t="str">
            <v>Frais postaux</v>
          </cell>
          <cell r="B448" t="str">
            <v>Frais postaux</v>
          </cell>
        </row>
        <row r="449">
          <cell r="A449" t="str">
            <v>Divers</v>
          </cell>
          <cell r="B449" t="str">
            <v>Divers</v>
          </cell>
        </row>
        <row r="450">
          <cell r="A450" t="str">
            <v>Formation</v>
          </cell>
          <cell r="B450" t="str">
            <v>Formation</v>
          </cell>
        </row>
        <row r="451">
          <cell r="A451" t="str">
            <v>Frais bancaires</v>
          </cell>
          <cell r="B451" t="str">
            <v>Frais bancaires</v>
          </cell>
        </row>
        <row r="452">
          <cell r="A452" t="str">
            <v>[...]</v>
          </cell>
          <cell r="B452" t="str">
            <v>[...]</v>
          </cell>
        </row>
        <row r="453">
          <cell r="A453" t="str">
            <v>[...]</v>
          </cell>
          <cell r="B453" t="str">
            <v>[...]</v>
          </cell>
        </row>
        <row r="454">
          <cell r="A454" t="str">
            <v>[...]</v>
          </cell>
          <cell r="B454" t="str">
            <v>[...]</v>
          </cell>
        </row>
        <row r="455">
          <cell r="A455" t="str">
            <v>TOTAL SEMI-FIXES</v>
          </cell>
          <cell r="B455" t="str">
            <v>TOTAL SEMI-FIXES</v>
          </cell>
        </row>
        <row r="456">
          <cell r="A456" t="str">
            <v>Loyer</v>
          </cell>
          <cell r="B456" t="str">
            <v>Loyer</v>
          </cell>
        </row>
        <row r="457">
          <cell r="A457" t="str">
            <v>Taxes foncières</v>
          </cell>
          <cell r="B457" t="str">
            <v>Taxes foncières</v>
          </cell>
        </row>
        <row r="458">
          <cell r="A458" t="str">
            <v>Taxes d`affaires</v>
          </cell>
          <cell r="B458" t="str">
            <v>Taxes d`affaires</v>
          </cell>
        </row>
        <row r="459">
          <cell r="A459" t="str">
            <v>Taxe sur le capital</v>
          </cell>
          <cell r="B459" t="str">
            <v>Taxe sur le capital</v>
          </cell>
        </row>
        <row r="460">
          <cell r="A460" t="str">
            <v>Assurances</v>
          </cell>
          <cell r="B460" t="str">
            <v>Assurances</v>
          </cell>
        </row>
        <row r="461">
          <cell r="A461" t="str">
            <v>Chauffage, éclairage</v>
          </cell>
          <cell r="B461" t="str">
            <v>Chauffage, éclairage</v>
          </cell>
        </row>
        <row r="462">
          <cell r="A462" t="str">
            <v>Honoraires</v>
          </cell>
          <cell r="B462" t="str">
            <v>Honoraires</v>
          </cell>
        </row>
        <row r="463">
          <cell r="A463" t="str">
            <v>Réparation équipement</v>
          </cell>
          <cell r="B463" t="str">
            <v>Réparation équipement</v>
          </cell>
        </row>
        <row r="464">
          <cell r="A464" t="str">
            <v>Location équipement</v>
          </cell>
          <cell r="B464" t="str">
            <v>Location équipement</v>
          </cell>
        </row>
        <row r="465">
          <cell r="A465" t="str">
            <v>Dons</v>
          </cell>
          <cell r="B465" t="str">
            <v>Dons</v>
          </cell>
        </row>
        <row r="466">
          <cell r="A466" t="str">
            <v>[...]</v>
          </cell>
          <cell r="B466" t="str">
            <v>[...]</v>
          </cell>
        </row>
        <row r="467">
          <cell r="A467" t="str">
            <v>[...]</v>
          </cell>
          <cell r="B467" t="str">
            <v>[...]</v>
          </cell>
        </row>
        <row r="468">
          <cell r="A468" t="str">
            <v>[...]</v>
          </cell>
          <cell r="B468" t="str">
            <v>[...]</v>
          </cell>
        </row>
        <row r="469">
          <cell r="A469" t="str">
            <v>TOTAL DÉPENSES FIXES</v>
          </cell>
          <cell r="B469" t="str">
            <v>TOTAL DÉPENSES FIXES</v>
          </cell>
        </row>
        <row r="470">
          <cell r="A470">
            <v>0</v>
          </cell>
        </row>
        <row r="471">
          <cell r="A471" t="str">
            <v>TOTAL DES DÉPENSES</v>
          </cell>
          <cell r="B471" t="str">
            <v>TOTAL DES DÉPENSES</v>
          </cell>
        </row>
        <row r="472">
          <cell r="A472" t="str">
            <v>Revenus autres</v>
          </cell>
          <cell r="B472" t="str">
            <v>Revenus autres</v>
          </cell>
        </row>
        <row r="473">
          <cell r="A473" t="str">
            <v>Holdbacks</v>
          </cell>
          <cell r="B473" t="str">
            <v>Holdbacks</v>
          </cell>
        </row>
        <row r="474">
          <cell r="A474" t="str">
            <v>Programme neuf 1</v>
          </cell>
          <cell r="B474" t="str">
            <v>Programme neuf 1</v>
          </cell>
        </row>
        <row r="475">
          <cell r="A475" t="str">
            <v>Programme neuf 2</v>
          </cell>
          <cell r="B475" t="str">
            <v>Programme neuf 2</v>
          </cell>
        </row>
        <row r="476">
          <cell r="A476" t="str">
            <v>Programme neuf 3</v>
          </cell>
          <cell r="B476" t="str">
            <v>Programme neuf 3</v>
          </cell>
        </row>
        <row r="477">
          <cell r="A477" t="str">
            <v>Programme used 1</v>
          </cell>
          <cell r="B477" t="str">
            <v>Programme used 1</v>
          </cell>
        </row>
        <row r="478">
          <cell r="A478" t="str">
            <v>Programme used 2</v>
          </cell>
          <cell r="B478" t="str">
            <v>Programme used 2</v>
          </cell>
        </row>
        <row r="479">
          <cell r="A479" t="str">
            <v>Programme used 3</v>
          </cell>
          <cell r="B479" t="str">
            <v>Programme used 3</v>
          </cell>
        </row>
        <row r="480">
          <cell r="A480" t="str">
            <v>[...]</v>
          </cell>
          <cell r="B480" t="str">
            <v>[...]</v>
          </cell>
        </row>
        <row r="481">
          <cell r="A481" t="str">
            <v>[...]</v>
          </cell>
          <cell r="B481" t="str">
            <v>[...]</v>
          </cell>
        </row>
        <row r="482">
          <cell r="A482" t="str">
            <v>[...]</v>
          </cell>
          <cell r="B482" t="str">
            <v>[...]</v>
          </cell>
        </row>
        <row r="483">
          <cell r="A483" t="str">
            <v>Frais administration</v>
          </cell>
          <cell r="B483" t="str">
            <v>Frais administration</v>
          </cell>
        </row>
        <row r="484">
          <cell r="A484" t="str">
            <v>TOTAL AUTRES REVENUS</v>
          </cell>
          <cell r="B484" t="str">
            <v>TOTAL AUTRES REVENUS</v>
          </cell>
        </row>
        <row r="485">
          <cell r="A485">
            <v>0</v>
          </cell>
        </row>
        <row r="486">
          <cell r="A486" t="str">
            <v>BAIIA OPÉRATIONNEL</v>
          </cell>
          <cell r="B486" t="str">
            <v>BAIIA OPÉRATIONNEL</v>
          </cell>
        </row>
        <row r="488">
          <cell r="B488" t="str">
            <v>Budget 2025</v>
          </cell>
          <cell r="C488" t="str">
            <v>CALCUL DU PROFIT NET</v>
          </cell>
        </row>
        <row r="492">
          <cell r="B492" t="str">
            <v>BAIIA OPÉRATIONNEL</v>
          </cell>
        </row>
        <row r="494">
          <cell r="A494" t="str">
            <v>Amortissement</v>
          </cell>
          <cell r="B494" t="str">
            <v>Amortissement</v>
          </cell>
        </row>
        <row r="495">
          <cell r="A495" t="str">
            <v>Intérêts sur marge</v>
          </cell>
          <cell r="B495" t="str">
            <v>Intérêts sur marge</v>
          </cell>
        </row>
        <row r="496">
          <cell r="A496" t="str">
            <v>Intérêts sur prêt</v>
          </cell>
          <cell r="B496" t="str">
            <v>Intérêts sur prêt</v>
          </cell>
        </row>
        <row r="497">
          <cell r="A497" t="str">
            <v>Intérêts sur avance</v>
          </cell>
          <cell r="B497" t="str">
            <v>Intérêts sur avance</v>
          </cell>
        </row>
        <row r="498">
          <cell r="A498" t="str">
            <v>[...]</v>
          </cell>
          <cell r="B498" t="str">
            <v>[...]</v>
          </cell>
        </row>
        <row r="499">
          <cell r="A499" t="str">
            <v>Revenus d'intérêts floor plan</v>
          </cell>
          <cell r="B499" t="str">
            <v>Revenus d'intérêts floor plan</v>
          </cell>
        </row>
        <row r="500">
          <cell r="A500" t="str">
            <v>[...]</v>
          </cell>
          <cell r="B500" t="str">
            <v>[...]</v>
          </cell>
        </row>
        <row r="501">
          <cell r="B501" t="str">
            <v>Profit Net</v>
          </cell>
        </row>
      </sheetData>
      <sheetData sheetId="3"/>
      <sheetData sheetId="4"/>
      <sheetData sheetId="5"/>
      <sheetData sheetId="6"/>
      <sheetData sheetId="7"/>
      <sheetData sheetId="8">
        <row r="544">
          <cell r="V544" t="str">
            <v>Assurances</v>
          </cell>
        </row>
      </sheetData>
      <sheetData sheetId="9"/>
      <sheetData sheetId="10"/>
      <sheetData sheetId="11"/>
      <sheetData sheetId="12"/>
      <sheetData sheetId="13">
        <row r="2">
          <cell r="AM2" t="str">
            <v>Solde courant</v>
          </cell>
          <cell r="AQ2" t="str">
            <v>Classification</v>
          </cell>
          <cell r="AR2" t="str">
            <v>$ / NB</v>
          </cell>
          <cell r="AS2" t="str">
            <v>Ventes</v>
          </cell>
          <cell r="AW2" t="str">
            <v>Solde courant</v>
          </cell>
          <cell r="AY2" t="str">
            <v>$ / NB</v>
          </cell>
        </row>
        <row r="3">
          <cell r="AM3">
            <v>0</v>
          </cell>
          <cell r="AP3" t="e">
            <v>#N/A</v>
          </cell>
          <cell r="AQ3" t="e">
            <v>#N/A</v>
          </cell>
          <cell r="AR3" t="str">
            <v>$</v>
          </cell>
          <cell r="AS3" t="e">
            <v>#N/A</v>
          </cell>
          <cell r="AW3">
            <v>0</v>
          </cell>
          <cell r="AY3" t="str">
            <v>NB</v>
          </cell>
        </row>
        <row r="4">
          <cell r="AM4">
            <v>0</v>
          </cell>
          <cell r="AP4" t="e">
            <v>#N/A</v>
          </cell>
          <cell r="AQ4" t="e">
            <v>#N/A</v>
          </cell>
          <cell r="AR4" t="str">
            <v>$</v>
          </cell>
          <cell r="AS4" t="e">
            <v>#N/A</v>
          </cell>
          <cell r="AW4">
            <v>0</v>
          </cell>
          <cell r="AY4" t="str">
            <v>NB</v>
          </cell>
        </row>
        <row r="5">
          <cell r="AM5">
            <v>42743.949999999953</v>
          </cell>
          <cell r="AP5" t="str">
            <v>Véhicules neufs</v>
          </cell>
          <cell r="AQ5" t="str">
            <v>Comm. vendeurs</v>
          </cell>
          <cell r="AR5" t="str">
            <v>$</v>
          </cell>
          <cell r="AS5">
            <v>0</v>
          </cell>
          <cell r="AW5">
            <v>0</v>
          </cell>
          <cell r="AY5" t="str">
            <v>NB</v>
          </cell>
        </row>
        <row r="6">
          <cell r="AM6">
            <v>2367.75</v>
          </cell>
          <cell r="AP6" t="str">
            <v>Véhicules usagés</v>
          </cell>
          <cell r="AQ6" t="str">
            <v>Comm. vendeurs</v>
          </cell>
          <cell r="AR6" t="str">
            <v>$</v>
          </cell>
          <cell r="AS6">
            <v>0</v>
          </cell>
          <cell r="AW6">
            <v>0</v>
          </cell>
          <cell r="AY6" t="str">
            <v>NB</v>
          </cell>
        </row>
        <row r="7">
          <cell r="AM7">
            <v>10079</v>
          </cell>
          <cell r="AP7" t="str">
            <v>Wholesale autres</v>
          </cell>
          <cell r="AQ7" t="str">
            <v>Comm. vendeurs</v>
          </cell>
          <cell r="AR7" t="str">
            <v>$</v>
          </cell>
          <cell r="AS7">
            <v>0</v>
          </cell>
          <cell r="AW7">
            <v>0</v>
          </cell>
          <cell r="AY7" t="str">
            <v>NB</v>
          </cell>
        </row>
        <row r="8">
          <cell r="AM8">
            <v>-3372.7599999999802</v>
          </cell>
          <cell r="AP8" t="str">
            <v>Véhicules neufs</v>
          </cell>
          <cell r="AQ8" t="str">
            <v>Frais de livraison</v>
          </cell>
          <cell r="AR8" t="str">
            <v>$</v>
          </cell>
          <cell r="AS8">
            <v>0</v>
          </cell>
          <cell r="AW8">
            <v>0</v>
          </cell>
          <cell r="AY8" t="str">
            <v>NB</v>
          </cell>
        </row>
        <row r="9">
          <cell r="AM9">
            <v>222.42000000000007</v>
          </cell>
          <cell r="AP9" t="str">
            <v>Véhicules usagés</v>
          </cell>
          <cell r="AQ9" t="str">
            <v>Frais de livraison</v>
          </cell>
          <cell r="AR9" t="str">
            <v>$</v>
          </cell>
          <cell r="AS9">
            <v>0</v>
          </cell>
          <cell r="AW9">
            <v>0</v>
          </cell>
          <cell r="AY9" t="str">
            <v>NB</v>
          </cell>
        </row>
        <row r="10">
          <cell r="AM10">
            <v>568.89999999999964</v>
          </cell>
          <cell r="AP10" t="str">
            <v>Wholesale autres</v>
          </cell>
          <cell r="AQ10" t="str">
            <v>Frais de livraison</v>
          </cell>
          <cell r="AR10" t="str">
            <v>$</v>
          </cell>
          <cell r="AS10">
            <v>0</v>
          </cell>
          <cell r="AW10">
            <v>0</v>
          </cell>
          <cell r="AY10" t="str">
            <v>NB</v>
          </cell>
        </row>
        <row r="11">
          <cell r="AM11">
            <v>0</v>
          </cell>
          <cell r="AP11" t="e">
            <v>#N/A</v>
          </cell>
          <cell r="AQ11" t="e">
            <v>#N/A</v>
          </cell>
          <cell r="AR11" t="str">
            <v>$</v>
          </cell>
          <cell r="AS11" t="e">
            <v>#N/A</v>
          </cell>
          <cell r="AW11">
            <v>0</v>
          </cell>
          <cell r="AY11" t="str">
            <v>NB</v>
          </cell>
        </row>
        <row r="12">
          <cell r="AM12">
            <v>0</v>
          </cell>
          <cell r="AP12" t="e">
            <v>#N/A</v>
          </cell>
          <cell r="AQ12" t="e">
            <v>#N/A</v>
          </cell>
          <cell r="AR12" t="str">
            <v>$</v>
          </cell>
          <cell r="AS12" t="e">
            <v>#N/A</v>
          </cell>
          <cell r="AW12">
            <v>0</v>
          </cell>
          <cell r="AY12" t="str">
            <v>NB</v>
          </cell>
        </row>
        <row r="13">
          <cell r="AM13">
            <v>2913.83</v>
          </cell>
          <cell r="AP13" t="str">
            <v>Véhicules neufs</v>
          </cell>
          <cell r="AQ13" t="str">
            <v>Entretien stock</v>
          </cell>
          <cell r="AR13" t="str">
            <v>$</v>
          </cell>
          <cell r="AS13">
            <v>0</v>
          </cell>
          <cell r="AW13">
            <v>0</v>
          </cell>
          <cell r="AY13" t="str">
            <v>NB</v>
          </cell>
        </row>
        <row r="14">
          <cell r="AM14">
            <v>88.550000000000011</v>
          </cell>
          <cell r="AP14" t="str">
            <v>Véhicules usagés</v>
          </cell>
          <cell r="AQ14" t="str">
            <v>Entretien stock</v>
          </cell>
          <cell r="AR14" t="str">
            <v>$</v>
          </cell>
          <cell r="AS14">
            <v>0</v>
          </cell>
          <cell r="AW14">
            <v>0</v>
          </cell>
          <cell r="AY14" t="str">
            <v>NB</v>
          </cell>
        </row>
        <row r="15">
          <cell r="AM15">
            <v>17.5</v>
          </cell>
          <cell r="AP15" t="str">
            <v>Wholesale autres</v>
          </cell>
          <cell r="AQ15" t="str">
            <v>Entretien stock</v>
          </cell>
          <cell r="AR15" t="str">
            <v>$</v>
          </cell>
          <cell r="AS15">
            <v>0</v>
          </cell>
          <cell r="AW15">
            <v>0</v>
          </cell>
          <cell r="AY15" t="str">
            <v>NB</v>
          </cell>
        </row>
        <row r="16">
          <cell r="AM16">
            <v>0</v>
          </cell>
          <cell r="AP16" t="str">
            <v>Véhicules neufs</v>
          </cell>
          <cell r="AQ16" t="str">
            <v>Service gratuit 1</v>
          </cell>
          <cell r="AR16" t="str">
            <v>$</v>
          </cell>
          <cell r="AS16">
            <v>0</v>
          </cell>
          <cell r="AW16">
            <v>0</v>
          </cell>
          <cell r="AY16" t="str">
            <v>NB</v>
          </cell>
        </row>
        <row r="17">
          <cell r="AM17">
            <v>1015.1000000000004</v>
          </cell>
          <cell r="AP17" t="str">
            <v>Véhicules usagés</v>
          </cell>
          <cell r="AQ17" t="str">
            <v>Service gratuit 1</v>
          </cell>
          <cell r="AR17" t="str">
            <v>$</v>
          </cell>
          <cell r="AS17">
            <v>0</v>
          </cell>
          <cell r="AW17">
            <v>0</v>
          </cell>
          <cell r="AY17" t="str">
            <v>NB</v>
          </cell>
        </row>
        <row r="18">
          <cell r="AM18">
            <v>0</v>
          </cell>
          <cell r="AP18" t="str">
            <v>Wholesale autres</v>
          </cell>
          <cell r="AQ18" t="str">
            <v>Service gratuit 1</v>
          </cell>
          <cell r="AR18" t="str">
            <v>$</v>
          </cell>
          <cell r="AS18">
            <v>0</v>
          </cell>
          <cell r="AW18">
            <v>0</v>
          </cell>
          <cell r="AY18" t="str">
            <v>NB</v>
          </cell>
        </row>
        <row r="19">
          <cell r="AM19">
            <v>-17386</v>
          </cell>
          <cell r="AP19" t="str">
            <v>Véhicules neufs</v>
          </cell>
          <cell r="AQ19" t="str">
            <v>Frais administration</v>
          </cell>
          <cell r="AR19" t="str">
            <v>$</v>
          </cell>
          <cell r="AS19">
            <v>0</v>
          </cell>
          <cell r="AW19">
            <v>0</v>
          </cell>
          <cell r="AY19" t="str">
            <v>NB</v>
          </cell>
        </row>
        <row r="20">
          <cell r="AM20">
            <v>-7124.3399999999965</v>
          </cell>
          <cell r="AP20" t="str">
            <v>Véhicules usagés</v>
          </cell>
          <cell r="AQ20" t="str">
            <v>Frais administration</v>
          </cell>
          <cell r="AR20" t="str">
            <v>$</v>
          </cell>
          <cell r="AS20">
            <v>0</v>
          </cell>
          <cell r="AW20">
            <v>0</v>
          </cell>
          <cell r="AY20" t="str">
            <v>NB</v>
          </cell>
        </row>
        <row r="21">
          <cell r="AM21">
            <v>0</v>
          </cell>
          <cell r="AP21" t="e">
            <v>#N/A</v>
          </cell>
          <cell r="AQ21" t="e">
            <v>#N/A</v>
          </cell>
          <cell r="AR21" t="str">
            <v>$</v>
          </cell>
          <cell r="AS21" t="e">
            <v>#N/A</v>
          </cell>
          <cell r="AW21">
            <v>0</v>
          </cell>
          <cell r="AY21" t="str">
            <v>NB</v>
          </cell>
        </row>
        <row r="22">
          <cell r="AM22">
            <v>0</v>
          </cell>
          <cell r="AP22" t="e">
            <v>#N/A</v>
          </cell>
          <cell r="AQ22" t="e">
            <v>#N/A</v>
          </cell>
          <cell r="AR22" t="str">
            <v>$</v>
          </cell>
          <cell r="AS22" t="e">
            <v>#N/A</v>
          </cell>
          <cell r="AW22">
            <v>0</v>
          </cell>
          <cell r="AY22" t="str">
            <v>NB</v>
          </cell>
        </row>
        <row r="23">
          <cell r="AM23">
            <v>4067.3099999999977</v>
          </cell>
          <cell r="AP23" t="str">
            <v>Véhicules neufs</v>
          </cell>
          <cell r="AQ23" t="str">
            <v>Salaires propriétaire</v>
          </cell>
          <cell r="AR23" t="str">
            <v>$</v>
          </cell>
          <cell r="AS23">
            <v>0</v>
          </cell>
          <cell r="AW23">
            <v>0</v>
          </cell>
          <cell r="AY23" t="str">
            <v>NB</v>
          </cell>
        </row>
        <row r="24">
          <cell r="AM24">
            <v>0</v>
          </cell>
          <cell r="AP24" t="e">
            <v>#N/A</v>
          </cell>
          <cell r="AQ24" t="e">
            <v>#N/A</v>
          </cell>
          <cell r="AR24" t="str">
            <v>$</v>
          </cell>
          <cell r="AS24" t="e">
            <v>#N/A</v>
          </cell>
          <cell r="AW24">
            <v>0</v>
          </cell>
          <cell r="AY24" t="str">
            <v>NB</v>
          </cell>
        </row>
        <row r="25">
          <cell r="AM25">
            <v>2711.5500000000029</v>
          </cell>
          <cell r="AP25" t="str">
            <v>Véhicules usagés</v>
          </cell>
          <cell r="AQ25" t="str">
            <v>Salaires propriétaire</v>
          </cell>
          <cell r="AR25" t="str">
            <v>$</v>
          </cell>
          <cell r="AS25">
            <v>0</v>
          </cell>
          <cell r="AW25">
            <v>0</v>
          </cell>
          <cell r="AY25" t="str">
            <v>NB</v>
          </cell>
        </row>
        <row r="26">
          <cell r="AM26">
            <v>4067.3099999999977</v>
          </cell>
          <cell r="AP26" t="str">
            <v>Service</v>
          </cell>
          <cell r="AQ26" t="str">
            <v>Salaires propriétaire</v>
          </cell>
          <cell r="AR26" t="str">
            <v>$</v>
          </cell>
          <cell r="AS26">
            <v>0</v>
          </cell>
          <cell r="AW26">
            <v>0</v>
          </cell>
          <cell r="AY26" t="str">
            <v>NB</v>
          </cell>
        </row>
        <row r="27">
          <cell r="AM27">
            <v>1355.7600000000002</v>
          </cell>
          <cell r="AP27" t="str">
            <v>Carrosserie</v>
          </cell>
          <cell r="AQ27" t="str">
            <v>Salaires propriétaire</v>
          </cell>
          <cell r="AR27" t="str">
            <v>$</v>
          </cell>
          <cell r="AS27">
            <v>0</v>
          </cell>
          <cell r="AW27">
            <v>0</v>
          </cell>
          <cell r="AY27" t="str">
            <v>NB</v>
          </cell>
        </row>
        <row r="28">
          <cell r="AM28">
            <v>1355.7799999999988</v>
          </cell>
          <cell r="AP28" t="str">
            <v>Pièces</v>
          </cell>
          <cell r="AQ28" t="str">
            <v>Salaires propriétaire</v>
          </cell>
          <cell r="AR28" t="str">
            <v>$</v>
          </cell>
          <cell r="AS28">
            <v>0</v>
          </cell>
          <cell r="AW28">
            <v>0</v>
          </cell>
          <cell r="AY28" t="str">
            <v>NB</v>
          </cell>
        </row>
        <row r="29">
          <cell r="AM29">
            <v>0</v>
          </cell>
          <cell r="AP29" t="e">
            <v>#N/A</v>
          </cell>
          <cell r="AQ29" t="e">
            <v>#N/A</v>
          </cell>
          <cell r="AR29" t="str">
            <v>$</v>
          </cell>
          <cell r="AS29" t="e">
            <v>#N/A</v>
          </cell>
          <cell r="AW29">
            <v>0</v>
          </cell>
          <cell r="AY29" t="str">
            <v>NB</v>
          </cell>
        </row>
        <row r="30">
          <cell r="AM30">
            <v>0</v>
          </cell>
          <cell r="AP30" t="e">
            <v>#N/A</v>
          </cell>
          <cell r="AQ30" t="e">
            <v>#N/A</v>
          </cell>
          <cell r="AR30" t="str">
            <v>$</v>
          </cell>
          <cell r="AS30" t="e">
            <v>#N/A</v>
          </cell>
          <cell r="AW30">
            <v>0</v>
          </cell>
          <cell r="AY30" t="str">
            <v>NB</v>
          </cell>
        </row>
        <row r="31">
          <cell r="AM31">
            <v>6326.8799999999901</v>
          </cell>
          <cell r="AP31" t="str">
            <v>Véhicules neufs</v>
          </cell>
          <cell r="AQ31" t="str">
            <v>Salaires cadres</v>
          </cell>
          <cell r="AR31" t="str">
            <v>$</v>
          </cell>
          <cell r="AS31">
            <v>0</v>
          </cell>
          <cell r="AW31">
            <v>0</v>
          </cell>
          <cell r="AY31" t="str">
            <v>NB</v>
          </cell>
        </row>
        <row r="32">
          <cell r="AM32">
            <v>0</v>
          </cell>
          <cell r="AP32" t="e">
            <v>#N/A</v>
          </cell>
          <cell r="AQ32" t="e">
            <v>#N/A</v>
          </cell>
          <cell r="AR32" t="str">
            <v>$</v>
          </cell>
          <cell r="AS32" t="e">
            <v>#N/A</v>
          </cell>
          <cell r="AW32">
            <v>0</v>
          </cell>
          <cell r="AY32" t="str">
            <v>NB</v>
          </cell>
        </row>
        <row r="33">
          <cell r="AM33">
            <v>4529.9000000000015</v>
          </cell>
          <cell r="AP33" t="str">
            <v>Véhicules usagés</v>
          </cell>
          <cell r="AQ33" t="str">
            <v>Salaires cadres</v>
          </cell>
          <cell r="AR33" t="str">
            <v>$</v>
          </cell>
          <cell r="AS33">
            <v>0</v>
          </cell>
          <cell r="AW33">
            <v>0</v>
          </cell>
          <cell r="AY33" t="str">
            <v>NB</v>
          </cell>
        </row>
        <row r="34">
          <cell r="AM34">
            <v>-6991.5299999999988</v>
          </cell>
          <cell r="AP34" t="str">
            <v>Wholesale autres</v>
          </cell>
          <cell r="AQ34" t="str">
            <v>Salaires cadres</v>
          </cell>
          <cell r="AR34" t="str">
            <v>$</v>
          </cell>
          <cell r="AS34">
            <v>0</v>
          </cell>
          <cell r="AW34">
            <v>0</v>
          </cell>
          <cell r="AY34" t="str">
            <v>NB</v>
          </cell>
        </row>
        <row r="35">
          <cell r="AM35">
            <v>6514.1000000000058</v>
          </cell>
          <cell r="AP35" t="str">
            <v>Service</v>
          </cell>
          <cell r="AQ35" t="str">
            <v>Salaires cadres</v>
          </cell>
          <cell r="AR35" t="str">
            <v>$</v>
          </cell>
          <cell r="AS35">
            <v>0</v>
          </cell>
          <cell r="AW35">
            <v>0</v>
          </cell>
          <cell r="AY35" t="str">
            <v>NB</v>
          </cell>
        </row>
        <row r="36">
          <cell r="AM36">
            <v>14505.379999999997</v>
          </cell>
          <cell r="AP36" t="str">
            <v>Carrosserie</v>
          </cell>
          <cell r="AQ36" t="str">
            <v>Salaires cadres</v>
          </cell>
          <cell r="AR36" t="str">
            <v>$</v>
          </cell>
          <cell r="AS36">
            <v>0</v>
          </cell>
          <cell r="AW36">
            <v>0</v>
          </cell>
          <cell r="AY36" t="str">
            <v>NB</v>
          </cell>
        </row>
        <row r="37">
          <cell r="AM37">
            <v>7934.34</v>
          </cell>
          <cell r="AP37" t="str">
            <v>Pièces</v>
          </cell>
          <cell r="AQ37" t="str">
            <v>Salaires cadres</v>
          </cell>
          <cell r="AR37" t="str">
            <v>$</v>
          </cell>
          <cell r="AS37">
            <v>0</v>
          </cell>
          <cell r="AW37">
            <v>0</v>
          </cell>
          <cell r="AY37" t="str">
            <v>NB</v>
          </cell>
        </row>
        <row r="38">
          <cell r="AM38">
            <v>0</v>
          </cell>
          <cell r="AP38" t="str">
            <v>SAAQ</v>
          </cell>
          <cell r="AQ38" t="str">
            <v>Salaires cadres</v>
          </cell>
          <cell r="AR38" t="str">
            <v>$</v>
          </cell>
          <cell r="AS38">
            <v>0</v>
          </cell>
          <cell r="AW38">
            <v>0</v>
          </cell>
          <cell r="AY38" t="str">
            <v>NB</v>
          </cell>
        </row>
        <row r="39">
          <cell r="AM39">
            <v>0</v>
          </cell>
          <cell r="AP39" t="e">
            <v>#N/A</v>
          </cell>
          <cell r="AQ39" t="e">
            <v>#N/A</v>
          </cell>
          <cell r="AR39" t="str">
            <v>$</v>
          </cell>
          <cell r="AS39" t="e">
            <v>#N/A</v>
          </cell>
          <cell r="AW39">
            <v>0</v>
          </cell>
          <cell r="AY39" t="str">
            <v>NB</v>
          </cell>
        </row>
        <row r="40">
          <cell r="AM40">
            <v>0</v>
          </cell>
          <cell r="AP40" t="e">
            <v>#N/A</v>
          </cell>
          <cell r="AQ40" t="e">
            <v>#N/A</v>
          </cell>
          <cell r="AR40" t="str">
            <v>$</v>
          </cell>
          <cell r="AS40" t="e">
            <v>#N/A</v>
          </cell>
          <cell r="AW40">
            <v>0</v>
          </cell>
          <cell r="AY40" t="str">
            <v>NB</v>
          </cell>
        </row>
        <row r="41">
          <cell r="AM41">
            <v>8576.1900000000023</v>
          </cell>
          <cell r="AP41" t="str">
            <v>Véhicules neufs</v>
          </cell>
          <cell r="AQ41" t="str">
            <v>Salaires commis</v>
          </cell>
          <cell r="AR41" t="str">
            <v>$</v>
          </cell>
          <cell r="AS41">
            <v>0</v>
          </cell>
          <cell r="AW41">
            <v>0</v>
          </cell>
          <cell r="AY41" t="str">
            <v>NB</v>
          </cell>
        </row>
        <row r="42">
          <cell r="AM42">
            <v>0</v>
          </cell>
          <cell r="AP42" t="e">
            <v>#N/A</v>
          </cell>
          <cell r="AQ42" t="e">
            <v>#N/A</v>
          </cell>
          <cell r="AR42" t="str">
            <v>$</v>
          </cell>
          <cell r="AS42" t="e">
            <v>#N/A</v>
          </cell>
          <cell r="AW42">
            <v>0</v>
          </cell>
          <cell r="AY42" t="str">
            <v>NB</v>
          </cell>
        </row>
        <row r="43">
          <cell r="AM43">
            <v>5717.4700000000012</v>
          </cell>
          <cell r="AP43" t="str">
            <v>Véhicules usagés</v>
          </cell>
          <cell r="AQ43" t="str">
            <v>Salaires commis</v>
          </cell>
          <cell r="AR43" t="str">
            <v>$</v>
          </cell>
          <cell r="AS43">
            <v>0</v>
          </cell>
          <cell r="AW43">
            <v>0</v>
          </cell>
          <cell r="AY43" t="str">
            <v>NB</v>
          </cell>
        </row>
        <row r="44">
          <cell r="AM44">
            <v>-8418.5999999999985</v>
          </cell>
          <cell r="AP44" t="str">
            <v>Wholesale autres</v>
          </cell>
          <cell r="AQ44" t="str">
            <v>Salaires commis</v>
          </cell>
          <cell r="AR44" t="str">
            <v>$</v>
          </cell>
          <cell r="AS44">
            <v>0</v>
          </cell>
          <cell r="AW44">
            <v>0</v>
          </cell>
          <cell r="AY44" t="str">
            <v>NB</v>
          </cell>
        </row>
        <row r="45">
          <cell r="AM45">
            <v>6348.109999999986</v>
          </cell>
          <cell r="AP45" t="str">
            <v>Service</v>
          </cell>
          <cell r="AQ45" t="str">
            <v>Salaires commis</v>
          </cell>
          <cell r="AR45" t="str">
            <v>$</v>
          </cell>
          <cell r="AS45">
            <v>0</v>
          </cell>
          <cell r="AW45">
            <v>0</v>
          </cell>
          <cell r="AY45" t="str">
            <v>NB</v>
          </cell>
        </row>
        <row r="46">
          <cell r="AM46">
            <v>6524.5199999999968</v>
          </cell>
          <cell r="AP46" t="str">
            <v>Carrosserie</v>
          </cell>
          <cell r="AQ46" t="str">
            <v>Salaires commis</v>
          </cell>
          <cell r="AR46" t="str">
            <v>$</v>
          </cell>
          <cell r="AS46">
            <v>0</v>
          </cell>
          <cell r="AW46">
            <v>0</v>
          </cell>
          <cell r="AY46" t="str">
            <v>NB</v>
          </cell>
        </row>
        <row r="47">
          <cell r="AM47">
            <v>2116.0299999999988</v>
          </cell>
          <cell r="AP47" t="str">
            <v>Pièces</v>
          </cell>
          <cell r="AQ47" t="str">
            <v>Salaires commis</v>
          </cell>
          <cell r="AR47" t="str">
            <v>$</v>
          </cell>
          <cell r="AS47">
            <v>0</v>
          </cell>
          <cell r="AW47">
            <v>0</v>
          </cell>
          <cell r="AY47" t="str">
            <v>NB</v>
          </cell>
        </row>
        <row r="48">
          <cell r="AM48">
            <v>4410.9700000000012</v>
          </cell>
          <cell r="AP48" t="str">
            <v>SAAQ</v>
          </cell>
          <cell r="AQ48" t="str">
            <v>Salaires commis</v>
          </cell>
          <cell r="AR48" t="str">
            <v>$</v>
          </cell>
          <cell r="AS48">
            <v>0</v>
          </cell>
          <cell r="AW48">
            <v>0</v>
          </cell>
          <cell r="AY48" t="str">
            <v>NB</v>
          </cell>
        </row>
        <row r="49">
          <cell r="AM49">
            <v>0</v>
          </cell>
          <cell r="AP49" t="e">
            <v>#N/A</v>
          </cell>
          <cell r="AQ49" t="e">
            <v>#N/A</v>
          </cell>
          <cell r="AR49" t="str">
            <v>$</v>
          </cell>
          <cell r="AS49" t="e">
            <v>#N/A</v>
          </cell>
          <cell r="AW49">
            <v>0</v>
          </cell>
          <cell r="AY49" t="str">
            <v>NB</v>
          </cell>
        </row>
        <row r="50">
          <cell r="AM50">
            <v>0</v>
          </cell>
          <cell r="AP50" t="e">
            <v>#N/A</v>
          </cell>
          <cell r="AQ50" t="e">
            <v>#N/A</v>
          </cell>
          <cell r="AR50" t="str">
            <v>$</v>
          </cell>
          <cell r="AS50" t="e">
            <v>#N/A</v>
          </cell>
          <cell r="AW50">
            <v>0</v>
          </cell>
          <cell r="AY50" t="str">
            <v>NB</v>
          </cell>
        </row>
        <row r="51">
          <cell r="AM51">
            <v>5167.5800000000017</v>
          </cell>
          <cell r="AP51" t="str">
            <v>Véhicules neufs</v>
          </cell>
          <cell r="AQ51" t="str">
            <v>Salaires autres</v>
          </cell>
          <cell r="AR51" t="str">
            <v>$</v>
          </cell>
          <cell r="AS51">
            <v>0</v>
          </cell>
          <cell r="AW51">
            <v>0</v>
          </cell>
          <cell r="AY51" t="str">
            <v>NB</v>
          </cell>
        </row>
        <row r="52">
          <cell r="AM52">
            <v>0</v>
          </cell>
          <cell r="AP52" t="e">
            <v>#N/A</v>
          </cell>
          <cell r="AQ52" t="e">
            <v>#N/A</v>
          </cell>
          <cell r="AR52" t="str">
            <v>$</v>
          </cell>
          <cell r="AS52" t="e">
            <v>#N/A</v>
          </cell>
          <cell r="AW52">
            <v>0</v>
          </cell>
          <cell r="AY52" t="str">
            <v>NB</v>
          </cell>
        </row>
        <row r="53">
          <cell r="AM53">
            <v>1820.0400000000009</v>
          </cell>
          <cell r="AP53" t="str">
            <v>Véhicules usagés</v>
          </cell>
          <cell r="AQ53" t="str">
            <v>Salaires autres</v>
          </cell>
          <cell r="AR53" t="str">
            <v>$</v>
          </cell>
          <cell r="AS53">
            <v>0</v>
          </cell>
          <cell r="AW53">
            <v>0</v>
          </cell>
          <cell r="AY53" t="str">
            <v>NB</v>
          </cell>
        </row>
        <row r="54">
          <cell r="AM54">
            <v>0</v>
          </cell>
          <cell r="AP54" t="str">
            <v>Wholesale autres</v>
          </cell>
          <cell r="AQ54" t="str">
            <v>Salaires autres</v>
          </cell>
          <cell r="AR54" t="str">
            <v>$</v>
          </cell>
          <cell r="AS54">
            <v>0</v>
          </cell>
          <cell r="AW54">
            <v>0</v>
          </cell>
          <cell r="AY54" t="str">
            <v>NB</v>
          </cell>
        </row>
        <row r="55">
          <cell r="AM55">
            <v>11770.770000000004</v>
          </cell>
          <cell r="AP55" t="str">
            <v>Service</v>
          </cell>
          <cell r="AQ55" t="str">
            <v>Salaires autres</v>
          </cell>
          <cell r="AR55" t="str">
            <v>$</v>
          </cell>
          <cell r="AS55">
            <v>0</v>
          </cell>
          <cell r="AW55">
            <v>0</v>
          </cell>
          <cell r="AY55" t="str">
            <v>NB</v>
          </cell>
        </row>
        <row r="56">
          <cell r="AM56">
            <v>9149.14</v>
          </cell>
          <cell r="AP56" t="str">
            <v>Service</v>
          </cell>
          <cell r="AQ56" t="str">
            <v>Salaires spécialistes</v>
          </cell>
          <cell r="AR56" t="str">
            <v>$</v>
          </cell>
          <cell r="AS56">
            <v>0</v>
          </cell>
          <cell r="AW56">
            <v>0</v>
          </cell>
          <cell r="AY56" t="str">
            <v>NB</v>
          </cell>
        </row>
        <row r="57">
          <cell r="AM57">
            <v>374.27</v>
          </cell>
          <cell r="AP57" t="str">
            <v>Carrosserie</v>
          </cell>
          <cell r="AQ57" t="str">
            <v>Salaires autres</v>
          </cell>
          <cell r="AR57" t="str">
            <v>$</v>
          </cell>
          <cell r="AS57">
            <v>0</v>
          </cell>
          <cell r="AW57">
            <v>0</v>
          </cell>
          <cell r="AY57" t="str">
            <v>NB</v>
          </cell>
        </row>
        <row r="58">
          <cell r="AM58">
            <v>14321.329999999987</v>
          </cell>
          <cell r="AP58" t="str">
            <v>Pièces</v>
          </cell>
          <cell r="AQ58" t="str">
            <v>Salaires autres</v>
          </cell>
          <cell r="AR58" t="str">
            <v>$</v>
          </cell>
          <cell r="AS58">
            <v>0</v>
          </cell>
          <cell r="AW58">
            <v>0</v>
          </cell>
          <cell r="AY58" t="str">
            <v>NB</v>
          </cell>
        </row>
        <row r="59">
          <cell r="AM59">
            <v>375</v>
          </cell>
          <cell r="AP59" t="str">
            <v>SAAQ</v>
          </cell>
          <cell r="AQ59" t="str">
            <v>Salaires autres</v>
          </cell>
          <cell r="AR59" t="str">
            <v>$</v>
          </cell>
          <cell r="AS59">
            <v>0</v>
          </cell>
          <cell r="AW59">
            <v>0</v>
          </cell>
          <cell r="AY59" t="str">
            <v>NB</v>
          </cell>
        </row>
        <row r="60">
          <cell r="AM60">
            <v>0</v>
          </cell>
          <cell r="AP60" t="e">
            <v>#N/A</v>
          </cell>
          <cell r="AQ60" t="e">
            <v>#N/A</v>
          </cell>
          <cell r="AR60" t="str">
            <v>$</v>
          </cell>
          <cell r="AS60" t="e">
            <v>#N/A</v>
          </cell>
          <cell r="AW60">
            <v>0</v>
          </cell>
          <cell r="AY60" t="str">
            <v>NB</v>
          </cell>
        </row>
        <row r="61">
          <cell r="AM61">
            <v>0</v>
          </cell>
          <cell r="AP61" t="e">
            <v>#N/A</v>
          </cell>
          <cell r="AQ61" t="e">
            <v>#N/A</v>
          </cell>
          <cell r="AR61" t="str">
            <v>$</v>
          </cell>
          <cell r="AS61" t="e">
            <v>#N/A</v>
          </cell>
          <cell r="AW61">
            <v>0</v>
          </cell>
          <cell r="AY61" t="str">
            <v>NB</v>
          </cell>
        </row>
        <row r="62">
          <cell r="AM62">
            <v>4857.2099999999991</v>
          </cell>
          <cell r="AP62" t="str">
            <v>Véhicules neufs</v>
          </cell>
          <cell r="AQ62" t="str">
            <v>Salaires en absences</v>
          </cell>
          <cell r="AR62" t="str">
            <v>$</v>
          </cell>
          <cell r="AS62">
            <v>0</v>
          </cell>
          <cell r="AW62">
            <v>0</v>
          </cell>
          <cell r="AY62" t="str">
            <v>NB</v>
          </cell>
        </row>
        <row r="63">
          <cell r="AM63">
            <v>2317.4499999999971</v>
          </cell>
          <cell r="AP63" t="str">
            <v>Véhicules usagés</v>
          </cell>
          <cell r="AQ63" t="str">
            <v>Salaires en absences</v>
          </cell>
          <cell r="AR63" t="str">
            <v>$</v>
          </cell>
          <cell r="AS63">
            <v>0</v>
          </cell>
          <cell r="AW63">
            <v>0</v>
          </cell>
          <cell r="AY63" t="str">
            <v>NB</v>
          </cell>
        </row>
        <row r="64">
          <cell r="AM64">
            <v>1968.42</v>
          </cell>
          <cell r="AP64" t="str">
            <v>Wholesale autres</v>
          </cell>
          <cell r="AQ64" t="str">
            <v>Salaires en absences</v>
          </cell>
          <cell r="AR64" t="str">
            <v>$</v>
          </cell>
          <cell r="AS64">
            <v>0</v>
          </cell>
          <cell r="AW64">
            <v>0</v>
          </cell>
          <cell r="AY64" t="str">
            <v>NB</v>
          </cell>
        </row>
        <row r="65">
          <cell r="AM65">
            <v>7931.0699999999924</v>
          </cell>
          <cell r="AP65" t="str">
            <v>Service</v>
          </cell>
          <cell r="AQ65" t="str">
            <v>Salaires en absences</v>
          </cell>
          <cell r="AR65" t="str">
            <v>$</v>
          </cell>
          <cell r="AS65">
            <v>0</v>
          </cell>
          <cell r="AW65">
            <v>0</v>
          </cell>
          <cell r="AY65" t="str">
            <v>NB</v>
          </cell>
        </row>
        <row r="66">
          <cell r="AM66">
            <v>3892.1799999999967</v>
          </cell>
          <cell r="AP66" t="str">
            <v>Carrosserie</v>
          </cell>
          <cell r="AQ66" t="str">
            <v>Salaires en absences</v>
          </cell>
          <cell r="AR66" t="str">
            <v>$</v>
          </cell>
          <cell r="AS66">
            <v>0</v>
          </cell>
          <cell r="AW66">
            <v>0</v>
          </cell>
          <cell r="AY66" t="str">
            <v>NB</v>
          </cell>
        </row>
        <row r="67">
          <cell r="AM67">
            <v>1984.9599999999991</v>
          </cell>
          <cell r="AP67" t="str">
            <v>Pièces</v>
          </cell>
          <cell r="AQ67" t="str">
            <v>Salaires en absences</v>
          </cell>
          <cell r="AR67" t="str">
            <v>$</v>
          </cell>
          <cell r="AS67">
            <v>0</v>
          </cell>
          <cell r="AW67">
            <v>0</v>
          </cell>
          <cell r="AY67" t="str">
            <v>NB</v>
          </cell>
        </row>
        <row r="68">
          <cell r="AM68">
            <v>3742.17</v>
          </cell>
          <cell r="AP68" t="str">
            <v>SAAQ</v>
          </cell>
          <cell r="AQ68" t="str">
            <v>Salaires en absences</v>
          </cell>
          <cell r="AR68" t="str">
            <v>$</v>
          </cell>
          <cell r="AS68">
            <v>0</v>
          </cell>
          <cell r="AW68">
            <v>0</v>
          </cell>
          <cell r="AY68" t="str">
            <v>NB</v>
          </cell>
        </row>
        <row r="69">
          <cell r="AM69">
            <v>0</v>
          </cell>
          <cell r="AP69" t="e">
            <v>#N/A</v>
          </cell>
          <cell r="AQ69" t="e">
            <v>#N/A</v>
          </cell>
          <cell r="AR69" t="str">
            <v>$</v>
          </cell>
          <cell r="AS69" t="e">
            <v>#N/A</v>
          </cell>
          <cell r="AW69">
            <v>0</v>
          </cell>
          <cell r="AY69" t="str">
            <v>NB</v>
          </cell>
        </row>
        <row r="70">
          <cell r="AM70">
            <v>0</v>
          </cell>
          <cell r="AP70" t="e">
            <v>#N/A</v>
          </cell>
          <cell r="AQ70" t="e">
            <v>#N/A</v>
          </cell>
          <cell r="AR70" t="str">
            <v>$</v>
          </cell>
          <cell r="AS70" t="e">
            <v>#N/A</v>
          </cell>
          <cell r="AW70">
            <v>0</v>
          </cell>
          <cell r="AY70" t="str">
            <v>NB</v>
          </cell>
        </row>
        <row r="71">
          <cell r="AM71">
            <v>9070.929999999993</v>
          </cell>
          <cell r="AP71" t="str">
            <v>Véhicules neufs</v>
          </cell>
          <cell r="AQ71" t="str">
            <v>Déduction à la source</v>
          </cell>
          <cell r="AR71" t="str">
            <v>$</v>
          </cell>
          <cell r="AS71">
            <v>0</v>
          </cell>
          <cell r="AW71">
            <v>0</v>
          </cell>
          <cell r="AY71" t="str">
            <v>NB</v>
          </cell>
        </row>
        <row r="72">
          <cell r="AM72">
            <v>0</v>
          </cell>
          <cell r="AP72" t="e">
            <v>#N/A</v>
          </cell>
          <cell r="AQ72" t="e">
            <v>#N/A</v>
          </cell>
          <cell r="AR72" t="str">
            <v>$</v>
          </cell>
          <cell r="AS72" t="e">
            <v>#N/A</v>
          </cell>
          <cell r="AW72">
            <v>0</v>
          </cell>
          <cell r="AY72" t="str">
            <v>NB</v>
          </cell>
        </row>
        <row r="73">
          <cell r="AM73">
            <v>6141.32</v>
          </cell>
          <cell r="AP73" t="str">
            <v>Véhicules usagés</v>
          </cell>
          <cell r="AQ73" t="str">
            <v>Déduction à la source</v>
          </cell>
          <cell r="AR73" t="str">
            <v>$</v>
          </cell>
          <cell r="AS73">
            <v>0</v>
          </cell>
          <cell r="AW73">
            <v>0</v>
          </cell>
          <cell r="AY73" t="str">
            <v>NB</v>
          </cell>
        </row>
        <row r="74">
          <cell r="AM74">
            <v>-1357.4499999999971</v>
          </cell>
          <cell r="AP74" t="str">
            <v>Wholesale autres</v>
          </cell>
          <cell r="AQ74" t="str">
            <v>Déduction à la source</v>
          </cell>
          <cell r="AR74" t="str">
            <v>$</v>
          </cell>
          <cell r="AS74">
            <v>0</v>
          </cell>
          <cell r="AW74">
            <v>0</v>
          </cell>
          <cell r="AY74" t="str">
            <v>NB</v>
          </cell>
        </row>
        <row r="75">
          <cell r="AM75">
            <v>18011.47</v>
          </cell>
          <cell r="AP75" t="str">
            <v>Service</v>
          </cell>
          <cell r="AQ75" t="str">
            <v>Déduction à la source</v>
          </cell>
          <cell r="AR75" t="str">
            <v>$</v>
          </cell>
          <cell r="AS75">
            <v>0</v>
          </cell>
          <cell r="AW75">
            <v>0</v>
          </cell>
          <cell r="AY75" t="str">
            <v>NB</v>
          </cell>
        </row>
        <row r="76">
          <cell r="AM76">
            <v>5736.760000000002</v>
          </cell>
          <cell r="AP76" t="str">
            <v>Carrosserie</v>
          </cell>
          <cell r="AQ76" t="str">
            <v>Déduction à la source</v>
          </cell>
          <cell r="AR76" t="str">
            <v>$</v>
          </cell>
          <cell r="AS76">
            <v>0</v>
          </cell>
          <cell r="AW76">
            <v>0</v>
          </cell>
          <cell r="AY76" t="str">
            <v>NB</v>
          </cell>
        </row>
        <row r="77">
          <cell r="AM77">
            <v>3728.8300000000017</v>
          </cell>
          <cell r="AP77" t="str">
            <v>Pièces</v>
          </cell>
          <cell r="AQ77" t="str">
            <v>Déduction à la source</v>
          </cell>
          <cell r="AR77" t="str">
            <v>$</v>
          </cell>
          <cell r="AS77">
            <v>0</v>
          </cell>
          <cell r="AW77">
            <v>0</v>
          </cell>
          <cell r="AY77" t="str">
            <v>NB</v>
          </cell>
        </row>
        <row r="78">
          <cell r="AM78">
            <v>4901.619999999999</v>
          </cell>
          <cell r="AP78" t="str">
            <v>SAAQ</v>
          </cell>
          <cell r="AQ78" t="str">
            <v>Déduction à la source</v>
          </cell>
          <cell r="AR78" t="str">
            <v>$</v>
          </cell>
          <cell r="AS78">
            <v>0</v>
          </cell>
          <cell r="AW78">
            <v>0</v>
          </cell>
          <cell r="AY78" t="str">
            <v>NB</v>
          </cell>
        </row>
        <row r="79">
          <cell r="AM79">
            <v>0</v>
          </cell>
          <cell r="AP79" t="e">
            <v>#N/A</v>
          </cell>
          <cell r="AQ79" t="e">
            <v>#N/A</v>
          </cell>
          <cell r="AR79" t="str">
            <v>$</v>
          </cell>
          <cell r="AS79" t="e">
            <v>#N/A</v>
          </cell>
          <cell r="AW79">
            <v>0</v>
          </cell>
          <cell r="AY79" t="str">
            <v>NB</v>
          </cell>
        </row>
        <row r="80">
          <cell r="AM80">
            <v>0</v>
          </cell>
          <cell r="AP80" t="e">
            <v>#N/A</v>
          </cell>
          <cell r="AQ80" t="e">
            <v>#N/A</v>
          </cell>
          <cell r="AR80" t="str">
            <v>$</v>
          </cell>
          <cell r="AS80" t="e">
            <v>#N/A</v>
          </cell>
          <cell r="AW80">
            <v>0</v>
          </cell>
          <cell r="AY80" t="str">
            <v>NB</v>
          </cell>
        </row>
        <row r="81">
          <cell r="AM81">
            <v>1221.5200000000004</v>
          </cell>
          <cell r="AP81" t="str">
            <v>Véhicules neufs</v>
          </cell>
          <cell r="AQ81" t="str">
            <v>Bénéfices marginaux</v>
          </cell>
          <cell r="AR81" t="str">
            <v>$</v>
          </cell>
          <cell r="AS81">
            <v>0</v>
          </cell>
          <cell r="AW81">
            <v>0</v>
          </cell>
          <cell r="AY81" t="str">
            <v>NB</v>
          </cell>
        </row>
        <row r="82">
          <cell r="AM82">
            <v>0</v>
          </cell>
          <cell r="AP82" t="e">
            <v>#N/A</v>
          </cell>
          <cell r="AQ82" t="e">
            <v>#N/A</v>
          </cell>
          <cell r="AR82" t="str">
            <v>$</v>
          </cell>
          <cell r="AS82" t="e">
            <v>#N/A</v>
          </cell>
          <cell r="AW82">
            <v>0</v>
          </cell>
          <cell r="AY82" t="str">
            <v>NB</v>
          </cell>
        </row>
        <row r="83">
          <cell r="AM83">
            <v>599.45999999999913</v>
          </cell>
          <cell r="AP83" t="str">
            <v>Véhicules usagés</v>
          </cell>
          <cell r="AQ83" t="str">
            <v>Bénéfices marginaux</v>
          </cell>
          <cell r="AR83" t="str">
            <v>$</v>
          </cell>
          <cell r="AS83">
            <v>0</v>
          </cell>
          <cell r="AW83">
            <v>0</v>
          </cell>
          <cell r="AY83" t="str">
            <v>NB</v>
          </cell>
        </row>
        <row r="84">
          <cell r="AM84">
            <v>568.55000000000018</v>
          </cell>
          <cell r="AP84" t="str">
            <v>Wholesale autres</v>
          </cell>
          <cell r="AQ84" t="str">
            <v>Bénéfices marginaux</v>
          </cell>
          <cell r="AR84" t="str">
            <v>$</v>
          </cell>
          <cell r="AS84">
            <v>0</v>
          </cell>
          <cell r="AW84">
            <v>0</v>
          </cell>
          <cell r="AY84" t="str">
            <v>NB</v>
          </cell>
        </row>
        <row r="85">
          <cell r="AM85">
            <v>2533.0500000000029</v>
          </cell>
          <cell r="AP85" t="str">
            <v>Service</v>
          </cell>
          <cell r="AQ85" t="str">
            <v>Bénéfices marginaux</v>
          </cell>
          <cell r="AR85" t="str">
            <v>$</v>
          </cell>
          <cell r="AS85">
            <v>0</v>
          </cell>
          <cell r="AW85">
            <v>0</v>
          </cell>
          <cell r="AY85" t="str">
            <v>NB</v>
          </cell>
        </row>
        <row r="86">
          <cell r="AM86">
            <v>663.1299999999992</v>
          </cell>
          <cell r="AP86" t="str">
            <v>Carrosserie</v>
          </cell>
          <cell r="AQ86" t="str">
            <v>Bénéfices marginaux</v>
          </cell>
          <cell r="AR86" t="str">
            <v>$</v>
          </cell>
          <cell r="AS86">
            <v>0</v>
          </cell>
          <cell r="AW86">
            <v>0</v>
          </cell>
          <cell r="AY86" t="str">
            <v>NB</v>
          </cell>
        </row>
        <row r="87">
          <cell r="AM87">
            <v>444.86999999999989</v>
          </cell>
          <cell r="AP87" t="str">
            <v>Pièces</v>
          </cell>
          <cell r="AQ87" t="str">
            <v>Bénéfices marginaux</v>
          </cell>
          <cell r="AR87" t="str">
            <v>$</v>
          </cell>
          <cell r="AS87">
            <v>0</v>
          </cell>
          <cell r="AW87">
            <v>0</v>
          </cell>
          <cell r="AY87" t="str">
            <v>NB</v>
          </cell>
        </row>
        <row r="88">
          <cell r="AM88">
            <v>1280.1999999999998</v>
          </cell>
          <cell r="AP88" t="str">
            <v>SAAQ</v>
          </cell>
          <cell r="AQ88" t="str">
            <v>Bénéfices marginaux</v>
          </cell>
          <cell r="AR88" t="str">
            <v>$</v>
          </cell>
          <cell r="AS88">
            <v>0</v>
          </cell>
          <cell r="AW88">
            <v>0</v>
          </cell>
          <cell r="AY88" t="str">
            <v>NB</v>
          </cell>
        </row>
        <row r="89">
          <cell r="AM89">
            <v>0</v>
          </cell>
          <cell r="AP89" t="e">
            <v>#N/A</v>
          </cell>
          <cell r="AQ89" t="e">
            <v>#N/A</v>
          </cell>
          <cell r="AR89" t="str">
            <v>$</v>
          </cell>
          <cell r="AS89" t="e">
            <v>#N/A</v>
          </cell>
          <cell r="AW89">
            <v>0</v>
          </cell>
          <cell r="AY89" t="str">
            <v>NB</v>
          </cell>
        </row>
        <row r="90">
          <cell r="AM90">
            <v>0</v>
          </cell>
          <cell r="AP90" t="e">
            <v>#N/A</v>
          </cell>
          <cell r="AQ90" t="e">
            <v>#N/A</v>
          </cell>
          <cell r="AR90" t="str">
            <v>$</v>
          </cell>
          <cell r="AS90" t="e">
            <v>#N/A</v>
          </cell>
          <cell r="AW90">
            <v>0</v>
          </cell>
          <cell r="AY90" t="str">
            <v>NB</v>
          </cell>
        </row>
        <row r="91">
          <cell r="AM91">
            <v>0</v>
          </cell>
          <cell r="AP91" t="e">
            <v>#N/A</v>
          </cell>
          <cell r="AQ91" t="e">
            <v>#N/A</v>
          </cell>
          <cell r="AR91" t="str">
            <v>$</v>
          </cell>
          <cell r="AS91" t="e">
            <v>#N/A</v>
          </cell>
          <cell r="AW91">
            <v>0</v>
          </cell>
          <cell r="AY91" t="str">
            <v>NB</v>
          </cell>
        </row>
        <row r="92">
          <cell r="AM92">
            <v>3803.1699999999983</v>
          </cell>
          <cell r="AP92" t="str">
            <v>Véhicules neufs</v>
          </cell>
          <cell r="AQ92" t="str">
            <v>Csst</v>
          </cell>
          <cell r="AR92" t="str">
            <v>$</v>
          </cell>
          <cell r="AS92">
            <v>0</v>
          </cell>
          <cell r="AW92">
            <v>0</v>
          </cell>
          <cell r="AY92" t="str">
            <v>NB</v>
          </cell>
        </row>
        <row r="93">
          <cell r="AM93">
            <v>0</v>
          </cell>
          <cell r="AP93" t="e">
            <v>#N/A</v>
          </cell>
          <cell r="AQ93" t="e">
            <v>#N/A</v>
          </cell>
          <cell r="AR93" t="str">
            <v>$</v>
          </cell>
          <cell r="AS93" t="e">
            <v>#N/A</v>
          </cell>
          <cell r="AW93">
            <v>0</v>
          </cell>
          <cell r="AY93" t="str">
            <v>NB</v>
          </cell>
        </row>
        <row r="94">
          <cell r="AM94">
            <v>2602.66</v>
          </cell>
          <cell r="AP94" t="str">
            <v>Véhicules usagés</v>
          </cell>
          <cell r="AQ94" t="str">
            <v>Csst</v>
          </cell>
          <cell r="AR94" t="str">
            <v>$</v>
          </cell>
          <cell r="AS94">
            <v>0</v>
          </cell>
          <cell r="AW94">
            <v>0</v>
          </cell>
          <cell r="AY94" t="str">
            <v>NB</v>
          </cell>
        </row>
        <row r="95">
          <cell r="AM95">
            <v>290.33000000000004</v>
          </cell>
          <cell r="AP95" t="str">
            <v>Wholesale autres</v>
          </cell>
          <cell r="AQ95" t="str">
            <v>Csst</v>
          </cell>
          <cell r="AR95" t="str">
            <v>$</v>
          </cell>
          <cell r="AS95">
            <v>0</v>
          </cell>
          <cell r="AW95">
            <v>0</v>
          </cell>
          <cell r="AY95" t="str">
            <v>NB</v>
          </cell>
        </row>
        <row r="96">
          <cell r="AM96">
            <v>4646.7799999999988</v>
          </cell>
          <cell r="AP96" t="str">
            <v>Service</v>
          </cell>
          <cell r="AQ96" t="str">
            <v>Csst</v>
          </cell>
          <cell r="AR96" t="str">
            <v>$</v>
          </cell>
          <cell r="AS96">
            <v>0</v>
          </cell>
          <cell r="AW96">
            <v>0</v>
          </cell>
          <cell r="AY96" t="str">
            <v>NB</v>
          </cell>
        </row>
        <row r="97">
          <cell r="AM97">
            <v>1655.21</v>
          </cell>
          <cell r="AP97" t="str">
            <v>Carrosserie</v>
          </cell>
          <cell r="AQ97" t="str">
            <v>Csst</v>
          </cell>
          <cell r="AR97" t="str">
            <v>$</v>
          </cell>
          <cell r="AS97">
            <v>0</v>
          </cell>
          <cell r="AW97">
            <v>0</v>
          </cell>
          <cell r="AY97" t="str">
            <v>NB</v>
          </cell>
        </row>
        <row r="98">
          <cell r="AM98">
            <v>1388.9700000000003</v>
          </cell>
          <cell r="AP98" t="str">
            <v>Pièces</v>
          </cell>
          <cell r="AQ98" t="str">
            <v>Csst</v>
          </cell>
          <cell r="AR98" t="str">
            <v>$</v>
          </cell>
          <cell r="AS98">
            <v>0</v>
          </cell>
          <cell r="AW98">
            <v>0</v>
          </cell>
          <cell r="AY98" t="str">
            <v>NB</v>
          </cell>
        </row>
        <row r="99">
          <cell r="AM99">
            <v>647.62999999999988</v>
          </cell>
          <cell r="AP99" t="str">
            <v>SAAQ</v>
          </cell>
          <cell r="AQ99" t="str">
            <v>Csst</v>
          </cell>
          <cell r="AR99" t="str">
            <v>$</v>
          </cell>
          <cell r="AS99">
            <v>0</v>
          </cell>
          <cell r="AW99">
            <v>0</v>
          </cell>
          <cell r="AY99" t="str">
            <v>NB</v>
          </cell>
        </row>
        <row r="100">
          <cell r="AM100">
            <v>0</v>
          </cell>
          <cell r="AP100" t="e">
            <v>#N/A</v>
          </cell>
          <cell r="AQ100" t="e">
            <v>#N/A</v>
          </cell>
          <cell r="AR100" t="str">
            <v>$</v>
          </cell>
          <cell r="AS100" t="e">
            <v>#N/A</v>
          </cell>
          <cell r="AW100">
            <v>0</v>
          </cell>
          <cell r="AY100" t="str">
            <v>NB</v>
          </cell>
        </row>
        <row r="101">
          <cell r="AM101">
            <v>0</v>
          </cell>
          <cell r="AP101" t="e">
            <v>#N/A</v>
          </cell>
          <cell r="AQ101" t="e">
            <v>#N/A</v>
          </cell>
          <cell r="AR101" t="str">
            <v>$</v>
          </cell>
          <cell r="AS101" t="e">
            <v>#N/A</v>
          </cell>
          <cell r="AW101">
            <v>0</v>
          </cell>
          <cell r="AY101" t="str">
            <v>NB</v>
          </cell>
        </row>
        <row r="102">
          <cell r="AM102">
            <v>535.69000000000051</v>
          </cell>
          <cell r="AP102" t="str">
            <v>Véhicules neufs</v>
          </cell>
          <cell r="AQ102" t="str">
            <v>Frais postaux</v>
          </cell>
          <cell r="AR102" t="str">
            <v>$</v>
          </cell>
          <cell r="AS102">
            <v>0</v>
          </cell>
          <cell r="AW102">
            <v>0</v>
          </cell>
          <cell r="AY102" t="str">
            <v>NB</v>
          </cell>
        </row>
        <row r="103">
          <cell r="AM103">
            <v>800.47999999999956</v>
          </cell>
          <cell r="AP103" t="str">
            <v>Véhicules usagés</v>
          </cell>
          <cell r="AQ103" t="str">
            <v>Frais postaux</v>
          </cell>
          <cell r="AR103" t="str">
            <v>$</v>
          </cell>
          <cell r="AS103">
            <v>0</v>
          </cell>
          <cell r="AW103">
            <v>0</v>
          </cell>
          <cell r="AY103" t="str">
            <v>NB</v>
          </cell>
        </row>
        <row r="104">
          <cell r="AM104">
            <v>357.26999999999953</v>
          </cell>
          <cell r="AP104" t="str">
            <v>Wholesale autres</v>
          </cell>
          <cell r="AQ104" t="str">
            <v>Frais postaux</v>
          </cell>
          <cell r="AR104" t="str">
            <v>$</v>
          </cell>
          <cell r="AS104">
            <v>0</v>
          </cell>
          <cell r="AW104">
            <v>0</v>
          </cell>
          <cell r="AY104" t="str">
            <v>NB</v>
          </cell>
        </row>
        <row r="105">
          <cell r="AM105">
            <v>302.39999999999964</v>
          </cell>
          <cell r="AP105" t="str">
            <v>Service</v>
          </cell>
          <cell r="AQ105" t="str">
            <v>Frais postaux</v>
          </cell>
          <cell r="AR105" t="str">
            <v>$</v>
          </cell>
          <cell r="AS105">
            <v>0</v>
          </cell>
          <cell r="AW105">
            <v>0</v>
          </cell>
          <cell r="AY105" t="str">
            <v>NB</v>
          </cell>
        </row>
        <row r="106">
          <cell r="AM106">
            <v>100.79999999999973</v>
          </cell>
          <cell r="AP106" t="str">
            <v>Carrosserie</v>
          </cell>
          <cell r="AQ106" t="str">
            <v>Frais postaux</v>
          </cell>
          <cell r="AR106" t="str">
            <v>$</v>
          </cell>
          <cell r="AS106">
            <v>0</v>
          </cell>
          <cell r="AW106">
            <v>0</v>
          </cell>
          <cell r="AY106" t="str">
            <v>NB</v>
          </cell>
        </row>
        <row r="107">
          <cell r="AM107">
            <v>810.47999999999956</v>
          </cell>
          <cell r="AP107" t="str">
            <v>Pièces</v>
          </cell>
          <cell r="AQ107" t="str">
            <v>Frais postaux</v>
          </cell>
          <cell r="AR107" t="str">
            <v>$</v>
          </cell>
          <cell r="AS107">
            <v>0</v>
          </cell>
          <cell r="AW107">
            <v>0</v>
          </cell>
          <cell r="AY107" t="str">
            <v>NB</v>
          </cell>
        </row>
        <row r="108">
          <cell r="AM108">
            <v>0</v>
          </cell>
          <cell r="AP108" t="e">
            <v>#N/A</v>
          </cell>
          <cell r="AQ108" t="e">
            <v>#N/A</v>
          </cell>
          <cell r="AR108" t="str">
            <v>$</v>
          </cell>
          <cell r="AS108" t="e">
            <v>#N/A</v>
          </cell>
          <cell r="AW108">
            <v>0</v>
          </cell>
          <cell r="AY108" t="str">
            <v>NB</v>
          </cell>
        </row>
        <row r="109">
          <cell r="AM109">
            <v>5493.0900000000111</v>
          </cell>
          <cell r="AP109" t="str">
            <v>Véhicules neufs</v>
          </cell>
          <cell r="AQ109" t="str">
            <v>Frais véhicules de cie</v>
          </cell>
          <cell r="AR109" t="str">
            <v>$</v>
          </cell>
          <cell r="AS109">
            <v>0</v>
          </cell>
          <cell r="AW109">
            <v>0</v>
          </cell>
          <cell r="AY109" t="str">
            <v>NB</v>
          </cell>
        </row>
        <row r="110">
          <cell r="AM110">
            <v>1599.0300000000025</v>
          </cell>
          <cell r="AP110" t="str">
            <v>Véhicules usagés</v>
          </cell>
          <cell r="AQ110" t="str">
            <v>Frais véhicules de cie</v>
          </cell>
          <cell r="AR110" t="str">
            <v>$</v>
          </cell>
          <cell r="AS110">
            <v>0</v>
          </cell>
          <cell r="AW110">
            <v>0</v>
          </cell>
          <cell r="AY110" t="str">
            <v>NB</v>
          </cell>
        </row>
        <row r="111">
          <cell r="AM111">
            <v>0</v>
          </cell>
          <cell r="AP111" t="str">
            <v>Wholesale autres</v>
          </cell>
          <cell r="AQ111" t="str">
            <v>Frais véhicules de cie</v>
          </cell>
          <cell r="AR111" t="str">
            <v>$</v>
          </cell>
          <cell r="AS111">
            <v>0</v>
          </cell>
          <cell r="AW111">
            <v>0</v>
          </cell>
          <cell r="AY111" t="str">
            <v>NB</v>
          </cell>
        </row>
        <row r="112">
          <cell r="AM112">
            <v>9376.239999999998</v>
          </cell>
          <cell r="AP112" t="str">
            <v>Service</v>
          </cell>
          <cell r="AQ112" t="str">
            <v>Frais véhicules de cie</v>
          </cell>
          <cell r="AR112" t="str">
            <v>$</v>
          </cell>
          <cell r="AS112">
            <v>0</v>
          </cell>
          <cell r="AW112">
            <v>0</v>
          </cell>
          <cell r="AY112" t="str">
            <v>NB</v>
          </cell>
        </row>
        <row r="113">
          <cell r="AM113">
            <v>4851.8900000000003</v>
          </cell>
          <cell r="AP113" t="str">
            <v>Carrosserie</v>
          </cell>
          <cell r="AQ113" t="str">
            <v>Frais véhicules de cie</v>
          </cell>
          <cell r="AR113" t="str">
            <v>$</v>
          </cell>
          <cell r="AS113">
            <v>0</v>
          </cell>
          <cell r="AW113">
            <v>0</v>
          </cell>
          <cell r="AY113" t="str">
            <v>NB</v>
          </cell>
        </row>
        <row r="114">
          <cell r="AM114">
            <v>1652.2000000000007</v>
          </cell>
          <cell r="AP114" t="str">
            <v>Pièces</v>
          </cell>
          <cell r="AQ114" t="str">
            <v>Frais véhicules de cie</v>
          </cell>
          <cell r="AR114" t="str">
            <v>$</v>
          </cell>
          <cell r="AS114">
            <v>0</v>
          </cell>
          <cell r="AW114">
            <v>0</v>
          </cell>
          <cell r="AY114" t="str">
            <v>NB</v>
          </cell>
        </row>
        <row r="115">
          <cell r="AM115">
            <v>0</v>
          </cell>
          <cell r="AP115" t="e">
            <v>#N/A</v>
          </cell>
          <cell r="AQ115" t="e">
            <v>#N/A</v>
          </cell>
          <cell r="AR115" t="str">
            <v>$</v>
          </cell>
          <cell r="AS115" t="e">
            <v>#N/A</v>
          </cell>
          <cell r="AW115">
            <v>0</v>
          </cell>
          <cell r="AY115" t="str">
            <v>NB</v>
          </cell>
        </row>
        <row r="116">
          <cell r="AM116">
            <v>0</v>
          </cell>
          <cell r="AP116">
            <v>0</v>
          </cell>
          <cell r="AQ116">
            <v>0</v>
          </cell>
          <cell r="AR116" t="str">
            <v>$</v>
          </cell>
          <cell r="AS116">
            <v>0</v>
          </cell>
          <cell r="AW116">
            <v>0</v>
          </cell>
          <cell r="AY116" t="str">
            <v>NB</v>
          </cell>
        </row>
        <row r="117">
          <cell r="AM117">
            <v>0</v>
          </cell>
          <cell r="AP117">
            <v>0</v>
          </cell>
          <cell r="AQ117">
            <v>0</v>
          </cell>
          <cell r="AR117" t="str">
            <v>$</v>
          </cell>
          <cell r="AS117">
            <v>0</v>
          </cell>
          <cell r="AW117">
            <v>0</v>
          </cell>
          <cell r="AY117" t="str">
            <v>NB</v>
          </cell>
        </row>
        <row r="118">
          <cell r="AM118">
            <v>0</v>
          </cell>
          <cell r="AP118">
            <v>0</v>
          </cell>
          <cell r="AQ118">
            <v>0</v>
          </cell>
          <cell r="AR118" t="str">
            <v>$</v>
          </cell>
          <cell r="AS118">
            <v>0</v>
          </cell>
          <cell r="AW118">
            <v>0</v>
          </cell>
          <cell r="AY118" t="str">
            <v>NB</v>
          </cell>
        </row>
        <row r="119">
          <cell r="AM119">
            <v>0</v>
          </cell>
          <cell r="AP119" t="str">
            <v>Véhicules neufs</v>
          </cell>
          <cell r="AQ119" t="str">
            <v>Divers</v>
          </cell>
          <cell r="AR119" t="str">
            <v>$</v>
          </cell>
          <cell r="AS119">
            <v>0</v>
          </cell>
          <cell r="AW119">
            <v>0</v>
          </cell>
          <cell r="AY119" t="str">
            <v>NB</v>
          </cell>
        </row>
        <row r="120">
          <cell r="AM120">
            <v>0</v>
          </cell>
          <cell r="AP120" t="str">
            <v>Véhicules usagés</v>
          </cell>
          <cell r="AQ120" t="str">
            <v>Divers</v>
          </cell>
          <cell r="AR120" t="str">
            <v>$</v>
          </cell>
          <cell r="AS120">
            <v>0</v>
          </cell>
          <cell r="AW120">
            <v>0</v>
          </cell>
          <cell r="AY120" t="str">
            <v>NB</v>
          </cell>
        </row>
        <row r="121">
          <cell r="AM121">
            <v>0</v>
          </cell>
          <cell r="AP121" t="str">
            <v>Service</v>
          </cell>
          <cell r="AQ121" t="str">
            <v>Divers</v>
          </cell>
          <cell r="AR121" t="str">
            <v>$</v>
          </cell>
          <cell r="AS121">
            <v>0</v>
          </cell>
          <cell r="AW121">
            <v>0</v>
          </cell>
          <cell r="AY121" t="str">
            <v>NB</v>
          </cell>
        </row>
        <row r="122">
          <cell r="AM122">
            <v>0</v>
          </cell>
          <cell r="AP122" t="str">
            <v>Pièces</v>
          </cell>
          <cell r="AQ122" t="str">
            <v>Divers</v>
          </cell>
          <cell r="AR122" t="str">
            <v>$</v>
          </cell>
          <cell r="AS122">
            <v>0</v>
          </cell>
          <cell r="AW122">
            <v>0</v>
          </cell>
          <cell r="AY122" t="str">
            <v>NB</v>
          </cell>
        </row>
        <row r="123">
          <cell r="AM123">
            <v>0</v>
          </cell>
          <cell r="AP123" t="e">
            <v>#N/A</v>
          </cell>
          <cell r="AQ123" t="e">
            <v>#N/A</v>
          </cell>
          <cell r="AR123" t="str">
            <v>$</v>
          </cell>
          <cell r="AS123" t="e">
            <v>#N/A</v>
          </cell>
          <cell r="AW123">
            <v>0</v>
          </cell>
          <cell r="AY123" t="str">
            <v>NB</v>
          </cell>
        </row>
        <row r="124">
          <cell r="AM124">
            <v>1424.7100000000009</v>
          </cell>
          <cell r="AP124" t="str">
            <v>Véhicules neufs</v>
          </cell>
          <cell r="AQ124" t="str">
            <v>Frais bancaires</v>
          </cell>
          <cell r="AR124" t="str">
            <v>$</v>
          </cell>
          <cell r="AS124">
            <v>0</v>
          </cell>
          <cell r="AW124">
            <v>0</v>
          </cell>
          <cell r="AY124" t="str">
            <v>NB</v>
          </cell>
        </row>
        <row r="125">
          <cell r="AM125">
            <v>1025.6300000000001</v>
          </cell>
          <cell r="AP125" t="str">
            <v>Véhicules usagés</v>
          </cell>
          <cell r="AQ125" t="str">
            <v>Frais bancaires</v>
          </cell>
          <cell r="AR125" t="str">
            <v>$</v>
          </cell>
          <cell r="AS125">
            <v>0</v>
          </cell>
          <cell r="AW125">
            <v>0</v>
          </cell>
          <cell r="AY125" t="str">
            <v>NB</v>
          </cell>
        </row>
        <row r="126">
          <cell r="AM126">
            <v>17.5</v>
          </cell>
          <cell r="AP126" t="str">
            <v>Wholesale autres</v>
          </cell>
          <cell r="AQ126" t="str">
            <v>Frais bancaires</v>
          </cell>
          <cell r="AR126" t="str">
            <v>$</v>
          </cell>
          <cell r="AS126">
            <v>0</v>
          </cell>
          <cell r="AW126">
            <v>0</v>
          </cell>
          <cell r="AY126" t="str">
            <v>NB</v>
          </cell>
        </row>
        <row r="127">
          <cell r="AM127">
            <v>1425.5100000000002</v>
          </cell>
          <cell r="AP127" t="str">
            <v>Service</v>
          </cell>
          <cell r="AQ127" t="str">
            <v>Frais bancaires</v>
          </cell>
          <cell r="AR127" t="str">
            <v>$</v>
          </cell>
          <cell r="AS127">
            <v>0</v>
          </cell>
          <cell r="AW127">
            <v>0</v>
          </cell>
          <cell r="AY127" t="str">
            <v>NB</v>
          </cell>
        </row>
        <row r="128">
          <cell r="AM128">
            <v>469.06999999999971</v>
          </cell>
          <cell r="AP128" t="str">
            <v>Carrosserie</v>
          </cell>
          <cell r="AQ128" t="str">
            <v>Frais bancaires</v>
          </cell>
          <cell r="AR128" t="str">
            <v>$</v>
          </cell>
          <cell r="AS128">
            <v>0</v>
          </cell>
          <cell r="AW128">
            <v>0</v>
          </cell>
          <cell r="AY128" t="str">
            <v>NB</v>
          </cell>
        </row>
        <row r="129">
          <cell r="AM129">
            <v>469.05999999999995</v>
          </cell>
          <cell r="AP129" t="str">
            <v>Pièces</v>
          </cell>
          <cell r="AQ129" t="str">
            <v>Frais bancaires</v>
          </cell>
          <cell r="AR129" t="str">
            <v>$</v>
          </cell>
          <cell r="AS129">
            <v>0</v>
          </cell>
          <cell r="AW129">
            <v>0</v>
          </cell>
          <cell r="AY129" t="str">
            <v>NB</v>
          </cell>
        </row>
        <row r="130">
          <cell r="AM130">
            <v>0</v>
          </cell>
          <cell r="AP130" t="e">
            <v>#N/A</v>
          </cell>
          <cell r="AQ130" t="e">
            <v>#N/A</v>
          </cell>
          <cell r="AR130" t="str">
            <v>$</v>
          </cell>
          <cell r="AS130" t="e">
            <v>#N/A</v>
          </cell>
          <cell r="AW130">
            <v>0</v>
          </cell>
          <cell r="AY130" t="str">
            <v>NB</v>
          </cell>
        </row>
        <row r="131">
          <cell r="AM131">
            <v>0</v>
          </cell>
          <cell r="AP131" t="e">
            <v>#N/A</v>
          </cell>
          <cell r="AQ131" t="e">
            <v>#N/A</v>
          </cell>
          <cell r="AR131" t="str">
            <v>$</v>
          </cell>
          <cell r="AS131" t="e">
            <v>#N/A</v>
          </cell>
          <cell r="AW131">
            <v>0</v>
          </cell>
          <cell r="AY131" t="str">
            <v>NB</v>
          </cell>
        </row>
        <row r="132">
          <cell r="AM132">
            <v>0</v>
          </cell>
          <cell r="AP132" t="e">
            <v>#N/A</v>
          </cell>
          <cell r="AQ132" t="e">
            <v>#N/A</v>
          </cell>
          <cell r="AR132" t="str">
            <v>$</v>
          </cell>
          <cell r="AS132" t="e">
            <v>#N/A</v>
          </cell>
          <cell r="AW132">
            <v>0</v>
          </cell>
          <cell r="AY132" t="str">
            <v>NB</v>
          </cell>
        </row>
        <row r="133">
          <cell r="AM133">
            <v>0</v>
          </cell>
          <cell r="AP133" t="e">
            <v>#N/A</v>
          </cell>
          <cell r="AQ133" t="e">
            <v>#N/A</v>
          </cell>
          <cell r="AR133" t="str">
            <v>$</v>
          </cell>
          <cell r="AS133" t="e">
            <v>#N/A</v>
          </cell>
          <cell r="AW133">
            <v>0</v>
          </cell>
          <cell r="AY133" t="str">
            <v>NB</v>
          </cell>
        </row>
        <row r="134">
          <cell r="AM134">
            <v>1307.99</v>
          </cell>
          <cell r="AP134" t="str">
            <v>Service</v>
          </cell>
          <cell r="AQ134" t="str">
            <v>Uniformes</v>
          </cell>
          <cell r="AR134" t="str">
            <v>$</v>
          </cell>
          <cell r="AS134">
            <v>0</v>
          </cell>
          <cell r="AW134">
            <v>0</v>
          </cell>
          <cell r="AY134" t="str">
            <v>NB</v>
          </cell>
        </row>
        <row r="135">
          <cell r="AM135">
            <v>438.31</v>
          </cell>
          <cell r="AP135" t="str">
            <v>Carrosserie</v>
          </cell>
          <cell r="AQ135" t="str">
            <v>Uniformes</v>
          </cell>
          <cell r="AR135" t="str">
            <v>$</v>
          </cell>
          <cell r="AS135">
            <v>0</v>
          </cell>
          <cell r="AW135">
            <v>0</v>
          </cell>
          <cell r="AY135" t="str">
            <v>NB</v>
          </cell>
        </row>
        <row r="136">
          <cell r="AM136">
            <v>0</v>
          </cell>
          <cell r="AP136" t="e">
            <v>#N/A</v>
          </cell>
          <cell r="AQ136" t="e">
            <v>#N/A</v>
          </cell>
          <cell r="AR136" t="str">
            <v>$</v>
          </cell>
          <cell r="AS136" t="e">
            <v>#N/A</v>
          </cell>
          <cell r="AW136">
            <v>0</v>
          </cell>
          <cell r="AY136" t="str">
            <v>NB</v>
          </cell>
        </row>
        <row r="137">
          <cell r="AM137">
            <v>435.59</v>
          </cell>
          <cell r="AP137" t="str">
            <v>SAAQ</v>
          </cell>
          <cell r="AQ137" t="str">
            <v>Uniformes</v>
          </cell>
          <cell r="AR137" t="str">
            <v>$</v>
          </cell>
          <cell r="AS137">
            <v>0</v>
          </cell>
          <cell r="AW137">
            <v>0</v>
          </cell>
          <cell r="AY137" t="str">
            <v>NB</v>
          </cell>
        </row>
        <row r="138">
          <cell r="AM138">
            <v>0</v>
          </cell>
          <cell r="AP138" t="e">
            <v>#N/A</v>
          </cell>
          <cell r="AQ138" t="e">
            <v>#N/A</v>
          </cell>
          <cell r="AR138" t="str">
            <v>$</v>
          </cell>
          <cell r="AS138" t="e">
            <v>#N/A</v>
          </cell>
          <cell r="AW138">
            <v>0</v>
          </cell>
          <cell r="AY138" t="str">
            <v>NB</v>
          </cell>
        </row>
        <row r="139">
          <cell r="AM139">
            <v>1520.7800000000007</v>
          </cell>
          <cell r="AP139" t="str">
            <v>Véhicules neufs</v>
          </cell>
          <cell r="AQ139" t="str">
            <v>Papeterie</v>
          </cell>
          <cell r="AR139" t="str">
            <v>$</v>
          </cell>
          <cell r="AS139">
            <v>0</v>
          </cell>
          <cell r="AW139">
            <v>0</v>
          </cell>
          <cell r="AY139" t="str">
            <v>NB</v>
          </cell>
        </row>
        <row r="140">
          <cell r="AM140">
            <v>811.39000000000033</v>
          </cell>
          <cell r="AP140" t="str">
            <v>Véhicules usagés</v>
          </cell>
          <cell r="AQ140" t="str">
            <v>Papeterie</v>
          </cell>
          <cell r="AR140" t="str">
            <v>$</v>
          </cell>
          <cell r="AS140">
            <v>0</v>
          </cell>
          <cell r="AW140">
            <v>0</v>
          </cell>
          <cell r="AY140" t="str">
            <v>NB</v>
          </cell>
        </row>
        <row r="141">
          <cell r="AM141">
            <v>250</v>
          </cell>
          <cell r="AP141" t="str">
            <v>Wholesale autres</v>
          </cell>
          <cell r="AQ141" t="str">
            <v>Papeterie</v>
          </cell>
          <cell r="AR141" t="str">
            <v>$</v>
          </cell>
          <cell r="AS141">
            <v>0</v>
          </cell>
          <cell r="AW141">
            <v>0</v>
          </cell>
          <cell r="AY141" t="str">
            <v>NB</v>
          </cell>
        </row>
        <row r="142">
          <cell r="AM142">
            <v>1631.4700000000012</v>
          </cell>
          <cell r="AP142" t="str">
            <v>Service</v>
          </cell>
          <cell r="AQ142" t="str">
            <v>Papeterie</v>
          </cell>
          <cell r="AR142" t="str">
            <v>$</v>
          </cell>
          <cell r="AS142">
            <v>0</v>
          </cell>
          <cell r="AW142">
            <v>0</v>
          </cell>
          <cell r="AY142" t="str">
            <v>NB</v>
          </cell>
        </row>
        <row r="143">
          <cell r="AM143">
            <v>405.70000000000027</v>
          </cell>
          <cell r="AP143" t="str">
            <v>Carrosserie</v>
          </cell>
          <cell r="AQ143" t="str">
            <v>Papeterie</v>
          </cell>
          <cell r="AR143" t="str">
            <v>$</v>
          </cell>
          <cell r="AS143">
            <v>0</v>
          </cell>
          <cell r="AW143">
            <v>0</v>
          </cell>
          <cell r="AY143" t="str">
            <v>NB</v>
          </cell>
        </row>
        <row r="144">
          <cell r="AM144">
            <v>533.02999999999975</v>
          </cell>
          <cell r="AP144" t="str">
            <v>Pièces</v>
          </cell>
          <cell r="AQ144" t="str">
            <v>Papeterie</v>
          </cell>
          <cell r="AR144" t="str">
            <v>$</v>
          </cell>
          <cell r="AS144">
            <v>0</v>
          </cell>
          <cell r="AW144">
            <v>0</v>
          </cell>
          <cell r="AY144" t="str">
            <v>NB</v>
          </cell>
        </row>
        <row r="145">
          <cell r="AM145">
            <v>0</v>
          </cell>
          <cell r="AP145" t="e">
            <v>#N/A</v>
          </cell>
          <cell r="AQ145" t="e">
            <v>#N/A</v>
          </cell>
          <cell r="AR145" t="str">
            <v>$</v>
          </cell>
          <cell r="AS145" t="e">
            <v>#N/A</v>
          </cell>
          <cell r="AW145">
            <v>0</v>
          </cell>
          <cell r="AY145" t="str">
            <v>NB</v>
          </cell>
        </row>
        <row r="146">
          <cell r="AM146">
            <v>144.63000000000011</v>
          </cell>
          <cell r="AP146" t="str">
            <v>Véhicules neufs</v>
          </cell>
          <cell r="AQ146" t="str">
            <v>Fournitures autres</v>
          </cell>
          <cell r="AR146" t="str">
            <v>$</v>
          </cell>
          <cell r="AS146">
            <v>0</v>
          </cell>
          <cell r="AW146">
            <v>0</v>
          </cell>
          <cell r="AY146" t="str">
            <v>NB</v>
          </cell>
        </row>
        <row r="147">
          <cell r="AM147">
            <v>64.910000000000082</v>
          </cell>
          <cell r="AP147" t="str">
            <v>Véhicules usagés</v>
          </cell>
          <cell r="AQ147" t="str">
            <v>Fournitures autres</v>
          </cell>
          <cell r="AR147" t="str">
            <v>$</v>
          </cell>
          <cell r="AS147">
            <v>0</v>
          </cell>
          <cell r="AW147">
            <v>0</v>
          </cell>
          <cell r="AY147" t="str">
            <v>NB</v>
          </cell>
        </row>
        <row r="148">
          <cell r="AM148">
            <v>0</v>
          </cell>
          <cell r="AP148" t="str">
            <v>Wholesale autres</v>
          </cell>
          <cell r="AQ148" t="str">
            <v>Fournitures autres</v>
          </cell>
          <cell r="AR148" t="str">
            <v>$</v>
          </cell>
          <cell r="AS148">
            <v>0</v>
          </cell>
          <cell r="AW148">
            <v>0</v>
          </cell>
          <cell r="AY148" t="str">
            <v>NB</v>
          </cell>
        </row>
        <row r="149">
          <cell r="AM149">
            <v>2286.7900000000009</v>
          </cell>
          <cell r="AP149" t="str">
            <v>Service</v>
          </cell>
          <cell r="AQ149" t="str">
            <v>Fournitures autres</v>
          </cell>
          <cell r="AR149" t="str">
            <v>$</v>
          </cell>
          <cell r="AS149">
            <v>0</v>
          </cell>
          <cell r="AW149">
            <v>0</v>
          </cell>
          <cell r="AY149" t="str">
            <v>NB</v>
          </cell>
        </row>
        <row r="150">
          <cell r="AM150">
            <v>6492.9900000000052</v>
          </cell>
          <cell r="AP150" t="str">
            <v>Carrosserie</v>
          </cell>
          <cell r="AQ150" t="str">
            <v>Fournitures autres</v>
          </cell>
          <cell r="AR150" t="str">
            <v>$</v>
          </cell>
          <cell r="AS150">
            <v>0</v>
          </cell>
          <cell r="AW150">
            <v>0</v>
          </cell>
          <cell r="AY150" t="str">
            <v>NB</v>
          </cell>
        </row>
        <row r="151">
          <cell r="AM151">
            <v>39.199999999999818</v>
          </cell>
          <cell r="AP151" t="str">
            <v>Pièces</v>
          </cell>
          <cell r="AQ151" t="str">
            <v>Fournitures autres</v>
          </cell>
          <cell r="AR151" t="str">
            <v>$</v>
          </cell>
          <cell r="AS151">
            <v>0</v>
          </cell>
          <cell r="AW151">
            <v>0</v>
          </cell>
          <cell r="AY151" t="str">
            <v>NB</v>
          </cell>
        </row>
        <row r="152">
          <cell r="AM152">
            <v>0</v>
          </cell>
          <cell r="AP152" t="str">
            <v>Service</v>
          </cell>
          <cell r="AQ152" t="str">
            <v>Fournitures autres</v>
          </cell>
          <cell r="AR152" t="str">
            <v>$</v>
          </cell>
          <cell r="AS152">
            <v>0</v>
          </cell>
          <cell r="AW152">
            <v>0</v>
          </cell>
          <cell r="AY152" t="str">
            <v>NB</v>
          </cell>
        </row>
        <row r="153">
          <cell r="AM153">
            <v>0</v>
          </cell>
          <cell r="AP153" t="e">
            <v>#N/A</v>
          </cell>
          <cell r="AQ153" t="e">
            <v>#N/A</v>
          </cell>
          <cell r="AR153" t="str">
            <v>$</v>
          </cell>
          <cell r="AS153" t="e">
            <v>#N/A</v>
          </cell>
          <cell r="AW153">
            <v>0</v>
          </cell>
          <cell r="AY153" t="str">
            <v>NB</v>
          </cell>
        </row>
        <row r="154">
          <cell r="AM154">
            <v>1784.8500000000004</v>
          </cell>
          <cell r="AP154" t="str">
            <v>Véhicules neufs</v>
          </cell>
          <cell r="AQ154" t="str">
            <v>Publicité 1</v>
          </cell>
          <cell r="AR154" t="str">
            <v>$</v>
          </cell>
          <cell r="AS154">
            <v>0</v>
          </cell>
          <cell r="AW154">
            <v>0</v>
          </cell>
          <cell r="AY154" t="str">
            <v>NB</v>
          </cell>
        </row>
        <row r="155">
          <cell r="AM155">
            <v>209.80000000000018</v>
          </cell>
          <cell r="AP155" t="str">
            <v>Véhicules usagés</v>
          </cell>
          <cell r="AQ155" t="str">
            <v>Publicité 1</v>
          </cell>
          <cell r="AR155" t="str">
            <v>$</v>
          </cell>
          <cell r="AS155">
            <v>0</v>
          </cell>
          <cell r="AW155">
            <v>0</v>
          </cell>
          <cell r="AY155" t="str">
            <v>NB</v>
          </cell>
        </row>
        <row r="156">
          <cell r="AM156">
            <v>0</v>
          </cell>
          <cell r="AP156" t="str">
            <v>Wholesale autres</v>
          </cell>
          <cell r="AQ156" t="str">
            <v>Publicité 1</v>
          </cell>
          <cell r="AR156" t="str">
            <v>$</v>
          </cell>
          <cell r="AS156">
            <v>0</v>
          </cell>
          <cell r="AW156">
            <v>0</v>
          </cell>
          <cell r="AY156" t="str">
            <v>NB</v>
          </cell>
        </row>
        <row r="157">
          <cell r="AM157">
            <v>1155.4500000000007</v>
          </cell>
          <cell r="AP157" t="str">
            <v>Service</v>
          </cell>
          <cell r="AQ157" t="str">
            <v>Publicité 2</v>
          </cell>
          <cell r="AR157" t="str">
            <v>$</v>
          </cell>
          <cell r="AS157">
            <v>0</v>
          </cell>
          <cell r="AW157">
            <v>0</v>
          </cell>
          <cell r="AY157" t="str">
            <v>NB</v>
          </cell>
        </row>
        <row r="158">
          <cell r="AM158">
            <v>52.450000000000045</v>
          </cell>
          <cell r="AP158" t="str">
            <v>Carrosserie</v>
          </cell>
          <cell r="AQ158" t="str">
            <v>Publicité 2</v>
          </cell>
          <cell r="AR158" t="str">
            <v>$</v>
          </cell>
          <cell r="AS158">
            <v>0</v>
          </cell>
          <cell r="AW158">
            <v>0</v>
          </cell>
          <cell r="AY158" t="str">
            <v>NB</v>
          </cell>
        </row>
        <row r="159">
          <cell r="AM159">
            <v>1155.46</v>
          </cell>
          <cell r="AP159" t="str">
            <v>Pièces</v>
          </cell>
          <cell r="AQ159" t="str">
            <v>Publicité 2</v>
          </cell>
          <cell r="AR159" t="str">
            <v>$</v>
          </cell>
          <cell r="AS159">
            <v>0</v>
          </cell>
          <cell r="AW159">
            <v>0</v>
          </cell>
          <cell r="AY159" t="str">
            <v>NB</v>
          </cell>
        </row>
        <row r="160">
          <cell r="AM160">
            <v>0</v>
          </cell>
          <cell r="AP160" t="str">
            <v>Véhicules neufs</v>
          </cell>
          <cell r="AQ160" t="str">
            <v>Publicité 1</v>
          </cell>
          <cell r="AR160" t="str">
            <v>$</v>
          </cell>
          <cell r="AS160">
            <v>0</v>
          </cell>
          <cell r="AW160">
            <v>0</v>
          </cell>
          <cell r="AY160" t="str">
            <v>NB</v>
          </cell>
        </row>
        <row r="161">
          <cell r="AM161">
            <v>0</v>
          </cell>
          <cell r="AP161" t="str">
            <v>Véhicules usagés</v>
          </cell>
          <cell r="AQ161" t="str">
            <v>Publicité 1</v>
          </cell>
          <cell r="AR161" t="str">
            <v>$</v>
          </cell>
          <cell r="AS161">
            <v>0</v>
          </cell>
          <cell r="AW161">
            <v>0</v>
          </cell>
          <cell r="AY161" t="str">
            <v>NB</v>
          </cell>
        </row>
        <row r="162">
          <cell r="AM162">
            <v>0</v>
          </cell>
          <cell r="AP162" t="str">
            <v>Service</v>
          </cell>
          <cell r="AQ162" t="str">
            <v>Publicité 2</v>
          </cell>
          <cell r="AR162" t="str">
            <v>$</v>
          </cell>
          <cell r="AS162">
            <v>0</v>
          </cell>
          <cell r="AW162">
            <v>0</v>
          </cell>
          <cell r="AY162" t="str">
            <v>NB</v>
          </cell>
        </row>
        <row r="163">
          <cell r="AM163">
            <v>0</v>
          </cell>
          <cell r="AP163" t="str">
            <v>Carrosserie</v>
          </cell>
          <cell r="AQ163" t="str">
            <v>Publicité 2</v>
          </cell>
          <cell r="AR163" t="str">
            <v>$</v>
          </cell>
          <cell r="AS163">
            <v>0</v>
          </cell>
          <cell r="AW163">
            <v>0</v>
          </cell>
          <cell r="AY163" t="str">
            <v>NB</v>
          </cell>
        </row>
        <row r="164">
          <cell r="AM164">
            <v>0</v>
          </cell>
          <cell r="AP164" t="str">
            <v>Pièces</v>
          </cell>
          <cell r="AQ164" t="str">
            <v>Publicité 2</v>
          </cell>
          <cell r="AR164" t="str">
            <v>$</v>
          </cell>
          <cell r="AS164">
            <v>0</v>
          </cell>
          <cell r="AW164">
            <v>0</v>
          </cell>
          <cell r="AY164" t="str">
            <v>NB</v>
          </cell>
        </row>
        <row r="165">
          <cell r="AM165">
            <v>0</v>
          </cell>
          <cell r="AP165" t="str">
            <v>SAAQ</v>
          </cell>
          <cell r="AQ165" t="str">
            <v>Publicité 2</v>
          </cell>
          <cell r="AR165" t="str">
            <v>$</v>
          </cell>
          <cell r="AS165">
            <v>0</v>
          </cell>
          <cell r="AW165">
            <v>0</v>
          </cell>
          <cell r="AY165" t="str">
            <v>NB</v>
          </cell>
        </row>
        <row r="166">
          <cell r="AM166">
            <v>0</v>
          </cell>
          <cell r="AP166" t="e">
            <v>#N/A</v>
          </cell>
          <cell r="AQ166" t="e">
            <v>#N/A</v>
          </cell>
          <cell r="AR166" t="str">
            <v>$</v>
          </cell>
          <cell r="AS166" t="e">
            <v>#N/A</v>
          </cell>
          <cell r="AW166">
            <v>0</v>
          </cell>
          <cell r="AY166" t="str">
            <v>NB</v>
          </cell>
        </row>
        <row r="167">
          <cell r="AM167">
            <v>0</v>
          </cell>
          <cell r="AP167" t="e">
            <v>#N/A</v>
          </cell>
          <cell r="AQ167" t="e">
            <v>#N/A</v>
          </cell>
          <cell r="AR167" t="str">
            <v>$</v>
          </cell>
          <cell r="AS167" t="e">
            <v>#N/A</v>
          </cell>
          <cell r="AW167">
            <v>0</v>
          </cell>
          <cell r="AY167" t="str">
            <v>NB</v>
          </cell>
        </row>
        <row r="168">
          <cell r="AM168">
            <v>10995.080000000002</v>
          </cell>
          <cell r="AP168" t="str">
            <v>Véhicules neufs</v>
          </cell>
          <cell r="AQ168" t="str">
            <v>Publicité 1</v>
          </cell>
          <cell r="AR168" t="str">
            <v>$</v>
          </cell>
          <cell r="AS168">
            <v>0</v>
          </cell>
          <cell r="AW168">
            <v>0</v>
          </cell>
          <cell r="AY168" t="str">
            <v>NB</v>
          </cell>
        </row>
        <row r="169">
          <cell r="AM169">
            <v>5183.7200000000012</v>
          </cell>
          <cell r="AP169" t="str">
            <v>Véhicules usagés</v>
          </cell>
          <cell r="AQ169" t="str">
            <v>Publicité 1</v>
          </cell>
          <cell r="AR169" t="str">
            <v>$</v>
          </cell>
          <cell r="AS169">
            <v>0</v>
          </cell>
          <cell r="AW169">
            <v>0</v>
          </cell>
          <cell r="AY169" t="str">
            <v>NB</v>
          </cell>
        </row>
        <row r="170">
          <cell r="AM170">
            <v>0</v>
          </cell>
          <cell r="AP170" t="str">
            <v>Wholesale autres</v>
          </cell>
          <cell r="AQ170" t="str">
            <v>Publicité 1</v>
          </cell>
          <cell r="AR170" t="str">
            <v>$</v>
          </cell>
          <cell r="AS170">
            <v>0</v>
          </cell>
          <cell r="AW170">
            <v>0</v>
          </cell>
          <cell r="AY170" t="str">
            <v>NB</v>
          </cell>
        </row>
        <row r="171">
          <cell r="AM171">
            <v>425.93000000000029</v>
          </cell>
          <cell r="AP171" t="str">
            <v>Service</v>
          </cell>
          <cell r="AQ171" t="str">
            <v>Publicité 2</v>
          </cell>
          <cell r="AR171" t="str">
            <v>$</v>
          </cell>
          <cell r="AS171">
            <v>0</v>
          </cell>
          <cell r="AW171">
            <v>0</v>
          </cell>
          <cell r="AY171" t="str">
            <v>NB</v>
          </cell>
        </row>
        <row r="172">
          <cell r="AM172">
            <v>0</v>
          </cell>
          <cell r="AP172" t="str">
            <v>Carrosserie</v>
          </cell>
          <cell r="AQ172" t="str">
            <v>Publicité 2</v>
          </cell>
          <cell r="AR172" t="str">
            <v>$</v>
          </cell>
          <cell r="AS172">
            <v>0</v>
          </cell>
          <cell r="AW172">
            <v>0</v>
          </cell>
          <cell r="AY172" t="str">
            <v>NB</v>
          </cell>
        </row>
        <row r="173">
          <cell r="AM173">
            <v>0</v>
          </cell>
          <cell r="AP173" t="str">
            <v>Pièces</v>
          </cell>
          <cell r="AQ173" t="str">
            <v>Publicité 2</v>
          </cell>
          <cell r="AR173" t="str">
            <v>$</v>
          </cell>
          <cell r="AS173">
            <v>0</v>
          </cell>
          <cell r="AW173">
            <v>0</v>
          </cell>
          <cell r="AY173" t="str">
            <v>NB</v>
          </cell>
        </row>
        <row r="174">
          <cell r="AM174">
            <v>0</v>
          </cell>
          <cell r="AP174" t="e">
            <v>#N/A</v>
          </cell>
          <cell r="AQ174" t="e">
            <v>#N/A</v>
          </cell>
          <cell r="AR174" t="str">
            <v>$</v>
          </cell>
          <cell r="AS174" t="e">
            <v>#N/A</v>
          </cell>
          <cell r="AW174">
            <v>0</v>
          </cell>
          <cell r="AY174" t="str">
            <v>NB</v>
          </cell>
        </row>
        <row r="175">
          <cell r="AM175">
            <v>0</v>
          </cell>
          <cell r="AP175" t="str">
            <v>Véhicules neufs</v>
          </cell>
          <cell r="AQ175" t="str">
            <v>Publicité 1</v>
          </cell>
          <cell r="AR175" t="str">
            <v>$</v>
          </cell>
          <cell r="AS175">
            <v>0</v>
          </cell>
          <cell r="AW175">
            <v>0</v>
          </cell>
          <cell r="AY175" t="str">
            <v>NB</v>
          </cell>
        </row>
        <row r="176">
          <cell r="AM176">
            <v>0</v>
          </cell>
          <cell r="AP176" t="str">
            <v>Véhicules usagés</v>
          </cell>
          <cell r="AQ176" t="str">
            <v>Publicité 1</v>
          </cell>
          <cell r="AR176" t="str">
            <v>$</v>
          </cell>
          <cell r="AS176">
            <v>0</v>
          </cell>
          <cell r="AW176">
            <v>0</v>
          </cell>
          <cell r="AY176" t="str">
            <v>NB</v>
          </cell>
        </row>
        <row r="177">
          <cell r="AM177">
            <v>0</v>
          </cell>
          <cell r="AP177" t="str">
            <v>Service</v>
          </cell>
          <cell r="AQ177" t="str">
            <v>Publicité 2</v>
          </cell>
          <cell r="AR177" t="str">
            <v>$</v>
          </cell>
          <cell r="AS177">
            <v>0</v>
          </cell>
          <cell r="AW177">
            <v>0</v>
          </cell>
          <cell r="AY177" t="str">
            <v>NB</v>
          </cell>
        </row>
        <row r="178">
          <cell r="AM178">
            <v>0</v>
          </cell>
          <cell r="AP178" t="str">
            <v>Carrosserie</v>
          </cell>
          <cell r="AQ178" t="str">
            <v>Publicité 2</v>
          </cell>
          <cell r="AR178" t="str">
            <v>$</v>
          </cell>
          <cell r="AS178">
            <v>0</v>
          </cell>
          <cell r="AW178">
            <v>0</v>
          </cell>
          <cell r="AY178" t="str">
            <v>NB</v>
          </cell>
        </row>
        <row r="179">
          <cell r="AM179">
            <v>0</v>
          </cell>
          <cell r="AP179" t="str">
            <v>Pièces</v>
          </cell>
          <cell r="AQ179" t="str">
            <v>Publicité 2</v>
          </cell>
          <cell r="AR179" t="str">
            <v>$</v>
          </cell>
          <cell r="AS179">
            <v>0</v>
          </cell>
          <cell r="AW179">
            <v>0</v>
          </cell>
          <cell r="AY179" t="str">
            <v>NB</v>
          </cell>
        </row>
        <row r="180">
          <cell r="AM180">
            <v>3927.7799999999988</v>
          </cell>
          <cell r="AP180" t="str">
            <v>Service</v>
          </cell>
          <cell r="AQ180" t="str">
            <v>Service gratuit 2</v>
          </cell>
          <cell r="AR180" t="str">
            <v>$</v>
          </cell>
          <cell r="AS180">
            <v>0</v>
          </cell>
          <cell r="AW180">
            <v>0</v>
          </cell>
          <cell r="AY180" t="str">
            <v>NB</v>
          </cell>
        </row>
        <row r="181">
          <cell r="AM181">
            <v>171.29000000000087</v>
          </cell>
          <cell r="AP181" t="str">
            <v>Carrosserie</v>
          </cell>
          <cell r="AQ181" t="str">
            <v>Service gratuit 2</v>
          </cell>
          <cell r="AR181" t="str">
            <v>$</v>
          </cell>
          <cell r="AS181">
            <v>0</v>
          </cell>
          <cell r="AW181">
            <v>0</v>
          </cell>
          <cell r="AY181" t="str">
            <v>NB</v>
          </cell>
        </row>
        <row r="182">
          <cell r="AM182">
            <v>0</v>
          </cell>
          <cell r="AP182" t="str">
            <v>Pièces</v>
          </cell>
          <cell r="AQ182" t="str">
            <v>Service gratuit 2</v>
          </cell>
          <cell r="AR182" t="str">
            <v>$</v>
          </cell>
          <cell r="AS182">
            <v>0</v>
          </cell>
          <cell r="AW182">
            <v>0</v>
          </cell>
          <cell r="AY182" t="str">
            <v>NB</v>
          </cell>
        </row>
        <row r="183">
          <cell r="AM183">
            <v>0</v>
          </cell>
          <cell r="AP183" t="str">
            <v>SAAQ</v>
          </cell>
          <cell r="AQ183" t="str">
            <v>Service gratuit 2</v>
          </cell>
          <cell r="AR183" t="str">
            <v>$</v>
          </cell>
          <cell r="AS183">
            <v>0</v>
          </cell>
          <cell r="AW183">
            <v>0</v>
          </cell>
          <cell r="AY183" t="str">
            <v>NB</v>
          </cell>
        </row>
        <row r="184">
          <cell r="AM184">
            <v>0</v>
          </cell>
          <cell r="AP184" t="e">
            <v>#N/A</v>
          </cell>
          <cell r="AQ184" t="e">
            <v>#N/A</v>
          </cell>
          <cell r="AR184" t="str">
            <v>$</v>
          </cell>
          <cell r="AS184" t="e">
            <v>#N/A</v>
          </cell>
          <cell r="AW184">
            <v>0</v>
          </cell>
          <cell r="AY184" t="str">
            <v>NB</v>
          </cell>
        </row>
        <row r="185">
          <cell r="AM185">
            <v>4814.8299999999981</v>
          </cell>
          <cell r="AP185" t="str">
            <v>Véhicules neufs</v>
          </cell>
          <cell r="AQ185" t="str">
            <v>Informatique</v>
          </cell>
          <cell r="AR185" t="str">
            <v>$</v>
          </cell>
          <cell r="AS185">
            <v>0</v>
          </cell>
          <cell r="AW185">
            <v>0</v>
          </cell>
          <cell r="AY185" t="str">
            <v>NB</v>
          </cell>
        </row>
        <row r="186">
          <cell r="AM186">
            <v>2309.1100000000006</v>
          </cell>
          <cell r="AP186" t="str">
            <v>Véhicules usagés</v>
          </cell>
          <cell r="AQ186" t="str">
            <v>Informatique</v>
          </cell>
          <cell r="AR186" t="str">
            <v>$</v>
          </cell>
          <cell r="AS186">
            <v>0</v>
          </cell>
          <cell r="AW186">
            <v>0</v>
          </cell>
          <cell r="AY186" t="str">
            <v>NB</v>
          </cell>
        </row>
        <row r="187">
          <cell r="AM187">
            <v>0</v>
          </cell>
          <cell r="AP187" t="str">
            <v>Wholesale autres</v>
          </cell>
          <cell r="AQ187" t="str">
            <v>Informatique</v>
          </cell>
          <cell r="AR187" t="str">
            <v>$</v>
          </cell>
          <cell r="AS187">
            <v>0</v>
          </cell>
          <cell r="AW187">
            <v>0</v>
          </cell>
          <cell r="AY187" t="str">
            <v>NB</v>
          </cell>
        </row>
        <row r="188">
          <cell r="AM188">
            <v>3118.8300000000017</v>
          </cell>
          <cell r="AP188" t="str">
            <v>Service</v>
          </cell>
          <cell r="AQ188" t="str">
            <v>Informatique</v>
          </cell>
          <cell r="AR188" t="str">
            <v>$</v>
          </cell>
          <cell r="AS188">
            <v>0</v>
          </cell>
          <cell r="AW188">
            <v>0</v>
          </cell>
          <cell r="AY188" t="str">
            <v>NB</v>
          </cell>
        </row>
        <row r="189">
          <cell r="AM189">
            <v>1879.2800000000025</v>
          </cell>
          <cell r="AP189" t="str">
            <v>Carrosserie</v>
          </cell>
          <cell r="AQ189" t="str">
            <v>Informatique</v>
          </cell>
          <cell r="AR189" t="str">
            <v>$</v>
          </cell>
          <cell r="AS189">
            <v>0</v>
          </cell>
          <cell r="AW189">
            <v>0</v>
          </cell>
          <cell r="AY189" t="str">
            <v>NB</v>
          </cell>
        </row>
        <row r="190">
          <cell r="AM190">
            <v>1981.5600000000013</v>
          </cell>
          <cell r="AP190" t="str">
            <v>Pièces</v>
          </cell>
          <cell r="AQ190" t="str">
            <v>Informatique</v>
          </cell>
          <cell r="AR190" t="str">
            <v>$</v>
          </cell>
          <cell r="AS190">
            <v>0</v>
          </cell>
          <cell r="AW190">
            <v>0</v>
          </cell>
          <cell r="AY190" t="str">
            <v>NB</v>
          </cell>
        </row>
        <row r="191">
          <cell r="AM191">
            <v>0</v>
          </cell>
          <cell r="AP191" t="str">
            <v>SAAQ</v>
          </cell>
          <cell r="AQ191" t="str">
            <v>Informatique</v>
          </cell>
          <cell r="AR191" t="str">
            <v>$</v>
          </cell>
          <cell r="AS191">
            <v>0</v>
          </cell>
          <cell r="AW191">
            <v>0</v>
          </cell>
          <cell r="AY191" t="str">
            <v>NB</v>
          </cell>
        </row>
        <row r="192">
          <cell r="AM192">
            <v>0</v>
          </cell>
          <cell r="AP192" t="e">
            <v>#N/A</v>
          </cell>
          <cell r="AQ192" t="e">
            <v>#N/A</v>
          </cell>
          <cell r="AR192" t="str">
            <v>$</v>
          </cell>
          <cell r="AS192" t="e">
            <v>#N/A</v>
          </cell>
          <cell r="AW192">
            <v>0</v>
          </cell>
          <cell r="AY192" t="str">
            <v>NB</v>
          </cell>
        </row>
        <row r="193">
          <cell r="AM193">
            <v>0</v>
          </cell>
          <cell r="AP193" t="e">
            <v>#N/A</v>
          </cell>
          <cell r="AQ193" t="e">
            <v>#N/A</v>
          </cell>
          <cell r="AR193" t="str">
            <v>$</v>
          </cell>
          <cell r="AS193" t="e">
            <v>#N/A</v>
          </cell>
          <cell r="AW193">
            <v>0</v>
          </cell>
          <cell r="AY193" t="str">
            <v>NB</v>
          </cell>
        </row>
        <row r="194">
          <cell r="AM194">
            <v>2049.0699999999997</v>
          </cell>
          <cell r="AP194" t="str">
            <v>Véhicules neufs</v>
          </cell>
          <cell r="AQ194" t="str">
            <v>Services extérieurs</v>
          </cell>
          <cell r="AR194" t="str">
            <v>$</v>
          </cell>
          <cell r="AS194">
            <v>0</v>
          </cell>
          <cell r="AW194">
            <v>0</v>
          </cell>
          <cell r="AY194" t="str">
            <v>NB</v>
          </cell>
        </row>
        <row r="195">
          <cell r="AM195">
            <v>991.57999999999993</v>
          </cell>
          <cell r="AP195" t="str">
            <v>Véhicules usagés</v>
          </cell>
          <cell r="AQ195" t="str">
            <v>Services extérieurs</v>
          </cell>
          <cell r="AR195" t="str">
            <v>$</v>
          </cell>
          <cell r="AS195">
            <v>0</v>
          </cell>
          <cell r="AW195">
            <v>0</v>
          </cell>
          <cell r="AY195" t="str">
            <v>NB</v>
          </cell>
        </row>
        <row r="196">
          <cell r="AM196">
            <v>0</v>
          </cell>
          <cell r="AP196" t="str">
            <v>Wholesale autres</v>
          </cell>
          <cell r="AQ196" t="str">
            <v>Services extérieurs</v>
          </cell>
          <cell r="AR196" t="str">
            <v>$</v>
          </cell>
          <cell r="AS196">
            <v>0</v>
          </cell>
          <cell r="AW196">
            <v>0</v>
          </cell>
          <cell r="AY196" t="str">
            <v>NB</v>
          </cell>
        </row>
        <row r="197">
          <cell r="AM197">
            <v>8069.5</v>
          </cell>
          <cell r="AP197" t="str">
            <v>Service</v>
          </cell>
          <cell r="AQ197" t="str">
            <v>Services extérieurs</v>
          </cell>
          <cell r="AR197" t="str">
            <v>$</v>
          </cell>
          <cell r="AS197">
            <v>0</v>
          </cell>
          <cell r="AW197">
            <v>0</v>
          </cell>
          <cell r="AY197" t="str">
            <v>NB</v>
          </cell>
        </row>
        <row r="198">
          <cell r="AM198">
            <v>1535.17</v>
          </cell>
          <cell r="AP198" t="str">
            <v>Carrosserie</v>
          </cell>
          <cell r="AQ198" t="str">
            <v>Services extérieurs</v>
          </cell>
          <cell r="AR198" t="str">
            <v>$</v>
          </cell>
          <cell r="AS198">
            <v>0</v>
          </cell>
          <cell r="AW198">
            <v>0</v>
          </cell>
          <cell r="AY198" t="str">
            <v>NB</v>
          </cell>
        </row>
        <row r="199">
          <cell r="AM199">
            <v>512.53999999999905</v>
          </cell>
          <cell r="AP199" t="str">
            <v>Pièces</v>
          </cell>
          <cell r="AQ199" t="str">
            <v>Services extérieurs</v>
          </cell>
          <cell r="AR199" t="str">
            <v>$</v>
          </cell>
          <cell r="AS199">
            <v>0</v>
          </cell>
          <cell r="AW199">
            <v>0</v>
          </cell>
          <cell r="AY199" t="str">
            <v>NB</v>
          </cell>
        </row>
        <row r="200">
          <cell r="AM200">
            <v>0</v>
          </cell>
          <cell r="AP200" t="str">
            <v>SAAQ</v>
          </cell>
          <cell r="AQ200" t="str">
            <v>Services extérieurs</v>
          </cell>
          <cell r="AR200" t="str">
            <v>$</v>
          </cell>
          <cell r="AS200">
            <v>0</v>
          </cell>
          <cell r="AW200">
            <v>0</v>
          </cell>
          <cell r="AY200" t="str">
            <v>NB</v>
          </cell>
        </row>
        <row r="201">
          <cell r="AM201">
            <v>0</v>
          </cell>
          <cell r="AP201" t="e">
            <v>#N/A</v>
          </cell>
          <cell r="AQ201" t="e">
            <v>#N/A</v>
          </cell>
          <cell r="AR201" t="str">
            <v>$</v>
          </cell>
          <cell r="AS201" t="e">
            <v>#N/A</v>
          </cell>
          <cell r="AW201">
            <v>0</v>
          </cell>
          <cell r="AY201" t="str">
            <v>NB</v>
          </cell>
        </row>
        <row r="202">
          <cell r="AM202">
            <v>0</v>
          </cell>
          <cell r="AP202" t="e">
            <v>#N/A</v>
          </cell>
          <cell r="AQ202" t="e">
            <v>#N/A</v>
          </cell>
          <cell r="AR202" t="str">
            <v>$</v>
          </cell>
          <cell r="AS202" t="e">
            <v>#N/A</v>
          </cell>
          <cell r="AW202">
            <v>0</v>
          </cell>
          <cell r="AY202" t="str">
            <v>NB</v>
          </cell>
        </row>
        <row r="203">
          <cell r="AM203">
            <v>224.38999999999987</v>
          </cell>
          <cell r="AP203" t="str">
            <v>Véhicules neufs</v>
          </cell>
          <cell r="AQ203" t="str">
            <v>Frais de déplacement</v>
          </cell>
          <cell r="AR203" t="str">
            <v>$</v>
          </cell>
          <cell r="AS203">
            <v>0</v>
          </cell>
          <cell r="AW203">
            <v>0</v>
          </cell>
          <cell r="AY203" t="str">
            <v>NB</v>
          </cell>
        </row>
        <row r="204">
          <cell r="AM204">
            <v>859.64999999999782</v>
          </cell>
          <cell r="AP204" t="str">
            <v>Véhicules neufs</v>
          </cell>
          <cell r="AQ204" t="str">
            <v>Frais de déplacement</v>
          </cell>
          <cell r="AR204" t="str">
            <v>$</v>
          </cell>
          <cell r="AS204">
            <v>0</v>
          </cell>
          <cell r="AW204">
            <v>0</v>
          </cell>
          <cell r="AY204" t="str">
            <v>NB</v>
          </cell>
        </row>
        <row r="205">
          <cell r="AM205">
            <v>0</v>
          </cell>
          <cell r="AP205" t="str">
            <v>Véhicules neufs</v>
          </cell>
          <cell r="AQ205" t="str">
            <v>Frais de déplacement</v>
          </cell>
          <cell r="AR205" t="str">
            <v>$</v>
          </cell>
          <cell r="AS205">
            <v>0</v>
          </cell>
          <cell r="AW205">
            <v>0</v>
          </cell>
          <cell r="AY205" t="str">
            <v>NB</v>
          </cell>
        </row>
        <row r="206">
          <cell r="AM206">
            <v>557.3799999999992</v>
          </cell>
          <cell r="AP206" t="str">
            <v>Véhicules usagés</v>
          </cell>
          <cell r="AQ206" t="str">
            <v>Frais de déplacement</v>
          </cell>
          <cell r="AR206" t="str">
            <v>$</v>
          </cell>
          <cell r="AS206">
            <v>0</v>
          </cell>
          <cell r="AW206">
            <v>0</v>
          </cell>
          <cell r="AY206" t="str">
            <v>NB</v>
          </cell>
        </row>
        <row r="207">
          <cell r="AM207">
            <v>0</v>
          </cell>
          <cell r="AP207" t="str">
            <v>Véhicules usagés</v>
          </cell>
          <cell r="AQ207" t="str">
            <v>Frais de déplacement</v>
          </cell>
          <cell r="AR207" t="str">
            <v>$</v>
          </cell>
          <cell r="AS207">
            <v>0</v>
          </cell>
          <cell r="AW207">
            <v>0</v>
          </cell>
          <cell r="AY207" t="str">
            <v>NB</v>
          </cell>
        </row>
        <row r="208">
          <cell r="AM208">
            <v>0</v>
          </cell>
          <cell r="AP208" t="str">
            <v>Wholesale autres</v>
          </cell>
          <cell r="AQ208" t="str">
            <v>Frais de déplacement</v>
          </cell>
          <cell r="AR208" t="str">
            <v>$</v>
          </cell>
          <cell r="AS208">
            <v>0</v>
          </cell>
          <cell r="AW208">
            <v>0</v>
          </cell>
          <cell r="AY208" t="str">
            <v>NB</v>
          </cell>
        </row>
        <row r="209">
          <cell r="AM209">
            <v>0</v>
          </cell>
          <cell r="AP209" t="str">
            <v>Wholesale autres</v>
          </cell>
          <cell r="AQ209" t="str">
            <v>Frais de déplacement</v>
          </cell>
          <cell r="AR209" t="str">
            <v>$</v>
          </cell>
          <cell r="AS209">
            <v>0</v>
          </cell>
          <cell r="AW209">
            <v>0</v>
          </cell>
          <cell r="AY209" t="str">
            <v>NB</v>
          </cell>
        </row>
        <row r="210">
          <cell r="AM210">
            <v>836.06999999999971</v>
          </cell>
          <cell r="AP210" t="str">
            <v>Service</v>
          </cell>
          <cell r="AQ210" t="str">
            <v>Frais de déplacement</v>
          </cell>
          <cell r="AR210" t="str">
            <v>$</v>
          </cell>
          <cell r="AS210">
            <v>0</v>
          </cell>
          <cell r="AW210">
            <v>0</v>
          </cell>
          <cell r="AY210" t="str">
            <v>NB</v>
          </cell>
        </row>
        <row r="211">
          <cell r="AM211">
            <v>0</v>
          </cell>
          <cell r="AP211" t="str">
            <v>Service</v>
          </cell>
          <cell r="AQ211" t="str">
            <v>Frais de déplacement</v>
          </cell>
          <cell r="AR211" t="str">
            <v>$</v>
          </cell>
          <cell r="AS211">
            <v>0</v>
          </cell>
          <cell r="AW211">
            <v>0</v>
          </cell>
          <cell r="AY211" t="str">
            <v>NB</v>
          </cell>
        </row>
        <row r="212">
          <cell r="AM212">
            <v>278.69000000000051</v>
          </cell>
          <cell r="AP212" t="str">
            <v>Carrosserie</v>
          </cell>
          <cell r="AQ212" t="str">
            <v>Frais de déplacement</v>
          </cell>
          <cell r="AR212" t="str">
            <v>$</v>
          </cell>
          <cell r="AS212">
            <v>0</v>
          </cell>
          <cell r="AW212">
            <v>0</v>
          </cell>
          <cell r="AY212" t="str">
            <v>NB</v>
          </cell>
        </row>
        <row r="213">
          <cell r="AM213">
            <v>0</v>
          </cell>
          <cell r="AP213" t="str">
            <v>Carrosserie</v>
          </cell>
          <cell r="AQ213" t="str">
            <v>Frais de déplacement</v>
          </cell>
          <cell r="AR213" t="str">
            <v>$</v>
          </cell>
          <cell r="AS213">
            <v>0</v>
          </cell>
          <cell r="AW213">
            <v>0</v>
          </cell>
          <cell r="AY213" t="str">
            <v>NB</v>
          </cell>
        </row>
        <row r="214">
          <cell r="AM214">
            <v>278.6899999999996</v>
          </cell>
          <cell r="AP214" t="str">
            <v>Pièces</v>
          </cell>
          <cell r="AQ214" t="str">
            <v>Frais de déplacement</v>
          </cell>
          <cell r="AR214" t="str">
            <v>$</v>
          </cell>
          <cell r="AS214">
            <v>0</v>
          </cell>
          <cell r="AW214">
            <v>0</v>
          </cell>
          <cell r="AY214" t="str">
            <v>NB</v>
          </cell>
        </row>
        <row r="215">
          <cell r="AM215">
            <v>0</v>
          </cell>
          <cell r="AP215" t="str">
            <v>Pièces</v>
          </cell>
          <cell r="AQ215" t="str">
            <v>Frais de déplacement</v>
          </cell>
          <cell r="AR215" t="str">
            <v>$</v>
          </cell>
          <cell r="AS215">
            <v>0</v>
          </cell>
          <cell r="AW215">
            <v>0</v>
          </cell>
          <cell r="AY215" t="str">
            <v>NB</v>
          </cell>
        </row>
        <row r="216">
          <cell r="AM216">
            <v>0</v>
          </cell>
          <cell r="AP216" t="e">
            <v>#N/A</v>
          </cell>
          <cell r="AQ216" t="e">
            <v>#N/A</v>
          </cell>
          <cell r="AR216" t="str">
            <v>$</v>
          </cell>
          <cell r="AS216" t="e">
            <v>#N/A</v>
          </cell>
          <cell r="AW216">
            <v>0</v>
          </cell>
          <cell r="AY216" t="str">
            <v>NB</v>
          </cell>
        </row>
        <row r="217">
          <cell r="AM217">
            <v>1999.5599999999995</v>
          </cell>
          <cell r="AP217" t="str">
            <v>Véhicules neufs</v>
          </cell>
          <cell r="AQ217" t="str">
            <v>Divers</v>
          </cell>
          <cell r="AR217" t="str">
            <v>$</v>
          </cell>
          <cell r="AS217">
            <v>0</v>
          </cell>
          <cell r="AW217">
            <v>0</v>
          </cell>
          <cell r="AY217" t="str">
            <v>NB</v>
          </cell>
        </row>
        <row r="218">
          <cell r="AM218">
            <v>1149.3000000000011</v>
          </cell>
          <cell r="AP218" t="str">
            <v>Véhicules usagés</v>
          </cell>
          <cell r="AQ218" t="str">
            <v>Divers</v>
          </cell>
          <cell r="AR218" t="str">
            <v>$</v>
          </cell>
          <cell r="AS218">
            <v>0</v>
          </cell>
          <cell r="AW218">
            <v>0</v>
          </cell>
          <cell r="AY218" t="str">
            <v>NB</v>
          </cell>
        </row>
        <row r="219">
          <cell r="AM219">
            <v>678.69999999999982</v>
          </cell>
          <cell r="AP219" t="str">
            <v>Service</v>
          </cell>
          <cell r="AQ219" t="str">
            <v>Divers</v>
          </cell>
          <cell r="AR219" t="str">
            <v>$</v>
          </cell>
          <cell r="AS219">
            <v>0</v>
          </cell>
          <cell r="AW219">
            <v>0</v>
          </cell>
          <cell r="AY219" t="str">
            <v>NB</v>
          </cell>
        </row>
        <row r="220">
          <cell r="AM220">
            <v>1327.4300000000003</v>
          </cell>
          <cell r="AP220" t="str">
            <v>Carrosserie</v>
          </cell>
          <cell r="AQ220" t="str">
            <v>Divers</v>
          </cell>
          <cell r="AR220" t="str">
            <v>$</v>
          </cell>
          <cell r="AS220">
            <v>0</v>
          </cell>
          <cell r="AW220">
            <v>0</v>
          </cell>
          <cell r="AY220" t="str">
            <v>NB</v>
          </cell>
        </row>
        <row r="221">
          <cell r="AM221">
            <v>3356.1899999999987</v>
          </cell>
          <cell r="AP221" t="str">
            <v>Carrosserie</v>
          </cell>
          <cell r="AQ221" t="str">
            <v>Frais assurances</v>
          </cell>
          <cell r="AR221" t="str">
            <v>$</v>
          </cell>
          <cell r="AS221">
            <v>0</v>
          </cell>
          <cell r="AW221">
            <v>0</v>
          </cell>
          <cell r="AY221" t="str">
            <v>NB</v>
          </cell>
        </row>
        <row r="222">
          <cell r="AM222">
            <v>966.59999999999854</v>
          </cell>
          <cell r="AP222" t="str">
            <v>Pièces</v>
          </cell>
          <cell r="AQ222" t="str">
            <v>Divers</v>
          </cell>
          <cell r="AR222" t="str">
            <v>$</v>
          </cell>
          <cell r="AS222">
            <v>0</v>
          </cell>
          <cell r="AW222">
            <v>0</v>
          </cell>
          <cell r="AY222" t="str">
            <v>NB</v>
          </cell>
        </row>
        <row r="223">
          <cell r="AM223">
            <v>0</v>
          </cell>
          <cell r="AP223" t="e">
            <v>#N/A</v>
          </cell>
          <cell r="AQ223" t="e">
            <v>#N/A</v>
          </cell>
          <cell r="AR223" t="str">
            <v>$</v>
          </cell>
          <cell r="AS223" t="e">
            <v>#N/A</v>
          </cell>
          <cell r="AW223">
            <v>0</v>
          </cell>
          <cell r="AY223" t="str">
            <v>NB</v>
          </cell>
        </row>
        <row r="224">
          <cell r="AM224">
            <v>3310.4400000000005</v>
          </cell>
          <cell r="AP224" t="str">
            <v>Véhicules neufs</v>
          </cell>
          <cell r="AQ224" t="str">
            <v>Honoraires</v>
          </cell>
          <cell r="AR224" t="str">
            <v>$</v>
          </cell>
          <cell r="AS224">
            <v>0</v>
          </cell>
          <cell r="AW224">
            <v>0</v>
          </cell>
          <cell r="AY224" t="str">
            <v>NB</v>
          </cell>
        </row>
        <row r="225">
          <cell r="AM225">
            <v>2052.9400000000005</v>
          </cell>
          <cell r="AP225" t="str">
            <v>Véhicules usagés</v>
          </cell>
          <cell r="AQ225" t="str">
            <v>Honoraires</v>
          </cell>
          <cell r="AR225" t="str">
            <v>$</v>
          </cell>
          <cell r="AS225">
            <v>0</v>
          </cell>
          <cell r="AW225">
            <v>0</v>
          </cell>
          <cell r="AY225" t="str">
            <v>NB</v>
          </cell>
        </row>
        <row r="226">
          <cell r="AM226">
            <v>0</v>
          </cell>
          <cell r="AP226" t="str">
            <v>Wholesale autres</v>
          </cell>
          <cell r="AQ226" t="str">
            <v>Honoraires</v>
          </cell>
          <cell r="AR226" t="str">
            <v>$</v>
          </cell>
          <cell r="AS226">
            <v>0</v>
          </cell>
          <cell r="AW226">
            <v>0</v>
          </cell>
          <cell r="AY226" t="str">
            <v>NB</v>
          </cell>
        </row>
        <row r="227">
          <cell r="AM227">
            <v>3109.4400000000005</v>
          </cell>
          <cell r="AP227" t="str">
            <v>Service</v>
          </cell>
          <cell r="AQ227" t="str">
            <v>Honoraires</v>
          </cell>
          <cell r="AR227" t="str">
            <v>$</v>
          </cell>
          <cell r="AS227">
            <v>0</v>
          </cell>
          <cell r="AW227">
            <v>0</v>
          </cell>
          <cell r="AY227" t="str">
            <v>NB</v>
          </cell>
        </row>
        <row r="228">
          <cell r="AM228">
            <v>1026.4800000000005</v>
          </cell>
          <cell r="AP228" t="str">
            <v>Carrosserie</v>
          </cell>
          <cell r="AQ228" t="str">
            <v>Honoraires</v>
          </cell>
          <cell r="AR228" t="str">
            <v>$</v>
          </cell>
          <cell r="AS228">
            <v>0</v>
          </cell>
          <cell r="AW228">
            <v>0</v>
          </cell>
          <cell r="AY228" t="str">
            <v>NB</v>
          </cell>
        </row>
        <row r="229">
          <cell r="AM229">
            <v>1026.46</v>
          </cell>
          <cell r="AP229" t="str">
            <v>Pièces</v>
          </cell>
          <cell r="AQ229" t="str">
            <v>Honoraires</v>
          </cell>
          <cell r="AR229" t="str">
            <v>$</v>
          </cell>
          <cell r="AS229">
            <v>0</v>
          </cell>
          <cell r="AW229">
            <v>0</v>
          </cell>
          <cell r="AY229" t="str">
            <v>NB</v>
          </cell>
        </row>
        <row r="230">
          <cell r="AM230">
            <v>0</v>
          </cell>
          <cell r="AP230" t="e">
            <v>#N/A</v>
          </cell>
          <cell r="AQ230" t="e">
            <v>#N/A</v>
          </cell>
          <cell r="AR230" t="str">
            <v>$</v>
          </cell>
          <cell r="AS230" t="e">
            <v>#N/A</v>
          </cell>
          <cell r="AW230">
            <v>0</v>
          </cell>
          <cell r="AY230" t="str">
            <v>NB</v>
          </cell>
        </row>
        <row r="231">
          <cell r="AM231">
            <v>672.34999999999945</v>
          </cell>
          <cell r="AP231" t="str">
            <v>Véhicules neufs</v>
          </cell>
          <cell r="AQ231" t="str">
            <v>Téléphone</v>
          </cell>
          <cell r="AR231" t="str">
            <v>$</v>
          </cell>
          <cell r="AS231">
            <v>0</v>
          </cell>
          <cell r="AW231">
            <v>0</v>
          </cell>
          <cell r="AY231" t="str">
            <v>NB</v>
          </cell>
        </row>
        <row r="232">
          <cell r="AM232">
            <v>448.22999999999956</v>
          </cell>
          <cell r="AP232" t="str">
            <v>Véhicules usagés</v>
          </cell>
          <cell r="AQ232" t="str">
            <v>Téléphone</v>
          </cell>
          <cell r="AR232" t="str">
            <v>$</v>
          </cell>
          <cell r="AS232">
            <v>0</v>
          </cell>
          <cell r="AW232">
            <v>0</v>
          </cell>
          <cell r="AY232" t="str">
            <v>NB</v>
          </cell>
        </row>
        <row r="233">
          <cell r="AM233">
            <v>0</v>
          </cell>
          <cell r="AP233" t="str">
            <v>Wholesale autres</v>
          </cell>
          <cell r="AQ233" t="str">
            <v>Téléphone</v>
          </cell>
          <cell r="AR233" t="str">
            <v>$</v>
          </cell>
          <cell r="AS233">
            <v>0</v>
          </cell>
          <cell r="AW233">
            <v>0</v>
          </cell>
          <cell r="AY233" t="str">
            <v>NB</v>
          </cell>
        </row>
        <row r="234">
          <cell r="AM234">
            <v>727.34999999999991</v>
          </cell>
          <cell r="AP234" t="str">
            <v>Service</v>
          </cell>
          <cell r="AQ234" t="str">
            <v>Téléphone</v>
          </cell>
          <cell r="AR234" t="str">
            <v>$</v>
          </cell>
          <cell r="AS234">
            <v>0</v>
          </cell>
          <cell r="AW234">
            <v>0</v>
          </cell>
          <cell r="AY234" t="str">
            <v>NB</v>
          </cell>
        </row>
        <row r="235">
          <cell r="AM235">
            <v>224.12000000000012</v>
          </cell>
          <cell r="AP235" t="str">
            <v>Carrosserie</v>
          </cell>
          <cell r="AQ235" t="str">
            <v>Téléphone</v>
          </cell>
          <cell r="AR235" t="str">
            <v>$</v>
          </cell>
          <cell r="AS235">
            <v>0</v>
          </cell>
          <cell r="AW235">
            <v>0</v>
          </cell>
          <cell r="AY235" t="str">
            <v>NB</v>
          </cell>
        </row>
        <row r="236">
          <cell r="AM236">
            <v>224.08999999999992</v>
          </cell>
          <cell r="AP236" t="str">
            <v>Pièces</v>
          </cell>
          <cell r="AQ236" t="str">
            <v>Téléphone</v>
          </cell>
          <cell r="AR236" t="str">
            <v>$</v>
          </cell>
          <cell r="AS236">
            <v>0</v>
          </cell>
          <cell r="AW236">
            <v>0</v>
          </cell>
          <cell r="AY236" t="str">
            <v>NB</v>
          </cell>
        </row>
        <row r="237">
          <cell r="AM237">
            <v>0</v>
          </cell>
          <cell r="AP237" t="e">
            <v>#N/A</v>
          </cell>
          <cell r="AQ237" t="e">
            <v>#N/A</v>
          </cell>
          <cell r="AR237" t="str">
            <v>$</v>
          </cell>
          <cell r="AS237" t="e">
            <v>#N/A</v>
          </cell>
          <cell r="AW237">
            <v>0</v>
          </cell>
          <cell r="AY237" t="str">
            <v>NB</v>
          </cell>
        </row>
        <row r="238">
          <cell r="AM238">
            <v>570</v>
          </cell>
          <cell r="AP238" t="str">
            <v>Véhicules neufs</v>
          </cell>
          <cell r="AQ238" t="str">
            <v>Formation</v>
          </cell>
          <cell r="AR238" t="str">
            <v>$</v>
          </cell>
          <cell r="AS238">
            <v>0</v>
          </cell>
          <cell r="AW238">
            <v>0</v>
          </cell>
          <cell r="AY238" t="str">
            <v>NB</v>
          </cell>
        </row>
        <row r="239">
          <cell r="AM239">
            <v>0</v>
          </cell>
          <cell r="AP239" t="str">
            <v>Véhicules usagés</v>
          </cell>
          <cell r="AQ239" t="str">
            <v>Formation</v>
          </cell>
          <cell r="AR239" t="str">
            <v>$</v>
          </cell>
          <cell r="AS239">
            <v>0</v>
          </cell>
          <cell r="AW239">
            <v>0</v>
          </cell>
          <cell r="AY239" t="str">
            <v>NB</v>
          </cell>
        </row>
        <row r="240">
          <cell r="AM240">
            <v>0</v>
          </cell>
          <cell r="AP240" t="str">
            <v>Wholesale autres</v>
          </cell>
          <cell r="AQ240" t="str">
            <v>Formation</v>
          </cell>
          <cell r="AR240" t="str">
            <v>$</v>
          </cell>
          <cell r="AS240">
            <v>0</v>
          </cell>
          <cell r="AW240">
            <v>0</v>
          </cell>
          <cell r="AY240" t="str">
            <v>NB</v>
          </cell>
        </row>
        <row r="241">
          <cell r="AM241">
            <v>1166</v>
          </cell>
          <cell r="AP241" t="str">
            <v>Service</v>
          </cell>
          <cell r="AQ241" t="str">
            <v>Formation</v>
          </cell>
          <cell r="AR241" t="str">
            <v>$</v>
          </cell>
          <cell r="AS241">
            <v>0</v>
          </cell>
          <cell r="AW241">
            <v>0</v>
          </cell>
          <cell r="AY241" t="str">
            <v>NB</v>
          </cell>
        </row>
        <row r="242">
          <cell r="AM242">
            <v>0</v>
          </cell>
          <cell r="AP242" t="str">
            <v>Carrosserie</v>
          </cell>
          <cell r="AQ242" t="str">
            <v>Formation</v>
          </cell>
          <cell r="AR242" t="str">
            <v>$</v>
          </cell>
          <cell r="AS242">
            <v>0</v>
          </cell>
          <cell r="AW242">
            <v>0</v>
          </cell>
          <cell r="AY242" t="str">
            <v>NB</v>
          </cell>
        </row>
        <row r="243">
          <cell r="AM243">
            <v>0</v>
          </cell>
          <cell r="AP243" t="str">
            <v>Pièces</v>
          </cell>
          <cell r="AQ243" t="str">
            <v>Formation</v>
          </cell>
          <cell r="AR243" t="str">
            <v>$</v>
          </cell>
          <cell r="AS243">
            <v>0</v>
          </cell>
          <cell r="AW243">
            <v>0</v>
          </cell>
          <cell r="AY243" t="str">
            <v>NB</v>
          </cell>
        </row>
        <row r="244">
          <cell r="AM244">
            <v>0</v>
          </cell>
          <cell r="AP244" t="str">
            <v>SAAQ</v>
          </cell>
          <cell r="AQ244" t="str">
            <v>Formation</v>
          </cell>
          <cell r="AR244" t="str">
            <v>$</v>
          </cell>
          <cell r="AS244">
            <v>0</v>
          </cell>
          <cell r="AW244">
            <v>0</v>
          </cell>
          <cell r="AY244" t="str">
            <v>NB</v>
          </cell>
        </row>
        <row r="245">
          <cell r="AM245">
            <v>0</v>
          </cell>
          <cell r="AP245">
            <v>0</v>
          </cell>
          <cell r="AQ245">
            <v>0</v>
          </cell>
          <cell r="AR245" t="str">
            <v>$</v>
          </cell>
          <cell r="AS245">
            <v>0</v>
          </cell>
          <cell r="AW245">
            <v>0</v>
          </cell>
          <cell r="AY245" t="str">
            <v>NB</v>
          </cell>
        </row>
        <row r="246">
          <cell r="AM246">
            <v>26524.73000000004</v>
          </cell>
          <cell r="AP246" t="str">
            <v>Véhicules neufs</v>
          </cell>
          <cell r="AQ246" t="str">
            <v>Intérêt de gros</v>
          </cell>
          <cell r="AR246" t="str">
            <v>$</v>
          </cell>
          <cell r="AS246">
            <v>0</v>
          </cell>
          <cell r="AW246">
            <v>0</v>
          </cell>
          <cell r="AY246" t="str">
            <v>NB</v>
          </cell>
        </row>
        <row r="247">
          <cell r="AM247">
            <v>6068.5199999999895</v>
          </cell>
          <cell r="AP247" t="str">
            <v>Véhicules usagés</v>
          </cell>
          <cell r="AQ247" t="str">
            <v>Intérêt de gros</v>
          </cell>
          <cell r="AR247" t="str">
            <v>$</v>
          </cell>
          <cell r="AS247">
            <v>0</v>
          </cell>
          <cell r="AW247">
            <v>0</v>
          </cell>
          <cell r="AY247" t="str">
            <v>NB</v>
          </cell>
        </row>
        <row r="248">
          <cell r="AM248">
            <v>11260.400000000023</v>
          </cell>
          <cell r="AP248" t="str">
            <v>Wholesale autres</v>
          </cell>
          <cell r="AQ248" t="str">
            <v>Intérêt de gros</v>
          </cell>
          <cell r="AR248" t="str">
            <v>$</v>
          </cell>
          <cell r="AS248">
            <v>0</v>
          </cell>
          <cell r="AW248">
            <v>0</v>
          </cell>
          <cell r="AY248" t="str">
            <v>NB</v>
          </cell>
        </row>
        <row r="249">
          <cell r="AM249">
            <v>0</v>
          </cell>
          <cell r="AP249" t="str">
            <v>Service</v>
          </cell>
          <cell r="AQ249" t="str">
            <v>Divers</v>
          </cell>
          <cell r="AR249" t="str">
            <v>$</v>
          </cell>
          <cell r="AS249">
            <v>0</v>
          </cell>
          <cell r="AW249">
            <v>0</v>
          </cell>
          <cell r="AY249" t="str">
            <v>NB</v>
          </cell>
        </row>
        <row r="250">
          <cell r="AM250">
            <v>0</v>
          </cell>
          <cell r="AP250" t="e">
            <v>#N/A</v>
          </cell>
          <cell r="AQ250" t="e">
            <v>#N/A</v>
          </cell>
          <cell r="AR250" t="str">
            <v>$</v>
          </cell>
          <cell r="AS250" t="e">
            <v>#N/A</v>
          </cell>
          <cell r="AW250">
            <v>0</v>
          </cell>
          <cell r="AY250" t="str">
            <v>NB</v>
          </cell>
        </row>
        <row r="251">
          <cell r="AM251">
            <v>0</v>
          </cell>
          <cell r="AP251" t="e">
            <v>#N/A</v>
          </cell>
          <cell r="AQ251" t="e">
            <v>#N/A</v>
          </cell>
          <cell r="AR251" t="str">
            <v>$</v>
          </cell>
          <cell r="AS251" t="e">
            <v>#N/A</v>
          </cell>
          <cell r="AW251">
            <v>0</v>
          </cell>
          <cell r="AY251" t="str">
            <v>NB</v>
          </cell>
        </row>
        <row r="252">
          <cell r="AM252">
            <v>1445.9799999999996</v>
          </cell>
          <cell r="AP252" t="str">
            <v>Véhicules neufs</v>
          </cell>
          <cell r="AQ252" t="str">
            <v>Divers</v>
          </cell>
          <cell r="AR252" t="str">
            <v>$</v>
          </cell>
          <cell r="AS252">
            <v>0</v>
          </cell>
          <cell r="AW252">
            <v>0</v>
          </cell>
          <cell r="AY252" t="str">
            <v>NB</v>
          </cell>
        </row>
        <row r="253">
          <cell r="AM253">
            <v>495.63999999999942</v>
          </cell>
          <cell r="AP253" t="str">
            <v>Véhicules usagés</v>
          </cell>
          <cell r="AQ253" t="str">
            <v>Divers</v>
          </cell>
          <cell r="AR253" t="str">
            <v>$</v>
          </cell>
          <cell r="AS253">
            <v>0</v>
          </cell>
          <cell r="AW253">
            <v>0</v>
          </cell>
          <cell r="AY253" t="str">
            <v>NB</v>
          </cell>
        </row>
        <row r="254">
          <cell r="AM254">
            <v>0</v>
          </cell>
          <cell r="AP254" t="str">
            <v>Wholesale autres</v>
          </cell>
          <cell r="AQ254" t="str">
            <v>Divers</v>
          </cell>
          <cell r="AR254" t="str">
            <v>$</v>
          </cell>
          <cell r="AS254">
            <v>0</v>
          </cell>
          <cell r="AW254">
            <v>0</v>
          </cell>
          <cell r="AY254" t="str">
            <v>NB</v>
          </cell>
        </row>
        <row r="255">
          <cell r="AM255">
            <v>743.4699999999998</v>
          </cell>
          <cell r="AP255" t="str">
            <v>Service</v>
          </cell>
          <cell r="AQ255" t="str">
            <v>Divers</v>
          </cell>
          <cell r="AR255" t="str">
            <v>$</v>
          </cell>
          <cell r="AS255">
            <v>0</v>
          </cell>
          <cell r="AW255">
            <v>0</v>
          </cell>
          <cell r="AY255" t="str">
            <v>NB</v>
          </cell>
        </row>
        <row r="256">
          <cell r="AM256">
            <v>247.82999999999993</v>
          </cell>
          <cell r="AP256" t="str">
            <v>Carrosserie</v>
          </cell>
          <cell r="AQ256" t="str">
            <v>Divers</v>
          </cell>
          <cell r="AR256" t="str">
            <v>$</v>
          </cell>
          <cell r="AS256">
            <v>0</v>
          </cell>
          <cell r="AW256">
            <v>0</v>
          </cell>
          <cell r="AY256" t="str">
            <v>NB</v>
          </cell>
        </row>
        <row r="257">
          <cell r="AM257">
            <v>247.8100000000004</v>
          </cell>
          <cell r="AP257" t="str">
            <v>Pièces</v>
          </cell>
          <cell r="AQ257" t="str">
            <v>Divers</v>
          </cell>
          <cell r="AR257" t="str">
            <v>$</v>
          </cell>
          <cell r="AS257">
            <v>0</v>
          </cell>
          <cell r="AW257">
            <v>0</v>
          </cell>
          <cell r="AY257" t="str">
            <v>NB</v>
          </cell>
        </row>
        <row r="258">
          <cell r="AM258">
            <v>0</v>
          </cell>
          <cell r="AP258" t="str">
            <v>SAAQ</v>
          </cell>
          <cell r="AQ258" t="str">
            <v>Divers</v>
          </cell>
          <cell r="AR258" t="str">
            <v>$</v>
          </cell>
          <cell r="AS258">
            <v>0</v>
          </cell>
          <cell r="AW258">
            <v>0</v>
          </cell>
          <cell r="AY258" t="str">
            <v>NB</v>
          </cell>
        </row>
        <row r="259">
          <cell r="AM259">
            <v>0</v>
          </cell>
          <cell r="AP259">
            <v>0</v>
          </cell>
          <cell r="AQ259">
            <v>0</v>
          </cell>
          <cell r="AR259" t="str">
            <v>$</v>
          </cell>
          <cell r="AS259">
            <v>0</v>
          </cell>
          <cell r="AW259">
            <v>0</v>
          </cell>
          <cell r="AY259" t="str">
            <v>NB</v>
          </cell>
        </row>
        <row r="260">
          <cell r="AM260">
            <v>0</v>
          </cell>
          <cell r="AP260" t="e">
            <v>#N/A</v>
          </cell>
          <cell r="AQ260" t="e">
            <v>#N/A</v>
          </cell>
          <cell r="AR260" t="str">
            <v>$</v>
          </cell>
          <cell r="AS260" t="e">
            <v>#N/A</v>
          </cell>
          <cell r="AW260">
            <v>0</v>
          </cell>
          <cell r="AY260" t="str">
            <v>NB</v>
          </cell>
        </row>
        <row r="261">
          <cell r="AM261">
            <v>-66186.739999999991</v>
          </cell>
          <cell r="AP261" t="str">
            <v>Véhicules neufs</v>
          </cell>
          <cell r="AQ261" t="str">
            <v>Crédit Intérêts Floor Plan</v>
          </cell>
          <cell r="AR261" t="str">
            <v>$</v>
          </cell>
          <cell r="AS261">
            <v>0</v>
          </cell>
          <cell r="AW261">
            <v>0</v>
          </cell>
          <cell r="AY261" t="str">
            <v>NB</v>
          </cell>
        </row>
        <row r="262">
          <cell r="AM262">
            <v>0</v>
          </cell>
          <cell r="AP262" t="str">
            <v>Véhicules usagés</v>
          </cell>
          <cell r="AQ262" t="str">
            <v>Crédit Intérêts Floor Plan</v>
          </cell>
          <cell r="AR262" t="str">
            <v>$</v>
          </cell>
          <cell r="AS262">
            <v>0</v>
          </cell>
          <cell r="AW262">
            <v>0</v>
          </cell>
          <cell r="AY262" t="str">
            <v>NB</v>
          </cell>
        </row>
        <row r="263">
          <cell r="AM263">
            <v>0</v>
          </cell>
          <cell r="AP263" t="str">
            <v>Wholesale autres</v>
          </cell>
          <cell r="AQ263" t="str">
            <v>Crédit Intérêts Floor Plan</v>
          </cell>
          <cell r="AR263" t="str">
            <v>$</v>
          </cell>
          <cell r="AS263">
            <v>0</v>
          </cell>
          <cell r="AW263">
            <v>0</v>
          </cell>
          <cell r="AY263" t="str">
            <v>NB</v>
          </cell>
        </row>
        <row r="264">
          <cell r="AM264">
            <v>0</v>
          </cell>
          <cell r="AP264" t="e">
            <v>#N/A</v>
          </cell>
          <cell r="AQ264" t="e">
            <v>#N/A</v>
          </cell>
          <cell r="AR264" t="str">
            <v>$</v>
          </cell>
          <cell r="AS264" t="e">
            <v>#N/A</v>
          </cell>
          <cell r="AW264">
            <v>0</v>
          </cell>
          <cell r="AY264" t="str">
            <v>NB</v>
          </cell>
        </row>
        <row r="265">
          <cell r="AM265">
            <v>0</v>
          </cell>
          <cell r="AP265" t="str">
            <v>Véhicules neufs</v>
          </cell>
          <cell r="AQ265" t="str">
            <v>Divers</v>
          </cell>
          <cell r="AR265" t="str">
            <v>$</v>
          </cell>
          <cell r="AS265">
            <v>0</v>
          </cell>
          <cell r="AW265">
            <v>0</v>
          </cell>
          <cell r="AY265" t="str">
            <v>NB</v>
          </cell>
        </row>
        <row r="266">
          <cell r="AM266">
            <v>0</v>
          </cell>
          <cell r="AP266" t="str">
            <v>Véhicules usagés</v>
          </cell>
          <cell r="AQ266" t="str">
            <v>Divers</v>
          </cell>
          <cell r="AR266" t="str">
            <v>$</v>
          </cell>
          <cell r="AS266">
            <v>0</v>
          </cell>
          <cell r="AW266">
            <v>0</v>
          </cell>
          <cell r="AY266" t="str">
            <v>NB</v>
          </cell>
        </row>
        <row r="267">
          <cell r="AM267">
            <v>0</v>
          </cell>
          <cell r="AP267" t="str">
            <v>Service</v>
          </cell>
          <cell r="AQ267" t="str">
            <v>Divers</v>
          </cell>
          <cell r="AR267" t="str">
            <v>$</v>
          </cell>
          <cell r="AS267">
            <v>0</v>
          </cell>
          <cell r="AW267">
            <v>0</v>
          </cell>
          <cell r="AY267" t="str">
            <v>NB</v>
          </cell>
        </row>
        <row r="268">
          <cell r="AM268">
            <v>0</v>
          </cell>
          <cell r="AP268" t="str">
            <v>Carrosserie</v>
          </cell>
          <cell r="AQ268" t="str">
            <v>Divers</v>
          </cell>
          <cell r="AR268" t="str">
            <v>$</v>
          </cell>
          <cell r="AS268">
            <v>0</v>
          </cell>
          <cell r="AW268">
            <v>0</v>
          </cell>
          <cell r="AY268" t="str">
            <v>NB</v>
          </cell>
        </row>
        <row r="269">
          <cell r="AM269">
            <v>0</v>
          </cell>
          <cell r="AP269" t="str">
            <v>Pièces</v>
          </cell>
          <cell r="AQ269" t="str">
            <v>Divers</v>
          </cell>
          <cell r="AR269" t="str">
            <v>$</v>
          </cell>
          <cell r="AS269">
            <v>0</v>
          </cell>
          <cell r="AW269">
            <v>0</v>
          </cell>
          <cell r="AY269" t="str">
            <v>NB</v>
          </cell>
        </row>
        <row r="270">
          <cell r="AM270">
            <v>0</v>
          </cell>
          <cell r="AP270" t="e">
            <v>#N/A</v>
          </cell>
          <cell r="AQ270" t="e">
            <v>#N/A</v>
          </cell>
          <cell r="AR270" t="str">
            <v>$</v>
          </cell>
          <cell r="AS270" t="e">
            <v>#N/A</v>
          </cell>
          <cell r="AW270">
            <v>0</v>
          </cell>
          <cell r="AY270" t="str">
            <v>NB</v>
          </cell>
        </row>
        <row r="271">
          <cell r="AM271">
            <v>21315</v>
          </cell>
          <cell r="AP271" t="str">
            <v>Véhicules neufs</v>
          </cell>
          <cell r="AQ271" t="str">
            <v>Loyer</v>
          </cell>
          <cell r="AR271" t="str">
            <v>$</v>
          </cell>
          <cell r="AS271">
            <v>0</v>
          </cell>
          <cell r="AW271">
            <v>0</v>
          </cell>
          <cell r="AY271" t="str">
            <v>NB</v>
          </cell>
        </row>
        <row r="272">
          <cell r="AM272">
            <v>14210</v>
          </cell>
          <cell r="AP272" t="str">
            <v>Véhicules usagés</v>
          </cell>
          <cell r="AQ272" t="str">
            <v>Loyer</v>
          </cell>
          <cell r="AR272" t="str">
            <v>$</v>
          </cell>
          <cell r="AS272">
            <v>0</v>
          </cell>
          <cell r="AW272">
            <v>0</v>
          </cell>
          <cell r="AY272" t="str">
            <v>NB</v>
          </cell>
        </row>
        <row r="273">
          <cell r="AM273">
            <v>0</v>
          </cell>
          <cell r="AP273" t="str">
            <v>Wholesale autres</v>
          </cell>
          <cell r="AQ273" t="str">
            <v>Loyer</v>
          </cell>
          <cell r="AR273" t="str">
            <v>$</v>
          </cell>
          <cell r="AS273">
            <v>0</v>
          </cell>
          <cell r="AW273">
            <v>0</v>
          </cell>
          <cell r="AY273" t="str">
            <v>NB</v>
          </cell>
        </row>
        <row r="274">
          <cell r="AM274">
            <v>21315</v>
          </cell>
          <cell r="AP274" t="str">
            <v>Service</v>
          </cell>
          <cell r="AQ274" t="str">
            <v>Loyer</v>
          </cell>
          <cell r="AR274" t="str">
            <v>$</v>
          </cell>
          <cell r="AS274">
            <v>0</v>
          </cell>
          <cell r="AW274">
            <v>0</v>
          </cell>
          <cell r="AY274" t="str">
            <v>NB</v>
          </cell>
        </row>
        <row r="275">
          <cell r="AM275">
            <v>7105</v>
          </cell>
          <cell r="AP275" t="str">
            <v>Carrosserie</v>
          </cell>
          <cell r="AQ275" t="str">
            <v>Loyer</v>
          </cell>
          <cell r="AR275" t="str">
            <v>$</v>
          </cell>
          <cell r="AS275">
            <v>0</v>
          </cell>
          <cell r="AW275">
            <v>0</v>
          </cell>
          <cell r="AY275" t="str">
            <v>NB</v>
          </cell>
        </row>
        <row r="276">
          <cell r="AM276">
            <v>7105</v>
          </cell>
          <cell r="AP276" t="str">
            <v>Pièces</v>
          </cell>
          <cell r="AQ276" t="str">
            <v>Loyer</v>
          </cell>
          <cell r="AR276" t="str">
            <v>$</v>
          </cell>
          <cell r="AS276">
            <v>0</v>
          </cell>
          <cell r="AW276">
            <v>0</v>
          </cell>
          <cell r="AY276" t="str">
            <v>NB</v>
          </cell>
        </row>
        <row r="277">
          <cell r="AM277">
            <v>0</v>
          </cell>
          <cell r="AP277" t="e">
            <v>#N/A</v>
          </cell>
          <cell r="AQ277" t="e">
            <v>#N/A</v>
          </cell>
          <cell r="AR277" t="str">
            <v>$</v>
          </cell>
          <cell r="AS277" t="e">
            <v>#N/A</v>
          </cell>
          <cell r="AW277">
            <v>0</v>
          </cell>
          <cell r="AY277" t="str">
            <v>NB</v>
          </cell>
        </row>
        <row r="278">
          <cell r="AM278">
            <v>61.199999999998909</v>
          </cell>
          <cell r="AP278" t="str">
            <v>Véhicules neufs</v>
          </cell>
          <cell r="AQ278" t="str">
            <v>Loyer</v>
          </cell>
          <cell r="AR278" t="str">
            <v>$</v>
          </cell>
          <cell r="AS278">
            <v>0</v>
          </cell>
          <cell r="AW278">
            <v>0</v>
          </cell>
          <cell r="AY278" t="str">
            <v>NB</v>
          </cell>
        </row>
        <row r="279">
          <cell r="AM279">
            <v>40.800000000001091</v>
          </cell>
          <cell r="AP279" t="str">
            <v>Véhicules usagés</v>
          </cell>
          <cell r="AQ279" t="str">
            <v>Loyer</v>
          </cell>
          <cell r="AR279" t="str">
            <v>$</v>
          </cell>
          <cell r="AS279">
            <v>0</v>
          </cell>
          <cell r="AW279">
            <v>0</v>
          </cell>
          <cell r="AY279" t="str">
            <v>NB</v>
          </cell>
        </row>
        <row r="280">
          <cell r="AM280">
            <v>0</v>
          </cell>
          <cell r="AP280" t="str">
            <v>Wholesale autres</v>
          </cell>
          <cell r="AQ280" t="str">
            <v>Loyer</v>
          </cell>
          <cell r="AR280" t="str">
            <v>$</v>
          </cell>
          <cell r="AS280">
            <v>0</v>
          </cell>
          <cell r="AW280">
            <v>0</v>
          </cell>
          <cell r="AY280" t="str">
            <v>NB</v>
          </cell>
        </row>
        <row r="281">
          <cell r="AM281">
            <v>61.199999999998909</v>
          </cell>
          <cell r="AP281" t="str">
            <v>Service</v>
          </cell>
          <cell r="AQ281" t="str">
            <v>Loyer</v>
          </cell>
          <cell r="AR281" t="str">
            <v>$</v>
          </cell>
          <cell r="AS281">
            <v>0</v>
          </cell>
          <cell r="AW281">
            <v>0</v>
          </cell>
          <cell r="AY281" t="str">
            <v>NB</v>
          </cell>
        </row>
        <row r="282">
          <cell r="AM282">
            <v>20.399999999999636</v>
          </cell>
          <cell r="AP282" t="str">
            <v>Carrosserie</v>
          </cell>
          <cell r="AQ282" t="str">
            <v>Loyer</v>
          </cell>
          <cell r="AR282" t="str">
            <v>$</v>
          </cell>
          <cell r="AS282">
            <v>0</v>
          </cell>
          <cell r="AW282">
            <v>0</v>
          </cell>
          <cell r="AY282" t="str">
            <v>NB</v>
          </cell>
        </row>
        <row r="283">
          <cell r="AM283">
            <v>20.400000000000546</v>
          </cell>
          <cell r="AP283" t="str">
            <v>Pièces</v>
          </cell>
          <cell r="AQ283" t="str">
            <v>Loyer</v>
          </cell>
          <cell r="AR283" t="str">
            <v>$</v>
          </cell>
          <cell r="AS283">
            <v>0</v>
          </cell>
          <cell r="AW283">
            <v>0</v>
          </cell>
          <cell r="AY283" t="str">
            <v>NB</v>
          </cell>
        </row>
        <row r="284">
          <cell r="AM284">
            <v>0</v>
          </cell>
          <cell r="AP284" t="e">
            <v>#N/A</v>
          </cell>
          <cell r="AQ284" t="e">
            <v>#N/A</v>
          </cell>
          <cell r="AR284" t="str">
            <v>$</v>
          </cell>
          <cell r="AS284" t="e">
            <v>#N/A</v>
          </cell>
          <cell r="AW284">
            <v>0</v>
          </cell>
          <cell r="AY284" t="str">
            <v>NB</v>
          </cell>
        </row>
        <row r="285">
          <cell r="AM285">
            <v>1499.630000000001</v>
          </cell>
          <cell r="AP285" t="str">
            <v>Véhicules neufs</v>
          </cell>
          <cell r="AQ285" t="str">
            <v>Services extérieurs</v>
          </cell>
          <cell r="AR285" t="str">
            <v>$</v>
          </cell>
          <cell r="AS285">
            <v>0</v>
          </cell>
          <cell r="AW285">
            <v>0</v>
          </cell>
          <cell r="AY285" t="str">
            <v>NB</v>
          </cell>
        </row>
        <row r="286">
          <cell r="AM286">
            <v>999.73999999999978</v>
          </cell>
          <cell r="AP286" t="str">
            <v>Véhicules usagés</v>
          </cell>
          <cell r="AQ286" t="str">
            <v>Services extérieurs</v>
          </cell>
          <cell r="AR286" t="str">
            <v>$</v>
          </cell>
          <cell r="AS286">
            <v>0</v>
          </cell>
          <cell r="AW286">
            <v>0</v>
          </cell>
          <cell r="AY286" t="str">
            <v>NB</v>
          </cell>
        </row>
        <row r="287">
          <cell r="AM287">
            <v>0</v>
          </cell>
          <cell r="AP287" t="str">
            <v>Wholesale autres</v>
          </cell>
          <cell r="AQ287" t="str">
            <v>Services extérieurs</v>
          </cell>
          <cell r="AR287" t="str">
            <v>$</v>
          </cell>
          <cell r="AS287">
            <v>0</v>
          </cell>
          <cell r="AW287">
            <v>0</v>
          </cell>
          <cell r="AY287" t="str">
            <v>NB</v>
          </cell>
        </row>
        <row r="288">
          <cell r="AM288">
            <v>1499.630000000001</v>
          </cell>
          <cell r="AP288" t="str">
            <v>Service</v>
          </cell>
          <cell r="AQ288" t="str">
            <v>Services extérieurs</v>
          </cell>
          <cell r="AR288" t="str">
            <v>$</v>
          </cell>
          <cell r="AS288">
            <v>0</v>
          </cell>
          <cell r="AW288">
            <v>0</v>
          </cell>
          <cell r="AY288" t="str">
            <v>NB</v>
          </cell>
        </row>
        <row r="289">
          <cell r="AM289">
            <v>499.8799999999992</v>
          </cell>
          <cell r="AP289" t="str">
            <v>Carrosserie</v>
          </cell>
          <cell r="AQ289" t="str">
            <v>Services extérieurs</v>
          </cell>
          <cell r="AR289" t="str">
            <v>$</v>
          </cell>
          <cell r="AS289">
            <v>0</v>
          </cell>
          <cell r="AW289">
            <v>0</v>
          </cell>
          <cell r="AY289" t="str">
            <v>NB</v>
          </cell>
        </row>
        <row r="290">
          <cell r="AM290">
            <v>499.85000000000036</v>
          </cell>
          <cell r="AP290" t="str">
            <v>Pièces</v>
          </cell>
          <cell r="AQ290" t="str">
            <v>Services extérieurs</v>
          </cell>
          <cell r="AR290" t="str">
            <v>$</v>
          </cell>
          <cell r="AS290">
            <v>0</v>
          </cell>
          <cell r="AW290">
            <v>0</v>
          </cell>
          <cell r="AY290" t="str">
            <v>NB</v>
          </cell>
        </row>
        <row r="291">
          <cell r="AM291">
            <v>0</v>
          </cell>
          <cell r="AP291" t="e">
            <v>#N/A</v>
          </cell>
          <cell r="AQ291" t="e">
            <v>#N/A</v>
          </cell>
          <cell r="AR291" t="str">
            <v>$</v>
          </cell>
          <cell r="AS291" t="e">
            <v>#N/A</v>
          </cell>
          <cell r="AW291">
            <v>0</v>
          </cell>
          <cell r="AY291" t="str">
            <v>NB</v>
          </cell>
        </row>
        <row r="292">
          <cell r="AM292">
            <v>0</v>
          </cell>
          <cell r="AP292" t="e">
            <v>#N/A</v>
          </cell>
          <cell r="AQ292" t="e">
            <v>#N/A</v>
          </cell>
          <cell r="AR292" t="str">
            <v>$</v>
          </cell>
          <cell r="AS292" t="e">
            <v>#N/A</v>
          </cell>
          <cell r="AW292">
            <v>0</v>
          </cell>
          <cell r="AY292" t="str">
            <v>NB</v>
          </cell>
        </row>
        <row r="293">
          <cell r="AM293">
            <v>28.5</v>
          </cell>
          <cell r="AP293" t="str">
            <v>Véhicules neufs</v>
          </cell>
          <cell r="AQ293" t="str">
            <v>Amortissement</v>
          </cell>
          <cell r="AR293" t="str">
            <v>$</v>
          </cell>
          <cell r="AS293">
            <v>0</v>
          </cell>
          <cell r="AW293">
            <v>0</v>
          </cell>
          <cell r="AY293" t="str">
            <v>NB</v>
          </cell>
        </row>
        <row r="294">
          <cell r="AM294">
            <v>19</v>
          </cell>
          <cell r="AP294" t="str">
            <v>Véhicules usagés</v>
          </cell>
          <cell r="AQ294" t="str">
            <v>Amortissement</v>
          </cell>
          <cell r="AR294" t="str">
            <v>$</v>
          </cell>
          <cell r="AS294">
            <v>0</v>
          </cell>
          <cell r="AW294">
            <v>0</v>
          </cell>
          <cell r="AY294" t="str">
            <v>NB</v>
          </cell>
        </row>
        <row r="295">
          <cell r="AM295">
            <v>28.5</v>
          </cell>
          <cell r="AP295" t="str">
            <v>Service</v>
          </cell>
          <cell r="AQ295" t="str">
            <v>Amortissement</v>
          </cell>
          <cell r="AR295" t="str">
            <v>$</v>
          </cell>
          <cell r="AS295">
            <v>0</v>
          </cell>
          <cell r="AW295">
            <v>0</v>
          </cell>
          <cell r="AY295" t="str">
            <v>NB</v>
          </cell>
        </row>
        <row r="296">
          <cell r="AM296">
            <v>9.5</v>
          </cell>
          <cell r="AP296" t="str">
            <v>Carrosserie</v>
          </cell>
          <cell r="AQ296" t="str">
            <v>Amortissement</v>
          </cell>
          <cell r="AR296" t="str">
            <v>$</v>
          </cell>
          <cell r="AS296">
            <v>0</v>
          </cell>
          <cell r="AW296">
            <v>0</v>
          </cell>
          <cell r="AY296" t="str">
            <v>NB</v>
          </cell>
        </row>
        <row r="297">
          <cell r="AM297">
            <v>9.5</v>
          </cell>
          <cell r="AP297" t="str">
            <v>Pièces</v>
          </cell>
          <cell r="AQ297" t="str">
            <v>Amortissement</v>
          </cell>
          <cell r="AR297" t="str">
            <v>$</v>
          </cell>
          <cell r="AS297">
            <v>0</v>
          </cell>
          <cell r="AW297">
            <v>0</v>
          </cell>
          <cell r="AY297" t="str">
            <v>NB</v>
          </cell>
        </row>
        <row r="298">
          <cell r="AM298">
            <v>0</v>
          </cell>
          <cell r="AP298" t="e">
            <v>#N/A</v>
          </cell>
          <cell r="AQ298" t="e">
            <v>#N/A</v>
          </cell>
          <cell r="AR298" t="str">
            <v>$</v>
          </cell>
          <cell r="AS298" t="e">
            <v>#N/A</v>
          </cell>
          <cell r="AW298">
            <v>0</v>
          </cell>
          <cell r="AY298" t="str">
            <v>NB</v>
          </cell>
        </row>
        <row r="299">
          <cell r="AM299">
            <v>2116.1700000000019</v>
          </cell>
          <cell r="AP299" t="str">
            <v>Véhicules neufs</v>
          </cell>
          <cell r="AQ299" t="str">
            <v>Taxes foncières</v>
          </cell>
          <cell r="AR299" t="str">
            <v>$</v>
          </cell>
          <cell r="AS299">
            <v>0</v>
          </cell>
          <cell r="AW299">
            <v>0</v>
          </cell>
          <cell r="AY299" t="str">
            <v>NB</v>
          </cell>
        </row>
        <row r="300">
          <cell r="AM300">
            <v>1410.7799999999988</v>
          </cell>
          <cell r="AP300" t="str">
            <v>Véhicules usagés</v>
          </cell>
          <cell r="AQ300" t="str">
            <v>Taxes foncières</v>
          </cell>
          <cell r="AR300" t="str">
            <v>$</v>
          </cell>
          <cell r="AS300">
            <v>0</v>
          </cell>
          <cell r="AW300">
            <v>0</v>
          </cell>
          <cell r="AY300" t="str">
            <v>NB</v>
          </cell>
        </row>
        <row r="301">
          <cell r="AM301">
            <v>2116.1700000000019</v>
          </cell>
          <cell r="AP301" t="str">
            <v>Service</v>
          </cell>
          <cell r="AQ301" t="str">
            <v>Taxes foncières</v>
          </cell>
          <cell r="AR301" t="str">
            <v>$</v>
          </cell>
          <cell r="AS301">
            <v>0</v>
          </cell>
          <cell r="AW301">
            <v>0</v>
          </cell>
          <cell r="AY301" t="str">
            <v>NB</v>
          </cell>
        </row>
        <row r="302">
          <cell r="AM302">
            <v>705.38999999999942</v>
          </cell>
          <cell r="AP302" t="str">
            <v>Carrosserie</v>
          </cell>
          <cell r="AQ302" t="str">
            <v>Taxes foncières</v>
          </cell>
          <cell r="AR302" t="str">
            <v>$</v>
          </cell>
          <cell r="AS302">
            <v>0</v>
          </cell>
          <cell r="AW302">
            <v>0</v>
          </cell>
          <cell r="AY302" t="str">
            <v>NB</v>
          </cell>
        </row>
        <row r="303">
          <cell r="AM303">
            <v>705.38000000000011</v>
          </cell>
          <cell r="AP303" t="str">
            <v>Pièces</v>
          </cell>
          <cell r="AQ303" t="str">
            <v>Taxes foncières</v>
          </cell>
          <cell r="AR303" t="str">
            <v>$</v>
          </cell>
          <cell r="AS303">
            <v>0</v>
          </cell>
          <cell r="AW303">
            <v>0</v>
          </cell>
          <cell r="AY303" t="str">
            <v>NB</v>
          </cell>
        </row>
        <row r="304">
          <cell r="AM304">
            <v>0</v>
          </cell>
          <cell r="AP304" t="e">
            <v>#N/A</v>
          </cell>
          <cell r="AQ304" t="e">
            <v>#N/A</v>
          </cell>
          <cell r="AR304" t="str">
            <v>$</v>
          </cell>
          <cell r="AS304" t="e">
            <v>#N/A</v>
          </cell>
          <cell r="AW304">
            <v>0</v>
          </cell>
          <cell r="AY304" t="str">
            <v>NB</v>
          </cell>
        </row>
        <row r="305">
          <cell r="AM305">
            <v>2352.3899999999994</v>
          </cell>
          <cell r="AP305" t="str">
            <v>Véhicules neufs</v>
          </cell>
          <cell r="AQ305" t="str">
            <v>Assurances</v>
          </cell>
          <cell r="AR305" t="str">
            <v>$</v>
          </cell>
          <cell r="AS305">
            <v>0</v>
          </cell>
          <cell r="AW305">
            <v>0</v>
          </cell>
          <cell r="AY305" t="str">
            <v>NB</v>
          </cell>
        </row>
        <row r="306">
          <cell r="AM306">
            <v>1568.2600000000002</v>
          </cell>
          <cell r="AP306" t="str">
            <v>Véhicules usagés</v>
          </cell>
          <cell r="AQ306" t="str">
            <v>Assurances</v>
          </cell>
          <cell r="AR306" t="str">
            <v>$</v>
          </cell>
          <cell r="AS306">
            <v>0</v>
          </cell>
          <cell r="AW306">
            <v>0</v>
          </cell>
          <cell r="AY306" t="str">
            <v>NB</v>
          </cell>
        </row>
        <row r="307">
          <cell r="AM307">
            <v>2352.3899999999994</v>
          </cell>
          <cell r="AP307" t="str">
            <v>Service</v>
          </cell>
          <cell r="AQ307" t="str">
            <v>Assurances</v>
          </cell>
          <cell r="AR307" t="str">
            <v>$</v>
          </cell>
          <cell r="AS307">
            <v>0</v>
          </cell>
          <cell r="AW307">
            <v>0</v>
          </cell>
          <cell r="AY307" t="str">
            <v>NB</v>
          </cell>
        </row>
        <row r="308">
          <cell r="AM308">
            <v>784.13000000000011</v>
          </cell>
          <cell r="AP308" t="str">
            <v>Carrosserie</v>
          </cell>
          <cell r="AQ308" t="str">
            <v>Assurances</v>
          </cell>
          <cell r="AR308" t="str">
            <v>$</v>
          </cell>
          <cell r="AS308">
            <v>0</v>
          </cell>
          <cell r="AW308">
            <v>0</v>
          </cell>
          <cell r="AY308" t="str">
            <v>NB</v>
          </cell>
        </row>
        <row r="309">
          <cell r="AM309">
            <v>784.11999999999989</v>
          </cell>
          <cell r="AP309" t="str">
            <v>Pièces</v>
          </cell>
          <cell r="AQ309" t="str">
            <v>Assurances</v>
          </cell>
          <cell r="AR309" t="str">
            <v>$</v>
          </cell>
          <cell r="AS309">
            <v>0</v>
          </cell>
          <cell r="AW309">
            <v>0</v>
          </cell>
          <cell r="AY309" t="str">
            <v>NB</v>
          </cell>
        </row>
        <row r="310">
          <cell r="AM310">
            <v>0</v>
          </cell>
          <cell r="AP310" t="e">
            <v>#N/A</v>
          </cell>
          <cell r="AQ310" t="e">
            <v>#N/A</v>
          </cell>
          <cell r="AR310" t="str">
            <v>$</v>
          </cell>
          <cell r="AS310" t="e">
            <v>#N/A</v>
          </cell>
          <cell r="AW310">
            <v>0</v>
          </cell>
          <cell r="AY310" t="str">
            <v>NB</v>
          </cell>
        </row>
        <row r="311">
          <cell r="AM311">
            <v>3330</v>
          </cell>
          <cell r="AP311" t="str">
            <v>Véhicules neufs</v>
          </cell>
          <cell r="AQ311" t="str">
            <v>Chauffage, éclairage</v>
          </cell>
          <cell r="AR311" t="str">
            <v>$</v>
          </cell>
          <cell r="AS311">
            <v>0</v>
          </cell>
          <cell r="AW311">
            <v>0</v>
          </cell>
          <cell r="AY311" t="str">
            <v>NB</v>
          </cell>
        </row>
        <row r="312">
          <cell r="AM312">
            <v>2220</v>
          </cell>
          <cell r="AP312" t="str">
            <v>Véhicules usagés</v>
          </cell>
          <cell r="AQ312" t="str">
            <v>Chauffage, éclairage</v>
          </cell>
          <cell r="AR312" t="str">
            <v>$</v>
          </cell>
          <cell r="AS312">
            <v>0</v>
          </cell>
          <cell r="AW312">
            <v>0</v>
          </cell>
          <cell r="AY312" t="str">
            <v>NB</v>
          </cell>
        </row>
        <row r="313">
          <cell r="AM313">
            <v>3330</v>
          </cell>
          <cell r="AP313" t="str">
            <v>Service</v>
          </cell>
          <cell r="AQ313" t="str">
            <v>Chauffage, éclairage</v>
          </cell>
          <cell r="AR313" t="str">
            <v>$</v>
          </cell>
          <cell r="AS313">
            <v>0</v>
          </cell>
          <cell r="AW313">
            <v>0</v>
          </cell>
          <cell r="AY313" t="str">
            <v>NB</v>
          </cell>
        </row>
        <row r="314">
          <cell r="AM314">
            <v>1110</v>
          </cell>
          <cell r="AP314" t="str">
            <v>Carrosserie</v>
          </cell>
          <cell r="AQ314" t="str">
            <v>Chauffage, éclairage</v>
          </cell>
          <cell r="AR314" t="str">
            <v>$</v>
          </cell>
          <cell r="AS314">
            <v>0</v>
          </cell>
          <cell r="AW314">
            <v>0</v>
          </cell>
          <cell r="AY314" t="str">
            <v>NB</v>
          </cell>
        </row>
        <row r="315">
          <cell r="AM315">
            <v>1110</v>
          </cell>
          <cell r="AP315" t="str">
            <v>Pièces</v>
          </cell>
          <cell r="AQ315" t="str">
            <v>Chauffage, éclairage</v>
          </cell>
          <cell r="AR315" t="str">
            <v>$</v>
          </cell>
          <cell r="AS315">
            <v>0</v>
          </cell>
          <cell r="AW315">
            <v>0</v>
          </cell>
          <cell r="AY315" t="str">
            <v>NB</v>
          </cell>
        </row>
        <row r="316">
          <cell r="AM316">
            <v>0</v>
          </cell>
          <cell r="AP316" t="e">
            <v>#N/A</v>
          </cell>
          <cell r="AQ316" t="e">
            <v>#N/A</v>
          </cell>
          <cell r="AR316" t="str">
            <v>$</v>
          </cell>
          <cell r="AS316" t="e">
            <v>#N/A</v>
          </cell>
          <cell r="AW316">
            <v>0</v>
          </cell>
          <cell r="AY316" t="str">
            <v>NB</v>
          </cell>
        </row>
        <row r="317">
          <cell r="AM317">
            <v>0</v>
          </cell>
          <cell r="AP317">
            <v>0</v>
          </cell>
          <cell r="AQ317">
            <v>0</v>
          </cell>
          <cell r="AR317" t="str">
            <v>$</v>
          </cell>
          <cell r="AS317">
            <v>0</v>
          </cell>
          <cell r="AW317">
            <v>0</v>
          </cell>
          <cell r="AY317" t="str">
            <v>NB</v>
          </cell>
        </row>
        <row r="318">
          <cell r="AM318">
            <v>0</v>
          </cell>
          <cell r="AP318">
            <v>0</v>
          </cell>
          <cell r="AQ318">
            <v>0</v>
          </cell>
          <cell r="AR318" t="str">
            <v>$</v>
          </cell>
          <cell r="AS318">
            <v>0</v>
          </cell>
          <cell r="AW318">
            <v>0</v>
          </cell>
          <cell r="AY318" t="str">
            <v>NB</v>
          </cell>
        </row>
        <row r="319">
          <cell r="AM319">
            <v>0</v>
          </cell>
          <cell r="AP319">
            <v>0</v>
          </cell>
          <cell r="AQ319">
            <v>0</v>
          </cell>
          <cell r="AR319" t="str">
            <v>$</v>
          </cell>
          <cell r="AS319">
            <v>0</v>
          </cell>
          <cell r="AW319">
            <v>0</v>
          </cell>
          <cell r="AY319" t="str">
            <v>NB</v>
          </cell>
        </row>
        <row r="320">
          <cell r="AM320">
            <v>0</v>
          </cell>
          <cell r="AP320">
            <v>0</v>
          </cell>
          <cell r="AQ320">
            <v>0</v>
          </cell>
          <cell r="AR320" t="str">
            <v>$</v>
          </cell>
          <cell r="AS320">
            <v>0</v>
          </cell>
          <cell r="AW320">
            <v>0</v>
          </cell>
          <cell r="AY320" t="str">
            <v>NB</v>
          </cell>
        </row>
        <row r="321">
          <cell r="AM321">
            <v>0</v>
          </cell>
          <cell r="AP321">
            <v>0</v>
          </cell>
          <cell r="AQ321">
            <v>0</v>
          </cell>
          <cell r="AR321" t="str">
            <v>$</v>
          </cell>
          <cell r="AS321">
            <v>0</v>
          </cell>
          <cell r="AW321">
            <v>0</v>
          </cell>
          <cell r="AY321" t="str">
            <v>NB</v>
          </cell>
        </row>
        <row r="322">
          <cell r="AM322">
            <v>0</v>
          </cell>
          <cell r="AP322" t="e">
            <v>#N/A</v>
          </cell>
          <cell r="AQ322" t="e">
            <v>#N/A</v>
          </cell>
          <cell r="AR322" t="str">
            <v>$</v>
          </cell>
          <cell r="AS322" t="e">
            <v>#N/A</v>
          </cell>
          <cell r="AW322">
            <v>0</v>
          </cell>
          <cell r="AY322" t="str">
            <v>NB</v>
          </cell>
        </row>
        <row r="323">
          <cell r="AM323">
            <v>4418.2800000000025</v>
          </cell>
          <cell r="AP323" t="str">
            <v>Véhicules neufs</v>
          </cell>
          <cell r="AQ323" t="str">
            <v>Taxes d`affaires</v>
          </cell>
          <cell r="AR323" t="str">
            <v>$</v>
          </cell>
          <cell r="AS323">
            <v>0</v>
          </cell>
          <cell r="AW323">
            <v>0</v>
          </cell>
          <cell r="AY323" t="str">
            <v>NB</v>
          </cell>
        </row>
        <row r="324">
          <cell r="AM324">
            <v>2945.5199999999968</v>
          </cell>
          <cell r="AP324" t="str">
            <v>Véhicules usagés</v>
          </cell>
          <cell r="AQ324" t="str">
            <v>Taxes d`affaires</v>
          </cell>
          <cell r="AR324" t="str">
            <v>$</v>
          </cell>
          <cell r="AS324">
            <v>0</v>
          </cell>
          <cell r="AW324">
            <v>0</v>
          </cell>
          <cell r="AY324" t="str">
            <v>NB</v>
          </cell>
        </row>
        <row r="325">
          <cell r="AM325">
            <v>0</v>
          </cell>
          <cell r="AP325" t="str">
            <v>Wholesale autres</v>
          </cell>
          <cell r="AQ325" t="str">
            <v>Taxes d`affaires</v>
          </cell>
          <cell r="AR325" t="str">
            <v>$</v>
          </cell>
          <cell r="AS325">
            <v>0</v>
          </cell>
          <cell r="AW325">
            <v>0</v>
          </cell>
          <cell r="AY325" t="str">
            <v>NB</v>
          </cell>
        </row>
        <row r="326">
          <cell r="AM326">
            <v>4418.2800000000025</v>
          </cell>
          <cell r="AP326" t="str">
            <v>Service</v>
          </cell>
          <cell r="AQ326" t="str">
            <v>Taxes d`affaires</v>
          </cell>
          <cell r="AR326" t="str">
            <v>$</v>
          </cell>
          <cell r="AS326">
            <v>0</v>
          </cell>
          <cell r="AW326">
            <v>0</v>
          </cell>
          <cell r="AY326" t="str">
            <v>NB</v>
          </cell>
        </row>
        <row r="327">
          <cell r="AM327">
            <v>1472.7599999999984</v>
          </cell>
          <cell r="AP327" t="str">
            <v>Carrosserie</v>
          </cell>
          <cell r="AQ327" t="str">
            <v>Taxes d`affaires</v>
          </cell>
          <cell r="AR327" t="str">
            <v>$</v>
          </cell>
          <cell r="AS327">
            <v>0</v>
          </cell>
          <cell r="AW327">
            <v>0</v>
          </cell>
          <cell r="AY327" t="str">
            <v>NB</v>
          </cell>
        </row>
        <row r="328">
          <cell r="AM328">
            <v>1472.7700000000004</v>
          </cell>
          <cell r="AP328" t="str">
            <v>Pièces</v>
          </cell>
          <cell r="AQ328" t="str">
            <v>Taxes d`affaires</v>
          </cell>
          <cell r="AR328" t="str">
            <v>$</v>
          </cell>
          <cell r="AS328">
            <v>0</v>
          </cell>
          <cell r="AW328">
            <v>0</v>
          </cell>
          <cell r="AY328" t="str">
            <v>NB</v>
          </cell>
        </row>
        <row r="329">
          <cell r="AM329">
            <v>0</v>
          </cell>
          <cell r="AP329" t="e">
            <v>#N/A</v>
          </cell>
          <cell r="AQ329" t="e">
            <v>#N/A</v>
          </cell>
          <cell r="AR329" t="str">
            <v>$</v>
          </cell>
          <cell r="AS329" t="e">
            <v>#N/A</v>
          </cell>
          <cell r="AW329">
            <v>0</v>
          </cell>
          <cell r="AY329" t="str">
            <v>NB</v>
          </cell>
        </row>
        <row r="330">
          <cell r="AM330">
            <v>0</v>
          </cell>
          <cell r="AP330" t="str">
            <v>Véhicules neufs</v>
          </cell>
          <cell r="AQ330" t="str">
            <v>Réparation équipement</v>
          </cell>
          <cell r="AR330" t="str">
            <v>$</v>
          </cell>
          <cell r="AS330">
            <v>0</v>
          </cell>
          <cell r="AW330">
            <v>0</v>
          </cell>
          <cell r="AY330" t="str">
            <v>NB</v>
          </cell>
        </row>
        <row r="331">
          <cell r="AM331">
            <v>0</v>
          </cell>
          <cell r="AP331" t="str">
            <v>Véhicules usagés</v>
          </cell>
          <cell r="AQ331" t="str">
            <v>Réparation équipement</v>
          </cell>
          <cell r="AR331" t="str">
            <v>$</v>
          </cell>
          <cell r="AS331">
            <v>0</v>
          </cell>
          <cell r="AW331">
            <v>0</v>
          </cell>
          <cell r="AY331" t="str">
            <v>NB</v>
          </cell>
        </row>
        <row r="332">
          <cell r="AM332">
            <v>507.21999999999935</v>
          </cell>
          <cell r="AP332" t="str">
            <v>Service</v>
          </cell>
          <cell r="AQ332" t="str">
            <v>Réparation équipement</v>
          </cell>
          <cell r="AR332" t="str">
            <v>$</v>
          </cell>
          <cell r="AS332">
            <v>0</v>
          </cell>
          <cell r="AW332">
            <v>0</v>
          </cell>
          <cell r="AY332" t="str">
            <v>NB</v>
          </cell>
        </row>
        <row r="333">
          <cell r="AM333">
            <v>1272.2699999999995</v>
          </cell>
          <cell r="AP333" t="str">
            <v>Carrosserie</v>
          </cell>
          <cell r="AQ333" t="str">
            <v>Réparation équipement</v>
          </cell>
          <cell r="AR333" t="str">
            <v>$</v>
          </cell>
          <cell r="AS333">
            <v>0</v>
          </cell>
          <cell r="AW333">
            <v>0</v>
          </cell>
          <cell r="AY333" t="str">
            <v>NB</v>
          </cell>
        </row>
        <row r="334">
          <cell r="AM334">
            <v>0</v>
          </cell>
          <cell r="AP334" t="str">
            <v>Pièces</v>
          </cell>
          <cell r="AQ334" t="str">
            <v>Réparation équipement</v>
          </cell>
          <cell r="AR334" t="str">
            <v>$</v>
          </cell>
          <cell r="AS334">
            <v>0</v>
          </cell>
          <cell r="AW334">
            <v>0</v>
          </cell>
          <cell r="AY334" t="str">
            <v>NB</v>
          </cell>
        </row>
        <row r="335">
          <cell r="AM335">
            <v>0</v>
          </cell>
          <cell r="AP335" t="str">
            <v>SAAQ</v>
          </cell>
          <cell r="AQ335" t="str">
            <v>Réparation équipement</v>
          </cell>
          <cell r="AR335" t="str">
            <v>$</v>
          </cell>
          <cell r="AS335">
            <v>0</v>
          </cell>
          <cell r="AW335">
            <v>0</v>
          </cell>
          <cell r="AY335" t="str">
            <v>NB</v>
          </cell>
        </row>
        <row r="336">
          <cell r="AM336">
            <v>0</v>
          </cell>
          <cell r="AP336" t="e">
            <v>#N/A</v>
          </cell>
          <cell r="AQ336" t="e">
            <v>#N/A</v>
          </cell>
          <cell r="AR336" t="str">
            <v>$</v>
          </cell>
          <cell r="AS336" t="e">
            <v>#N/A</v>
          </cell>
          <cell r="AW336">
            <v>0</v>
          </cell>
          <cell r="AY336" t="str">
            <v>NB</v>
          </cell>
        </row>
        <row r="337">
          <cell r="AM337">
            <v>3214.5</v>
          </cell>
          <cell r="AP337" t="str">
            <v>Véhicules neufs</v>
          </cell>
          <cell r="AQ337" t="str">
            <v>Amortissement</v>
          </cell>
          <cell r="AR337" t="str">
            <v>$</v>
          </cell>
          <cell r="AS337">
            <v>0</v>
          </cell>
          <cell r="AW337">
            <v>0</v>
          </cell>
          <cell r="AY337" t="str">
            <v>NB</v>
          </cell>
        </row>
        <row r="338">
          <cell r="AM338">
            <v>2143</v>
          </cell>
          <cell r="AP338" t="str">
            <v>Véhicules usagés</v>
          </cell>
          <cell r="AQ338" t="str">
            <v>Amortissement</v>
          </cell>
          <cell r="AR338" t="str">
            <v>$</v>
          </cell>
          <cell r="AS338">
            <v>0</v>
          </cell>
          <cell r="AW338">
            <v>0</v>
          </cell>
          <cell r="AY338" t="str">
            <v>NB</v>
          </cell>
        </row>
        <row r="339">
          <cell r="AM339">
            <v>3214.5</v>
          </cell>
          <cell r="AP339" t="str">
            <v>Service</v>
          </cell>
          <cell r="AQ339" t="str">
            <v>Amortissement</v>
          </cell>
          <cell r="AR339" t="str">
            <v>$</v>
          </cell>
          <cell r="AS339">
            <v>0</v>
          </cell>
          <cell r="AW339">
            <v>0</v>
          </cell>
          <cell r="AY339" t="str">
            <v>NB</v>
          </cell>
        </row>
        <row r="340">
          <cell r="AM340">
            <v>1071.5</v>
          </cell>
          <cell r="AP340" t="str">
            <v>Carrosserie</v>
          </cell>
          <cell r="AQ340" t="str">
            <v>Amortissement</v>
          </cell>
          <cell r="AR340" t="str">
            <v>$</v>
          </cell>
          <cell r="AS340">
            <v>0</v>
          </cell>
          <cell r="AW340">
            <v>0</v>
          </cell>
          <cell r="AY340" t="str">
            <v>NB</v>
          </cell>
        </row>
        <row r="341">
          <cell r="AM341">
            <v>1071.5</v>
          </cell>
          <cell r="AP341" t="str">
            <v>Pièces</v>
          </cell>
          <cell r="AQ341" t="str">
            <v>Amortissement</v>
          </cell>
          <cell r="AR341" t="str">
            <v>$</v>
          </cell>
          <cell r="AS341">
            <v>0</v>
          </cell>
          <cell r="AW341">
            <v>0</v>
          </cell>
          <cell r="AY341" t="str">
            <v>NB</v>
          </cell>
        </row>
        <row r="342">
          <cell r="AM342">
            <v>0</v>
          </cell>
          <cell r="AP342" t="e">
            <v>#N/A</v>
          </cell>
          <cell r="AQ342" t="e">
            <v>#N/A</v>
          </cell>
          <cell r="AR342" t="str">
            <v>$</v>
          </cell>
          <cell r="AS342" t="e">
            <v>#N/A</v>
          </cell>
          <cell r="AW342">
            <v>0</v>
          </cell>
          <cell r="AY342" t="str">
            <v>NB</v>
          </cell>
        </row>
        <row r="343">
          <cell r="AM343">
            <v>146.26</v>
          </cell>
          <cell r="AP343" t="str">
            <v>Véhicules neufs</v>
          </cell>
          <cell r="AQ343" t="str">
            <v>Location équipement</v>
          </cell>
          <cell r="AR343" t="str">
            <v>$</v>
          </cell>
          <cell r="AS343">
            <v>0</v>
          </cell>
          <cell r="AW343">
            <v>0</v>
          </cell>
          <cell r="AY343" t="str">
            <v>NB</v>
          </cell>
        </row>
        <row r="344">
          <cell r="AM344">
            <v>83.68</v>
          </cell>
          <cell r="AP344" t="str">
            <v>Véhicules usagés</v>
          </cell>
          <cell r="AQ344" t="str">
            <v>Location équipement</v>
          </cell>
          <cell r="AR344" t="str">
            <v>$</v>
          </cell>
          <cell r="AS344">
            <v>0</v>
          </cell>
          <cell r="AW344">
            <v>0</v>
          </cell>
          <cell r="AY344" t="str">
            <v>NB</v>
          </cell>
        </row>
        <row r="345">
          <cell r="AM345">
            <v>597.41000000000076</v>
          </cell>
          <cell r="AP345" t="str">
            <v>Service</v>
          </cell>
          <cell r="AQ345" t="str">
            <v>Location équipement</v>
          </cell>
          <cell r="AR345" t="str">
            <v>$</v>
          </cell>
          <cell r="AS345">
            <v>0</v>
          </cell>
          <cell r="AW345">
            <v>0</v>
          </cell>
          <cell r="AY345" t="str">
            <v>NB</v>
          </cell>
        </row>
        <row r="346">
          <cell r="AM346">
            <v>30.599999999999966</v>
          </cell>
          <cell r="AP346" t="str">
            <v>Carrosserie</v>
          </cell>
          <cell r="AQ346" t="str">
            <v>Location équipement</v>
          </cell>
          <cell r="AR346" t="str">
            <v>$</v>
          </cell>
          <cell r="AS346">
            <v>0</v>
          </cell>
          <cell r="AW346">
            <v>0</v>
          </cell>
          <cell r="AY346" t="str">
            <v>NB</v>
          </cell>
        </row>
        <row r="347">
          <cell r="AM347">
            <v>38.080000000000013</v>
          </cell>
          <cell r="AP347" t="str">
            <v>Pièces</v>
          </cell>
          <cell r="AQ347" t="str">
            <v>Location équipement</v>
          </cell>
          <cell r="AR347" t="str">
            <v>$</v>
          </cell>
          <cell r="AS347">
            <v>0</v>
          </cell>
          <cell r="AW347">
            <v>0</v>
          </cell>
          <cell r="AY347" t="str">
            <v>NB</v>
          </cell>
        </row>
        <row r="348">
          <cell r="AM348">
            <v>0</v>
          </cell>
          <cell r="AP348" t="e">
            <v>#N/A</v>
          </cell>
          <cell r="AQ348" t="e">
            <v>#N/A</v>
          </cell>
          <cell r="AR348" t="str">
            <v>$</v>
          </cell>
          <cell r="AS348" t="e">
            <v>#N/A</v>
          </cell>
          <cell r="AW348">
            <v>0</v>
          </cell>
          <cell r="AY348" t="str">
            <v>NB</v>
          </cell>
        </row>
        <row r="349">
          <cell r="AM349">
            <v>0</v>
          </cell>
          <cell r="AP349" t="e">
            <v>#N/A</v>
          </cell>
          <cell r="AQ349" t="e">
            <v>#N/A</v>
          </cell>
          <cell r="AR349" t="str">
            <v>$</v>
          </cell>
          <cell r="AS349" t="e">
            <v>#N/A</v>
          </cell>
          <cell r="AW349">
            <v>0</v>
          </cell>
          <cell r="AY349" t="str">
            <v>NB</v>
          </cell>
        </row>
        <row r="350">
          <cell r="AM350">
            <v>0</v>
          </cell>
          <cell r="AP350" t="e">
            <v>#N/A</v>
          </cell>
          <cell r="AQ350" t="e">
            <v>#N/A</v>
          </cell>
          <cell r="AR350" t="str">
            <v>$</v>
          </cell>
          <cell r="AS350" t="e">
            <v>#N/A</v>
          </cell>
          <cell r="AW350">
            <v>0</v>
          </cell>
          <cell r="AY350" t="str">
            <v>NB</v>
          </cell>
        </row>
        <row r="351">
          <cell r="AM351">
            <v>0</v>
          </cell>
          <cell r="AP351">
            <v>0</v>
          </cell>
          <cell r="AQ351">
            <v>0</v>
          </cell>
          <cell r="AR351" t="str">
            <v>$</v>
          </cell>
          <cell r="AS351">
            <v>0</v>
          </cell>
          <cell r="AW351">
            <v>0</v>
          </cell>
          <cell r="AY351" t="str">
            <v>NB</v>
          </cell>
        </row>
        <row r="352">
          <cell r="AM352">
            <v>0</v>
          </cell>
          <cell r="AP352" t="str">
            <v>Bilan</v>
          </cell>
          <cell r="AQ352" t="str">
            <v>Encaisse</v>
          </cell>
          <cell r="AR352" t="str">
            <v>$</v>
          </cell>
          <cell r="AS352">
            <v>0</v>
          </cell>
          <cell r="AW352">
            <v>0</v>
          </cell>
          <cell r="AY352" t="str">
            <v>NB</v>
          </cell>
        </row>
        <row r="353">
          <cell r="AM353">
            <v>0</v>
          </cell>
          <cell r="AP353" t="str">
            <v>Bilan</v>
          </cell>
          <cell r="AQ353" t="str">
            <v>Salaires à Payer</v>
          </cell>
          <cell r="AR353" t="str">
            <v>$</v>
          </cell>
          <cell r="AS353">
            <v>0</v>
          </cell>
          <cell r="AW353">
            <v>0</v>
          </cell>
          <cell r="AY353" t="str">
            <v>NB</v>
          </cell>
        </row>
        <row r="354">
          <cell r="AM354">
            <v>0</v>
          </cell>
          <cell r="AP354" t="str">
            <v>Bilan</v>
          </cell>
          <cell r="AQ354" t="str">
            <v>Encaisse</v>
          </cell>
          <cell r="AR354" t="str">
            <v>$</v>
          </cell>
          <cell r="AS354">
            <v>0</v>
          </cell>
          <cell r="AW354">
            <v>0</v>
          </cell>
          <cell r="AY354" t="str">
            <v>NB</v>
          </cell>
        </row>
        <row r="355">
          <cell r="AM355">
            <v>0</v>
          </cell>
          <cell r="AP355" t="e">
            <v>#N/A</v>
          </cell>
          <cell r="AQ355" t="e">
            <v>#N/A</v>
          </cell>
          <cell r="AR355" t="str">
            <v>$</v>
          </cell>
          <cell r="AS355" t="e">
            <v>#N/A</v>
          </cell>
          <cell r="AW355">
            <v>0</v>
          </cell>
          <cell r="AY355" t="str">
            <v>NB</v>
          </cell>
        </row>
        <row r="356">
          <cell r="AM356">
            <v>1195606.8400000001</v>
          </cell>
          <cell r="AP356" t="str">
            <v>Bilan</v>
          </cell>
          <cell r="AQ356" t="str">
            <v>Encaisse</v>
          </cell>
          <cell r="AR356" t="str">
            <v>$</v>
          </cell>
          <cell r="AS356">
            <v>0</v>
          </cell>
          <cell r="AW356">
            <v>0</v>
          </cell>
          <cell r="AY356" t="str">
            <v>NB</v>
          </cell>
        </row>
        <row r="357">
          <cell r="AM357">
            <v>0</v>
          </cell>
          <cell r="AP357" t="e">
            <v>#N/A</v>
          </cell>
          <cell r="AQ357" t="e">
            <v>#N/A</v>
          </cell>
          <cell r="AR357" t="str">
            <v>$</v>
          </cell>
          <cell r="AS357" t="e">
            <v>#N/A</v>
          </cell>
          <cell r="AW357">
            <v>0</v>
          </cell>
          <cell r="AY357" t="str">
            <v>NB</v>
          </cell>
        </row>
        <row r="358">
          <cell r="AM358">
            <v>0</v>
          </cell>
          <cell r="AP358">
            <v>0</v>
          </cell>
          <cell r="AQ358">
            <v>0</v>
          </cell>
          <cell r="AR358" t="str">
            <v>$</v>
          </cell>
          <cell r="AS358">
            <v>0</v>
          </cell>
          <cell r="AW358">
            <v>0</v>
          </cell>
          <cell r="AY358" t="str">
            <v>NB</v>
          </cell>
        </row>
        <row r="359">
          <cell r="AM359">
            <v>0</v>
          </cell>
          <cell r="AP359" t="e">
            <v>#N/A</v>
          </cell>
          <cell r="AQ359" t="e">
            <v>#N/A</v>
          </cell>
          <cell r="AR359" t="str">
            <v>$</v>
          </cell>
          <cell r="AS359" t="e">
            <v>#N/A</v>
          </cell>
          <cell r="AW359">
            <v>0</v>
          </cell>
          <cell r="AY359" t="str">
            <v>NB</v>
          </cell>
        </row>
        <row r="360">
          <cell r="AM360">
            <v>0</v>
          </cell>
          <cell r="AP360" t="str">
            <v>Bilan</v>
          </cell>
          <cell r="AQ360" t="str">
            <v>Encaisse</v>
          </cell>
          <cell r="AR360" t="str">
            <v>$</v>
          </cell>
          <cell r="AS360">
            <v>0</v>
          </cell>
          <cell r="AW360">
            <v>0</v>
          </cell>
          <cell r="AY360" t="str">
            <v>NB</v>
          </cell>
        </row>
        <row r="361">
          <cell r="AM361">
            <v>0</v>
          </cell>
          <cell r="AP361" t="e">
            <v>#N/A</v>
          </cell>
          <cell r="AQ361" t="e">
            <v>#N/A</v>
          </cell>
          <cell r="AR361" t="str">
            <v>$</v>
          </cell>
          <cell r="AS361" t="e">
            <v>#N/A</v>
          </cell>
          <cell r="AW361">
            <v>0</v>
          </cell>
          <cell r="AY361" t="str">
            <v>NB</v>
          </cell>
        </row>
        <row r="362">
          <cell r="AM362">
            <v>0</v>
          </cell>
          <cell r="AP362">
            <v>0</v>
          </cell>
          <cell r="AQ362">
            <v>0</v>
          </cell>
          <cell r="AR362" t="str">
            <v>$</v>
          </cell>
          <cell r="AS362">
            <v>0</v>
          </cell>
          <cell r="AW362">
            <v>0</v>
          </cell>
          <cell r="AY362" t="str">
            <v>NB</v>
          </cell>
        </row>
        <row r="363">
          <cell r="AM363">
            <v>-88833.229999999981</v>
          </cell>
          <cell r="AP363" t="str">
            <v>Bilan</v>
          </cell>
          <cell r="AQ363" t="str">
            <v>Recevables Contrats en Transit</v>
          </cell>
          <cell r="AR363" t="str">
            <v>$</v>
          </cell>
          <cell r="AS363">
            <v>0</v>
          </cell>
          <cell r="AW363">
            <v>0</v>
          </cell>
          <cell r="AY363" t="str">
            <v>NB</v>
          </cell>
        </row>
        <row r="364">
          <cell r="AM364">
            <v>0</v>
          </cell>
          <cell r="AP364" t="e">
            <v>#N/A</v>
          </cell>
          <cell r="AQ364" t="e">
            <v>#N/A</v>
          </cell>
          <cell r="AR364" t="str">
            <v>$</v>
          </cell>
          <cell r="AS364" t="e">
            <v>#N/A</v>
          </cell>
          <cell r="AW364">
            <v>0</v>
          </cell>
          <cell r="AY364" t="str">
            <v>NB</v>
          </cell>
        </row>
        <row r="365">
          <cell r="AM365">
            <v>0</v>
          </cell>
          <cell r="AP365" t="e">
            <v>#N/A</v>
          </cell>
          <cell r="AQ365" t="e">
            <v>#N/A</v>
          </cell>
          <cell r="AR365" t="str">
            <v>$</v>
          </cell>
          <cell r="AS365" t="e">
            <v>#N/A</v>
          </cell>
          <cell r="AW365">
            <v>0</v>
          </cell>
          <cell r="AY365" t="str">
            <v>NB</v>
          </cell>
        </row>
        <row r="366">
          <cell r="AM366">
            <v>0</v>
          </cell>
          <cell r="AP366" t="e">
            <v>#N/A</v>
          </cell>
          <cell r="AQ366" t="e">
            <v>#N/A</v>
          </cell>
          <cell r="AR366" t="str">
            <v>$</v>
          </cell>
          <cell r="AS366" t="e">
            <v>#N/A</v>
          </cell>
          <cell r="AW366">
            <v>0</v>
          </cell>
          <cell r="AY366" t="str">
            <v>NB</v>
          </cell>
        </row>
        <row r="367">
          <cell r="AM367">
            <v>-9452.35</v>
          </cell>
          <cell r="AP367" t="str">
            <v>Bilan</v>
          </cell>
          <cell r="AQ367" t="str">
            <v>Recevables Véhicules</v>
          </cell>
          <cell r="AR367" t="str">
            <v>$</v>
          </cell>
          <cell r="AS367">
            <v>0</v>
          </cell>
          <cell r="AW367">
            <v>0</v>
          </cell>
          <cell r="AY367" t="str">
            <v>NB</v>
          </cell>
        </row>
        <row r="368">
          <cell r="AM368">
            <v>0</v>
          </cell>
          <cell r="AP368">
            <v>0</v>
          </cell>
          <cell r="AQ368">
            <v>0</v>
          </cell>
          <cell r="AR368" t="str">
            <v>$</v>
          </cell>
          <cell r="AS368">
            <v>0</v>
          </cell>
          <cell r="AW368">
            <v>0</v>
          </cell>
          <cell r="AY368" t="str">
            <v>NB</v>
          </cell>
        </row>
        <row r="369">
          <cell r="AM369">
            <v>-7174.7200000000303</v>
          </cell>
          <cell r="AP369" t="str">
            <v>Bilan</v>
          </cell>
          <cell r="AQ369" t="str">
            <v>Recevables Pièces et Service</v>
          </cell>
          <cell r="AR369" t="str">
            <v>$</v>
          </cell>
          <cell r="AS369">
            <v>0</v>
          </cell>
          <cell r="AW369">
            <v>0</v>
          </cell>
          <cell r="AY369" t="str">
            <v>NB</v>
          </cell>
        </row>
        <row r="370">
          <cell r="AM370">
            <v>-51481.220000000008</v>
          </cell>
          <cell r="AP370" t="str">
            <v>Bilan</v>
          </cell>
          <cell r="AQ370" t="str">
            <v>Recevables Véhicules</v>
          </cell>
          <cell r="AR370" t="str">
            <v>$</v>
          </cell>
          <cell r="AS370">
            <v>0</v>
          </cell>
          <cell r="AW370">
            <v>0</v>
          </cell>
          <cell r="AY370" t="str">
            <v>NB</v>
          </cell>
        </row>
        <row r="371">
          <cell r="AM371">
            <v>-16198.39</v>
          </cell>
          <cell r="AP371" t="str">
            <v>Bilan</v>
          </cell>
          <cell r="AQ371" t="str">
            <v>Recevables Carrosserie</v>
          </cell>
          <cell r="AR371" t="str">
            <v>$</v>
          </cell>
          <cell r="AS371">
            <v>0</v>
          </cell>
          <cell r="AW371">
            <v>0</v>
          </cell>
          <cell r="AY371" t="str">
            <v>NB</v>
          </cell>
        </row>
        <row r="372">
          <cell r="AM372">
            <v>0</v>
          </cell>
          <cell r="AP372" t="str">
            <v>Bilan</v>
          </cell>
          <cell r="AQ372" t="str">
            <v>Recevables Véhicules</v>
          </cell>
          <cell r="AR372" t="str">
            <v>$</v>
          </cell>
          <cell r="AS372">
            <v>0</v>
          </cell>
          <cell r="AW372">
            <v>0</v>
          </cell>
          <cell r="AY372" t="str">
            <v>NB</v>
          </cell>
        </row>
        <row r="373">
          <cell r="AM373">
            <v>-3582.3600000000079</v>
          </cell>
          <cell r="AP373" t="str">
            <v>Bilan</v>
          </cell>
          <cell r="AQ373" t="str">
            <v>Taxes de Vente à Payer</v>
          </cell>
          <cell r="AR373" t="str">
            <v>$</v>
          </cell>
          <cell r="AS373">
            <v>0</v>
          </cell>
          <cell r="AW373">
            <v>0</v>
          </cell>
          <cell r="AY373" t="str">
            <v>NB</v>
          </cell>
        </row>
        <row r="374">
          <cell r="AM374">
            <v>-293214.87</v>
          </cell>
          <cell r="AP374" t="str">
            <v>Bilan</v>
          </cell>
          <cell r="AQ374" t="str">
            <v>Taxes de Vente à Payer</v>
          </cell>
          <cell r="AR374" t="str">
            <v>$</v>
          </cell>
          <cell r="AS374">
            <v>0</v>
          </cell>
          <cell r="AW374">
            <v>0</v>
          </cell>
          <cell r="AY374" t="str">
            <v>NB</v>
          </cell>
        </row>
        <row r="375">
          <cell r="AM375">
            <v>-7963.6600000000017</v>
          </cell>
          <cell r="AP375" t="str">
            <v>Bilan</v>
          </cell>
          <cell r="AQ375" t="str">
            <v>Recevables Autres</v>
          </cell>
          <cell r="AR375" t="str">
            <v>$</v>
          </cell>
          <cell r="AS375">
            <v>0</v>
          </cell>
          <cell r="AW375">
            <v>0</v>
          </cell>
          <cell r="AY375" t="str">
            <v>NB</v>
          </cell>
        </row>
        <row r="376">
          <cell r="AM376">
            <v>-654250.14000000013</v>
          </cell>
          <cell r="AP376" t="str">
            <v>Bilan</v>
          </cell>
          <cell r="AQ376" t="str">
            <v>Recevables Véhicules</v>
          </cell>
          <cell r="AR376" t="str">
            <v>$</v>
          </cell>
          <cell r="AS376">
            <v>0</v>
          </cell>
          <cell r="AW376">
            <v>0</v>
          </cell>
          <cell r="AY376" t="str">
            <v>NB</v>
          </cell>
        </row>
        <row r="377">
          <cell r="AM377">
            <v>392263.06</v>
          </cell>
          <cell r="AP377" t="str">
            <v>Bilan</v>
          </cell>
          <cell r="AQ377" t="str">
            <v>Recevables Véhicules</v>
          </cell>
          <cell r="AR377" t="str">
            <v>$</v>
          </cell>
          <cell r="AS377">
            <v>0</v>
          </cell>
          <cell r="AW377">
            <v>0</v>
          </cell>
          <cell r="AY377" t="str">
            <v>NB</v>
          </cell>
        </row>
        <row r="378">
          <cell r="AM378">
            <v>0</v>
          </cell>
          <cell r="AP378" t="e">
            <v>#N/A</v>
          </cell>
          <cell r="AQ378" t="e">
            <v>#N/A</v>
          </cell>
          <cell r="AR378" t="str">
            <v>$</v>
          </cell>
          <cell r="AS378" t="e">
            <v>#N/A</v>
          </cell>
          <cell r="AW378">
            <v>0</v>
          </cell>
          <cell r="AY378" t="str">
            <v>NB</v>
          </cell>
        </row>
        <row r="379">
          <cell r="AM379">
            <v>424656.55999999994</v>
          </cell>
          <cell r="AP379" t="str">
            <v>Bilan</v>
          </cell>
          <cell r="AQ379" t="str">
            <v>Recevables Véhicules</v>
          </cell>
          <cell r="AR379" t="str">
            <v>$</v>
          </cell>
          <cell r="AS379">
            <v>0</v>
          </cell>
          <cell r="AW379">
            <v>0</v>
          </cell>
          <cell r="AY379" t="str">
            <v>NB</v>
          </cell>
        </row>
        <row r="380">
          <cell r="AM380">
            <v>-317108.81</v>
          </cell>
          <cell r="AP380" t="str">
            <v>Bilan</v>
          </cell>
          <cell r="AQ380" t="str">
            <v>Recevables Véhicules</v>
          </cell>
          <cell r="AR380" t="str">
            <v>$</v>
          </cell>
          <cell r="AS380">
            <v>0</v>
          </cell>
          <cell r="AW380">
            <v>0</v>
          </cell>
          <cell r="AY380" t="str">
            <v>NB</v>
          </cell>
        </row>
        <row r="381">
          <cell r="AM381">
            <v>0</v>
          </cell>
          <cell r="AP381" t="e">
            <v>#N/A</v>
          </cell>
          <cell r="AQ381" t="e">
            <v>#N/A</v>
          </cell>
          <cell r="AR381" t="str">
            <v>$</v>
          </cell>
          <cell r="AS381" t="e">
            <v>#N/A</v>
          </cell>
          <cell r="AW381">
            <v>0</v>
          </cell>
          <cell r="AY381" t="str">
            <v>NB</v>
          </cell>
        </row>
        <row r="382">
          <cell r="AM382">
            <v>0</v>
          </cell>
          <cell r="AP382" t="str">
            <v>Bilan</v>
          </cell>
          <cell r="AQ382" t="str">
            <v>Recevables Véhicules</v>
          </cell>
          <cell r="AR382" t="str">
            <v>$</v>
          </cell>
          <cell r="AS382">
            <v>0</v>
          </cell>
          <cell r="AW382">
            <v>0</v>
          </cell>
          <cell r="AY382" t="str">
            <v>NB</v>
          </cell>
        </row>
        <row r="383">
          <cell r="AM383">
            <v>-449030.41</v>
          </cell>
          <cell r="AP383" t="str">
            <v>Bilan</v>
          </cell>
          <cell r="AQ383" t="str">
            <v>Recevables Véhicules</v>
          </cell>
          <cell r="AR383" t="str">
            <v>$</v>
          </cell>
          <cell r="AS383">
            <v>0</v>
          </cell>
          <cell r="AW383">
            <v>0</v>
          </cell>
          <cell r="AY383" t="str">
            <v>NB</v>
          </cell>
        </row>
        <row r="384">
          <cell r="AM384">
            <v>0</v>
          </cell>
          <cell r="AP384" t="str">
            <v>Bilan</v>
          </cell>
          <cell r="AQ384" t="str">
            <v>Recevables Véhicules</v>
          </cell>
          <cell r="AR384" t="str">
            <v>$</v>
          </cell>
          <cell r="AS384">
            <v>0</v>
          </cell>
          <cell r="AW384">
            <v>0</v>
          </cell>
          <cell r="AY384" t="str">
            <v>NB</v>
          </cell>
        </row>
        <row r="385">
          <cell r="AM385">
            <v>0</v>
          </cell>
          <cell r="AP385" t="str">
            <v>Bilan</v>
          </cell>
          <cell r="AQ385" t="str">
            <v>Recevables Véhicules</v>
          </cell>
          <cell r="AR385" t="str">
            <v>$</v>
          </cell>
          <cell r="AS385">
            <v>0</v>
          </cell>
          <cell r="AW385">
            <v>0</v>
          </cell>
          <cell r="AY385" t="str">
            <v>NB</v>
          </cell>
        </row>
        <row r="386">
          <cell r="AM386">
            <v>0</v>
          </cell>
          <cell r="AP386" t="e">
            <v>#N/A</v>
          </cell>
          <cell r="AQ386" t="e">
            <v>#N/A</v>
          </cell>
          <cell r="AR386" t="str">
            <v>$</v>
          </cell>
          <cell r="AS386" t="e">
            <v>#N/A</v>
          </cell>
          <cell r="AW386">
            <v>0</v>
          </cell>
          <cell r="AY386" t="str">
            <v>NB</v>
          </cell>
        </row>
        <row r="387">
          <cell r="AM387">
            <v>0</v>
          </cell>
          <cell r="AP387" t="e">
            <v>#N/A</v>
          </cell>
          <cell r="AQ387" t="e">
            <v>#N/A</v>
          </cell>
          <cell r="AR387" t="str">
            <v>$</v>
          </cell>
          <cell r="AS387" t="e">
            <v>#N/A</v>
          </cell>
          <cell r="AW387">
            <v>0</v>
          </cell>
          <cell r="AY387" t="str">
            <v>NB</v>
          </cell>
        </row>
        <row r="388">
          <cell r="AM388">
            <v>14369.840000000026</v>
          </cell>
          <cell r="AP388" t="str">
            <v>Bilan</v>
          </cell>
          <cell r="AQ388" t="str">
            <v>Recevables Intercos</v>
          </cell>
          <cell r="AR388" t="str">
            <v>$</v>
          </cell>
          <cell r="AS388">
            <v>0</v>
          </cell>
          <cell r="AW388">
            <v>0</v>
          </cell>
          <cell r="AY388" t="str">
            <v>NB</v>
          </cell>
        </row>
        <row r="389">
          <cell r="AM389">
            <v>0</v>
          </cell>
          <cell r="AP389" t="str">
            <v>Bilan</v>
          </cell>
          <cell r="AQ389" t="str">
            <v>Recevables Intercos</v>
          </cell>
          <cell r="AR389" t="str">
            <v>$</v>
          </cell>
          <cell r="AS389">
            <v>0</v>
          </cell>
          <cell r="AW389">
            <v>0</v>
          </cell>
          <cell r="AY389" t="str">
            <v>NB</v>
          </cell>
        </row>
        <row r="390">
          <cell r="AM390">
            <v>457490.63</v>
          </cell>
          <cell r="AP390" t="str">
            <v>Bilan</v>
          </cell>
          <cell r="AQ390" t="str">
            <v>Recevables Intercos</v>
          </cell>
          <cell r="AR390" t="str">
            <v>$</v>
          </cell>
          <cell r="AS390">
            <v>0</v>
          </cell>
          <cell r="AW390">
            <v>0</v>
          </cell>
          <cell r="AY390" t="str">
            <v>NB</v>
          </cell>
        </row>
        <row r="391">
          <cell r="AM391">
            <v>0</v>
          </cell>
          <cell r="AP391" t="str">
            <v>Bilan</v>
          </cell>
          <cell r="AQ391" t="str">
            <v>Recevables Intercos</v>
          </cell>
          <cell r="AR391" t="str">
            <v>$</v>
          </cell>
          <cell r="AS391">
            <v>0</v>
          </cell>
          <cell r="AW391">
            <v>0</v>
          </cell>
          <cell r="AY391" t="str">
            <v>NB</v>
          </cell>
        </row>
        <row r="392">
          <cell r="AM392">
            <v>0</v>
          </cell>
          <cell r="AP392" t="str">
            <v>Bilan</v>
          </cell>
          <cell r="AQ392" t="str">
            <v>Recevables Véhicules</v>
          </cell>
          <cell r="AR392" t="str">
            <v>$</v>
          </cell>
          <cell r="AS392">
            <v>0</v>
          </cell>
          <cell r="AW392">
            <v>0</v>
          </cell>
          <cell r="AY392" t="str">
            <v>NB</v>
          </cell>
        </row>
        <row r="393">
          <cell r="AM393">
            <v>0</v>
          </cell>
          <cell r="AP393" t="str">
            <v>Bilan</v>
          </cell>
          <cell r="AQ393" t="str">
            <v>Recevables Véhicules</v>
          </cell>
          <cell r="AR393" t="str">
            <v>$</v>
          </cell>
          <cell r="AS393">
            <v>0</v>
          </cell>
          <cell r="AW393">
            <v>0</v>
          </cell>
          <cell r="AY393" t="str">
            <v>NB</v>
          </cell>
        </row>
        <row r="394">
          <cell r="AM394">
            <v>0</v>
          </cell>
          <cell r="AP394" t="str">
            <v>Bilan</v>
          </cell>
          <cell r="AQ394" t="str">
            <v>Recevables Véhicules</v>
          </cell>
          <cell r="AR394" t="str">
            <v>$</v>
          </cell>
          <cell r="AS394">
            <v>0</v>
          </cell>
          <cell r="AW394">
            <v>0</v>
          </cell>
          <cell r="AY394" t="str">
            <v>NB</v>
          </cell>
        </row>
        <row r="395">
          <cell r="AM395">
            <v>0</v>
          </cell>
          <cell r="AP395" t="str">
            <v>Bilan</v>
          </cell>
          <cell r="AQ395" t="str">
            <v>Recevables Véhicules</v>
          </cell>
          <cell r="AR395" t="str">
            <v>$</v>
          </cell>
          <cell r="AS395">
            <v>0</v>
          </cell>
          <cell r="AW395">
            <v>0</v>
          </cell>
          <cell r="AY395" t="str">
            <v>NB</v>
          </cell>
        </row>
        <row r="396">
          <cell r="AM396">
            <v>0</v>
          </cell>
          <cell r="AP396">
            <v>0</v>
          </cell>
          <cell r="AQ396">
            <v>0</v>
          </cell>
          <cell r="AR396" t="str">
            <v>$</v>
          </cell>
          <cell r="AS396">
            <v>0</v>
          </cell>
          <cell r="AW396">
            <v>0</v>
          </cell>
          <cell r="AY396" t="str">
            <v>NB</v>
          </cell>
        </row>
        <row r="397">
          <cell r="AM397">
            <v>-295421.7</v>
          </cell>
          <cell r="AP397" t="str">
            <v>Bilan</v>
          </cell>
          <cell r="AQ397" t="str">
            <v>Recevables Véhicules</v>
          </cell>
          <cell r="AR397" t="str">
            <v>$</v>
          </cell>
          <cell r="AS397">
            <v>0</v>
          </cell>
          <cell r="AW397">
            <v>0</v>
          </cell>
          <cell r="AY397" t="str">
            <v>NB</v>
          </cell>
        </row>
        <row r="398">
          <cell r="AM398">
            <v>0</v>
          </cell>
          <cell r="AP398" t="str">
            <v>Bilan</v>
          </cell>
          <cell r="AQ398" t="str">
            <v>Recevables Intercos</v>
          </cell>
          <cell r="AR398" t="str">
            <v>$</v>
          </cell>
          <cell r="AS398">
            <v>0</v>
          </cell>
          <cell r="AW398">
            <v>0</v>
          </cell>
          <cell r="AY398" t="str">
            <v>NB</v>
          </cell>
        </row>
        <row r="399">
          <cell r="AM399">
            <v>0</v>
          </cell>
          <cell r="AP399" t="str">
            <v>Bilan</v>
          </cell>
          <cell r="AQ399" t="str">
            <v>Recevables Intercos</v>
          </cell>
          <cell r="AR399" t="str">
            <v>$</v>
          </cell>
          <cell r="AS399">
            <v>0</v>
          </cell>
          <cell r="AW399">
            <v>0</v>
          </cell>
          <cell r="AY399" t="str">
            <v>NB</v>
          </cell>
        </row>
        <row r="400">
          <cell r="AM400">
            <v>0</v>
          </cell>
          <cell r="AP400" t="str">
            <v>Bilan</v>
          </cell>
          <cell r="AQ400" t="str">
            <v>Recevables Véhicules</v>
          </cell>
          <cell r="AR400" t="str">
            <v>$</v>
          </cell>
          <cell r="AS400">
            <v>0</v>
          </cell>
          <cell r="AW400">
            <v>0</v>
          </cell>
          <cell r="AY400" t="str">
            <v>NB</v>
          </cell>
        </row>
        <row r="401">
          <cell r="AM401">
            <v>11277.199999999983</v>
          </cell>
          <cell r="AP401" t="str">
            <v>Bilan</v>
          </cell>
          <cell r="AQ401" t="str">
            <v>Recevables Intercos</v>
          </cell>
          <cell r="AR401" t="str">
            <v>$</v>
          </cell>
          <cell r="AS401">
            <v>0</v>
          </cell>
          <cell r="AW401">
            <v>0</v>
          </cell>
          <cell r="AY401" t="str">
            <v>NB</v>
          </cell>
        </row>
        <row r="402">
          <cell r="AM402">
            <v>0</v>
          </cell>
          <cell r="AP402" t="str">
            <v>Bilan</v>
          </cell>
          <cell r="AQ402" t="str">
            <v>Recevables Intercos</v>
          </cell>
          <cell r="AR402" t="str">
            <v>$</v>
          </cell>
          <cell r="AS402">
            <v>0</v>
          </cell>
          <cell r="AW402">
            <v>0</v>
          </cell>
          <cell r="AY402" t="str">
            <v>NB</v>
          </cell>
        </row>
        <row r="403">
          <cell r="AM403">
            <v>0</v>
          </cell>
          <cell r="AP403" t="str">
            <v>Bilan</v>
          </cell>
          <cell r="AQ403" t="str">
            <v>Recevables Intercos</v>
          </cell>
          <cell r="AR403" t="str">
            <v>$</v>
          </cell>
          <cell r="AS403">
            <v>0</v>
          </cell>
          <cell r="AW403">
            <v>0</v>
          </cell>
          <cell r="AY403" t="str">
            <v>NB</v>
          </cell>
        </row>
        <row r="404">
          <cell r="AM404">
            <v>78.180000000000064</v>
          </cell>
          <cell r="AP404" t="str">
            <v>Bilan</v>
          </cell>
          <cell r="AQ404" t="str">
            <v>Recevables Intercos</v>
          </cell>
          <cell r="AR404" t="str">
            <v>$</v>
          </cell>
          <cell r="AS404">
            <v>0</v>
          </cell>
          <cell r="AW404">
            <v>0</v>
          </cell>
          <cell r="AY404" t="str">
            <v>NB</v>
          </cell>
        </row>
        <row r="405">
          <cell r="AM405">
            <v>0</v>
          </cell>
          <cell r="AP405" t="str">
            <v>Bilan</v>
          </cell>
          <cell r="AQ405" t="str">
            <v>Recevables Intercos</v>
          </cell>
          <cell r="AR405" t="str">
            <v>$</v>
          </cell>
          <cell r="AS405">
            <v>0</v>
          </cell>
          <cell r="AW405">
            <v>0</v>
          </cell>
          <cell r="AY405" t="str">
            <v>NB</v>
          </cell>
        </row>
        <row r="406">
          <cell r="AM406">
            <v>0</v>
          </cell>
          <cell r="AP406" t="str">
            <v>Bilan</v>
          </cell>
          <cell r="AQ406" t="str">
            <v>Recevables Intercos</v>
          </cell>
          <cell r="AR406" t="str">
            <v>$</v>
          </cell>
          <cell r="AS406">
            <v>0</v>
          </cell>
          <cell r="AW406">
            <v>0</v>
          </cell>
          <cell r="AY406" t="str">
            <v>NB</v>
          </cell>
        </row>
        <row r="407">
          <cell r="AM407">
            <v>0</v>
          </cell>
          <cell r="AP407">
            <v>0</v>
          </cell>
          <cell r="AQ407">
            <v>0</v>
          </cell>
          <cell r="AR407" t="str">
            <v>$</v>
          </cell>
          <cell r="AS407">
            <v>0</v>
          </cell>
          <cell r="AW407">
            <v>0</v>
          </cell>
          <cell r="AY407" t="str">
            <v>NB</v>
          </cell>
        </row>
        <row r="408">
          <cell r="AM408">
            <v>0</v>
          </cell>
          <cell r="AP408" t="str">
            <v>Bilan</v>
          </cell>
          <cell r="AQ408" t="str">
            <v>Recevables Intercos</v>
          </cell>
          <cell r="AR408" t="str">
            <v>$</v>
          </cell>
          <cell r="AS408">
            <v>0</v>
          </cell>
          <cell r="AW408">
            <v>0</v>
          </cell>
          <cell r="AY408" t="str">
            <v>NB</v>
          </cell>
        </row>
        <row r="409">
          <cell r="AM409">
            <v>0</v>
          </cell>
          <cell r="AP409" t="e">
            <v>#N/A</v>
          </cell>
          <cell r="AQ409" t="e">
            <v>#N/A</v>
          </cell>
          <cell r="AR409" t="str">
            <v>$</v>
          </cell>
          <cell r="AS409" t="e">
            <v>#N/A</v>
          </cell>
          <cell r="AW409">
            <v>0</v>
          </cell>
          <cell r="AY409" t="str">
            <v>NB</v>
          </cell>
        </row>
        <row r="410">
          <cell r="AM410">
            <v>0</v>
          </cell>
          <cell r="AP410" t="str">
            <v>Bilan</v>
          </cell>
          <cell r="AQ410" t="str">
            <v>Recevables Intercos</v>
          </cell>
          <cell r="AR410" t="str">
            <v>$</v>
          </cell>
          <cell r="AS410">
            <v>0</v>
          </cell>
          <cell r="AW410">
            <v>0</v>
          </cell>
          <cell r="AY410" t="str">
            <v>NB</v>
          </cell>
        </row>
        <row r="411">
          <cell r="AM411">
            <v>0</v>
          </cell>
          <cell r="AP411" t="str">
            <v>Bilan</v>
          </cell>
          <cell r="AQ411" t="str">
            <v>Recevables Intercos</v>
          </cell>
          <cell r="AR411" t="str">
            <v>$</v>
          </cell>
          <cell r="AS411">
            <v>0</v>
          </cell>
          <cell r="AW411">
            <v>0</v>
          </cell>
          <cell r="AY411" t="str">
            <v>NB</v>
          </cell>
        </row>
        <row r="412">
          <cell r="AM412">
            <v>0</v>
          </cell>
          <cell r="AP412">
            <v>0</v>
          </cell>
          <cell r="AQ412">
            <v>0</v>
          </cell>
          <cell r="AR412" t="str">
            <v>$</v>
          </cell>
          <cell r="AS412">
            <v>0</v>
          </cell>
          <cell r="AW412">
            <v>0</v>
          </cell>
          <cell r="AY412" t="str">
            <v>NB</v>
          </cell>
        </row>
        <row r="413">
          <cell r="AM413">
            <v>0</v>
          </cell>
          <cell r="AP413" t="str">
            <v>Bilan</v>
          </cell>
          <cell r="AQ413" t="str">
            <v>Recevables Intercos</v>
          </cell>
          <cell r="AR413" t="str">
            <v>$</v>
          </cell>
          <cell r="AS413">
            <v>0</v>
          </cell>
          <cell r="AW413">
            <v>0</v>
          </cell>
          <cell r="AY413" t="str">
            <v>NB</v>
          </cell>
        </row>
        <row r="414">
          <cell r="AM414">
            <v>0</v>
          </cell>
          <cell r="AP414" t="str">
            <v>Bilan</v>
          </cell>
          <cell r="AQ414" t="str">
            <v>Recevables Véhicules</v>
          </cell>
          <cell r="AR414" t="str">
            <v>$</v>
          </cell>
          <cell r="AS414">
            <v>0</v>
          </cell>
          <cell r="AW414">
            <v>0</v>
          </cell>
          <cell r="AY414" t="str">
            <v>NB</v>
          </cell>
        </row>
        <row r="415">
          <cell r="AM415">
            <v>0</v>
          </cell>
          <cell r="AP415" t="str">
            <v>Bilan</v>
          </cell>
          <cell r="AQ415" t="str">
            <v>Recevables Véhicules</v>
          </cell>
          <cell r="AR415" t="str">
            <v>$</v>
          </cell>
          <cell r="AS415">
            <v>0</v>
          </cell>
          <cell r="AW415">
            <v>0</v>
          </cell>
          <cell r="AY415" t="str">
            <v>NB</v>
          </cell>
        </row>
        <row r="416">
          <cell r="AM416">
            <v>0</v>
          </cell>
          <cell r="AP416" t="e">
            <v>#N/A</v>
          </cell>
          <cell r="AQ416" t="e">
            <v>#N/A</v>
          </cell>
          <cell r="AR416" t="str">
            <v>$</v>
          </cell>
          <cell r="AS416" t="e">
            <v>#N/A</v>
          </cell>
          <cell r="AW416">
            <v>0</v>
          </cell>
          <cell r="AY416" t="str">
            <v>NB</v>
          </cell>
        </row>
        <row r="417">
          <cell r="AM417">
            <v>0</v>
          </cell>
          <cell r="AP417" t="str">
            <v>Bilan</v>
          </cell>
          <cell r="AQ417" t="str">
            <v>Encaisse</v>
          </cell>
          <cell r="AR417" t="str">
            <v>$</v>
          </cell>
          <cell r="AS417">
            <v>0</v>
          </cell>
          <cell r="AW417">
            <v>0</v>
          </cell>
          <cell r="AY417" t="str">
            <v>NB</v>
          </cell>
        </row>
        <row r="418">
          <cell r="AM418">
            <v>0</v>
          </cell>
          <cell r="AP418" t="str">
            <v>Bilan</v>
          </cell>
          <cell r="AQ418" t="str">
            <v>Encaisse</v>
          </cell>
          <cell r="AR418" t="str">
            <v>$</v>
          </cell>
          <cell r="AS418">
            <v>0</v>
          </cell>
          <cell r="AW418">
            <v>0</v>
          </cell>
          <cell r="AY418" t="str">
            <v>NB</v>
          </cell>
        </row>
        <row r="419">
          <cell r="AM419">
            <v>0</v>
          </cell>
          <cell r="AP419" t="str">
            <v>Bilan</v>
          </cell>
          <cell r="AQ419" t="str">
            <v>Encaisse</v>
          </cell>
          <cell r="AR419" t="str">
            <v>$</v>
          </cell>
          <cell r="AS419">
            <v>0</v>
          </cell>
          <cell r="AW419">
            <v>0</v>
          </cell>
          <cell r="AY419" t="str">
            <v>NB</v>
          </cell>
        </row>
        <row r="420">
          <cell r="AM420">
            <v>-1.45</v>
          </cell>
          <cell r="AP420" t="str">
            <v>Bilan</v>
          </cell>
          <cell r="AQ420" t="str">
            <v>Encaisse</v>
          </cell>
          <cell r="AR420" t="str">
            <v>$</v>
          </cell>
          <cell r="AS420">
            <v>0</v>
          </cell>
          <cell r="AW420">
            <v>0</v>
          </cell>
          <cell r="AY420" t="str">
            <v>NB</v>
          </cell>
        </row>
        <row r="421">
          <cell r="AM421">
            <v>0</v>
          </cell>
          <cell r="AP421" t="str">
            <v>Bilan</v>
          </cell>
          <cell r="AQ421" t="str">
            <v>Encaisse</v>
          </cell>
          <cell r="AR421" t="str">
            <v>$</v>
          </cell>
          <cell r="AS421">
            <v>0</v>
          </cell>
          <cell r="AW421">
            <v>0</v>
          </cell>
          <cell r="AY421" t="str">
            <v>NB</v>
          </cell>
        </row>
        <row r="422">
          <cell r="AM422">
            <v>0</v>
          </cell>
          <cell r="AP422" t="str">
            <v>Bilan</v>
          </cell>
          <cell r="AQ422" t="str">
            <v>Encaisse</v>
          </cell>
          <cell r="AR422" t="str">
            <v>$</v>
          </cell>
          <cell r="AS422">
            <v>0</v>
          </cell>
          <cell r="AW422">
            <v>0</v>
          </cell>
          <cell r="AY422" t="str">
            <v>NB</v>
          </cell>
        </row>
        <row r="423">
          <cell r="AM423">
            <v>0</v>
          </cell>
          <cell r="AP423" t="e">
            <v>#N/A</v>
          </cell>
          <cell r="AQ423" t="e">
            <v>#N/A</v>
          </cell>
          <cell r="AR423" t="str">
            <v>$</v>
          </cell>
          <cell r="AS423" t="e">
            <v>#N/A</v>
          </cell>
          <cell r="AW423">
            <v>0</v>
          </cell>
          <cell r="AY423" t="str">
            <v>NB</v>
          </cell>
        </row>
        <row r="424">
          <cell r="AM424">
            <v>41622.22000000003</v>
          </cell>
          <cell r="AP424" t="str">
            <v>Bilan</v>
          </cell>
          <cell r="AQ424" t="str">
            <v>Inventaire Véhicules Neufs</v>
          </cell>
          <cell r="AR424" t="str">
            <v>$</v>
          </cell>
          <cell r="AS424">
            <v>0</v>
          </cell>
          <cell r="AW424">
            <v>0</v>
          </cell>
          <cell r="AY424" t="str">
            <v>NB</v>
          </cell>
        </row>
        <row r="425">
          <cell r="AM425">
            <v>0</v>
          </cell>
          <cell r="AP425" t="e">
            <v>#N/A</v>
          </cell>
          <cell r="AQ425" t="e">
            <v>#N/A</v>
          </cell>
          <cell r="AR425" t="str">
            <v>$</v>
          </cell>
          <cell r="AS425" t="e">
            <v>#N/A</v>
          </cell>
          <cell r="AW425">
            <v>0</v>
          </cell>
          <cell r="AY425" t="str">
            <v>NB</v>
          </cell>
        </row>
        <row r="426">
          <cell r="AM426">
            <v>-1617168.6599999983</v>
          </cell>
          <cell r="AP426" t="str">
            <v>Bilan</v>
          </cell>
          <cell r="AQ426" t="str">
            <v>Inventaire Véhicules Neufs</v>
          </cell>
          <cell r="AR426" t="str">
            <v>$</v>
          </cell>
          <cell r="AS426">
            <v>0</v>
          </cell>
          <cell r="AW426">
            <v>0</v>
          </cell>
          <cell r="AY426" t="str">
            <v>NB</v>
          </cell>
        </row>
        <row r="427">
          <cell r="AM427">
            <v>-214287.10000000003</v>
          </cell>
          <cell r="AP427" t="str">
            <v>Bilan</v>
          </cell>
          <cell r="AQ427" t="str">
            <v>Inventaire Véhicules Usagés</v>
          </cell>
          <cell r="AR427" t="str">
            <v>$</v>
          </cell>
          <cell r="AS427">
            <v>0</v>
          </cell>
          <cell r="AW427">
            <v>0</v>
          </cell>
          <cell r="AY427" t="str">
            <v>NB</v>
          </cell>
        </row>
        <row r="428">
          <cell r="AM428">
            <v>0</v>
          </cell>
          <cell r="AP428" t="e">
            <v>#N/A</v>
          </cell>
          <cell r="AQ428" t="e">
            <v>#N/A</v>
          </cell>
          <cell r="AR428" t="str">
            <v>$</v>
          </cell>
          <cell r="AS428" t="e">
            <v>#N/A</v>
          </cell>
          <cell r="AW428">
            <v>0</v>
          </cell>
          <cell r="AY428" t="str">
            <v>NB</v>
          </cell>
        </row>
        <row r="429">
          <cell r="AM429">
            <v>76017.739999999758</v>
          </cell>
          <cell r="AP429" t="str">
            <v>Bilan</v>
          </cell>
          <cell r="AQ429" t="str">
            <v>Inventaire Véhicules Usagés</v>
          </cell>
          <cell r="AR429" t="str">
            <v>$</v>
          </cell>
          <cell r="AS429">
            <v>0</v>
          </cell>
          <cell r="AW429">
            <v>0</v>
          </cell>
          <cell r="AY429" t="str">
            <v>NB</v>
          </cell>
        </row>
        <row r="430">
          <cell r="AM430">
            <v>220113.50000000006</v>
          </cell>
          <cell r="AP430" t="str">
            <v>Bilan</v>
          </cell>
          <cell r="AQ430" t="str">
            <v>Inventaire Véhicules Usagés</v>
          </cell>
          <cell r="AR430" t="str">
            <v>$</v>
          </cell>
          <cell r="AS430">
            <v>0</v>
          </cell>
          <cell r="AW430">
            <v>0</v>
          </cell>
          <cell r="AY430" t="str">
            <v>NB</v>
          </cell>
        </row>
        <row r="431">
          <cell r="AM431">
            <v>-4925825.4800000004</v>
          </cell>
          <cell r="AP431" t="str">
            <v>Bilan</v>
          </cell>
          <cell r="AQ431" t="str">
            <v>Inventaire Véhicules Usagés</v>
          </cell>
          <cell r="AR431" t="str">
            <v>$</v>
          </cell>
          <cell r="AS431">
            <v>0</v>
          </cell>
          <cell r="AW431">
            <v>0</v>
          </cell>
          <cell r="AY431" t="str">
            <v>NB</v>
          </cell>
        </row>
        <row r="432">
          <cell r="AM432">
            <v>-1017753.21</v>
          </cell>
          <cell r="AP432" t="str">
            <v>Bilan</v>
          </cell>
          <cell r="AQ432" t="str">
            <v>Inventaire Véhicules Usagés</v>
          </cell>
          <cell r="AR432" t="str">
            <v>$</v>
          </cell>
          <cell r="AS432">
            <v>0</v>
          </cell>
          <cell r="AW432">
            <v>0</v>
          </cell>
          <cell r="AY432" t="str">
            <v>NB</v>
          </cell>
        </row>
        <row r="433">
          <cell r="AM433">
            <v>0</v>
          </cell>
          <cell r="AP433" t="e">
            <v>#N/A</v>
          </cell>
          <cell r="AQ433" t="e">
            <v>#N/A</v>
          </cell>
          <cell r="AR433" t="str">
            <v>$</v>
          </cell>
          <cell r="AS433" t="e">
            <v>#N/A</v>
          </cell>
          <cell r="AW433">
            <v>0</v>
          </cell>
          <cell r="AY433" t="str">
            <v>NB</v>
          </cell>
        </row>
        <row r="434">
          <cell r="AM434">
            <v>-33441.420000000042</v>
          </cell>
          <cell r="AP434" t="str">
            <v>Bilan</v>
          </cell>
          <cell r="AQ434" t="str">
            <v>Inventaire Pièces, Pneus, Huile</v>
          </cell>
          <cell r="AR434" t="str">
            <v>$</v>
          </cell>
          <cell r="AS434">
            <v>0</v>
          </cell>
          <cell r="AW434">
            <v>0</v>
          </cell>
          <cell r="AY434" t="str">
            <v>NB</v>
          </cell>
        </row>
        <row r="435">
          <cell r="AM435">
            <v>10441.260000000002</v>
          </cell>
          <cell r="AP435" t="str">
            <v>Bilan</v>
          </cell>
          <cell r="AQ435" t="str">
            <v>Inventaire Pièces, Pneus, Huile</v>
          </cell>
          <cell r="AR435" t="str">
            <v>$</v>
          </cell>
          <cell r="AS435">
            <v>0</v>
          </cell>
          <cell r="AW435">
            <v>0</v>
          </cell>
          <cell r="AY435" t="str">
            <v>NB</v>
          </cell>
        </row>
        <row r="436">
          <cell r="AM436">
            <v>0</v>
          </cell>
          <cell r="AP436" t="e">
            <v>#N/A</v>
          </cell>
          <cell r="AQ436" t="e">
            <v>#N/A</v>
          </cell>
          <cell r="AR436" t="str">
            <v>$</v>
          </cell>
          <cell r="AS436" t="e">
            <v>#N/A</v>
          </cell>
          <cell r="AW436">
            <v>0</v>
          </cell>
          <cell r="AY436" t="str">
            <v>NB</v>
          </cell>
        </row>
        <row r="437">
          <cell r="AM437">
            <v>0</v>
          </cell>
          <cell r="AP437" t="e">
            <v>#N/A</v>
          </cell>
          <cell r="AQ437" t="e">
            <v>#N/A</v>
          </cell>
          <cell r="AR437" t="str">
            <v>$</v>
          </cell>
          <cell r="AS437" t="e">
            <v>#N/A</v>
          </cell>
          <cell r="AW437">
            <v>0</v>
          </cell>
          <cell r="AY437" t="str">
            <v>NB</v>
          </cell>
        </row>
        <row r="438">
          <cell r="AM438">
            <v>-4743.42</v>
          </cell>
          <cell r="AP438" t="str">
            <v>Bilan</v>
          </cell>
          <cell r="AQ438" t="str">
            <v>Inventaire Pièces, Pneus, Huile</v>
          </cell>
          <cell r="AR438" t="str">
            <v>$</v>
          </cell>
          <cell r="AS438">
            <v>0</v>
          </cell>
          <cell r="AW438">
            <v>0</v>
          </cell>
          <cell r="AY438" t="str">
            <v>NB</v>
          </cell>
        </row>
        <row r="439">
          <cell r="AM439">
            <v>8338.2999999999993</v>
          </cell>
          <cell r="AP439" t="str">
            <v>Bilan</v>
          </cell>
          <cell r="AQ439" t="str">
            <v>Inventaire Pièces, Pneus, Huile</v>
          </cell>
          <cell r="AR439" t="str">
            <v>$</v>
          </cell>
          <cell r="AS439">
            <v>0</v>
          </cell>
          <cell r="AW439">
            <v>0</v>
          </cell>
          <cell r="AY439" t="str">
            <v>NB</v>
          </cell>
        </row>
        <row r="440">
          <cell r="AM440">
            <v>-4881.07</v>
          </cell>
          <cell r="AP440" t="str">
            <v>Bilan</v>
          </cell>
          <cell r="AQ440" t="str">
            <v>Inventaire Pièces, Pneus, Huile</v>
          </cell>
          <cell r="AR440" t="str">
            <v>$</v>
          </cell>
          <cell r="AS440">
            <v>0</v>
          </cell>
          <cell r="AW440">
            <v>0</v>
          </cell>
          <cell r="AY440" t="str">
            <v>NB</v>
          </cell>
        </row>
        <row r="441">
          <cell r="AM441">
            <v>0</v>
          </cell>
          <cell r="AP441" t="e">
            <v>#N/A</v>
          </cell>
          <cell r="AQ441" t="e">
            <v>#N/A</v>
          </cell>
          <cell r="AR441" t="str">
            <v>$</v>
          </cell>
          <cell r="AS441" t="e">
            <v>#N/A</v>
          </cell>
          <cell r="AW441">
            <v>0</v>
          </cell>
          <cell r="AY441" t="str">
            <v>NB</v>
          </cell>
        </row>
        <row r="442">
          <cell r="AM442">
            <v>-1725.47</v>
          </cell>
          <cell r="AP442" t="str">
            <v>Bilan</v>
          </cell>
          <cell r="AQ442" t="str">
            <v>Inventaire Pièces, Pneus, Huile</v>
          </cell>
          <cell r="AR442" t="str">
            <v>$</v>
          </cell>
          <cell r="AS442">
            <v>0</v>
          </cell>
          <cell r="AW442">
            <v>0</v>
          </cell>
          <cell r="AY442" t="str">
            <v>NB</v>
          </cell>
        </row>
        <row r="443">
          <cell r="AM443">
            <v>1951.9700000000003</v>
          </cell>
          <cell r="AP443" t="str">
            <v>Bilan</v>
          </cell>
          <cell r="AQ443" t="str">
            <v>Inventaire Pièces, Pneus, Huile</v>
          </cell>
          <cell r="AR443" t="str">
            <v>$</v>
          </cell>
          <cell r="AS443">
            <v>0</v>
          </cell>
          <cell r="AW443">
            <v>0</v>
          </cell>
          <cell r="AY443" t="str">
            <v>NB</v>
          </cell>
        </row>
        <row r="444">
          <cell r="AM444">
            <v>-215</v>
          </cell>
          <cell r="AP444" t="str">
            <v>Bilan</v>
          </cell>
          <cell r="AQ444" t="str">
            <v>Sous-Traitance</v>
          </cell>
          <cell r="AR444" t="str">
            <v>$</v>
          </cell>
          <cell r="AS444">
            <v>0</v>
          </cell>
          <cell r="AW444">
            <v>0</v>
          </cell>
          <cell r="AY444" t="str">
            <v>NB</v>
          </cell>
        </row>
        <row r="445">
          <cell r="AM445">
            <v>3382.9799999999996</v>
          </cell>
          <cell r="AP445" t="str">
            <v>Bilan</v>
          </cell>
          <cell r="AQ445" t="str">
            <v>Sous-Traitance</v>
          </cell>
          <cell r="AR445" t="str">
            <v>$</v>
          </cell>
          <cell r="AS445">
            <v>0</v>
          </cell>
          <cell r="AW445">
            <v>0</v>
          </cell>
          <cell r="AY445" t="str">
            <v>NB</v>
          </cell>
        </row>
        <row r="446">
          <cell r="AM446">
            <v>0</v>
          </cell>
          <cell r="AP446" t="str">
            <v>Bilan</v>
          </cell>
          <cell r="AQ446" t="str">
            <v>Sous-Traitance</v>
          </cell>
          <cell r="AR446" t="str">
            <v>$</v>
          </cell>
          <cell r="AS446">
            <v>0</v>
          </cell>
          <cell r="AW446">
            <v>0</v>
          </cell>
          <cell r="AY446" t="str">
            <v>NB</v>
          </cell>
        </row>
        <row r="447">
          <cell r="AM447">
            <v>-1361.1599999999999</v>
          </cell>
          <cell r="AP447" t="str">
            <v>Bilan</v>
          </cell>
          <cell r="AQ447" t="str">
            <v>Travaux en Cours</v>
          </cell>
          <cell r="AR447" t="str">
            <v>$</v>
          </cell>
          <cell r="AS447">
            <v>0</v>
          </cell>
          <cell r="AW447">
            <v>0</v>
          </cell>
          <cell r="AY447" t="str">
            <v>NB</v>
          </cell>
        </row>
        <row r="448">
          <cell r="AM448">
            <v>295.33999999999997</v>
          </cell>
          <cell r="AP448" t="str">
            <v>Bilan</v>
          </cell>
          <cell r="AQ448" t="str">
            <v>Travaux en Cours</v>
          </cell>
          <cell r="AR448" t="str">
            <v>$</v>
          </cell>
          <cell r="AS448">
            <v>0</v>
          </cell>
          <cell r="AW448">
            <v>0</v>
          </cell>
          <cell r="AY448" t="str">
            <v>NB</v>
          </cell>
        </row>
        <row r="449">
          <cell r="AM449">
            <v>3475.1000000000004</v>
          </cell>
          <cell r="AP449" t="str">
            <v>Bilan</v>
          </cell>
          <cell r="AQ449" t="str">
            <v>Travaux en Cours</v>
          </cell>
          <cell r="AR449" t="str">
            <v>$</v>
          </cell>
          <cell r="AS449">
            <v>0</v>
          </cell>
          <cell r="AW449">
            <v>0</v>
          </cell>
          <cell r="AY449" t="str">
            <v>NB</v>
          </cell>
        </row>
        <row r="450">
          <cell r="AM450">
            <v>-156.49999999999994</v>
          </cell>
          <cell r="AP450" t="str">
            <v>Bilan</v>
          </cell>
          <cell r="AQ450" t="str">
            <v>Travaux en Cours</v>
          </cell>
          <cell r="AR450" t="str">
            <v>$</v>
          </cell>
          <cell r="AS450">
            <v>0</v>
          </cell>
          <cell r="AW450">
            <v>0</v>
          </cell>
          <cell r="AY450" t="str">
            <v>NB</v>
          </cell>
        </row>
        <row r="451">
          <cell r="AM451">
            <v>60000</v>
          </cell>
          <cell r="AP451" t="str">
            <v>Bilan</v>
          </cell>
          <cell r="AQ451" t="str">
            <v>Recevables Autres</v>
          </cell>
          <cell r="AR451" t="str">
            <v>$</v>
          </cell>
          <cell r="AS451">
            <v>0</v>
          </cell>
          <cell r="AW451">
            <v>0</v>
          </cell>
          <cell r="AY451" t="str">
            <v>NB</v>
          </cell>
        </row>
        <row r="452">
          <cell r="AM452">
            <v>0</v>
          </cell>
          <cell r="AP452" t="e">
            <v>#N/A</v>
          </cell>
          <cell r="AQ452" t="e">
            <v>#N/A</v>
          </cell>
          <cell r="AR452" t="str">
            <v>$</v>
          </cell>
          <cell r="AS452" t="e">
            <v>#N/A</v>
          </cell>
          <cell r="AW452">
            <v>0</v>
          </cell>
          <cell r="AY452" t="str">
            <v>NB</v>
          </cell>
        </row>
        <row r="453">
          <cell r="AM453">
            <v>0</v>
          </cell>
          <cell r="AP453">
            <v>0</v>
          </cell>
          <cell r="AQ453">
            <v>0</v>
          </cell>
          <cell r="AR453" t="str">
            <v>$</v>
          </cell>
          <cell r="AS453">
            <v>0</v>
          </cell>
          <cell r="AW453">
            <v>0</v>
          </cell>
          <cell r="AY453" t="str">
            <v>NB</v>
          </cell>
        </row>
        <row r="454">
          <cell r="AM454">
            <v>0</v>
          </cell>
          <cell r="AP454" t="str">
            <v>Bilan</v>
          </cell>
          <cell r="AQ454" t="str">
            <v>Encaisse</v>
          </cell>
          <cell r="AR454" t="str">
            <v>$</v>
          </cell>
          <cell r="AS454">
            <v>0</v>
          </cell>
          <cell r="AW454">
            <v>0</v>
          </cell>
          <cell r="AY454" t="str">
            <v>NB</v>
          </cell>
        </row>
        <row r="455">
          <cell r="AM455">
            <v>6020.5400000000009</v>
          </cell>
          <cell r="AP455" t="str">
            <v>Bilan</v>
          </cell>
          <cell r="AQ455" t="str">
            <v>Recevables Manufacturier</v>
          </cell>
          <cell r="AR455" t="str">
            <v>$</v>
          </cell>
          <cell r="AS455">
            <v>0</v>
          </cell>
          <cell r="AW455">
            <v>0</v>
          </cell>
          <cell r="AY455" t="str">
            <v>NB</v>
          </cell>
        </row>
        <row r="456">
          <cell r="AM456">
            <v>19518.520000000004</v>
          </cell>
          <cell r="AP456" t="str">
            <v>Bilan</v>
          </cell>
          <cell r="AQ456" t="str">
            <v>Recevables Manufacturier</v>
          </cell>
          <cell r="AR456" t="str">
            <v>$</v>
          </cell>
          <cell r="AS456">
            <v>0</v>
          </cell>
          <cell r="AW456">
            <v>0</v>
          </cell>
          <cell r="AY456" t="str">
            <v>NB</v>
          </cell>
        </row>
        <row r="457">
          <cell r="AM457">
            <v>-10978.799999999988</v>
          </cell>
          <cell r="AP457" t="str">
            <v>Bilan</v>
          </cell>
          <cell r="AQ457" t="str">
            <v>Recevables Manufacturier</v>
          </cell>
          <cell r="AR457" t="str">
            <v>$</v>
          </cell>
          <cell r="AS457">
            <v>0</v>
          </cell>
          <cell r="AW457">
            <v>0</v>
          </cell>
          <cell r="AY457" t="str">
            <v>NB</v>
          </cell>
        </row>
        <row r="458">
          <cell r="AM458">
            <v>13965.75</v>
          </cell>
          <cell r="AP458" t="str">
            <v>Bilan</v>
          </cell>
          <cell r="AQ458" t="str">
            <v>Frais Payés d'Avance</v>
          </cell>
          <cell r="AR458" t="str">
            <v>$</v>
          </cell>
          <cell r="AS458">
            <v>0</v>
          </cell>
          <cell r="AW458">
            <v>0</v>
          </cell>
          <cell r="AY458" t="str">
            <v>NB</v>
          </cell>
        </row>
        <row r="459">
          <cell r="AM459">
            <v>53941.13</v>
          </cell>
          <cell r="AP459" t="str">
            <v>Bilan</v>
          </cell>
          <cell r="AQ459" t="str">
            <v>Recevables Garantie Manufacturier</v>
          </cell>
          <cell r="AR459" t="str">
            <v>$</v>
          </cell>
          <cell r="AS459">
            <v>0</v>
          </cell>
          <cell r="AW459">
            <v>0</v>
          </cell>
          <cell r="AY459" t="str">
            <v>NB</v>
          </cell>
        </row>
        <row r="460">
          <cell r="AM460">
            <v>0</v>
          </cell>
          <cell r="AP460" t="e">
            <v>#N/A</v>
          </cell>
          <cell r="AQ460" t="e">
            <v>#N/A</v>
          </cell>
          <cell r="AR460" t="str">
            <v>$</v>
          </cell>
          <cell r="AS460" t="e">
            <v>#N/A</v>
          </cell>
          <cell r="AW460">
            <v>0</v>
          </cell>
          <cell r="AY460" t="str">
            <v>NB</v>
          </cell>
        </row>
        <row r="461">
          <cell r="AM461">
            <v>0</v>
          </cell>
          <cell r="AP461" t="e">
            <v>#N/A</v>
          </cell>
          <cell r="AQ461" t="e">
            <v>#N/A</v>
          </cell>
          <cell r="AR461" t="str">
            <v>$</v>
          </cell>
          <cell r="AS461" t="e">
            <v>#N/A</v>
          </cell>
          <cell r="AW461">
            <v>0</v>
          </cell>
          <cell r="AY461" t="str">
            <v>NB</v>
          </cell>
        </row>
        <row r="462">
          <cell r="AM462">
            <v>0</v>
          </cell>
          <cell r="AP462" t="e">
            <v>#N/A</v>
          </cell>
          <cell r="AQ462" t="e">
            <v>#N/A</v>
          </cell>
          <cell r="AR462" t="str">
            <v>$</v>
          </cell>
          <cell r="AS462" t="e">
            <v>#N/A</v>
          </cell>
          <cell r="AW462">
            <v>0</v>
          </cell>
          <cell r="AY462" t="str">
            <v>NB</v>
          </cell>
        </row>
        <row r="463">
          <cell r="AM463">
            <v>-52700.059999999939</v>
          </cell>
          <cell r="AP463" t="str">
            <v>Bilan</v>
          </cell>
          <cell r="AQ463" t="str">
            <v>Recevables Autres</v>
          </cell>
          <cell r="AR463" t="str">
            <v>$</v>
          </cell>
          <cell r="AS463">
            <v>0</v>
          </cell>
          <cell r="AW463">
            <v>0</v>
          </cell>
          <cell r="AY463" t="str">
            <v>NB</v>
          </cell>
        </row>
        <row r="464">
          <cell r="AM464">
            <v>16336.84</v>
          </cell>
          <cell r="AP464" t="str">
            <v>Bilan</v>
          </cell>
          <cell r="AQ464" t="str">
            <v>Frais Payés d'Avance</v>
          </cell>
          <cell r="AR464" t="str">
            <v>$</v>
          </cell>
          <cell r="AS464">
            <v>0</v>
          </cell>
          <cell r="AW464">
            <v>0</v>
          </cell>
          <cell r="AY464" t="str">
            <v>NB</v>
          </cell>
        </row>
        <row r="465">
          <cell r="AM465">
            <v>-4727.6100000000006</v>
          </cell>
          <cell r="AP465" t="str">
            <v>Bilan</v>
          </cell>
          <cell r="AQ465" t="str">
            <v>Frais Payés d'Avance</v>
          </cell>
          <cell r="AR465" t="str">
            <v>$</v>
          </cell>
          <cell r="AS465">
            <v>0</v>
          </cell>
          <cell r="AW465">
            <v>0</v>
          </cell>
          <cell r="AY465" t="str">
            <v>NB</v>
          </cell>
        </row>
        <row r="466">
          <cell r="AM466">
            <v>-7841.2900000000009</v>
          </cell>
          <cell r="AP466" t="str">
            <v>Bilan</v>
          </cell>
          <cell r="AQ466" t="str">
            <v>Frais Payés d'Avance</v>
          </cell>
          <cell r="AR466" t="str">
            <v>$</v>
          </cell>
          <cell r="AS466">
            <v>0</v>
          </cell>
          <cell r="AW466">
            <v>0</v>
          </cell>
          <cell r="AY466" t="str">
            <v>NB</v>
          </cell>
        </row>
        <row r="467">
          <cell r="AM467">
            <v>-88807.13</v>
          </cell>
          <cell r="AP467" t="str">
            <v>Bilan</v>
          </cell>
          <cell r="AQ467" t="str">
            <v>Frais Payés d'Avance</v>
          </cell>
          <cell r="AR467" t="str">
            <v>$</v>
          </cell>
          <cell r="AS467">
            <v>0</v>
          </cell>
          <cell r="AW467">
            <v>0</v>
          </cell>
          <cell r="AY467" t="str">
            <v>NB</v>
          </cell>
        </row>
        <row r="468">
          <cell r="AM468">
            <v>0</v>
          </cell>
          <cell r="AP468" t="e">
            <v>#N/A</v>
          </cell>
          <cell r="AQ468" t="e">
            <v>#N/A</v>
          </cell>
          <cell r="AR468" t="str">
            <v>$</v>
          </cell>
          <cell r="AS468" t="e">
            <v>#N/A</v>
          </cell>
          <cell r="AW468">
            <v>0</v>
          </cell>
          <cell r="AY468" t="str">
            <v>NB</v>
          </cell>
        </row>
        <row r="469">
          <cell r="AM469">
            <v>98</v>
          </cell>
          <cell r="AP469" t="str">
            <v>Bilan</v>
          </cell>
          <cell r="AQ469" t="str">
            <v>Frais Payés d'Avance</v>
          </cell>
          <cell r="AR469" t="str">
            <v>$</v>
          </cell>
          <cell r="AS469">
            <v>0</v>
          </cell>
          <cell r="AW469">
            <v>0</v>
          </cell>
          <cell r="AY469" t="str">
            <v>NB</v>
          </cell>
        </row>
        <row r="470">
          <cell r="AM470">
            <v>-4305.2999999999993</v>
          </cell>
          <cell r="AP470" t="str">
            <v>Bilan</v>
          </cell>
          <cell r="AQ470" t="str">
            <v>Frais Payés d'Avance</v>
          </cell>
          <cell r="AR470" t="str">
            <v>$</v>
          </cell>
          <cell r="AS470">
            <v>0</v>
          </cell>
          <cell r="AW470">
            <v>0</v>
          </cell>
          <cell r="AY470" t="str">
            <v>NB</v>
          </cell>
        </row>
        <row r="471">
          <cell r="AM471">
            <v>-216.5</v>
          </cell>
          <cell r="AP471" t="str">
            <v>Bilan</v>
          </cell>
          <cell r="AQ471" t="str">
            <v>Frais Payés d'Avance</v>
          </cell>
          <cell r="AR471" t="str">
            <v>$</v>
          </cell>
          <cell r="AS471">
            <v>0</v>
          </cell>
          <cell r="AW471">
            <v>0</v>
          </cell>
          <cell r="AY471" t="str">
            <v>NB</v>
          </cell>
        </row>
        <row r="472">
          <cell r="AM472">
            <v>-227.20000000000005</v>
          </cell>
          <cell r="AP472" t="str">
            <v>Bilan</v>
          </cell>
          <cell r="AQ472" t="str">
            <v>Frais Payés d'Avance</v>
          </cell>
          <cell r="AR472" t="str">
            <v>$</v>
          </cell>
          <cell r="AS472">
            <v>0</v>
          </cell>
          <cell r="AW472">
            <v>0</v>
          </cell>
          <cell r="AY472" t="str">
            <v>NB</v>
          </cell>
        </row>
        <row r="473">
          <cell r="AM473">
            <v>-16712.800000000003</v>
          </cell>
          <cell r="AP473" t="str">
            <v>Bilan</v>
          </cell>
          <cell r="AQ473" t="str">
            <v>Frais Payés d'Avance</v>
          </cell>
          <cell r="AR473" t="str">
            <v>$</v>
          </cell>
          <cell r="AS473">
            <v>0</v>
          </cell>
          <cell r="AW473">
            <v>0</v>
          </cell>
          <cell r="AY473" t="str">
            <v>NB</v>
          </cell>
        </row>
        <row r="474">
          <cell r="AM474">
            <v>-787.5</v>
          </cell>
          <cell r="AP474" t="str">
            <v>Bilan</v>
          </cell>
          <cell r="AQ474" t="str">
            <v>Frais Payés d'Avance</v>
          </cell>
          <cell r="AR474" t="str">
            <v>$</v>
          </cell>
          <cell r="AS474">
            <v>0</v>
          </cell>
          <cell r="AW474">
            <v>0</v>
          </cell>
          <cell r="AY474" t="str">
            <v>NB</v>
          </cell>
        </row>
        <row r="475">
          <cell r="AM475">
            <v>30252</v>
          </cell>
          <cell r="AP475" t="str">
            <v>Bilan</v>
          </cell>
          <cell r="AQ475" t="str">
            <v>Frais Payés d'Avance</v>
          </cell>
          <cell r="AR475" t="str">
            <v>$</v>
          </cell>
          <cell r="AS475">
            <v>0</v>
          </cell>
          <cell r="AW475">
            <v>0</v>
          </cell>
          <cell r="AY475" t="str">
            <v>NB</v>
          </cell>
        </row>
        <row r="476">
          <cell r="AM476">
            <v>0</v>
          </cell>
          <cell r="AP476" t="e">
            <v>#N/A</v>
          </cell>
          <cell r="AQ476" t="e">
            <v>#N/A</v>
          </cell>
          <cell r="AR476" t="str">
            <v>$</v>
          </cell>
          <cell r="AS476" t="e">
            <v>#N/A</v>
          </cell>
          <cell r="AW476">
            <v>0</v>
          </cell>
          <cell r="AY476" t="str">
            <v>NB</v>
          </cell>
        </row>
        <row r="477">
          <cell r="AM477">
            <v>0</v>
          </cell>
          <cell r="AP477">
            <v>0</v>
          </cell>
          <cell r="AQ477">
            <v>0</v>
          </cell>
          <cell r="AR477" t="str">
            <v>$</v>
          </cell>
          <cell r="AS477">
            <v>0</v>
          </cell>
          <cell r="AW477">
            <v>0</v>
          </cell>
          <cell r="AY477" t="str">
            <v>NB</v>
          </cell>
        </row>
        <row r="478">
          <cell r="AM478">
            <v>0</v>
          </cell>
          <cell r="AP478" t="str">
            <v>Bilan</v>
          </cell>
          <cell r="AQ478" t="str">
            <v>Équipements Service</v>
          </cell>
          <cell r="AR478" t="str">
            <v>$</v>
          </cell>
          <cell r="AS478">
            <v>0</v>
          </cell>
          <cell r="AW478">
            <v>0</v>
          </cell>
          <cell r="AY478" t="str">
            <v>NB</v>
          </cell>
        </row>
        <row r="479">
          <cell r="AM479">
            <v>0</v>
          </cell>
          <cell r="AP479" t="str">
            <v>Bilan</v>
          </cell>
          <cell r="AQ479" t="str">
            <v>Équipements Service</v>
          </cell>
          <cell r="AR479" t="str">
            <v>$</v>
          </cell>
          <cell r="AS479">
            <v>0</v>
          </cell>
          <cell r="AW479">
            <v>0</v>
          </cell>
          <cell r="AY479" t="str">
            <v>NB</v>
          </cell>
        </row>
        <row r="480">
          <cell r="AM480">
            <v>0</v>
          </cell>
          <cell r="AP480" t="str">
            <v>Bilan</v>
          </cell>
          <cell r="AQ480" t="str">
            <v>Équipements Service</v>
          </cell>
          <cell r="AR480" t="str">
            <v>$</v>
          </cell>
          <cell r="AS480">
            <v>0</v>
          </cell>
          <cell r="AW480">
            <v>0</v>
          </cell>
          <cell r="AY480" t="str">
            <v>NB</v>
          </cell>
        </row>
        <row r="481">
          <cell r="AM481">
            <v>0</v>
          </cell>
          <cell r="AP481" t="str">
            <v>Bilan</v>
          </cell>
          <cell r="AQ481" t="str">
            <v>Mobilier</v>
          </cell>
          <cell r="AR481" t="str">
            <v>$</v>
          </cell>
          <cell r="AS481">
            <v>0</v>
          </cell>
          <cell r="AW481">
            <v>0</v>
          </cell>
          <cell r="AY481" t="str">
            <v>NB</v>
          </cell>
        </row>
        <row r="482">
          <cell r="AM482">
            <v>0</v>
          </cell>
          <cell r="AP482" t="str">
            <v>Bilan</v>
          </cell>
          <cell r="AQ482" t="str">
            <v>Équipements Service</v>
          </cell>
          <cell r="AR482" t="str">
            <v>$</v>
          </cell>
          <cell r="AS482">
            <v>0</v>
          </cell>
          <cell r="AW482">
            <v>0</v>
          </cell>
          <cell r="AY482" t="str">
            <v>NB</v>
          </cell>
        </row>
        <row r="483">
          <cell r="AM483">
            <v>35936.599999999977</v>
          </cell>
          <cell r="AP483" t="str">
            <v>Bilan</v>
          </cell>
          <cell r="AQ483" t="str">
            <v>Améliorations Locatives</v>
          </cell>
          <cell r="AR483" t="str">
            <v>$</v>
          </cell>
          <cell r="AS483">
            <v>0</v>
          </cell>
          <cell r="AW483">
            <v>0</v>
          </cell>
          <cell r="AY483" t="str">
            <v>NB</v>
          </cell>
        </row>
        <row r="484">
          <cell r="AM484">
            <v>780.73999999999069</v>
          </cell>
          <cell r="AP484" t="str">
            <v>Bilan</v>
          </cell>
          <cell r="AQ484" t="str">
            <v>Équipements Informatique</v>
          </cell>
          <cell r="AR484" t="str">
            <v>$</v>
          </cell>
          <cell r="AS484">
            <v>0</v>
          </cell>
          <cell r="AW484">
            <v>0</v>
          </cell>
          <cell r="AY484" t="str">
            <v>NB</v>
          </cell>
        </row>
        <row r="485">
          <cell r="AM485">
            <v>0</v>
          </cell>
          <cell r="AP485" t="str">
            <v>Bilan</v>
          </cell>
          <cell r="AQ485" t="str">
            <v>Enseigne</v>
          </cell>
          <cell r="AR485" t="str">
            <v>$</v>
          </cell>
          <cell r="AS485">
            <v>0</v>
          </cell>
          <cell r="AW485">
            <v>0</v>
          </cell>
          <cell r="AY485" t="str">
            <v>NB</v>
          </cell>
        </row>
        <row r="486">
          <cell r="AM486">
            <v>0</v>
          </cell>
          <cell r="AP486">
            <v>0</v>
          </cell>
          <cell r="AQ486">
            <v>0</v>
          </cell>
          <cell r="AR486" t="str">
            <v>$</v>
          </cell>
          <cell r="AS486">
            <v>0</v>
          </cell>
          <cell r="AW486">
            <v>0</v>
          </cell>
          <cell r="AY486" t="str">
            <v>NB</v>
          </cell>
        </row>
        <row r="487">
          <cell r="AM487">
            <v>0</v>
          </cell>
          <cell r="AP487" t="str">
            <v>Bilan</v>
          </cell>
          <cell r="AQ487" t="str">
            <v>Avances à Recevoir Long Terme</v>
          </cell>
          <cell r="AR487" t="str">
            <v>$</v>
          </cell>
          <cell r="AS487">
            <v>0</v>
          </cell>
          <cell r="AW487">
            <v>0</v>
          </cell>
          <cell r="AY487" t="str">
            <v>NB</v>
          </cell>
        </row>
        <row r="488">
          <cell r="AM488">
            <v>0</v>
          </cell>
          <cell r="AP488" t="str">
            <v>Bilan</v>
          </cell>
          <cell r="AQ488" t="str">
            <v>Encaisse</v>
          </cell>
          <cell r="AR488" t="str">
            <v>$</v>
          </cell>
          <cell r="AS488">
            <v>0</v>
          </cell>
          <cell r="AW488">
            <v>0</v>
          </cell>
          <cell r="AY488" t="str">
            <v>NB</v>
          </cell>
        </row>
        <row r="489">
          <cell r="AM489">
            <v>0</v>
          </cell>
          <cell r="AP489" t="str">
            <v>Bilan</v>
          </cell>
          <cell r="AQ489" t="str">
            <v>Avances à Recevoir Long Terme</v>
          </cell>
          <cell r="AR489" t="str">
            <v>$</v>
          </cell>
          <cell r="AS489">
            <v>0</v>
          </cell>
          <cell r="AW489">
            <v>0</v>
          </cell>
          <cell r="AY489" t="str">
            <v>NB</v>
          </cell>
        </row>
        <row r="490">
          <cell r="AM490">
            <v>66.849999999999994</v>
          </cell>
          <cell r="AP490" t="str">
            <v>Bilan</v>
          </cell>
          <cell r="AQ490" t="str">
            <v>Avances à Recevoir Long Terme</v>
          </cell>
          <cell r="AR490" t="str">
            <v>$</v>
          </cell>
          <cell r="AS490">
            <v>0</v>
          </cell>
          <cell r="AW490">
            <v>0</v>
          </cell>
          <cell r="AY490" t="str">
            <v>NB</v>
          </cell>
        </row>
        <row r="491">
          <cell r="AM491">
            <v>1446939.6800000002</v>
          </cell>
          <cell r="AP491" t="str">
            <v>Bilan</v>
          </cell>
          <cell r="AQ491" t="str">
            <v>Comptes à Payer Fournisseurs</v>
          </cell>
          <cell r="AR491" t="str">
            <v>$</v>
          </cell>
          <cell r="AS491">
            <v>0</v>
          </cell>
          <cell r="AW491">
            <v>0</v>
          </cell>
          <cell r="AY491" t="str">
            <v>NB</v>
          </cell>
        </row>
        <row r="492">
          <cell r="AM492">
            <v>0</v>
          </cell>
          <cell r="AP492" t="e">
            <v>#N/A</v>
          </cell>
          <cell r="AQ492" t="e">
            <v>#N/A</v>
          </cell>
          <cell r="AR492" t="str">
            <v>$</v>
          </cell>
          <cell r="AS492" t="e">
            <v>#N/A</v>
          </cell>
          <cell r="AW492">
            <v>0</v>
          </cell>
          <cell r="AY492" t="str">
            <v>NB</v>
          </cell>
        </row>
        <row r="493">
          <cell r="AM493">
            <v>0</v>
          </cell>
          <cell r="AP493" t="str">
            <v>Bilan</v>
          </cell>
          <cell r="AQ493" t="str">
            <v>Autres Comptes à Payer</v>
          </cell>
          <cell r="AR493" t="str">
            <v>$</v>
          </cell>
          <cell r="AS493">
            <v>0</v>
          </cell>
          <cell r="AW493">
            <v>0</v>
          </cell>
          <cell r="AY493" t="str">
            <v>NB</v>
          </cell>
        </row>
        <row r="494">
          <cell r="AM494">
            <v>3493.1000000000004</v>
          </cell>
          <cell r="AP494" t="str">
            <v>Bilan</v>
          </cell>
          <cell r="AQ494" t="str">
            <v>Autres Comptes à Payer</v>
          </cell>
          <cell r="AR494" t="str">
            <v>$</v>
          </cell>
          <cell r="AS494">
            <v>0</v>
          </cell>
          <cell r="AW494">
            <v>0</v>
          </cell>
          <cell r="AY494" t="str">
            <v>NB</v>
          </cell>
        </row>
        <row r="495">
          <cell r="AM495">
            <v>802.99999999999989</v>
          </cell>
          <cell r="AP495" t="str">
            <v>Bilan</v>
          </cell>
          <cell r="AQ495" t="str">
            <v>Autres Comptes à Payer</v>
          </cell>
          <cell r="AR495" t="str">
            <v>$</v>
          </cell>
          <cell r="AS495">
            <v>0</v>
          </cell>
          <cell r="AW495">
            <v>0</v>
          </cell>
          <cell r="AY495" t="str">
            <v>NB</v>
          </cell>
        </row>
        <row r="496">
          <cell r="AM496">
            <v>-157.5</v>
          </cell>
          <cell r="AP496" t="str">
            <v>Bilan</v>
          </cell>
          <cell r="AQ496" t="str">
            <v>Taxes de Vente à Payer</v>
          </cell>
          <cell r="AR496" t="str">
            <v>$</v>
          </cell>
          <cell r="AS496">
            <v>0</v>
          </cell>
          <cell r="AW496">
            <v>0</v>
          </cell>
          <cell r="AY496" t="str">
            <v>NB</v>
          </cell>
        </row>
        <row r="497">
          <cell r="AM497">
            <v>0</v>
          </cell>
          <cell r="AP497" t="e">
            <v>#N/A</v>
          </cell>
          <cell r="AQ497" t="e">
            <v>#N/A</v>
          </cell>
          <cell r="AR497" t="str">
            <v>$</v>
          </cell>
          <cell r="AS497" t="e">
            <v>#N/A</v>
          </cell>
          <cell r="AW497">
            <v>0</v>
          </cell>
          <cell r="AY497" t="str">
            <v>NB</v>
          </cell>
        </row>
        <row r="498">
          <cell r="AM498">
            <v>0</v>
          </cell>
          <cell r="AP498" t="str">
            <v>Bilan</v>
          </cell>
          <cell r="AQ498" t="str">
            <v>Payables Intercos</v>
          </cell>
          <cell r="AR498" t="str">
            <v>$</v>
          </cell>
          <cell r="AS498">
            <v>0</v>
          </cell>
          <cell r="AW498">
            <v>0</v>
          </cell>
          <cell r="AY498" t="str">
            <v>NB</v>
          </cell>
        </row>
        <row r="499">
          <cell r="AM499">
            <v>0</v>
          </cell>
          <cell r="AP499" t="e">
            <v>#N/A</v>
          </cell>
          <cell r="AQ499" t="e">
            <v>#N/A</v>
          </cell>
          <cell r="AR499" t="str">
            <v>$</v>
          </cell>
          <cell r="AS499" t="e">
            <v>#N/A</v>
          </cell>
          <cell r="AW499">
            <v>0</v>
          </cell>
          <cell r="AY499" t="str">
            <v>NB</v>
          </cell>
        </row>
        <row r="500">
          <cell r="AM500">
            <v>0</v>
          </cell>
          <cell r="AP500" t="str">
            <v>Bilan</v>
          </cell>
          <cell r="AQ500" t="str">
            <v>Payables Intercos</v>
          </cell>
          <cell r="AR500" t="str">
            <v>$</v>
          </cell>
          <cell r="AS500">
            <v>0</v>
          </cell>
          <cell r="AW500">
            <v>0</v>
          </cell>
          <cell r="AY500" t="str">
            <v>NB</v>
          </cell>
        </row>
        <row r="501">
          <cell r="AM501">
            <v>0</v>
          </cell>
          <cell r="AP501" t="str">
            <v>Bilan</v>
          </cell>
          <cell r="AQ501" t="str">
            <v>Payables Intercos</v>
          </cell>
          <cell r="AR501" t="str">
            <v>$</v>
          </cell>
          <cell r="AS501">
            <v>0</v>
          </cell>
          <cell r="AW501">
            <v>0</v>
          </cell>
          <cell r="AY501" t="str">
            <v>NB</v>
          </cell>
        </row>
        <row r="502">
          <cell r="AM502">
            <v>0</v>
          </cell>
          <cell r="AP502" t="str">
            <v>Bilan</v>
          </cell>
          <cell r="AQ502" t="str">
            <v>Payables Intercos</v>
          </cell>
          <cell r="AR502" t="str">
            <v>$</v>
          </cell>
          <cell r="AS502">
            <v>0</v>
          </cell>
          <cell r="AW502">
            <v>0</v>
          </cell>
          <cell r="AY502" t="str">
            <v>NB</v>
          </cell>
        </row>
        <row r="503">
          <cell r="AM503">
            <v>0</v>
          </cell>
          <cell r="AP503">
            <v>0</v>
          </cell>
          <cell r="AQ503">
            <v>0</v>
          </cell>
          <cell r="AR503" t="str">
            <v>$</v>
          </cell>
          <cell r="AS503">
            <v>0</v>
          </cell>
          <cell r="AW503">
            <v>0</v>
          </cell>
          <cell r="AY503" t="str">
            <v>NB</v>
          </cell>
        </row>
        <row r="504">
          <cell r="AM504">
            <v>7375.0400000000081</v>
          </cell>
          <cell r="AP504" t="str">
            <v>Bilan</v>
          </cell>
          <cell r="AQ504" t="str">
            <v>Autres Courus</v>
          </cell>
          <cell r="AR504" t="str">
            <v>$</v>
          </cell>
          <cell r="AS504">
            <v>0</v>
          </cell>
          <cell r="AW504">
            <v>0</v>
          </cell>
          <cell r="AY504" t="str">
            <v>NB</v>
          </cell>
        </row>
        <row r="505">
          <cell r="AM505">
            <v>99454.170000000042</v>
          </cell>
          <cell r="AP505" t="str">
            <v>Bilan</v>
          </cell>
          <cell r="AQ505" t="str">
            <v>Autres Courus</v>
          </cell>
          <cell r="AR505" t="str">
            <v>$</v>
          </cell>
          <cell r="AS505">
            <v>0</v>
          </cell>
          <cell r="AW505">
            <v>0</v>
          </cell>
          <cell r="AY505" t="str">
            <v>NB</v>
          </cell>
        </row>
        <row r="506">
          <cell r="AM506">
            <v>18077.5</v>
          </cell>
          <cell r="AP506" t="str">
            <v>Bilan</v>
          </cell>
          <cell r="AQ506" t="str">
            <v>Autres Courus</v>
          </cell>
          <cell r="AR506" t="str">
            <v>$</v>
          </cell>
          <cell r="AS506">
            <v>0</v>
          </cell>
          <cell r="AW506">
            <v>0</v>
          </cell>
          <cell r="AY506" t="str">
            <v>NB</v>
          </cell>
        </row>
        <row r="507">
          <cell r="AM507">
            <v>0</v>
          </cell>
          <cell r="AP507" t="str">
            <v>Bilan</v>
          </cell>
          <cell r="AQ507" t="str">
            <v>Payables Intercos</v>
          </cell>
          <cell r="AR507" t="str">
            <v>$</v>
          </cell>
          <cell r="AS507">
            <v>0</v>
          </cell>
          <cell r="AW507">
            <v>0</v>
          </cell>
          <cell r="AY507" t="str">
            <v>NB</v>
          </cell>
        </row>
        <row r="508">
          <cell r="AM508">
            <v>0</v>
          </cell>
          <cell r="AP508" t="str">
            <v>Bilan</v>
          </cell>
          <cell r="AQ508" t="str">
            <v>Payables Intercos</v>
          </cell>
          <cell r="AR508" t="str">
            <v>$</v>
          </cell>
          <cell r="AS508">
            <v>0</v>
          </cell>
          <cell r="AW508">
            <v>0</v>
          </cell>
          <cell r="AY508" t="str">
            <v>NB</v>
          </cell>
        </row>
        <row r="509">
          <cell r="AM509">
            <v>0</v>
          </cell>
          <cell r="AP509" t="str">
            <v>Bilan</v>
          </cell>
          <cell r="AQ509" t="str">
            <v>Payables Intercos</v>
          </cell>
          <cell r="AR509" t="str">
            <v>$</v>
          </cell>
          <cell r="AS509">
            <v>0</v>
          </cell>
          <cell r="AW509">
            <v>0</v>
          </cell>
          <cell r="AY509" t="str">
            <v>NB</v>
          </cell>
        </row>
        <row r="510">
          <cell r="AM510">
            <v>32694</v>
          </cell>
          <cell r="AP510" t="str">
            <v>Bilan</v>
          </cell>
          <cell r="AQ510" t="str">
            <v>Dette à Long terme</v>
          </cell>
          <cell r="AR510" t="str">
            <v>$</v>
          </cell>
          <cell r="AS510">
            <v>0</v>
          </cell>
          <cell r="AW510">
            <v>0</v>
          </cell>
          <cell r="AY510" t="str">
            <v>NB</v>
          </cell>
        </row>
        <row r="511">
          <cell r="AM511">
            <v>0</v>
          </cell>
          <cell r="AP511" t="e">
            <v>#N/A</v>
          </cell>
          <cell r="AQ511" t="e">
            <v>#N/A</v>
          </cell>
          <cell r="AR511" t="str">
            <v>$</v>
          </cell>
          <cell r="AS511" t="e">
            <v>#N/A</v>
          </cell>
          <cell r="AW511">
            <v>0</v>
          </cell>
          <cell r="AY511" t="str">
            <v>NB</v>
          </cell>
        </row>
        <row r="512">
          <cell r="AM512">
            <v>0</v>
          </cell>
          <cell r="AP512" t="str">
            <v>Bilan</v>
          </cell>
          <cell r="AQ512" t="str">
            <v>Dépôts de Client</v>
          </cell>
          <cell r="AR512" t="str">
            <v>$</v>
          </cell>
          <cell r="AS512">
            <v>0</v>
          </cell>
          <cell r="AW512">
            <v>0</v>
          </cell>
          <cell r="AY512" t="str">
            <v>NB</v>
          </cell>
        </row>
        <row r="513">
          <cell r="AM513">
            <v>0</v>
          </cell>
          <cell r="AP513" t="e">
            <v>#N/A</v>
          </cell>
          <cell r="AQ513" t="e">
            <v>#N/A</v>
          </cell>
          <cell r="AR513" t="str">
            <v>$</v>
          </cell>
          <cell r="AS513" t="e">
            <v>#N/A</v>
          </cell>
          <cell r="AW513">
            <v>0</v>
          </cell>
          <cell r="AY513" t="str">
            <v>NB</v>
          </cell>
        </row>
        <row r="514">
          <cell r="AM514">
            <v>1178130.9100000001</v>
          </cell>
          <cell r="AP514" t="str">
            <v>Bilan</v>
          </cell>
          <cell r="AQ514" t="str">
            <v>Effet à Payer Véhicules Neufs</v>
          </cell>
          <cell r="AR514" t="str">
            <v>$</v>
          </cell>
          <cell r="AS514">
            <v>0</v>
          </cell>
          <cell r="AW514">
            <v>0</v>
          </cell>
          <cell r="AY514" t="str">
            <v>NB</v>
          </cell>
        </row>
        <row r="515">
          <cell r="AM515">
            <v>4779080.8199999994</v>
          </cell>
          <cell r="AP515" t="str">
            <v>Bilan</v>
          </cell>
          <cell r="AQ515" t="str">
            <v>Effet à Payer Véhicules Usagés</v>
          </cell>
          <cell r="AR515" t="str">
            <v>$</v>
          </cell>
          <cell r="AS515">
            <v>0</v>
          </cell>
          <cell r="AW515">
            <v>0</v>
          </cell>
          <cell r="AY515" t="str">
            <v>NB</v>
          </cell>
        </row>
        <row r="516">
          <cell r="AM516">
            <v>0</v>
          </cell>
          <cell r="AP516" t="e">
            <v>#N/A</v>
          </cell>
          <cell r="AQ516" t="e">
            <v>#N/A</v>
          </cell>
          <cell r="AR516" t="str">
            <v>$</v>
          </cell>
          <cell r="AS516" t="e">
            <v>#N/A</v>
          </cell>
          <cell r="AW516">
            <v>0</v>
          </cell>
          <cell r="AY516" t="str">
            <v>NB</v>
          </cell>
        </row>
        <row r="517">
          <cell r="AM517">
            <v>0</v>
          </cell>
          <cell r="AP517">
            <v>0</v>
          </cell>
          <cell r="AQ517">
            <v>0</v>
          </cell>
          <cell r="AR517" t="str">
            <v>$</v>
          </cell>
          <cell r="AS517">
            <v>0</v>
          </cell>
          <cell r="AW517">
            <v>0</v>
          </cell>
          <cell r="AY517" t="str">
            <v>NB</v>
          </cell>
        </row>
        <row r="518">
          <cell r="AM518">
            <v>0</v>
          </cell>
          <cell r="AP518" t="e">
            <v>#N/A</v>
          </cell>
          <cell r="AQ518" t="e">
            <v>#N/A</v>
          </cell>
          <cell r="AR518" t="str">
            <v>$</v>
          </cell>
          <cell r="AS518" t="e">
            <v>#N/A</v>
          </cell>
          <cell r="AW518">
            <v>0</v>
          </cell>
          <cell r="AY518" t="str">
            <v>NB</v>
          </cell>
        </row>
        <row r="519">
          <cell r="AM519">
            <v>0</v>
          </cell>
          <cell r="AP519">
            <v>0</v>
          </cell>
          <cell r="AQ519">
            <v>0</v>
          </cell>
          <cell r="AR519" t="str">
            <v>$</v>
          </cell>
          <cell r="AS519">
            <v>0</v>
          </cell>
          <cell r="AW519">
            <v>0</v>
          </cell>
          <cell r="AY519" t="str">
            <v>NB</v>
          </cell>
        </row>
        <row r="520">
          <cell r="AM520">
            <v>3699.6600000000035</v>
          </cell>
          <cell r="AP520" t="str">
            <v>Bilan</v>
          </cell>
          <cell r="AQ520" t="str">
            <v>DAS à Payer</v>
          </cell>
          <cell r="AR520" t="str">
            <v>$</v>
          </cell>
          <cell r="AS520">
            <v>0</v>
          </cell>
          <cell r="AW520">
            <v>0</v>
          </cell>
          <cell r="AY520" t="str">
            <v>NB</v>
          </cell>
        </row>
        <row r="521">
          <cell r="AM521">
            <v>-6886.3999999999942</v>
          </cell>
          <cell r="AP521" t="str">
            <v>Bilan</v>
          </cell>
          <cell r="AQ521" t="str">
            <v>Salaires à Payer</v>
          </cell>
          <cell r="AR521" t="str">
            <v>$</v>
          </cell>
          <cell r="AS521">
            <v>0</v>
          </cell>
          <cell r="AW521">
            <v>0</v>
          </cell>
          <cell r="AY521" t="str">
            <v>NB</v>
          </cell>
        </row>
        <row r="522">
          <cell r="AM522">
            <v>12806.990000000002</v>
          </cell>
          <cell r="AP522" t="str">
            <v>Bilan</v>
          </cell>
          <cell r="AQ522" t="str">
            <v>Salaires à Payer</v>
          </cell>
          <cell r="AR522" t="str">
            <v>$</v>
          </cell>
          <cell r="AS522">
            <v>0</v>
          </cell>
          <cell r="AW522">
            <v>0</v>
          </cell>
          <cell r="AY522" t="str">
            <v>NB</v>
          </cell>
        </row>
        <row r="523">
          <cell r="AM523">
            <v>0</v>
          </cell>
          <cell r="AP523">
            <v>0</v>
          </cell>
          <cell r="AQ523">
            <v>0</v>
          </cell>
          <cell r="AR523" t="str">
            <v>$</v>
          </cell>
          <cell r="AS523">
            <v>0</v>
          </cell>
          <cell r="AW523">
            <v>0</v>
          </cell>
          <cell r="AY523" t="str">
            <v>NB</v>
          </cell>
        </row>
        <row r="524">
          <cell r="AM524">
            <v>-277.49</v>
          </cell>
          <cell r="AP524" t="str">
            <v>Bilan</v>
          </cell>
          <cell r="AQ524" t="str">
            <v>DAS à Payer</v>
          </cell>
          <cell r="AR524" t="str">
            <v>$</v>
          </cell>
          <cell r="AS524">
            <v>0</v>
          </cell>
          <cell r="AW524">
            <v>0</v>
          </cell>
          <cell r="AY524" t="str">
            <v>NB</v>
          </cell>
        </row>
        <row r="525">
          <cell r="AM525">
            <v>0</v>
          </cell>
          <cell r="AP525" t="e">
            <v>#N/A</v>
          </cell>
          <cell r="AQ525" t="e">
            <v>#N/A</v>
          </cell>
          <cell r="AR525" t="str">
            <v>$</v>
          </cell>
          <cell r="AS525" t="e">
            <v>#N/A</v>
          </cell>
          <cell r="AW525">
            <v>0</v>
          </cell>
          <cell r="AY525" t="str">
            <v>NB</v>
          </cell>
        </row>
        <row r="526">
          <cell r="AM526">
            <v>0</v>
          </cell>
          <cell r="AP526">
            <v>0</v>
          </cell>
          <cell r="AQ526">
            <v>0</v>
          </cell>
          <cell r="AR526" t="str">
            <v>$</v>
          </cell>
          <cell r="AS526">
            <v>0</v>
          </cell>
          <cell r="AW526">
            <v>0</v>
          </cell>
          <cell r="AY526" t="str">
            <v>NB</v>
          </cell>
        </row>
        <row r="527">
          <cell r="AM527">
            <v>0</v>
          </cell>
          <cell r="AP527" t="e">
            <v>#N/A</v>
          </cell>
          <cell r="AQ527" t="e">
            <v>#N/A</v>
          </cell>
          <cell r="AR527" t="str">
            <v>$</v>
          </cell>
          <cell r="AS527" t="e">
            <v>#N/A</v>
          </cell>
          <cell r="AW527">
            <v>0</v>
          </cell>
          <cell r="AY527" t="str">
            <v>NB</v>
          </cell>
        </row>
        <row r="528">
          <cell r="AM528">
            <v>0</v>
          </cell>
          <cell r="AP528" t="str">
            <v>Bilan</v>
          </cell>
          <cell r="AQ528" t="str">
            <v>Frais Payés d'Avance</v>
          </cell>
          <cell r="AR528" t="str">
            <v>$</v>
          </cell>
          <cell r="AS528">
            <v>0</v>
          </cell>
          <cell r="AW528">
            <v>0</v>
          </cell>
          <cell r="AY528" t="str">
            <v>NB</v>
          </cell>
        </row>
        <row r="529">
          <cell r="AM529">
            <v>0</v>
          </cell>
          <cell r="AP529">
            <v>0</v>
          </cell>
          <cell r="AQ529">
            <v>0</v>
          </cell>
          <cell r="AR529" t="str">
            <v>$</v>
          </cell>
          <cell r="AS529">
            <v>0</v>
          </cell>
          <cell r="AW529">
            <v>0</v>
          </cell>
          <cell r="AY529" t="str">
            <v>NB</v>
          </cell>
        </row>
        <row r="530">
          <cell r="AM530">
            <v>28088.199999999983</v>
          </cell>
          <cell r="AP530" t="str">
            <v>Bilan</v>
          </cell>
          <cell r="AQ530" t="str">
            <v>Frais Payés d'Avance</v>
          </cell>
          <cell r="AR530" t="str">
            <v>$</v>
          </cell>
          <cell r="AS530">
            <v>0</v>
          </cell>
          <cell r="AW530">
            <v>0</v>
          </cell>
          <cell r="AY530" t="str">
            <v>NB</v>
          </cell>
        </row>
        <row r="531">
          <cell r="AM531">
            <v>0</v>
          </cell>
          <cell r="AP531">
            <v>0</v>
          </cell>
          <cell r="AQ531">
            <v>0</v>
          </cell>
          <cell r="AR531" t="str">
            <v>$</v>
          </cell>
          <cell r="AS531">
            <v>0</v>
          </cell>
          <cell r="AW531">
            <v>0</v>
          </cell>
          <cell r="AY531" t="str">
            <v>NB</v>
          </cell>
        </row>
        <row r="532">
          <cell r="AM532">
            <v>0</v>
          </cell>
          <cell r="AP532" t="e">
            <v>#N/A</v>
          </cell>
          <cell r="AQ532" t="e">
            <v>#N/A</v>
          </cell>
          <cell r="AR532" t="str">
            <v>$</v>
          </cell>
          <cell r="AS532" t="e">
            <v>#N/A</v>
          </cell>
          <cell r="AW532">
            <v>0</v>
          </cell>
          <cell r="AY532" t="str">
            <v>NB</v>
          </cell>
        </row>
        <row r="533">
          <cell r="AM533">
            <v>0</v>
          </cell>
          <cell r="AP533">
            <v>0</v>
          </cell>
          <cell r="AQ533">
            <v>0</v>
          </cell>
          <cell r="AR533" t="str">
            <v>$</v>
          </cell>
          <cell r="AS533">
            <v>0</v>
          </cell>
          <cell r="AW533">
            <v>0</v>
          </cell>
          <cell r="AY533" t="str">
            <v>NB</v>
          </cell>
        </row>
        <row r="534">
          <cell r="AM534">
            <v>0</v>
          </cell>
          <cell r="AP534">
            <v>0</v>
          </cell>
          <cell r="AQ534">
            <v>0</v>
          </cell>
          <cell r="AR534" t="str">
            <v>$</v>
          </cell>
          <cell r="AS534">
            <v>0</v>
          </cell>
          <cell r="AW534">
            <v>0</v>
          </cell>
          <cell r="AY534" t="str">
            <v>NB</v>
          </cell>
        </row>
        <row r="535">
          <cell r="AM535">
            <v>0</v>
          </cell>
          <cell r="AP535">
            <v>0</v>
          </cell>
          <cell r="AQ535">
            <v>0</v>
          </cell>
          <cell r="AR535" t="str">
            <v>$</v>
          </cell>
          <cell r="AS535">
            <v>0</v>
          </cell>
          <cell r="AW535">
            <v>0</v>
          </cell>
          <cell r="AY535" t="str">
            <v>NB</v>
          </cell>
        </row>
        <row r="536">
          <cell r="AM536">
            <v>13107.46</v>
          </cell>
          <cell r="AP536" t="str">
            <v>Bilan</v>
          </cell>
          <cell r="AQ536" t="str">
            <v>DAS à Payer</v>
          </cell>
          <cell r="AR536" t="str">
            <v>$</v>
          </cell>
          <cell r="AS536">
            <v>0</v>
          </cell>
          <cell r="AW536">
            <v>0</v>
          </cell>
          <cell r="AY536" t="str">
            <v>NB</v>
          </cell>
        </row>
        <row r="537">
          <cell r="AM537">
            <v>-1462.08</v>
          </cell>
          <cell r="AP537" t="str">
            <v>Bilan</v>
          </cell>
          <cell r="AQ537" t="str">
            <v>DAS à Payer</v>
          </cell>
          <cell r="AR537" t="str">
            <v>$</v>
          </cell>
          <cell r="AS537">
            <v>0</v>
          </cell>
          <cell r="AW537">
            <v>0</v>
          </cell>
          <cell r="AY537" t="str">
            <v>NB</v>
          </cell>
        </row>
        <row r="538">
          <cell r="AM538">
            <v>950.72999999999593</v>
          </cell>
          <cell r="AP538" t="str">
            <v>Bilan</v>
          </cell>
          <cell r="AQ538" t="str">
            <v>Taxes de Vente à Payer</v>
          </cell>
          <cell r="AR538" t="str">
            <v>$</v>
          </cell>
          <cell r="AS538">
            <v>0</v>
          </cell>
          <cell r="AW538">
            <v>0</v>
          </cell>
          <cell r="AY538" t="str">
            <v>NB</v>
          </cell>
        </row>
        <row r="539">
          <cell r="AM539">
            <v>45193.679999999935</v>
          </cell>
          <cell r="AP539" t="str">
            <v>Bilan</v>
          </cell>
          <cell r="AQ539" t="str">
            <v>Taxes de Vente à Payer</v>
          </cell>
          <cell r="AR539" t="str">
            <v>$</v>
          </cell>
          <cell r="AS539">
            <v>0</v>
          </cell>
          <cell r="AW539">
            <v>0</v>
          </cell>
          <cell r="AY539" t="str">
            <v>NB</v>
          </cell>
        </row>
        <row r="540">
          <cell r="AM540">
            <v>210.73000000000002</v>
          </cell>
          <cell r="AP540" t="str">
            <v>Bilan</v>
          </cell>
          <cell r="AQ540" t="str">
            <v>Taxes de Vente à Payer</v>
          </cell>
          <cell r="AR540" t="str">
            <v>$</v>
          </cell>
          <cell r="AS540">
            <v>0</v>
          </cell>
          <cell r="AW540">
            <v>0</v>
          </cell>
          <cell r="AY540" t="str">
            <v>NB</v>
          </cell>
        </row>
        <row r="541">
          <cell r="AM541">
            <v>-211.8799999999992</v>
          </cell>
          <cell r="AP541" t="str">
            <v>Bilan</v>
          </cell>
          <cell r="AQ541" t="str">
            <v>Taxes de Vente à Payer</v>
          </cell>
          <cell r="AR541" t="str">
            <v>$</v>
          </cell>
          <cell r="AS541">
            <v>0</v>
          </cell>
          <cell r="AW541">
            <v>0</v>
          </cell>
          <cell r="AY541" t="str">
            <v>NB</v>
          </cell>
        </row>
        <row r="542">
          <cell r="AM542">
            <v>0</v>
          </cell>
          <cell r="AP542" t="str">
            <v>Bilan</v>
          </cell>
          <cell r="AQ542" t="str">
            <v>Impôts à payer</v>
          </cell>
          <cell r="AR542" t="str">
            <v>$</v>
          </cell>
          <cell r="AS542">
            <v>0</v>
          </cell>
          <cell r="AW542">
            <v>0</v>
          </cell>
          <cell r="AY542" t="str">
            <v>NB</v>
          </cell>
        </row>
        <row r="543">
          <cell r="AM543">
            <v>2871.66</v>
          </cell>
          <cell r="AP543" t="str">
            <v>Bilan</v>
          </cell>
          <cell r="AQ543" t="str">
            <v>Salaires à Payer</v>
          </cell>
          <cell r="AR543" t="str">
            <v>$</v>
          </cell>
          <cell r="AS543">
            <v>0</v>
          </cell>
          <cell r="AW543">
            <v>0</v>
          </cell>
          <cell r="AY543" t="str">
            <v>NB</v>
          </cell>
        </row>
        <row r="544">
          <cell r="AM544">
            <v>21634.449999999721</v>
          </cell>
          <cell r="AP544" t="str">
            <v>Bilan</v>
          </cell>
          <cell r="AQ544" t="str">
            <v>Salaires à Payer</v>
          </cell>
          <cell r="AR544" t="str">
            <v>$</v>
          </cell>
          <cell r="AS544">
            <v>0</v>
          </cell>
          <cell r="AW544">
            <v>0</v>
          </cell>
          <cell r="AY544" t="str">
            <v>NB</v>
          </cell>
        </row>
        <row r="545">
          <cell r="AM545">
            <v>-42402.54</v>
          </cell>
          <cell r="AP545" t="str">
            <v>Bilan</v>
          </cell>
          <cell r="AQ545" t="str">
            <v>Payables Intercos</v>
          </cell>
          <cell r="AR545" t="str">
            <v>$</v>
          </cell>
          <cell r="AS545">
            <v>0</v>
          </cell>
          <cell r="AW545">
            <v>0</v>
          </cell>
          <cell r="AY545" t="str">
            <v>NB</v>
          </cell>
        </row>
        <row r="546">
          <cell r="AM546">
            <v>0</v>
          </cell>
          <cell r="AP546" t="str">
            <v>Bilan</v>
          </cell>
          <cell r="AQ546" t="str">
            <v>Payables Intercos</v>
          </cell>
          <cell r="AR546" t="str">
            <v>$</v>
          </cell>
          <cell r="AS546">
            <v>0</v>
          </cell>
          <cell r="AW546">
            <v>0</v>
          </cell>
          <cell r="AY546" t="str">
            <v>NB</v>
          </cell>
        </row>
        <row r="547">
          <cell r="AM547">
            <v>-335701.24999999994</v>
          </cell>
          <cell r="AP547" t="str">
            <v>Bilan</v>
          </cell>
          <cell r="AQ547" t="str">
            <v>Payables Intercos</v>
          </cell>
          <cell r="AR547" t="str">
            <v>$</v>
          </cell>
          <cell r="AS547">
            <v>0</v>
          </cell>
          <cell r="AW547">
            <v>0</v>
          </cell>
          <cell r="AY547" t="str">
            <v>NB</v>
          </cell>
        </row>
        <row r="548">
          <cell r="AM548">
            <v>0</v>
          </cell>
          <cell r="AP548" t="str">
            <v>Bilan</v>
          </cell>
          <cell r="AQ548" t="str">
            <v>Payables Intercos</v>
          </cell>
          <cell r="AR548" t="str">
            <v>$</v>
          </cell>
          <cell r="AS548">
            <v>0</v>
          </cell>
          <cell r="AW548">
            <v>0</v>
          </cell>
          <cell r="AY548" t="str">
            <v>NB</v>
          </cell>
        </row>
        <row r="549">
          <cell r="AM549">
            <v>0</v>
          </cell>
          <cell r="AP549" t="str">
            <v>Bilan</v>
          </cell>
          <cell r="AQ549" t="str">
            <v>Payables Intercos</v>
          </cell>
          <cell r="AR549" t="str">
            <v>$</v>
          </cell>
          <cell r="AS549">
            <v>0</v>
          </cell>
          <cell r="AW549">
            <v>0</v>
          </cell>
          <cell r="AY549" t="str">
            <v>NB</v>
          </cell>
        </row>
        <row r="550">
          <cell r="AM550">
            <v>-3283.9899999999989</v>
          </cell>
          <cell r="AP550" t="str">
            <v>Bilan</v>
          </cell>
          <cell r="AQ550" t="str">
            <v>Autres Courus</v>
          </cell>
          <cell r="AR550" t="str">
            <v>$</v>
          </cell>
          <cell r="AS550">
            <v>0</v>
          </cell>
          <cell r="AW550">
            <v>0</v>
          </cell>
          <cell r="AY550" t="str">
            <v>NB</v>
          </cell>
        </row>
        <row r="551">
          <cell r="AM551">
            <v>0</v>
          </cell>
          <cell r="AP551" t="str">
            <v>Bilan</v>
          </cell>
          <cell r="AQ551" t="str">
            <v>Autres Courus</v>
          </cell>
          <cell r="AR551" t="str">
            <v>$</v>
          </cell>
          <cell r="AS551">
            <v>0</v>
          </cell>
          <cell r="AW551">
            <v>0</v>
          </cell>
          <cell r="AY551" t="str">
            <v>NB</v>
          </cell>
        </row>
        <row r="552">
          <cell r="AM552">
            <v>4532.8300000000163</v>
          </cell>
          <cell r="AP552" t="str">
            <v>Bilan</v>
          </cell>
          <cell r="AQ552" t="str">
            <v>Salaires à Payer</v>
          </cell>
          <cell r="AR552" t="str">
            <v>$</v>
          </cell>
          <cell r="AS552">
            <v>0</v>
          </cell>
          <cell r="AW552">
            <v>0</v>
          </cell>
          <cell r="AY552" t="str">
            <v>NB</v>
          </cell>
        </row>
        <row r="553">
          <cell r="AM553">
            <v>-28445.17</v>
          </cell>
          <cell r="AP553" t="str">
            <v>Bilan</v>
          </cell>
          <cell r="AQ553" t="str">
            <v>Autres Courus</v>
          </cell>
          <cell r="AR553" t="str">
            <v>$</v>
          </cell>
          <cell r="AS553">
            <v>0</v>
          </cell>
          <cell r="AW553">
            <v>0</v>
          </cell>
          <cell r="AY553" t="str">
            <v>NB</v>
          </cell>
        </row>
        <row r="554">
          <cell r="AM554">
            <v>0</v>
          </cell>
          <cell r="AP554" t="str">
            <v>Bilan</v>
          </cell>
          <cell r="AQ554" t="str">
            <v>Autres Courus</v>
          </cell>
          <cell r="AR554" t="str">
            <v>$</v>
          </cell>
          <cell r="AS554">
            <v>0</v>
          </cell>
          <cell r="AW554">
            <v>0</v>
          </cell>
          <cell r="AY554" t="str">
            <v>NB</v>
          </cell>
        </row>
        <row r="555">
          <cell r="AM555">
            <v>2230.75</v>
          </cell>
          <cell r="AP555" t="str">
            <v>Bilan</v>
          </cell>
          <cell r="AQ555" t="str">
            <v>Autres Courus</v>
          </cell>
          <cell r="AR555" t="str">
            <v>$</v>
          </cell>
          <cell r="AS555">
            <v>0</v>
          </cell>
          <cell r="AW555">
            <v>0</v>
          </cell>
          <cell r="AY555" t="str">
            <v>NB</v>
          </cell>
        </row>
        <row r="556">
          <cell r="AM556">
            <v>-26102.910000000003</v>
          </cell>
          <cell r="AP556" t="str">
            <v>Bilan</v>
          </cell>
          <cell r="AQ556" t="str">
            <v>Autres Courus</v>
          </cell>
          <cell r="AR556" t="str">
            <v>$</v>
          </cell>
          <cell r="AS556">
            <v>0</v>
          </cell>
          <cell r="AW556">
            <v>0</v>
          </cell>
          <cell r="AY556" t="str">
            <v>NB</v>
          </cell>
        </row>
        <row r="557">
          <cell r="AM557">
            <v>0</v>
          </cell>
          <cell r="AP557" t="str">
            <v>Bilan</v>
          </cell>
          <cell r="AQ557" t="str">
            <v>Autres Comptes à Payer</v>
          </cell>
          <cell r="AR557" t="str">
            <v>$</v>
          </cell>
          <cell r="AS557">
            <v>0</v>
          </cell>
          <cell r="AW557">
            <v>0</v>
          </cell>
          <cell r="AY557" t="str">
            <v>NB</v>
          </cell>
        </row>
        <row r="558">
          <cell r="AM558">
            <v>-3000</v>
          </cell>
          <cell r="AP558" t="str">
            <v>Bilan</v>
          </cell>
          <cell r="AQ558" t="str">
            <v>Autres Courus</v>
          </cell>
          <cell r="AR558" t="str">
            <v>$</v>
          </cell>
          <cell r="AS558">
            <v>0</v>
          </cell>
          <cell r="AW558">
            <v>0</v>
          </cell>
          <cell r="AY558" t="str">
            <v>NB</v>
          </cell>
        </row>
        <row r="559">
          <cell r="AM559">
            <v>0</v>
          </cell>
          <cell r="AP559">
            <v>0</v>
          </cell>
          <cell r="AQ559">
            <v>0</v>
          </cell>
          <cell r="AR559" t="str">
            <v>$</v>
          </cell>
          <cell r="AS559">
            <v>0</v>
          </cell>
          <cell r="AW559">
            <v>0</v>
          </cell>
          <cell r="AY559" t="str">
            <v>NB</v>
          </cell>
        </row>
        <row r="560">
          <cell r="AM560">
            <v>-14940</v>
          </cell>
          <cell r="AP560" t="str">
            <v>Bilan</v>
          </cell>
          <cell r="AQ560" t="str">
            <v>Autres Courus</v>
          </cell>
          <cell r="AR560" t="str">
            <v>$</v>
          </cell>
          <cell r="AS560">
            <v>0</v>
          </cell>
          <cell r="AW560">
            <v>0</v>
          </cell>
          <cell r="AY560" t="str">
            <v>NB</v>
          </cell>
        </row>
        <row r="561">
          <cell r="AM561">
            <v>0</v>
          </cell>
          <cell r="AP561" t="str">
            <v>Bilan</v>
          </cell>
          <cell r="AQ561" t="str">
            <v>Autres Courus</v>
          </cell>
          <cell r="AR561" t="str">
            <v>$</v>
          </cell>
          <cell r="AS561">
            <v>0</v>
          </cell>
          <cell r="AW561">
            <v>0</v>
          </cell>
          <cell r="AY561" t="str">
            <v>NB</v>
          </cell>
        </row>
        <row r="562">
          <cell r="AM562">
            <v>-12300</v>
          </cell>
          <cell r="AP562" t="str">
            <v>Bilan</v>
          </cell>
          <cell r="AQ562" t="str">
            <v>Autres Courus</v>
          </cell>
          <cell r="AR562" t="str">
            <v>$</v>
          </cell>
          <cell r="AS562">
            <v>0</v>
          </cell>
          <cell r="AW562">
            <v>0</v>
          </cell>
          <cell r="AY562" t="str">
            <v>NB</v>
          </cell>
        </row>
        <row r="563">
          <cell r="AM563">
            <v>0</v>
          </cell>
          <cell r="AP563" t="str">
            <v>Bilan</v>
          </cell>
          <cell r="AQ563" t="str">
            <v>Autres Courus</v>
          </cell>
          <cell r="AR563" t="str">
            <v>$</v>
          </cell>
          <cell r="AS563">
            <v>0</v>
          </cell>
          <cell r="AW563">
            <v>0</v>
          </cell>
          <cell r="AY563" t="str">
            <v>NB</v>
          </cell>
        </row>
        <row r="564">
          <cell r="AM564">
            <v>49318.7</v>
          </cell>
          <cell r="AP564" t="str">
            <v>Bilan</v>
          </cell>
          <cell r="AQ564" t="str">
            <v>Autres Courus</v>
          </cell>
          <cell r="AR564" t="str">
            <v>$</v>
          </cell>
          <cell r="AS564">
            <v>0</v>
          </cell>
          <cell r="AW564">
            <v>0</v>
          </cell>
          <cell r="AY564" t="str">
            <v>NB</v>
          </cell>
        </row>
        <row r="565">
          <cell r="AM565">
            <v>391.57</v>
          </cell>
          <cell r="AP565" t="str">
            <v>Bilan</v>
          </cell>
          <cell r="AQ565" t="str">
            <v>Autres Courus</v>
          </cell>
          <cell r="AR565" t="str">
            <v>$</v>
          </cell>
          <cell r="AS565">
            <v>0</v>
          </cell>
          <cell r="AW565">
            <v>0</v>
          </cell>
          <cell r="AY565" t="str">
            <v>NB</v>
          </cell>
        </row>
        <row r="566">
          <cell r="AM566">
            <v>0</v>
          </cell>
          <cell r="AP566" t="str">
            <v>Bilan</v>
          </cell>
          <cell r="AQ566" t="str">
            <v>Autres Courus</v>
          </cell>
          <cell r="AR566" t="str">
            <v>$</v>
          </cell>
          <cell r="AS566">
            <v>0</v>
          </cell>
          <cell r="AW566">
            <v>0</v>
          </cell>
          <cell r="AY566" t="str">
            <v>NB</v>
          </cell>
        </row>
        <row r="567">
          <cell r="AM567">
            <v>0</v>
          </cell>
          <cell r="AP567" t="e">
            <v>#N/A</v>
          </cell>
          <cell r="AQ567" t="e">
            <v>#N/A</v>
          </cell>
          <cell r="AR567" t="str">
            <v>$</v>
          </cell>
          <cell r="AS567" t="e">
            <v>#N/A</v>
          </cell>
          <cell r="AW567">
            <v>0</v>
          </cell>
          <cell r="AY567" t="str">
            <v>NB</v>
          </cell>
        </row>
        <row r="568">
          <cell r="AM568">
            <v>-4666.6699999999983</v>
          </cell>
          <cell r="AP568" t="str">
            <v>Bilan</v>
          </cell>
          <cell r="AQ568" t="str">
            <v>Autres Courus</v>
          </cell>
          <cell r="AR568" t="str">
            <v>$</v>
          </cell>
          <cell r="AS568">
            <v>0</v>
          </cell>
          <cell r="AW568">
            <v>0</v>
          </cell>
          <cell r="AY568" t="str">
            <v>NB</v>
          </cell>
        </row>
        <row r="569">
          <cell r="AM569">
            <v>6249</v>
          </cell>
          <cell r="AP569" t="str">
            <v>Bilan</v>
          </cell>
          <cell r="AQ569" t="str">
            <v>Autres Courus</v>
          </cell>
          <cell r="AR569" t="str">
            <v>$</v>
          </cell>
          <cell r="AS569">
            <v>0</v>
          </cell>
          <cell r="AW569">
            <v>0</v>
          </cell>
          <cell r="AY569" t="str">
            <v>NB</v>
          </cell>
        </row>
        <row r="570">
          <cell r="AM570">
            <v>0</v>
          </cell>
          <cell r="AP570" t="e">
            <v>#N/A</v>
          </cell>
          <cell r="AQ570" t="e">
            <v>#N/A</v>
          </cell>
          <cell r="AR570" t="str">
            <v>$</v>
          </cell>
          <cell r="AS570" t="e">
            <v>#N/A</v>
          </cell>
          <cell r="AW570">
            <v>0</v>
          </cell>
          <cell r="AY570" t="str">
            <v>NB</v>
          </cell>
        </row>
        <row r="571">
          <cell r="AM571">
            <v>-144000</v>
          </cell>
          <cell r="AP571" t="str">
            <v>Bilan</v>
          </cell>
          <cell r="AQ571" t="str">
            <v>Autres Courus</v>
          </cell>
          <cell r="AR571" t="str">
            <v>$</v>
          </cell>
          <cell r="AS571">
            <v>0</v>
          </cell>
          <cell r="AW571">
            <v>0</v>
          </cell>
          <cell r="AY571" t="str">
            <v>NB</v>
          </cell>
        </row>
        <row r="572">
          <cell r="AM572">
            <v>0</v>
          </cell>
          <cell r="AP572" t="str">
            <v>Bilan</v>
          </cell>
          <cell r="AQ572" t="str">
            <v>Impôts Futurs à payer</v>
          </cell>
          <cell r="AR572" t="str">
            <v>$</v>
          </cell>
          <cell r="AS572">
            <v>0</v>
          </cell>
          <cell r="AW572">
            <v>0</v>
          </cell>
          <cell r="AY572" t="str">
            <v>NB</v>
          </cell>
        </row>
        <row r="573">
          <cell r="AM573">
            <v>0</v>
          </cell>
          <cell r="AP573" t="str">
            <v>Bilan</v>
          </cell>
          <cell r="AQ573" t="str">
            <v>Marge de crédit</v>
          </cell>
          <cell r="AR573" t="str">
            <v>$</v>
          </cell>
          <cell r="AS573">
            <v>0</v>
          </cell>
          <cell r="AW573">
            <v>0</v>
          </cell>
          <cell r="AY573" t="str">
            <v>NB</v>
          </cell>
        </row>
        <row r="574">
          <cell r="AM574">
            <v>0</v>
          </cell>
          <cell r="AP574" t="str">
            <v>Bilan</v>
          </cell>
          <cell r="AQ574" t="str">
            <v>Frais Payés d'Avance</v>
          </cell>
          <cell r="AR574" t="str">
            <v>$</v>
          </cell>
          <cell r="AS574">
            <v>0</v>
          </cell>
          <cell r="AW574">
            <v>0</v>
          </cell>
          <cell r="AY574" t="str">
            <v>NB</v>
          </cell>
        </row>
        <row r="575">
          <cell r="AM575">
            <v>0</v>
          </cell>
          <cell r="AP575">
            <v>0</v>
          </cell>
          <cell r="AQ575">
            <v>0</v>
          </cell>
          <cell r="AR575" t="str">
            <v>$</v>
          </cell>
          <cell r="AS575">
            <v>0</v>
          </cell>
          <cell r="AW575">
            <v>0</v>
          </cell>
          <cell r="AY575" t="str">
            <v>NB</v>
          </cell>
        </row>
        <row r="576">
          <cell r="AM576">
            <v>-5030</v>
          </cell>
          <cell r="AP576" t="str">
            <v>Bilan</v>
          </cell>
          <cell r="AQ576" t="str">
            <v>Équipements Service</v>
          </cell>
          <cell r="AR576" t="str">
            <v>$</v>
          </cell>
          <cell r="AS576">
            <v>0</v>
          </cell>
          <cell r="AW576">
            <v>0</v>
          </cell>
          <cell r="AY576" t="str">
            <v>NB</v>
          </cell>
        </row>
        <row r="577">
          <cell r="AM577">
            <v>0</v>
          </cell>
          <cell r="AP577" t="str">
            <v>Bilan</v>
          </cell>
          <cell r="AQ577" t="str">
            <v>Équipements Service</v>
          </cell>
          <cell r="AR577" t="str">
            <v>$</v>
          </cell>
          <cell r="AS577">
            <v>0</v>
          </cell>
          <cell r="AW577">
            <v>0</v>
          </cell>
          <cell r="AY577" t="str">
            <v>NB</v>
          </cell>
        </row>
        <row r="578">
          <cell r="AM578">
            <v>-95</v>
          </cell>
          <cell r="AP578" t="str">
            <v>Bilan</v>
          </cell>
          <cell r="AQ578" t="str">
            <v>Équipements Service</v>
          </cell>
          <cell r="AR578" t="str">
            <v>$</v>
          </cell>
          <cell r="AS578">
            <v>0</v>
          </cell>
          <cell r="AW578">
            <v>0</v>
          </cell>
          <cell r="AY578" t="str">
            <v>NB</v>
          </cell>
        </row>
        <row r="579">
          <cell r="AM579">
            <v>-825</v>
          </cell>
          <cell r="AP579" t="str">
            <v>Bilan</v>
          </cell>
          <cell r="AQ579" t="str">
            <v>Mobilier</v>
          </cell>
          <cell r="AR579" t="str">
            <v>$</v>
          </cell>
          <cell r="AS579">
            <v>0</v>
          </cell>
          <cell r="AW579">
            <v>0</v>
          </cell>
          <cell r="AY579" t="str">
            <v>NB</v>
          </cell>
        </row>
        <row r="580">
          <cell r="AM580">
            <v>-1750</v>
          </cell>
          <cell r="AP580" t="str">
            <v>Bilan</v>
          </cell>
          <cell r="AQ580" t="str">
            <v>Équipements Service</v>
          </cell>
          <cell r="AR580" t="str">
            <v>$</v>
          </cell>
          <cell r="AS580">
            <v>0</v>
          </cell>
          <cell r="AW580">
            <v>0</v>
          </cell>
          <cell r="AY580" t="str">
            <v>NB</v>
          </cell>
        </row>
        <row r="581">
          <cell r="AM581">
            <v>-2200</v>
          </cell>
          <cell r="AP581" t="str">
            <v>Bilan</v>
          </cell>
          <cell r="AQ581" t="str">
            <v>Améliorations Locatives</v>
          </cell>
          <cell r="AR581" t="str">
            <v>$</v>
          </cell>
          <cell r="AS581">
            <v>0</v>
          </cell>
          <cell r="AW581">
            <v>0</v>
          </cell>
          <cell r="AY581" t="str">
            <v>NB</v>
          </cell>
        </row>
        <row r="582">
          <cell r="AM582">
            <v>-770</v>
          </cell>
          <cell r="AP582" t="str">
            <v>Bilan</v>
          </cell>
          <cell r="AQ582" t="str">
            <v>Équipements Informatique</v>
          </cell>
          <cell r="AR582" t="str">
            <v>$</v>
          </cell>
          <cell r="AS582">
            <v>0</v>
          </cell>
          <cell r="AW582">
            <v>0</v>
          </cell>
          <cell r="AY582" t="str">
            <v>NB</v>
          </cell>
        </row>
        <row r="583">
          <cell r="AM583">
            <v>-140</v>
          </cell>
          <cell r="AP583" t="str">
            <v>Bilan</v>
          </cell>
          <cell r="AQ583" t="str">
            <v>Enseigne</v>
          </cell>
          <cell r="AR583" t="str">
            <v>$</v>
          </cell>
          <cell r="AS583">
            <v>0</v>
          </cell>
          <cell r="AW583">
            <v>0</v>
          </cell>
          <cell r="AY583" t="str">
            <v>NB</v>
          </cell>
        </row>
        <row r="584">
          <cell r="AM584">
            <v>0</v>
          </cell>
          <cell r="AP584">
            <v>0</v>
          </cell>
          <cell r="AQ584">
            <v>0</v>
          </cell>
          <cell r="AR584" t="str">
            <v>$</v>
          </cell>
          <cell r="AS584">
            <v>0</v>
          </cell>
          <cell r="AW584">
            <v>0</v>
          </cell>
          <cell r="AY584" t="str">
            <v>NB</v>
          </cell>
        </row>
        <row r="585">
          <cell r="AM585">
            <v>0</v>
          </cell>
          <cell r="AP585" t="str">
            <v>Bilan</v>
          </cell>
          <cell r="AQ585" t="str">
            <v>Capital Actions</v>
          </cell>
          <cell r="AR585" t="str">
            <v>$</v>
          </cell>
          <cell r="AS585">
            <v>0</v>
          </cell>
          <cell r="AW585">
            <v>0</v>
          </cell>
          <cell r="AY585" t="str">
            <v>NB</v>
          </cell>
        </row>
        <row r="586">
          <cell r="AM586">
            <v>0</v>
          </cell>
          <cell r="AP586" t="str">
            <v>Bilan</v>
          </cell>
          <cell r="AQ586" t="str">
            <v>Capital Actions</v>
          </cell>
          <cell r="AR586" t="str">
            <v>$</v>
          </cell>
          <cell r="AS586">
            <v>0</v>
          </cell>
          <cell r="AW586">
            <v>0</v>
          </cell>
          <cell r="AY586" t="str">
            <v>NB</v>
          </cell>
        </row>
        <row r="587">
          <cell r="AM587">
            <v>0</v>
          </cell>
          <cell r="AP587" t="str">
            <v>Bilan</v>
          </cell>
          <cell r="AQ587" t="str">
            <v>Capital Actions</v>
          </cell>
          <cell r="AR587" t="str">
            <v>$</v>
          </cell>
          <cell r="AS587">
            <v>0</v>
          </cell>
          <cell r="AW587">
            <v>0</v>
          </cell>
          <cell r="AY587" t="str">
            <v>NB</v>
          </cell>
        </row>
        <row r="588">
          <cell r="AM588">
            <v>0</v>
          </cell>
          <cell r="AP588" t="str">
            <v>Bilan</v>
          </cell>
          <cell r="AQ588" t="str">
            <v>Capital Actions</v>
          </cell>
          <cell r="AR588" t="str">
            <v>$</v>
          </cell>
          <cell r="AS588">
            <v>0</v>
          </cell>
          <cell r="AW588">
            <v>0</v>
          </cell>
          <cell r="AY588" t="str">
            <v>NB</v>
          </cell>
        </row>
        <row r="589">
          <cell r="AM589">
            <v>0</v>
          </cell>
          <cell r="AP589" t="str">
            <v>Bilan</v>
          </cell>
          <cell r="AQ589" t="str">
            <v>Capital Actions</v>
          </cell>
          <cell r="AR589" t="str">
            <v>$</v>
          </cell>
          <cell r="AS589">
            <v>0</v>
          </cell>
          <cell r="AW589">
            <v>0</v>
          </cell>
          <cell r="AY589" t="str">
            <v>NB</v>
          </cell>
        </row>
        <row r="590">
          <cell r="AM590">
            <v>0</v>
          </cell>
          <cell r="AP590" t="str">
            <v>Bilan</v>
          </cell>
          <cell r="AQ590" t="str">
            <v>Capital Actions</v>
          </cell>
          <cell r="AR590" t="str">
            <v>$</v>
          </cell>
          <cell r="AS590">
            <v>0</v>
          </cell>
          <cell r="AW590">
            <v>0</v>
          </cell>
          <cell r="AY590" t="str">
            <v>NB</v>
          </cell>
        </row>
        <row r="591">
          <cell r="AM591">
            <v>0</v>
          </cell>
          <cell r="AP591" t="str">
            <v>Bilan</v>
          </cell>
          <cell r="AQ591" t="str">
            <v>Capital Actions</v>
          </cell>
          <cell r="AR591" t="str">
            <v>$</v>
          </cell>
          <cell r="AS591">
            <v>0</v>
          </cell>
          <cell r="AW591">
            <v>0</v>
          </cell>
          <cell r="AY591" t="str">
            <v>NB</v>
          </cell>
        </row>
        <row r="592">
          <cell r="AM592">
            <v>0</v>
          </cell>
          <cell r="AP592" t="str">
            <v>Bilan</v>
          </cell>
          <cell r="AQ592" t="str">
            <v>Capital Actions</v>
          </cell>
          <cell r="AR592" t="str">
            <v>$</v>
          </cell>
          <cell r="AS592">
            <v>0</v>
          </cell>
          <cell r="AW592">
            <v>0</v>
          </cell>
          <cell r="AY592" t="str">
            <v>NB</v>
          </cell>
        </row>
        <row r="593">
          <cell r="AM593">
            <v>0</v>
          </cell>
          <cell r="AP593" t="str">
            <v>Bilan</v>
          </cell>
          <cell r="AQ593" t="str">
            <v>Capital Actions</v>
          </cell>
          <cell r="AR593" t="str">
            <v>$</v>
          </cell>
          <cell r="AS593">
            <v>0</v>
          </cell>
          <cell r="AW593">
            <v>0</v>
          </cell>
          <cell r="AY593" t="str">
            <v>NB</v>
          </cell>
        </row>
        <row r="594">
          <cell r="AM594">
            <v>0</v>
          </cell>
          <cell r="AP594" t="str">
            <v>Bilan</v>
          </cell>
          <cell r="AQ594" t="str">
            <v>Bénéfices non répartis</v>
          </cell>
          <cell r="AR594" t="str">
            <v>$</v>
          </cell>
          <cell r="AS594">
            <v>0</v>
          </cell>
          <cell r="AW594">
            <v>0</v>
          </cell>
          <cell r="AY594" t="str">
            <v>NB</v>
          </cell>
        </row>
        <row r="595">
          <cell r="AM595">
            <v>0</v>
          </cell>
          <cell r="AP595">
            <v>0</v>
          </cell>
          <cell r="AQ595">
            <v>0</v>
          </cell>
          <cell r="AR595" t="str">
            <v>$</v>
          </cell>
          <cell r="AS595">
            <v>0</v>
          </cell>
          <cell r="AW595">
            <v>0</v>
          </cell>
          <cell r="AY595" t="str">
            <v>NB</v>
          </cell>
        </row>
        <row r="596">
          <cell r="AM596">
            <v>0</v>
          </cell>
          <cell r="AP596" t="e">
            <v>#N/A</v>
          </cell>
          <cell r="AQ596" t="e">
            <v>#N/A</v>
          </cell>
          <cell r="AR596" t="str">
            <v>$</v>
          </cell>
          <cell r="AS596" t="e">
            <v>#N/A</v>
          </cell>
          <cell r="AW596">
            <v>0</v>
          </cell>
          <cell r="AY596" t="str">
            <v>NB</v>
          </cell>
        </row>
        <row r="597">
          <cell r="AM597">
            <v>0</v>
          </cell>
          <cell r="AP597" t="str">
            <v>Véhicules neufs</v>
          </cell>
          <cell r="AQ597" t="str">
            <v>Autos détail</v>
          </cell>
          <cell r="AR597" t="str">
            <v>$</v>
          </cell>
          <cell r="AS597" t="str">
            <v>Oui</v>
          </cell>
          <cell r="AW597">
            <v>0</v>
          </cell>
          <cell r="AY597" t="str">
            <v>NB</v>
          </cell>
        </row>
        <row r="598">
          <cell r="AM598">
            <v>0</v>
          </cell>
          <cell r="AP598" t="str">
            <v>Véhicules neufs</v>
          </cell>
          <cell r="AQ598" t="str">
            <v>Autos détail</v>
          </cell>
          <cell r="AR598" t="str">
            <v>$</v>
          </cell>
          <cell r="AS598" t="str">
            <v>Oui</v>
          </cell>
          <cell r="AW598">
            <v>0</v>
          </cell>
          <cell r="AY598" t="str">
            <v>NB</v>
          </cell>
        </row>
        <row r="599">
          <cell r="AM599">
            <v>0</v>
          </cell>
          <cell r="AP599" t="str">
            <v>Véhicules neufs</v>
          </cell>
          <cell r="AQ599" t="str">
            <v>Autos détail</v>
          </cell>
          <cell r="AR599" t="str">
            <v>$</v>
          </cell>
          <cell r="AS599" t="str">
            <v>Oui</v>
          </cell>
          <cell r="AW599">
            <v>0</v>
          </cell>
          <cell r="AY599" t="str">
            <v>NB</v>
          </cell>
        </row>
        <row r="600">
          <cell r="AM600">
            <v>0</v>
          </cell>
          <cell r="AP600" t="str">
            <v>Véhicules neufs</v>
          </cell>
          <cell r="AQ600" t="str">
            <v>Autos détail</v>
          </cell>
          <cell r="AR600" t="str">
            <v>$</v>
          </cell>
          <cell r="AS600" t="str">
            <v>Oui</v>
          </cell>
          <cell r="AW600">
            <v>0</v>
          </cell>
          <cell r="AY600" t="str">
            <v>NB</v>
          </cell>
        </row>
        <row r="601">
          <cell r="AM601">
            <v>0</v>
          </cell>
          <cell r="AP601" t="e">
            <v>#N/A</v>
          </cell>
          <cell r="AQ601" t="e">
            <v>#N/A</v>
          </cell>
          <cell r="AR601" t="str">
            <v>$</v>
          </cell>
          <cell r="AS601" t="e">
            <v>#N/A</v>
          </cell>
          <cell r="AW601">
            <v>0</v>
          </cell>
          <cell r="AY601" t="str">
            <v>NB</v>
          </cell>
        </row>
        <row r="602">
          <cell r="AM602">
            <v>0</v>
          </cell>
          <cell r="AP602" t="e">
            <v>#N/A</v>
          </cell>
          <cell r="AQ602" t="e">
            <v>#N/A</v>
          </cell>
          <cell r="AR602" t="str">
            <v>$</v>
          </cell>
          <cell r="AS602" t="e">
            <v>#N/A</v>
          </cell>
          <cell r="AW602">
            <v>0</v>
          </cell>
          <cell r="AY602" t="str">
            <v>NB</v>
          </cell>
        </row>
        <row r="603">
          <cell r="AM603">
            <v>0</v>
          </cell>
          <cell r="AP603" t="e">
            <v>#N/A</v>
          </cell>
          <cell r="AQ603" t="e">
            <v>#N/A</v>
          </cell>
          <cell r="AR603" t="str">
            <v>$</v>
          </cell>
          <cell r="AS603" t="e">
            <v>#N/A</v>
          </cell>
          <cell r="AW603">
            <v>0</v>
          </cell>
          <cell r="AY603" t="str">
            <v>NB</v>
          </cell>
        </row>
        <row r="604">
          <cell r="AM604">
            <v>0</v>
          </cell>
          <cell r="AP604" t="str">
            <v>Véhicules neufs</v>
          </cell>
          <cell r="AQ604" t="str">
            <v>Autos détail</v>
          </cell>
          <cell r="AR604" t="str">
            <v>$</v>
          </cell>
          <cell r="AS604" t="str">
            <v>Oui</v>
          </cell>
          <cell r="AW604">
            <v>0</v>
          </cell>
          <cell r="AY604" t="str">
            <v>NB</v>
          </cell>
        </row>
        <row r="605">
          <cell r="AM605">
            <v>0</v>
          </cell>
          <cell r="AP605" t="str">
            <v>Véhicules neufs</v>
          </cell>
          <cell r="AQ605" t="str">
            <v>Autos détail</v>
          </cell>
          <cell r="AR605" t="str">
            <v>$</v>
          </cell>
          <cell r="AS605" t="str">
            <v>Oui</v>
          </cell>
          <cell r="AW605">
            <v>0</v>
          </cell>
          <cell r="AY605" t="str">
            <v>NB</v>
          </cell>
        </row>
        <row r="606">
          <cell r="AM606">
            <v>0</v>
          </cell>
          <cell r="AP606" t="e">
            <v>#N/A</v>
          </cell>
          <cell r="AQ606" t="e">
            <v>#N/A</v>
          </cell>
          <cell r="AR606" t="str">
            <v>$</v>
          </cell>
          <cell r="AS606" t="e">
            <v>#N/A</v>
          </cell>
          <cell r="AW606">
            <v>0</v>
          </cell>
          <cell r="AY606" t="str">
            <v>NB</v>
          </cell>
        </row>
        <row r="607">
          <cell r="AM607">
            <v>0</v>
          </cell>
          <cell r="AP607" t="str">
            <v>Véhicules neufs</v>
          </cell>
          <cell r="AQ607" t="str">
            <v>Autos détail</v>
          </cell>
          <cell r="AR607" t="str">
            <v>$</v>
          </cell>
          <cell r="AS607" t="str">
            <v>Oui</v>
          </cell>
          <cell r="AW607">
            <v>0</v>
          </cell>
          <cell r="AY607" t="str">
            <v>NB</v>
          </cell>
        </row>
        <row r="608">
          <cell r="AM608">
            <v>0</v>
          </cell>
          <cell r="AP608" t="str">
            <v>Véhicules neufs</v>
          </cell>
          <cell r="AQ608" t="str">
            <v>Autos détail</v>
          </cell>
          <cell r="AR608" t="str">
            <v>$</v>
          </cell>
          <cell r="AS608" t="str">
            <v>Oui</v>
          </cell>
          <cell r="AW608">
            <v>0</v>
          </cell>
          <cell r="AY608" t="str">
            <v>NB</v>
          </cell>
        </row>
        <row r="609">
          <cell r="AM609">
            <v>0</v>
          </cell>
          <cell r="AP609" t="e">
            <v>#N/A</v>
          </cell>
          <cell r="AQ609" t="e">
            <v>#N/A</v>
          </cell>
          <cell r="AR609" t="str">
            <v>$</v>
          </cell>
          <cell r="AS609" t="e">
            <v>#N/A</v>
          </cell>
          <cell r="AW609">
            <v>0</v>
          </cell>
          <cell r="AY609" t="str">
            <v>NB</v>
          </cell>
        </row>
        <row r="610">
          <cell r="AM610">
            <v>0</v>
          </cell>
          <cell r="AP610" t="e">
            <v>#N/A</v>
          </cell>
          <cell r="AQ610" t="e">
            <v>#N/A</v>
          </cell>
          <cell r="AR610" t="str">
            <v>$</v>
          </cell>
          <cell r="AS610" t="e">
            <v>#N/A</v>
          </cell>
          <cell r="AW610">
            <v>0</v>
          </cell>
          <cell r="AY610" t="str">
            <v>NB</v>
          </cell>
        </row>
        <row r="611">
          <cell r="AM611">
            <v>-128795.70000000001</v>
          </cell>
          <cell r="AP611" t="str">
            <v>Véhicules neufs</v>
          </cell>
          <cell r="AQ611" t="str">
            <v>Camions electriques</v>
          </cell>
          <cell r="AR611" t="str">
            <v>$</v>
          </cell>
          <cell r="AS611" t="str">
            <v>Oui</v>
          </cell>
          <cell r="AW611">
            <v>3</v>
          </cell>
          <cell r="AY611" t="str">
            <v>NB</v>
          </cell>
        </row>
        <row r="612">
          <cell r="AM612">
            <v>0</v>
          </cell>
          <cell r="AP612" t="e">
            <v>#N/A</v>
          </cell>
          <cell r="AQ612" t="e">
            <v>#N/A</v>
          </cell>
          <cell r="AR612" t="str">
            <v>$</v>
          </cell>
          <cell r="AS612" t="e">
            <v>#N/A</v>
          </cell>
          <cell r="AW612">
            <v>0</v>
          </cell>
          <cell r="AY612" t="str">
            <v>NB</v>
          </cell>
        </row>
        <row r="613">
          <cell r="AM613">
            <v>0</v>
          </cell>
          <cell r="AP613" t="e">
            <v>#N/A</v>
          </cell>
          <cell r="AQ613" t="e">
            <v>#N/A</v>
          </cell>
          <cell r="AR613" t="str">
            <v>$</v>
          </cell>
          <cell r="AS613" t="e">
            <v>#N/A</v>
          </cell>
          <cell r="AW613">
            <v>0</v>
          </cell>
          <cell r="AY613" t="str">
            <v>NB</v>
          </cell>
        </row>
        <row r="614">
          <cell r="AM614">
            <v>0</v>
          </cell>
          <cell r="AP614" t="e">
            <v>#N/A</v>
          </cell>
          <cell r="AQ614" t="e">
            <v>#N/A</v>
          </cell>
          <cell r="AR614" t="str">
            <v>$</v>
          </cell>
          <cell r="AS614" t="e">
            <v>#N/A</v>
          </cell>
          <cell r="AW614">
            <v>0</v>
          </cell>
          <cell r="AY614" t="str">
            <v>NB</v>
          </cell>
        </row>
        <row r="615">
          <cell r="AM615">
            <v>0</v>
          </cell>
          <cell r="AP615" t="str">
            <v>Véhicules neufs</v>
          </cell>
          <cell r="AQ615" t="str">
            <v>Autos détail</v>
          </cell>
          <cell r="AR615" t="str">
            <v>$</v>
          </cell>
          <cell r="AS615" t="str">
            <v>Oui</v>
          </cell>
          <cell r="AW615">
            <v>0</v>
          </cell>
          <cell r="AY615" t="str">
            <v>NB</v>
          </cell>
        </row>
        <row r="616">
          <cell r="AM616">
            <v>0</v>
          </cell>
          <cell r="AP616" t="e">
            <v>#N/A</v>
          </cell>
          <cell r="AQ616" t="e">
            <v>#N/A</v>
          </cell>
          <cell r="AR616" t="str">
            <v>$</v>
          </cell>
          <cell r="AS616" t="e">
            <v>#N/A</v>
          </cell>
          <cell r="AW616">
            <v>0</v>
          </cell>
          <cell r="AY616" t="str">
            <v>NB</v>
          </cell>
        </row>
        <row r="617">
          <cell r="AM617">
            <v>0</v>
          </cell>
          <cell r="AP617" t="str">
            <v>Véhicules neufs</v>
          </cell>
          <cell r="AQ617" t="str">
            <v>Autos détail</v>
          </cell>
          <cell r="AR617" t="str">
            <v>$</v>
          </cell>
          <cell r="AS617" t="str">
            <v>Oui</v>
          </cell>
          <cell r="AW617">
            <v>0</v>
          </cell>
          <cell r="AY617" t="str">
            <v>NB</v>
          </cell>
        </row>
        <row r="618">
          <cell r="AM618">
            <v>0</v>
          </cell>
          <cell r="AP618" t="str">
            <v>Véhicules neufs</v>
          </cell>
          <cell r="AQ618" t="str">
            <v>Autos détail</v>
          </cell>
          <cell r="AR618" t="str">
            <v>$</v>
          </cell>
          <cell r="AS618" t="str">
            <v>Oui</v>
          </cell>
          <cell r="AW618">
            <v>0</v>
          </cell>
          <cell r="AY618" t="str">
            <v>NB</v>
          </cell>
        </row>
        <row r="619">
          <cell r="AM619">
            <v>0</v>
          </cell>
          <cell r="AP619">
            <v>0</v>
          </cell>
          <cell r="AQ619">
            <v>0</v>
          </cell>
          <cell r="AR619" t="str">
            <v>$</v>
          </cell>
          <cell r="AS619">
            <v>0</v>
          </cell>
          <cell r="AW619">
            <v>0</v>
          </cell>
          <cell r="AY619" t="str">
            <v>NB</v>
          </cell>
        </row>
        <row r="620">
          <cell r="AM620">
            <v>0</v>
          </cell>
          <cell r="AP620" t="e">
            <v>#N/A</v>
          </cell>
          <cell r="AQ620" t="e">
            <v>#N/A</v>
          </cell>
          <cell r="AR620" t="str">
            <v>$</v>
          </cell>
          <cell r="AS620" t="e">
            <v>#N/A</v>
          </cell>
          <cell r="AW620">
            <v>0</v>
          </cell>
          <cell r="AY620" t="str">
            <v>NB</v>
          </cell>
        </row>
        <row r="621">
          <cell r="AM621">
            <v>0</v>
          </cell>
          <cell r="AP621" t="e">
            <v>#N/A</v>
          </cell>
          <cell r="AQ621" t="e">
            <v>#N/A</v>
          </cell>
          <cell r="AR621" t="str">
            <v>$</v>
          </cell>
          <cell r="AS621" t="e">
            <v>#N/A</v>
          </cell>
          <cell r="AW621">
            <v>0</v>
          </cell>
          <cell r="AY621" t="str">
            <v>NB</v>
          </cell>
        </row>
        <row r="622">
          <cell r="AM622">
            <v>0</v>
          </cell>
          <cell r="AP622">
            <v>0</v>
          </cell>
          <cell r="AQ622">
            <v>0</v>
          </cell>
          <cell r="AR622" t="str">
            <v>$</v>
          </cell>
          <cell r="AS622">
            <v>0</v>
          </cell>
          <cell r="AW622">
            <v>48</v>
          </cell>
          <cell r="AY622" t="str">
            <v>NB</v>
          </cell>
        </row>
        <row r="623">
          <cell r="AM623">
            <v>0</v>
          </cell>
          <cell r="AP623" t="e">
            <v>#N/A</v>
          </cell>
          <cell r="AQ623" t="e">
            <v>#N/A</v>
          </cell>
          <cell r="AR623" t="str">
            <v>$</v>
          </cell>
          <cell r="AS623" t="e">
            <v>#N/A</v>
          </cell>
          <cell r="AW623">
            <v>0</v>
          </cell>
          <cell r="AY623" t="str">
            <v>NB</v>
          </cell>
        </row>
        <row r="624">
          <cell r="AM624">
            <v>0</v>
          </cell>
          <cell r="AP624" t="e">
            <v>#N/A</v>
          </cell>
          <cell r="AQ624" t="e">
            <v>#N/A</v>
          </cell>
          <cell r="AR624" t="str">
            <v>$</v>
          </cell>
          <cell r="AS624" t="e">
            <v>#N/A</v>
          </cell>
          <cell r="AW624">
            <v>0</v>
          </cell>
          <cell r="AY624" t="str">
            <v>NB</v>
          </cell>
        </row>
        <row r="625">
          <cell r="AM625">
            <v>0</v>
          </cell>
          <cell r="AP625" t="e">
            <v>#N/A</v>
          </cell>
          <cell r="AQ625" t="e">
            <v>#N/A</v>
          </cell>
          <cell r="AR625" t="str">
            <v>$</v>
          </cell>
          <cell r="AS625" t="e">
            <v>#N/A</v>
          </cell>
          <cell r="AW625">
            <v>0</v>
          </cell>
          <cell r="AY625" t="str">
            <v>NB</v>
          </cell>
        </row>
        <row r="626">
          <cell r="AM626">
            <v>0</v>
          </cell>
          <cell r="AP626" t="e">
            <v>#N/A</v>
          </cell>
          <cell r="AQ626" t="e">
            <v>#N/A</v>
          </cell>
          <cell r="AR626" t="str">
            <v>$</v>
          </cell>
          <cell r="AS626" t="e">
            <v>#N/A</v>
          </cell>
          <cell r="AW626">
            <v>0</v>
          </cell>
          <cell r="AY626" t="str">
            <v>NB</v>
          </cell>
        </row>
        <row r="627">
          <cell r="AM627">
            <v>0</v>
          </cell>
          <cell r="AP627" t="e">
            <v>#N/A</v>
          </cell>
          <cell r="AQ627" t="e">
            <v>#N/A</v>
          </cell>
          <cell r="AR627" t="str">
            <v>$</v>
          </cell>
          <cell r="AS627" t="e">
            <v>#N/A</v>
          </cell>
          <cell r="AW627">
            <v>0</v>
          </cell>
          <cell r="AY627" t="str">
            <v>NB</v>
          </cell>
        </row>
        <row r="628">
          <cell r="AM628">
            <v>0</v>
          </cell>
          <cell r="AP628" t="e">
            <v>#N/A</v>
          </cell>
          <cell r="AQ628" t="e">
            <v>#N/A</v>
          </cell>
          <cell r="AR628" t="str">
            <v>$</v>
          </cell>
          <cell r="AS628" t="e">
            <v>#N/A</v>
          </cell>
          <cell r="AW628">
            <v>0</v>
          </cell>
          <cell r="AY628" t="str">
            <v>NB</v>
          </cell>
        </row>
        <row r="629">
          <cell r="AM629">
            <v>-104552.59000000003</v>
          </cell>
          <cell r="AP629" t="str">
            <v>Véhicules neufs</v>
          </cell>
          <cell r="AQ629" t="str">
            <v>Camions détail</v>
          </cell>
          <cell r="AR629" t="str">
            <v>$</v>
          </cell>
          <cell r="AS629" t="str">
            <v>Oui</v>
          </cell>
          <cell r="AW629">
            <v>2</v>
          </cell>
          <cell r="AY629" t="str">
            <v>NB</v>
          </cell>
        </row>
        <row r="630">
          <cell r="AM630">
            <v>-605992.53</v>
          </cell>
          <cell r="AP630" t="str">
            <v>Véhicules neufs</v>
          </cell>
          <cell r="AQ630" t="str">
            <v>Camions electriques</v>
          </cell>
          <cell r="AR630" t="str">
            <v>$</v>
          </cell>
          <cell r="AS630" t="str">
            <v>Oui</v>
          </cell>
          <cell r="AW630">
            <v>14</v>
          </cell>
          <cell r="AY630" t="str">
            <v>NB</v>
          </cell>
        </row>
        <row r="631">
          <cell r="AM631">
            <v>0</v>
          </cell>
          <cell r="AP631" t="e">
            <v>#N/A</v>
          </cell>
          <cell r="AQ631" t="e">
            <v>#N/A</v>
          </cell>
          <cell r="AR631" t="str">
            <v>$</v>
          </cell>
          <cell r="AS631" t="e">
            <v>#N/A</v>
          </cell>
          <cell r="AW631">
            <v>0</v>
          </cell>
          <cell r="AY631" t="str">
            <v>NB</v>
          </cell>
        </row>
        <row r="632">
          <cell r="AM632">
            <v>0</v>
          </cell>
          <cell r="AP632" t="str">
            <v>Véhicules neufs</v>
          </cell>
          <cell r="AQ632" t="str">
            <v>Camions détail</v>
          </cell>
          <cell r="AR632" t="str">
            <v>$</v>
          </cell>
          <cell r="AS632" t="str">
            <v>Oui</v>
          </cell>
          <cell r="AW632">
            <v>0</v>
          </cell>
          <cell r="AY632" t="str">
            <v>NB</v>
          </cell>
        </row>
        <row r="633">
          <cell r="AM633">
            <v>0</v>
          </cell>
          <cell r="AP633" t="str">
            <v>Véhicules neufs</v>
          </cell>
          <cell r="AQ633" t="str">
            <v>Camions electriques</v>
          </cell>
          <cell r="AR633" t="str">
            <v>$</v>
          </cell>
          <cell r="AS633" t="str">
            <v>Oui</v>
          </cell>
          <cell r="AW633">
            <v>0</v>
          </cell>
          <cell r="AY633" t="str">
            <v>NB</v>
          </cell>
        </row>
        <row r="634">
          <cell r="AM634">
            <v>0</v>
          </cell>
          <cell r="AP634" t="e">
            <v>#N/A</v>
          </cell>
          <cell r="AQ634" t="e">
            <v>#N/A</v>
          </cell>
          <cell r="AR634" t="str">
            <v>$</v>
          </cell>
          <cell r="AS634" t="e">
            <v>#N/A</v>
          </cell>
          <cell r="AW634">
            <v>0</v>
          </cell>
          <cell r="AY634" t="str">
            <v>NB</v>
          </cell>
        </row>
        <row r="635">
          <cell r="AM635">
            <v>0</v>
          </cell>
          <cell r="AP635" t="e">
            <v>#N/A</v>
          </cell>
          <cell r="AQ635" t="e">
            <v>#N/A</v>
          </cell>
          <cell r="AR635" t="str">
            <v>$</v>
          </cell>
          <cell r="AS635" t="e">
            <v>#N/A</v>
          </cell>
          <cell r="AW635">
            <v>0</v>
          </cell>
          <cell r="AY635" t="str">
            <v>NB</v>
          </cell>
        </row>
        <row r="636">
          <cell r="AM636">
            <v>-117815.5</v>
          </cell>
          <cell r="AP636" t="str">
            <v>Véhicules neufs</v>
          </cell>
          <cell r="AQ636" t="str">
            <v>Camions détail</v>
          </cell>
          <cell r="AR636" t="str">
            <v>$</v>
          </cell>
          <cell r="AS636" t="str">
            <v>Oui</v>
          </cell>
          <cell r="AW636">
            <v>2</v>
          </cell>
          <cell r="AY636" t="str">
            <v>NB</v>
          </cell>
        </row>
        <row r="637">
          <cell r="AM637">
            <v>-56023</v>
          </cell>
          <cell r="AP637" t="str">
            <v>Véhicules neufs</v>
          </cell>
          <cell r="AQ637" t="str">
            <v>Camions détail</v>
          </cell>
          <cell r="AR637" t="str">
            <v>$</v>
          </cell>
          <cell r="AS637" t="str">
            <v>Oui</v>
          </cell>
          <cell r="AW637">
            <v>1</v>
          </cell>
          <cell r="AY637" t="str">
            <v>NB</v>
          </cell>
        </row>
        <row r="638">
          <cell r="AM638">
            <v>-56997</v>
          </cell>
          <cell r="AP638" t="str">
            <v>Véhicules neufs</v>
          </cell>
          <cell r="AQ638" t="str">
            <v>Camions détail</v>
          </cell>
          <cell r="AR638" t="str">
            <v>$</v>
          </cell>
          <cell r="AS638" t="str">
            <v>Oui</v>
          </cell>
          <cell r="AW638">
            <v>1</v>
          </cell>
          <cell r="AY638" t="str">
            <v>NB</v>
          </cell>
        </row>
        <row r="639">
          <cell r="AM639">
            <v>0</v>
          </cell>
          <cell r="AP639" t="str">
            <v>Véhicules neufs</v>
          </cell>
          <cell r="AQ639" t="str">
            <v>Camions détail</v>
          </cell>
          <cell r="AR639" t="str">
            <v>$</v>
          </cell>
          <cell r="AS639" t="str">
            <v>Oui</v>
          </cell>
          <cell r="AW639">
            <v>0</v>
          </cell>
          <cell r="AY639" t="str">
            <v>NB</v>
          </cell>
        </row>
        <row r="640">
          <cell r="AM640">
            <v>0</v>
          </cell>
          <cell r="AP640" t="e">
            <v>#N/A</v>
          </cell>
          <cell r="AQ640" t="e">
            <v>#N/A</v>
          </cell>
          <cell r="AR640" t="str">
            <v>$</v>
          </cell>
          <cell r="AS640" t="e">
            <v>#N/A</v>
          </cell>
          <cell r="AW640">
            <v>0</v>
          </cell>
          <cell r="AY640" t="str">
            <v>NB</v>
          </cell>
        </row>
        <row r="641">
          <cell r="AM641">
            <v>0</v>
          </cell>
          <cell r="AP641" t="str">
            <v>Véhicules neufs</v>
          </cell>
          <cell r="AQ641" t="str">
            <v>Camions détail</v>
          </cell>
          <cell r="AR641" t="str">
            <v>$</v>
          </cell>
          <cell r="AS641" t="str">
            <v>Oui</v>
          </cell>
          <cell r="AW641">
            <v>0</v>
          </cell>
          <cell r="AY641" t="str">
            <v>NB</v>
          </cell>
        </row>
        <row r="642">
          <cell r="AM642">
            <v>0</v>
          </cell>
          <cell r="AP642" t="str">
            <v>Véhicules neufs</v>
          </cell>
          <cell r="AQ642" t="str">
            <v>Camions détail</v>
          </cell>
          <cell r="AR642" t="str">
            <v>$</v>
          </cell>
          <cell r="AS642" t="str">
            <v>Oui</v>
          </cell>
          <cell r="AW642">
            <v>0</v>
          </cell>
          <cell r="AY642" t="str">
            <v>NB</v>
          </cell>
        </row>
        <row r="643">
          <cell r="AM643">
            <v>-38254</v>
          </cell>
          <cell r="AP643" t="str">
            <v>Véhicules neufs</v>
          </cell>
          <cell r="AQ643" t="str">
            <v>Camions détail</v>
          </cell>
          <cell r="AR643" t="str">
            <v>$</v>
          </cell>
          <cell r="AS643" t="str">
            <v>Oui</v>
          </cell>
          <cell r="AW643">
            <v>1</v>
          </cell>
          <cell r="AY643" t="str">
            <v>NB</v>
          </cell>
        </row>
        <row r="644">
          <cell r="AM644">
            <v>0</v>
          </cell>
          <cell r="AP644" t="e">
            <v>#N/A</v>
          </cell>
          <cell r="AQ644" t="e">
            <v>#N/A</v>
          </cell>
          <cell r="AR644" t="str">
            <v>$</v>
          </cell>
          <cell r="AS644" t="e">
            <v>#N/A</v>
          </cell>
          <cell r="AW644">
            <v>0</v>
          </cell>
          <cell r="AY644" t="str">
            <v>NB</v>
          </cell>
        </row>
        <row r="645">
          <cell r="AM645">
            <v>-88706.5</v>
          </cell>
          <cell r="AP645" t="str">
            <v>Véhicules neufs</v>
          </cell>
          <cell r="AQ645" t="str">
            <v>Camions détail</v>
          </cell>
          <cell r="AR645" t="str">
            <v>$</v>
          </cell>
          <cell r="AS645" t="str">
            <v>Oui</v>
          </cell>
          <cell r="AW645">
            <v>3</v>
          </cell>
          <cell r="AY645" t="str">
            <v>NB</v>
          </cell>
        </row>
        <row r="646">
          <cell r="AM646">
            <v>-98960.739999999991</v>
          </cell>
          <cell r="AP646" t="str">
            <v>Véhicules neufs</v>
          </cell>
          <cell r="AQ646" t="str">
            <v>Camions détail</v>
          </cell>
          <cell r="AR646" t="str">
            <v>$</v>
          </cell>
          <cell r="AS646" t="str">
            <v>Oui</v>
          </cell>
          <cell r="AW646">
            <v>1</v>
          </cell>
          <cell r="AY646" t="str">
            <v>NB</v>
          </cell>
        </row>
        <row r="647">
          <cell r="AM647">
            <v>-142100</v>
          </cell>
          <cell r="AP647" t="str">
            <v>Véhicules neufs</v>
          </cell>
          <cell r="AQ647" t="str">
            <v>Camions détail</v>
          </cell>
          <cell r="AR647" t="str">
            <v>$</v>
          </cell>
          <cell r="AS647" t="str">
            <v>Oui</v>
          </cell>
          <cell r="AW647">
            <v>2</v>
          </cell>
          <cell r="AY647" t="str">
            <v>NB</v>
          </cell>
        </row>
        <row r="648">
          <cell r="AM648">
            <v>0</v>
          </cell>
          <cell r="AP648" t="str">
            <v>Véhicules neufs</v>
          </cell>
          <cell r="AQ648" t="str">
            <v>Camions electriques</v>
          </cell>
          <cell r="AR648" t="str">
            <v>$</v>
          </cell>
          <cell r="AS648" t="str">
            <v>Oui</v>
          </cell>
          <cell r="AW648">
            <v>0</v>
          </cell>
          <cell r="AY648" t="str">
            <v>NB</v>
          </cell>
        </row>
        <row r="649">
          <cell r="AM649">
            <v>-91070.120000000112</v>
          </cell>
          <cell r="AP649" t="str">
            <v>Véhicules neufs</v>
          </cell>
          <cell r="AQ649" t="str">
            <v>Camions détail</v>
          </cell>
          <cell r="AR649" t="str">
            <v>$</v>
          </cell>
          <cell r="AS649" t="str">
            <v>Oui</v>
          </cell>
          <cell r="AW649">
            <v>1</v>
          </cell>
          <cell r="AY649" t="str">
            <v>NB</v>
          </cell>
        </row>
        <row r="650">
          <cell r="AM650">
            <v>0</v>
          </cell>
          <cell r="AP650" t="e">
            <v>#N/A</v>
          </cell>
          <cell r="AQ650" t="e">
            <v>#N/A</v>
          </cell>
          <cell r="AR650" t="str">
            <v>$</v>
          </cell>
          <cell r="AS650" t="e">
            <v>#N/A</v>
          </cell>
          <cell r="AW650">
            <v>0</v>
          </cell>
          <cell r="AY650" t="str">
            <v>NB</v>
          </cell>
        </row>
        <row r="651">
          <cell r="AM651">
            <v>-200921.33999999997</v>
          </cell>
          <cell r="AP651" t="str">
            <v>Véhicules neufs</v>
          </cell>
          <cell r="AQ651" t="str">
            <v>Camions détail</v>
          </cell>
          <cell r="AR651" t="str">
            <v>$</v>
          </cell>
          <cell r="AS651" t="str">
            <v>Oui</v>
          </cell>
          <cell r="AW651">
            <v>2</v>
          </cell>
          <cell r="AY651" t="str">
            <v>NB</v>
          </cell>
        </row>
        <row r="652">
          <cell r="AM652">
            <v>-608264.89000000013</v>
          </cell>
          <cell r="AP652" t="str">
            <v>Véhicules neufs</v>
          </cell>
          <cell r="AQ652" t="str">
            <v>Camions détail</v>
          </cell>
          <cell r="AR652" t="str">
            <v>$</v>
          </cell>
          <cell r="AS652" t="str">
            <v>Oui</v>
          </cell>
          <cell r="AW652">
            <v>8</v>
          </cell>
          <cell r="AY652" t="str">
            <v>NB</v>
          </cell>
        </row>
        <row r="653">
          <cell r="AM653">
            <v>0</v>
          </cell>
          <cell r="AP653" t="str">
            <v>Véhicules neufs</v>
          </cell>
          <cell r="AQ653" t="str">
            <v>Camions electriques</v>
          </cell>
          <cell r="AR653" t="str">
            <v>$</v>
          </cell>
          <cell r="AS653" t="str">
            <v>Oui</v>
          </cell>
          <cell r="AW653">
            <v>0</v>
          </cell>
          <cell r="AY653" t="str">
            <v>NB</v>
          </cell>
        </row>
        <row r="654">
          <cell r="AM654">
            <v>0</v>
          </cell>
          <cell r="AP654" t="e">
            <v>#N/A</v>
          </cell>
          <cell r="AQ654" t="e">
            <v>#N/A</v>
          </cell>
          <cell r="AR654" t="str">
            <v>$</v>
          </cell>
          <cell r="AS654" t="e">
            <v>#N/A</v>
          </cell>
          <cell r="AW654">
            <v>0</v>
          </cell>
          <cell r="AY654" t="str">
            <v>NB</v>
          </cell>
        </row>
        <row r="655">
          <cell r="AM655">
            <v>0</v>
          </cell>
          <cell r="AP655" t="str">
            <v>Véhicules neufs</v>
          </cell>
          <cell r="AQ655" t="str">
            <v>Camions détail</v>
          </cell>
          <cell r="AR655" t="str">
            <v>$</v>
          </cell>
          <cell r="AS655" t="str">
            <v>Oui</v>
          </cell>
          <cell r="AW655">
            <v>0</v>
          </cell>
          <cell r="AY655" t="str">
            <v>NB</v>
          </cell>
        </row>
        <row r="656">
          <cell r="AM656">
            <v>-108139</v>
          </cell>
          <cell r="AP656" t="str">
            <v>Véhicules neufs</v>
          </cell>
          <cell r="AQ656" t="str">
            <v>Camions détail</v>
          </cell>
          <cell r="AR656" t="str">
            <v>$</v>
          </cell>
          <cell r="AS656" t="str">
            <v>Oui</v>
          </cell>
          <cell r="AW656">
            <v>1</v>
          </cell>
          <cell r="AY656" t="str">
            <v>NB</v>
          </cell>
        </row>
        <row r="657">
          <cell r="AM657">
            <v>0</v>
          </cell>
          <cell r="AP657" t="str">
            <v>Véhicules neufs</v>
          </cell>
          <cell r="AQ657" t="str">
            <v>Camions détail</v>
          </cell>
          <cell r="AR657" t="str">
            <v>$</v>
          </cell>
          <cell r="AS657" t="str">
            <v>Oui</v>
          </cell>
          <cell r="AW657">
            <v>0</v>
          </cell>
          <cell r="AY657" t="str">
            <v>NB</v>
          </cell>
        </row>
        <row r="658">
          <cell r="AM658">
            <v>0</v>
          </cell>
          <cell r="AP658" t="str">
            <v>Véhicules neufs</v>
          </cell>
          <cell r="AQ658" t="str">
            <v>Camions détail</v>
          </cell>
          <cell r="AR658" t="str">
            <v>$</v>
          </cell>
          <cell r="AS658" t="str">
            <v>Oui</v>
          </cell>
          <cell r="AW658">
            <v>0</v>
          </cell>
          <cell r="AY658" t="str">
            <v>NB</v>
          </cell>
        </row>
        <row r="659">
          <cell r="AM659">
            <v>0</v>
          </cell>
          <cell r="AP659" t="str">
            <v>Véhicules neufs</v>
          </cell>
          <cell r="AQ659" t="str">
            <v>Camions electriques</v>
          </cell>
          <cell r="AR659" t="str">
            <v>$</v>
          </cell>
          <cell r="AS659" t="str">
            <v>Oui</v>
          </cell>
          <cell r="AW659">
            <v>0</v>
          </cell>
          <cell r="AY659" t="str">
            <v>NB</v>
          </cell>
        </row>
        <row r="660">
          <cell r="AM660">
            <v>0</v>
          </cell>
          <cell r="AP660" t="e">
            <v>#N/A</v>
          </cell>
          <cell r="AQ660" t="e">
            <v>#N/A</v>
          </cell>
          <cell r="AR660" t="str">
            <v>$</v>
          </cell>
          <cell r="AS660" t="e">
            <v>#N/A</v>
          </cell>
          <cell r="AW660">
            <v>0</v>
          </cell>
          <cell r="AY660" t="str">
            <v>NB</v>
          </cell>
        </row>
        <row r="661">
          <cell r="AM661">
            <v>0</v>
          </cell>
          <cell r="AP661" t="str">
            <v>Véhicules neufs</v>
          </cell>
          <cell r="AQ661" t="str">
            <v>Camions détail</v>
          </cell>
          <cell r="AR661" t="str">
            <v>$</v>
          </cell>
          <cell r="AS661" t="str">
            <v>Oui</v>
          </cell>
          <cell r="AW661">
            <v>0</v>
          </cell>
          <cell r="AY661" t="str">
            <v>NB</v>
          </cell>
        </row>
        <row r="662">
          <cell r="AM662">
            <v>-482466.65999999992</v>
          </cell>
          <cell r="AP662" t="str">
            <v>Véhicules neufs</v>
          </cell>
          <cell r="AQ662" t="str">
            <v>Camions electriques</v>
          </cell>
          <cell r="AR662" t="str">
            <v>$</v>
          </cell>
          <cell r="AS662" t="str">
            <v>Oui</v>
          </cell>
          <cell r="AW662">
            <v>10</v>
          </cell>
          <cell r="AY662" t="str">
            <v>NB</v>
          </cell>
        </row>
        <row r="663">
          <cell r="AM663">
            <v>0</v>
          </cell>
          <cell r="AP663" t="e">
            <v>#N/A</v>
          </cell>
          <cell r="AQ663" t="e">
            <v>#N/A</v>
          </cell>
          <cell r="AR663" t="str">
            <v>$</v>
          </cell>
          <cell r="AS663" t="e">
            <v>#N/A</v>
          </cell>
          <cell r="AW663">
            <v>0</v>
          </cell>
          <cell r="AY663" t="str">
            <v>NB</v>
          </cell>
        </row>
        <row r="664">
          <cell r="AM664">
            <v>0</v>
          </cell>
          <cell r="AP664" t="str">
            <v>Véhicules neufs</v>
          </cell>
          <cell r="AQ664" t="str">
            <v>Camions détail</v>
          </cell>
          <cell r="AR664" t="str">
            <v>$</v>
          </cell>
          <cell r="AS664" t="str">
            <v>Oui</v>
          </cell>
          <cell r="AW664">
            <v>0</v>
          </cell>
          <cell r="AY664" t="str">
            <v>NB</v>
          </cell>
        </row>
        <row r="665">
          <cell r="AM665">
            <v>0</v>
          </cell>
          <cell r="AP665" t="str">
            <v>Véhicules neufs</v>
          </cell>
          <cell r="AQ665" t="str">
            <v>Camions electriques</v>
          </cell>
          <cell r="AR665" t="str">
            <v>$</v>
          </cell>
          <cell r="AS665" t="str">
            <v>Oui</v>
          </cell>
          <cell r="AW665">
            <v>0</v>
          </cell>
          <cell r="AY665" t="str">
            <v>NB</v>
          </cell>
        </row>
        <row r="666">
          <cell r="AM666">
            <v>0</v>
          </cell>
          <cell r="AP666" t="e">
            <v>#N/A</v>
          </cell>
          <cell r="AQ666" t="e">
            <v>#N/A</v>
          </cell>
          <cell r="AR666" t="str">
            <v>$</v>
          </cell>
          <cell r="AS666" t="e">
            <v>#N/A</v>
          </cell>
          <cell r="AW666">
            <v>0</v>
          </cell>
          <cell r="AY666" t="str">
            <v>NB</v>
          </cell>
        </row>
        <row r="667">
          <cell r="AM667">
            <v>-34320</v>
          </cell>
          <cell r="AP667" t="str">
            <v>Véhicules neufs</v>
          </cell>
          <cell r="AQ667" t="str">
            <v>Camions détail</v>
          </cell>
          <cell r="AR667" t="str">
            <v>$</v>
          </cell>
          <cell r="AS667" t="str">
            <v>Oui</v>
          </cell>
          <cell r="AW667">
            <v>1</v>
          </cell>
          <cell r="AY667" t="str">
            <v>NB</v>
          </cell>
        </row>
        <row r="668">
          <cell r="AM668">
            <v>0</v>
          </cell>
          <cell r="AP668" t="str">
            <v>Véhicules neufs</v>
          </cell>
          <cell r="AQ668" t="str">
            <v>Camions détail</v>
          </cell>
          <cell r="AR668" t="str">
            <v>$</v>
          </cell>
          <cell r="AS668" t="str">
            <v>Oui</v>
          </cell>
          <cell r="AW668">
            <v>0</v>
          </cell>
          <cell r="AY668" t="str">
            <v>NB</v>
          </cell>
        </row>
        <row r="669">
          <cell r="AM669">
            <v>0</v>
          </cell>
          <cell r="AP669" t="e">
            <v>#N/A</v>
          </cell>
          <cell r="AQ669" t="e">
            <v>#N/A</v>
          </cell>
          <cell r="AR669" t="str">
            <v>$</v>
          </cell>
          <cell r="AS669" t="e">
            <v>#N/A</v>
          </cell>
          <cell r="AW669">
            <v>0</v>
          </cell>
          <cell r="AY669" t="str">
            <v>NB</v>
          </cell>
        </row>
        <row r="670">
          <cell r="AM670">
            <v>0</v>
          </cell>
          <cell r="AP670" t="e">
            <v>#N/A</v>
          </cell>
          <cell r="AQ670" t="e">
            <v>#N/A</v>
          </cell>
          <cell r="AR670" t="str">
            <v>$</v>
          </cell>
          <cell r="AS670" t="e">
            <v>#N/A</v>
          </cell>
          <cell r="AW670">
            <v>0</v>
          </cell>
          <cell r="AY670" t="str">
            <v>NB</v>
          </cell>
        </row>
        <row r="671">
          <cell r="AM671">
            <v>-2523197.0199999958</v>
          </cell>
          <cell r="AP671" t="str">
            <v>Véhicules neufs</v>
          </cell>
          <cell r="AQ671" t="str">
            <v>Flottes</v>
          </cell>
          <cell r="AR671" t="str">
            <v>$</v>
          </cell>
          <cell r="AS671" t="str">
            <v>Oui</v>
          </cell>
          <cell r="AW671">
            <v>34</v>
          </cell>
          <cell r="AY671" t="str">
            <v>NB</v>
          </cell>
        </row>
        <row r="672">
          <cell r="AM672">
            <v>0</v>
          </cell>
          <cell r="AP672" t="str">
            <v>Véhicules neufs</v>
          </cell>
          <cell r="AQ672" t="str">
            <v>Flottes</v>
          </cell>
          <cell r="AR672" t="str">
            <v>$</v>
          </cell>
          <cell r="AS672" t="str">
            <v>Oui</v>
          </cell>
          <cell r="AW672">
            <v>0</v>
          </cell>
          <cell r="AY672" t="str">
            <v>NB</v>
          </cell>
        </row>
        <row r="673">
          <cell r="AM673">
            <v>-56466.799999999988</v>
          </cell>
          <cell r="AP673" t="str">
            <v>Véhicules neufs</v>
          </cell>
          <cell r="AQ673" t="str">
            <v>Rev. Protections</v>
          </cell>
          <cell r="AR673" t="str">
            <v>$</v>
          </cell>
          <cell r="AS673" t="str">
            <v>Oui</v>
          </cell>
          <cell r="AW673">
            <v>21</v>
          </cell>
          <cell r="AY673" t="str">
            <v>NB</v>
          </cell>
        </row>
        <row r="674">
          <cell r="AM674">
            <v>0</v>
          </cell>
          <cell r="AP674" t="str">
            <v>Véhicules neufs</v>
          </cell>
          <cell r="AQ674" t="str">
            <v>Rev. Protections</v>
          </cell>
          <cell r="AR674" t="str">
            <v>$</v>
          </cell>
          <cell r="AS674" t="str">
            <v>Oui</v>
          </cell>
          <cell r="AW674">
            <v>0</v>
          </cell>
          <cell r="AY674" t="str">
            <v>NB</v>
          </cell>
        </row>
        <row r="675">
          <cell r="AM675">
            <v>0</v>
          </cell>
          <cell r="AP675" t="str">
            <v>Véhicules neufs</v>
          </cell>
          <cell r="AQ675" t="str">
            <v>Rev. Autres</v>
          </cell>
          <cell r="AR675" t="str">
            <v>$</v>
          </cell>
          <cell r="AS675" t="str">
            <v>Oui</v>
          </cell>
          <cell r="AW675">
            <v>0</v>
          </cell>
          <cell r="AY675" t="str">
            <v>NB</v>
          </cell>
        </row>
        <row r="676">
          <cell r="AM676">
            <v>-2718</v>
          </cell>
          <cell r="AP676" t="str">
            <v>Véhicules neufs</v>
          </cell>
          <cell r="AQ676" t="str">
            <v>Rev. Autres</v>
          </cell>
          <cell r="AR676" t="str">
            <v>$</v>
          </cell>
          <cell r="AS676" t="str">
            <v>Oui</v>
          </cell>
          <cell r="AW676">
            <v>4</v>
          </cell>
          <cell r="AY676" t="str">
            <v>NB</v>
          </cell>
        </row>
        <row r="677">
          <cell r="AM677">
            <v>0</v>
          </cell>
          <cell r="AP677" t="str">
            <v>Véhicules neufs</v>
          </cell>
          <cell r="AQ677" t="str">
            <v>Rev. Protections</v>
          </cell>
          <cell r="AR677" t="str">
            <v>$</v>
          </cell>
          <cell r="AS677" t="str">
            <v>Oui</v>
          </cell>
          <cell r="AW677">
            <v>0</v>
          </cell>
          <cell r="AY677" t="str">
            <v>NB</v>
          </cell>
        </row>
        <row r="678">
          <cell r="AM678">
            <v>-3992</v>
          </cell>
          <cell r="AP678" t="str">
            <v>Véhicules neufs</v>
          </cell>
          <cell r="AQ678" t="str">
            <v>Rev. Autres</v>
          </cell>
          <cell r="AR678" t="str">
            <v>$</v>
          </cell>
          <cell r="AS678" t="str">
            <v>Oui</v>
          </cell>
          <cell r="AW678">
            <v>8</v>
          </cell>
          <cell r="AY678" t="str">
            <v>NB</v>
          </cell>
        </row>
        <row r="679">
          <cell r="AM679">
            <v>0</v>
          </cell>
          <cell r="AP679" t="str">
            <v>Véhicules usagés</v>
          </cell>
          <cell r="AQ679" t="str">
            <v>Certifié</v>
          </cell>
          <cell r="AR679" t="str">
            <v>$</v>
          </cell>
          <cell r="AS679" t="str">
            <v>Oui</v>
          </cell>
          <cell r="AW679">
            <v>0</v>
          </cell>
          <cell r="AY679" t="str">
            <v>NB</v>
          </cell>
        </row>
        <row r="680">
          <cell r="AM680">
            <v>-13847</v>
          </cell>
          <cell r="AP680" t="str">
            <v>Véhicules usagés</v>
          </cell>
          <cell r="AQ680" t="str">
            <v>Non Certifié</v>
          </cell>
          <cell r="AR680" t="str">
            <v>$</v>
          </cell>
          <cell r="AS680" t="str">
            <v>Oui</v>
          </cell>
          <cell r="AW680">
            <v>1</v>
          </cell>
          <cell r="AY680" t="str">
            <v>NB</v>
          </cell>
        </row>
        <row r="681">
          <cell r="AM681">
            <v>0</v>
          </cell>
          <cell r="AP681" t="str">
            <v>Véhicules usagés</v>
          </cell>
          <cell r="AQ681" t="str">
            <v>Autres Marques</v>
          </cell>
          <cell r="AR681" t="str">
            <v>$</v>
          </cell>
          <cell r="AS681">
            <v>0</v>
          </cell>
          <cell r="AW681">
            <v>0</v>
          </cell>
          <cell r="AY681" t="str">
            <v>NB</v>
          </cell>
        </row>
        <row r="682">
          <cell r="AM682">
            <v>0</v>
          </cell>
          <cell r="AP682">
            <v>0</v>
          </cell>
          <cell r="AQ682">
            <v>0</v>
          </cell>
          <cell r="AR682" t="str">
            <v>$</v>
          </cell>
          <cell r="AS682">
            <v>0</v>
          </cell>
          <cell r="AW682">
            <v>0</v>
          </cell>
          <cell r="AY682" t="str">
            <v>NB</v>
          </cell>
        </row>
        <row r="683">
          <cell r="AM683">
            <v>0</v>
          </cell>
          <cell r="AP683" t="e">
            <v>#N/A</v>
          </cell>
          <cell r="AQ683" t="e">
            <v>#N/A</v>
          </cell>
          <cell r="AR683" t="str">
            <v>$</v>
          </cell>
          <cell r="AS683" t="e">
            <v>#N/A</v>
          </cell>
          <cell r="AW683">
            <v>0</v>
          </cell>
          <cell r="AY683" t="str">
            <v>NB</v>
          </cell>
        </row>
        <row r="684">
          <cell r="AM684">
            <v>0</v>
          </cell>
          <cell r="AP684">
            <v>0</v>
          </cell>
          <cell r="AQ684">
            <v>0</v>
          </cell>
          <cell r="AR684" t="str">
            <v>$</v>
          </cell>
          <cell r="AS684">
            <v>0</v>
          </cell>
          <cell r="AW684">
            <v>0</v>
          </cell>
          <cell r="AY684" t="str">
            <v>NB</v>
          </cell>
        </row>
        <row r="685">
          <cell r="AM685">
            <v>0</v>
          </cell>
          <cell r="AP685">
            <v>0</v>
          </cell>
          <cell r="AQ685">
            <v>0</v>
          </cell>
          <cell r="AR685" t="str">
            <v>$</v>
          </cell>
          <cell r="AS685">
            <v>0</v>
          </cell>
          <cell r="AW685">
            <v>0</v>
          </cell>
          <cell r="AY685" t="str">
            <v>NB</v>
          </cell>
        </row>
        <row r="686">
          <cell r="AM686">
            <v>0</v>
          </cell>
          <cell r="AP686">
            <v>0</v>
          </cell>
          <cell r="AQ686">
            <v>0</v>
          </cell>
          <cell r="AR686" t="str">
            <v>$</v>
          </cell>
          <cell r="AS686">
            <v>0</v>
          </cell>
          <cell r="AW686">
            <v>0</v>
          </cell>
          <cell r="AY686" t="str">
            <v>NB</v>
          </cell>
        </row>
        <row r="687">
          <cell r="AM687">
            <v>-94051</v>
          </cell>
          <cell r="AP687" t="str">
            <v>Véhicules usagés</v>
          </cell>
          <cell r="AQ687" t="str">
            <v>Ventes au Gros</v>
          </cell>
          <cell r="AR687" t="str">
            <v>$</v>
          </cell>
          <cell r="AS687" t="str">
            <v>Oui</v>
          </cell>
          <cell r="AW687">
            <v>8</v>
          </cell>
          <cell r="AY687" t="str">
            <v>NB</v>
          </cell>
        </row>
        <row r="688">
          <cell r="AM688">
            <v>0</v>
          </cell>
          <cell r="AP688">
            <v>0</v>
          </cell>
          <cell r="AQ688">
            <v>0</v>
          </cell>
          <cell r="AR688" t="str">
            <v>$</v>
          </cell>
          <cell r="AS688">
            <v>0</v>
          </cell>
          <cell r="AW688">
            <v>0</v>
          </cell>
          <cell r="AY688" t="str">
            <v>NB</v>
          </cell>
        </row>
        <row r="689">
          <cell r="AM689">
            <v>0</v>
          </cell>
          <cell r="AP689" t="str">
            <v>Véhicules usagés</v>
          </cell>
          <cell r="AQ689" t="str">
            <v>Ventes au Gros</v>
          </cell>
          <cell r="AR689" t="str">
            <v>$</v>
          </cell>
          <cell r="AS689" t="str">
            <v>Oui</v>
          </cell>
          <cell r="AW689">
            <v>0</v>
          </cell>
          <cell r="AY689" t="str">
            <v>NB</v>
          </cell>
        </row>
        <row r="690">
          <cell r="AM690">
            <v>-790285.21</v>
          </cell>
          <cell r="AP690" t="str">
            <v>Véhicules usagés</v>
          </cell>
          <cell r="AQ690" t="str">
            <v>Non Certifié</v>
          </cell>
          <cell r="AR690" t="str">
            <v>$</v>
          </cell>
          <cell r="AS690" t="str">
            <v>Oui</v>
          </cell>
          <cell r="AW690">
            <v>23</v>
          </cell>
          <cell r="AY690" t="str">
            <v>NB</v>
          </cell>
        </row>
        <row r="691">
          <cell r="AM691">
            <v>0</v>
          </cell>
          <cell r="AP691" t="str">
            <v>Véhicules usagés</v>
          </cell>
          <cell r="AQ691" t="str">
            <v>Autres Marques</v>
          </cell>
          <cell r="AR691" t="str">
            <v>$</v>
          </cell>
          <cell r="AS691">
            <v>0</v>
          </cell>
          <cell r="AW691">
            <v>0</v>
          </cell>
          <cell r="AY691" t="str">
            <v>NB</v>
          </cell>
        </row>
        <row r="692">
          <cell r="AM692">
            <v>-173124.11</v>
          </cell>
          <cell r="AP692" t="str">
            <v>Véhicules usagés</v>
          </cell>
          <cell r="AQ692" t="str">
            <v>Rachat bail</v>
          </cell>
          <cell r="AR692" t="str">
            <v>$</v>
          </cell>
          <cell r="AS692" t="str">
            <v>OUI</v>
          </cell>
          <cell r="AW692">
            <v>5</v>
          </cell>
          <cell r="AY692" t="str">
            <v>NB</v>
          </cell>
        </row>
        <row r="693">
          <cell r="AM693">
            <v>0</v>
          </cell>
          <cell r="AP693" t="e">
            <v>#N/A</v>
          </cell>
          <cell r="AQ693" t="e">
            <v>#N/A</v>
          </cell>
          <cell r="AR693" t="str">
            <v>$</v>
          </cell>
          <cell r="AS693" t="e">
            <v>#N/A</v>
          </cell>
          <cell r="AW693">
            <v>0</v>
          </cell>
          <cell r="AY693" t="str">
            <v>NB</v>
          </cell>
        </row>
        <row r="694">
          <cell r="AM694">
            <v>0</v>
          </cell>
          <cell r="AP694">
            <v>0</v>
          </cell>
          <cell r="AQ694">
            <v>0</v>
          </cell>
          <cell r="AR694" t="str">
            <v>$</v>
          </cell>
          <cell r="AS694">
            <v>0</v>
          </cell>
          <cell r="AW694">
            <v>0</v>
          </cell>
          <cell r="AY694" t="str">
            <v>NB</v>
          </cell>
        </row>
        <row r="695">
          <cell r="AM695">
            <v>0</v>
          </cell>
          <cell r="AP695">
            <v>0</v>
          </cell>
          <cell r="AQ695">
            <v>0</v>
          </cell>
          <cell r="AR695" t="str">
            <v>$</v>
          </cell>
          <cell r="AS695">
            <v>0</v>
          </cell>
          <cell r="AW695">
            <v>0</v>
          </cell>
          <cell r="AY695" t="str">
            <v>NB</v>
          </cell>
        </row>
        <row r="696">
          <cell r="AM696">
            <v>0</v>
          </cell>
          <cell r="AP696">
            <v>0</v>
          </cell>
          <cell r="AQ696">
            <v>0</v>
          </cell>
          <cell r="AR696" t="str">
            <v>$</v>
          </cell>
          <cell r="AS696">
            <v>0</v>
          </cell>
          <cell r="AW696">
            <v>0</v>
          </cell>
          <cell r="AY696" t="str">
            <v>NB</v>
          </cell>
        </row>
        <row r="697">
          <cell r="AM697">
            <v>-926292.32999999914</v>
          </cell>
          <cell r="AP697" t="str">
            <v>Véhicules usagés</v>
          </cell>
          <cell r="AQ697" t="str">
            <v>Ventes au Gros</v>
          </cell>
          <cell r="AR697" t="str">
            <v>$</v>
          </cell>
          <cell r="AS697" t="str">
            <v>Oui</v>
          </cell>
          <cell r="AW697">
            <v>27</v>
          </cell>
          <cell r="AY697" t="str">
            <v>NB</v>
          </cell>
        </row>
        <row r="698">
          <cell r="AM698">
            <v>-1151000</v>
          </cell>
          <cell r="AP698" t="str">
            <v>Wholesale autres</v>
          </cell>
          <cell r="AQ698" t="str">
            <v>Wholesale Luxueux</v>
          </cell>
          <cell r="AR698" t="str">
            <v>$</v>
          </cell>
          <cell r="AS698" t="str">
            <v>Oui</v>
          </cell>
          <cell r="AW698">
            <v>8</v>
          </cell>
          <cell r="AY698" t="str">
            <v>NB</v>
          </cell>
        </row>
        <row r="699">
          <cell r="AM699">
            <v>0</v>
          </cell>
          <cell r="AP699" t="str">
            <v>Wholesale autres</v>
          </cell>
          <cell r="AQ699" t="str">
            <v>Wholesale Luxueux</v>
          </cell>
          <cell r="AR699" t="str">
            <v>$</v>
          </cell>
          <cell r="AS699" t="str">
            <v>Oui</v>
          </cell>
          <cell r="AW699">
            <v>0</v>
          </cell>
          <cell r="AY699" t="str">
            <v>NB</v>
          </cell>
        </row>
        <row r="700">
          <cell r="AM700">
            <v>0</v>
          </cell>
          <cell r="AP700">
            <v>0</v>
          </cell>
          <cell r="AQ700">
            <v>0</v>
          </cell>
          <cell r="AR700" t="str">
            <v>$</v>
          </cell>
          <cell r="AS700">
            <v>0</v>
          </cell>
          <cell r="AW700">
            <v>0</v>
          </cell>
          <cell r="AY700" t="str">
            <v>NB</v>
          </cell>
        </row>
        <row r="701">
          <cell r="AM701">
            <v>-17896</v>
          </cell>
          <cell r="AP701" t="str">
            <v>Véhicules usagés</v>
          </cell>
          <cell r="AQ701" t="str">
            <v>Rev. Protections</v>
          </cell>
          <cell r="AR701" t="str">
            <v>$</v>
          </cell>
          <cell r="AS701" t="str">
            <v>Oui</v>
          </cell>
          <cell r="AW701">
            <v>5</v>
          </cell>
          <cell r="AY701" t="str">
            <v>NB</v>
          </cell>
        </row>
        <row r="702">
          <cell r="AM702">
            <v>0</v>
          </cell>
          <cell r="AP702" t="str">
            <v>Véhicules usagés</v>
          </cell>
          <cell r="AQ702" t="str">
            <v>Rev. Protections</v>
          </cell>
          <cell r="AR702" t="str">
            <v>$</v>
          </cell>
          <cell r="AS702" t="str">
            <v>Oui</v>
          </cell>
          <cell r="AW702">
            <v>0</v>
          </cell>
          <cell r="AY702" t="str">
            <v>NB</v>
          </cell>
        </row>
        <row r="703">
          <cell r="AM703">
            <v>0</v>
          </cell>
          <cell r="AP703" t="e">
            <v>#N/A</v>
          </cell>
          <cell r="AQ703" t="e">
            <v>#N/A</v>
          </cell>
          <cell r="AR703" t="str">
            <v>$</v>
          </cell>
          <cell r="AS703" t="e">
            <v>#N/A</v>
          </cell>
          <cell r="AW703">
            <v>0</v>
          </cell>
          <cell r="AY703" t="str">
            <v>NB</v>
          </cell>
        </row>
        <row r="704">
          <cell r="AM704">
            <v>0</v>
          </cell>
          <cell r="AP704" t="str">
            <v>Véhicules usagés</v>
          </cell>
          <cell r="AQ704" t="str">
            <v>Rev. Protections</v>
          </cell>
          <cell r="AR704" t="str">
            <v>$</v>
          </cell>
          <cell r="AS704" t="str">
            <v>Oui</v>
          </cell>
          <cell r="AW704">
            <v>0</v>
          </cell>
          <cell r="AY704" t="str">
            <v>NB</v>
          </cell>
        </row>
        <row r="705">
          <cell r="AM705">
            <v>0</v>
          </cell>
          <cell r="AP705" t="str">
            <v>Véhicules usagés</v>
          </cell>
          <cell r="AQ705" t="str">
            <v>Rev. Protections</v>
          </cell>
          <cell r="AR705" t="str">
            <v>$</v>
          </cell>
          <cell r="AS705" t="str">
            <v>Oui</v>
          </cell>
          <cell r="AW705">
            <v>0</v>
          </cell>
          <cell r="AY705" t="str">
            <v>NB</v>
          </cell>
        </row>
        <row r="706">
          <cell r="AM706">
            <v>-7654</v>
          </cell>
          <cell r="AP706" t="str">
            <v>Véhicules usagés</v>
          </cell>
          <cell r="AQ706" t="str">
            <v>Rev. Protections</v>
          </cell>
          <cell r="AR706" t="str">
            <v>$</v>
          </cell>
          <cell r="AS706" t="str">
            <v>Oui</v>
          </cell>
          <cell r="AW706">
            <v>2</v>
          </cell>
          <cell r="AY706" t="str">
            <v>NB</v>
          </cell>
        </row>
        <row r="707">
          <cell r="AM707">
            <v>0</v>
          </cell>
          <cell r="AP707" t="str">
            <v>Wholesale autres</v>
          </cell>
          <cell r="AQ707" t="str">
            <v>Wholesale USA</v>
          </cell>
          <cell r="AR707" t="str">
            <v>$</v>
          </cell>
          <cell r="AS707" t="str">
            <v>Oui</v>
          </cell>
          <cell r="AW707">
            <v>0</v>
          </cell>
          <cell r="AY707" t="str">
            <v>NB</v>
          </cell>
        </row>
        <row r="708">
          <cell r="AM708">
            <v>0</v>
          </cell>
          <cell r="AP708" t="str">
            <v>Wholesale autres</v>
          </cell>
          <cell r="AQ708" t="str">
            <v>Wholesale USA</v>
          </cell>
          <cell r="AR708" t="str">
            <v>$</v>
          </cell>
          <cell r="AS708" t="str">
            <v>Oui</v>
          </cell>
          <cell r="AW708">
            <v>0</v>
          </cell>
          <cell r="AY708" t="str">
            <v>NB</v>
          </cell>
        </row>
        <row r="709">
          <cell r="AM709">
            <v>-3544613.6899999976</v>
          </cell>
          <cell r="AP709" t="str">
            <v>Wholesale autres</v>
          </cell>
          <cell r="AQ709" t="str">
            <v>Wholesale USA</v>
          </cell>
          <cell r="AR709" t="str">
            <v>$</v>
          </cell>
          <cell r="AS709" t="str">
            <v>Oui</v>
          </cell>
          <cell r="AW709">
            <v>77</v>
          </cell>
          <cell r="AY709" t="str">
            <v>NB</v>
          </cell>
        </row>
        <row r="710">
          <cell r="AM710">
            <v>-1804486.4900000002</v>
          </cell>
          <cell r="AP710">
            <v>0</v>
          </cell>
          <cell r="AQ710">
            <v>0</v>
          </cell>
          <cell r="AR710" t="str">
            <v>$</v>
          </cell>
          <cell r="AS710">
            <v>0</v>
          </cell>
          <cell r="AW710">
            <v>31</v>
          </cell>
          <cell r="AY710" t="str">
            <v>NB</v>
          </cell>
        </row>
        <row r="711">
          <cell r="AM711">
            <v>-922194</v>
          </cell>
          <cell r="AP711" t="str">
            <v>Wholesale autres</v>
          </cell>
          <cell r="AQ711" t="str">
            <v>Wholesale Canada</v>
          </cell>
          <cell r="AR711" t="str">
            <v>$</v>
          </cell>
          <cell r="AS711" t="str">
            <v>Oui</v>
          </cell>
          <cell r="AW711">
            <v>27</v>
          </cell>
          <cell r="AY711" t="str">
            <v>NB</v>
          </cell>
        </row>
        <row r="712">
          <cell r="AM712">
            <v>-42456.549999999988</v>
          </cell>
          <cell r="AP712" t="str">
            <v>Service</v>
          </cell>
          <cell r="AQ712" t="str">
            <v>M/O Client</v>
          </cell>
          <cell r="AR712" t="str">
            <v>$</v>
          </cell>
          <cell r="AS712" t="str">
            <v>Oui</v>
          </cell>
          <cell r="AW712">
            <v>196</v>
          </cell>
          <cell r="AY712" t="str">
            <v>NB</v>
          </cell>
        </row>
        <row r="713">
          <cell r="AM713">
            <v>0</v>
          </cell>
          <cell r="AP713" t="e">
            <v>#N/A</v>
          </cell>
          <cell r="AQ713" t="e">
            <v>#N/A</v>
          </cell>
          <cell r="AR713" t="str">
            <v>$</v>
          </cell>
          <cell r="AS713" t="e">
            <v>#N/A</v>
          </cell>
          <cell r="AW713">
            <v>0</v>
          </cell>
          <cell r="AY713" t="str">
            <v>NB</v>
          </cell>
        </row>
        <row r="714">
          <cell r="AM714">
            <v>0</v>
          </cell>
          <cell r="AP714" t="e">
            <v>#N/A</v>
          </cell>
          <cell r="AQ714" t="e">
            <v>#N/A</v>
          </cell>
          <cell r="AR714" t="str">
            <v>$</v>
          </cell>
          <cell r="AS714" t="e">
            <v>#N/A</v>
          </cell>
          <cell r="AW714">
            <v>0</v>
          </cell>
          <cell r="AY714" t="str">
            <v>NB</v>
          </cell>
        </row>
        <row r="715">
          <cell r="AM715">
            <v>0</v>
          </cell>
          <cell r="AP715" t="e">
            <v>#N/A</v>
          </cell>
          <cell r="AQ715" t="e">
            <v>#N/A</v>
          </cell>
          <cell r="AR715" t="str">
            <v>$</v>
          </cell>
          <cell r="AS715" t="e">
            <v>#N/A</v>
          </cell>
          <cell r="AW715">
            <v>0</v>
          </cell>
          <cell r="AY715" t="str">
            <v>NB</v>
          </cell>
        </row>
        <row r="716">
          <cell r="AM716">
            <v>-1272.8899999999994</v>
          </cell>
          <cell r="AP716" t="str">
            <v>Service</v>
          </cell>
          <cell r="AQ716" t="str">
            <v>M/O Client</v>
          </cell>
          <cell r="AR716" t="str">
            <v>$</v>
          </cell>
          <cell r="AS716" t="str">
            <v>Oui</v>
          </cell>
          <cell r="AW716">
            <v>11</v>
          </cell>
          <cell r="AY716" t="str">
            <v>NB</v>
          </cell>
        </row>
        <row r="717">
          <cell r="AM717">
            <v>0</v>
          </cell>
          <cell r="AP717" t="e">
            <v>#N/A</v>
          </cell>
          <cell r="AQ717" t="e">
            <v>#N/A</v>
          </cell>
          <cell r="AR717" t="str">
            <v>$</v>
          </cell>
          <cell r="AS717" t="e">
            <v>#N/A</v>
          </cell>
          <cell r="AW717">
            <v>0</v>
          </cell>
          <cell r="AY717" t="str">
            <v>NB</v>
          </cell>
        </row>
        <row r="718">
          <cell r="AM718">
            <v>-17125</v>
          </cell>
          <cell r="AP718" t="str">
            <v>SAAQ</v>
          </cell>
          <cell r="AQ718" t="str">
            <v>Inspection - Véhicules Légers</v>
          </cell>
          <cell r="AR718" t="str">
            <v>$</v>
          </cell>
          <cell r="AS718" t="str">
            <v>Oui</v>
          </cell>
          <cell r="AW718">
            <v>139</v>
          </cell>
          <cell r="AY718" t="str">
            <v>NB</v>
          </cell>
        </row>
        <row r="719">
          <cell r="AM719">
            <v>0</v>
          </cell>
          <cell r="AP719" t="e">
            <v>#N/A</v>
          </cell>
          <cell r="AQ719" t="e">
            <v>#N/A</v>
          </cell>
          <cell r="AR719" t="str">
            <v>$</v>
          </cell>
          <cell r="AS719" t="e">
            <v>#N/A</v>
          </cell>
          <cell r="AW719">
            <v>0</v>
          </cell>
          <cell r="AY719" t="str">
            <v>NB</v>
          </cell>
        </row>
        <row r="720">
          <cell r="AM720">
            <v>0</v>
          </cell>
          <cell r="AP720" t="str">
            <v>SAAQ</v>
          </cell>
          <cell r="AQ720" t="str">
            <v>Inspection - Véhicules Interne</v>
          </cell>
          <cell r="AR720" t="str">
            <v>$</v>
          </cell>
          <cell r="AS720" t="str">
            <v>Oui</v>
          </cell>
          <cell r="AW720">
            <v>0</v>
          </cell>
          <cell r="AY720" t="str">
            <v>NB</v>
          </cell>
        </row>
        <row r="721">
          <cell r="AM721">
            <v>-53877.5</v>
          </cell>
          <cell r="AP721" t="str">
            <v>SAAQ</v>
          </cell>
          <cell r="AQ721" t="str">
            <v>Inspection - Véhicules Lourds</v>
          </cell>
          <cell r="AR721" t="str">
            <v>$</v>
          </cell>
          <cell r="AS721" t="str">
            <v>Oui</v>
          </cell>
          <cell r="AW721">
            <v>332</v>
          </cell>
          <cell r="AY721" t="str">
            <v>NB</v>
          </cell>
        </row>
        <row r="722">
          <cell r="AM722">
            <v>0</v>
          </cell>
          <cell r="AP722" t="e">
            <v>#N/A</v>
          </cell>
          <cell r="AQ722" t="e">
            <v>#N/A</v>
          </cell>
          <cell r="AR722" t="str">
            <v>$</v>
          </cell>
          <cell r="AS722" t="e">
            <v>#N/A</v>
          </cell>
          <cell r="AW722">
            <v>0</v>
          </cell>
          <cell r="AY722" t="str">
            <v>NB</v>
          </cell>
        </row>
        <row r="723">
          <cell r="AM723">
            <v>-58148.549999999988</v>
          </cell>
          <cell r="AP723" t="str">
            <v>Service</v>
          </cell>
          <cell r="AQ723" t="str">
            <v>M/O Garantie</v>
          </cell>
          <cell r="AR723" t="str">
            <v>$</v>
          </cell>
          <cell r="AS723" t="str">
            <v>Oui</v>
          </cell>
          <cell r="AW723">
            <v>359</v>
          </cell>
          <cell r="AY723" t="str">
            <v>NB</v>
          </cell>
        </row>
        <row r="724">
          <cell r="AM724">
            <v>-46475.409999999974</v>
          </cell>
          <cell r="AP724" t="str">
            <v>Service</v>
          </cell>
          <cell r="AQ724" t="str">
            <v>M/O Interne</v>
          </cell>
          <cell r="AR724" t="str">
            <v>$</v>
          </cell>
          <cell r="AS724" t="str">
            <v>Oui</v>
          </cell>
          <cell r="AW724">
            <v>231</v>
          </cell>
          <cell r="AY724" t="str">
            <v>NB</v>
          </cell>
        </row>
        <row r="725">
          <cell r="AM725">
            <v>0</v>
          </cell>
          <cell r="AP725" t="e">
            <v>#N/A</v>
          </cell>
          <cell r="AQ725" t="e">
            <v>#N/A</v>
          </cell>
          <cell r="AR725" t="str">
            <v>$</v>
          </cell>
          <cell r="AS725" t="e">
            <v>#N/A</v>
          </cell>
          <cell r="AW725">
            <v>0</v>
          </cell>
          <cell r="AY725" t="str">
            <v>NB</v>
          </cell>
        </row>
        <row r="726">
          <cell r="AM726">
            <v>-750</v>
          </cell>
          <cell r="AP726" t="str">
            <v>SAAQ</v>
          </cell>
          <cell r="AQ726" t="str">
            <v>Inspection - Véhicules Interne</v>
          </cell>
          <cell r="AR726" t="str">
            <v>$</v>
          </cell>
          <cell r="AS726" t="str">
            <v>Oui</v>
          </cell>
          <cell r="AW726">
            <v>5</v>
          </cell>
          <cell r="AY726" t="str">
            <v>NB</v>
          </cell>
        </row>
        <row r="727">
          <cell r="AM727">
            <v>-19054.28</v>
          </cell>
          <cell r="AP727" t="str">
            <v>Service</v>
          </cell>
          <cell r="AQ727" t="str">
            <v>M/O Interne</v>
          </cell>
          <cell r="AR727" t="str">
            <v>$</v>
          </cell>
          <cell r="AS727" t="str">
            <v>Oui</v>
          </cell>
          <cell r="AW727">
            <v>135</v>
          </cell>
          <cell r="AY727" t="str">
            <v>NB</v>
          </cell>
        </row>
        <row r="728">
          <cell r="AM728">
            <v>0</v>
          </cell>
          <cell r="AP728" t="e">
            <v>#N/A</v>
          </cell>
          <cell r="AQ728" t="e">
            <v>#N/A</v>
          </cell>
          <cell r="AR728" t="str">
            <v>$</v>
          </cell>
          <cell r="AS728" t="e">
            <v>#N/A</v>
          </cell>
          <cell r="AW728">
            <v>0</v>
          </cell>
          <cell r="AY728" t="str">
            <v>NB</v>
          </cell>
        </row>
        <row r="729">
          <cell r="AM729">
            <v>0</v>
          </cell>
          <cell r="AP729">
            <v>0</v>
          </cell>
          <cell r="AQ729">
            <v>0</v>
          </cell>
          <cell r="AR729" t="str">
            <v>$</v>
          </cell>
          <cell r="AS729">
            <v>0</v>
          </cell>
          <cell r="AW729">
            <v>0</v>
          </cell>
          <cell r="AY729" t="str">
            <v>NB</v>
          </cell>
        </row>
        <row r="730">
          <cell r="AM730">
            <v>0</v>
          </cell>
          <cell r="AP730" t="e">
            <v>#N/A</v>
          </cell>
          <cell r="AQ730" t="e">
            <v>#N/A</v>
          </cell>
          <cell r="AR730" t="str">
            <v>$</v>
          </cell>
          <cell r="AS730" t="e">
            <v>#N/A</v>
          </cell>
          <cell r="AW730">
            <v>0</v>
          </cell>
          <cell r="AY730" t="str">
            <v>NB</v>
          </cell>
        </row>
        <row r="731">
          <cell r="AM731">
            <v>-16847.460000000006</v>
          </cell>
          <cell r="AP731" t="str">
            <v>Service</v>
          </cell>
          <cell r="AQ731" t="str">
            <v>Sous-traitement</v>
          </cell>
          <cell r="AR731" t="str">
            <v>$</v>
          </cell>
          <cell r="AS731" t="str">
            <v>Oui</v>
          </cell>
          <cell r="AW731">
            <v>32</v>
          </cell>
          <cell r="AY731" t="str">
            <v>NB</v>
          </cell>
        </row>
        <row r="732">
          <cell r="AM732">
            <v>0</v>
          </cell>
          <cell r="AP732" t="str">
            <v>SAAQ</v>
          </cell>
          <cell r="AQ732" t="str">
            <v>Inspection - Véhicules Interne</v>
          </cell>
          <cell r="AR732" t="str">
            <v>$</v>
          </cell>
          <cell r="AS732" t="str">
            <v>Oui</v>
          </cell>
          <cell r="AW732">
            <v>0</v>
          </cell>
          <cell r="AY732" t="str">
            <v>NB</v>
          </cell>
        </row>
        <row r="733">
          <cell r="AM733">
            <v>0</v>
          </cell>
          <cell r="AP733" t="e">
            <v>#N/A</v>
          </cell>
          <cell r="AQ733" t="e">
            <v>#N/A</v>
          </cell>
          <cell r="AR733" t="str">
            <v>$</v>
          </cell>
          <cell r="AS733" t="e">
            <v>#N/A</v>
          </cell>
          <cell r="AW733">
            <v>0</v>
          </cell>
          <cell r="AY733" t="str">
            <v>NB</v>
          </cell>
        </row>
        <row r="734">
          <cell r="AM734">
            <v>-49607.790000000037</v>
          </cell>
          <cell r="AP734" t="str">
            <v>Pièces</v>
          </cell>
          <cell r="AQ734" t="str">
            <v>Pièces Ro Clients</v>
          </cell>
          <cell r="AR734" t="str">
            <v>$</v>
          </cell>
          <cell r="AS734" t="str">
            <v>Oui</v>
          </cell>
          <cell r="AW734">
            <v>138</v>
          </cell>
          <cell r="AY734" t="str">
            <v>NB</v>
          </cell>
        </row>
        <row r="735">
          <cell r="AM735">
            <v>0</v>
          </cell>
          <cell r="AP735" t="str">
            <v>Pièces</v>
          </cell>
          <cell r="AQ735" t="str">
            <v>Pièces Ro Clients</v>
          </cell>
          <cell r="AR735" t="str">
            <v>$</v>
          </cell>
          <cell r="AS735" t="str">
            <v>Oui</v>
          </cell>
          <cell r="AW735">
            <v>0</v>
          </cell>
          <cell r="AY735" t="str">
            <v>NB</v>
          </cell>
        </row>
        <row r="736">
          <cell r="AM736">
            <v>0</v>
          </cell>
          <cell r="AP736">
            <v>0</v>
          </cell>
          <cell r="AQ736">
            <v>0</v>
          </cell>
          <cell r="AR736" t="str">
            <v>$</v>
          </cell>
          <cell r="AS736">
            <v>0</v>
          </cell>
          <cell r="AW736">
            <v>0</v>
          </cell>
          <cell r="AY736" t="str">
            <v>NB</v>
          </cell>
        </row>
        <row r="737">
          <cell r="AM737">
            <v>0</v>
          </cell>
          <cell r="AP737">
            <v>0</v>
          </cell>
          <cell r="AQ737">
            <v>0</v>
          </cell>
          <cell r="AR737" t="str">
            <v>$</v>
          </cell>
          <cell r="AS737">
            <v>0</v>
          </cell>
          <cell r="AW737">
            <v>0</v>
          </cell>
          <cell r="AY737" t="str">
            <v>NB</v>
          </cell>
        </row>
        <row r="738">
          <cell r="AM738">
            <v>0</v>
          </cell>
          <cell r="AP738">
            <v>0</v>
          </cell>
          <cell r="AQ738">
            <v>0</v>
          </cell>
          <cell r="AR738" t="str">
            <v>$</v>
          </cell>
          <cell r="AS738">
            <v>0</v>
          </cell>
          <cell r="AW738">
            <v>0</v>
          </cell>
          <cell r="AY738" t="str">
            <v>NB</v>
          </cell>
        </row>
        <row r="739">
          <cell r="AM739">
            <v>0</v>
          </cell>
          <cell r="AP739" t="e">
            <v>#N/A</v>
          </cell>
          <cell r="AQ739" t="e">
            <v>#N/A</v>
          </cell>
          <cell r="AR739" t="str">
            <v>$</v>
          </cell>
          <cell r="AS739" t="e">
            <v>#N/A</v>
          </cell>
          <cell r="AW739">
            <v>0</v>
          </cell>
          <cell r="AY739" t="str">
            <v>NB</v>
          </cell>
        </row>
        <row r="740">
          <cell r="AM740">
            <v>-2647.0999999999985</v>
          </cell>
          <cell r="AP740" t="str">
            <v>Service</v>
          </cell>
          <cell r="AQ740" t="str">
            <v>Sous-traitement</v>
          </cell>
          <cell r="AR740" t="str">
            <v>$</v>
          </cell>
          <cell r="AS740" t="str">
            <v>Oui</v>
          </cell>
          <cell r="AW740">
            <v>208</v>
          </cell>
          <cell r="AY740" t="str">
            <v>NB</v>
          </cell>
        </row>
        <row r="741">
          <cell r="AM741">
            <v>-3419.0299999999988</v>
          </cell>
          <cell r="AP741" t="str">
            <v>Carrosserie</v>
          </cell>
          <cell r="AQ741" t="str">
            <v>Carrosserie Clients</v>
          </cell>
          <cell r="AR741" t="str">
            <v>$</v>
          </cell>
          <cell r="AS741" t="str">
            <v>Oui</v>
          </cell>
          <cell r="AW741">
            <v>9</v>
          </cell>
          <cell r="AY741" t="str">
            <v>NB</v>
          </cell>
        </row>
        <row r="742">
          <cell r="AM742">
            <v>-6894.5299999999988</v>
          </cell>
          <cell r="AP742" t="str">
            <v>Carrosserie</v>
          </cell>
          <cell r="AQ742" t="str">
            <v>Carrosserie Concessions</v>
          </cell>
          <cell r="AR742" t="str">
            <v>$</v>
          </cell>
          <cell r="AS742" t="str">
            <v>Oui</v>
          </cell>
          <cell r="AW742">
            <v>10</v>
          </cell>
          <cell r="AY742" t="str">
            <v>NB</v>
          </cell>
        </row>
        <row r="743">
          <cell r="AM743">
            <v>-33986.109999999986</v>
          </cell>
          <cell r="AP743" t="str">
            <v>Carrosserie</v>
          </cell>
          <cell r="AQ743" t="str">
            <v>Carrosserie Clients</v>
          </cell>
          <cell r="AR743" t="str">
            <v>$</v>
          </cell>
          <cell r="AS743" t="str">
            <v>Oui</v>
          </cell>
          <cell r="AW743">
            <v>22</v>
          </cell>
          <cell r="AY743" t="str">
            <v>NB</v>
          </cell>
        </row>
        <row r="744">
          <cell r="AM744">
            <v>-17623.62999999999</v>
          </cell>
          <cell r="AP744" t="str">
            <v>Carrosserie</v>
          </cell>
          <cell r="AQ744" t="str">
            <v>Carrosserie Concessions</v>
          </cell>
          <cell r="AR744" t="str">
            <v>$</v>
          </cell>
          <cell r="AS744" t="str">
            <v>Oui</v>
          </cell>
          <cell r="AW744">
            <v>13</v>
          </cell>
          <cell r="AY744" t="str">
            <v>NB</v>
          </cell>
        </row>
        <row r="745">
          <cell r="AM745">
            <v>-128</v>
          </cell>
          <cell r="AP745" t="str">
            <v>Carrosserie</v>
          </cell>
          <cell r="AQ745" t="str">
            <v>Carrosserie Clients</v>
          </cell>
          <cell r="AR745" t="str">
            <v>$</v>
          </cell>
          <cell r="AS745" t="str">
            <v>Oui</v>
          </cell>
          <cell r="AW745">
            <v>1</v>
          </cell>
          <cell r="AY745" t="str">
            <v>NB</v>
          </cell>
        </row>
        <row r="746">
          <cell r="AM746">
            <v>0</v>
          </cell>
          <cell r="AP746" t="str">
            <v>Carrosserie</v>
          </cell>
          <cell r="AQ746" t="str">
            <v>Carrosserie Concessions</v>
          </cell>
          <cell r="AR746" t="str">
            <v>$</v>
          </cell>
          <cell r="AS746" t="str">
            <v>Oui</v>
          </cell>
          <cell r="AW746">
            <v>0</v>
          </cell>
          <cell r="AY746" t="str">
            <v>NB</v>
          </cell>
        </row>
        <row r="747">
          <cell r="AM747">
            <v>4697.17</v>
          </cell>
          <cell r="AP747" t="str">
            <v>Carrosserie</v>
          </cell>
          <cell r="AQ747" t="str">
            <v>Carrosserie Concessions</v>
          </cell>
          <cell r="AR747" t="str">
            <v>$</v>
          </cell>
          <cell r="AS747" t="str">
            <v>Oui</v>
          </cell>
          <cell r="AW747">
            <v>-1</v>
          </cell>
          <cell r="AY747" t="str">
            <v>NB</v>
          </cell>
        </row>
        <row r="748">
          <cell r="AM748">
            <v>-1039.33</v>
          </cell>
          <cell r="AP748" t="str">
            <v>Carrosserie</v>
          </cell>
          <cell r="AQ748" t="str">
            <v>Carrosserie Interne</v>
          </cell>
          <cell r="AR748" t="str">
            <v>$</v>
          </cell>
          <cell r="AS748" t="str">
            <v>Oui</v>
          </cell>
          <cell r="AW748">
            <v>1</v>
          </cell>
          <cell r="AY748" t="str">
            <v>NB</v>
          </cell>
        </row>
        <row r="749">
          <cell r="AM749">
            <v>-4166.9999999999964</v>
          </cell>
          <cell r="AP749" t="str">
            <v>Carrosserie</v>
          </cell>
          <cell r="AQ749" t="str">
            <v>Carrosserie Interne</v>
          </cell>
          <cell r="AR749" t="str">
            <v>$</v>
          </cell>
          <cell r="AS749" t="str">
            <v>Oui</v>
          </cell>
          <cell r="AW749">
            <v>7</v>
          </cell>
          <cell r="AY749" t="str">
            <v>NB</v>
          </cell>
        </row>
        <row r="750">
          <cell r="AM750">
            <v>-730.5</v>
          </cell>
          <cell r="AP750" t="str">
            <v>Carrosserie</v>
          </cell>
          <cell r="AQ750" t="str">
            <v>Carrosserie Interne</v>
          </cell>
          <cell r="AR750" t="str">
            <v>$</v>
          </cell>
          <cell r="AS750" t="str">
            <v>Oui</v>
          </cell>
          <cell r="AW750">
            <v>3</v>
          </cell>
          <cell r="AY750" t="str">
            <v>NB</v>
          </cell>
        </row>
        <row r="751">
          <cell r="AM751">
            <v>0</v>
          </cell>
          <cell r="AP751" t="str">
            <v>Carrosserie</v>
          </cell>
          <cell r="AQ751" t="str">
            <v>Carrosserie Interne</v>
          </cell>
          <cell r="AR751" t="str">
            <v>$</v>
          </cell>
          <cell r="AS751" t="str">
            <v>Oui</v>
          </cell>
          <cell r="AW751">
            <v>0</v>
          </cell>
          <cell r="AY751" t="str">
            <v>NB</v>
          </cell>
        </row>
        <row r="752">
          <cell r="AM752">
            <v>0</v>
          </cell>
          <cell r="AP752" t="str">
            <v>Carrosserie</v>
          </cell>
          <cell r="AQ752" t="str">
            <v>Ajustement M/O Carrosserie</v>
          </cell>
          <cell r="AR752" t="str">
            <v>$</v>
          </cell>
          <cell r="AS752" t="str">
            <v>Oui</v>
          </cell>
          <cell r="AW752">
            <v>0</v>
          </cell>
          <cell r="AY752" t="str">
            <v>NB</v>
          </cell>
        </row>
        <row r="753">
          <cell r="AM753">
            <v>-41380.410000000033</v>
          </cell>
          <cell r="AP753" t="str">
            <v>Carrosserie</v>
          </cell>
          <cell r="AQ753" t="str">
            <v>Carrosserie Clients</v>
          </cell>
          <cell r="AR753" t="str">
            <v>$</v>
          </cell>
          <cell r="AS753" t="str">
            <v>Oui</v>
          </cell>
          <cell r="AW753">
            <v>22</v>
          </cell>
          <cell r="AY753" t="str">
            <v>NB</v>
          </cell>
        </row>
        <row r="754">
          <cell r="AM754">
            <v>-415.51</v>
          </cell>
          <cell r="AP754" t="str">
            <v>Carrosserie</v>
          </cell>
          <cell r="AQ754" t="str">
            <v>Carrosserie Interne</v>
          </cell>
          <cell r="AR754" t="str">
            <v>$</v>
          </cell>
          <cell r="AS754" t="str">
            <v>Oui</v>
          </cell>
          <cell r="AW754">
            <v>2</v>
          </cell>
          <cell r="AY754" t="str">
            <v>NB</v>
          </cell>
        </row>
        <row r="755">
          <cell r="AM755">
            <v>-165</v>
          </cell>
          <cell r="AP755" t="str">
            <v>Carrosserie</v>
          </cell>
          <cell r="AQ755" t="str">
            <v>Carrosserie Concessions</v>
          </cell>
          <cell r="AR755" t="str">
            <v>$</v>
          </cell>
          <cell r="AS755" t="str">
            <v>Oui</v>
          </cell>
          <cell r="AW755">
            <v>1</v>
          </cell>
          <cell r="AY755" t="str">
            <v>NB</v>
          </cell>
        </row>
        <row r="756">
          <cell r="AM756">
            <v>0</v>
          </cell>
          <cell r="AP756" t="str">
            <v>Carrosserie</v>
          </cell>
          <cell r="AQ756" t="str">
            <v>Carrosserie Clients</v>
          </cell>
          <cell r="AR756" t="str">
            <v>$</v>
          </cell>
          <cell r="AS756" t="str">
            <v>Oui</v>
          </cell>
          <cell r="AW756">
            <v>0</v>
          </cell>
          <cell r="AY756" t="str">
            <v>NB</v>
          </cell>
        </row>
        <row r="757">
          <cell r="AM757">
            <v>0</v>
          </cell>
          <cell r="AP757" t="str">
            <v>Carrosserie</v>
          </cell>
          <cell r="AQ757" t="str">
            <v>Carrosserie Interne</v>
          </cell>
          <cell r="AR757" t="str">
            <v>$</v>
          </cell>
          <cell r="AS757" t="str">
            <v>Oui</v>
          </cell>
          <cell r="AW757">
            <v>0</v>
          </cell>
          <cell r="AY757" t="str">
            <v>NB</v>
          </cell>
        </row>
        <row r="758">
          <cell r="AM758">
            <v>0</v>
          </cell>
          <cell r="AP758" t="str">
            <v>Carrosserie</v>
          </cell>
          <cell r="AQ758" t="str">
            <v>Carrosserie Concessions</v>
          </cell>
          <cell r="AR758" t="str">
            <v>$</v>
          </cell>
          <cell r="AS758" t="str">
            <v>Oui</v>
          </cell>
          <cell r="AW758">
            <v>0</v>
          </cell>
          <cell r="AY758" t="str">
            <v>NB</v>
          </cell>
        </row>
        <row r="759">
          <cell r="AM759">
            <v>0</v>
          </cell>
          <cell r="AP759" t="str">
            <v>Carrosserie</v>
          </cell>
          <cell r="AQ759" t="str">
            <v>Carrosserie Clients</v>
          </cell>
          <cell r="AR759" t="str">
            <v>$</v>
          </cell>
          <cell r="AS759" t="str">
            <v>Oui</v>
          </cell>
          <cell r="AW759">
            <v>0</v>
          </cell>
          <cell r="AY759" t="str">
            <v>NB</v>
          </cell>
        </row>
        <row r="760">
          <cell r="AM760">
            <v>0</v>
          </cell>
          <cell r="AP760">
            <v>0</v>
          </cell>
          <cell r="AQ760">
            <v>0</v>
          </cell>
          <cell r="AR760" t="str">
            <v>$</v>
          </cell>
          <cell r="AS760">
            <v>0</v>
          </cell>
          <cell r="AW760">
            <v>0</v>
          </cell>
          <cell r="AY760" t="str">
            <v>NB</v>
          </cell>
        </row>
        <row r="761">
          <cell r="AM761">
            <v>0</v>
          </cell>
          <cell r="AP761">
            <v>0</v>
          </cell>
          <cell r="AQ761">
            <v>0</v>
          </cell>
          <cell r="AR761" t="str">
            <v>$</v>
          </cell>
          <cell r="AS761">
            <v>0</v>
          </cell>
          <cell r="AW761">
            <v>0</v>
          </cell>
          <cell r="AY761" t="str">
            <v>NB</v>
          </cell>
        </row>
        <row r="762">
          <cell r="AM762">
            <v>0</v>
          </cell>
          <cell r="AP762" t="str">
            <v>Pièces</v>
          </cell>
          <cell r="AQ762" t="str">
            <v>Pièces Ro Carrosserie</v>
          </cell>
          <cell r="AR762" t="str">
            <v>$</v>
          </cell>
          <cell r="AS762" t="str">
            <v>Oui</v>
          </cell>
          <cell r="AW762">
            <v>0</v>
          </cell>
          <cell r="AY762" t="str">
            <v>NB</v>
          </cell>
        </row>
        <row r="763">
          <cell r="AM763">
            <v>0</v>
          </cell>
          <cell r="AP763">
            <v>0</v>
          </cell>
          <cell r="AQ763">
            <v>0</v>
          </cell>
          <cell r="AR763" t="str">
            <v>$</v>
          </cell>
          <cell r="AS763">
            <v>0</v>
          </cell>
          <cell r="AW763">
            <v>0</v>
          </cell>
          <cell r="AY763" t="str">
            <v>NB</v>
          </cell>
        </row>
        <row r="764">
          <cell r="AM764">
            <v>0</v>
          </cell>
          <cell r="AP764">
            <v>0</v>
          </cell>
          <cell r="AQ764">
            <v>0</v>
          </cell>
          <cell r="AR764" t="str">
            <v>$</v>
          </cell>
          <cell r="AS764">
            <v>0</v>
          </cell>
          <cell r="AW764">
            <v>0</v>
          </cell>
          <cell r="AY764" t="str">
            <v>NB</v>
          </cell>
        </row>
        <row r="765">
          <cell r="AM765">
            <v>-9746.0499999999884</v>
          </cell>
          <cell r="AP765" t="str">
            <v>Carrosserie</v>
          </cell>
          <cell r="AQ765" t="str">
            <v>Carrosserie Clients</v>
          </cell>
          <cell r="AR765" t="str">
            <v>$</v>
          </cell>
          <cell r="AS765" t="str">
            <v>Oui</v>
          </cell>
          <cell r="AW765">
            <v>19</v>
          </cell>
          <cell r="AY765" t="str">
            <v>NB</v>
          </cell>
        </row>
        <row r="766">
          <cell r="AM766">
            <v>-1735.5700000000002</v>
          </cell>
          <cell r="AP766" t="str">
            <v>Carrosserie</v>
          </cell>
          <cell r="AQ766" t="str">
            <v>Carrosserie Interne</v>
          </cell>
          <cell r="AR766" t="str">
            <v>$</v>
          </cell>
          <cell r="AS766" t="str">
            <v>Oui</v>
          </cell>
          <cell r="AW766">
            <v>6</v>
          </cell>
          <cell r="AY766" t="str">
            <v>NB</v>
          </cell>
        </row>
        <row r="767">
          <cell r="AM767">
            <v>-6336.619999999999</v>
          </cell>
          <cell r="AP767" t="str">
            <v>Carrosserie</v>
          </cell>
          <cell r="AQ767" t="str">
            <v>Carrosserie Concessions</v>
          </cell>
          <cell r="AR767" t="str">
            <v>$</v>
          </cell>
          <cell r="AS767" t="str">
            <v>Oui</v>
          </cell>
          <cell r="AW767">
            <v>14</v>
          </cell>
          <cell r="AY767" t="str">
            <v>NB</v>
          </cell>
        </row>
        <row r="768">
          <cell r="AM768">
            <v>-4165.6399999999994</v>
          </cell>
          <cell r="AP768" t="str">
            <v>Carrosserie</v>
          </cell>
          <cell r="AQ768" t="str">
            <v>Carrosserie Clients</v>
          </cell>
          <cell r="AR768" t="str">
            <v>$</v>
          </cell>
          <cell r="AS768" t="str">
            <v>Oui</v>
          </cell>
          <cell r="AW768">
            <v>21</v>
          </cell>
          <cell r="AY768" t="str">
            <v>NB</v>
          </cell>
        </row>
        <row r="769">
          <cell r="AM769">
            <v>-784.18999999999994</v>
          </cell>
          <cell r="AP769" t="str">
            <v>Carrosserie</v>
          </cell>
          <cell r="AQ769" t="str">
            <v>Carrosserie Interne</v>
          </cell>
          <cell r="AR769" t="str">
            <v>$</v>
          </cell>
          <cell r="AS769" t="str">
            <v>Oui</v>
          </cell>
          <cell r="AW769">
            <v>5</v>
          </cell>
          <cell r="AY769" t="str">
            <v>NB</v>
          </cell>
        </row>
        <row r="770">
          <cell r="AM770">
            <v>-2785.6000000000004</v>
          </cell>
          <cell r="AP770" t="str">
            <v>Carrosserie</v>
          </cell>
          <cell r="AQ770" t="str">
            <v>Carrosserie Concessions</v>
          </cell>
          <cell r="AR770" t="str">
            <v>$</v>
          </cell>
          <cell r="AS770" t="str">
            <v>Oui</v>
          </cell>
          <cell r="AW770">
            <v>13</v>
          </cell>
          <cell r="AY770" t="str">
            <v>NB</v>
          </cell>
        </row>
        <row r="771">
          <cell r="AM771">
            <v>-86905.390000000014</v>
          </cell>
          <cell r="AP771" t="str">
            <v>Pièces</v>
          </cell>
          <cell r="AQ771" t="str">
            <v>P/A Garantie</v>
          </cell>
          <cell r="AR771" t="str">
            <v>$</v>
          </cell>
          <cell r="AS771" t="str">
            <v>Oui</v>
          </cell>
          <cell r="AW771">
            <v>201</v>
          </cell>
          <cell r="AY771" t="str">
            <v>NB</v>
          </cell>
        </row>
        <row r="772">
          <cell r="AM772">
            <v>0</v>
          </cell>
          <cell r="AP772" t="str">
            <v>Pièces</v>
          </cell>
          <cell r="AQ772" t="str">
            <v>P/A Garantie</v>
          </cell>
          <cell r="AR772" t="str">
            <v>$</v>
          </cell>
          <cell r="AS772" t="str">
            <v>Oui</v>
          </cell>
          <cell r="AW772">
            <v>0</v>
          </cell>
          <cell r="AY772" t="str">
            <v>NB</v>
          </cell>
        </row>
        <row r="773">
          <cell r="AM773">
            <v>-36953.440000000002</v>
          </cell>
          <cell r="AP773" t="str">
            <v>Pièces</v>
          </cell>
          <cell r="AQ773" t="str">
            <v>Ventes Internes</v>
          </cell>
          <cell r="AR773" t="str">
            <v>$</v>
          </cell>
          <cell r="AS773" t="str">
            <v>Oui</v>
          </cell>
          <cell r="AW773">
            <v>159</v>
          </cell>
          <cell r="AY773" t="str">
            <v>NB</v>
          </cell>
        </row>
        <row r="774">
          <cell r="AM774">
            <v>0</v>
          </cell>
          <cell r="AP774" t="str">
            <v>Pièces</v>
          </cell>
          <cell r="AQ774" t="str">
            <v>Ventes Internes</v>
          </cell>
          <cell r="AR774" t="str">
            <v>$</v>
          </cell>
          <cell r="AS774" t="str">
            <v>Oui</v>
          </cell>
          <cell r="AW774">
            <v>0</v>
          </cell>
          <cell r="AY774" t="str">
            <v>NB</v>
          </cell>
        </row>
        <row r="775">
          <cell r="AM775">
            <v>-31441.490000000049</v>
          </cell>
          <cell r="AP775" t="str">
            <v>Pièces</v>
          </cell>
          <cell r="AQ775" t="str">
            <v>Ventes Détails</v>
          </cell>
          <cell r="AR775" t="str">
            <v>$</v>
          </cell>
          <cell r="AS775" t="str">
            <v>Oui</v>
          </cell>
          <cell r="AW775">
            <v>194</v>
          </cell>
          <cell r="AY775" t="str">
            <v>NB</v>
          </cell>
        </row>
        <row r="776">
          <cell r="AM776">
            <v>-116127.41000000003</v>
          </cell>
          <cell r="AP776" t="str">
            <v>Pièces</v>
          </cell>
          <cell r="AQ776" t="str">
            <v>Ventes de Gros</v>
          </cell>
          <cell r="AR776" t="str">
            <v>$</v>
          </cell>
          <cell r="AS776" t="str">
            <v>Oui</v>
          </cell>
          <cell r="AW776">
            <v>298</v>
          </cell>
          <cell r="AY776" t="str">
            <v>NB</v>
          </cell>
        </row>
        <row r="777">
          <cell r="AM777">
            <v>0</v>
          </cell>
          <cell r="AP777">
            <v>0</v>
          </cell>
          <cell r="AQ777">
            <v>0</v>
          </cell>
          <cell r="AR777" t="str">
            <v>$</v>
          </cell>
          <cell r="AS777">
            <v>0</v>
          </cell>
          <cell r="AW777">
            <v>0</v>
          </cell>
          <cell r="AY777" t="str">
            <v>NB</v>
          </cell>
        </row>
        <row r="778">
          <cell r="AM778">
            <v>0</v>
          </cell>
          <cell r="AP778">
            <v>0</v>
          </cell>
          <cell r="AQ778">
            <v>0</v>
          </cell>
          <cell r="AR778" t="str">
            <v>$</v>
          </cell>
          <cell r="AS778">
            <v>0</v>
          </cell>
          <cell r="AW778">
            <v>0</v>
          </cell>
          <cell r="AY778" t="str">
            <v>NB</v>
          </cell>
        </row>
        <row r="779">
          <cell r="AM779">
            <v>-18670.01999999999</v>
          </cell>
          <cell r="AP779" t="str">
            <v>Pièces</v>
          </cell>
          <cell r="AQ779" t="str">
            <v>Ventes Pneus</v>
          </cell>
          <cell r="AR779" t="str">
            <v>$</v>
          </cell>
          <cell r="AS779" t="str">
            <v>Oui</v>
          </cell>
          <cell r="AW779">
            <v>24</v>
          </cell>
          <cell r="AY779" t="str">
            <v>NB</v>
          </cell>
        </row>
        <row r="780">
          <cell r="AM780">
            <v>-13578.690000000002</v>
          </cell>
          <cell r="AP780" t="str">
            <v>Pièces</v>
          </cell>
          <cell r="AQ780" t="str">
            <v>Huiles et Graisse</v>
          </cell>
          <cell r="AR780" t="str">
            <v>$</v>
          </cell>
          <cell r="AS780" t="str">
            <v>Oui</v>
          </cell>
          <cell r="AW780">
            <v>197</v>
          </cell>
          <cell r="AY780" t="str">
            <v>NB</v>
          </cell>
        </row>
        <row r="781">
          <cell r="AM781">
            <v>0</v>
          </cell>
          <cell r="AP781" t="str">
            <v>Service</v>
          </cell>
          <cell r="AQ781" t="str">
            <v>Frais véhicules de cie</v>
          </cell>
          <cell r="AR781" t="str">
            <v>$</v>
          </cell>
          <cell r="AS781">
            <v>0</v>
          </cell>
          <cell r="AW781">
            <v>0</v>
          </cell>
          <cell r="AY781" t="str">
            <v>NB</v>
          </cell>
        </row>
        <row r="782">
          <cell r="AM782">
            <v>2784.76</v>
          </cell>
          <cell r="AP782" t="str">
            <v>Carrosserie</v>
          </cell>
          <cell r="AQ782" t="str">
            <v>Frais véhicules de cie</v>
          </cell>
          <cell r="AR782" t="str">
            <v>$</v>
          </cell>
          <cell r="AS782">
            <v>0</v>
          </cell>
          <cell r="AW782">
            <v>-2</v>
          </cell>
          <cell r="AY782" t="str">
            <v>NB</v>
          </cell>
        </row>
        <row r="783">
          <cell r="AM783">
            <v>0</v>
          </cell>
          <cell r="AP783" t="e">
            <v>#N/A</v>
          </cell>
          <cell r="AQ783" t="e">
            <v>#N/A</v>
          </cell>
          <cell r="AR783" t="str">
            <v>$</v>
          </cell>
          <cell r="AS783" t="e">
            <v>#N/A</v>
          </cell>
          <cell r="AW783">
            <v>0</v>
          </cell>
          <cell r="AY783" t="str">
            <v>NB</v>
          </cell>
        </row>
        <row r="784">
          <cell r="AM784">
            <v>0</v>
          </cell>
          <cell r="AP784" t="e">
            <v>#N/A</v>
          </cell>
          <cell r="AQ784" t="e">
            <v>#N/A</v>
          </cell>
          <cell r="AR784" t="str">
            <v>$</v>
          </cell>
          <cell r="AS784" t="e">
            <v>#N/A</v>
          </cell>
          <cell r="AW784">
            <v>0</v>
          </cell>
          <cell r="AY784" t="str">
            <v>NB</v>
          </cell>
        </row>
        <row r="785">
          <cell r="AM785">
            <v>0</v>
          </cell>
          <cell r="AP785" t="e">
            <v>#N/A</v>
          </cell>
          <cell r="AQ785" t="e">
            <v>#N/A</v>
          </cell>
          <cell r="AR785" t="str">
            <v>$</v>
          </cell>
          <cell r="AS785" t="e">
            <v>#N/A</v>
          </cell>
          <cell r="AW785">
            <v>0</v>
          </cell>
          <cell r="AY785" t="str">
            <v>NB</v>
          </cell>
        </row>
        <row r="786">
          <cell r="AM786">
            <v>0</v>
          </cell>
          <cell r="AP786" t="e">
            <v>#N/A</v>
          </cell>
          <cell r="AQ786" t="e">
            <v>#N/A</v>
          </cell>
          <cell r="AR786" t="str">
            <v>$</v>
          </cell>
          <cell r="AS786" t="e">
            <v>#N/A</v>
          </cell>
          <cell r="AW786">
            <v>0</v>
          </cell>
          <cell r="AY786" t="str">
            <v>NB</v>
          </cell>
        </row>
        <row r="787">
          <cell r="AM787">
            <v>0</v>
          </cell>
          <cell r="AP787" t="e">
            <v>#N/A</v>
          </cell>
          <cell r="AQ787" t="e">
            <v>#N/A</v>
          </cell>
          <cell r="AR787" t="str">
            <v>$</v>
          </cell>
          <cell r="AS787" t="e">
            <v>#N/A</v>
          </cell>
          <cell r="AW787">
            <v>0</v>
          </cell>
          <cell r="AY787" t="str">
            <v>NB</v>
          </cell>
        </row>
        <row r="788">
          <cell r="AM788">
            <v>0</v>
          </cell>
          <cell r="AP788" t="e">
            <v>#N/A</v>
          </cell>
          <cell r="AQ788" t="e">
            <v>#N/A</v>
          </cell>
          <cell r="AR788" t="str">
            <v>$</v>
          </cell>
          <cell r="AS788" t="e">
            <v>#N/A</v>
          </cell>
          <cell r="AW788">
            <v>0</v>
          </cell>
          <cell r="AY788" t="str">
            <v>NB</v>
          </cell>
        </row>
        <row r="789">
          <cell r="AM789">
            <v>0</v>
          </cell>
          <cell r="AP789" t="e">
            <v>#N/A</v>
          </cell>
          <cell r="AQ789" t="e">
            <v>#N/A</v>
          </cell>
          <cell r="AR789" t="str">
            <v>$</v>
          </cell>
          <cell r="AS789" t="e">
            <v>#N/A</v>
          </cell>
          <cell r="AW789">
            <v>0</v>
          </cell>
          <cell r="AY789" t="str">
            <v>NB</v>
          </cell>
        </row>
        <row r="790">
          <cell r="AM790">
            <v>0</v>
          </cell>
          <cell r="AP790" t="e">
            <v>#N/A</v>
          </cell>
          <cell r="AQ790" t="e">
            <v>#N/A</v>
          </cell>
          <cell r="AR790" t="str">
            <v>$</v>
          </cell>
          <cell r="AS790" t="e">
            <v>#N/A</v>
          </cell>
          <cell r="AW790">
            <v>0</v>
          </cell>
          <cell r="AY790" t="str">
            <v>NB</v>
          </cell>
        </row>
        <row r="791">
          <cell r="AM791">
            <v>0</v>
          </cell>
          <cell r="AP791" t="e">
            <v>#N/A</v>
          </cell>
          <cell r="AQ791" t="e">
            <v>#N/A</v>
          </cell>
          <cell r="AR791" t="str">
            <v>$</v>
          </cell>
          <cell r="AS791" t="e">
            <v>#N/A</v>
          </cell>
          <cell r="AW791">
            <v>0</v>
          </cell>
          <cell r="AY791" t="str">
            <v>NB</v>
          </cell>
        </row>
        <row r="792">
          <cell r="AM792">
            <v>0</v>
          </cell>
          <cell r="AP792" t="e">
            <v>#N/A</v>
          </cell>
          <cell r="AQ792" t="e">
            <v>#N/A</v>
          </cell>
          <cell r="AR792" t="str">
            <v>$</v>
          </cell>
          <cell r="AS792" t="e">
            <v>#N/A</v>
          </cell>
          <cell r="AW792">
            <v>0</v>
          </cell>
          <cell r="AY792" t="str">
            <v>NB</v>
          </cell>
        </row>
        <row r="793">
          <cell r="AM793">
            <v>0</v>
          </cell>
          <cell r="AP793" t="e">
            <v>#N/A</v>
          </cell>
          <cell r="AQ793" t="e">
            <v>#N/A</v>
          </cell>
          <cell r="AR793" t="str">
            <v>$</v>
          </cell>
          <cell r="AS793" t="e">
            <v>#N/A</v>
          </cell>
          <cell r="AW793">
            <v>0</v>
          </cell>
          <cell r="AY793" t="str">
            <v>NB</v>
          </cell>
        </row>
        <row r="794">
          <cell r="AM794">
            <v>0</v>
          </cell>
          <cell r="AP794" t="e">
            <v>#N/A</v>
          </cell>
          <cell r="AQ794" t="e">
            <v>#N/A</v>
          </cell>
          <cell r="AR794" t="str">
            <v>$</v>
          </cell>
          <cell r="AS794" t="e">
            <v>#N/A</v>
          </cell>
          <cell r="AW794">
            <v>0</v>
          </cell>
          <cell r="AY794" t="str">
            <v>NB</v>
          </cell>
        </row>
        <row r="795">
          <cell r="AM795">
            <v>0</v>
          </cell>
          <cell r="AP795">
            <v>0</v>
          </cell>
          <cell r="AQ795">
            <v>0</v>
          </cell>
          <cell r="AR795" t="str">
            <v>$</v>
          </cell>
          <cell r="AS795">
            <v>0</v>
          </cell>
          <cell r="AW795">
            <v>0</v>
          </cell>
          <cell r="AY795" t="str">
            <v>NB</v>
          </cell>
        </row>
        <row r="796">
          <cell r="AM796">
            <v>0</v>
          </cell>
          <cell r="AP796" t="e">
            <v>#N/A</v>
          </cell>
          <cell r="AQ796" t="e">
            <v>#N/A</v>
          </cell>
          <cell r="AR796" t="str">
            <v>$</v>
          </cell>
          <cell r="AS796" t="e">
            <v>#N/A</v>
          </cell>
          <cell r="AW796">
            <v>0</v>
          </cell>
          <cell r="AY796" t="str">
            <v>NB</v>
          </cell>
        </row>
        <row r="797">
          <cell r="AM797">
            <v>0</v>
          </cell>
          <cell r="AP797" t="e">
            <v>#N/A</v>
          </cell>
          <cell r="AQ797" t="e">
            <v>#N/A</v>
          </cell>
          <cell r="AR797" t="str">
            <v>$</v>
          </cell>
          <cell r="AS797" t="e">
            <v>#N/A</v>
          </cell>
          <cell r="AW797">
            <v>0</v>
          </cell>
          <cell r="AY797" t="str">
            <v>NB</v>
          </cell>
        </row>
        <row r="798">
          <cell r="AM798">
            <v>0</v>
          </cell>
          <cell r="AP798">
            <v>0</v>
          </cell>
          <cell r="AQ798">
            <v>0</v>
          </cell>
          <cell r="AR798" t="str">
            <v>$</v>
          </cell>
          <cell r="AS798">
            <v>0</v>
          </cell>
          <cell r="AW798">
            <v>0</v>
          </cell>
          <cell r="AY798" t="str">
            <v>NB</v>
          </cell>
        </row>
        <row r="799">
          <cell r="AM799">
            <v>0</v>
          </cell>
          <cell r="AP799" t="e">
            <v>#N/A</v>
          </cell>
          <cell r="AQ799" t="e">
            <v>#N/A</v>
          </cell>
          <cell r="AR799" t="str">
            <v>$</v>
          </cell>
          <cell r="AS799" t="e">
            <v>#N/A</v>
          </cell>
          <cell r="AW799">
            <v>0</v>
          </cell>
          <cell r="AY799" t="str">
            <v>NB</v>
          </cell>
        </row>
        <row r="800">
          <cell r="AM800">
            <v>0</v>
          </cell>
          <cell r="AP800" t="e">
            <v>#N/A</v>
          </cell>
          <cell r="AQ800" t="e">
            <v>#N/A</v>
          </cell>
          <cell r="AR800" t="str">
            <v>$</v>
          </cell>
          <cell r="AS800" t="e">
            <v>#N/A</v>
          </cell>
          <cell r="AW800">
            <v>0</v>
          </cell>
          <cell r="AY800" t="str">
            <v>NB</v>
          </cell>
        </row>
        <row r="801">
          <cell r="AM801">
            <v>0</v>
          </cell>
          <cell r="AP801" t="e">
            <v>#N/A</v>
          </cell>
          <cell r="AQ801" t="e">
            <v>#N/A</v>
          </cell>
          <cell r="AR801" t="str">
            <v>$</v>
          </cell>
          <cell r="AS801" t="e">
            <v>#N/A</v>
          </cell>
          <cell r="AW801">
            <v>0</v>
          </cell>
          <cell r="AY801" t="str">
            <v>NB</v>
          </cell>
        </row>
        <row r="802">
          <cell r="AM802">
            <v>0</v>
          </cell>
          <cell r="AP802" t="e">
            <v>#N/A</v>
          </cell>
          <cell r="AQ802" t="e">
            <v>#N/A</v>
          </cell>
          <cell r="AR802" t="str">
            <v>$</v>
          </cell>
          <cell r="AS802" t="e">
            <v>#N/A</v>
          </cell>
          <cell r="AW802">
            <v>0</v>
          </cell>
          <cell r="AY802" t="str">
            <v>NB</v>
          </cell>
        </row>
        <row r="803">
          <cell r="AM803">
            <v>0</v>
          </cell>
          <cell r="AP803" t="e">
            <v>#N/A</v>
          </cell>
          <cell r="AQ803" t="e">
            <v>#N/A</v>
          </cell>
          <cell r="AR803" t="str">
            <v>$</v>
          </cell>
          <cell r="AS803" t="e">
            <v>#N/A</v>
          </cell>
          <cell r="AW803">
            <v>0</v>
          </cell>
          <cell r="AY803" t="str">
            <v>NB</v>
          </cell>
        </row>
        <row r="804">
          <cell r="AM804">
            <v>0</v>
          </cell>
          <cell r="AP804" t="e">
            <v>#N/A</v>
          </cell>
          <cell r="AQ804" t="e">
            <v>#N/A</v>
          </cell>
          <cell r="AR804" t="str">
            <v>$</v>
          </cell>
          <cell r="AS804" t="e">
            <v>#N/A</v>
          </cell>
          <cell r="AW804">
            <v>0</v>
          </cell>
          <cell r="AY804" t="str">
            <v>NB</v>
          </cell>
        </row>
        <row r="805">
          <cell r="AM805">
            <v>0</v>
          </cell>
          <cell r="AP805" t="e">
            <v>#N/A</v>
          </cell>
          <cell r="AQ805" t="e">
            <v>#N/A</v>
          </cell>
          <cell r="AR805" t="str">
            <v>$</v>
          </cell>
          <cell r="AS805" t="e">
            <v>#N/A</v>
          </cell>
          <cell r="AW805">
            <v>0</v>
          </cell>
          <cell r="AY805" t="str">
            <v>NB</v>
          </cell>
        </row>
        <row r="806">
          <cell r="AM806">
            <v>0</v>
          </cell>
          <cell r="AP806" t="e">
            <v>#N/A</v>
          </cell>
          <cell r="AQ806" t="e">
            <v>#N/A</v>
          </cell>
          <cell r="AR806" t="str">
            <v>$</v>
          </cell>
          <cell r="AS806" t="e">
            <v>#N/A</v>
          </cell>
          <cell r="AW806">
            <v>0</v>
          </cell>
          <cell r="AY806" t="str">
            <v>NB</v>
          </cell>
        </row>
        <row r="807">
          <cell r="AM807">
            <v>0</v>
          </cell>
          <cell r="AP807" t="e">
            <v>#N/A</v>
          </cell>
          <cell r="AQ807" t="e">
            <v>#N/A</v>
          </cell>
          <cell r="AR807" t="str">
            <v>$</v>
          </cell>
          <cell r="AS807" t="e">
            <v>#N/A</v>
          </cell>
          <cell r="AW807">
            <v>0</v>
          </cell>
          <cell r="AY807" t="str">
            <v>NB</v>
          </cell>
        </row>
        <row r="808">
          <cell r="AM808">
            <v>0</v>
          </cell>
          <cell r="AP808" t="str">
            <v>Véhicules neufs</v>
          </cell>
          <cell r="AQ808" t="str">
            <v>Autos détail</v>
          </cell>
          <cell r="AR808" t="str">
            <v>$</v>
          </cell>
          <cell r="AS808">
            <v>0</v>
          </cell>
          <cell r="AW808">
            <v>0</v>
          </cell>
          <cell r="AY808" t="str">
            <v>NB</v>
          </cell>
        </row>
        <row r="809">
          <cell r="AM809">
            <v>0</v>
          </cell>
          <cell r="AP809" t="str">
            <v>Véhicules neufs</v>
          </cell>
          <cell r="AQ809" t="str">
            <v>Autos détail</v>
          </cell>
          <cell r="AR809" t="str">
            <v>$</v>
          </cell>
          <cell r="AS809">
            <v>0</v>
          </cell>
          <cell r="AW809">
            <v>0</v>
          </cell>
          <cell r="AY809" t="str">
            <v>NB</v>
          </cell>
        </row>
        <row r="810">
          <cell r="AM810">
            <v>0</v>
          </cell>
          <cell r="AP810" t="str">
            <v>Véhicules neufs</v>
          </cell>
          <cell r="AQ810" t="str">
            <v>Autos détail</v>
          </cell>
          <cell r="AR810" t="str">
            <v>$</v>
          </cell>
          <cell r="AS810">
            <v>0</v>
          </cell>
          <cell r="AW810">
            <v>0</v>
          </cell>
          <cell r="AY810" t="str">
            <v>NB</v>
          </cell>
        </row>
        <row r="811">
          <cell r="AM811">
            <v>0</v>
          </cell>
          <cell r="AP811" t="str">
            <v>Véhicules neufs</v>
          </cell>
          <cell r="AQ811" t="str">
            <v>Autos détail</v>
          </cell>
          <cell r="AR811" t="str">
            <v>$</v>
          </cell>
          <cell r="AS811">
            <v>0</v>
          </cell>
          <cell r="AW811">
            <v>0</v>
          </cell>
          <cell r="AY811" t="str">
            <v>NB</v>
          </cell>
        </row>
        <row r="812">
          <cell r="AM812">
            <v>0</v>
          </cell>
          <cell r="AP812" t="e">
            <v>#N/A</v>
          </cell>
          <cell r="AQ812" t="e">
            <v>#N/A</v>
          </cell>
          <cell r="AR812" t="str">
            <v>$</v>
          </cell>
          <cell r="AS812" t="e">
            <v>#N/A</v>
          </cell>
          <cell r="AW812">
            <v>0</v>
          </cell>
          <cell r="AY812" t="str">
            <v>NB</v>
          </cell>
        </row>
        <row r="813">
          <cell r="AM813">
            <v>0</v>
          </cell>
          <cell r="AP813" t="e">
            <v>#N/A</v>
          </cell>
          <cell r="AQ813" t="e">
            <v>#N/A</v>
          </cell>
          <cell r="AR813" t="str">
            <v>$</v>
          </cell>
          <cell r="AS813" t="e">
            <v>#N/A</v>
          </cell>
          <cell r="AW813">
            <v>0</v>
          </cell>
          <cell r="AY813" t="str">
            <v>NB</v>
          </cell>
        </row>
        <row r="814">
          <cell r="AM814">
            <v>0</v>
          </cell>
          <cell r="AP814" t="e">
            <v>#N/A</v>
          </cell>
          <cell r="AQ814" t="e">
            <v>#N/A</v>
          </cell>
          <cell r="AR814" t="str">
            <v>$</v>
          </cell>
          <cell r="AS814" t="e">
            <v>#N/A</v>
          </cell>
          <cell r="AW814">
            <v>0</v>
          </cell>
          <cell r="AY814" t="str">
            <v>NB</v>
          </cell>
        </row>
        <row r="815">
          <cell r="AM815">
            <v>0</v>
          </cell>
          <cell r="AP815" t="e">
            <v>#N/A</v>
          </cell>
          <cell r="AQ815" t="e">
            <v>#N/A</v>
          </cell>
          <cell r="AR815" t="str">
            <v>$</v>
          </cell>
          <cell r="AS815" t="e">
            <v>#N/A</v>
          </cell>
          <cell r="AW815">
            <v>0</v>
          </cell>
          <cell r="AY815" t="str">
            <v>NB</v>
          </cell>
        </row>
        <row r="816">
          <cell r="AM816">
            <v>0</v>
          </cell>
          <cell r="AP816" t="str">
            <v>Véhicules neufs</v>
          </cell>
          <cell r="AQ816" t="str">
            <v>Autos détail</v>
          </cell>
          <cell r="AR816" t="str">
            <v>$</v>
          </cell>
          <cell r="AS816">
            <v>0</v>
          </cell>
          <cell r="AW816">
            <v>0</v>
          </cell>
          <cell r="AY816" t="str">
            <v>NB</v>
          </cell>
        </row>
        <row r="817">
          <cell r="AM817">
            <v>0</v>
          </cell>
          <cell r="AP817" t="str">
            <v>Véhicules neufs</v>
          </cell>
          <cell r="AQ817" t="str">
            <v>Autos détail</v>
          </cell>
          <cell r="AR817" t="str">
            <v>$</v>
          </cell>
          <cell r="AS817">
            <v>0</v>
          </cell>
          <cell r="AW817">
            <v>0</v>
          </cell>
          <cell r="AY817" t="str">
            <v>NB</v>
          </cell>
        </row>
        <row r="818">
          <cell r="AM818">
            <v>0</v>
          </cell>
          <cell r="AP818" t="e">
            <v>#N/A</v>
          </cell>
          <cell r="AQ818" t="e">
            <v>#N/A</v>
          </cell>
          <cell r="AR818" t="str">
            <v>$</v>
          </cell>
          <cell r="AS818" t="e">
            <v>#N/A</v>
          </cell>
          <cell r="AW818">
            <v>0</v>
          </cell>
          <cell r="AY818" t="str">
            <v>NB</v>
          </cell>
        </row>
        <row r="819">
          <cell r="AM819">
            <v>0</v>
          </cell>
          <cell r="AP819" t="str">
            <v>Véhicules neufs</v>
          </cell>
          <cell r="AQ819" t="str">
            <v>Autos détail</v>
          </cell>
          <cell r="AR819" t="str">
            <v>$</v>
          </cell>
          <cell r="AS819">
            <v>0</v>
          </cell>
          <cell r="AW819">
            <v>0</v>
          </cell>
          <cell r="AY819" t="str">
            <v>NB</v>
          </cell>
        </row>
        <row r="820">
          <cell r="AM820">
            <v>0</v>
          </cell>
          <cell r="AP820" t="str">
            <v>Véhicules neufs</v>
          </cell>
          <cell r="AQ820" t="str">
            <v>Autos détail</v>
          </cell>
          <cell r="AR820" t="str">
            <v>$</v>
          </cell>
          <cell r="AS820">
            <v>0</v>
          </cell>
          <cell r="AW820">
            <v>0</v>
          </cell>
          <cell r="AY820" t="str">
            <v>NB</v>
          </cell>
        </row>
        <row r="821">
          <cell r="AM821">
            <v>0</v>
          </cell>
          <cell r="AP821" t="e">
            <v>#N/A</v>
          </cell>
          <cell r="AQ821" t="e">
            <v>#N/A</v>
          </cell>
          <cell r="AR821" t="str">
            <v>$</v>
          </cell>
          <cell r="AS821" t="e">
            <v>#N/A</v>
          </cell>
          <cell r="AW821">
            <v>0</v>
          </cell>
          <cell r="AY821" t="str">
            <v>NB</v>
          </cell>
        </row>
        <row r="822">
          <cell r="AM822">
            <v>0</v>
          </cell>
          <cell r="AP822" t="e">
            <v>#N/A</v>
          </cell>
          <cell r="AQ822" t="e">
            <v>#N/A</v>
          </cell>
          <cell r="AR822" t="str">
            <v>$</v>
          </cell>
          <cell r="AS822" t="e">
            <v>#N/A</v>
          </cell>
          <cell r="AW822">
            <v>0</v>
          </cell>
          <cell r="AY822" t="str">
            <v>NB</v>
          </cell>
        </row>
        <row r="823">
          <cell r="AM823">
            <v>125507.25</v>
          </cell>
          <cell r="AP823" t="str">
            <v>Véhicules neufs</v>
          </cell>
          <cell r="AQ823" t="str">
            <v>Camions electriques</v>
          </cell>
          <cell r="AR823" t="str">
            <v>$</v>
          </cell>
          <cell r="AS823">
            <v>0</v>
          </cell>
          <cell r="AW823">
            <v>0</v>
          </cell>
          <cell r="AY823" t="str">
            <v>NB</v>
          </cell>
        </row>
        <row r="824">
          <cell r="AM824">
            <v>0</v>
          </cell>
          <cell r="AP824" t="e">
            <v>#N/A</v>
          </cell>
          <cell r="AQ824" t="e">
            <v>#N/A</v>
          </cell>
          <cell r="AR824" t="str">
            <v>$</v>
          </cell>
          <cell r="AS824" t="e">
            <v>#N/A</v>
          </cell>
          <cell r="AW824">
            <v>0</v>
          </cell>
          <cell r="AY824" t="str">
            <v>NB</v>
          </cell>
        </row>
        <row r="825">
          <cell r="AM825">
            <v>0</v>
          </cell>
          <cell r="AP825" t="e">
            <v>#N/A</v>
          </cell>
          <cell r="AQ825" t="e">
            <v>#N/A</v>
          </cell>
          <cell r="AR825" t="str">
            <v>$</v>
          </cell>
          <cell r="AS825" t="e">
            <v>#N/A</v>
          </cell>
          <cell r="AW825">
            <v>0</v>
          </cell>
          <cell r="AY825" t="str">
            <v>NB</v>
          </cell>
        </row>
        <row r="826">
          <cell r="AM826">
            <v>0</v>
          </cell>
          <cell r="AP826" t="e">
            <v>#N/A</v>
          </cell>
          <cell r="AQ826" t="e">
            <v>#N/A</v>
          </cell>
          <cell r="AR826" t="str">
            <v>$</v>
          </cell>
          <cell r="AS826" t="e">
            <v>#N/A</v>
          </cell>
          <cell r="AW826">
            <v>0</v>
          </cell>
          <cell r="AY826" t="str">
            <v>NB</v>
          </cell>
        </row>
        <row r="827">
          <cell r="AM827">
            <v>0</v>
          </cell>
          <cell r="AP827" t="str">
            <v>Véhicules neufs</v>
          </cell>
          <cell r="AQ827" t="str">
            <v>Autos détail</v>
          </cell>
          <cell r="AR827" t="str">
            <v>$</v>
          </cell>
          <cell r="AS827">
            <v>0</v>
          </cell>
          <cell r="AW827">
            <v>0</v>
          </cell>
          <cell r="AY827" t="str">
            <v>NB</v>
          </cell>
        </row>
        <row r="828">
          <cell r="AM828">
            <v>0</v>
          </cell>
          <cell r="AP828" t="e">
            <v>#N/A</v>
          </cell>
          <cell r="AQ828" t="e">
            <v>#N/A</v>
          </cell>
          <cell r="AR828" t="str">
            <v>$</v>
          </cell>
          <cell r="AS828" t="e">
            <v>#N/A</v>
          </cell>
          <cell r="AW828">
            <v>0</v>
          </cell>
          <cell r="AY828" t="str">
            <v>NB</v>
          </cell>
        </row>
        <row r="829">
          <cell r="AM829">
            <v>0</v>
          </cell>
          <cell r="AP829" t="str">
            <v>Véhicules neufs</v>
          </cell>
          <cell r="AQ829" t="str">
            <v>Autos détail</v>
          </cell>
          <cell r="AR829" t="str">
            <v>$</v>
          </cell>
          <cell r="AS829">
            <v>0</v>
          </cell>
          <cell r="AW829">
            <v>0</v>
          </cell>
          <cell r="AY829" t="str">
            <v>NB</v>
          </cell>
        </row>
        <row r="830">
          <cell r="AM830">
            <v>0</v>
          </cell>
          <cell r="AP830" t="str">
            <v>Véhicules neufs</v>
          </cell>
          <cell r="AQ830" t="str">
            <v>Autos détail</v>
          </cell>
          <cell r="AR830" t="str">
            <v>$</v>
          </cell>
          <cell r="AS830">
            <v>0</v>
          </cell>
          <cell r="AW830">
            <v>0</v>
          </cell>
          <cell r="AY830" t="str">
            <v>NB</v>
          </cell>
        </row>
        <row r="831">
          <cell r="AM831">
            <v>0</v>
          </cell>
          <cell r="AP831">
            <v>0</v>
          </cell>
          <cell r="AQ831">
            <v>0</v>
          </cell>
          <cell r="AR831" t="str">
            <v>$</v>
          </cell>
          <cell r="AS831">
            <v>0</v>
          </cell>
          <cell r="AW831">
            <v>0</v>
          </cell>
          <cell r="AY831" t="str">
            <v>NB</v>
          </cell>
        </row>
        <row r="832">
          <cell r="AM832">
            <v>0</v>
          </cell>
          <cell r="AP832" t="e">
            <v>#N/A</v>
          </cell>
          <cell r="AQ832" t="e">
            <v>#N/A</v>
          </cell>
          <cell r="AR832" t="str">
            <v>$</v>
          </cell>
          <cell r="AS832" t="e">
            <v>#N/A</v>
          </cell>
          <cell r="AW832">
            <v>0</v>
          </cell>
          <cell r="AY832" t="str">
            <v>NB</v>
          </cell>
        </row>
        <row r="833">
          <cell r="AM833">
            <v>0</v>
          </cell>
          <cell r="AP833" t="e">
            <v>#N/A</v>
          </cell>
          <cell r="AQ833" t="e">
            <v>#N/A</v>
          </cell>
          <cell r="AR833" t="str">
            <v>$</v>
          </cell>
          <cell r="AS833" t="e">
            <v>#N/A</v>
          </cell>
          <cell r="AW833">
            <v>0</v>
          </cell>
          <cell r="AY833" t="str">
            <v>NB</v>
          </cell>
        </row>
        <row r="834">
          <cell r="AM834">
            <v>0</v>
          </cell>
          <cell r="AP834">
            <v>0</v>
          </cell>
          <cell r="AQ834">
            <v>0</v>
          </cell>
          <cell r="AR834" t="str">
            <v>$</v>
          </cell>
          <cell r="AS834">
            <v>0</v>
          </cell>
          <cell r="AW834">
            <v>0</v>
          </cell>
          <cell r="AY834" t="str">
            <v>NB</v>
          </cell>
        </row>
        <row r="835">
          <cell r="AM835">
            <v>0</v>
          </cell>
          <cell r="AP835" t="e">
            <v>#N/A</v>
          </cell>
          <cell r="AQ835" t="e">
            <v>#N/A</v>
          </cell>
          <cell r="AR835" t="str">
            <v>$</v>
          </cell>
          <cell r="AS835" t="e">
            <v>#N/A</v>
          </cell>
          <cell r="AW835">
            <v>0</v>
          </cell>
          <cell r="AY835" t="str">
            <v>NB</v>
          </cell>
        </row>
        <row r="836">
          <cell r="AM836">
            <v>0</v>
          </cell>
          <cell r="AP836" t="e">
            <v>#N/A</v>
          </cell>
          <cell r="AQ836" t="e">
            <v>#N/A</v>
          </cell>
          <cell r="AR836" t="str">
            <v>$</v>
          </cell>
          <cell r="AS836" t="e">
            <v>#N/A</v>
          </cell>
          <cell r="AW836">
            <v>0</v>
          </cell>
          <cell r="AY836" t="str">
            <v>NB</v>
          </cell>
        </row>
        <row r="837">
          <cell r="AM837">
            <v>0</v>
          </cell>
          <cell r="AP837" t="e">
            <v>#N/A</v>
          </cell>
          <cell r="AQ837" t="e">
            <v>#N/A</v>
          </cell>
          <cell r="AR837" t="str">
            <v>$</v>
          </cell>
          <cell r="AS837" t="e">
            <v>#N/A</v>
          </cell>
          <cell r="AW837">
            <v>0</v>
          </cell>
          <cell r="AY837" t="str">
            <v>NB</v>
          </cell>
        </row>
        <row r="838">
          <cell r="AM838">
            <v>0</v>
          </cell>
          <cell r="AP838" t="e">
            <v>#N/A</v>
          </cell>
          <cell r="AQ838" t="e">
            <v>#N/A</v>
          </cell>
          <cell r="AR838" t="str">
            <v>$</v>
          </cell>
          <cell r="AS838" t="e">
            <v>#N/A</v>
          </cell>
          <cell r="AW838">
            <v>0</v>
          </cell>
          <cell r="AY838" t="str">
            <v>NB</v>
          </cell>
        </row>
        <row r="839">
          <cell r="AM839">
            <v>0</v>
          </cell>
          <cell r="AP839" t="e">
            <v>#N/A</v>
          </cell>
          <cell r="AQ839" t="e">
            <v>#N/A</v>
          </cell>
          <cell r="AR839" t="str">
            <v>$</v>
          </cell>
          <cell r="AS839" t="e">
            <v>#N/A</v>
          </cell>
          <cell r="AW839">
            <v>0</v>
          </cell>
          <cell r="AY839" t="str">
            <v>NB</v>
          </cell>
        </row>
        <row r="840">
          <cell r="AM840">
            <v>0</v>
          </cell>
          <cell r="AP840" t="e">
            <v>#N/A</v>
          </cell>
          <cell r="AQ840" t="e">
            <v>#N/A</v>
          </cell>
          <cell r="AR840" t="str">
            <v>$</v>
          </cell>
          <cell r="AS840" t="e">
            <v>#N/A</v>
          </cell>
          <cell r="AW840">
            <v>0</v>
          </cell>
          <cell r="AY840" t="str">
            <v>NB</v>
          </cell>
        </row>
        <row r="841">
          <cell r="AM841">
            <v>102206.98999999993</v>
          </cell>
          <cell r="AP841" t="str">
            <v>Véhicules neufs</v>
          </cell>
          <cell r="AQ841" t="str">
            <v>Camions détail</v>
          </cell>
          <cell r="AR841" t="str">
            <v>$</v>
          </cell>
          <cell r="AS841">
            <v>0</v>
          </cell>
          <cell r="AW841">
            <v>0</v>
          </cell>
          <cell r="AY841" t="str">
            <v>NB</v>
          </cell>
        </row>
        <row r="842">
          <cell r="AM842">
            <v>587730.39999999991</v>
          </cell>
          <cell r="AP842" t="str">
            <v>Véhicules neufs</v>
          </cell>
          <cell r="AQ842" t="str">
            <v>Camions electriques</v>
          </cell>
          <cell r="AR842" t="str">
            <v>$</v>
          </cell>
          <cell r="AS842">
            <v>0</v>
          </cell>
          <cell r="AW842">
            <v>0</v>
          </cell>
          <cell r="AY842" t="str">
            <v>NB</v>
          </cell>
        </row>
        <row r="843">
          <cell r="AM843">
            <v>0</v>
          </cell>
          <cell r="AP843" t="e">
            <v>#N/A</v>
          </cell>
          <cell r="AQ843" t="e">
            <v>#N/A</v>
          </cell>
          <cell r="AR843" t="str">
            <v>$</v>
          </cell>
          <cell r="AS843" t="e">
            <v>#N/A</v>
          </cell>
          <cell r="AW843">
            <v>0</v>
          </cell>
          <cell r="AY843" t="str">
            <v>NB</v>
          </cell>
        </row>
        <row r="844">
          <cell r="AM844">
            <v>0</v>
          </cell>
          <cell r="AP844" t="str">
            <v>Véhicules neufs</v>
          </cell>
          <cell r="AQ844" t="str">
            <v>Camions détail</v>
          </cell>
          <cell r="AR844" t="str">
            <v>$</v>
          </cell>
          <cell r="AS844">
            <v>0</v>
          </cell>
          <cell r="AW844">
            <v>0</v>
          </cell>
          <cell r="AY844" t="str">
            <v>NB</v>
          </cell>
        </row>
        <row r="845">
          <cell r="AM845">
            <v>0</v>
          </cell>
          <cell r="AP845" t="str">
            <v>Véhicules neufs</v>
          </cell>
          <cell r="AQ845" t="str">
            <v>Camions electriques</v>
          </cell>
          <cell r="AR845" t="str">
            <v>$</v>
          </cell>
          <cell r="AS845">
            <v>0</v>
          </cell>
          <cell r="AW845">
            <v>0</v>
          </cell>
          <cell r="AY845" t="str">
            <v>NB</v>
          </cell>
        </row>
        <row r="846">
          <cell r="AM846">
            <v>0</v>
          </cell>
          <cell r="AP846" t="e">
            <v>#N/A</v>
          </cell>
          <cell r="AQ846" t="e">
            <v>#N/A</v>
          </cell>
          <cell r="AR846" t="str">
            <v>$</v>
          </cell>
          <cell r="AS846" t="e">
            <v>#N/A</v>
          </cell>
          <cell r="AW846">
            <v>0</v>
          </cell>
          <cell r="AY846" t="str">
            <v>NB</v>
          </cell>
        </row>
        <row r="847">
          <cell r="AM847">
            <v>0</v>
          </cell>
          <cell r="AP847" t="e">
            <v>#N/A</v>
          </cell>
          <cell r="AQ847" t="e">
            <v>#N/A</v>
          </cell>
          <cell r="AR847" t="str">
            <v>$</v>
          </cell>
          <cell r="AS847" t="e">
            <v>#N/A</v>
          </cell>
          <cell r="AW847">
            <v>0</v>
          </cell>
          <cell r="AY847" t="str">
            <v>NB</v>
          </cell>
        </row>
        <row r="848">
          <cell r="AM848">
            <v>116643.35000000003</v>
          </cell>
          <cell r="AP848" t="str">
            <v>Véhicules neufs</v>
          </cell>
          <cell r="AQ848" t="str">
            <v>Camions détail</v>
          </cell>
          <cell r="AR848" t="str">
            <v>$</v>
          </cell>
          <cell r="AS848">
            <v>0</v>
          </cell>
          <cell r="AW848">
            <v>0</v>
          </cell>
          <cell r="AY848" t="str">
            <v>NB</v>
          </cell>
        </row>
        <row r="849">
          <cell r="AM849">
            <v>54331.979999999996</v>
          </cell>
          <cell r="AP849" t="str">
            <v>Véhicules neufs</v>
          </cell>
          <cell r="AQ849" t="str">
            <v>Camions détail</v>
          </cell>
          <cell r="AR849" t="str">
            <v>$</v>
          </cell>
          <cell r="AS849">
            <v>0</v>
          </cell>
          <cell r="AW849">
            <v>0</v>
          </cell>
          <cell r="AY849" t="str">
            <v>NB</v>
          </cell>
        </row>
        <row r="850">
          <cell r="AM850">
            <v>55415</v>
          </cell>
          <cell r="AP850" t="str">
            <v>Véhicules neufs</v>
          </cell>
          <cell r="AQ850" t="str">
            <v>Camions détail</v>
          </cell>
          <cell r="AR850" t="str">
            <v>$</v>
          </cell>
          <cell r="AS850">
            <v>0</v>
          </cell>
          <cell r="AW850">
            <v>0</v>
          </cell>
          <cell r="AY850" t="str">
            <v>NB</v>
          </cell>
        </row>
        <row r="851">
          <cell r="AM851">
            <v>0</v>
          </cell>
          <cell r="AP851" t="str">
            <v>Véhicules neufs</v>
          </cell>
          <cell r="AQ851" t="str">
            <v>Camions détail</v>
          </cell>
          <cell r="AR851" t="str">
            <v>$</v>
          </cell>
          <cell r="AS851">
            <v>0</v>
          </cell>
          <cell r="AW851">
            <v>0</v>
          </cell>
          <cell r="AY851" t="str">
            <v>NB</v>
          </cell>
        </row>
        <row r="852">
          <cell r="AM852">
            <v>0</v>
          </cell>
          <cell r="AP852" t="e">
            <v>#N/A</v>
          </cell>
          <cell r="AQ852" t="e">
            <v>#N/A</v>
          </cell>
          <cell r="AR852" t="str">
            <v>$</v>
          </cell>
          <cell r="AS852" t="e">
            <v>#N/A</v>
          </cell>
          <cell r="AW852">
            <v>0</v>
          </cell>
          <cell r="AY852" t="str">
            <v>NB</v>
          </cell>
        </row>
        <row r="853">
          <cell r="AM853">
            <v>0</v>
          </cell>
          <cell r="AP853" t="str">
            <v>Véhicules neufs</v>
          </cell>
          <cell r="AQ853" t="str">
            <v>Camions détail</v>
          </cell>
          <cell r="AR853" t="str">
            <v>$</v>
          </cell>
          <cell r="AS853">
            <v>0</v>
          </cell>
          <cell r="AW853">
            <v>0</v>
          </cell>
          <cell r="AY853" t="str">
            <v>NB</v>
          </cell>
        </row>
        <row r="854">
          <cell r="AM854">
            <v>0</v>
          </cell>
          <cell r="AP854" t="str">
            <v>Véhicules neufs</v>
          </cell>
          <cell r="AQ854" t="str">
            <v>Camions détail</v>
          </cell>
          <cell r="AR854" t="str">
            <v>$</v>
          </cell>
          <cell r="AS854">
            <v>0</v>
          </cell>
          <cell r="AW854">
            <v>0</v>
          </cell>
          <cell r="AY854" t="str">
            <v>NB</v>
          </cell>
        </row>
        <row r="855">
          <cell r="AM855">
            <v>36708.800000000017</v>
          </cell>
          <cell r="AP855" t="str">
            <v>Véhicules neufs</v>
          </cell>
          <cell r="AQ855" t="str">
            <v>Camions détail</v>
          </cell>
          <cell r="AR855" t="str">
            <v>$</v>
          </cell>
          <cell r="AS855">
            <v>0</v>
          </cell>
          <cell r="AW855">
            <v>0</v>
          </cell>
          <cell r="AY855" t="str">
            <v>NB</v>
          </cell>
        </row>
        <row r="856">
          <cell r="AM856">
            <v>0</v>
          </cell>
          <cell r="AP856" t="e">
            <v>#N/A</v>
          </cell>
          <cell r="AQ856" t="e">
            <v>#N/A</v>
          </cell>
          <cell r="AR856" t="str">
            <v>$</v>
          </cell>
          <cell r="AS856" t="e">
            <v>#N/A</v>
          </cell>
          <cell r="AW856">
            <v>0</v>
          </cell>
          <cell r="AY856" t="str">
            <v>NB</v>
          </cell>
        </row>
        <row r="857">
          <cell r="AM857">
            <v>84571.38</v>
          </cell>
          <cell r="AP857" t="str">
            <v>Véhicules neufs</v>
          </cell>
          <cell r="AQ857" t="str">
            <v>Camions détail</v>
          </cell>
          <cell r="AR857" t="str">
            <v>$</v>
          </cell>
          <cell r="AS857">
            <v>0</v>
          </cell>
          <cell r="AW857">
            <v>0</v>
          </cell>
          <cell r="AY857" t="str">
            <v>NB</v>
          </cell>
        </row>
        <row r="858">
          <cell r="AM858">
            <v>93806.449999999953</v>
          </cell>
          <cell r="AP858" t="str">
            <v>Véhicules neufs</v>
          </cell>
          <cell r="AQ858" t="str">
            <v>Camions détail</v>
          </cell>
          <cell r="AR858" t="str">
            <v>$</v>
          </cell>
          <cell r="AS858">
            <v>0</v>
          </cell>
          <cell r="AW858">
            <v>0</v>
          </cell>
          <cell r="AY858" t="str">
            <v>NB</v>
          </cell>
        </row>
        <row r="859">
          <cell r="AM859">
            <v>134853.02000000002</v>
          </cell>
          <cell r="AP859" t="str">
            <v>Véhicules neufs</v>
          </cell>
          <cell r="AQ859" t="str">
            <v>Camions détail</v>
          </cell>
          <cell r="AR859" t="str">
            <v>$</v>
          </cell>
          <cell r="AS859">
            <v>0</v>
          </cell>
          <cell r="AW859">
            <v>0</v>
          </cell>
          <cell r="AY859" t="str">
            <v>NB</v>
          </cell>
        </row>
        <row r="860">
          <cell r="AM860">
            <v>0</v>
          </cell>
          <cell r="AP860" t="str">
            <v>Véhicules neufs</v>
          </cell>
          <cell r="AQ860" t="str">
            <v>Camions electriques</v>
          </cell>
          <cell r="AR860" t="str">
            <v>$</v>
          </cell>
          <cell r="AS860">
            <v>0</v>
          </cell>
          <cell r="AW860">
            <v>0</v>
          </cell>
          <cell r="AY860" t="str">
            <v>NB</v>
          </cell>
        </row>
        <row r="861">
          <cell r="AM861">
            <v>90867.419999999925</v>
          </cell>
          <cell r="AP861" t="str">
            <v>Véhicules neufs</v>
          </cell>
          <cell r="AQ861" t="str">
            <v>Camions détail</v>
          </cell>
          <cell r="AR861" t="str">
            <v>$</v>
          </cell>
          <cell r="AS861">
            <v>0</v>
          </cell>
          <cell r="AW861">
            <v>0</v>
          </cell>
          <cell r="AY861" t="str">
            <v>NB</v>
          </cell>
        </row>
        <row r="862">
          <cell r="AM862">
            <v>0</v>
          </cell>
          <cell r="AP862" t="e">
            <v>#N/A</v>
          </cell>
          <cell r="AQ862" t="e">
            <v>#N/A</v>
          </cell>
          <cell r="AR862" t="str">
            <v>$</v>
          </cell>
          <cell r="AS862" t="e">
            <v>#N/A</v>
          </cell>
          <cell r="AW862">
            <v>0</v>
          </cell>
          <cell r="AY862" t="str">
            <v>NB</v>
          </cell>
        </row>
        <row r="863">
          <cell r="AM863">
            <v>194691.26</v>
          </cell>
          <cell r="AP863" t="str">
            <v>Véhicules neufs</v>
          </cell>
          <cell r="AQ863" t="str">
            <v>Camions détail</v>
          </cell>
          <cell r="AR863" t="str">
            <v>$</v>
          </cell>
          <cell r="AS863">
            <v>0</v>
          </cell>
          <cell r="AW863">
            <v>0</v>
          </cell>
          <cell r="AY863" t="str">
            <v>NB</v>
          </cell>
        </row>
        <row r="864">
          <cell r="AM864">
            <v>578363.98</v>
          </cell>
          <cell r="AP864" t="str">
            <v>Véhicules neufs</v>
          </cell>
          <cell r="AQ864" t="str">
            <v>Camions détail</v>
          </cell>
          <cell r="AR864" t="str">
            <v>$</v>
          </cell>
          <cell r="AS864">
            <v>0</v>
          </cell>
          <cell r="AW864">
            <v>0</v>
          </cell>
          <cell r="AY864" t="str">
            <v>NB</v>
          </cell>
        </row>
        <row r="865">
          <cell r="AM865">
            <v>0</v>
          </cell>
          <cell r="AP865" t="str">
            <v>Véhicules neufs</v>
          </cell>
          <cell r="AQ865" t="str">
            <v>Camions electriques</v>
          </cell>
          <cell r="AR865" t="str">
            <v>$</v>
          </cell>
          <cell r="AS865">
            <v>0</v>
          </cell>
          <cell r="AW865">
            <v>0</v>
          </cell>
          <cell r="AY865" t="str">
            <v>NB</v>
          </cell>
        </row>
        <row r="866">
          <cell r="AM866">
            <v>0</v>
          </cell>
          <cell r="AP866" t="e">
            <v>#N/A</v>
          </cell>
          <cell r="AQ866" t="e">
            <v>#N/A</v>
          </cell>
          <cell r="AR866" t="str">
            <v>$</v>
          </cell>
          <cell r="AS866" t="e">
            <v>#N/A</v>
          </cell>
          <cell r="AW866">
            <v>0</v>
          </cell>
          <cell r="AY866" t="str">
            <v>NB</v>
          </cell>
        </row>
        <row r="867">
          <cell r="AM867">
            <v>0</v>
          </cell>
          <cell r="AP867" t="str">
            <v>Véhicules neufs</v>
          </cell>
          <cell r="AQ867" t="str">
            <v>Camions détail</v>
          </cell>
          <cell r="AR867" t="str">
            <v>$</v>
          </cell>
          <cell r="AS867">
            <v>0</v>
          </cell>
          <cell r="AW867">
            <v>0</v>
          </cell>
          <cell r="AY867" t="str">
            <v>NB</v>
          </cell>
        </row>
        <row r="868">
          <cell r="AM868">
            <v>104025.05000000005</v>
          </cell>
          <cell r="AP868" t="str">
            <v>Véhicules neufs</v>
          </cell>
          <cell r="AQ868" t="str">
            <v>Camions détail</v>
          </cell>
          <cell r="AR868" t="str">
            <v>$</v>
          </cell>
          <cell r="AS868">
            <v>0</v>
          </cell>
          <cell r="AW868">
            <v>0</v>
          </cell>
          <cell r="AY868" t="str">
            <v>NB</v>
          </cell>
        </row>
        <row r="869">
          <cell r="AM869">
            <v>0</v>
          </cell>
          <cell r="AP869" t="str">
            <v>Véhicules neufs</v>
          </cell>
          <cell r="AQ869" t="str">
            <v>Camions détail</v>
          </cell>
          <cell r="AR869" t="str">
            <v>$</v>
          </cell>
          <cell r="AS869">
            <v>0</v>
          </cell>
          <cell r="AW869">
            <v>0</v>
          </cell>
          <cell r="AY869" t="str">
            <v>NB</v>
          </cell>
        </row>
        <row r="870">
          <cell r="AM870">
            <v>0</v>
          </cell>
          <cell r="AP870" t="str">
            <v>Véhicules neufs</v>
          </cell>
          <cell r="AQ870" t="str">
            <v>Camions détail</v>
          </cell>
          <cell r="AR870" t="str">
            <v>$</v>
          </cell>
          <cell r="AS870">
            <v>0</v>
          </cell>
          <cell r="AW870">
            <v>0</v>
          </cell>
          <cell r="AY870" t="str">
            <v>NB</v>
          </cell>
        </row>
        <row r="871">
          <cell r="AM871">
            <v>0</v>
          </cell>
          <cell r="AP871" t="str">
            <v>Véhicules neufs</v>
          </cell>
          <cell r="AQ871" t="str">
            <v>Camions electriques</v>
          </cell>
          <cell r="AR871" t="str">
            <v>$</v>
          </cell>
          <cell r="AS871">
            <v>0</v>
          </cell>
          <cell r="AW871">
            <v>0</v>
          </cell>
          <cell r="AY871" t="str">
            <v>NB</v>
          </cell>
        </row>
        <row r="872">
          <cell r="AM872">
            <v>0</v>
          </cell>
          <cell r="AP872" t="e">
            <v>#N/A</v>
          </cell>
          <cell r="AQ872" t="e">
            <v>#N/A</v>
          </cell>
          <cell r="AR872" t="str">
            <v>$</v>
          </cell>
          <cell r="AS872" t="e">
            <v>#N/A</v>
          </cell>
          <cell r="AW872">
            <v>0</v>
          </cell>
          <cell r="AY872" t="str">
            <v>NB</v>
          </cell>
        </row>
        <row r="873">
          <cell r="AM873">
            <v>0</v>
          </cell>
          <cell r="AP873" t="str">
            <v>Véhicules neufs</v>
          </cell>
          <cell r="AQ873" t="str">
            <v>Camions détail</v>
          </cell>
          <cell r="AR873" t="str">
            <v>$</v>
          </cell>
          <cell r="AS873">
            <v>0</v>
          </cell>
          <cell r="AW873">
            <v>0</v>
          </cell>
          <cell r="AY873" t="str">
            <v>NB</v>
          </cell>
        </row>
        <row r="874">
          <cell r="AM874">
            <v>470813.4299999997</v>
          </cell>
          <cell r="AP874" t="str">
            <v>Véhicules neufs</v>
          </cell>
          <cell r="AQ874" t="str">
            <v>Camions electriques</v>
          </cell>
          <cell r="AR874" t="str">
            <v>$</v>
          </cell>
          <cell r="AS874">
            <v>0</v>
          </cell>
          <cell r="AW874">
            <v>0</v>
          </cell>
          <cell r="AY874" t="str">
            <v>NB</v>
          </cell>
        </row>
        <row r="875">
          <cell r="AM875">
            <v>0</v>
          </cell>
          <cell r="AP875" t="e">
            <v>#N/A</v>
          </cell>
          <cell r="AQ875" t="e">
            <v>#N/A</v>
          </cell>
          <cell r="AR875" t="str">
            <v>$</v>
          </cell>
          <cell r="AS875" t="e">
            <v>#N/A</v>
          </cell>
          <cell r="AW875">
            <v>0</v>
          </cell>
          <cell r="AY875" t="str">
            <v>NB</v>
          </cell>
        </row>
        <row r="876">
          <cell r="AM876">
            <v>0</v>
          </cell>
          <cell r="AP876" t="str">
            <v>Véhicules neufs</v>
          </cell>
          <cell r="AQ876" t="str">
            <v>Camions détail</v>
          </cell>
          <cell r="AR876" t="str">
            <v>$</v>
          </cell>
          <cell r="AS876">
            <v>0</v>
          </cell>
          <cell r="AW876">
            <v>0</v>
          </cell>
          <cell r="AY876" t="str">
            <v>NB</v>
          </cell>
        </row>
        <row r="877">
          <cell r="AM877">
            <v>0</v>
          </cell>
          <cell r="AP877" t="str">
            <v>Véhicules neufs</v>
          </cell>
          <cell r="AQ877" t="str">
            <v>Camions electriques</v>
          </cell>
          <cell r="AR877" t="str">
            <v>$</v>
          </cell>
          <cell r="AS877">
            <v>0</v>
          </cell>
          <cell r="AW877">
            <v>0</v>
          </cell>
          <cell r="AY877" t="str">
            <v>NB</v>
          </cell>
        </row>
        <row r="878">
          <cell r="AM878">
            <v>0</v>
          </cell>
          <cell r="AP878" t="e">
            <v>#N/A</v>
          </cell>
          <cell r="AQ878" t="e">
            <v>#N/A</v>
          </cell>
          <cell r="AR878" t="str">
            <v>$</v>
          </cell>
          <cell r="AS878" t="e">
            <v>#N/A</v>
          </cell>
          <cell r="AW878">
            <v>0</v>
          </cell>
          <cell r="AY878" t="str">
            <v>NB</v>
          </cell>
        </row>
        <row r="879">
          <cell r="AM879">
            <v>34702.300000000017</v>
          </cell>
          <cell r="AP879" t="str">
            <v>Véhicules neufs</v>
          </cell>
          <cell r="AQ879" t="str">
            <v>Camions détail</v>
          </cell>
          <cell r="AR879" t="str">
            <v>$</v>
          </cell>
          <cell r="AS879">
            <v>0</v>
          </cell>
          <cell r="AW879">
            <v>0</v>
          </cell>
          <cell r="AY879" t="str">
            <v>NB</v>
          </cell>
        </row>
        <row r="880">
          <cell r="AM880">
            <v>0</v>
          </cell>
          <cell r="AP880" t="str">
            <v>Véhicules neufs</v>
          </cell>
          <cell r="AQ880" t="str">
            <v>Camions détail</v>
          </cell>
          <cell r="AR880" t="str">
            <v>$</v>
          </cell>
          <cell r="AS880">
            <v>0</v>
          </cell>
          <cell r="AW880">
            <v>0</v>
          </cell>
          <cell r="AY880" t="str">
            <v>NB</v>
          </cell>
        </row>
        <row r="881">
          <cell r="AM881">
            <v>0</v>
          </cell>
          <cell r="AP881" t="e">
            <v>#N/A</v>
          </cell>
          <cell r="AQ881" t="e">
            <v>#N/A</v>
          </cell>
          <cell r="AR881" t="str">
            <v>$</v>
          </cell>
          <cell r="AS881" t="e">
            <v>#N/A</v>
          </cell>
          <cell r="AW881">
            <v>0</v>
          </cell>
          <cell r="AY881" t="str">
            <v>NB</v>
          </cell>
        </row>
        <row r="882">
          <cell r="AM882">
            <v>0</v>
          </cell>
          <cell r="AP882" t="e">
            <v>#N/A</v>
          </cell>
          <cell r="AQ882" t="e">
            <v>#N/A</v>
          </cell>
          <cell r="AR882" t="str">
            <v>$</v>
          </cell>
          <cell r="AS882" t="e">
            <v>#N/A</v>
          </cell>
          <cell r="AW882">
            <v>0</v>
          </cell>
          <cell r="AY882" t="str">
            <v>NB</v>
          </cell>
        </row>
        <row r="883">
          <cell r="AM883">
            <v>2503230.049999997</v>
          </cell>
          <cell r="AP883" t="str">
            <v>Véhicules neufs</v>
          </cell>
          <cell r="AQ883" t="str">
            <v>Flottes</v>
          </cell>
          <cell r="AR883" t="str">
            <v>$</v>
          </cell>
          <cell r="AS883">
            <v>0</v>
          </cell>
          <cell r="AW883">
            <v>0</v>
          </cell>
          <cell r="AY883" t="str">
            <v>NB</v>
          </cell>
        </row>
        <row r="884">
          <cell r="AM884">
            <v>0</v>
          </cell>
          <cell r="AP884" t="str">
            <v>Véhicules neufs</v>
          </cell>
          <cell r="AQ884" t="str">
            <v>Flottes</v>
          </cell>
          <cell r="AR884" t="str">
            <v>$</v>
          </cell>
          <cell r="AS884">
            <v>0</v>
          </cell>
          <cell r="AW884">
            <v>0</v>
          </cell>
          <cell r="AY884" t="str">
            <v>NB</v>
          </cell>
        </row>
        <row r="885">
          <cell r="AM885">
            <v>0</v>
          </cell>
          <cell r="AP885" t="e">
            <v>#N/A</v>
          </cell>
          <cell r="AQ885" t="e">
            <v>#N/A</v>
          </cell>
          <cell r="AR885" t="str">
            <v>$</v>
          </cell>
          <cell r="AS885" t="e">
            <v>#N/A</v>
          </cell>
          <cell r="AW885">
            <v>0</v>
          </cell>
          <cell r="AY885" t="str">
            <v>NB</v>
          </cell>
        </row>
        <row r="886">
          <cell r="AM886">
            <v>27938.319999999978</v>
          </cell>
          <cell r="AP886" t="str">
            <v>Véhicules neufs</v>
          </cell>
          <cell r="AQ886" t="str">
            <v>Rev. Protections</v>
          </cell>
          <cell r="AR886" t="str">
            <v>$</v>
          </cell>
          <cell r="AS886">
            <v>0</v>
          </cell>
          <cell r="AW886">
            <v>0</v>
          </cell>
          <cell r="AY886" t="str">
            <v>NB</v>
          </cell>
        </row>
        <row r="887">
          <cell r="AM887">
            <v>0</v>
          </cell>
          <cell r="AP887" t="str">
            <v>Véhicules neufs</v>
          </cell>
          <cell r="AQ887" t="str">
            <v>Rev. Protections</v>
          </cell>
          <cell r="AR887" t="str">
            <v>$</v>
          </cell>
          <cell r="AS887">
            <v>0</v>
          </cell>
          <cell r="AW887">
            <v>0</v>
          </cell>
          <cell r="AY887" t="str">
            <v>NB</v>
          </cell>
        </row>
        <row r="888">
          <cell r="AM888">
            <v>727.69000000000051</v>
          </cell>
          <cell r="AP888" t="str">
            <v>Véhicules neufs</v>
          </cell>
          <cell r="AQ888" t="str">
            <v>Rev. Autres</v>
          </cell>
          <cell r="AR888" t="str">
            <v>$</v>
          </cell>
          <cell r="AS888">
            <v>0</v>
          </cell>
          <cell r="AW888">
            <v>0</v>
          </cell>
          <cell r="AY888" t="str">
            <v>NB</v>
          </cell>
        </row>
        <row r="889">
          <cell r="AM889">
            <v>4195.0000000000009</v>
          </cell>
          <cell r="AP889" t="str">
            <v>Véhicules neufs</v>
          </cell>
          <cell r="AQ889" t="str">
            <v>Rev. Autres</v>
          </cell>
          <cell r="AR889" t="str">
            <v>$</v>
          </cell>
          <cell r="AS889">
            <v>0</v>
          </cell>
          <cell r="AW889">
            <v>0</v>
          </cell>
          <cell r="AY889" t="str">
            <v>NB</v>
          </cell>
        </row>
        <row r="890">
          <cell r="AM890">
            <v>0</v>
          </cell>
          <cell r="AP890" t="str">
            <v>Véhicules neufs</v>
          </cell>
          <cell r="AQ890" t="str">
            <v>Rev. Protections</v>
          </cell>
          <cell r="AR890" t="str">
            <v>$</v>
          </cell>
          <cell r="AS890">
            <v>0</v>
          </cell>
          <cell r="AW890">
            <v>0</v>
          </cell>
          <cell r="AY890" t="str">
            <v>NB</v>
          </cell>
        </row>
        <row r="891">
          <cell r="AM891">
            <v>2938.119999999999</v>
          </cell>
          <cell r="AP891" t="str">
            <v>Véhicules neufs</v>
          </cell>
          <cell r="AQ891" t="str">
            <v>Rev. Autres</v>
          </cell>
          <cell r="AR891" t="str">
            <v>$</v>
          </cell>
          <cell r="AS891">
            <v>0</v>
          </cell>
          <cell r="AW891">
            <v>0</v>
          </cell>
          <cell r="AY891" t="str">
            <v>NB</v>
          </cell>
        </row>
        <row r="892">
          <cell r="AM892">
            <v>0</v>
          </cell>
          <cell r="AP892" t="str">
            <v>Véhicules usagés</v>
          </cell>
          <cell r="AQ892" t="str">
            <v>Certifié</v>
          </cell>
          <cell r="AR892" t="str">
            <v>$</v>
          </cell>
          <cell r="AS892">
            <v>0</v>
          </cell>
          <cell r="AW892">
            <v>0</v>
          </cell>
          <cell r="AY892" t="str">
            <v>NB</v>
          </cell>
        </row>
        <row r="893">
          <cell r="AM893">
            <v>14158.489999999991</v>
          </cell>
          <cell r="AP893" t="str">
            <v>Véhicules usagés</v>
          </cell>
          <cell r="AQ893" t="str">
            <v>Non Certifié</v>
          </cell>
          <cell r="AR893" t="str">
            <v>$</v>
          </cell>
          <cell r="AS893">
            <v>0</v>
          </cell>
          <cell r="AW893">
            <v>0</v>
          </cell>
          <cell r="AY893" t="str">
            <v>NB</v>
          </cell>
        </row>
        <row r="894">
          <cell r="AM894">
            <v>0</v>
          </cell>
          <cell r="AP894" t="str">
            <v>Véhicules usagés</v>
          </cell>
          <cell r="AQ894" t="str">
            <v>Autres Marques</v>
          </cell>
          <cell r="AR894" t="str">
            <v>$</v>
          </cell>
          <cell r="AS894">
            <v>0</v>
          </cell>
          <cell r="AW894">
            <v>0</v>
          </cell>
          <cell r="AY894" t="str">
            <v>NB</v>
          </cell>
        </row>
        <row r="895">
          <cell r="AM895">
            <v>0</v>
          </cell>
          <cell r="AP895">
            <v>0</v>
          </cell>
          <cell r="AQ895">
            <v>0</v>
          </cell>
          <cell r="AR895" t="str">
            <v>$</v>
          </cell>
          <cell r="AS895">
            <v>0</v>
          </cell>
          <cell r="AW895">
            <v>0</v>
          </cell>
          <cell r="AY895" t="str">
            <v>NB</v>
          </cell>
        </row>
        <row r="896">
          <cell r="AM896">
            <v>0</v>
          </cell>
          <cell r="AP896" t="str">
            <v>Véhicules usagés</v>
          </cell>
          <cell r="AQ896" t="str">
            <v>Certifié</v>
          </cell>
          <cell r="AR896" t="str">
            <v>$</v>
          </cell>
          <cell r="AS896">
            <v>0</v>
          </cell>
          <cell r="AW896">
            <v>0</v>
          </cell>
          <cell r="AY896" t="str">
            <v>NB</v>
          </cell>
        </row>
        <row r="897">
          <cell r="AM897">
            <v>0</v>
          </cell>
          <cell r="AP897">
            <v>0</v>
          </cell>
          <cell r="AQ897">
            <v>0</v>
          </cell>
          <cell r="AR897" t="str">
            <v>$</v>
          </cell>
          <cell r="AS897">
            <v>0</v>
          </cell>
          <cell r="AW897">
            <v>0</v>
          </cell>
          <cell r="AY897" t="str">
            <v>NB</v>
          </cell>
        </row>
        <row r="898">
          <cell r="AM898">
            <v>0</v>
          </cell>
          <cell r="AP898">
            <v>0</v>
          </cell>
          <cell r="AQ898">
            <v>0</v>
          </cell>
          <cell r="AR898" t="str">
            <v>$</v>
          </cell>
          <cell r="AS898">
            <v>0</v>
          </cell>
          <cell r="AW898">
            <v>0</v>
          </cell>
          <cell r="AY898" t="str">
            <v>NB</v>
          </cell>
        </row>
        <row r="899">
          <cell r="AM899">
            <v>0</v>
          </cell>
          <cell r="AP899">
            <v>0</v>
          </cell>
          <cell r="AQ899">
            <v>0</v>
          </cell>
          <cell r="AR899" t="str">
            <v>$</v>
          </cell>
          <cell r="AS899">
            <v>0</v>
          </cell>
          <cell r="AW899">
            <v>0</v>
          </cell>
          <cell r="AY899" t="str">
            <v>NB</v>
          </cell>
        </row>
        <row r="900">
          <cell r="AM900">
            <v>96341.650000000023</v>
          </cell>
          <cell r="AP900" t="str">
            <v>Véhicules usagés</v>
          </cell>
          <cell r="AQ900" t="str">
            <v>Ventes au Gros</v>
          </cell>
          <cell r="AR900" t="str">
            <v>$</v>
          </cell>
          <cell r="AS900">
            <v>0</v>
          </cell>
          <cell r="AW900">
            <v>0</v>
          </cell>
          <cell r="AY900" t="str">
            <v>NB</v>
          </cell>
        </row>
        <row r="901">
          <cell r="AM901">
            <v>0</v>
          </cell>
          <cell r="AP901">
            <v>0</v>
          </cell>
          <cell r="AQ901">
            <v>0</v>
          </cell>
          <cell r="AR901" t="str">
            <v>$</v>
          </cell>
          <cell r="AS901">
            <v>0</v>
          </cell>
          <cell r="AW901">
            <v>0</v>
          </cell>
          <cell r="AY901" t="str">
            <v>NB</v>
          </cell>
        </row>
        <row r="902">
          <cell r="AM902">
            <v>0</v>
          </cell>
          <cell r="AP902" t="str">
            <v>Véhicules usagés</v>
          </cell>
          <cell r="AQ902" t="str">
            <v>Ventes au Gros</v>
          </cell>
          <cell r="AR902" t="str">
            <v>$</v>
          </cell>
          <cell r="AS902" t="str">
            <v>Oui</v>
          </cell>
          <cell r="AW902">
            <v>0</v>
          </cell>
          <cell r="AY902" t="str">
            <v>NB</v>
          </cell>
        </row>
        <row r="903">
          <cell r="AM903">
            <v>776158.08000000007</v>
          </cell>
          <cell r="AP903" t="str">
            <v>Véhicules usagés</v>
          </cell>
          <cell r="AQ903" t="str">
            <v>Non Certifié</v>
          </cell>
          <cell r="AR903" t="str">
            <v>$</v>
          </cell>
          <cell r="AS903">
            <v>0</v>
          </cell>
          <cell r="AW903">
            <v>0</v>
          </cell>
          <cell r="AY903" t="str">
            <v>NB</v>
          </cell>
        </row>
        <row r="904">
          <cell r="AM904">
            <v>0</v>
          </cell>
          <cell r="AP904" t="str">
            <v>Véhicules usagés</v>
          </cell>
          <cell r="AQ904" t="str">
            <v>Autres Marques</v>
          </cell>
          <cell r="AR904" t="str">
            <v>$</v>
          </cell>
          <cell r="AS904">
            <v>0</v>
          </cell>
          <cell r="AW904">
            <v>0</v>
          </cell>
          <cell r="AY904" t="str">
            <v>NB</v>
          </cell>
        </row>
        <row r="905">
          <cell r="AM905">
            <v>173124.11</v>
          </cell>
          <cell r="AP905" t="str">
            <v>Véhicules usagés</v>
          </cell>
          <cell r="AQ905" t="str">
            <v>Rachat bail</v>
          </cell>
          <cell r="AR905" t="str">
            <v>$</v>
          </cell>
          <cell r="AS905">
            <v>0</v>
          </cell>
          <cell r="AW905">
            <v>0</v>
          </cell>
          <cell r="AY905" t="str">
            <v>NB</v>
          </cell>
        </row>
        <row r="906">
          <cell r="AM906">
            <v>0</v>
          </cell>
          <cell r="AP906" t="e">
            <v>#N/A</v>
          </cell>
          <cell r="AQ906" t="e">
            <v>#N/A</v>
          </cell>
          <cell r="AR906" t="str">
            <v>$</v>
          </cell>
          <cell r="AS906" t="e">
            <v>#N/A</v>
          </cell>
          <cell r="AW906">
            <v>0</v>
          </cell>
          <cell r="AY906" t="str">
            <v>NB</v>
          </cell>
        </row>
        <row r="907">
          <cell r="AM907">
            <v>0</v>
          </cell>
          <cell r="AP907">
            <v>0</v>
          </cell>
          <cell r="AQ907">
            <v>0</v>
          </cell>
          <cell r="AR907" t="str">
            <v>$</v>
          </cell>
          <cell r="AS907">
            <v>0</v>
          </cell>
          <cell r="AW907">
            <v>0</v>
          </cell>
          <cell r="AY907" t="str">
            <v>NB</v>
          </cell>
        </row>
        <row r="908">
          <cell r="AM908">
            <v>0</v>
          </cell>
          <cell r="AP908">
            <v>0</v>
          </cell>
          <cell r="AQ908">
            <v>0</v>
          </cell>
          <cell r="AR908" t="str">
            <v>$</v>
          </cell>
          <cell r="AS908">
            <v>0</v>
          </cell>
          <cell r="AW908">
            <v>0</v>
          </cell>
          <cell r="AY908" t="str">
            <v>NB</v>
          </cell>
        </row>
        <row r="909">
          <cell r="AM909">
            <v>0</v>
          </cell>
          <cell r="AP909">
            <v>0</v>
          </cell>
          <cell r="AQ909">
            <v>0</v>
          </cell>
          <cell r="AR909" t="str">
            <v>$</v>
          </cell>
          <cell r="AS909">
            <v>0</v>
          </cell>
          <cell r="AW909">
            <v>0</v>
          </cell>
          <cell r="AY909" t="str">
            <v>NB</v>
          </cell>
        </row>
        <row r="910">
          <cell r="AM910">
            <v>940690.33999999985</v>
          </cell>
          <cell r="AP910" t="str">
            <v>Véhicules usagés</v>
          </cell>
          <cell r="AQ910" t="str">
            <v>Ventes au Gros</v>
          </cell>
          <cell r="AR910" t="str">
            <v>$</v>
          </cell>
          <cell r="AS910">
            <v>0</v>
          </cell>
          <cell r="AW910">
            <v>0</v>
          </cell>
          <cell r="AY910" t="str">
            <v>NB</v>
          </cell>
        </row>
        <row r="911">
          <cell r="AM911">
            <v>1129365</v>
          </cell>
          <cell r="AP911" t="str">
            <v>Wholesale autres</v>
          </cell>
          <cell r="AQ911" t="str">
            <v>Wholesale Luxueux</v>
          </cell>
          <cell r="AR911" t="str">
            <v>$</v>
          </cell>
          <cell r="AS911">
            <v>0</v>
          </cell>
          <cell r="AW911">
            <v>0</v>
          </cell>
          <cell r="AY911" t="str">
            <v>NB</v>
          </cell>
        </row>
        <row r="912">
          <cell r="AM912">
            <v>0</v>
          </cell>
          <cell r="AP912" t="str">
            <v>Wholesale autres</v>
          </cell>
          <cell r="AQ912" t="str">
            <v>Wholesale Luxueux</v>
          </cell>
          <cell r="AR912" t="str">
            <v>$</v>
          </cell>
          <cell r="AS912">
            <v>0</v>
          </cell>
          <cell r="AW912">
            <v>0</v>
          </cell>
          <cell r="AY912" t="str">
            <v>NB</v>
          </cell>
        </row>
        <row r="913">
          <cell r="AM913">
            <v>0</v>
          </cell>
          <cell r="AP913">
            <v>0</v>
          </cell>
          <cell r="AQ913">
            <v>0</v>
          </cell>
          <cell r="AR913" t="str">
            <v>$</v>
          </cell>
          <cell r="AS913">
            <v>0</v>
          </cell>
          <cell r="AW913">
            <v>0</v>
          </cell>
          <cell r="AY913" t="str">
            <v>NB</v>
          </cell>
        </row>
        <row r="914">
          <cell r="AM914">
            <v>10011</v>
          </cell>
          <cell r="AP914" t="str">
            <v>Véhicules usagés</v>
          </cell>
          <cell r="AQ914" t="str">
            <v>Rev. Protections</v>
          </cell>
          <cell r="AR914" t="str">
            <v>$</v>
          </cell>
          <cell r="AS914">
            <v>0</v>
          </cell>
          <cell r="AW914">
            <v>0</v>
          </cell>
          <cell r="AY914" t="str">
            <v>NB</v>
          </cell>
        </row>
        <row r="915">
          <cell r="AM915">
            <v>257.43000000000029</v>
          </cell>
          <cell r="AP915" t="str">
            <v>Véhicules usagés</v>
          </cell>
          <cell r="AQ915" t="str">
            <v>Rev. Protections</v>
          </cell>
          <cell r="AR915" t="str">
            <v>$</v>
          </cell>
          <cell r="AS915">
            <v>0</v>
          </cell>
          <cell r="AW915">
            <v>0</v>
          </cell>
          <cell r="AY915" t="str">
            <v>NB</v>
          </cell>
        </row>
        <row r="916">
          <cell r="AM916">
            <v>0</v>
          </cell>
          <cell r="AP916" t="e">
            <v>#N/A</v>
          </cell>
          <cell r="AQ916" t="e">
            <v>#N/A</v>
          </cell>
          <cell r="AR916" t="str">
            <v>$</v>
          </cell>
          <cell r="AS916" t="e">
            <v>#N/A</v>
          </cell>
          <cell r="AW916">
            <v>0</v>
          </cell>
          <cell r="AY916" t="str">
            <v>NB</v>
          </cell>
        </row>
        <row r="917">
          <cell r="AM917">
            <v>0</v>
          </cell>
          <cell r="AP917" t="str">
            <v>Véhicules usagés</v>
          </cell>
          <cell r="AQ917" t="str">
            <v>Rev. Protections</v>
          </cell>
          <cell r="AR917" t="str">
            <v>$</v>
          </cell>
          <cell r="AS917">
            <v>0</v>
          </cell>
          <cell r="AW917">
            <v>0</v>
          </cell>
          <cell r="AY917" t="str">
            <v>NB</v>
          </cell>
        </row>
        <row r="918">
          <cell r="AM918">
            <v>0</v>
          </cell>
          <cell r="AP918" t="str">
            <v>Véhicules usagés</v>
          </cell>
          <cell r="AQ918" t="str">
            <v>Rev. Protections</v>
          </cell>
          <cell r="AR918" t="str">
            <v>$</v>
          </cell>
          <cell r="AS918">
            <v>0</v>
          </cell>
          <cell r="AW918">
            <v>0</v>
          </cell>
          <cell r="AY918" t="str">
            <v>NB</v>
          </cell>
        </row>
        <row r="919">
          <cell r="AM919">
            <v>3654</v>
          </cell>
          <cell r="AP919" t="str">
            <v>Véhicules usagés</v>
          </cell>
          <cell r="AQ919" t="str">
            <v>Rev. Protections</v>
          </cell>
          <cell r="AR919" t="str">
            <v>$</v>
          </cell>
          <cell r="AS919">
            <v>0</v>
          </cell>
          <cell r="AW919">
            <v>0</v>
          </cell>
          <cell r="AY919" t="str">
            <v>NB</v>
          </cell>
        </row>
        <row r="920">
          <cell r="AM920">
            <v>0</v>
          </cell>
          <cell r="AP920" t="str">
            <v>Wholesale autres</v>
          </cell>
          <cell r="AQ920" t="str">
            <v>Wholesale USA</v>
          </cell>
          <cell r="AR920" t="str">
            <v>$</v>
          </cell>
          <cell r="AS920">
            <v>0</v>
          </cell>
          <cell r="AW920">
            <v>0</v>
          </cell>
          <cell r="AY920" t="str">
            <v>NB</v>
          </cell>
        </row>
        <row r="921">
          <cell r="AM921">
            <v>0</v>
          </cell>
          <cell r="AP921" t="str">
            <v>Wholesale autres</v>
          </cell>
          <cell r="AQ921" t="str">
            <v>Wholesale USA</v>
          </cell>
          <cell r="AR921" t="str">
            <v>$</v>
          </cell>
          <cell r="AS921">
            <v>0</v>
          </cell>
          <cell r="AW921">
            <v>0</v>
          </cell>
          <cell r="AY921" t="str">
            <v>NB</v>
          </cell>
        </row>
        <row r="922">
          <cell r="AM922">
            <v>3604957.1699999981</v>
          </cell>
          <cell r="AP922" t="str">
            <v>Wholesale autres</v>
          </cell>
          <cell r="AQ922" t="str">
            <v>Wholesale USA</v>
          </cell>
          <cell r="AR922" t="str">
            <v>$</v>
          </cell>
          <cell r="AS922">
            <v>0</v>
          </cell>
          <cell r="AW922">
            <v>0</v>
          </cell>
          <cell r="AY922" t="str">
            <v>NB</v>
          </cell>
        </row>
        <row r="923">
          <cell r="AM923">
            <v>1804486.4900000002</v>
          </cell>
          <cell r="AP923">
            <v>0</v>
          </cell>
          <cell r="AQ923">
            <v>0</v>
          </cell>
          <cell r="AR923" t="str">
            <v>$</v>
          </cell>
          <cell r="AS923">
            <v>0</v>
          </cell>
          <cell r="AW923">
            <v>0</v>
          </cell>
          <cell r="AY923" t="str">
            <v>NB</v>
          </cell>
        </row>
        <row r="924">
          <cell r="AM924">
            <v>899387.45000000112</v>
          </cell>
          <cell r="AP924" t="str">
            <v>Wholesale autres</v>
          </cell>
          <cell r="AQ924" t="str">
            <v>Wholesale Canada</v>
          </cell>
          <cell r="AR924" t="str">
            <v>$</v>
          </cell>
          <cell r="AS924">
            <v>0</v>
          </cell>
          <cell r="AW924">
            <v>0</v>
          </cell>
          <cell r="AY924" t="str">
            <v>NB</v>
          </cell>
        </row>
        <row r="925">
          <cell r="AM925">
            <v>13468.869999999995</v>
          </cell>
          <cell r="AP925" t="str">
            <v>Service</v>
          </cell>
          <cell r="AQ925" t="str">
            <v>M/O Client</v>
          </cell>
          <cell r="AR925" t="str">
            <v>$</v>
          </cell>
          <cell r="AS925">
            <v>0</v>
          </cell>
          <cell r="AW925">
            <v>0</v>
          </cell>
          <cell r="AY925" t="str">
            <v>NB</v>
          </cell>
        </row>
        <row r="926">
          <cell r="AM926">
            <v>67.8</v>
          </cell>
          <cell r="AP926" t="str">
            <v>Service</v>
          </cell>
          <cell r="AQ926" t="str">
            <v>M/O Client</v>
          </cell>
          <cell r="AR926" t="str">
            <v>$</v>
          </cell>
          <cell r="AS926">
            <v>0</v>
          </cell>
          <cell r="AW926">
            <v>0</v>
          </cell>
          <cell r="AY926" t="str">
            <v>NB</v>
          </cell>
        </row>
        <row r="927">
          <cell r="AM927">
            <v>0</v>
          </cell>
          <cell r="AP927" t="str">
            <v>Service</v>
          </cell>
          <cell r="AQ927" t="str">
            <v>M/O Garantie</v>
          </cell>
          <cell r="AR927" t="str">
            <v>$</v>
          </cell>
          <cell r="AS927">
            <v>0</v>
          </cell>
          <cell r="AW927">
            <v>0</v>
          </cell>
          <cell r="AY927" t="str">
            <v>NB</v>
          </cell>
        </row>
        <row r="928">
          <cell r="AM928">
            <v>0</v>
          </cell>
          <cell r="AP928" t="e">
            <v>#N/A</v>
          </cell>
          <cell r="AQ928" t="e">
            <v>#N/A</v>
          </cell>
          <cell r="AR928" t="str">
            <v>$</v>
          </cell>
          <cell r="AS928" t="e">
            <v>#N/A</v>
          </cell>
          <cell r="AW928">
            <v>0</v>
          </cell>
          <cell r="AY928" t="str">
            <v>NB</v>
          </cell>
        </row>
        <row r="929">
          <cell r="AM929">
            <v>422.11000000000013</v>
          </cell>
          <cell r="AP929" t="str">
            <v>Service</v>
          </cell>
          <cell r="AQ929" t="str">
            <v>M/O Client</v>
          </cell>
          <cell r="AR929" t="str">
            <v>$</v>
          </cell>
          <cell r="AS929">
            <v>0</v>
          </cell>
          <cell r="AW929">
            <v>0</v>
          </cell>
          <cell r="AY929" t="str">
            <v>NB</v>
          </cell>
        </row>
        <row r="930">
          <cell r="AM930">
            <v>0</v>
          </cell>
          <cell r="AP930" t="e">
            <v>#N/A</v>
          </cell>
          <cell r="AQ930" t="e">
            <v>#N/A</v>
          </cell>
          <cell r="AR930" t="str">
            <v>$</v>
          </cell>
          <cell r="AS930" t="e">
            <v>#N/A</v>
          </cell>
          <cell r="AW930">
            <v>0</v>
          </cell>
          <cell r="AY930" t="str">
            <v>NB</v>
          </cell>
        </row>
        <row r="931">
          <cell r="AM931">
            <v>4476.2599999999948</v>
          </cell>
          <cell r="AP931" t="str">
            <v>SAAQ</v>
          </cell>
          <cell r="AQ931" t="str">
            <v>Inspection - Véhicules Légers</v>
          </cell>
          <cell r="AR931" t="str">
            <v>$</v>
          </cell>
          <cell r="AS931">
            <v>0</v>
          </cell>
          <cell r="AW931">
            <v>0</v>
          </cell>
          <cell r="AY931" t="str">
            <v>NB</v>
          </cell>
        </row>
        <row r="932">
          <cell r="AM932">
            <v>0</v>
          </cell>
          <cell r="AP932" t="e">
            <v>#N/A</v>
          </cell>
          <cell r="AQ932" t="e">
            <v>#N/A</v>
          </cell>
          <cell r="AR932" t="str">
            <v>$</v>
          </cell>
          <cell r="AS932" t="e">
            <v>#N/A</v>
          </cell>
          <cell r="AW932">
            <v>0</v>
          </cell>
          <cell r="AY932" t="str">
            <v>NB</v>
          </cell>
        </row>
        <row r="933">
          <cell r="AM933">
            <v>0</v>
          </cell>
          <cell r="AP933" t="str">
            <v>SAAQ</v>
          </cell>
          <cell r="AQ933" t="str">
            <v>Inspection - Véhicules Interne</v>
          </cell>
          <cell r="AR933" t="str">
            <v>$</v>
          </cell>
          <cell r="AS933">
            <v>0</v>
          </cell>
          <cell r="AW933">
            <v>0</v>
          </cell>
          <cell r="AY933" t="str">
            <v>NB</v>
          </cell>
        </row>
        <row r="934">
          <cell r="AM934">
            <v>15460.019999999997</v>
          </cell>
          <cell r="AP934" t="str">
            <v>SAAQ</v>
          </cell>
          <cell r="AQ934" t="str">
            <v>Inspection - Véhicules Lourds</v>
          </cell>
          <cell r="AR934" t="str">
            <v>$</v>
          </cell>
          <cell r="AS934">
            <v>0</v>
          </cell>
          <cell r="AW934">
            <v>0</v>
          </cell>
          <cell r="AY934" t="str">
            <v>NB</v>
          </cell>
        </row>
        <row r="935">
          <cell r="AM935">
            <v>0</v>
          </cell>
          <cell r="AP935" t="e">
            <v>#N/A</v>
          </cell>
          <cell r="AQ935" t="e">
            <v>#N/A</v>
          </cell>
          <cell r="AR935" t="str">
            <v>$</v>
          </cell>
          <cell r="AS935" t="e">
            <v>#N/A</v>
          </cell>
          <cell r="AW935">
            <v>0</v>
          </cell>
          <cell r="AY935" t="str">
            <v>NB</v>
          </cell>
        </row>
        <row r="936">
          <cell r="AM936">
            <v>21201.799999999988</v>
          </cell>
          <cell r="AP936" t="str">
            <v>Service</v>
          </cell>
          <cell r="AQ936" t="str">
            <v>M/O Garantie</v>
          </cell>
          <cell r="AR936" t="str">
            <v>$</v>
          </cell>
          <cell r="AS936">
            <v>0</v>
          </cell>
          <cell r="AW936">
            <v>0</v>
          </cell>
          <cell r="AY936" t="str">
            <v>NB</v>
          </cell>
        </row>
        <row r="937">
          <cell r="AM937">
            <v>12884.440000000002</v>
          </cell>
          <cell r="AP937" t="str">
            <v>Service</v>
          </cell>
          <cell r="AQ937" t="str">
            <v>M/O Interne</v>
          </cell>
          <cell r="AR937" t="str">
            <v>$</v>
          </cell>
          <cell r="AS937">
            <v>0</v>
          </cell>
          <cell r="AW937">
            <v>0</v>
          </cell>
          <cell r="AY937" t="str">
            <v>NB</v>
          </cell>
        </row>
        <row r="938">
          <cell r="AM938">
            <v>0</v>
          </cell>
          <cell r="AP938" t="e">
            <v>#N/A</v>
          </cell>
          <cell r="AQ938" t="e">
            <v>#N/A</v>
          </cell>
          <cell r="AR938" t="str">
            <v>$</v>
          </cell>
          <cell r="AS938" t="e">
            <v>#N/A</v>
          </cell>
          <cell r="AW938">
            <v>0</v>
          </cell>
          <cell r="AY938" t="str">
            <v>NB</v>
          </cell>
        </row>
        <row r="939">
          <cell r="AM939">
            <v>213.05999999999995</v>
          </cell>
          <cell r="AP939" t="str">
            <v>SAAQ</v>
          </cell>
          <cell r="AQ939" t="str">
            <v>Inspection - Véhicules Interne</v>
          </cell>
          <cell r="AR939" t="str">
            <v>$</v>
          </cell>
          <cell r="AS939">
            <v>0</v>
          </cell>
          <cell r="AW939">
            <v>0</v>
          </cell>
          <cell r="AY939" t="str">
            <v>NB</v>
          </cell>
        </row>
        <row r="940">
          <cell r="AM940">
            <v>3839.1800000000039</v>
          </cell>
          <cell r="AP940" t="str">
            <v>Service</v>
          </cell>
          <cell r="AQ940" t="str">
            <v>M/O Interne</v>
          </cell>
          <cell r="AR940" t="str">
            <v>$</v>
          </cell>
          <cell r="AS940">
            <v>0</v>
          </cell>
          <cell r="AW940">
            <v>0</v>
          </cell>
          <cell r="AY940" t="str">
            <v>NB</v>
          </cell>
        </row>
        <row r="941">
          <cell r="AM941">
            <v>0</v>
          </cell>
          <cell r="AP941" t="e">
            <v>#N/A</v>
          </cell>
          <cell r="AQ941" t="e">
            <v>#N/A</v>
          </cell>
          <cell r="AR941" t="str">
            <v>$</v>
          </cell>
          <cell r="AS941" t="e">
            <v>#N/A</v>
          </cell>
          <cell r="AW941">
            <v>0</v>
          </cell>
          <cell r="AY941" t="str">
            <v>NB</v>
          </cell>
        </row>
        <row r="942">
          <cell r="AM942">
            <v>5394.6400000000012</v>
          </cell>
          <cell r="AP942" t="str">
            <v>Service</v>
          </cell>
          <cell r="AQ942" t="str">
            <v>Ajustement M/O</v>
          </cell>
          <cell r="AR942" t="str">
            <v>$</v>
          </cell>
          <cell r="AS942">
            <v>0</v>
          </cell>
          <cell r="AW942">
            <v>0</v>
          </cell>
          <cell r="AY942" t="str">
            <v>NB</v>
          </cell>
        </row>
        <row r="943">
          <cell r="AM943">
            <v>2023.32</v>
          </cell>
          <cell r="AP943" t="str">
            <v>SAAQ</v>
          </cell>
          <cell r="AQ943" t="str">
            <v>Ajustement M/O SAAQ</v>
          </cell>
          <cell r="AR943" t="str">
            <v>$</v>
          </cell>
          <cell r="AS943">
            <v>0</v>
          </cell>
          <cell r="AW943">
            <v>0</v>
          </cell>
          <cell r="AY943" t="str">
            <v>NB</v>
          </cell>
        </row>
        <row r="944">
          <cell r="AM944">
            <v>13128.410000000003</v>
          </cell>
          <cell r="AP944" t="str">
            <v>Service</v>
          </cell>
          <cell r="AQ944" t="str">
            <v>Sous-traitement</v>
          </cell>
          <cell r="AR944" t="str">
            <v>$</v>
          </cell>
          <cell r="AS944">
            <v>0</v>
          </cell>
          <cell r="AW944">
            <v>0</v>
          </cell>
          <cell r="AY944" t="str">
            <v>NB</v>
          </cell>
        </row>
        <row r="945">
          <cell r="AM945">
            <v>0</v>
          </cell>
          <cell r="AP945" t="str">
            <v>SAAQ</v>
          </cell>
          <cell r="AQ945" t="str">
            <v>Inspection - Véhicules Interne</v>
          </cell>
          <cell r="AR945" t="str">
            <v>$</v>
          </cell>
          <cell r="AS945">
            <v>0</v>
          </cell>
          <cell r="AW945">
            <v>0</v>
          </cell>
          <cell r="AY945" t="str">
            <v>NB</v>
          </cell>
        </row>
        <row r="946">
          <cell r="AM946">
            <v>0</v>
          </cell>
          <cell r="AP946" t="e">
            <v>#N/A</v>
          </cell>
          <cell r="AQ946" t="e">
            <v>#N/A</v>
          </cell>
          <cell r="AR946" t="str">
            <v>$</v>
          </cell>
          <cell r="AS946" t="e">
            <v>#N/A</v>
          </cell>
          <cell r="AW946">
            <v>0</v>
          </cell>
          <cell r="AY946" t="str">
            <v>NB</v>
          </cell>
        </row>
        <row r="947">
          <cell r="AM947">
            <v>34022.869999999995</v>
          </cell>
          <cell r="AP947" t="str">
            <v>Pièces</v>
          </cell>
          <cell r="AQ947" t="str">
            <v>Pièces Ro Clients</v>
          </cell>
          <cell r="AR947" t="str">
            <v>$</v>
          </cell>
          <cell r="AS947">
            <v>0</v>
          </cell>
          <cell r="AW947">
            <v>0</v>
          </cell>
          <cell r="AY947" t="str">
            <v>NB</v>
          </cell>
        </row>
        <row r="948">
          <cell r="AM948">
            <v>0</v>
          </cell>
          <cell r="AP948" t="str">
            <v>Pièces</v>
          </cell>
          <cell r="AQ948" t="str">
            <v>Pièces Ro Clients</v>
          </cell>
          <cell r="AR948" t="str">
            <v>$</v>
          </cell>
          <cell r="AS948">
            <v>0</v>
          </cell>
          <cell r="AW948">
            <v>0</v>
          </cell>
          <cell r="AY948" t="str">
            <v>NB</v>
          </cell>
        </row>
        <row r="949">
          <cell r="AM949">
            <v>0</v>
          </cell>
          <cell r="AP949">
            <v>0</v>
          </cell>
          <cell r="AQ949">
            <v>0</v>
          </cell>
          <cell r="AR949" t="str">
            <v>$</v>
          </cell>
          <cell r="AS949">
            <v>0</v>
          </cell>
          <cell r="AW949">
            <v>0</v>
          </cell>
          <cell r="AY949" t="str">
            <v>NB</v>
          </cell>
        </row>
        <row r="950">
          <cell r="AM950">
            <v>0</v>
          </cell>
          <cell r="AP950">
            <v>0</v>
          </cell>
          <cell r="AQ950">
            <v>0</v>
          </cell>
          <cell r="AR950" t="str">
            <v>$</v>
          </cell>
          <cell r="AS950">
            <v>0</v>
          </cell>
          <cell r="AW950">
            <v>0</v>
          </cell>
          <cell r="AY950" t="str">
            <v>NB</v>
          </cell>
        </row>
        <row r="951">
          <cell r="AM951">
            <v>0</v>
          </cell>
          <cell r="AP951">
            <v>0</v>
          </cell>
          <cell r="AQ951">
            <v>0</v>
          </cell>
          <cell r="AR951" t="str">
            <v>$</v>
          </cell>
          <cell r="AS951">
            <v>0</v>
          </cell>
          <cell r="AW951">
            <v>0</v>
          </cell>
          <cell r="AY951" t="str">
            <v>NB</v>
          </cell>
        </row>
        <row r="952">
          <cell r="AM952">
            <v>0</v>
          </cell>
          <cell r="AP952" t="e">
            <v>#N/A</v>
          </cell>
          <cell r="AQ952" t="e">
            <v>#N/A</v>
          </cell>
          <cell r="AR952" t="str">
            <v>$</v>
          </cell>
          <cell r="AS952" t="e">
            <v>#N/A</v>
          </cell>
          <cell r="AW952">
            <v>0</v>
          </cell>
          <cell r="AY952" t="str">
            <v>NB</v>
          </cell>
        </row>
        <row r="953">
          <cell r="AM953">
            <v>4197.1099999999988</v>
          </cell>
          <cell r="AP953" t="str">
            <v>Service</v>
          </cell>
          <cell r="AQ953" t="str">
            <v>Sous-traitement</v>
          </cell>
          <cell r="AR953" t="str">
            <v>$</v>
          </cell>
          <cell r="AS953">
            <v>0</v>
          </cell>
          <cell r="AW953">
            <v>0</v>
          </cell>
          <cell r="AY953" t="str">
            <v>NB</v>
          </cell>
        </row>
        <row r="954">
          <cell r="AM954">
            <v>636.17000000000007</v>
          </cell>
          <cell r="AP954" t="str">
            <v>Carrosserie</v>
          </cell>
          <cell r="AQ954" t="str">
            <v>Carrosserie Clients</v>
          </cell>
          <cell r="AR954" t="str">
            <v>$</v>
          </cell>
          <cell r="AS954">
            <v>0</v>
          </cell>
          <cell r="AW954">
            <v>0</v>
          </cell>
          <cell r="AY954" t="str">
            <v>NB</v>
          </cell>
        </row>
        <row r="955">
          <cell r="AM955">
            <v>921.59999999999945</v>
          </cell>
          <cell r="AP955" t="str">
            <v>Carrosserie</v>
          </cell>
          <cell r="AQ955" t="str">
            <v>Carrosserie Concessions</v>
          </cell>
          <cell r="AR955" t="str">
            <v>$</v>
          </cell>
          <cell r="AS955">
            <v>0</v>
          </cell>
          <cell r="AW955">
            <v>0</v>
          </cell>
          <cell r="AY955" t="str">
            <v>NB</v>
          </cell>
        </row>
        <row r="956">
          <cell r="AM956">
            <v>10605.740000000005</v>
          </cell>
          <cell r="AP956" t="str">
            <v>Carrosserie</v>
          </cell>
          <cell r="AQ956" t="str">
            <v>Carrosserie Clients</v>
          </cell>
          <cell r="AR956" t="str">
            <v>$</v>
          </cell>
          <cell r="AS956">
            <v>0</v>
          </cell>
          <cell r="AW956">
            <v>0</v>
          </cell>
          <cell r="AY956" t="str">
            <v>NB</v>
          </cell>
        </row>
        <row r="957">
          <cell r="AM957">
            <v>5344.84</v>
          </cell>
          <cell r="AP957" t="str">
            <v>Carrosserie</v>
          </cell>
          <cell r="AQ957" t="str">
            <v>Carrosserie Concessions</v>
          </cell>
          <cell r="AR957" t="str">
            <v>$</v>
          </cell>
          <cell r="AS957">
            <v>0</v>
          </cell>
          <cell r="AW957">
            <v>0</v>
          </cell>
          <cell r="AY957" t="str">
            <v>NB</v>
          </cell>
        </row>
        <row r="958">
          <cell r="AM958">
            <v>55.440000000000055</v>
          </cell>
          <cell r="AP958" t="str">
            <v>Carrosserie</v>
          </cell>
          <cell r="AQ958" t="str">
            <v>Carrosserie Clients</v>
          </cell>
          <cell r="AR958" t="str">
            <v>$</v>
          </cell>
          <cell r="AS958">
            <v>0</v>
          </cell>
          <cell r="AW958">
            <v>0</v>
          </cell>
          <cell r="AY958" t="str">
            <v>NB</v>
          </cell>
        </row>
        <row r="959">
          <cell r="AM959">
            <v>0</v>
          </cell>
          <cell r="AP959" t="str">
            <v>Carrosserie</v>
          </cell>
          <cell r="AQ959" t="str">
            <v>Carrosserie Concessions</v>
          </cell>
          <cell r="AR959" t="str">
            <v>$</v>
          </cell>
          <cell r="AS959">
            <v>0</v>
          </cell>
          <cell r="AW959">
            <v>0</v>
          </cell>
          <cell r="AY959" t="str">
            <v>NB</v>
          </cell>
        </row>
        <row r="960">
          <cell r="AM960">
            <v>0</v>
          </cell>
          <cell r="AP960" t="str">
            <v>Carrosserie</v>
          </cell>
          <cell r="AQ960" t="str">
            <v>Carrosserie Concessions</v>
          </cell>
          <cell r="AR960" t="str">
            <v>$</v>
          </cell>
          <cell r="AS960">
            <v>0</v>
          </cell>
          <cell r="AW960">
            <v>0</v>
          </cell>
          <cell r="AY960" t="str">
            <v>NB</v>
          </cell>
        </row>
        <row r="961">
          <cell r="AM961">
            <v>282.02000000000004</v>
          </cell>
          <cell r="AP961" t="str">
            <v>Carrosserie</v>
          </cell>
          <cell r="AQ961" t="str">
            <v>Carrosserie Interne</v>
          </cell>
          <cell r="AR961" t="str">
            <v>$</v>
          </cell>
          <cell r="AS961">
            <v>0</v>
          </cell>
          <cell r="AW961">
            <v>0</v>
          </cell>
          <cell r="AY961" t="str">
            <v>NB</v>
          </cell>
        </row>
        <row r="962">
          <cell r="AM962">
            <v>1312.8099999999977</v>
          </cell>
          <cell r="AP962" t="str">
            <v>Carrosserie</v>
          </cell>
          <cell r="AQ962" t="str">
            <v>Carrosserie Interne</v>
          </cell>
          <cell r="AR962" t="str">
            <v>$</v>
          </cell>
          <cell r="AS962">
            <v>0</v>
          </cell>
          <cell r="AW962">
            <v>0</v>
          </cell>
          <cell r="AY962" t="str">
            <v>NB</v>
          </cell>
        </row>
        <row r="963">
          <cell r="AM963">
            <v>186.18000000000006</v>
          </cell>
          <cell r="AP963" t="str">
            <v>Carrosserie</v>
          </cell>
          <cell r="AQ963" t="str">
            <v>Carrosserie Interne</v>
          </cell>
          <cell r="AR963" t="str">
            <v>$</v>
          </cell>
          <cell r="AS963">
            <v>0</v>
          </cell>
          <cell r="AW963">
            <v>0</v>
          </cell>
          <cell r="AY963" t="str">
            <v>NB</v>
          </cell>
        </row>
        <row r="964">
          <cell r="AM964">
            <v>0</v>
          </cell>
          <cell r="AP964" t="str">
            <v>Carrosserie</v>
          </cell>
          <cell r="AQ964" t="str">
            <v>Carrosserie Interne</v>
          </cell>
          <cell r="AR964" t="str">
            <v>$</v>
          </cell>
          <cell r="AS964">
            <v>0</v>
          </cell>
          <cell r="AW964">
            <v>0</v>
          </cell>
          <cell r="AY964" t="str">
            <v>NB</v>
          </cell>
        </row>
        <row r="965">
          <cell r="AM965">
            <v>1510.869999999999</v>
          </cell>
          <cell r="AP965" t="str">
            <v>Carrosserie</v>
          </cell>
          <cell r="AQ965" t="str">
            <v>Ajustement M/O Carrosserie</v>
          </cell>
          <cell r="AR965" t="str">
            <v>$</v>
          </cell>
          <cell r="AS965">
            <v>0</v>
          </cell>
          <cell r="AW965">
            <v>0</v>
          </cell>
          <cell r="AY965" t="str">
            <v>NB</v>
          </cell>
        </row>
        <row r="966">
          <cell r="AM966">
            <v>31224.559999999998</v>
          </cell>
          <cell r="AP966" t="str">
            <v>Carrosserie</v>
          </cell>
          <cell r="AQ966" t="str">
            <v>Carrosserie Clients</v>
          </cell>
          <cell r="AR966" t="str">
            <v>$</v>
          </cell>
          <cell r="AS966">
            <v>0</v>
          </cell>
          <cell r="AW966">
            <v>0</v>
          </cell>
          <cell r="AY966" t="str">
            <v>NB</v>
          </cell>
        </row>
        <row r="967">
          <cell r="AM967">
            <v>0</v>
          </cell>
          <cell r="AP967" t="str">
            <v>Carrosserie</v>
          </cell>
          <cell r="AQ967" t="str">
            <v>Carrosserie Interne</v>
          </cell>
          <cell r="AR967" t="str">
            <v>$</v>
          </cell>
          <cell r="AS967">
            <v>0</v>
          </cell>
          <cell r="AW967">
            <v>0</v>
          </cell>
          <cell r="AY967" t="str">
            <v>NB</v>
          </cell>
        </row>
        <row r="968">
          <cell r="AM968">
            <v>165</v>
          </cell>
          <cell r="AP968" t="str">
            <v>Carrosserie</v>
          </cell>
          <cell r="AQ968" t="str">
            <v>Carrosserie Concessions</v>
          </cell>
          <cell r="AR968" t="str">
            <v>$</v>
          </cell>
          <cell r="AS968">
            <v>0</v>
          </cell>
          <cell r="AW968">
            <v>0</v>
          </cell>
          <cell r="AY968" t="str">
            <v>NB</v>
          </cell>
        </row>
        <row r="969">
          <cell r="AM969">
            <v>0</v>
          </cell>
          <cell r="AP969" t="str">
            <v>Carrosserie</v>
          </cell>
          <cell r="AQ969" t="str">
            <v>Carrosserie Clients</v>
          </cell>
          <cell r="AR969" t="str">
            <v>$</v>
          </cell>
          <cell r="AS969">
            <v>0</v>
          </cell>
          <cell r="AW969">
            <v>0</v>
          </cell>
          <cell r="AY969" t="str">
            <v>NB</v>
          </cell>
        </row>
        <row r="970">
          <cell r="AM970">
            <v>0</v>
          </cell>
          <cell r="AP970" t="str">
            <v>Carrosserie</v>
          </cell>
          <cell r="AQ970" t="str">
            <v>Carrosserie Interne</v>
          </cell>
          <cell r="AR970" t="str">
            <v>$</v>
          </cell>
          <cell r="AS970">
            <v>0</v>
          </cell>
          <cell r="AW970">
            <v>0</v>
          </cell>
          <cell r="AY970" t="str">
            <v>NB</v>
          </cell>
        </row>
        <row r="971">
          <cell r="AM971">
            <v>0</v>
          </cell>
          <cell r="AP971" t="str">
            <v>Carrosserie</v>
          </cell>
          <cell r="AQ971" t="str">
            <v>Carrosserie Concessions</v>
          </cell>
          <cell r="AR971" t="str">
            <v>$</v>
          </cell>
          <cell r="AS971">
            <v>0</v>
          </cell>
          <cell r="AW971">
            <v>0</v>
          </cell>
          <cell r="AY971" t="str">
            <v>NB</v>
          </cell>
        </row>
        <row r="972">
          <cell r="AM972">
            <v>0</v>
          </cell>
          <cell r="AP972" t="str">
            <v>Carrosserie</v>
          </cell>
          <cell r="AQ972" t="str">
            <v>Carrosserie Clients</v>
          </cell>
          <cell r="AR972" t="str">
            <v>$</v>
          </cell>
          <cell r="AS972">
            <v>0</v>
          </cell>
          <cell r="AW972">
            <v>0</v>
          </cell>
          <cell r="AY972" t="str">
            <v>NB</v>
          </cell>
        </row>
        <row r="973">
          <cell r="AM973">
            <v>0</v>
          </cell>
          <cell r="AP973">
            <v>0</v>
          </cell>
          <cell r="AQ973">
            <v>0</v>
          </cell>
          <cell r="AR973" t="str">
            <v>$</v>
          </cell>
          <cell r="AS973">
            <v>0</v>
          </cell>
          <cell r="AW973">
            <v>0</v>
          </cell>
          <cell r="AY973" t="str">
            <v>NB</v>
          </cell>
        </row>
        <row r="974">
          <cell r="AM974">
            <v>0</v>
          </cell>
          <cell r="AP974">
            <v>0</v>
          </cell>
          <cell r="AQ974">
            <v>0</v>
          </cell>
          <cell r="AR974" t="str">
            <v>$</v>
          </cell>
          <cell r="AS974">
            <v>0</v>
          </cell>
          <cell r="AW974">
            <v>0</v>
          </cell>
          <cell r="AY974" t="str">
            <v>NB</v>
          </cell>
        </row>
        <row r="975">
          <cell r="AM975">
            <v>0</v>
          </cell>
          <cell r="AP975" t="str">
            <v>Pièces</v>
          </cell>
          <cell r="AQ975" t="str">
            <v>Pièces Ro Carrosserie</v>
          </cell>
          <cell r="AR975" t="str">
            <v>$</v>
          </cell>
          <cell r="AS975">
            <v>0</v>
          </cell>
          <cell r="AW975">
            <v>0</v>
          </cell>
          <cell r="AY975" t="str">
            <v>NB</v>
          </cell>
        </row>
        <row r="976">
          <cell r="AM976">
            <v>0</v>
          </cell>
          <cell r="AP976">
            <v>0</v>
          </cell>
          <cell r="AQ976">
            <v>0</v>
          </cell>
          <cell r="AR976" t="str">
            <v>$</v>
          </cell>
          <cell r="AS976">
            <v>0</v>
          </cell>
          <cell r="AW976">
            <v>0</v>
          </cell>
          <cell r="AY976" t="str">
            <v>NB</v>
          </cell>
        </row>
        <row r="977">
          <cell r="AM977">
            <v>0</v>
          </cell>
          <cell r="AP977" t="e">
            <v>#N/A</v>
          </cell>
          <cell r="AQ977" t="e">
            <v>#N/A</v>
          </cell>
          <cell r="AR977" t="str">
            <v>$</v>
          </cell>
          <cell r="AS977" t="e">
            <v>#N/A</v>
          </cell>
          <cell r="AW977">
            <v>0</v>
          </cell>
          <cell r="AY977" t="str">
            <v>NB</v>
          </cell>
        </row>
        <row r="978">
          <cell r="AM978">
            <v>5856.9400000000023</v>
          </cell>
          <cell r="AP978" t="str">
            <v>Carrosserie</v>
          </cell>
          <cell r="AQ978" t="str">
            <v>Carrosserie Clients</v>
          </cell>
          <cell r="AR978" t="str">
            <v>$</v>
          </cell>
          <cell r="AS978">
            <v>0</v>
          </cell>
          <cell r="AW978">
            <v>0</v>
          </cell>
          <cell r="AY978" t="str">
            <v>NB</v>
          </cell>
        </row>
        <row r="979">
          <cell r="AM979">
            <v>1014.54</v>
          </cell>
          <cell r="AP979" t="str">
            <v>Carrosserie</v>
          </cell>
          <cell r="AQ979" t="str">
            <v>Carrosserie Interne</v>
          </cell>
          <cell r="AR979" t="str">
            <v>$</v>
          </cell>
          <cell r="AS979">
            <v>0</v>
          </cell>
          <cell r="AW979">
            <v>0</v>
          </cell>
          <cell r="AY979" t="str">
            <v>NB</v>
          </cell>
        </row>
        <row r="980">
          <cell r="AM980">
            <v>3921.7100000000028</v>
          </cell>
          <cell r="AP980" t="str">
            <v>Carrosserie</v>
          </cell>
          <cell r="AQ980" t="str">
            <v>Carrosserie Concessions</v>
          </cell>
          <cell r="AR980" t="str">
            <v>$</v>
          </cell>
          <cell r="AS980">
            <v>0</v>
          </cell>
          <cell r="AW980">
            <v>0</v>
          </cell>
          <cell r="AY980" t="str">
            <v>NB</v>
          </cell>
        </row>
        <row r="981">
          <cell r="AM981">
            <v>2567.4700000000012</v>
          </cell>
          <cell r="AP981" t="str">
            <v>Carrosserie</v>
          </cell>
          <cell r="AQ981" t="str">
            <v>Carrosserie Clients</v>
          </cell>
          <cell r="AR981" t="str">
            <v>$</v>
          </cell>
          <cell r="AS981">
            <v>0</v>
          </cell>
          <cell r="AW981">
            <v>0</v>
          </cell>
          <cell r="AY981" t="str">
            <v>NB</v>
          </cell>
        </row>
        <row r="982">
          <cell r="AM982">
            <v>447.26</v>
          </cell>
          <cell r="AP982" t="str">
            <v>Carrosserie</v>
          </cell>
          <cell r="AQ982" t="str">
            <v>Carrosserie Interne</v>
          </cell>
          <cell r="AR982" t="str">
            <v>$</v>
          </cell>
          <cell r="AS982">
            <v>0</v>
          </cell>
          <cell r="AW982">
            <v>0</v>
          </cell>
          <cell r="AY982" t="str">
            <v>NB</v>
          </cell>
        </row>
        <row r="983">
          <cell r="AM983">
            <v>1866.3400000000001</v>
          </cell>
          <cell r="AP983" t="str">
            <v>Carrosserie</v>
          </cell>
          <cell r="AQ983" t="str">
            <v>Carrosserie Concessions</v>
          </cell>
          <cell r="AR983" t="str">
            <v>$</v>
          </cell>
          <cell r="AS983">
            <v>0</v>
          </cell>
          <cell r="AW983">
            <v>0</v>
          </cell>
          <cell r="AY983" t="str">
            <v>NB</v>
          </cell>
        </row>
        <row r="984">
          <cell r="AM984">
            <v>62028.880000000005</v>
          </cell>
          <cell r="AP984" t="str">
            <v>Pièces</v>
          </cell>
          <cell r="AQ984" t="str">
            <v>P/A Garantie</v>
          </cell>
          <cell r="AR984" t="str">
            <v>$</v>
          </cell>
          <cell r="AS984">
            <v>0</v>
          </cell>
          <cell r="AW984">
            <v>0</v>
          </cell>
          <cell r="AY984" t="str">
            <v>NB</v>
          </cell>
        </row>
        <row r="985">
          <cell r="AM985">
            <v>0</v>
          </cell>
          <cell r="AP985" t="str">
            <v>Pièces</v>
          </cell>
          <cell r="AQ985" t="str">
            <v>P/A Garantie</v>
          </cell>
          <cell r="AR985" t="str">
            <v>$</v>
          </cell>
          <cell r="AS985">
            <v>0</v>
          </cell>
          <cell r="AW985">
            <v>0</v>
          </cell>
          <cell r="AY985" t="str">
            <v>NB</v>
          </cell>
        </row>
        <row r="986">
          <cell r="AM986">
            <v>26767.789999999979</v>
          </cell>
          <cell r="AP986" t="str">
            <v>Pièces</v>
          </cell>
          <cell r="AQ986" t="str">
            <v>Ventes Internes</v>
          </cell>
          <cell r="AR986" t="str">
            <v>$</v>
          </cell>
          <cell r="AS986">
            <v>0</v>
          </cell>
          <cell r="AW986">
            <v>0</v>
          </cell>
          <cell r="AY986" t="str">
            <v>NB</v>
          </cell>
        </row>
        <row r="987">
          <cell r="AM987">
            <v>0</v>
          </cell>
          <cell r="AP987" t="str">
            <v>Pièces</v>
          </cell>
          <cell r="AQ987" t="str">
            <v>Ventes Internes</v>
          </cell>
          <cell r="AR987" t="str">
            <v>$</v>
          </cell>
          <cell r="AS987">
            <v>0</v>
          </cell>
          <cell r="AW987">
            <v>0</v>
          </cell>
          <cell r="AY987" t="str">
            <v>NB</v>
          </cell>
        </row>
        <row r="988">
          <cell r="AM988">
            <v>25296.699999999983</v>
          </cell>
          <cell r="AP988" t="str">
            <v>Pièces</v>
          </cell>
          <cell r="AQ988" t="str">
            <v>Ventes Détails</v>
          </cell>
          <cell r="AR988" t="str">
            <v>$</v>
          </cell>
          <cell r="AS988">
            <v>0</v>
          </cell>
          <cell r="AW988">
            <v>0</v>
          </cell>
          <cell r="AY988" t="str">
            <v>NB</v>
          </cell>
        </row>
        <row r="989">
          <cell r="AM989">
            <v>93260.739999999991</v>
          </cell>
          <cell r="AP989" t="str">
            <v>Pièces</v>
          </cell>
          <cell r="AQ989" t="str">
            <v>Ventes de Gros</v>
          </cell>
          <cell r="AR989" t="str">
            <v>$</v>
          </cell>
          <cell r="AS989">
            <v>0</v>
          </cell>
          <cell r="AW989">
            <v>0</v>
          </cell>
          <cell r="AY989" t="str">
            <v>NB</v>
          </cell>
        </row>
        <row r="990">
          <cell r="AM990">
            <v>-5375.6900000000023</v>
          </cell>
          <cell r="AP990" t="str">
            <v>Pièces</v>
          </cell>
          <cell r="AQ990" t="str">
            <v>Escomptes</v>
          </cell>
          <cell r="AR990" t="str">
            <v>$</v>
          </cell>
          <cell r="AS990">
            <v>0</v>
          </cell>
          <cell r="AW990">
            <v>0</v>
          </cell>
          <cell r="AY990" t="str">
            <v>NB</v>
          </cell>
        </row>
        <row r="991">
          <cell r="AM991">
            <v>-1480.4799999999996</v>
          </cell>
          <cell r="AP991" t="str">
            <v>Pièces</v>
          </cell>
          <cell r="AQ991" t="str">
            <v>Rectif. Inventaire</v>
          </cell>
          <cell r="AR991" t="str">
            <v>$</v>
          </cell>
          <cell r="AS991">
            <v>0</v>
          </cell>
          <cell r="AW991">
            <v>0</v>
          </cell>
          <cell r="AY991" t="str">
            <v>NB</v>
          </cell>
        </row>
        <row r="992">
          <cell r="AM992">
            <v>16376.449999999983</v>
          </cell>
          <cell r="AP992" t="str">
            <v>Pièces</v>
          </cell>
          <cell r="AQ992" t="str">
            <v>Ventes Pneus</v>
          </cell>
          <cell r="AR992" t="str">
            <v>$</v>
          </cell>
          <cell r="AS992">
            <v>0</v>
          </cell>
          <cell r="AW992">
            <v>0</v>
          </cell>
          <cell r="AY992" t="str">
            <v>NB</v>
          </cell>
        </row>
        <row r="993">
          <cell r="AM993">
            <v>10064.440000000002</v>
          </cell>
          <cell r="AP993" t="str">
            <v>Pièces</v>
          </cell>
          <cell r="AQ993" t="str">
            <v>Huiles et Graisse</v>
          </cell>
          <cell r="AR993" t="str">
            <v>$</v>
          </cell>
          <cell r="AS993">
            <v>0</v>
          </cell>
          <cell r="AW993">
            <v>0</v>
          </cell>
          <cell r="AY993" t="str">
            <v>NB</v>
          </cell>
        </row>
        <row r="994">
          <cell r="AM994">
            <v>0</v>
          </cell>
          <cell r="AP994" t="e">
            <v>#N/A</v>
          </cell>
          <cell r="AQ994" t="e">
            <v>#N/A</v>
          </cell>
          <cell r="AR994" t="str">
            <v>$</v>
          </cell>
          <cell r="AS994" t="e">
            <v>#N/A</v>
          </cell>
          <cell r="AW994">
            <v>0</v>
          </cell>
          <cell r="AY994" t="str">
            <v>NB</v>
          </cell>
        </row>
        <row r="995">
          <cell r="AM995">
            <v>0</v>
          </cell>
          <cell r="AP995" t="e">
            <v>#N/A</v>
          </cell>
          <cell r="AQ995" t="e">
            <v>#N/A</v>
          </cell>
          <cell r="AR995" t="str">
            <v>$</v>
          </cell>
          <cell r="AS995" t="e">
            <v>#N/A</v>
          </cell>
          <cell r="AW995">
            <v>0</v>
          </cell>
          <cell r="AY995" t="str">
            <v>NB</v>
          </cell>
        </row>
        <row r="996">
          <cell r="AM996">
            <v>0</v>
          </cell>
          <cell r="AP996" t="e">
            <v>#N/A</v>
          </cell>
          <cell r="AQ996" t="e">
            <v>#N/A</v>
          </cell>
          <cell r="AR996" t="str">
            <v>$</v>
          </cell>
          <cell r="AS996" t="e">
            <v>#N/A</v>
          </cell>
          <cell r="AW996">
            <v>0</v>
          </cell>
          <cell r="AY996" t="str">
            <v>NB</v>
          </cell>
        </row>
        <row r="997">
          <cell r="AM997">
            <v>0</v>
          </cell>
          <cell r="AP997" t="e">
            <v>#N/A</v>
          </cell>
          <cell r="AQ997" t="e">
            <v>#N/A</v>
          </cell>
          <cell r="AR997" t="str">
            <v>$</v>
          </cell>
          <cell r="AS997" t="e">
            <v>#N/A</v>
          </cell>
          <cell r="AW997">
            <v>0</v>
          </cell>
          <cell r="AY997" t="str">
            <v>NB</v>
          </cell>
        </row>
        <row r="998">
          <cell r="AM998">
            <v>0</v>
          </cell>
          <cell r="AP998" t="e">
            <v>#N/A</v>
          </cell>
          <cell r="AQ998" t="e">
            <v>#N/A</v>
          </cell>
          <cell r="AR998" t="str">
            <v>$</v>
          </cell>
          <cell r="AS998" t="e">
            <v>#N/A</v>
          </cell>
          <cell r="AW998">
            <v>0</v>
          </cell>
          <cell r="AY998" t="str">
            <v>NB</v>
          </cell>
        </row>
        <row r="999">
          <cell r="AM999">
            <v>0</v>
          </cell>
          <cell r="AP999" t="e">
            <v>#N/A</v>
          </cell>
          <cell r="AQ999" t="e">
            <v>#N/A</v>
          </cell>
          <cell r="AR999" t="str">
            <v>$</v>
          </cell>
          <cell r="AS999" t="e">
            <v>#N/A</v>
          </cell>
          <cell r="AW999">
            <v>0</v>
          </cell>
          <cell r="AY999" t="str">
            <v>NB</v>
          </cell>
        </row>
        <row r="1000">
          <cell r="AM1000">
            <v>0</v>
          </cell>
          <cell r="AP1000" t="e">
            <v>#N/A</v>
          </cell>
          <cell r="AQ1000" t="e">
            <v>#N/A</v>
          </cell>
          <cell r="AR1000" t="str">
            <v>$</v>
          </cell>
          <cell r="AS1000" t="e">
            <v>#N/A</v>
          </cell>
          <cell r="AW1000">
            <v>0</v>
          </cell>
          <cell r="AY1000" t="str">
            <v>NB</v>
          </cell>
        </row>
        <row r="1001">
          <cell r="AM1001">
            <v>0</v>
          </cell>
          <cell r="AP1001" t="e">
            <v>#N/A</v>
          </cell>
          <cell r="AQ1001" t="e">
            <v>#N/A</v>
          </cell>
          <cell r="AR1001" t="str">
            <v>$</v>
          </cell>
          <cell r="AS1001" t="e">
            <v>#N/A</v>
          </cell>
          <cell r="AW1001">
            <v>0</v>
          </cell>
          <cell r="AY1001" t="str">
            <v>NB</v>
          </cell>
        </row>
        <row r="1002">
          <cell r="AM1002">
            <v>0</v>
          </cell>
          <cell r="AP1002" t="e">
            <v>#N/A</v>
          </cell>
          <cell r="AQ1002" t="e">
            <v>#N/A</v>
          </cell>
          <cell r="AR1002" t="str">
            <v>$</v>
          </cell>
          <cell r="AS1002" t="e">
            <v>#N/A</v>
          </cell>
          <cell r="AW1002">
            <v>0</v>
          </cell>
          <cell r="AY1002" t="str">
            <v>NB</v>
          </cell>
        </row>
        <row r="1003">
          <cell r="AM1003">
            <v>0</v>
          </cell>
          <cell r="AP1003" t="e">
            <v>#N/A</v>
          </cell>
          <cell r="AQ1003" t="e">
            <v>#N/A</v>
          </cell>
          <cell r="AR1003" t="str">
            <v>$</v>
          </cell>
          <cell r="AS1003" t="e">
            <v>#N/A</v>
          </cell>
          <cell r="AW1003">
            <v>0</v>
          </cell>
          <cell r="AY1003" t="str">
            <v>NB</v>
          </cell>
        </row>
        <row r="1004">
          <cell r="AM1004">
            <v>0</v>
          </cell>
          <cell r="AP1004" t="e">
            <v>#N/A</v>
          </cell>
          <cell r="AQ1004" t="e">
            <v>#N/A</v>
          </cell>
          <cell r="AR1004" t="str">
            <v>$</v>
          </cell>
          <cell r="AS1004" t="e">
            <v>#N/A</v>
          </cell>
          <cell r="AW1004">
            <v>0</v>
          </cell>
          <cell r="AY1004" t="str">
            <v>NB</v>
          </cell>
        </row>
        <row r="1005">
          <cell r="AM1005">
            <v>0</v>
          </cell>
          <cell r="AP1005" t="e">
            <v>#N/A</v>
          </cell>
          <cell r="AQ1005" t="e">
            <v>#N/A</v>
          </cell>
          <cell r="AR1005" t="str">
            <v>$</v>
          </cell>
          <cell r="AS1005" t="e">
            <v>#N/A</v>
          </cell>
          <cell r="AW1005">
            <v>0</v>
          </cell>
          <cell r="AY1005" t="str">
            <v>NB</v>
          </cell>
        </row>
        <row r="1006">
          <cell r="AM1006">
            <v>0</v>
          </cell>
          <cell r="AP1006" t="e">
            <v>#N/A</v>
          </cell>
          <cell r="AQ1006" t="e">
            <v>#N/A</v>
          </cell>
          <cell r="AR1006" t="str">
            <v>$</v>
          </cell>
          <cell r="AS1006" t="e">
            <v>#N/A</v>
          </cell>
          <cell r="AW1006">
            <v>0</v>
          </cell>
          <cell r="AY1006" t="str">
            <v>NB</v>
          </cell>
        </row>
        <row r="1007">
          <cell r="AM1007">
            <v>0</v>
          </cell>
          <cell r="AP1007" t="e">
            <v>#N/A</v>
          </cell>
          <cell r="AQ1007" t="e">
            <v>#N/A</v>
          </cell>
          <cell r="AR1007" t="str">
            <v>$</v>
          </cell>
          <cell r="AS1007" t="e">
            <v>#N/A</v>
          </cell>
          <cell r="AW1007">
            <v>0</v>
          </cell>
          <cell r="AY1007" t="str">
            <v>NB</v>
          </cell>
        </row>
        <row r="1008">
          <cell r="AM1008">
            <v>0</v>
          </cell>
          <cell r="AP1008" t="e">
            <v>#N/A</v>
          </cell>
          <cell r="AQ1008" t="e">
            <v>#N/A</v>
          </cell>
          <cell r="AR1008" t="str">
            <v>$</v>
          </cell>
          <cell r="AS1008" t="e">
            <v>#N/A</v>
          </cell>
          <cell r="AW1008">
            <v>0</v>
          </cell>
          <cell r="AY1008" t="str">
            <v>NB</v>
          </cell>
        </row>
        <row r="1009">
          <cell r="AM1009">
            <v>0</v>
          </cell>
          <cell r="AP1009" t="e">
            <v>#N/A</v>
          </cell>
          <cell r="AQ1009" t="e">
            <v>#N/A</v>
          </cell>
          <cell r="AR1009" t="str">
            <v>$</v>
          </cell>
          <cell r="AS1009" t="e">
            <v>#N/A</v>
          </cell>
          <cell r="AW1009">
            <v>0</v>
          </cell>
          <cell r="AY1009" t="str">
            <v>NB</v>
          </cell>
        </row>
        <row r="1010">
          <cell r="AM1010">
            <v>0</v>
          </cell>
          <cell r="AP1010" t="e">
            <v>#N/A</v>
          </cell>
          <cell r="AQ1010" t="e">
            <v>#N/A</v>
          </cell>
          <cell r="AR1010" t="str">
            <v>$</v>
          </cell>
          <cell r="AS1010" t="e">
            <v>#N/A</v>
          </cell>
          <cell r="AW1010">
            <v>0</v>
          </cell>
          <cell r="AY1010" t="str">
            <v>NB</v>
          </cell>
        </row>
        <row r="1011">
          <cell r="AM1011">
            <v>0</v>
          </cell>
          <cell r="AP1011">
            <v>0</v>
          </cell>
          <cell r="AQ1011">
            <v>0</v>
          </cell>
          <cell r="AR1011" t="str">
            <v>$</v>
          </cell>
          <cell r="AS1011">
            <v>0</v>
          </cell>
          <cell r="AW1011">
            <v>0</v>
          </cell>
          <cell r="AY1011" t="str">
            <v>NB</v>
          </cell>
        </row>
        <row r="1012">
          <cell r="AM1012">
            <v>0</v>
          </cell>
          <cell r="AP1012" t="e">
            <v>#N/A</v>
          </cell>
          <cell r="AQ1012" t="e">
            <v>#N/A</v>
          </cell>
          <cell r="AR1012" t="str">
            <v>$</v>
          </cell>
          <cell r="AS1012" t="e">
            <v>#N/A</v>
          </cell>
          <cell r="AW1012">
            <v>0</v>
          </cell>
          <cell r="AY1012" t="str">
            <v>NB</v>
          </cell>
        </row>
        <row r="1013">
          <cell r="AM1013">
            <v>0</v>
          </cell>
          <cell r="AP1013">
            <v>0</v>
          </cell>
          <cell r="AQ1013">
            <v>0</v>
          </cell>
          <cell r="AR1013" t="str">
            <v>$</v>
          </cell>
          <cell r="AS1013">
            <v>0</v>
          </cell>
          <cell r="AW1013">
            <v>0</v>
          </cell>
          <cell r="AY1013" t="str">
            <v>NB</v>
          </cell>
        </row>
        <row r="1014">
          <cell r="AM1014">
            <v>0</v>
          </cell>
          <cell r="AP1014" t="e">
            <v>#N/A</v>
          </cell>
          <cell r="AQ1014" t="e">
            <v>#N/A</v>
          </cell>
          <cell r="AR1014" t="str">
            <v>$</v>
          </cell>
          <cell r="AS1014" t="e">
            <v>#N/A</v>
          </cell>
          <cell r="AW1014">
            <v>0</v>
          </cell>
          <cell r="AY1014" t="str">
            <v>NB</v>
          </cell>
        </row>
        <row r="1015">
          <cell r="AM1015">
            <v>0</v>
          </cell>
          <cell r="AP1015">
            <v>0</v>
          </cell>
          <cell r="AQ1015">
            <v>0</v>
          </cell>
          <cell r="AR1015" t="str">
            <v>$</v>
          </cell>
          <cell r="AS1015">
            <v>0</v>
          </cell>
          <cell r="AW1015">
            <v>0</v>
          </cell>
          <cell r="AY1015" t="str">
            <v>NB</v>
          </cell>
        </row>
        <row r="1016">
          <cell r="AM1016">
            <v>0</v>
          </cell>
          <cell r="AP1016" t="e">
            <v>#N/A</v>
          </cell>
          <cell r="AQ1016" t="e">
            <v>#N/A</v>
          </cell>
          <cell r="AR1016" t="str">
            <v>$</v>
          </cell>
          <cell r="AS1016" t="e">
            <v>#N/A</v>
          </cell>
          <cell r="AW1016">
            <v>0</v>
          </cell>
          <cell r="AY1016" t="str">
            <v>NB</v>
          </cell>
        </row>
        <row r="1017">
          <cell r="AM1017">
            <v>0</v>
          </cell>
          <cell r="AP1017" t="e">
            <v>#N/A</v>
          </cell>
          <cell r="AQ1017" t="e">
            <v>#N/A</v>
          </cell>
          <cell r="AR1017" t="str">
            <v>$</v>
          </cell>
          <cell r="AS1017" t="e">
            <v>#N/A</v>
          </cell>
          <cell r="AW1017">
            <v>0</v>
          </cell>
          <cell r="AY1017" t="str">
            <v>NB</v>
          </cell>
        </row>
        <row r="1018">
          <cell r="AM1018">
            <v>0</v>
          </cell>
          <cell r="AP1018" t="e">
            <v>#N/A</v>
          </cell>
          <cell r="AQ1018" t="e">
            <v>#N/A</v>
          </cell>
          <cell r="AR1018" t="str">
            <v>$</v>
          </cell>
          <cell r="AS1018" t="e">
            <v>#N/A</v>
          </cell>
          <cell r="AW1018">
            <v>0</v>
          </cell>
          <cell r="AY1018" t="str">
            <v>NB</v>
          </cell>
        </row>
        <row r="1019">
          <cell r="AM1019">
            <v>0</v>
          </cell>
          <cell r="AP1019">
            <v>0</v>
          </cell>
          <cell r="AQ1019">
            <v>0</v>
          </cell>
          <cell r="AR1019" t="str">
            <v>$</v>
          </cell>
          <cell r="AS1019">
            <v>0</v>
          </cell>
          <cell r="AW1019">
            <v>0</v>
          </cell>
          <cell r="AY1019" t="str">
            <v>NB</v>
          </cell>
        </row>
        <row r="1020">
          <cell r="AM1020">
            <v>0</v>
          </cell>
          <cell r="AP1020" t="e">
            <v>#N/A</v>
          </cell>
          <cell r="AQ1020" t="e">
            <v>#N/A</v>
          </cell>
          <cell r="AR1020" t="str">
            <v>$</v>
          </cell>
          <cell r="AS1020" t="e">
            <v>#N/A</v>
          </cell>
          <cell r="AW1020">
            <v>0</v>
          </cell>
          <cell r="AY1020" t="str">
            <v>NB</v>
          </cell>
        </row>
        <row r="1021">
          <cell r="AM1021">
            <v>0</v>
          </cell>
          <cell r="AP1021" t="e">
            <v>#N/A</v>
          </cell>
          <cell r="AQ1021" t="e">
            <v>#N/A</v>
          </cell>
          <cell r="AR1021" t="str">
            <v>$</v>
          </cell>
          <cell r="AS1021" t="e">
            <v>#N/A</v>
          </cell>
          <cell r="AW1021">
            <v>0</v>
          </cell>
          <cell r="AY1021" t="str">
            <v>NB</v>
          </cell>
        </row>
        <row r="1022">
          <cell r="AM1022">
            <v>0</v>
          </cell>
          <cell r="AP1022">
            <v>0</v>
          </cell>
          <cell r="AQ1022">
            <v>0</v>
          </cell>
          <cell r="AR1022" t="str">
            <v>$</v>
          </cell>
          <cell r="AS1022">
            <v>0</v>
          </cell>
          <cell r="AW1022">
            <v>0</v>
          </cell>
          <cell r="AY1022" t="str">
            <v>NB</v>
          </cell>
        </row>
        <row r="1023">
          <cell r="AM1023">
            <v>0</v>
          </cell>
          <cell r="AP1023" t="e">
            <v>#N/A</v>
          </cell>
          <cell r="AQ1023" t="e">
            <v>#N/A</v>
          </cell>
          <cell r="AR1023" t="str">
            <v>$</v>
          </cell>
          <cell r="AS1023" t="e">
            <v>#N/A</v>
          </cell>
          <cell r="AW1023">
            <v>0</v>
          </cell>
          <cell r="AY1023" t="str">
            <v>NB</v>
          </cell>
        </row>
        <row r="1024">
          <cell r="AM1024">
            <v>0</v>
          </cell>
          <cell r="AP1024" t="e">
            <v>#N/A</v>
          </cell>
          <cell r="AQ1024" t="e">
            <v>#N/A</v>
          </cell>
          <cell r="AR1024" t="str">
            <v>$</v>
          </cell>
          <cell r="AS1024" t="e">
            <v>#N/A</v>
          </cell>
          <cell r="AW1024">
            <v>0</v>
          </cell>
          <cell r="AY1024" t="str">
            <v>NB</v>
          </cell>
        </row>
        <row r="1025">
          <cell r="AM1025">
            <v>0</v>
          </cell>
          <cell r="AP1025" t="e">
            <v>#N/A</v>
          </cell>
          <cell r="AQ1025" t="e">
            <v>#N/A</v>
          </cell>
          <cell r="AR1025" t="str">
            <v>$</v>
          </cell>
          <cell r="AS1025" t="e">
            <v>#N/A</v>
          </cell>
          <cell r="AW1025">
            <v>0</v>
          </cell>
          <cell r="AY1025" t="str">
            <v>NB</v>
          </cell>
        </row>
        <row r="1026">
          <cell r="AM1026">
            <v>0</v>
          </cell>
          <cell r="AP1026" t="e">
            <v>#N/A</v>
          </cell>
          <cell r="AQ1026" t="e">
            <v>#N/A</v>
          </cell>
          <cell r="AR1026" t="str">
            <v>$</v>
          </cell>
          <cell r="AS1026" t="e">
            <v>#N/A</v>
          </cell>
          <cell r="AW1026">
            <v>0</v>
          </cell>
          <cell r="AY1026" t="str">
            <v>NB</v>
          </cell>
        </row>
        <row r="1027">
          <cell r="AM1027">
            <v>0</v>
          </cell>
          <cell r="AP1027" t="e">
            <v>#N/A</v>
          </cell>
          <cell r="AQ1027" t="e">
            <v>#N/A</v>
          </cell>
          <cell r="AR1027" t="str">
            <v>$</v>
          </cell>
          <cell r="AS1027" t="e">
            <v>#N/A</v>
          </cell>
          <cell r="AW1027">
            <v>0</v>
          </cell>
          <cell r="AY1027" t="str">
            <v>NB</v>
          </cell>
        </row>
        <row r="1028">
          <cell r="AM1028">
            <v>0</v>
          </cell>
          <cell r="AP1028" t="str">
            <v>Véhicules neufs</v>
          </cell>
          <cell r="AQ1028" t="str">
            <v>Rev. Finances</v>
          </cell>
          <cell r="AR1028" t="str">
            <v>$</v>
          </cell>
          <cell r="AS1028" t="str">
            <v>Oui</v>
          </cell>
          <cell r="AW1028">
            <v>0</v>
          </cell>
          <cell r="AY1028" t="str">
            <v>NB</v>
          </cell>
        </row>
        <row r="1029">
          <cell r="AM1029">
            <v>0</v>
          </cell>
          <cell r="AP1029" t="e">
            <v>#N/A</v>
          </cell>
          <cell r="AQ1029" t="e">
            <v>#N/A</v>
          </cell>
          <cell r="AR1029" t="str">
            <v>$</v>
          </cell>
          <cell r="AS1029" t="e">
            <v>#N/A</v>
          </cell>
          <cell r="AW1029">
            <v>0</v>
          </cell>
          <cell r="AY1029" t="str">
            <v>NB</v>
          </cell>
        </row>
        <row r="1030">
          <cell r="AM1030">
            <v>0</v>
          </cell>
          <cell r="AP1030" t="str">
            <v>Véhicules neufs</v>
          </cell>
          <cell r="AQ1030" t="str">
            <v>Rev. Protections</v>
          </cell>
          <cell r="AR1030" t="str">
            <v>$</v>
          </cell>
          <cell r="AS1030" t="str">
            <v>Oui</v>
          </cell>
          <cell r="AW1030">
            <v>0</v>
          </cell>
          <cell r="AY1030" t="str">
            <v>NB</v>
          </cell>
        </row>
        <row r="1031">
          <cell r="AM1031">
            <v>0</v>
          </cell>
          <cell r="AP1031" t="e">
            <v>#N/A</v>
          </cell>
          <cell r="AQ1031" t="e">
            <v>#N/A</v>
          </cell>
          <cell r="AR1031" t="str">
            <v>$</v>
          </cell>
          <cell r="AS1031" t="e">
            <v>#N/A</v>
          </cell>
          <cell r="AW1031">
            <v>0</v>
          </cell>
          <cell r="AY1031" t="str">
            <v>NB</v>
          </cell>
        </row>
        <row r="1032">
          <cell r="AM1032">
            <v>-15338.099999999999</v>
          </cell>
          <cell r="AP1032" t="str">
            <v>Véhicules usagés</v>
          </cell>
          <cell r="AQ1032" t="str">
            <v>Rev. Finances</v>
          </cell>
          <cell r="AR1032" t="str">
            <v>$</v>
          </cell>
          <cell r="AS1032" t="str">
            <v>Oui</v>
          </cell>
          <cell r="AW1032">
            <v>16</v>
          </cell>
          <cell r="AY1032" t="str">
            <v>NB</v>
          </cell>
        </row>
        <row r="1033">
          <cell r="AM1033">
            <v>0</v>
          </cell>
          <cell r="AP1033" t="e">
            <v>#N/A</v>
          </cell>
          <cell r="AQ1033" t="e">
            <v>#N/A</v>
          </cell>
          <cell r="AR1033" t="str">
            <v>$</v>
          </cell>
          <cell r="AS1033" t="e">
            <v>#N/A</v>
          </cell>
          <cell r="AW1033">
            <v>0</v>
          </cell>
          <cell r="AY1033" t="str">
            <v>NB</v>
          </cell>
        </row>
        <row r="1034">
          <cell r="AM1034">
            <v>0</v>
          </cell>
          <cell r="AP1034" t="str">
            <v>Véhicules usagés</v>
          </cell>
          <cell r="AQ1034" t="str">
            <v>Rev. Protections</v>
          </cell>
          <cell r="AR1034" t="str">
            <v>$</v>
          </cell>
          <cell r="AS1034" t="str">
            <v>Oui</v>
          </cell>
          <cell r="AW1034">
            <v>0</v>
          </cell>
          <cell r="AY1034" t="str">
            <v>NB</v>
          </cell>
        </row>
        <row r="1035">
          <cell r="AM1035">
            <v>0</v>
          </cell>
          <cell r="AP1035" t="e">
            <v>#N/A</v>
          </cell>
          <cell r="AQ1035" t="e">
            <v>#N/A</v>
          </cell>
          <cell r="AR1035" t="str">
            <v>$</v>
          </cell>
          <cell r="AS1035" t="e">
            <v>#N/A</v>
          </cell>
          <cell r="AW1035">
            <v>0</v>
          </cell>
          <cell r="AY1035" t="str">
            <v>NB</v>
          </cell>
        </row>
        <row r="1036">
          <cell r="AM1036">
            <v>0</v>
          </cell>
          <cell r="AP1036" t="e">
            <v>#N/A</v>
          </cell>
          <cell r="AQ1036" t="e">
            <v>#N/A</v>
          </cell>
          <cell r="AR1036" t="str">
            <v>$</v>
          </cell>
          <cell r="AS1036" t="e">
            <v>#N/A</v>
          </cell>
          <cell r="AW1036">
            <v>0</v>
          </cell>
          <cell r="AY1036" t="str">
            <v>NB</v>
          </cell>
        </row>
        <row r="1037">
          <cell r="AM1037">
            <v>0</v>
          </cell>
          <cell r="AP1037" t="e">
            <v>#N/A</v>
          </cell>
          <cell r="AQ1037" t="e">
            <v>#N/A</v>
          </cell>
          <cell r="AR1037" t="str">
            <v>$</v>
          </cell>
          <cell r="AS1037" t="e">
            <v>#N/A</v>
          </cell>
          <cell r="AW1037">
            <v>0</v>
          </cell>
          <cell r="AY1037" t="str">
            <v>NB</v>
          </cell>
        </row>
        <row r="1038">
          <cell r="AM1038">
            <v>0</v>
          </cell>
          <cell r="AP1038" t="e">
            <v>#N/A</v>
          </cell>
          <cell r="AQ1038" t="e">
            <v>#N/A</v>
          </cell>
          <cell r="AR1038" t="str">
            <v>$</v>
          </cell>
          <cell r="AS1038" t="e">
            <v>#N/A</v>
          </cell>
          <cell r="AW1038">
            <v>0</v>
          </cell>
          <cell r="AY1038" t="str">
            <v>NB</v>
          </cell>
        </row>
        <row r="1039">
          <cell r="AM1039">
            <v>0</v>
          </cell>
          <cell r="AP1039" t="e">
            <v>#N/A</v>
          </cell>
          <cell r="AQ1039" t="e">
            <v>#N/A</v>
          </cell>
          <cell r="AR1039" t="str">
            <v>$</v>
          </cell>
          <cell r="AS1039" t="e">
            <v>#N/A</v>
          </cell>
          <cell r="AW1039">
            <v>0</v>
          </cell>
          <cell r="AY1039" t="str">
            <v>NB</v>
          </cell>
        </row>
        <row r="1040">
          <cell r="AM1040">
            <v>0</v>
          </cell>
          <cell r="AP1040" t="e">
            <v>#N/A</v>
          </cell>
          <cell r="AQ1040" t="e">
            <v>#N/A</v>
          </cell>
          <cell r="AR1040" t="str">
            <v>$</v>
          </cell>
          <cell r="AS1040" t="e">
            <v>#N/A</v>
          </cell>
          <cell r="AW1040">
            <v>0</v>
          </cell>
          <cell r="AY1040" t="str">
            <v>NB</v>
          </cell>
        </row>
        <row r="1041">
          <cell r="AM1041">
            <v>0</v>
          </cell>
          <cell r="AP1041" t="e">
            <v>#N/A</v>
          </cell>
          <cell r="AQ1041" t="e">
            <v>#N/A</v>
          </cell>
          <cell r="AR1041" t="str">
            <v>$</v>
          </cell>
          <cell r="AS1041" t="e">
            <v>#N/A</v>
          </cell>
          <cell r="AW1041">
            <v>0</v>
          </cell>
          <cell r="AY1041" t="str">
            <v>NB</v>
          </cell>
        </row>
        <row r="1042">
          <cell r="AM1042">
            <v>0</v>
          </cell>
          <cell r="AP1042" t="e">
            <v>#N/A</v>
          </cell>
          <cell r="AQ1042" t="e">
            <v>#N/A</v>
          </cell>
          <cell r="AR1042" t="str">
            <v>$</v>
          </cell>
          <cell r="AS1042" t="e">
            <v>#N/A</v>
          </cell>
          <cell r="AW1042">
            <v>0</v>
          </cell>
          <cell r="AY1042" t="str">
            <v>NB</v>
          </cell>
        </row>
        <row r="1043">
          <cell r="AM1043">
            <v>0</v>
          </cell>
          <cell r="AP1043" t="e">
            <v>#N/A</v>
          </cell>
          <cell r="AQ1043" t="e">
            <v>#N/A</v>
          </cell>
          <cell r="AR1043" t="str">
            <v>$</v>
          </cell>
          <cell r="AS1043" t="e">
            <v>#N/A</v>
          </cell>
          <cell r="AW1043">
            <v>0</v>
          </cell>
          <cell r="AY1043" t="str">
            <v>NB</v>
          </cell>
        </row>
        <row r="1044">
          <cell r="AM1044">
            <v>0</v>
          </cell>
          <cell r="AP1044">
            <v>0</v>
          </cell>
          <cell r="AQ1044">
            <v>0</v>
          </cell>
          <cell r="AR1044" t="str">
            <v>$</v>
          </cell>
          <cell r="AS1044">
            <v>0</v>
          </cell>
          <cell r="AW1044">
            <v>0</v>
          </cell>
          <cell r="AY1044" t="str">
            <v>NB</v>
          </cell>
        </row>
        <row r="1045">
          <cell r="AM1045">
            <v>0</v>
          </cell>
          <cell r="AP1045" t="e">
            <v>#N/A</v>
          </cell>
          <cell r="AQ1045" t="e">
            <v>#N/A</v>
          </cell>
          <cell r="AR1045" t="str">
            <v>$</v>
          </cell>
          <cell r="AS1045" t="e">
            <v>#N/A</v>
          </cell>
          <cell r="AW1045">
            <v>0</v>
          </cell>
          <cell r="AY1045" t="str">
            <v>NB</v>
          </cell>
        </row>
        <row r="1046">
          <cell r="AM1046">
            <v>0</v>
          </cell>
          <cell r="AP1046">
            <v>0</v>
          </cell>
          <cell r="AQ1046">
            <v>0</v>
          </cell>
          <cell r="AR1046" t="str">
            <v>$</v>
          </cell>
          <cell r="AS1046">
            <v>0</v>
          </cell>
          <cell r="AW1046">
            <v>0</v>
          </cell>
          <cell r="AY1046" t="str">
            <v>NB</v>
          </cell>
        </row>
        <row r="1047">
          <cell r="AM1047">
            <v>0</v>
          </cell>
          <cell r="AP1047" t="e">
            <v>#N/A</v>
          </cell>
          <cell r="AQ1047" t="e">
            <v>#N/A</v>
          </cell>
          <cell r="AR1047" t="str">
            <v>$</v>
          </cell>
          <cell r="AS1047" t="e">
            <v>#N/A</v>
          </cell>
          <cell r="AW1047">
            <v>0</v>
          </cell>
          <cell r="AY1047" t="str">
            <v>NB</v>
          </cell>
        </row>
        <row r="1048">
          <cell r="AM1048">
            <v>9060.5899999999965</v>
          </cell>
          <cell r="AP1048" t="str">
            <v>Véhicules neufs</v>
          </cell>
          <cell r="AQ1048" t="str">
            <v>Comm. F&amp;I</v>
          </cell>
          <cell r="AR1048" t="str">
            <v>$</v>
          </cell>
          <cell r="AS1048">
            <v>0</v>
          </cell>
          <cell r="AW1048">
            <v>0</v>
          </cell>
          <cell r="AY1048" t="str">
            <v>NB</v>
          </cell>
        </row>
        <row r="1049">
          <cell r="AM1049">
            <v>0</v>
          </cell>
          <cell r="AP1049" t="e">
            <v>#N/A</v>
          </cell>
          <cell r="AQ1049" t="e">
            <v>#N/A</v>
          </cell>
          <cell r="AR1049" t="str">
            <v>$</v>
          </cell>
          <cell r="AS1049" t="e">
            <v>#N/A</v>
          </cell>
          <cell r="AW1049">
            <v>0</v>
          </cell>
          <cell r="AY1049" t="str">
            <v>NB</v>
          </cell>
        </row>
        <row r="1050">
          <cell r="AM1050">
            <v>5759.2300000000032</v>
          </cell>
          <cell r="AP1050" t="str">
            <v>Véhicules usagés</v>
          </cell>
          <cell r="AQ1050" t="str">
            <v>Comm. F&amp;I</v>
          </cell>
          <cell r="AR1050" t="str">
            <v>$</v>
          </cell>
          <cell r="AS1050">
            <v>0</v>
          </cell>
          <cell r="AW1050">
            <v>0</v>
          </cell>
          <cell r="AY1050" t="str">
            <v>NB</v>
          </cell>
        </row>
        <row r="1051">
          <cell r="AM1051">
            <v>0</v>
          </cell>
          <cell r="AP1051" t="e">
            <v>#N/A</v>
          </cell>
          <cell r="AQ1051" t="e">
            <v>#N/A</v>
          </cell>
          <cell r="AR1051" t="str">
            <v>$</v>
          </cell>
          <cell r="AS1051" t="e">
            <v>#N/A</v>
          </cell>
          <cell r="AW1051">
            <v>0</v>
          </cell>
          <cell r="AY1051" t="str">
            <v>NB</v>
          </cell>
        </row>
        <row r="1052">
          <cell r="AM1052">
            <v>0</v>
          </cell>
          <cell r="AP1052" t="e">
            <v>#N/A</v>
          </cell>
          <cell r="AQ1052" t="e">
            <v>#N/A</v>
          </cell>
          <cell r="AR1052" t="str">
            <v>$</v>
          </cell>
          <cell r="AS1052" t="e">
            <v>#N/A</v>
          </cell>
          <cell r="AW1052">
            <v>0</v>
          </cell>
          <cell r="AY1052" t="str">
            <v>NB</v>
          </cell>
        </row>
        <row r="1053">
          <cell r="AM1053">
            <v>0</v>
          </cell>
          <cell r="AP1053" t="e">
            <v>#N/A</v>
          </cell>
          <cell r="AQ1053" t="e">
            <v>#N/A</v>
          </cell>
          <cell r="AR1053" t="str">
            <v>$</v>
          </cell>
          <cell r="AS1053" t="e">
            <v>#N/A</v>
          </cell>
          <cell r="AW1053">
            <v>0</v>
          </cell>
          <cell r="AY1053" t="str">
            <v>NB</v>
          </cell>
        </row>
        <row r="1054">
          <cell r="AM1054">
            <v>0</v>
          </cell>
          <cell r="AP1054">
            <v>0</v>
          </cell>
          <cell r="AQ1054">
            <v>0</v>
          </cell>
          <cell r="AR1054" t="str">
            <v>$</v>
          </cell>
          <cell r="AS1054">
            <v>0</v>
          </cell>
          <cell r="AW1054">
            <v>0</v>
          </cell>
          <cell r="AY1054" t="str">
            <v>NB</v>
          </cell>
        </row>
        <row r="1055">
          <cell r="AM1055">
            <v>0</v>
          </cell>
          <cell r="AP1055" t="e">
            <v>#N/A</v>
          </cell>
          <cell r="AQ1055" t="e">
            <v>#N/A</v>
          </cell>
          <cell r="AR1055" t="str">
            <v>$</v>
          </cell>
          <cell r="AS1055" t="e">
            <v>#N/A</v>
          </cell>
          <cell r="AW1055">
            <v>0</v>
          </cell>
          <cell r="AY1055" t="str">
            <v>NB</v>
          </cell>
        </row>
        <row r="1056">
          <cell r="AM1056">
            <v>0</v>
          </cell>
          <cell r="AP1056" t="e">
            <v>#N/A</v>
          </cell>
          <cell r="AQ1056" t="e">
            <v>#N/A</v>
          </cell>
          <cell r="AR1056" t="str">
            <v>$</v>
          </cell>
          <cell r="AS1056" t="e">
            <v>#N/A</v>
          </cell>
          <cell r="AW1056">
            <v>0</v>
          </cell>
          <cell r="AY1056" t="str">
            <v>NB</v>
          </cell>
        </row>
        <row r="1057">
          <cell r="AM1057">
            <v>-4225.4499999999971</v>
          </cell>
          <cell r="AP1057" t="str">
            <v>TOTAL DES REVENUS ET DÉPENSES</v>
          </cell>
          <cell r="AQ1057" t="str">
            <v>Revenus autres</v>
          </cell>
          <cell r="AR1057" t="str">
            <v>$</v>
          </cell>
          <cell r="AS1057">
            <v>0</v>
          </cell>
          <cell r="AW1057">
            <v>-1</v>
          </cell>
          <cell r="AY1057" t="str">
            <v>NB</v>
          </cell>
        </row>
        <row r="1058">
          <cell r="AM1058">
            <v>0</v>
          </cell>
          <cell r="AP1058" t="e">
            <v>#N/A</v>
          </cell>
          <cell r="AQ1058" t="e">
            <v>#N/A</v>
          </cell>
          <cell r="AR1058" t="str">
            <v>$</v>
          </cell>
          <cell r="AS1058" t="e">
            <v>#N/A</v>
          </cell>
          <cell r="AW1058">
            <v>0</v>
          </cell>
          <cell r="AY1058" t="str">
            <v>NB</v>
          </cell>
        </row>
        <row r="1059">
          <cell r="AM1059">
            <v>-10299.790000000008</v>
          </cell>
          <cell r="AP1059" t="str">
            <v>Véhicules neufs</v>
          </cell>
          <cell r="AQ1059" t="str">
            <v>Crédit Boni TD</v>
          </cell>
          <cell r="AR1059" t="str">
            <v>$</v>
          </cell>
          <cell r="AS1059">
            <v>0</v>
          </cell>
          <cell r="AW1059">
            <v>1</v>
          </cell>
          <cell r="AY1059" t="str">
            <v>NB</v>
          </cell>
        </row>
        <row r="1060">
          <cell r="AM1060">
            <v>-1619.5599999999977</v>
          </cell>
          <cell r="AP1060" t="str">
            <v>Véhicules usagés</v>
          </cell>
          <cell r="AQ1060" t="str">
            <v>Crédit Boni TD</v>
          </cell>
          <cell r="AR1060" t="str">
            <v>$</v>
          </cell>
          <cell r="AS1060">
            <v>0</v>
          </cell>
          <cell r="AW1060">
            <v>1</v>
          </cell>
          <cell r="AY1060" t="str">
            <v>NB</v>
          </cell>
        </row>
        <row r="1061">
          <cell r="AM1061">
            <v>-1931.92</v>
          </cell>
          <cell r="AP1061" t="str">
            <v>Wholesale autres</v>
          </cell>
          <cell r="AQ1061" t="str">
            <v>Crédit Boni TD</v>
          </cell>
          <cell r="AR1061" t="str">
            <v>$</v>
          </cell>
          <cell r="AS1061">
            <v>0</v>
          </cell>
          <cell r="AW1061">
            <v>1</v>
          </cell>
          <cell r="AY1061" t="str">
            <v>NB</v>
          </cell>
        </row>
        <row r="1062">
          <cell r="AM1062">
            <v>-12888.160000000003</v>
          </cell>
          <cell r="AP1062" t="str">
            <v>TOTAL DES REVENUS ET DÉPENSES</v>
          </cell>
          <cell r="AQ1062" t="str">
            <v>Intérêts sur prêt</v>
          </cell>
          <cell r="AR1062" t="str">
            <v>$</v>
          </cell>
          <cell r="AS1062">
            <v>0</v>
          </cell>
          <cell r="AW1062">
            <v>2</v>
          </cell>
          <cell r="AY1062" t="str">
            <v>NB</v>
          </cell>
        </row>
        <row r="1063">
          <cell r="AM1063">
            <v>0</v>
          </cell>
          <cell r="AP1063" t="str">
            <v>TOTAL DES REVENUS ET DÉPENSES</v>
          </cell>
          <cell r="AQ1063" t="str">
            <v>Revenus d'intérêts Floor plan</v>
          </cell>
          <cell r="AR1063" t="str">
            <v>$</v>
          </cell>
          <cell r="AS1063">
            <v>0</v>
          </cell>
          <cell r="AW1063">
            <v>0</v>
          </cell>
          <cell r="AY1063" t="str">
            <v>NB</v>
          </cell>
        </row>
        <row r="1064">
          <cell r="AM1064">
            <v>0</v>
          </cell>
          <cell r="AP1064" t="e">
            <v>#N/A</v>
          </cell>
          <cell r="AQ1064" t="e">
            <v>#N/A</v>
          </cell>
          <cell r="AR1064" t="str">
            <v>$</v>
          </cell>
          <cell r="AS1064" t="e">
            <v>#N/A</v>
          </cell>
          <cell r="AW1064">
            <v>0</v>
          </cell>
          <cell r="AY1064" t="str">
            <v>NB</v>
          </cell>
        </row>
        <row r="1065">
          <cell r="AM1065">
            <v>-35241.440000000002</v>
          </cell>
          <cell r="AP1065" t="str">
            <v>Véhicules neufs</v>
          </cell>
          <cell r="AQ1065" t="str">
            <v>Programme Excellence</v>
          </cell>
          <cell r="AR1065" t="str">
            <v>$</v>
          </cell>
          <cell r="AS1065">
            <v>0</v>
          </cell>
          <cell r="AW1065">
            <v>7</v>
          </cell>
          <cell r="AY1065" t="str">
            <v>NB</v>
          </cell>
        </row>
        <row r="1066">
          <cell r="AM1066">
            <v>0</v>
          </cell>
          <cell r="AP1066" t="e">
            <v>#N/A</v>
          </cell>
          <cell r="AQ1066" t="e">
            <v>#N/A</v>
          </cell>
          <cell r="AR1066" t="str">
            <v>$</v>
          </cell>
          <cell r="AS1066" t="e">
            <v>#N/A</v>
          </cell>
          <cell r="AW1066">
            <v>0</v>
          </cell>
          <cell r="AY1066" t="str">
            <v>NB</v>
          </cell>
        </row>
        <row r="1067">
          <cell r="AM1067">
            <v>0</v>
          </cell>
          <cell r="AP1067" t="e">
            <v>#N/A</v>
          </cell>
          <cell r="AQ1067" t="e">
            <v>#N/A</v>
          </cell>
          <cell r="AR1067" t="str">
            <v>$</v>
          </cell>
          <cell r="AS1067" t="e">
            <v>#N/A</v>
          </cell>
          <cell r="AW1067">
            <v>0</v>
          </cell>
          <cell r="AY1067" t="str">
            <v>NB</v>
          </cell>
        </row>
        <row r="1068">
          <cell r="AM1068">
            <v>47.80000000000291</v>
          </cell>
          <cell r="AP1068" t="str">
            <v>TOTAL DES REVENUS ET DÉPENSES</v>
          </cell>
          <cell r="AQ1068" t="str">
            <v>Revenus autres</v>
          </cell>
          <cell r="AR1068" t="str">
            <v>$</v>
          </cell>
          <cell r="AS1068">
            <v>0</v>
          </cell>
          <cell r="AW1068">
            <v>0</v>
          </cell>
          <cell r="AY1068" t="str">
            <v>NB</v>
          </cell>
        </row>
        <row r="1069">
          <cell r="AM1069">
            <v>20829.380000000005</v>
          </cell>
          <cell r="AP1069" t="str">
            <v>TOTAL DES REVENUS ET DÉPENSES</v>
          </cell>
          <cell r="AQ1069" t="str">
            <v>Intérêts sur prêt</v>
          </cell>
          <cell r="AR1069" t="str">
            <v>$</v>
          </cell>
          <cell r="AS1069">
            <v>0</v>
          </cell>
          <cell r="AW1069">
            <v>0</v>
          </cell>
          <cell r="AY1069" t="str">
            <v>NB</v>
          </cell>
        </row>
        <row r="1070">
          <cell r="AM1070">
            <v>266.98</v>
          </cell>
          <cell r="AP1070" t="str">
            <v>TOTAL DES REVENUS ET DÉPENSES</v>
          </cell>
          <cell r="AQ1070" t="str">
            <v>Revenus autres</v>
          </cell>
          <cell r="AR1070" t="str">
            <v>$</v>
          </cell>
          <cell r="AS1070">
            <v>0</v>
          </cell>
          <cell r="AW1070">
            <v>0</v>
          </cell>
          <cell r="AY1070" t="str">
            <v>NB</v>
          </cell>
        </row>
        <row r="1071">
          <cell r="AM1071">
            <v>0</v>
          </cell>
          <cell r="AP1071" t="e">
            <v>#N/A</v>
          </cell>
          <cell r="AQ1071" t="e">
            <v>#N/A</v>
          </cell>
          <cell r="AR1071" t="str">
            <v>$</v>
          </cell>
          <cell r="AS1071" t="e">
            <v>#N/A</v>
          </cell>
          <cell r="AW1071">
            <v>0</v>
          </cell>
          <cell r="AY1071" t="str">
            <v>NB</v>
          </cell>
        </row>
        <row r="1072">
          <cell r="AM1072">
            <v>0</v>
          </cell>
          <cell r="AP1072" t="str">
            <v>Wholesale autres</v>
          </cell>
          <cell r="AQ1072" t="str">
            <v>Frais de livraison</v>
          </cell>
          <cell r="AR1072" t="str">
            <v>$</v>
          </cell>
          <cell r="AS1072">
            <v>0</v>
          </cell>
          <cell r="AW1072">
            <v>0</v>
          </cell>
          <cell r="AY1072" t="str">
            <v>NB</v>
          </cell>
        </row>
        <row r="1073">
          <cell r="AM1073">
            <v>0</v>
          </cell>
          <cell r="AP1073" t="e">
            <v>#N/A</v>
          </cell>
          <cell r="AQ1073" t="e">
            <v>#N/A</v>
          </cell>
          <cell r="AR1073" t="str">
            <v>$</v>
          </cell>
          <cell r="AS1073" t="e">
            <v>#N/A</v>
          </cell>
          <cell r="AW1073">
            <v>0</v>
          </cell>
          <cell r="AY1073" t="str">
            <v>NB</v>
          </cell>
        </row>
        <row r="1074">
          <cell r="AM1074">
            <v>0</v>
          </cell>
          <cell r="AP1074" t="e">
            <v>#N/A</v>
          </cell>
          <cell r="AQ1074" t="e">
            <v>#N/A</v>
          </cell>
          <cell r="AR1074" t="str">
            <v>$</v>
          </cell>
          <cell r="AS1074" t="e">
            <v>#N/A</v>
          </cell>
          <cell r="AW1074">
            <v>0</v>
          </cell>
          <cell r="AY1074" t="str">
            <v>NB</v>
          </cell>
        </row>
        <row r="1075">
          <cell r="AM1075">
            <v>0</v>
          </cell>
          <cell r="AP1075" t="e">
            <v>#N/A</v>
          </cell>
          <cell r="AQ1075" t="e">
            <v>#N/A</v>
          </cell>
          <cell r="AR1075" t="str">
            <v>$</v>
          </cell>
          <cell r="AS1075" t="e">
            <v>#N/A</v>
          </cell>
          <cell r="AW1075">
            <v>0</v>
          </cell>
          <cell r="AY1075" t="str">
            <v>NB</v>
          </cell>
        </row>
        <row r="1076">
          <cell r="AM1076">
            <v>0</v>
          </cell>
          <cell r="AP1076" t="e">
            <v>#N/A</v>
          </cell>
          <cell r="AQ1076" t="e">
            <v>#N/A</v>
          </cell>
          <cell r="AR1076" t="str">
            <v>$</v>
          </cell>
          <cell r="AS1076" t="e">
            <v>#N/A</v>
          </cell>
          <cell r="AW1076">
            <v>0</v>
          </cell>
          <cell r="AY1076" t="str">
            <v>NB</v>
          </cell>
        </row>
        <row r="1077">
          <cell r="AM1077">
            <v>0</v>
          </cell>
          <cell r="AP1077" t="e">
            <v>#N/A</v>
          </cell>
          <cell r="AQ1077" t="e">
            <v>#N/A</v>
          </cell>
          <cell r="AR1077" t="str">
            <v>$</v>
          </cell>
          <cell r="AS1077" t="e">
            <v>#N/A</v>
          </cell>
          <cell r="AW1077">
            <v>0</v>
          </cell>
          <cell r="AY1077" t="str">
            <v>NB</v>
          </cell>
        </row>
        <row r="1089">
          <cell r="AP1089">
            <v>0</v>
          </cell>
        </row>
      </sheetData>
      <sheetData sheetId="14"/>
      <sheetData sheetId="15">
        <row r="2">
          <cell r="AM2" t="str">
            <v>Solde courant</v>
          </cell>
          <cell r="AP2" t="str">
            <v>Debits</v>
          </cell>
          <cell r="AQ2" t="str">
            <v>Classification</v>
          </cell>
          <cell r="AR2" t="str">
            <v>$ / NB</v>
          </cell>
          <cell r="AS2" t="str">
            <v>Ventes</v>
          </cell>
          <cell r="AW2" t="str">
            <v>Solde courant</v>
          </cell>
          <cell r="AY2" t="str">
            <v>$ / NB</v>
          </cell>
        </row>
        <row r="3">
          <cell r="AM3">
            <v>52303.010000000009</v>
          </cell>
          <cell r="AP3" t="str">
            <v>Véhicules neufs</v>
          </cell>
          <cell r="AQ3" t="str">
            <v>Comm. vendeurs</v>
          </cell>
          <cell r="AR3" t="str">
            <v>$</v>
          </cell>
          <cell r="AS3">
            <v>0</v>
          </cell>
          <cell r="AW3">
            <v>0</v>
          </cell>
          <cell r="AY3" t="str">
            <v>NB</v>
          </cell>
        </row>
        <row r="4">
          <cell r="AM4">
            <v>55837.19</v>
          </cell>
          <cell r="AP4" t="str">
            <v>Véhicules usagés</v>
          </cell>
          <cell r="AQ4" t="str">
            <v>Comm. vendeurs</v>
          </cell>
          <cell r="AR4" t="str">
            <v>$</v>
          </cell>
          <cell r="AS4">
            <v>0</v>
          </cell>
          <cell r="AW4">
            <v>0</v>
          </cell>
          <cell r="AY4" t="str">
            <v>NB</v>
          </cell>
        </row>
        <row r="5">
          <cell r="AM5">
            <v>0</v>
          </cell>
          <cell r="AP5" t="str">
            <v>Wholesale autres</v>
          </cell>
          <cell r="AQ5" t="str">
            <v>Comm. vendeurs</v>
          </cell>
          <cell r="AR5" t="str">
            <v>$</v>
          </cell>
          <cell r="AS5">
            <v>0</v>
          </cell>
          <cell r="AW5">
            <v>0</v>
          </cell>
          <cell r="AY5" t="str">
            <v>NB</v>
          </cell>
        </row>
        <row r="6">
          <cell r="AM6">
            <v>-9128.7400000000016</v>
          </cell>
          <cell r="AP6" t="str">
            <v>Véhicules neufs</v>
          </cell>
          <cell r="AQ6" t="str">
            <v>Frais de livraison</v>
          </cell>
          <cell r="AR6" t="str">
            <v>$</v>
          </cell>
          <cell r="AS6">
            <v>0</v>
          </cell>
          <cell r="AW6">
            <v>0</v>
          </cell>
          <cell r="AY6" t="str">
            <v>NB</v>
          </cell>
        </row>
        <row r="7">
          <cell r="AM7">
            <v>-9167.119999999999</v>
          </cell>
          <cell r="AP7" t="str">
            <v>Véhicules usagés</v>
          </cell>
          <cell r="AQ7" t="str">
            <v>Frais de livraison</v>
          </cell>
          <cell r="AR7" t="str">
            <v>$</v>
          </cell>
          <cell r="AS7">
            <v>0</v>
          </cell>
          <cell r="AW7">
            <v>0</v>
          </cell>
          <cell r="AY7" t="str">
            <v>NB</v>
          </cell>
        </row>
        <row r="8">
          <cell r="AM8">
            <v>172</v>
          </cell>
          <cell r="AP8" t="str">
            <v>Wholesale autres</v>
          </cell>
          <cell r="AQ8" t="str">
            <v>Frais de livraison</v>
          </cell>
          <cell r="AR8" t="str">
            <v>$</v>
          </cell>
          <cell r="AS8">
            <v>0</v>
          </cell>
          <cell r="AW8">
            <v>0</v>
          </cell>
          <cell r="AY8" t="str">
            <v>NB</v>
          </cell>
        </row>
        <row r="9">
          <cell r="AM9">
            <v>617.54999999999973</v>
          </cell>
          <cell r="AP9" t="str">
            <v>Véhicules neufs</v>
          </cell>
          <cell r="AQ9" t="str">
            <v>Service gratuit 1</v>
          </cell>
          <cell r="AR9" t="str">
            <v>$</v>
          </cell>
          <cell r="AS9">
            <v>0</v>
          </cell>
          <cell r="AW9">
            <v>0</v>
          </cell>
          <cell r="AY9" t="str">
            <v>NB</v>
          </cell>
        </row>
        <row r="10">
          <cell r="AM10">
            <v>244</v>
          </cell>
          <cell r="AP10" t="str">
            <v>Véhicules usagés</v>
          </cell>
          <cell r="AQ10" t="str">
            <v>Service gratuit 1</v>
          </cell>
          <cell r="AR10" t="str">
            <v>$</v>
          </cell>
          <cell r="AS10">
            <v>0</v>
          </cell>
          <cell r="AW10">
            <v>0</v>
          </cell>
          <cell r="AY10" t="str">
            <v>NB</v>
          </cell>
        </row>
        <row r="11">
          <cell r="AM11">
            <v>0</v>
          </cell>
          <cell r="AP11" t="str">
            <v>Wholesale autres</v>
          </cell>
          <cell r="AQ11" t="str">
            <v>Service gratuit 1</v>
          </cell>
          <cell r="AR11" t="str">
            <v>$</v>
          </cell>
          <cell r="AS11">
            <v>0</v>
          </cell>
          <cell r="AW11">
            <v>0</v>
          </cell>
          <cell r="AY11" t="str">
            <v>NB</v>
          </cell>
        </row>
        <row r="12">
          <cell r="AM12">
            <v>0</v>
          </cell>
          <cell r="AP12" t="e">
            <v>#N/A</v>
          </cell>
          <cell r="AQ12" t="e">
            <v>#N/A</v>
          </cell>
          <cell r="AR12" t="str">
            <v>$</v>
          </cell>
          <cell r="AS12" t="e">
            <v>#N/A</v>
          </cell>
          <cell r="AW12">
            <v>0</v>
          </cell>
          <cell r="AY12" t="str">
            <v>NB</v>
          </cell>
        </row>
        <row r="13">
          <cell r="AM13">
            <v>2541.9000000000087</v>
          </cell>
          <cell r="AP13" t="str">
            <v>Véhicules neufs</v>
          </cell>
          <cell r="AQ13" t="str">
            <v>Salaires propriétaire</v>
          </cell>
          <cell r="AR13" t="str">
            <v>$</v>
          </cell>
          <cell r="AS13">
            <v>0</v>
          </cell>
          <cell r="AW13">
            <v>0</v>
          </cell>
          <cell r="AY13" t="str">
            <v>NB</v>
          </cell>
        </row>
        <row r="14">
          <cell r="AM14">
            <v>1694.5999999999985</v>
          </cell>
          <cell r="AP14" t="str">
            <v>Véhicules usagés</v>
          </cell>
          <cell r="AQ14" t="str">
            <v>Salaires propriétaire</v>
          </cell>
          <cell r="AR14" t="str">
            <v>$</v>
          </cell>
          <cell r="AS14">
            <v>0</v>
          </cell>
          <cell r="AW14">
            <v>0</v>
          </cell>
          <cell r="AY14" t="str">
            <v>NB</v>
          </cell>
        </row>
        <row r="15">
          <cell r="AM15">
            <v>2541.9000000000087</v>
          </cell>
          <cell r="AP15" t="str">
            <v>Service</v>
          </cell>
          <cell r="AQ15" t="str">
            <v>Salaires propriétaire</v>
          </cell>
          <cell r="AR15" t="str">
            <v>$</v>
          </cell>
          <cell r="AS15">
            <v>0</v>
          </cell>
          <cell r="AW15">
            <v>0</v>
          </cell>
          <cell r="AY15" t="str">
            <v>NB</v>
          </cell>
        </row>
        <row r="16">
          <cell r="AM16">
            <v>847.29999999999927</v>
          </cell>
          <cell r="AP16" t="str">
            <v>Carrosserie</v>
          </cell>
          <cell r="AQ16" t="str">
            <v>Salaires propriétaire</v>
          </cell>
          <cell r="AR16" t="str">
            <v>$</v>
          </cell>
          <cell r="AS16">
            <v>0</v>
          </cell>
          <cell r="AW16">
            <v>0</v>
          </cell>
          <cell r="AY16" t="str">
            <v>NB</v>
          </cell>
        </row>
        <row r="17">
          <cell r="AM17">
            <v>847.27999999999884</v>
          </cell>
          <cell r="AP17" t="str">
            <v>Pièces</v>
          </cell>
          <cell r="AQ17" t="str">
            <v>Salaires propriétaire</v>
          </cell>
          <cell r="AR17" t="str">
            <v>$</v>
          </cell>
          <cell r="AS17">
            <v>0</v>
          </cell>
          <cell r="AW17">
            <v>0</v>
          </cell>
          <cell r="AY17" t="str">
            <v>NB</v>
          </cell>
        </row>
        <row r="18">
          <cell r="AM18">
            <v>0</v>
          </cell>
          <cell r="AP18" t="e">
            <v>#N/A</v>
          </cell>
          <cell r="AQ18" t="e">
            <v>#N/A</v>
          </cell>
          <cell r="AR18" t="str">
            <v>$</v>
          </cell>
          <cell r="AS18" t="e">
            <v>#N/A</v>
          </cell>
          <cell r="AW18">
            <v>0</v>
          </cell>
          <cell r="AY18" t="str">
            <v>NB</v>
          </cell>
        </row>
        <row r="19">
          <cell r="AM19">
            <v>12759.149999999994</v>
          </cell>
          <cell r="AP19" t="str">
            <v>Véhicules neufs</v>
          </cell>
          <cell r="AQ19" t="str">
            <v>Salaires cadres</v>
          </cell>
          <cell r="AR19" t="str">
            <v>$</v>
          </cell>
          <cell r="AS19">
            <v>0</v>
          </cell>
          <cell r="AW19">
            <v>0</v>
          </cell>
          <cell r="AY19" t="str">
            <v>NB</v>
          </cell>
        </row>
        <row r="20">
          <cell r="AM20">
            <v>22393.14</v>
          </cell>
          <cell r="AP20" t="str">
            <v>Véhicules usagés</v>
          </cell>
          <cell r="AQ20" t="str">
            <v>Salaires cadres</v>
          </cell>
          <cell r="AR20" t="str">
            <v>$</v>
          </cell>
          <cell r="AS20">
            <v>0</v>
          </cell>
          <cell r="AW20">
            <v>0</v>
          </cell>
          <cell r="AY20" t="str">
            <v>NB</v>
          </cell>
        </row>
        <row r="21">
          <cell r="AM21">
            <v>1288.1200000000536</v>
          </cell>
          <cell r="AP21" t="str">
            <v>Wholesale autres</v>
          </cell>
          <cell r="AQ21" t="str">
            <v>Salaires cadres</v>
          </cell>
          <cell r="AR21" t="str">
            <v>$</v>
          </cell>
          <cell r="AS21">
            <v>0</v>
          </cell>
          <cell r="AW21">
            <v>0</v>
          </cell>
          <cell r="AY21" t="str">
            <v>NB</v>
          </cell>
        </row>
        <row r="22">
          <cell r="AM22">
            <v>16125.249999999993</v>
          </cell>
          <cell r="AP22" t="str">
            <v>Service</v>
          </cell>
          <cell r="AQ22" t="str">
            <v>Salaires cadres</v>
          </cell>
          <cell r="AR22" t="str">
            <v>$</v>
          </cell>
          <cell r="AS22">
            <v>0</v>
          </cell>
          <cell r="AW22">
            <v>0</v>
          </cell>
          <cell r="AY22" t="str">
            <v>NB</v>
          </cell>
        </row>
        <row r="23">
          <cell r="AM23">
            <v>12365.089999999997</v>
          </cell>
          <cell r="AP23" t="str">
            <v>Carrosserie</v>
          </cell>
          <cell r="AQ23" t="str">
            <v>Salaires cadres</v>
          </cell>
          <cell r="AR23" t="str">
            <v>$</v>
          </cell>
          <cell r="AS23">
            <v>0</v>
          </cell>
          <cell r="AW23">
            <v>0</v>
          </cell>
          <cell r="AY23" t="str">
            <v>NB</v>
          </cell>
        </row>
        <row r="24">
          <cell r="AM24">
            <v>4483.4199999999983</v>
          </cell>
          <cell r="AP24" t="str">
            <v>Pièces</v>
          </cell>
          <cell r="AQ24" t="str">
            <v>Salaires cadres</v>
          </cell>
          <cell r="AR24" t="str">
            <v>$</v>
          </cell>
          <cell r="AS24">
            <v>0</v>
          </cell>
          <cell r="AW24">
            <v>0</v>
          </cell>
          <cell r="AY24" t="str">
            <v>NB</v>
          </cell>
        </row>
        <row r="25">
          <cell r="AM25">
            <v>0</v>
          </cell>
          <cell r="AP25" t="e">
            <v>#N/A</v>
          </cell>
          <cell r="AQ25" t="e">
            <v>#N/A</v>
          </cell>
          <cell r="AR25" t="str">
            <v>$</v>
          </cell>
          <cell r="AS25" t="e">
            <v>#N/A</v>
          </cell>
          <cell r="AW25">
            <v>0</v>
          </cell>
          <cell r="AY25" t="str">
            <v>NB</v>
          </cell>
        </row>
        <row r="26">
          <cell r="AM26">
            <v>27510.700000000012</v>
          </cell>
          <cell r="AP26" t="str">
            <v>Véhicules neufs</v>
          </cell>
          <cell r="AQ26" t="str">
            <v>Salaires commis</v>
          </cell>
          <cell r="AR26" t="str">
            <v>$</v>
          </cell>
          <cell r="AS26">
            <v>0</v>
          </cell>
          <cell r="AW26">
            <v>0</v>
          </cell>
          <cell r="AY26" t="str">
            <v>NB</v>
          </cell>
        </row>
        <row r="27">
          <cell r="AM27">
            <v>4606.1400000000031</v>
          </cell>
          <cell r="AP27" t="str">
            <v>Véhicules usagés</v>
          </cell>
          <cell r="AQ27" t="str">
            <v>Salaires commis</v>
          </cell>
          <cell r="AR27" t="str">
            <v>$</v>
          </cell>
          <cell r="AS27">
            <v>0</v>
          </cell>
          <cell r="AW27">
            <v>0</v>
          </cell>
          <cell r="AY27" t="str">
            <v>NB</v>
          </cell>
        </row>
        <row r="28">
          <cell r="AM28">
            <v>10049.380000000005</v>
          </cell>
          <cell r="AP28" t="str">
            <v>Wholesale autres</v>
          </cell>
          <cell r="AQ28" t="str">
            <v>Salaires commis</v>
          </cell>
          <cell r="AR28" t="str">
            <v>$</v>
          </cell>
          <cell r="AS28">
            <v>0</v>
          </cell>
          <cell r="AW28">
            <v>0</v>
          </cell>
          <cell r="AY28" t="str">
            <v>NB</v>
          </cell>
        </row>
        <row r="29">
          <cell r="AM29">
            <v>23476.550000000017</v>
          </cell>
          <cell r="AP29" t="str">
            <v>Service</v>
          </cell>
          <cell r="AQ29" t="str">
            <v>Salaires commis</v>
          </cell>
          <cell r="AR29" t="str">
            <v>$</v>
          </cell>
          <cell r="AS29">
            <v>0</v>
          </cell>
          <cell r="AW29">
            <v>0</v>
          </cell>
          <cell r="AY29" t="str">
            <v>NB</v>
          </cell>
        </row>
        <row r="30">
          <cell r="AM30">
            <v>6518.8700000000026</v>
          </cell>
          <cell r="AP30" t="str">
            <v>Carrosserie</v>
          </cell>
          <cell r="AQ30" t="str">
            <v>Salaires commis</v>
          </cell>
          <cell r="AR30" t="str">
            <v>$</v>
          </cell>
          <cell r="AS30">
            <v>0</v>
          </cell>
          <cell r="AW30">
            <v>0</v>
          </cell>
          <cell r="AY30" t="str">
            <v>NB</v>
          </cell>
        </row>
        <row r="31">
          <cell r="AM31">
            <v>2434.4900000000016</v>
          </cell>
          <cell r="AP31" t="str">
            <v>Pièces</v>
          </cell>
          <cell r="AQ31" t="str">
            <v>Salaires commis</v>
          </cell>
          <cell r="AR31" t="str">
            <v>$</v>
          </cell>
          <cell r="AS31">
            <v>0</v>
          </cell>
          <cell r="AW31">
            <v>0</v>
          </cell>
          <cell r="AY31" t="str">
            <v>NB</v>
          </cell>
        </row>
        <row r="32">
          <cell r="AM32">
            <v>0</v>
          </cell>
          <cell r="AP32" t="e">
            <v>#N/A</v>
          </cell>
          <cell r="AQ32" t="e">
            <v>#N/A</v>
          </cell>
          <cell r="AR32" t="str">
            <v>$</v>
          </cell>
          <cell r="AS32" t="e">
            <v>#N/A</v>
          </cell>
          <cell r="AW32">
            <v>0</v>
          </cell>
          <cell r="AY32" t="str">
            <v>NB</v>
          </cell>
        </row>
        <row r="33">
          <cell r="AM33">
            <v>5112.2000000000007</v>
          </cell>
          <cell r="AP33" t="str">
            <v>Véhicules neufs</v>
          </cell>
          <cell r="AQ33" t="str">
            <v>Salaires autres</v>
          </cell>
          <cell r="AR33" t="str">
            <v>$</v>
          </cell>
          <cell r="AS33">
            <v>0</v>
          </cell>
          <cell r="AW33">
            <v>0</v>
          </cell>
          <cell r="AY33" t="str">
            <v>NB</v>
          </cell>
        </row>
        <row r="34">
          <cell r="AM34">
            <v>657.71999999999935</v>
          </cell>
          <cell r="AP34" t="str">
            <v>Véhicules usagés</v>
          </cell>
          <cell r="AQ34" t="str">
            <v>Salaires autres</v>
          </cell>
          <cell r="AR34" t="str">
            <v>$</v>
          </cell>
          <cell r="AS34">
            <v>0</v>
          </cell>
          <cell r="AW34">
            <v>0</v>
          </cell>
          <cell r="AY34" t="str">
            <v>NB</v>
          </cell>
        </row>
        <row r="35">
          <cell r="AM35">
            <v>40000</v>
          </cell>
          <cell r="AP35" t="str">
            <v>Wholesale autres</v>
          </cell>
          <cell r="AQ35" t="str">
            <v>Salaires autres</v>
          </cell>
          <cell r="AR35" t="str">
            <v>$</v>
          </cell>
          <cell r="AS35">
            <v>0</v>
          </cell>
          <cell r="AW35">
            <v>0</v>
          </cell>
          <cell r="AY35" t="str">
            <v>NB</v>
          </cell>
        </row>
        <row r="36">
          <cell r="AM36">
            <v>27417.919999999984</v>
          </cell>
          <cell r="AP36" t="str">
            <v>Service</v>
          </cell>
          <cell r="AQ36" t="str">
            <v>Salaires autres</v>
          </cell>
          <cell r="AR36" t="str">
            <v>$</v>
          </cell>
          <cell r="AS36">
            <v>0</v>
          </cell>
          <cell r="AW36">
            <v>0</v>
          </cell>
          <cell r="AY36" t="str">
            <v>NB</v>
          </cell>
        </row>
        <row r="37">
          <cell r="AM37">
            <v>0</v>
          </cell>
          <cell r="AP37" t="str">
            <v>Carrosserie</v>
          </cell>
          <cell r="AQ37" t="str">
            <v>Salaires autres</v>
          </cell>
          <cell r="AR37" t="str">
            <v>$</v>
          </cell>
          <cell r="AS37">
            <v>0</v>
          </cell>
          <cell r="AW37">
            <v>0</v>
          </cell>
          <cell r="AY37" t="str">
            <v>NB</v>
          </cell>
        </row>
        <row r="38">
          <cell r="AM38">
            <v>17580.00999999998</v>
          </cell>
          <cell r="AP38" t="str">
            <v>Pièces</v>
          </cell>
          <cell r="AQ38" t="str">
            <v>Salaires autres</v>
          </cell>
          <cell r="AR38" t="str">
            <v>$</v>
          </cell>
          <cell r="AS38">
            <v>0</v>
          </cell>
          <cell r="AW38">
            <v>0</v>
          </cell>
          <cell r="AY38" t="str">
            <v>NB</v>
          </cell>
        </row>
        <row r="39">
          <cell r="AM39">
            <v>0</v>
          </cell>
          <cell r="AP39" t="e">
            <v>#N/A</v>
          </cell>
          <cell r="AQ39" t="e">
            <v>#N/A</v>
          </cell>
          <cell r="AR39" t="str">
            <v>$</v>
          </cell>
          <cell r="AS39" t="e">
            <v>#N/A</v>
          </cell>
          <cell r="AW39">
            <v>0</v>
          </cell>
          <cell r="AY39" t="str">
            <v>NB</v>
          </cell>
        </row>
        <row r="40">
          <cell r="AM40">
            <v>6372</v>
          </cell>
          <cell r="AP40" t="str">
            <v>Véhicules neufs</v>
          </cell>
          <cell r="AQ40" t="str">
            <v>Salaires en absences</v>
          </cell>
          <cell r="AR40" t="str">
            <v>$</v>
          </cell>
          <cell r="AS40">
            <v>0</v>
          </cell>
          <cell r="AW40">
            <v>0</v>
          </cell>
          <cell r="AY40" t="str">
            <v>NB</v>
          </cell>
        </row>
        <row r="41">
          <cell r="AM41">
            <v>259.63000000000102</v>
          </cell>
          <cell r="AP41" t="str">
            <v>Véhicules usagés</v>
          </cell>
          <cell r="AQ41" t="str">
            <v>Salaires en absences</v>
          </cell>
          <cell r="AR41" t="str">
            <v>$</v>
          </cell>
          <cell r="AS41">
            <v>0</v>
          </cell>
          <cell r="AW41">
            <v>0</v>
          </cell>
          <cell r="AY41" t="str">
            <v>NB</v>
          </cell>
        </row>
        <row r="42">
          <cell r="AM42">
            <v>2656.8000000000029</v>
          </cell>
          <cell r="AP42" t="str">
            <v>Wholesale autres</v>
          </cell>
          <cell r="AQ42" t="str">
            <v>Salaires en absences</v>
          </cell>
          <cell r="AR42" t="str">
            <v>$</v>
          </cell>
          <cell r="AS42">
            <v>0</v>
          </cell>
          <cell r="AW42">
            <v>0</v>
          </cell>
          <cell r="AY42" t="str">
            <v>NB</v>
          </cell>
        </row>
        <row r="43">
          <cell r="AM43">
            <v>6063.6399999999994</v>
          </cell>
          <cell r="AP43" t="str">
            <v>Service</v>
          </cell>
          <cell r="AQ43" t="str">
            <v>Salaires en absences</v>
          </cell>
          <cell r="AR43" t="str">
            <v>$</v>
          </cell>
          <cell r="AS43">
            <v>0</v>
          </cell>
          <cell r="AW43">
            <v>0</v>
          </cell>
          <cell r="AY43" t="str">
            <v>NB</v>
          </cell>
        </row>
        <row r="44">
          <cell r="AM44">
            <v>1160.2599999999984</v>
          </cell>
          <cell r="AP44" t="str">
            <v>Carrosserie</v>
          </cell>
          <cell r="AQ44" t="str">
            <v>Salaires en absences</v>
          </cell>
          <cell r="AR44" t="str">
            <v>$</v>
          </cell>
          <cell r="AS44">
            <v>0</v>
          </cell>
          <cell r="AW44">
            <v>0</v>
          </cell>
          <cell r="AY44" t="str">
            <v>NB</v>
          </cell>
        </row>
        <row r="45">
          <cell r="AM45">
            <v>1134.9199999999983</v>
          </cell>
          <cell r="AP45" t="str">
            <v>Pièces</v>
          </cell>
          <cell r="AQ45" t="str">
            <v>Salaires en absences</v>
          </cell>
          <cell r="AR45" t="str">
            <v>$</v>
          </cell>
          <cell r="AS45">
            <v>0</v>
          </cell>
          <cell r="AW45">
            <v>0</v>
          </cell>
          <cell r="AY45" t="str">
            <v>NB</v>
          </cell>
        </row>
        <row r="46">
          <cell r="AM46">
            <v>0</v>
          </cell>
          <cell r="AP46" t="e">
            <v>#N/A</v>
          </cell>
          <cell r="AQ46" t="e">
            <v>#N/A</v>
          </cell>
          <cell r="AR46" t="str">
            <v>$</v>
          </cell>
          <cell r="AS46" t="e">
            <v>#N/A</v>
          </cell>
          <cell r="AW46">
            <v>0</v>
          </cell>
          <cell r="AY46" t="str">
            <v>NB</v>
          </cell>
        </row>
        <row r="47">
          <cell r="AM47">
            <v>14274.209999999992</v>
          </cell>
          <cell r="AP47" t="str">
            <v>Véhicules neufs</v>
          </cell>
          <cell r="AQ47" t="str">
            <v>Déduction à la source</v>
          </cell>
          <cell r="AR47" t="str">
            <v>$</v>
          </cell>
          <cell r="AS47">
            <v>0</v>
          </cell>
          <cell r="AW47">
            <v>0</v>
          </cell>
          <cell r="AY47" t="str">
            <v>NB</v>
          </cell>
        </row>
        <row r="48">
          <cell r="AM48">
            <v>3143.0699999999997</v>
          </cell>
          <cell r="AP48" t="str">
            <v>Véhicules usagés</v>
          </cell>
          <cell r="AQ48" t="str">
            <v>Déduction à la source</v>
          </cell>
          <cell r="AR48" t="str">
            <v>$</v>
          </cell>
          <cell r="AS48">
            <v>0</v>
          </cell>
          <cell r="AW48">
            <v>0</v>
          </cell>
          <cell r="AY48" t="str">
            <v>NB</v>
          </cell>
        </row>
        <row r="49">
          <cell r="AM49">
            <v>3644.630000000001</v>
          </cell>
          <cell r="AP49" t="str">
            <v>Wholesale autres</v>
          </cell>
          <cell r="AQ49" t="str">
            <v>Déduction à la source</v>
          </cell>
          <cell r="AR49" t="str">
            <v>$</v>
          </cell>
          <cell r="AS49">
            <v>0</v>
          </cell>
          <cell r="AW49">
            <v>0</v>
          </cell>
          <cell r="AY49" t="str">
            <v>NB</v>
          </cell>
        </row>
        <row r="50">
          <cell r="AM50">
            <v>16394.299999999988</v>
          </cell>
          <cell r="AP50" t="str">
            <v>Service</v>
          </cell>
          <cell r="AQ50" t="str">
            <v>Déduction à la source</v>
          </cell>
          <cell r="AR50" t="str">
            <v>$</v>
          </cell>
          <cell r="AS50">
            <v>0</v>
          </cell>
          <cell r="AW50">
            <v>0</v>
          </cell>
          <cell r="AY50" t="str">
            <v>NB</v>
          </cell>
        </row>
        <row r="51">
          <cell r="AM51">
            <v>4550.2700000000004</v>
          </cell>
          <cell r="AP51" t="str">
            <v>Carrosserie</v>
          </cell>
          <cell r="AQ51" t="str">
            <v>Déduction à la source</v>
          </cell>
          <cell r="AR51" t="str">
            <v>$</v>
          </cell>
          <cell r="AS51">
            <v>0</v>
          </cell>
          <cell r="AW51">
            <v>0</v>
          </cell>
          <cell r="AY51" t="str">
            <v>NB</v>
          </cell>
        </row>
        <row r="52">
          <cell r="AM52">
            <v>3052.8999999999978</v>
          </cell>
          <cell r="AP52" t="str">
            <v>Pièces</v>
          </cell>
          <cell r="AQ52" t="str">
            <v>Déduction à la source</v>
          </cell>
          <cell r="AR52" t="str">
            <v>$</v>
          </cell>
          <cell r="AS52">
            <v>0</v>
          </cell>
          <cell r="AW52">
            <v>0</v>
          </cell>
          <cell r="AY52" t="str">
            <v>NB</v>
          </cell>
        </row>
        <row r="53">
          <cell r="AM53">
            <v>0</v>
          </cell>
          <cell r="AP53" t="e">
            <v>#N/A</v>
          </cell>
          <cell r="AQ53" t="e">
            <v>#N/A</v>
          </cell>
          <cell r="AR53" t="str">
            <v>$</v>
          </cell>
          <cell r="AS53" t="e">
            <v>#N/A</v>
          </cell>
          <cell r="AW53">
            <v>0</v>
          </cell>
          <cell r="AY53" t="str">
            <v>NB</v>
          </cell>
        </row>
        <row r="54">
          <cell r="AM54">
            <v>4465.4700000000012</v>
          </cell>
          <cell r="AP54" t="str">
            <v>Véhicules neufs</v>
          </cell>
          <cell r="AQ54" t="str">
            <v>Bénéfices marginaux</v>
          </cell>
          <cell r="AR54" t="str">
            <v>$</v>
          </cell>
          <cell r="AS54">
            <v>0</v>
          </cell>
          <cell r="AW54">
            <v>0</v>
          </cell>
          <cell r="AY54" t="str">
            <v>NB</v>
          </cell>
        </row>
        <row r="55">
          <cell r="AM55">
            <v>2068.2799999999988</v>
          </cell>
          <cell r="AP55" t="str">
            <v>Véhicules usagés</v>
          </cell>
          <cell r="AQ55" t="str">
            <v>Bénéfices marginaux</v>
          </cell>
          <cell r="AR55" t="str">
            <v>$</v>
          </cell>
          <cell r="AS55">
            <v>0</v>
          </cell>
          <cell r="AW55">
            <v>0</v>
          </cell>
          <cell r="AY55" t="str">
            <v>NB</v>
          </cell>
        </row>
        <row r="56">
          <cell r="AM56">
            <v>296.78000000000065</v>
          </cell>
          <cell r="AP56" t="str">
            <v>Wholesale autres</v>
          </cell>
          <cell r="AQ56" t="str">
            <v>Bénéfices marginaux</v>
          </cell>
          <cell r="AR56" t="str">
            <v>$</v>
          </cell>
          <cell r="AS56">
            <v>0</v>
          </cell>
          <cell r="AW56">
            <v>0</v>
          </cell>
          <cell r="AY56" t="str">
            <v>NB</v>
          </cell>
        </row>
        <row r="57">
          <cell r="AM57">
            <v>10201.849999999991</v>
          </cell>
          <cell r="AP57" t="str">
            <v>Service</v>
          </cell>
          <cell r="AQ57" t="str">
            <v>Bénéfices marginaux</v>
          </cell>
          <cell r="AR57" t="str">
            <v>$</v>
          </cell>
          <cell r="AS57">
            <v>0</v>
          </cell>
          <cell r="AW57">
            <v>0</v>
          </cell>
          <cell r="AY57" t="str">
            <v>NB</v>
          </cell>
        </row>
        <row r="58">
          <cell r="AM58">
            <v>2780.4700000000012</v>
          </cell>
          <cell r="AP58" t="str">
            <v>Carrosserie</v>
          </cell>
          <cell r="AQ58" t="str">
            <v>Bénéfices marginaux</v>
          </cell>
          <cell r="AR58" t="str">
            <v>$</v>
          </cell>
          <cell r="AS58">
            <v>0</v>
          </cell>
          <cell r="AW58">
            <v>0</v>
          </cell>
          <cell r="AY58" t="str">
            <v>NB</v>
          </cell>
        </row>
        <row r="59">
          <cell r="AM59">
            <v>1428.4499999999989</v>
          </cell>
          <cell r="AP59" t="str">
            <v>Pièces</v>
          </cell>
          <cell r="AQ59" t="str">
            <v>Bénéfices marginaux</v>
          </cell>
          <cell r="AR59" t="str">
            <v>$</v>
          </cell>
          <cell r="AS59">
            <v>0</v>
          </cell>
          <cell r="AW59">
            <v>0</v>
          </cell>
          <cell r="AY59" t="str">
            <v>NB</v>
          </cell>
        </row>
        <row r="60">
          <cell r="AM60">
            <v>0</v>
          </cell>
          <cell r="AP60" t="e">
            <v>#N/A</v>
          </cell>
          <cell r="AQ60" t="e">
            <v>#N/A</v>
          </cell>
          <cell r="AR60" t="str">
            <v>$</v>
          </cell>
          <cell r="AS60" t="e">
            <v>#N/A</v>
          </cell>
          <cell r="AW60">
            <v>0</v>
          </cell>
          <cell r="AY60" t="str">
            <v>NB</v>
          </cell>
        </row>
        <row r="61">
          <cell r="AM61">
            <v>0</v>
          </cell>
          <cell r="AP61" t="e">
            <v>#N/A</v>
          </cell>
          <cell r="AQ61" t="e">
            <v>#N/A</v>
          </cell>
          <cell r="AR61" t="str">
            <v>$</v>
          </cell>
          <cell r="AS61" t="e">
            <v>#N/A</v>
          </cell>
          <cell r="AW61">
            <v>0</v>
          </cell>
          <cell r="AY61" t="str">
            <v>NB</v>
          </cell>
        </row>
        <row r="62">
          <cell r="AM62">
            <v>36.039999999999964</v>
          </cell>
          <cell r="AP62" t="str">
            <v>Véhicules neufs</v>
          </cell>
          <cell r="AQ62" t="str">
            <v>Csst</v>
          </cell>
          <cell r="AR62" t="str">
            <v>$</v>
          </cell>
          <cell r="AS62">
            <v>0</v>
          </cell>
          <cell r="AW62">
            <v>0</v>
          </cell>
          <cell r="AY62" t="str">
            <v>NB</v>
          </cell>
        </row>
        <row r="63">
          <cell r="AM63">
            <v>12.640000000000015</v>
          </cell>
          <cell r="AP63" t="str">
            <v>Véhicules usagés</v>
          </cell>
          <cell r="AQ63" t="str">
            <v>Csst</v>
          </cell>
          <cell r="AR63" t="str">
            <v>$</v>
          </cell>
          <cell r="AS63">
            <v>0</v>
          </cell>
          <cell r="AW63">
            <v>0</v>
          </cell>
          <cell r="AY63" t="str">
            <v>NB</v>
          </cell>
        </row>
        <row r="64">
          <cell r="AM64">
            <v>0</v>
          </cell>
          <cell r="AP64" t="str">
            <v>Wholesale autres</v>
          </cell>
          <cell r="AQ64" t="str">
            <v>Csst</v>
          </cell>
          <cell r="AR64" t="str">
            <v>$</v>
          </cell>
          <cell r="AS64">
            <v>0</v>
          </cell>
          <cell r="AW64">
            <v>0</v>
          </cell>
          <cell r="AY64" t="str">
            <v>NB</v>
          </cell>
        </row>
        <row r="65">
          <cell r="AM65">
            <v>828.33000000000084</v>
          </cell>
          <cell r="AP65" t="str">
            <v>Service</v>
          </cell>
          <cell r="AQ65" t="str">
            <v>Csst</v>
          </cell>
          <cell r="AR65" t="str">
            <v>$</v>
          </cell>
          <cell r="AS65">
            <v>0</v>
          </cell>
          <cell r="AW65">
            <v>0</v>
          </cell>
          <cell r="AY65" t="str">
            <v>NB</v>
          </cell>
        </row>
        <row r="66">
          <cell r="AM66">
            <v>34.680000000000007</v>
          </cell>
          <cell r="AP66" t="str">
            <v>Carrosserie</v>
          </cell>
          <cell r="AQ66" t="str">
            <v>Csst</v>
          </cell>
          <cell r="AR66" t="str">
            <v>$</v>
          </cell>
          <cell r="AS66">
            <v>0</v>
          </cell>
          <cell r="AW66">
            <v>0</v>
          </cell>
          <cell r="AY66" t="str">
            <v>NB</v>
          </cell>
        </row>
        <row r="67">
          <cell r="AM67">
            <v>183.91000000000008</v>
          </cell>
          <cell r="AP67" t="str">
            <v>Pièces</v>
          </cell>
          <cell r="AQ67" t="str">
            <v>Csst</v>
          </cell>
          <cell r="AR67" t="str">
            <v>$</v>
          </cell>
          <cell r="AS67">
            <v>0</v>
          </cell>
          <cell r="AW67">
            <v>0</v>
          </cell>
          <cell r="AY67" t="str">
            <v>NB</v>
          </cell>
        </row>
        <row r="68">
          <cell r="AM68">
            <v>0</v>
          </cell>
          <cell r="AP68" t="str">
            <v>SAAQ</v>
          </cell>
          <cell r="AQ68" t="str">
            <v>Csst</v>
          </cell>
          <cell r="AR68" t="str">
            <v>$</v>
          </cell>
          <cell r="AS68">
            <v>0</v>
          </cell>
          <cell r="AW68">
            <v>0</v>
          </cell>
          <cell r="AY68" t="str">
            <v>NB</v>
          </cell>
        </row>
        <row r="69">
          <cell r="AM69">
            <v>0</v>
          </cell>
          <cell r="AP69" t="e">
            <v>#N/A</v>
          </cell>
          <cell r="AQ69" t="e">
            <v>#N/A</v>
          </cell>
          <cell r="AR69" t="str">
            <v>$</v>
          </cell>
          <cell r="AS69" t="e">
            <v>#N/A</v>
          </cell>
          <cell r="AW69">
            <v>0</v>
          </cell>
          <cell r="AY69" t="str">
            <v>NB</v>
          </cell>
        </row>
        <row r="70">
          <cell r="AM70">
            <v>0</v>
          </cell>
          <cell r="AP70" t="e">
            <v>#N/A</v>
          </cell>
          <cell r="AQ70" t="e">
            <v>#N/A</v>
          </cell>
          <cell r="AR70" t="str">
            <v>$</v>
          </cell>
          <cell r="AS70" t="e">
            <v>#N/A</v>
          </cell>
          <cell r="AW70">
            <v>0</v>
          </cell>
          <cell r="AY70" t="str">
            <v>NB</v>
          </cell>
        </row>
        <row r="71">
          <cell r="AM71">
            <v>916.48999999999978</v>
          </cell>
          <cell r="AP71" t="str">
            <v>Véhicules neufs</v>
          </cell>
          <cell r="AQ71" t="str">
            <v>Frais postaux</v>
          </cell>
          <cell r="AR71" t="str">
            <v>$</v>
          </cell>
          <cell r="AS71">
            <v>0</v>
          </cell>
          <cell r="AW71">
            <v>0</v>
          </cell>
          <cell r="AY71" t="str">
            <v>NB</v>
          </cell>
        </row>
        <row r="72">
          <cell r="AM72">
            <v>1339.9899999999998</v>
          </cell>
          <cell r="AP72" t="str">
            <v>Véhicules usagés</v>
          </cell>
          <cell r="AQ72" t="str">
            <v>Frais postaux</v>
          </cell>
          <cell r="AR72" t="str">
            <v>$</v>
          </cell>
          <cell r="AS72">
            <v>0</v>
          </cell>
          <cell r="AW72">
            <v>0</v>
          </cell>
          <cell r="AY72" t="str">
            <v>NB</v>
          </cell>
        </row>
        <row r="73">
          <cell r="AM73">
            <v>43.029999999999745</v>
          </cell>
          <cell r="AP73" t="str">
            <v>Wholesale autres</v>
          </cell>
          <cell r="AQ73" t="str">
            <v>Frais postaux</v>
          </cell>
          <cell r="AR73" t="str">
            <v>$</v>
          </cell>
          <cell r="AS73">
            <v>0</v>
          </cell>
          <cell r="AW73">
            <v>0</v>
          </cell>
          <cell r="AY73" t="str">
            <v>NB</v>
          </cell>
        </row>
        <row r="74">
          <cell r="AM74">
            <v>834.39999999999964</v>
          </cell>
          <cell r="AP74" t="str">
            <v>Service</v>
          </cell>
          <cell r="AQ74" t="str">
            <v>Frais postaux</v>
          </cell>
          <cell r="AR74" t="str">
            <v>$</v>
          </cell>
          <cell r="AS74">
            <v>0</v>
          </cell>
          <cell r="AW74">
            <v>0</v>
          </cell>
          <cell r="AY74" t="str">
            <v>NB</v>
          </cell>
        </row>
        <row r="75">
          <cell r="AM75">
            <v>271.79999999999995</v>
          </cell>
          <cell r="AP75" t="str">
            <v>Carrosserie</v>
          </cell>
          <cell r="AQ75" t="str">
            <v>Frais postaux</v>
          </cell>
          <cell r="AR75" t="str">
            <v>$</v>
          </cell>
          <cell r="AS75">
            <v>0</v>
          </cell>
          <cell r="AW75">
            <v>0</v>
          </cell>
          <cell r="AY75" t="str">
            <v>NB</v>
          </cell>
        </row>
        <row r="76">
          <cell r="AM76">
            <v>1583.3200000000002</v>
          </cell>
          <cell r="AP76" t="str">
            <v>Pièces</v>
          </cell>
          <cell r="AQ76" t="str">
            <v>Frais postaux</v>
          </cell>
          <cell r="AR76" t="str">
            <v>$</v>
          </cell>
          <cell r="AS76">
            <v>0</v>
          </cell>
          <cell r="AW76">
            <v>0</v>
          </cell>
          <cell r="AY76" t="str">
            <v>NB</v>
          </cell>
        </row>
        <row r="77">
          <cell r="AM77">
            <v>0</v>
          </cell>
          <cell r="AP77" t="e">
            <v>#N/A</v>
          </cell>
          <cell r="AQ77" t="e">
            <v>#N/A</v>
          </cell>
          <cell r="AR77" t="str">
            <v>$</v>
          </cell>
          <cell r="AS77" t="e">
            <v>#N/A</v>
          </cell>
          <cell r="AW77">
            <v>0</v>
          </cell>
          <cell r="AY77" t="str">
            <v>NB</v>
          </cell>
        </row>
        <row r="78">
          <cell r="AM78">
            <v>8310.1300000000047</v>
          </cell>
          <cell r="AP78" t="str">
            <v>Véhicules neufs</v>
          </cell>
          <cell r="AQ78" t="str">
            <v>Frais véhicules de cie</v>
          </cell>
          <cell r="AR78" t="str">
            <v>$</v>
          </cell>
          <cell r="AS78">
            <v>0</v>
          </cell>
          <cell r="AW78">
            <v>0</v>
          </cell>
          <cell r="AY78" t="str">
            <v>NB</v>
          </cell>
        </row>
        <row r="79">
          <cell r="AM79">
            <v>1215.6599999999999</v>
          </cell>
          <cell r="AP79" t="str">
            <v>Véhicules usagés</v>
          </cell>
          <cell r="AQ79" t="str">
            <v>Frais véhicules de cie</v>
          </cell>
          <cell r="AR79" t="str">
            <v>$</v>
          </cell>
          <cell r="AS79">
            <v>0</v>
          </cell>
          <cell r="AW79">
            <v>0</v>
          </cell>
          <cell r="AY79" t="str">
            <v>NB</v>
          </cell>
        </row>
        <row r="80">
          <cell r="AM80">
            <v>0</v>
          </cell>
          <cell r="AP80" t="str">
            <v>Wholesale autres</v>
          </cell>
          <cell r="AQ80" t="str">
            <v>Frais véhicules de cie</v>
          </cell>
          <cell r="AR80" t="str">
            <v>$</v>
          </cell>
          <cell r="AS80">
            <v>0</v>
          </cell>
          <cell r="AW80">
            <v>0</v>
          </cell>
          <cell r="AY80" t="str">
            <v>NB</v>
          </cell>
        </row>
        <row r="81">
          <cell r="AM81">
            <v>-8070.07</v>
          </cell>
          <cell r="AP81" t="str">
            <v>Service</v>
          </cell>
          <cell r="AQ81" t="str">
            <v>Frais véhicules de cie</v>
          </cell>
          <cell r="AR81" t="str">
            <v>$</v>
          </cell>
          <cell r="AS81">
            <v>0</v>
          </cell>
          <cell r="AW81">
            <v>0</v>
          </cell>
          <cell r="AY81" t="str">
            <v>NB</v>
          </cell>
        </row>
        <row r="82">
          <cell r="AM82">
            <v>-6003.14</v>
          </cell>
          <cell r="AP82" t="str">
            <v>Carrosserie</v>
          </cell>
          <cell r="AQ82" t="str">
            <v>Frais véhicules de cie</v>
          </cell>
          <cell r="AR82" t="str">
            <v>$</v>
          </cell>
          <cell r="AS82">
            <v>0</v>
          </cell>
          <cell r="AW82">
            <v>0</v>
          </cell>
          <cell r="AY82" t="str">
            <v>NB</v>
          </cell>
        </row>
        <row r="83">
          <cell r="AM83">
            <v>2359.1100000000006</v>
          </cell>
          <cell r="AP83" t="str">
            <v>Pièces</v>
          </cell>
          <cell r="AQ83" t="str">
            <v>Frais véhicules de cie</v>
          </cell>
          <cell r="AR83" t="str">
            <v>$</v>
          </cell>
          <cell r="AS83">
            <v>0</v>
          </cell>
          <cell r="AW83">
            <v>0</v>
          </cell>
          <cell r="AY83" t="str">
            <v>NB</v>
          </cell>
        </row>
        <row r="84">
          <cell r="AM84">
            <v>0</v>
          </cell>
          <cell r="AP84" t="e">
            <v>#N/A</v>
          </cell>
          <cell r="AQ84" t="e">
            <v>#N/A</v>
          </cell>
          <cell r="AR84" t="str">
            <v>$</v>
          </cell>
          <cell r="AS84" t="e">
            <v>#N/A</v>
          </cell>
          <cell r="AW84">
            <v>0</v>
          </cell>
          <cell r="AY84" t="str">
            <v>NB</v>
          </cell>
        </row>
        <row r="85">
          <cell r="AM85">
            <v>0</v>
          </cell>
          <cell r="AP85">
            <v>0</v>
          </cell>
          <cell r="AQ85">
            <v>0</v>
          </cell>
          <cell r="AR85" t="str">
            <v>$</v>
          </cell>
          <cell r="AS85">
            <v>0</v>
          </cell>
          <cell r="AW85">
            <v>0</v>
          </cell>
          <cell r="AY85" t="str">
            <v>NB</v>
          </cell>
        </row>
        <row r="86">
          <cell r="AM86">
            <v>0</v>
          </cell>
          <cell r="AP86">
            <v>0</v>
          </cell>
          <cell r="AQ86">
            <v>0</v>
          </cell>
          <cell r="AR86" t="str">
            <v>$</v>
          </cell>
          <cell r="AS86">
            <v>0</v>
          </cell>
          <cell r="AW86">
            <v>0</v>
          </cell>
          <cell r="AY86" t="str">
            <v>NB</v>
          </cell>
        </row>
        <row r="87">
          <cell r="AM87">
            <v>0</v>
          </cell>
          <cell r="AP87">
            <v>0</v>
          </cell>
          <cell r="AQ87">
            <v>0</v>
          </cell>
          <cell r="AR87" t="str">
            <v>$</v>
          </cell>
          <cell r="AS87">
            <v>0</v>
          </cell>
          <cell r="AW87">
            <v>0</v>
          </cell>
          <cell r="AY87" t="str">
            <v>NB</v>
          </cell>
        </row>
        <row r="88">
          <cell r="AM88">
            <v>0</v>
          </cell>
          <cell r="AP88" t="str">
            <v>Véhicules neufs</v>
          </cell>
          <cell r="AQ88" t="str">
            <v>Divers</v>
          </cell>
          <cell r="AR88" t="str">
            <v>$</v>
          </cell>
          <cell r="AS88">
            <v>0</v>
          </cell>
          <cell r="AW88">
            <v>0</v>
          </cell>
          <cell r="AY88" t="str">
            <v>NB</v>
          </cell>
        </row>
        <row r="89">
          <cell r="AM89">
            <v>0</v>
          </cell>
          <cell r="AP89" t="str">
            <v>Véhicules usagés</v>
          </cell>
          <cell r="AQ89" t="str">
            <v>Divers</v>
          </cell>
          <cell r="AR89" t="str">
            <v>$</v>
          </cell>
          <cell r="AS89">
            <v>0</v>
          </cell>
          <cell r="AW89">
            <v>0</v>
          </cell>
          <cell r="AY89" t="str">
            <v>NB</v>
          </cell>
        </row>
        <row r="90">
          <cell r="AM90">
            <v>0</v>
          </cell>
          <cell r="AP90" t="str">
            <v>Service</v>
          </cell>
          <cell r="AQ90" t="str">
            <v>Divers</v>
          </cell>
          <cell r="AR90" t="str">
            <v>$</v>
          </cell>
          <cell r="AS90">
            <v>0</v>
          </cell>
          <cell r="AW90">
            <v>0</v>
          </cell>
          <cell r="AY90" t="str">
            <v>NB</v>
          </cell>
        </row>
        <row r="91">
          <cell r="AM91">
            <v>0</v>
          </cell>
          <cell r="AP91" t="str">
            <v>Pièces</v>
          </cell>
          <cell r="AQ91" t="str">
            <v>Divers</v>
          </cell>
          <cell r="AR91" t="str">
            <v>$</v>
          </cell>
          <cell r="AS91">
            <v>0</v>
          </cell>
          <cell r="AW91">
            <v>0</v>
          </cell>
          <cell r="AY91" t="str">
            <v>NB</v>
          </cell>
        </row>
        <row r="92">
          <cell r="AM92">
            <v>0</v>
          </cell>
          <cell r="AP92" t="e">
            <v>#N/A</v>
          </cell>
          <cell r="AQ92" t="e">
            <v>#N/A</v>
          </cell>
          <cell r="AR92" t="str">
            <v>$</v>
          </cell>
          <cell r="AS92" t="e">
            <v>#N/A</v>
          </cell>
          <cell r="AW92">
            <v>0</v>
          </cell>
          <cell r="AY92" t="str">
            <v>NB</v>
          </cell>
        </row>
        <row r="93">
          <cell r="AM93">
            <v>299.37999999999965</v>
          </cell>
          <cell r="AP93" t="str">
            <v>Véhicules neufs</v>
          </cell>
          <cell r="AQ93" t="str">
            <v>Frais bancaires</v>
          </cell>
          <cell r="AR93" t="str">
            <v>$</v>
          </cell>
          <cell r="AS93">
            <v>0</v>
          </cell>
          <cell r="AW93">
            <v>0</v>
          </cell>
          <cell r="AY93" t="str">
            <v>NB</v>
          </cell>
        </row>
        <row r="94">
          <cell r="AM94">
            <v>191.58999999999992</v>
          </cell>
          <cell r="AP94" t="str">
            <v>Véhicules usagés</v>
          </cell>
          <cell r="AQ94" t="str">
            <v>Frais bancaires</v>
          </cell>
          <cell r="AR94" t="str">
            <v>$</v>
          </cell>
          <cell r="AS94">
            <v>0</v>
          </cell>
          <cell r="AW94">
            <v>0</v>
          </cell>
          <cell r="AY94" t="str">
            <v>NB</v>
          </cell>
        </row>
        <row r="95">
          <cell r="AM95">
            <v>0</v>
          </cell>
          <cell r="AP95" t="str">
            <v>Wholesale autres</v>
          </cell>
          <cell r="AQ95" t="str">
            <v>Frais bancaires</v>
          </cell>
          <cell r="AR95" t="str">
            <v>$</v>
          </cell>
          <cell r="AS95">
            <v>0</v>
          </cell>
          <cell r="AW95">
            <v>0</v>
          </cell>
          <cell r="AY95" t="str">
            <v>NB</v>
          </cell>
        </row>
        <row r="96">
          <cell r="AM96">
            <v>312.42999999999984</v>
          </cell>
          <cell r="AP96" t="str">
            <v>Service</v>
          </cell>
          <cell r="AQ96" t="str">
            <v>Frais bancaires</v>
          </cell>
          <cell r="AR96" t="str">
            <v>$</v>
          </cell>
          <cell r="AS96">
            <v>0</v>
          </cell>
          <cell r="AW96">
            <v>0</v>
          </cell>
          <cell r="AY96" t="str">
            <v>NB</v>
          </cell>
        </row>
        <row r="97">
          <cell r="AM97">
            <v>95.789999999999964</v>
          </cell>
          <cell r="AP97" t="str">
            <v>Carrosserie</v>
          </cell>
          <cell r="AQ97" t="str">
            <v>Frais bancaires</v>
          </cell>
          <cell r="AR97" t="str">
            <v>$</v>
          </cell>
          <cell r="AS97">
            <v>0</v>
          </cell>
          <cell r="AW97">
            <v>0</v>
          </cell>
          <cell r="AY97" t="str">
            <v>NB</v>
          </cell>
        </row>
        <row r="98">
          <cell r="AM98">
            <v>95.799999999999955</v>
          </cell>
          <cell r="AP98" t="str">
            <v>Pièces</v>
          </cell>
          <cell r="AQ98" t="str">
            <v>Frais bancaires</v>
          </cell>
          <cell r="AR98" t="str">
            <v>$</v>
          </cell>
          <cell r="AS98">
            <v>0</v>
          </cell>
          <cell r="AW98">
            <v>0</v>
          </cell>
          <cell r="AY98" t="str">
            <v>NB</v>
          </cell>
        </row>
        <row r="99">
          <cell r="AM99">
            <v>0</v>
          </cell>
          <cell r="AP99" t="e">
            <v>#N/A</v>
          </cell>
          <cell r="AQ99" t="e">
            <v>#N/A</v>
          </cell>
          <cell r="AR99" t="str">
            <v>$</v>
          </cell>
          <cell r="AS99" t="e">
            <v>#N/A</v>
          </cell>
          <cell r="AW99">
            <v>0</v>
          </cell>
          <cell r="AY99" t="str">
            <v>NB</v>
          </cell>
        </row>
        <row r="100">
          <cell r="AM100">
            <v>1513.0300000000007</v>
          </cell>
          <cell r="AP100" t="str">
            <v>Véhicules neufs</v>
          </cell>
          <cell r="AQ100" t="str">
            <v>Papeterie</v>
          </cell>
          <cell r="AR100" t="str">
            <v>$</v>
          </cell>
          <cell r="AS100">
            <v>0</v>
          </cell>
          <cell r="AW100">
            <v>0</v>
          </cell>
          <cell r="AY100" t="str">
            <v>NB</v>
          </cell>
        </row>
        <row r="101">
          <cell r="AM101">
            <v>670.91000000000076</v>
          </cell>
          <cell r="AP101" t="str">
            <v>Véhicules usagés</v>
          </cell>
          <cell r="AQ101" t="str">
            <v>Papeterie</v>
          </cell>
          <cell r="AR101" t="str">
            <v>$</v>
          </cell>
          <cell r="AS101">
            <v>0</v>
          </cell>
          <cell r="AW101">
            <v>0</v>
          </cell>
          <cell r="AY101" t="str">
            <v>NB</v>
          </cell>
        </row>
        <row r="102">
          <cell r="AM102">
            <v>80</v>
          </cell>
          <cell r="AP102" t="str">
            <v>Wholesale autres</v>
          </cell>
          <cell r="AQ102" t="str">
            <v>Papeterie</v>
          </cell>
          <cell r="AR102" t="str">
            <v>$</v>
          </cell>
          <cell r="AS102">
            <v>0</v>
          </cell>
          <cell r="AW102">
            <v>0</v>
          </cell>
          <cell r="AY102" t="str">
            <v>NB</v>
          </cell>
        </row>
        <row r="103">
          <cell r="AM103">
            <v>2013.92</v>
          </cell>
          <cell r="AP103" t="str">
            <v>Service</v>
          </cell>
          <cell r="AQ103" t="str">
            <v>Papeterie</v>
          </cell>
          <cell r="AR103" t="str">
            <v>$</v>
          </cell>
          <cell r="AS103">
            <v>0</v>
          </cell>
          <cell r="AW103">
            <v>0</v>
          </cell>
          <cell r="AY103" t="str">
            <v>NB</v>
          </cell>
        </row>
        <row r="104">
          <cell r="AM104">
            <v>335.48</v>
          </cell>
          <cell r="AP104" t="str">
            <v>Carrosserie</v>
          </cell>
          <cell r="AQ104" t="str">
            <v>Papeterie</v>
          </cell>
          <cell r="AR104" t="str">
            <v>$</v>
          </cell>
          <cell r="AS104">
            <v>0</v>
          </cell>
          <cell r="AW104">
            <v>0</v>
          </cell>
          <cell r="AY104" t="str">
            <v>NB</v>
          </cell>
        </row>
        <row r="105">
          <cell r="AM105">
            <v>1021.8500000000004</v>
          </cell>
          <cell r="AP105" t="str">
            <v>Pièces</v>
          </cell>
          <cell r="AQ105" t="str">
            <v>Papeterie</v>
          </cell>
          <cell r="AR105" t="str">
            <v>$</v>
          </cell>
          <cell r="AS105">
            <v>0</v>
          </cell>
          <cell r="AW105">
            <v>0</v>
          </cell>
          <cell r="AY105" t="str">
            <v>NB</v>
          </cell>
        </row>
        <row r="106">
          <cell r="AM106">
            <v>0</v>
          </cell>
          <cell r="AP106" t="e">
            <v>#N/A</v>
          </cell>
          <cell r="AQ106" t="e">
            <v>#N/A</v>
          </cell>
          <cell r="AR106" t="str">
            <v>$</v>
          </cell>
          <cell r="AS106" t="e">
            <v>#N/A</v>
          </cell>
          <cell r="AW106">
            <v>0</v>
          </cell>
          <cell r="AY106" t="str">
            <v>NB</v>
          </cell>
        </row>
        <row r="107">
          <cell r="AM107">
            <v>982.8100000000004</v>
          </cell>
          <cell r="AP107" t="str">
            <v>Véhicules neufs</v>
          </cell>
          <cell r="AQ107" t="str">
            <v>Fournitures autres</v>
          </cell>
          <cell r="AR107" t="str">
            <v>$</v>
          </cell>
          <cell r="AS107">
            <v>0</v>
          </cell>
          <cell r="AW107">
            <v>0</v>
          </cell>
          <cell r="AY107" t="str">
            <v>NB</v>
          </cell>
        </row>
        <row r="108">
          <cell r="AM108">
            <v>159.18000000000006</v>
          </cell>
          <cell r="AP108" t="str">
            <v>Véhicules usagés</v>
          </cell>
          <cell r="AQ108" t="str">
            <v>Fournitures autres</v>
          </cell>
          <cell r="AR108" t="str">
            <v>$</v>
          </cell>
          <cell r="AS108">
            <v>0</v>
          </cell>
          <cell r="AW108">
            <v>0</v>
          </cell>
          <cell r="AY108" t="str">
            <v>NB</v>
          </cell>
        </row>
        <row r="109">
          <cell r="AM109">
            <v>0</v>
          </cell>
          <cell r="AP109" t="str">
            <v>Wholesale autres</v>
          </cell>
          <cell r="AQ109" t="str">
            <v>Fournitures autres</v>
          </cell>
          <cell r="AR109" t="str">
            <v>$</v>
          </cell>
          <cell r="AS109">
            <v>0</v>
          </cell>
          <cell r="AW109">
            <v>0</v>
          </cell>
          <cell r="AY109" t="str">
            <v>NB</v>
          </cell>
        </row>
        <row r="110">
          <cell r="AM110">
            <v>339.97999999999956</v>
          </cell>
          <cell r="AP110" t="str">
            <v>Service</v>
          </cell>
          <cell r="AQ110" t="str">
            <v>Fournitures autres</v>
          </cell>
          <cell r="AR110" t="str">
            <v>$</v>
          </cell>
          <cell r="AS110">
            <v>0</v>
          </cell>
          <cell r="AW110">
            <v>0</v>
          </cell>
          <cell r="AY110" t="str">
            <v>NB</v>
          </cell>
        </row>
        <row r="111">
          <cell r="AM111">
            <v>5904.1499999999978</v>
          </cell>
          <cell r="AP111" t="str">
            <v>Carrosserie</v>
          </cell>
          <cell r="AQ111" t="str">
            <v>Fournitures autres</v>
          </cell>
          <cell r="AR111" t="str">
            <v>$</v>
          </cell>
          <cell r="AS111">
            <v>0</v>
          </cell>
          <cell r="AW111">
            <v>0</v>
          </cell>
          <cell r="AY111" t="str">
            <v>NB</v>
          </cell>
        </row>
        <row r="112">
          <cell r="AM112">
            <v>129.60000000000002</v>
          </cell>
          <cell r="AP112" t="str">
            <v>Pièces</v>
          </cell>
          <cell r="AQ112" t="str">
            <v>Fournitures autres</v>
          </cell>
          <cell r="AR112" t="str">
            <v>$</v>
          </cell>
          <cell r="AS112">
            <v>0</v>
          </cell>
          <cell r="AW112">
            <v>0</v>
          </cell>
          <cell r="AY112" t="str">
            <v>NB</v>
          </cell>
        </row>
        <row r="113">
          <cell r="AM113">
            <v>0</v>
          </cell>
          <cell r="AP113" t="str">
            <v>Service</v>
          </cell>
          <cell r="AQ113" t="str">
            <v>Fournitures autres</v>
          </cell>
          <cell r="AR113" t="str">
            <v>$</v>
          </cell>
          <cell r="AS113">
            <v>0</v>
          </cell>
          <cell r="AW113">
            <v>0</v>
          </cell>
          <cell r="AY113" t="str">
            <v>NB</v>
          </cell>
        </row>
        <row r="114">
          <cell r="AM114">
            <v>0</v>
          </cell>
          <cell r="AP114" t="e">
            <v>#N/A</v>
          </cell>
          <cell r="AQ114" t="e">
            <v>#N/A</v>
          </cell>
          <cell r="AR114" t="str">
            <v>$</v>
          </cell>
          <cell r="AS114" t="e">
            <v>#N/A</v>
          </cell>
          <cell r="AW114">
            <v>0</v>
          </cell>
          <cell r="AY114" t="str">
            <v>NB</v>
          </cell>
        </row>
        <row r="115">
          <cell r="AM115">
            <v>1134.0200000000004</v>
          </cell>
          <cell r="AP115" t="str">
            <v>Véhicules neufs</v>
          </cell>
          <cell r="AQ115" t="str">
            <v>Publicité 1</v>
          </cell>
          <cell r="AR115" t="str">
            <v>$</v>
          </cell>
          <cell r="AS115">
            <v>0</v>
          </cell>
          <cell r="AW115">
            <v>0</v>
          </cell>
          <cell r="AY115" t="str">
            <v>NB</v>
          </cell>
        </row>
        <row r="116">
          <cell r="AM116">
            <v>19.800000000000011</v>
          </cell>
          <cell r="AP116" t="str">
            <v>Véhicules usagés</v>
          </cell>
          <cell r="AQ116" t="str">
            <v>Publicité 1</v>
          </cell>
          <cell r="AR116" t="str">
            <v>$</v>
          </cell>
          <cell r="AS116">
            <v>0</v>
          </cell>
          <cell r="AW116">
            <v>0</v>
          </cell>
          <cell r="AY116" t="str">
            <v>NB</v>
          </cell>
        </row>
        <row r="117">
          <cell r="AM117">
            <v>0</v>
          </cell>
          <cell r="AP117" t="str">
            <v>Wholesale autres</v>
          </cell>
          <cell r="AQ117" t="str">
            <v>Publicité 1</v>
          </cell>
          <cell r="AR117" t="str">
            <v>$</v>
          </cell>
          <cell r="AS117">
            <v>0</v>
          </cell>
          <cell r="AW117">
            <v>0</v>
          </cell>
          <cell r="AY117" t="str">
            <v>NB</v>
          </cell>
        </row>
        <row r="118">
          <cell r="AM118">
            <v>1074.6199999999999</v>
          </cell>
          <cell r="AP118" t="str">
            <v>Service</v>
          </cell>
          <cell r="AQ118" t="str">
            <v>Publicité 2</v>
          </cell>
          <cell r="AR118" t="str">
            <v>$</v>
          </cell>
          <cell r="AS118">
            <v>0</v>
          </cell>
          <cell r="AW118">
            <v>0</v>
          </cell>
          <cell r="AY118" t="str">
            <v>NB</v>
          </cell>
        </row>
        <row r="119">
          <cell r="AM119">
            <v>4.9500000000000028</v>
          </cell>
          <cell r="AP119" t="str">
            <v>Carrosserie</v>
          </cell>
          <cell r="AQ119" t="str">
            <v>Publicité 2</v>
          </cell>
          <cell r="AR119" t="str">
            <v>$</v>
          </cell>
          <cell r="AS119">
            <v>0</v>
          </cell>
          <cell r="AW119">
            <v>0</v>
          </cell>
          <cell r="AY119" t="str">
            <v>NB</v>
          </cell>
        </row>
        <row r="120">
          <cell r="AM120">
            <v>1074.6100000000006</v>
          </cell>
          <cell r="AP120" t="str">
            <v>Pièces</v>
          </cell>
          <cell r="AQ120" t="str">
            <v>Publicité 2</v>
          </cell>
          <cell r="AR120" t="str">
            <v>$</v>
          </cell>
          <cell r="AS120">
            <v>0</v>
          </cell>
          <cell r="AW120">
            <v>0</v>
          </cell>
          <cell r="AY120" t="str">
            <v>NB</v>
          </cell>
        </row>
        <row r="121">
          <cell r="AM121">
            <v>0</v>
          </cell>
          <cell r="AP121" t="str">
            <v>Véhicules neufs</v>
          </cell>
          <cell r="AQ121" t="str">
            <v>Publicité 1</v>
          </cell>
          <cell r="AR121" t="str">
            <v>$</v>
          </cell>
          <cell r="AS121">
            <v>0</v>
          </cell>
          <cell r="AW121">
            <v>0</v>
          </cell>
          <cell r="AY121" t="str">
            <v>NB</v>
          </cell>
        </row>
        <row r="122">
          <cell r="AM122">
            <v>0</v>
          </cell>
          <cell r="AP122" t="str">
            <v>Véhicules usagés</v>
          </cell>
          <cell r="AQ122" t="str">
            <v>Publicité 1</v>
          </cell>
          <cell r="AR122" t="str">
            <v>$</v>
          </cell>
          <cell r="AS122">
            <v>0</v>
          </cell>
          <cell r="AW122">
            <v>0</v>
          </cell>
          <cell r="AY122" t="str">
            <v>NB</v>
          </cell>
        </row>
        <row r="123">
          <cell r="AM123">
            <v>0</v>
          </cell>
          <cell r="AP123" t="str">
            <v>Service</v>
          </cell>
          <cell r="AQ123" t="str">
            <v>Publicité 2</v>
          </cell>
          <cell r="AR123" t="str">
            <v>$</v>
          </cell>
          <cell r="AS123">
            <v>0</v>
          </cell>
          <cell r="AW123">
            <v>0</v>
          </cell>
          <cell r="AY123" t="str">
            <v>NB</v>
          </cell>
        </row>
        <row r="124">
          <cell r="AM124">
            <v>0</v>
          </cell>
          <cell r="AP124" t="str">
            <v>Carrosserie</v>
          </cell>
          <cell r="AQ124" t="str">
            <v>Publicité 2</v>
          </cell>
          <cell r="AR124" t="str">
            <v>$</v>
          </cell>
          <cell r="AS124">
            <v>0</v>
          </cell>
          <cell r="AW124">
            <v>0</v>
          </cell>
          <cell r="AY124" t="str">
            <v>NB</v>
          </cell>
        </row>
        <row r="125">
          <cell r="AM125">
            <v>0</v>
          </cell>
          <cell r="AP125" t="str">
            <v>Pièces</v>
          </cell>
          <cell r="AQ125" t="str">
            <v>Publicité 2</v>
          </cell>
          <cell r="AR125" t="str">
            <v>$</v>
          </cell>
          <cell r="AS125">
            <v>0</v>
          </cell>
          <cell r="AW125">
            <v>0</v>
          </cell>
          <cell r="AY125" t="str">
            <v>NB</v>
          </cell>
        </row>
        <row r="126">
          <cell r="AM126">
            <v>0</v>
          </cell>
          <cell r="AP126" t="str">
            <v>SAAQ</v>
          </cell>
          <cell r="AQ126" t="str">
            <v>Publicité 2</v>
          </cell>
          <cell r="AR126" t="str">
            <v>$</v>
          </cell>
          <cell r="AS126">
            <v>0</v>
          </cell>
          <cell r="AW126">
            <v>0</v>
          </cell>
          <cell r="AY126" t="str">
            <v>NB</v>
          </cell>
        </row>
        <row r="127">
          <cell r="AM127">
            <v>0</v>
          </cell>
          <cell r="AP127" t="e">
            <v>#N/A</v>
          </cell>
          <cell r="AQ127" t="e">
            <v>#N/A</v>
          </cell>
          <cell r="AR127" t="str">
            <v>$</v>
          </cell>
          <cell r="AS127" t="e">
            <v>#N/A</v>
          </cell>
          <cell r="AW127">
            <v>0</v>
          </cell>
          <cell r="AY127" t="str">
            <v>NB</v>
          </cell>
        </row>
        <row r="128">
          <cell r="AM128">
            <v>0</v>
          </cell>
          <cell r="AP128" t="e">
            <v>#N/A</v>
          </cell>
          <cell r="AQ128" t="e">
            <v>#N/A</v>
          </cell>
          <cell r="AR128" t="str">
            <v>$</v>
          </cell>
          <cell r="AS128" t="e">
            <v>#N/A</v>
          </cell>
          <cell r="AW128">
            <v>0</v>
          </cell>
          <cell r="AY128" t="str">
            <v>NB</v>
          </cell>
        </row>
        <row r="129">
          <cell r="AM129">
            <v>13598.770000000004</v>
          </cell>
          <cell r="AP129" t="str">
            <v>Véhicules neufs</v>
          </cell>
          <cell r="AQ129" t="str">
            <v>Publicité 1</v>
          </cell>
          <cell r="AR129" t="str">
            <v>$</v>
          </cell>
          <cell r="AS129">
            <v>0</v>
          </cell>
          <cell r="AW129">
            <v>0</v>
          </cell>
          <cell r="AY129" t="str">
            <v>NB</v>
          </cell>
        </row>
        <row r="130">
          <cell r="AM130">
            <v>3363.3500000000022</v>
          </cell>
          <cell r="AP130" t="str">
            <v>Véhicules usagés</v>
          </cell>
          <cell r="AQ130" t="str">
            <v>Publicité 1</v>
          </cell>
          <cell r="AR130" t="str">
            <v>$</v>
          </cell>
          <cell r="AS130">
            <v>0</v>
          </cell>
          <cell r="AW130">
            <v>0</v>
          </cell>
          <cell r="AY130" t="str">
            <v>NB</v>
          </cell>
        </row>
        <row r="131">
          <cell r="AM131">
            <v>0</v>
          </cell>
          <cell r="AP131" t="str">
            <v>Wholesale autres</v>
          </cell>
          <cell r="AQ131" t="str">
            <v>Publicité 1</v>
          </cell>
          <cell r="AR131" t="str">
            <v>$</v>
          </cell>
          <cell r="AS131">
            <v>0</v>
          </cell>
          <cell r="AW131">
            <v>0</v>
          </cell>
          <cell r="AY131" t="str">
            <v>NB</v>
          </cell>
        </row>
        <row r="132">
          <cell r="AM132">
            <v>66</v>
          </cell>
          <cell r="AP132" t="str">
            <v>Service</v>
          </cell>
          <cell r="AQ132" t="str">
            <v>Publicité 2</v>
          </cell>
          <cell r="AR132" t="str">
            <v>$</v>
          </cell>
          <cell r="AS132">
            <v>0</v>
          </cell>
          <cell r="AW132">
            <v>0</v>
          </cell>
          <cell r="AY132" t="str">
            <v>NB</v>
          </cell>
        </row>
        <row r="133">
          <cell r="AM133">
            <v>951</v>
          </cell>
          <cell r="AP133" t="str">
            <v>Carrosserie</v>
          </cell>
          <cell r="AQ133" t="str">
            <v>Publicité 2</v>
          </cell>
          <cell r="AR133" t="str">
            <v>$</v>
          </cell>
          <cell r="AS133">
            <v>0</v>
          </cell>
          <cell r="AW133">
            <v>0</v>
          </cell>
          <cell r="AY133" t="str">
            <v>NB</v>
          </cell>
        </row>
        <row r="134">
          <cell r="AM134">
            <v>-130</v>
          </cell>
          <cell r="AP134" t="str">
            <v>Pièces</v>
          </cell>
          <cell r="AQ134" t="str">
            <v>Publicité 2</v>
          </cell>
          <cell r="AR134" t="str">
            <v>$</v>
          </cell>
          <cell r="AS134">
            <v>0</v>
          </cell>
          <cell r="AW134">
            <v>0</v>
          </cell>
          <cell r="AY134" t="str">
            <v>NB</v>
          </cell>
        </row>
        <row r="135">
          <cell r="AM135">
            <v>0</v>
          </cell>
          <cell r="AP135" t="e">
            <v>#N/A</v>
          </cell>
          <cell r="AQ135" t="e">
            <v>#N/A</v>
          </cell>
          <cell r="AR135" t="str">
            <v>$</v>
          </cell>
          <cell r="AS135" t="e">
            <v>#N/A</v>
          </cell>
          <cell r="AW135">
            <v>0</v>
          </cell>
          <cell r="AY135" t="str">
            <v>NB</v>
          </cell>
        </row>
        <row r="136">
          <cell r="AM136">
            <v>0</v>
          </cell>
          <cell r="AP136" t="str">
            <v>Véhicules neufs</v>
          </cell>
          <cell r="AQ136" t="str">
            <v>Publicité 1</v>
          </cell>
          <cell r="AR136" t="str">
            <v>$</v>
          </cell>
          <cell r="AS136">
            <v>0</v>
          </cell>
          <cell r="AW136">
            <v>0</v>
          </cell>
          <cell r="AY136" t="str">
            <v>NB</v>
          </cell>
        </row>
        <row r="137">
          <cell r="AM137">
            <v>0</v>
          </cell>
          <cell r="AP137" t="str">
            <v>Véhicules usagés</v>
          </cell>
          <cell r="AQ137" t="str">
            <v>Publicité 1</v>
          </cell>
          <cell r="AR137" t="str">
            <v>$</v>
          </cell>
          <cell r="AS137">
            <v>0</v>
          </cell>
          <cell r="AW137">
            <v>0</v>
          </cell>
          <cell r="AY137" t="str">
            <v>NB</v>
          </cell>
        </row>
        <row r="138">
          <cell r="AM138">
            <v>0</v>
          </cell>
          <cell r="AP138" t="str">
            <v>Service</v>
          </cell>
          <cell r="AQ138" t="str">
            <v>Publicité 2</v>
          </cell>
          <cell r="AR138" t="str">
            <v>$</v>
          </cell>
          <cell r="AS138">
            <v>0</v>
          </cell>
          <cell r="AW138">
            <v>0</v>
          </cell>
          <cell r="AY138" t="str">
            <v>NB</v>
          </cell>
        </row>
        <row r="139">
          <cell r="AM139">
            <v>0</v>
          </cell>
          <cell r="AP139" t="str">
            <v>Carrosserie</v>
          </cell>
          <cell r="AQ139" t="str">
            <v>Publicité 2</v>
          </cell>
          <cell r="AR139" t="str">
            <v>$</v>
          </cell>
          <cell r="AS139">
            <v>0</v>
          </cell>
          <cell r="AW139">
            <v>0</v>
          </cell>
          <cell r="AY139" t="str">
            <v>NB</v>
          </cell>
        </row>
        <row r="140">
          <cell r="AM140">
            <v>0</v>
          </cell>
          <cell r="AP140" t="str">
            <v>Pièces</v>
          </cell>
          <cell r="AQ140" t="str">
            <v>Publicité 2</v>
          </cell>
          <cell r="AR140" t="str">
            <v>$</v>
          </cell>
          <cell r="AS140">
            <v>0</v>
          </cell>
          <cell r="AW140">
            <v>0</v>
          </cell>
          <cell r="AY140" t="str">
            <v>NB</v>
          </cell>
        </row>
        <row r="141">
          <cell r="AM141">
            <v>104.22999999999956</v>
          </cell>
          <cell r="AP141" t="str">
            <v>Service</v>
          </cell>
          <cell r="AQ141" t="str">
            <v>Service gratuit 2</v>
          </cell>
          <cell r="AR141" t="str">
            <v>$</v>
          </cell>
          <cell r="AS141">
            <v>0</v>
          </cell>
          <cell r="AW141">
            <v>0</v>
          </cell>
          <cell r="AY141" t="str">
            <v>NB</v>
          </cell>
        </row>
        <row r="142">
          <cell r="AM142">
            <v>483.31000000000131</v>
          </cell>
          <cell r="AP142" t="str">
            <v>Carrosserie</v>
          </cell>
          <cell r="AQ142" t="str">
            <v>Service gratuit 2</v>
          </cell>
          <cell r="AR142" t="str">
            <v>$</v>
          </cell>
          <cell r="AS142">
            <v>0</v>
          </cell>
          <cell r="AW142">
            <v>0</v>
          </cell>
          <cell r="AY142" t="str">
            <v>NB</v>
          </cell>
        </row>
        <row r="143">
          <cell r="AM143">
            <v>0</v>
          </cell>
          <cell r="AP143" t="str">
            <v>Pièces</v>
          </cell>
          <cell r="AQ143" t="str">
            <v>Service gratuit 2</v>
          </cell>
          <cell r="AR143" t="str">
            <v>$</v>
          </cell>
          <cell r="AS143">
            <v>0</v>
          </cell>
          <cell r="AW143">
            <v>0</v>
          </cell>
          <cell r="AY143" t="str">
            <v>NB</v>
          </cell>
        </row>
        <row r="144">
          <cell r="AM144">
            <v>0</v>
          </cell>
          <cell r="AP144" t="e">
            <v>#N/A</v>
          </cell>
          <cell r="AQ144" t="e">
            <v>#N/A</v>
          </cell>
          <cell r="AR144" t="str">
            <v>$</v>
          </cell>
          <cell r="AS144" t="e">
            <v>#N/A</v>
          </cell>
          <cell r="AW144">
            <v>0</v>
          </cell>
          <cell r="AY144" t="str">
            <v>NB</v>
          </cell>
        </row>
        <row r="145">
          <cell r="AM145">
            <v>5512.4599999999991</v>
          </cell>
          <cell r="AP145" t="str">
            <v>Véhicules neufs</v>
          </cell>
          <cell r="AQ145" t="str">
            <v>Informatique</v>
          </cell>
          <cell r="AR145" t="str">
            <v>$</v>
          </cell>
          <cell r="AS145">
            <v>0</v>
          </cell>
          <cell r="AW145">
            <v>0</v>
          </cell>
          <cell r="AY145" t="str">
            <v>NB</v>
          </cell>
        </row>
        <row r="146">
          <cell r="AM146">
            <v>2486.8500000000004</v>
          </cell>
          <cell r="AP146" t="str">
            <v>Véhicules usagés</v>
          </cell>
          <cell r="AQ146" t="str">
            <v>Informatique</v>
          </cell>
          <cell r="AR146" t="str">
            <v>$</v>
          </cell>
          <cell r="AS146">
            <v>0</v>
          </cell>
          <cell r="AW146">
            <v>0</v>
          </cell>
          <cell r="AY146" t="str">
            <v>NB</v>
          </cell>
        </row>
        <row r="147">
          <cell r="AM147">
            <v>0</v>
          </cell>
          <cell r="AP147" t="str">
            <v>Wholesale autres</v>
          </cell>
          <cell r="AQ147" t="str">
            <v>Informatique</v>
          </cell>
          <cell r="AR147" t="str">
            <v>$</v>
          </cell>
          <cell r="AS147">
            <v>0</v>
          </cell>
          <cell r="AW147">
            <v>0</v>
          </cell>
          <cell r="AY147" t="str">
            <v>NB</v>
          </cell>
        </row>
        <row r="148">
          <cell r="AM148">
            <v>2846.3300000000017</v>
          </cell>
          <cell r="AP148" t="str">
            <v>Service</v>
          </cell>
          <cell r="AQ148" t="str">
            <v>Informatique</v>
          </cell>
          <cell r="AR148" t="str">
            <v>$</v>
          </cell>
          <cell r="AS148">
            <v>0</v>
          </cell>
          <cell r="AW148">
            <v>0</v>
          </cell>
          <cell r="AY148" t="str">
            <v>NB</v>
          </cell>
        </row>
        <row r="149">
          <cell r="AM149">
            <v>1609.2700000000004</v>
          </cell>
          <cell r="AP149" t="str">
            <v>Carrosserie</v>
          </cell>
          <cell r="AQ149" t="str">
            <v>Informatique</v>
          </cell>
          <cell r="AR149" t="str">
            <v>$</v>
          </cell>
          <cell r="AS149">
            <v>0</v>
          </cell>
          <cell r="AW149">
            <v>0</v>
          </cell>
          <cell r="AY149" t="str">
            <v>NB</v>
          </cell>
        </row>
        <row r="150">
          <cell r="AM150">
            <v>1828.7899999999991</v>
          </cell>
          <cell r="AP150" t="str">
            <v>Pièces</v>
          </cell>
          <cell r="AQ150" t="str">
            <v>Informatique</v>
          </cell>
          <cell r="AR150" t="str">
            <v>$</v>
          </cell>
          <cell r="AS150">
            <v>0</v>
          </cell>
          <cell r="AW150">
            <v>0</v>
          </cell>
          <cell r="AY150" t="str">
            <v>NB</v>
          </cell>
        </row>
        <row r="151">
          <cell r="AM151">
            <v>0</v>
          </cell>
          <cell r="AP151" t="str">
            <v>SAAQ</v>
          </cell>
          <cell r="AQ151" t="str">
            <v>Informatique</v>
          </cell>
          <cell r="AR151" t="str">
            <v>$</v>
          </cell>
          <cell r="AS151">
            <v>0</v>
          </cell>
          <cell r="AW151">
            <v>0</v>
          </cell>
          <cell r="AY151" t="str">
            <v>NB</v>
          </cell>
        </row>
        <row r="152">
          <cell r="AM152">
            <v>0</v>
          </cell>
          <cell r="AP152" t="e">
            <v>#N/A</v>
          </cell>
          <cell r="AQ152" t="e">
            <v>#N/A</v>
          </cell>
          <cell r="AR152" t="str">
            <v>$</v>
          </cell>
          <cell r="AS152" t="e">
            <v>#N/A</v>
          </cell>
          <cell r="AW152">
            <v>0</v>
          </cell>
          <cell r="AY152" t="str">
            <v>NB</v>
          </cell>
        </row>
        <row r="153">
          <cell r="AM153">
            <v>0</v>
          </cell>
          <cell r="AP153" t="e">
            <v>#N/A</v>
          </cell>
          <cell r="AQ153" t="e">
            <v>#N/A</v>
          </cell>
          <cell r="AR153" t="str">
            <v>$</v>
          </cell>
          <cell r="AS153" t="e">
            <v>#N/A</v>
          </cell>
          <cell r="AW153">
            <v>0</v>
          </cell>
          <cell r="AY153" t="str">
            <v>NB</v>
          </cell>
        </row>
        <row r="154">
          <cell r="AM154">
            <v>5333.5399999999972</v>
          </cell>
          <cell r="AP154" t="str">
            <v>Véhicules neufs</v>
          </cell>
          <cell r="AQ154" t="str">
            <v>Services extérieurs</v>
          </cell>
          <cell r="AR154" t="str">
            <v>$</v>
          </cell>
          <cell r="AS154">
            <v>0</v>
          </cell>
          <cell r="AW154">
            <v>0</v>
          </cell>
          <cell r="AY154" t="str">
            <v>NB</v>
          </cell>
        </row>
        <row r="155">
          <cell r="AM155">
            <v>3172.4300000000021</v>
          </cell>
          <cell r="AP155" t="str">
            <v>Véhicules usagés</v>
          </cell>
          <cell r="AQ155" t="str">
            <v>Services extérieurs</v>
          </cell>
          <cell r="AR155" t="str">
            <v>$</v>
          </cell>
          <cell r="AS155">
            <v>0</v>
          </cell>
          <cell r="AW155">
            <v>0</v>
          </cell>
          <cell r="AY155" t="str">
            <v>NB</v>
          </cell>
        </row>
        <row r="156">
          <cell r="AM156">
            <v>0</v>
          </cell>
          <cell r="AP156" t="str">
            <v>Wholesale autres</v>
          </cell>
          <cell r="AQ156" t="str">
            <v>Services extérieurs</v>
          </cell>
          <cell r="AR156" t="str">
            <v>$</v>
          </cell>
          <cell r="AS156">
            <v>0</v>
          </cell>
          <cell r="AW156">
            <v>0</v>
          </cell>
          <cell r="AY156" t="str">
            <v>NB</v>
          </cell>
        </row>
        <row r="157">
          <cell r="AM157">
            <v>7051.5099999999948</v>
          </cell>
          <cell r="AP157" t="str">
            <v>Service</v>
          </cell>
          <cell r="AQ157" t="str">
            <v>Services extérieurs</v>
          </cell>
          <cell r="AR157" t="str">
            <v>$</v>
          </cell>
          <cell r="AS157">
            <v>0</v>
          </cell>
          <cell r="AW157">
            <v>0</v>
          </cell>
          <cell r="AY157" t="str">
            <v>NB</v>
          </cell>
        </row>
        <row r="158">
          <cell r="AM158">
            <v>2181.0299999999988</v>
          </cell>
          <cell r="AP158" t="str">
            <v>Carrosserie</v>
          </cell>
          <cell r="AQ158" t="str">
            <v>Services extérieurs</v>
          </cell>
          <cell r="AR158" t="str">
            <v>$</v>
          </cell>
          <cell r="AS158">
            <v>0</v>
          </cell>
          <cell r="AW158">
            <v>0</v>
          </cell>
          <cell r="AY158" t="str">
            <v>NB</v>
          </cell>
        </row>
        <row r="159">
          <cell r="AM159">
            <v>1544.25</v>
          </cell>
          <cell r="AP159" t="str">
            <v>Pièces</v>
          </cell>
          <cell r="AQ159" t="str">
            <v>Services extérieurs</v>
          </cell>
          <cell r="AR159" t="str">
            <v>$</v>
          </cell>
          <cell r="AS159">
            <v>0</v>
          </cell>
          <cell r="AW159">
            <v>0</v>
          </cell>
          <cell r="AY159" t="str">
            <v>NB</v>
          </cell>
        </row>
        <row r="160">
          <cell r="AM160">
            <v>0</v>
          </cell>
          <cell r="AP160" t="str">
            <v>SAAQ</v>
          </cell>
          <cell r="AQ160" t="str">
            <v>Services extérieurs</v>
          </cell>
          <cell r="AR160" t="str">
            <v>$</v>
          </cell>
          <cell r="AS160">
            <v>0</v>
          </cell>
          <cell r="AW160">
            <v>0</v>
          </cell>
          <cell r="AY160" t="str">
            <v>NB</v>
          </cell>
        </row>
        <row r="161">
          <cell r="AM161">
            <v>0</v>
          </cell>
          <cell r="AP161" t="e">
            <v>#N/A</v>
          </cell>
          <cell r="AQ161" t="e">
            <v>#N/A</v>
          </cell>
          <cell r="AR161" t="str">
            <v>$</v>
          </cell>
          <cell r="AS161" t="e">
            <v>#N/A</v>
          </cell>
          <cell r="AW161">
            <v>0</v>
          </cell>
          <cell r="AY161" t="str">
            <v>NB</v>
          </cell>
        </row>
        <row r="162">
          <cell r="AM162">
            <v>0</v>
          </cell>
          <cell r="AP162" t="e">
            <v>#N/A</v>
          </cell>
          <cell r="AQ162" t="e">
            <v>#N/A</v>
          </cell>
          <cell r="AR162" t="str">
            <v>$</v>
          </cell>
          <cell r="AS162" t="e">
            <v>#N/A</v>
          </cell>
          <cell r="AW162">
            <v>0</v>
          </cell>
          <cell r="AY162" t="str">
            <v>NB</v>
          </cell>
        </row>
        <row r="163">
          <cell r="AM163">
            <v>616.76999999999953</v>
          </cell>
          <cell r="AP163" t="str">
            <v>Véhicules neufs</v>
          </cell>
          <cell r="AQ163" t="str">
            <v>Frais de déplacement</v>
          </cell>
          <cell r="AR163" t="str">
            <v>$</v>
          </cell>
          <cell r="AS163">
            <v>0</v>
          </cell>
          <cell r="AW163">
            <v>0</v>
          </cell>
          <cell r="AY163" t="str">
            <v>NB</v>
          </cell>
        </row>
        <row r="164">
          <cell r="AM164">
            <v>506.25</v>
          </cell>
          <cell r="AP164" t="str">
            <v>Véhicules neufs</v>
          </cell>
          <cell r="AQ164" t="str">
            <v>Frais de déplacement</v>
          </cell>
          <cell r="AR164" t="str">
            <v>$</v>
          </cell>
          <cell r="AS164">
            <v>0</v>
          </cell>
          <cell r="AW164">
            <v>0</v>
          </cell>
          <cell r="AY164" t="str">
            <v>NB</v>
          </cell>
        </row>
        <row r="165">
          <cell r="AM165">
            <v>135</v>
          </cell>
          <cell r="AP165" t="str">
            <v>Véhicules neufs</v>
          </cell>
          <cell r="AQ165" t="str">
            <v>Frais de déplacement</v>
          </cell>
          <cell r="AR165" t="str">
            <v>$</v>
          </cell>
          <cell r="AS165">
            <v>0</v>
          </cell>
          <cell r="AW165">
            <v>0</v>
          </cell>
          <cell r="AY165" t="str">
            <v>NB</v>
          </cell>
        </row>
        <row r="166">
          <cell r="AM166">
            <v>300</v>
          </cell>
          <cell r="AP166" t="str">
            <v>Véhicules usagés</v>
          </cell>
          <cell r="AQ166" t="str">
            <v>Frais de déplacement</v>
          </cell>
          <cell r="AR166" t="str">
            <v>$</v>
          </cell>
          <cell r="AS166">
            <v>0</v>
          </cell>
          <cell r="AW166">
            <v>0</v>
          </cell>
          <cell r="AY166" t="str">
            <v>NB</v>
          </cell>
        </row>
        <row r="167">
          <cell r="AM167">
            <v>0</v>
          </cell>
          <cell r="AP167" t="str">
            <v>Véhicules usagés</v>
          </cell>
          <cell r="AQ167" t="str">
            <v>Frais de déplacement</v>
          </cell>
          <cell r="AR167" t="str">
            <v>$</v>
          </cell>
          <cell r="AS167">
            <v>0</v>
          </cell>
          <cell r="AW167">
            <v>0</v>
          </cell>
          <cell r="AY167" t="str">
            <v>NB</v>
          </cell>
        </row>
        <row r="168">
          <cell r="AM168">
            <v>0</v>
          </cell>
          <cell r="AP168" t="str">
            <v>Wholesale autres</v>
          </cell>
          <cell r="AQ168" t="str">
            <v>Frais de déplacement</v>
          </cell>
          <cell r="AR168" t="str">
            <v>$</v>
          </cell>
          <cell r="AS168">
            <v>0</v>
          </cell>
          <cell r="AW168">
            <v>0</v>
          </cell>
          <cell r="AY168" t="str">
            <v>NB</v>
          </cell>
        </row>
        <row r="169">
          <cell r="AM169">
            <v>0</v>
          </cell>
          <cell r="AP169" t="str">
            <v>Wholesale autres</v>
          </cell>
          <cell r="AQ169" t="str">
            <v>Frais de déplacement</v>
          </cell>
          <cell r="AR169" t="str">
            <v>$</v>
          </cell>
          <cell r="AS169">
            <v>0</v>
          </cell>
          <cell r="AW169">
            <v>0</v>
          </cell>
          <cell r="AY169" t="str">
            <v>NB</v>
          </cell>
        </row>
        <row r="170">
          <cell r="AM170">
            <v>450</v>
          </cell>
          <cell r="AP170" t="str">
            <v>Service</v>
          </cell>
          <cell r="AQ170" t="str">
            <v>Frais de déplacement</v>
          </cell>
          <cell r="AR170" t="str">
            <v>$</v>
          </cell>
          <cell r="AS170">
            <v>0</v>
          </cell>
          <cell r="AW170">
            <v>0</v>
          </cell>
          <cell r="AY170" t="str">
            <v>NB</v>
          </cell>
        </row>
        <row r="171">
          <cell r="AM171">
            <v>30.54000000000002</v>
          </cell>
          <cell r="AP171" t="str">
            <v>Service</v>
          </cell>
          <cell r="AQ171" t="str">
            <v>Frais de déplacement</v>
          </cell>
          <cell r="AR171" t="str">
            <v>$</v>
          </cell>
          <cell r="AS171">
            <v>0</v>
          </cell>
          <cell r="AW171">
            <v>0</v>
          </cell>
          <cell r="AY171" t="str">
            <v>NB</v>
          </cell>
        </row>
        <row r="172">
          <cell r="AM172">
            <v>150</v>
          </cell>
          <cell r="AP172" t="str">
            <v>Carrosserie</v>
          </cell>
          <cell r="AQ172" t="str">
            <v>Frais de déplacement</v>
          </cell>
          <cell r="AR172" t="str">
            <v>$</v>
          </cell>
          <cell r="AS172">
            <v>0</v>
          </cell>
          <cell r="AW172">
            <v>0</v>
          </cell>
          <cell r="AY172" t="str">
            <v>NB</v>
          </cell>
        </row>
        <row r="173">
          <cell r="AM173">
            <v>0</v>
          </cell>
          <cell r="AP173" t="str">
            <v>Carrosserie</v>
          </cell>
          <cell r="AQ173" t="str">
            <v>Frais de déplacement</v>
          </cell>
          <cell r="AR173" t="str">
            <v>$</v>
          </cell>
          <cell r="AS173">
            <v>0</v>
          </cell>
          <cell r="AW173">
            <v>0</v>
          </cell>
          <cell r="AY173" t="str">
            <v>NB</v>
          </cell>
        </row>
        <row r="174">
          <cell r="AM174">
            <v>150</v>
          </cell>
          <cell r="AP174" t="str">
            <v>Pièces</v>
          </cell>
          <cell r="AQ174" t="str">
            <v>Frais de déplacement</v>
          </cell>
          <cell r="AR174" t="str">
            <v>$</v>
          </cell>
          <cell r="AS174">
            <v>0</v>
          </cell>
          <cell r="AW174">
            <v>0</v>
          </cell>
          <cell r="AY174" t="str">
            <v>NB</v>
          </cell>
        </row>
        <row r="175">
          <cell r="AM175">
            <v>0</v>
          </cell>
          <cell r="AP175" t="str">
            <v>Pièces</v>
          </cell>
          <cell r="AQ175" t="str">
            <v>Frais de déplacement</v>
          </cell>
          <cell r="AR175" t="str">
            <v>$</v>
          </cell>
          <cell r="AS175">
            <v>0</v>
          </cell>
          <cell r="AW175">
            <v>0</v>
          </cell>
          <cell r="AY175" t="str">
            <v>NB</v>
          </cell>
        </row>
        <row r="176">
          <cell r="AM176">
            <v>0</v>
          </cell>
          <cell r="AP176" t="e">
            <v>#N/A</v>
          </cell>
          <cell r="AQ176" t="e">
            <v>#N/A</v>
          </cell>
          <cell r="AR176" t="str">
            <v>$</v>
          </cell>
          <cell r="AS176" t="e">
            <v>#N/A</v>
          </cell>
          <cell r="AW176">
            <v>0</v>
          </cell>
          <cell r="AY176" t="str">
            <v>NB</v>
          </cell>
        </row>
        <row r="177">
          <cell r="AM177">
            <v>1638.42</v>
          </cell>
          <cell r="AP177" t="str">
            <v>Véhicules neufs</v>
          </cell>
          <cell r="AQ177" t="str">
            <v>Divers</v>
          </cell>
          <cell r="AR177" t="str">
            <v>$</v>
          </cell>
          <cell r="AS177">
            <v>0</v>
          </cell>
          <cell r="AW177">
            <v>0</v>
          </cell>
          <cell r="AY177" t="str">
            <v>NB</v>
          </cell>
        </row>
        <row r="178">
          <cell r="AM178">
            <v>1238.33</v>
          </cell>
          <cell r="AP178" t="str">
            <v>Véhicules usagés</v>
          </cell>
          <cell r="AQ178" t="str">
            <v>Divers</v>
          </cell>
          <cell r="AR178" t="str">
            <v>$</v>
          </cell>
          <cell r="AS178">
            <v>0</v>
          </cell>
          <cell r="AW178">
            <v>0</v>
          </cell>
          <cell r="AY178" t="str">
            <v>NB</v>
          </cell>
        </row>
        <row r="179">
          <cell r="AM179">
            <v>621</v>
          </cell>
          <cell r="AP179" t="str">
            <v>Service</v>
          </cell>
          <cell r="AQ179" t="str">
            <v>Divers</v>
          </cell>
          <cell r="AR179" t="str">
            <v>$</v>
          </cell>
          <cell r="AS179">
            <v>0</v>
          </cell>
          <cell r="AW179">
            <v>0</v>
          </cell>
          <cell r="AY179" t="str">
            <v>NB</v>
          </cell>
        </row>
        <row r="180">
          <cell r="AM180">
            <v>1073.7399999999998</v>
          </cell>
          <cell r="AP180" t="str">
            <v>Carrosserie</v>
          </cell>
          <cell r="AQ180" t="str">
            <v>Divers</v>
          </cell>
          <cell r="AR180" t="str">
            <v>$</v>
          </cell>
          <cell r="AS180">
            <v>0</v>
          </cell>
          <cell r="AW180">
            <v>0</v>
          </cell>
          <cell r="AY180" t="str">
            <v>NB</v>
          </cell>
        </row>
        <row r="181">
          <cell r="AM181">
            <v>1237.3800000000001</v>
          </cell>
          <cell r="AP181" t="str">
            <v>Pièces</v>
          </cell>
          <cell r="AQ181" t="str">
            <v>Divers</v>
          </cell>
          <cell r="AR181" t="str">
            <v>$</v>
          </cell>
          <cell r="AS181">
            <v>0</v>
          </cell>
          <cell r="AW181">
            <v>0</v>
          </cell>
          <cell r="AY181" t="str">
            <v>NB</v>
          </cell>
        </row>
        <row r="182">
          <cell r="AM182">
            <v>0</v>
          </cell>
          <cell r="AP182" t="e">
            <v>#N/A</v>
          </cell>
          <cell r="AQ182" t="e">
            <v>#N/A</v>
          </cell>
          <cell r="AR182" t="str">
            <v>$</v>
          </cell>
          <cell r="AS182" t="e">
            <v>#N/A</v>
          </cell>
          <cell r="AW182">
            <v>0</v>
          </cell>
          <cell r="AY182" t="str">
            <v>NB</v>
          </cell>
        </row>
        <row r="183">
          <cell r="AM183">
            <v>1499.9999999999995</v>
          </cell>
          <cell r="AP183" t="str">
            <v>Véhicules neufs</v>
          </cell>
          <cell r="AQ183" t="str">
            <v>Honoraires</v>
          </cell>
          <cell r="AR183" t="str">
            <v>$</v>
          </cell>
          <cell r="AS183">
            <v>0</v>
          </cell>
          <cell r="AW183">
            <v>0</v>
          </cell>
          <cell r="AY183" t="str">
            <v>NB</v>
          </cell>
        </row>
        <row r="184">
          <cell r="AM184">
            <v>1000</v>
          </cell>
          <cell r="AP184" t="str">
            <v>Véhicules usagés</v>
          </cell>
          <cell r="AQ184" t="str">
            <v>Honoraires</v>
          </cell>
          <cell r="AR184" t="str">
            <v>$</v>
          </cell>
          <cell r="AS184">
            <v>0</v>
          </cell>
          <cell r="AW184">
            <v>0</v>
          </cell>
          <cell r="AY184" t="str">
            <v>NB</v>
          </cell>
        </row>
        <row r="185">
          <cell r="AM185">
            <v>0</v>
          </cell>
          <cell r="AP185" t="str">
            <v>Wholesale autres</v>
          </cell>
          <cell r="AQ185" t="str">
            <v>Honoraires</v>
          </cell>
          <cell r="AR185" t="str">
            <v>$</v>
          </cell>
          <cell r="AS185">
            <v>0</v>
          </cell>
          <cell r="AW185">
            <v>0</v>
          </cell>
          <cell r="AY185" t="str">
            <v>NB</v>
          </cell>
        </row>
        <row r="186">
          <cell r="AM186">
            <v>1566</v>
          </cell>
          <cell r="AP186" t="str">
            <v>Service</v>
          </cell>
          <cell r="AQ186" t="str">
            <v>Honoraires</v>
          </cell>
          <cell r="AR186" t="str">
            <v>$</v>
          </cell>
          <cell r="AS186">
            <v>0</v>
          </cell>
          <cell r="AW186">
            <v>0</v>
          </cell>
          <cell r="AY186" t="str">
            <v>NB</v>
          </cell>
        </row>
        <row r="187">
          <cell r="AM187">
            <v>500</v>
          </cell>
          <cell r="AP187" t="str">
            <v>Carrosserie</v>
          </cell>
          <cell r="AQ187" t="str">
            <v>Honoraires</v>
          </cell>
          <cell r="AR187" t="str">
            <v>$</v>
          </cell>
          <cell r="AS187">
            <v>0</v>
          </cell>
          <cell r="AW187">
            <v>0</v>
          </cell>
          <cell r="AY187" t="str">
            <v>NB</v>
          </cell>
        </row>
        <row r="188">
          <cell r="AM188">
            <v>500</v>
          </cell>
          <cell r="AP188" t="str">
            <v>Pièces</v>
          </cell>
          <cell r="AQ188" t="str">
            <v>Honoraires</v>
          </cell>
          <cell r="AR188" t="str">
            <v>$</v>
          </cell>
          <cell r="AS188">
            <v>0</v>
          </cell>
          <cell r="AW188">
            <v>0</v>
          </cell>
          <cell r="AY188" t="str">
            <v>NB</v>
          </cell>
        </row>
        <row r="189">
          <cell r="AM189">
            <v>0</v>
          </cell>
          <cell r="AP189" t="e">
            <v>#N/A</v>
          </cell>
          <cell r="AQ189" t="e">
            <v>#N/A</v>
          </cell>
          <cell r="AR189" t="str">
            <v>$</v>
          </cell>
          <cell r="AS189" t="e">
            <v>#N/A</v>
          </cell>
          <cell r="AW189">
            <v>0</v>
          </cell>
          <cell r="AY189" t="str">
            <v>NB</v>
          </cell>
        </row>
        <row r="190">
          <cell r="AM190">
            <v>969.77999999999975</v>
          </cell>
          <cell r="AP190" t="str">
            <v>Véhicules neufs</v>
          </cell>
          <cell r="AQ190" t="str">
            <v>Téléphone</v>
          </cell>
          <cell r="AR190" t="str">
            <v>$</v>
          </cell>
          <cell r="AS190">
            <v>0</v>
          </cell>
          <cell r="AW190">
            <v>0</v>
          </cell>
          <cell r="AY190" t="str">
            <v>NB</v>
          </cell>
        </row>
        <row r="191">
          <cell r="AM191">
            <v>646.51999999999953</v>
          </cell>
          <cell r="AP191" t="str">
            <v>Véhicules usagés</v>
          </cell>
          <cell r="AQ191" t="str">
            <v>Téléphone</v>
          </cell>
          <cell r="AR191" t="str">
            <v>$</v>
          </cell>
          <cell r="AS191">
            <v>0</v>
          </cell>
          <cell r="AW191">
            <v>0</v>
          </cell>
          <cell r="AY191" t="str">
            <v>NB</v>
          </cell>
        </row>
        <row r="192">
          <cell r="AM192">
            <v>0</v>
          </cell>
          <cell r="AP192" t="str">
            <v>Wholesale autres</v>
          </cell>
          <cell r="AQ192" t="str">
            <v>Téléphone</v>
          </cell>
          <cell r="AR192" t="str">
            <v>$</v>
          </cell>
          <cell r="AS192">
            <v>0</v>
          </cell>
          <cell r="AW192">
            <v>0</v>
          </cell>
          <cell r="AY192" t="str">
            <v>NB</v>
          </cell>
        </row>
        <row r="193">
          <cell r="AM193">
            <v>1024.7799999999997</v>
          </cell>
          <cell r="AP193" t="str">
            <v>Service</v>
          </cell>
          <cell r="AQ193" t="str">
            <v>Téléphone</v>
          </cell>
          <cell r="AR193" t="str">
            <v>$</v>
          </cell>
          <cell r="AS193">
            <v>0</v>
          </cell>
          <cell r="AW193">
            <v>0</v>
          </cell>
          <cell r="AY193" t="str">
            <v>NB</v>
          </cell>
        </row>
        <row r="194">
          <cell r="AM194">
            <v>323.25</v>
          </cell>
          <cell r="AP194" t="str">
            <v>Carrosserie</v>
          </cell>
          <cell r="AQ194" t="str">
            <v>Téléphone</v>
          </cell>
          <cell r="AR194" t="str">
            <v>$</v>
          </cell>
          <cell r="AS194">
            <v>0</v>
          </cell>
          <cell r="AW194">
            <v>0</v>
          </cell>
          <cell r="AY194" t="str">
            <v>NB</v>
          </cell>
        </row>
        <row r="195">
          <cell r="AM195">
            <v>323.27</v>
          </cell>
          <cell r="AP195" t="str">
            <v>Pièces</v>
          </cell>
          <cell r="AQ195" t="str">
            <v>Téléphone</v>
          </cell>
          <cell r="AR195" t="str">
            <v>$</v>
          </cell>
          <cell r="AS195">
            <v>0</v>
          </cell>
          <cell r="AW195">
            <v>0</v>
          </cell>
          <cell r="AY195" t="str">
            <v>NB</v>
          </cell>
        </row>
        <row r="196">
          <cell r="AM196">
            <v>0</v>
          </cell>
          <cell r="AP196" t="e">
            <v>#N/A</v>
          </cell>
          <cell r="AQ196" t="e">
            <v>#N/A</v>
          </cell>
          <cell r="AR196" t="str">
            <v>$</v>
          </cell>
          <cell r="AS196" t="e">
            <v>#N/A</v>
          </cell>
          <cell r="AW196">
            <v>0</v>
          </cell>
          <cell r="AY196" t="str">
            <v>NB</v>
          </cell>
        </row>
        <row r="197">
          <cell r="AM197">
            <v>665</v>
          </cell>
          <cell r="AP197" t="str">
            <v>Véhicules neufs</v>
          </cell>
          <cell r="AQ197" t="str">
            <v>Formation</v>
          </cell>
          <cell r="AR197" t="str">
            <v>$</v>
          </cell>
          <cell r="AS197">
            <v>0</v>
          </cell>
          <cell r="AW197">
            <v>0</v>
          </cell>
          <cell r="AY197" t="str">
            <v>NB</v>
          </cell>
        </row>
        <row r="198">
          <cell r="AM198">
            <v>0</v>
          </cell>
          <cell r="AP198" t="str">
            <v>Véhicules usagés</v>
          </cell>
          <cell r="AQ198" t="str">
            <v>Formation</v>
          </cell>
          <cell r="AR198" t="str">
            <v>$</v>
          </cell>
          <cell r="AS198">
            <v>0</v>
          </cell>
          <cell r="AW198">
            <v>0</v>
          </cell>
          <cell r="AY198" t="str">
            <v>NB</v>
          </cell>
        </row>
        <row r="199">
          <cell r="AM199">
            <v>0</v>
          </cell>
          <cell r="AP199" t="str">
            <v>Wholesale autres</v>
          </cell>
          <cell r="AQ199" t="str">
            <v>Formation</v>
          </cell>
          <cell r="AR199" t="str">
            <v>$</v>
          </cell>
          <cell r="AS199">
            <v>0</v>
          </cell>
          <cell r="AW199">
            <v>0</v>
          </cell>
          <cell r="AY199" t="str">
            <v>NB</v>
          </cell>
        </row>
        <row r="200">
          <cell r="AM200">
            <v>700.59000000000015</v>
          </cell>
          <cell r="AP200" t="str">
            <v>Service</v>
          </cell>
          <cell r="AQ200" t="str">
            <v>Formation</v>
          </cell>
          <cell r="AR200" t="str">
            <v>$</v>
          </cell>
          <cell r="AS200">
            <v>0</v>
          </cell>
          <cell r="AW200">
            <v>0</v>
          </cell>
          <cell r="AY200" t="str">
            <v>NB</v>
          </cell>
        </row>
        <row r="201">
          <cell r="AM201">
            <v>0</v>
          </cell>
          <cell r="AP201" t="str">
            <v>Carrosserie</v>
          </cell>
          <cell r="AQ201" t="str">
            <v>Formation</v>
          </cell>
          <cell r="AR201" t="str">
            <v>$</v>
          </cell>
          <cell r="AS201">
            <v>0</v>
          </cell>
          <cell r="AW201">
            <v>0</v>
          </cell>
          <cell r="AY201" t="str">
            <v>NB</v>
          </cell>
        </row>
        <row r="202">
          <cell r="AM202">
            <v>0</v>
          </cell>
          <cell r="AP202" t="str">
            <v>Pièces</v>
          </cell>
          <cell r="AQ202" t="str">
            <v>Formation</v>
          </cell>
          <cell r="AR202" t="str">
            <v>$</v>
          </cell>
          <cell r="AS202">
            <v>0</v>
          </cell>
          <cell r="AW202">
            <v>0</v>
          </cell>
          <cell r="AY202" t="str">
            <v>NB</v>
          </cell>
        </row>
        <row r="203">
          <cell r="AM203">
            <v>0</v>
          </cell>
          <cell r="AP203">
            <v>0</v>
          </cell>
          <cell r="AQ203">
            <v>0</v>
          </cell>
          <cell r="AR203" t="str">
            <v>$</v>
          </cell>
          <cell r="AS203">
            <v>0</v>
          </cell>
          <cell r="AW203">
            <v>0</v>
          </cell>
          <cell r="AY203" t="str">
            <v>NB</v>
          </cell>
        </row>
        <row r="204">
          <cell r="AM204">
            <v>75549.5</v>
          </cell>
          <cell r="AP204" t="str">
            <v>Véhicules neufs</v>
          </cell>
          <cell r="AQ204" t="str">
            <v>Intérêt de gros</v>
          </cell>
          <cell r="AR204" t="str">
            <v>$</v>
          </cell>
          <cell r="AS204">
            <v>0</v>
          </cell>
          <cell r="AW204">
            <v>0</v>
          </cell>
          <cell r="AY204" t="str">
            <v>NB</v>
          </cell>
        </row>
        <row r="205">
          <cell r="AM205">
            <v>15500.380000000005</v>
          </cell>
          <cell r="AP205" t="str">
            <v>Véhicules usagés</v>
          </cell>
          <cell r="AQ205" t="str">
            <v>Intérêt de gros</v>
          </cell>
          <cell r="AR205" t="str">
            <v>$</v>
          </cell>
          <cell r="AS205">
            <v>0</v>
          </cell>
          <cell r="AW205">
            <v>0</v>
          </cell>
          <cell r="AY205" t="str">
            <v>NB</v>
          </cell>
        </row>
        <row r="206">
          <cell r="AM206">
            <v>6163.25</v>
          </cell>
          <cell r="AP206" t="str">
            <v>Wholesale autres</v>
          </cell>
          <cell r="AQ206" t="str">
            <v>Intérêt de gros</v>
          </cell>
          <cell r="AR206" t="str">
            <v>$</v>
          </cell>
          <cell r="AS206">
            <v>0</v>
          </cell>
          <cell r="AW206">
            <v>0</v>
          </cell>
          <cell r="AY206" t="str">
            <v>NB</v>
          </cell>
        </row>
        <row r="207">
          <cell r="AM207">
            <v>0</v>
          </cell>
          <cell r="AP207" t="str">
            <v>Service</v>
          </cell>
          <cell r="AQ207" t="str">
            <v>Divers</v>
          </cell>
          <cell r="AR207" t="str">
            <v>$</v>
          </cell>
          <cell r="AS207">
            <v>0</v>
          </cell>
          <cell r="AW207">
            <v>0</v>
          </cell>
          <cell r="AY207" t="str">
            <v>NB</v>
          </cell>
        </row>
        <row r="208">
          <cell r="AM208">
            <v>0</v>
          </cell>
          <cell r="AP208" t="e">
            <v>#N/A</v>
          </cell>
          <cell r="AQ208" t="e">
            <v>#N/A</v>
          </cell>
          <cell r="AR208" t="str">
            <v>$</v>
          </cell>
          <cell r="AS208" t="e">
            <v>#N/A</v>
          </cell>
          <cell r="AW208">
            <v>0</v>
          </cell>
          <cell r="AY208" t="str">
            <v>NB</v>
          </cell>
        </row>
        <row r="209">
          <cell r="AM209">
            <v>0</v>
          </cell>
          <cell r="AP209" t="e">
            <v>#N/A</v>
          </cell>
          <cell r="AQ209" t="e">
            <v>#N/A</v>
          </cell>
          <cell r="AR209" t="str">
            <v>$</v>
          </cell>
          <cell r="AS209" t="e">
            <v>#N/A</v>
          </cell>
          <cell r="AW209">
            <v>0</v>
          </cell>
          <cell r="AY209" t="str">
            <v>NB</v>
          </cell>
        </row>
        <row r="210">
          <cell r="AM210">
            <v>1892.8199999999997</v>
          </cell>
          <cell r="AP210" t="str">
            <v>Véhicules neufs</v>
          </cell>
          <cell r="AQ210" t="str">
            <v>Divers</v>
          </cell>
          <cell r="AR210" t="str">
            <v>$</v>
          </cell>
          <cell r="AS210">
            <v>0</v>
          </cell>
          <cell r="AW210">
            <v>0</v>
          </cell>
          <cell r="AY210" t="str">
            <v>NB</v>
          </cell>
        </row>
        <row r="211">
          <cell r="AM211">
            <v>1261.8500000000004</v>
          </cell>
          <cell r="AP211" t="str">
            <v>Véhicules usagés</v>
          </cell>
          <cell r="AQ211" t="str">
            <v>Divers</v>
          </cell>
          <cell r="AR211" t="str">
            <v>$</v>
          </cell>
          <cell r="AS211">
            <v>0</v>
          </cell>
          <cell r="AW211">
            <v>0</v>
          </cell>
          <cell r="AY211" t="str">
            <v>NB</v>
          </cell>
        </row>
        <row r="212">
          <cell r="AM212">
            <v>0</v>
          </cell>
          <cell r="AP212" t="str">
            <v>Wholesale autres</v>
          </cell>
          <cell r="AQ212" t="str">
            <v>Divers</v>
          </cell>
          <cell r="AR212" t="str">
            <v>$</v>
          </cell>
          <cell r="AS212">
            <v>0</v>
          </cell>
          <cell r="AW212">
            <v>0</v>
          </cell>
          <cell r="AY212" t="str">
            <v>NB</v>
          </cell>
        </row>
        <row r="213">
          <cell r="AM213">
            <v>1892.82</v>
          </cell>
          <cell r="AP213" t="str">
            <v>Service</v>
          </cell>
          <cell r="AQ213" t="str">
            <v>Divers</v>
          </cell>
          <cell r="AR213" t="str">
            <v>$</v>
          </cell>
          <cell r="AS213">
            <v>0</v>
          </cell>
          <cell r="AW213">
            <v>0</v>
          </cell>
          <cell r="AY213" t="str">
            <v>NB</v>
          </cell>
        </row>
        <row r="214">
          <cell r="AM214">
            <v>700.94</v>
          </cell>
          <cell r="AP214" t="str">
            <v>Carrosserie</v>
          </cell>
          <cell r="AQ214" t="str">
            <v>Divers</v>
          </cell>
          <cell r="AR214" t="str">
            <v>$</v>
          </cell>
          <cell r="AS214">
            <v>0</v>
          </cell>
          <cell r="AW214">
            <v>0</v>
          </cell>
          <cell r="AY214" t="str">
            <v>NB</v>
          </cell>
        </row>
        <row r="215">
          <cell r="AM215">
            <v>630.92000000000007</v>
          </cell>
          <cell r="AP215" t="str">
            <v>Pièces</v>
          </cell>
          <cell r="AQ215" t="str">
            <v>Divers</v>
          </cell>
          <cell r="AR215" t="str">
            <v>$</v>
          </cell>
          <cell r="AS215">
            <v>0</v>
          </cell>
          <cell r="AW215">
            <v>0</v>
          </cell>
          <cell r="AY215" t="str">
            <v>NB</v>
          </cell>
        </row>
        <row r="216">
          <cell r="AM216">
            <v>0</v>
          </cell>
          <cell r="AP216" t="str">
            <v>SAAQ</v>
          </cell>
          <cell r="AQ216" t="str">
            <v>Divers</v>
          </cell>
          <cell r="AR216" t="str">
            <v>$</v>
          </cell>
          <cell r="AS216">
            <v>0</v>
          </cell>
          <cell r="AW216">
            <v>0</v>
          </cell>
          <cell r="AY216" t="str">
            <v>NB</v>
          </cell>
        </row>
        <row r="217">
          <cell r="AM217">
            <v>0</v>
          </cell>
          <cell r="AP217">
            <v>0</v>
          </cell>
          <cell r="AQ217">
            <v>0</v>
          </cell>
          <cell r="AR217" t="str">
            <v>$</v>
          </cell>
          <cell r="AS217">
            <v>0</v>
          </cell>
          <cell r="AW217">
            <v>0</v>
          </cell>
          <cell r="AY217" t="str">
            <v>NB</v>
          </cell>
        </row>
        <row r="218">
          <cell r="AM218">
            <v>0</v>
          </cell>
          <cell r="AP218" t="e">
            <v>#N/A</v>
          </cell>
          <cell r="AQ218" t="e">
            <v>#N/A</v>
          </cell>
          <cell r="AR218" t="str">
            <v>$</v>
          </cell>
          <cell r="AS218" t="e">
            <v>#N/A</v>
          </cell>
          <cell r="AW218">
            <v>0</v>
          </cell>
          <cell r="AY218" t="str">
            <v>NB</v>
          </cell>
        </row>
        <row r="219">
          <cell r="AM219">
            <v>-107566.08999999985</v>
          </cell>
          <cell r="AP219" t="str">
            <v>Véhicules neufs</v>
          </cell>
          <cell r="AQ219" t="str">
            <v>Crédit Intérêts Floor Plan</v>
          </cell>
          <cell r="AR219" t="str">
            <v>$</v>
          </cell>
          <cell r="AS219">
            <v>0</v>
          </cell>
          <cell r="AW219">
            <v>0</v>
          </cell>
          <cell r="AY219" t="str">
            <v>NB</v>
          </cell>
        </row>
        <row r="220">
          <cell r="AM220">
            <v>0</v>
          </cell>
          <cell r="AP220" t="str">
            <v>Véhicules usagés</v>
          </cell>
          <cell r="AQ220" t="str">
            <v>Crédit Intérêts Floor Plan</v>
          </cell>
          <cell r="AR220" t="str">
            <v>$</v>
          </cell>
          <cell r="AS220">
            <v>0</v>
          </cell>
          <cell r="AW220">
            <v>0</v>
          </cell>
          <cell r="AY220" t="str">
            <v>NB</v>
          </cell>
        </row>
        <row r="221">
          <cell r="AM221">
            <v>0</v>
          </cell>
          <cell r="AP221" t="str">
            <v>Wholesale autres</v>
          </cell>
          <cell r="AQ221" t="str">
            <v>Crédit Intérêts Floor Plan</v>
          </cell>
          <cell r="AR221" t="str">
            <v>$</v>
          </cell>
          <cell r="AS221">
            <v>0</v>
          </cell>
          <cell r="AW221">
            <v>0</v>
          </cell>
          <cell r="AY221" t="str">
            <v>NB</v>
          </cell>
        </row>
        <row r="222">
          <cell r="AM222">
            <v>0</v>
          </cell>
          <cell r="AP222" t="e">
            <v>#N/A</v>
          </cell>
          <cell r="AQ222" t="e">
            <v>#N/A</v>
          </cell>
          <cell r="AR222" t="str">
            <v>$</v>
          </cell>
          <cell r="AS222" t="e">
            <v>#N/A</v>
          </cell>
          <cell r="AW222">
            <v>0</v>
          </cell>
          <cell r="AY222" t="str">
            <v>NB</v>
          </cell>
        </row>
        <row r="223">
          <cell r="AM223">
            <v>0</v>
          </cell>
          <cell r="AP223" t="str">
            <v>Véhicules neufs</v>
          </cell>
          <cell r="AQ223" t="str">
            <v>Divers</v>
          </cell>
          <cell r="AR223" t="str">
            <v>$</v>
          </cell>
          <cell r="AS223">
            <v>0</v>
          </cell>
          <cell r="AW223">
            <v>0</v>
          </cell>
          <cell r="AY223" t="str">
            <v>NB</v>
          </cell>
        </row>
        <row r="224">
          <cell r="AM224">
            <v>0</v>
          </cell>
          <cell r="AP224" t="str">
            <v>Véhicules usagés</v>
          </cell>
          <cell r="AQ224" t="str">
            <v>Divers</v>
          </cell>
          <cell r="AR224" t="str">
            <v>$</v>
          </cell>
          <cell r="AS224">
            <v>0</v>
          </cell>
          <cell r="AW224">
            <v>0</v>
          </cell>
          <cell r="AY224" t="str">
            <v>NB</v>
          </cell>
        </row>
        <row r="225">
          <cell r="AM225">
            <v>0</v>
          </cell>
          <cell r="AP225" t="str">
            <v>Service</v>
          </cell>
          <cell r="AQ225" t="str">
            <v>Divers</v>
          </cell>
          <cell r="AR225" t="str">
            <v>$</v>
          </cell>
          <cell r="AS225">
            <v>0</v>
          </cell>
          <cell r="AW225">
            <v>0</v>
          </cell>
          <cell r="AY225" t="str">
            <v>NB</v>
          </cell>
        </row>
        <row r="226">
          <cell r="AM226">
            <v>0</v>
          </cell>
          <cell r="AP226" t="str">
            <v>Carrosserie</v>
          </cell>
          <cell r="AQ226" t="str">
            <v>Divers</v>
          </cell>
          <cell r="AR226" t="str">
            <v>$</v>
          </cell>
          <cell r="AS226">
            <v>0</v>
          </cell>
          <cell r="AW226">
            <v>0</v>
          </cell>
          <cell r="AY226" t="str">
            <v>NB</v>
          </cell>
        </row>
        <row r="227">
          <cell r="AM227">
            <v>0</v>
          </cell>
          <cell r="AP227" t="str">
            <v>Pièces</v>
          </cell>
          <cell r="AQ227" t="str">
            <v>Divers</v>
          </cell>
          <cell r="AR227" t="str">
            <v>$</v>
          </cell>
          <cell r="AS227">
            <v>0</v>
          </cell>
          <cell r="AW227">
            <v>0</v>
          </cell>
          <cell r="AY227" t="str">
            <v>NB</v>
          </cell>
        </row>
        <row r="228">
          <cell r="AM228">
            <v>0</v>
          </cell>
          <cell r="AP228" t="e">
            <v>#N/A</v>
          </cell>
          <cell r="AQ228" t="e">
            <v>#N/A</v>
          </cell>
          <cell r="AR228" t="str">
            <v>$</v>
          </cell>
          <cell r="AS228" t="e">
            <v>#N/A</v>
          </cell>
          <cell r="AW228">
            <v>0</v>
          </cell>
          <cell r="AY228" t="str">
            <v>NB</v>
          </cell>
        </row>
        <row r="229">
          <cell r="AM229">
            <v>21000</v>
          </cell>
          <cell r="AP229" t="str">
            <v>Véhicules neufs</v>
          </cell>
          <cell r="AQ229" t="str">
            <v>Loyer</v>
          </cell>
          <cell r="AR229" t="str">
            <v>$</v>
          </cell>
          <cell r="AS229">
            <v>0</v>
          </cell>
          <cell r="AW229">
            <v>0</v>
          </cell>
          <cell r="AY229" t="str">
            <v>NB</v>
          </cell>
        </row>
        <row r="230">
          <cell r="AM230">
            <v>14000</v>
          </cell>
          <cell r="AP230" t="str">
            <v>Véhicules usagés</v>
          </cell>
          <cell r="AQ230" t="str">
            <v>Loyer</v>
          </cell>
          <cell r="AR230" t="str">
            <v>$</v>
          </cell>
          <cell r="AS230">
            <v>0</v>
          </cell>
          <cell r="AW230">
            <v>0</v>
          </cell>
          <cell r="AY230" t="str">
            <v>NB</v>
          </cell>
        </row>
        <row r="231">
          <cell r="AM231">
            <v>0</v>
          </cell>
          <cell r="AP231" t="str">
            <v>Wholesale autres</v>
          </cell>
          <cell r="AQ231" t="str">
            <v>Loyer</v>
          </cell>
          <cell r="AR231" t="str">
            <v>$</v>
          </cell>
          <cell r="AS231">
            <v>0</v>
          </cell>
          <cell r="AW231">
            <v>0</v>
          </cell>
          <cell r="AY231" t="str">
            <v>NB</v>
          </cell>
        </row>
        <row r="232">
          <cell r="AM232">
            <v>21000</v>
          </cell>
          <cell r="AP232" t="str">
            <v>Service</v>
          </cell>
          <cell r="AQ232" t="str">
            <v>Loyer</v>
          </cell>
          <cell r="AR232" t="str">
            <v>$</v>
          </cell>
          <cell r="AS232">
            <v>0</v>
          </cell>
          <cell r="AW232">
            <v>0</v>
          </cell>
          <cell r="AY232" t="str">
            <v>NB</v>
          </cell>
        </row>
        <row r="233">
          <cell r="AM233">
            <v>7000</v>
          </cell>
          <cell r="AP233" t="str">
            <v>Carrosserie</v>
          </cell>
          <cell r="AQ233" t="str">
            <v>Loyer</v>
          </cell>
          <cell r="AR233" t="str">
            <v>$</v>
          </cell>
          <cell r="AS233">
            <v>0</v>
          </cell>
          <cell r="AW233">
            <v>0</v>
          </cell>
          <cell r="AY233" t="str">
            <v>NB</v>
          </cell>
        </row>
        <row r="234">
          <cell r="AM234">
            <v>7000</v>
          </cell>
          <cell r="AP234" t="str">
            <v>Pièces</v>
          </cell>
          <cell r="AQ234" t="str">
            <v>Loyer</v>
          </cell>
          <cell r="AR234" t="str">
            <v>$</v>
          </cell>
          <cell r="AS234">
            <v>0</v>
          </cell>
          <cell r="AW234">
            <v>0</v>
          </cell>
          <cell r="AY234" t="str">
            <v>NB</v>
          </cell>
        </row>
        <row r="235">
          <cell r="AM235">
            <v>0</v>
          </cell>
          <cell r="AP235" t="e">
            <v>#N/A</v>
          </cell>
          <cell r="AQ235" t="e">
            <v>#N/A</v>
          </cell>
          <cell r="AR235" t="str">
            <v>$</v>
          </cell>
          <cell r="AS235" t="e">
            <v>#N/A</v>
          </cell>
          <cell r="AW235">
            <v>0</v>
          </cell>
          <cell r="AY235" t="str">
            <v>NB</v>
          </cell>
        </row>
        <row r="236">
          <cell r="AM236">
            <v>22851.800000000003</v>
          </cell>
          <cell r="AP236" t="str">
            <v>Véhicules neufs</v>
          </cell>
          <cell r="AQ236" t="str">
            <v>Loyer</v>
          </cell>
          <cell r="AR236" t="str">
            <v>$</v>
          </cell>
          <cell r="AS236">
            <v>0</v>
          </cell>
          <cell r="AW236">
            <v>0</v>
          </cell>
          <cell r="AY236" t="str">
            <v>NB</v>
          </cell>
        </row>
        <row r="237">
          <cell r="AM237">
            <v>15234.529999999999</v>
          </cell>
          <cell r="AP237" t="str">
            <v>Véhicules usagés</v>
          </cell>
          <cell r="AQ237" t="str">
            <v>Loyer</v>
          </cell>
          <cell r="AR237" t="str">
            <v>$</v>
          </cell>
          <cell r="AS237">
            <v>0</v>
          </cell>
          <cell r="AW237">
            <v>0</v>
          </cell>
          <cell r="AY237" t="str">
            <v>NB</v>
          </cell>
        </row>
        <row r="238">
          <cell r="AM238">
            <v>0</v>
          </cell>
          <cell r="AP238" t="str">
            <v>Wholesale autres</v>
          </cell>
          <cell r="AQ238" t="str">
            <v>Loyer</v>
          </cell>
          <cell r="AR238" t="str">
            <v>$</v>
          </cell>
          <cell r="AS238">
            <v>0</v>
          </cell>
          <cell r="AW238">
            <v>0</v>
          </cell>
          <cell r="AY238" t="str">
            <v>NB</v>
          </cell>
        </row>
        <row r="239">
          <cell r="AM239">
            <v>22851.800000000003</v>
          </cell>
          <cell r="AP239" t="str">
            <v>Service</v>
          </cell>
          <cell r="AQ239" t="str">
            <v>Loyer</v>
          </cell>
          <cell r="AR239" t="str">
            <v>$</v>
          </cell>
          <cell r="AS239">
            <v>0</v>
          </cell>
          <cell r="AW239">
            <v>0</v>
          </cell>
          <cell r="AY239" t="str">
            <v>NB</v>
          </cell>
        </row>
        <row r="240">
          <cell r="AM240">
            <v>7617.27</v>
          </cell>
          <cell r="AP240" t="str">
            <v>Carrosserie</v>
          </cell>
          <cell r="AQ240" t="str">
            <v>Loyer</v>
          </cell>
          <cell r="AR240" t="str">
            <v>$</v>
          </cell>
          <cell r="AS240">
            <v>0</v>
          </cell>
          <cell r="AW240">
            <v>0</v>
          </cell>
          <cell r="AY240" t="str">
            <v>NB</v>
          </cell>
        </row>
        <row r="241">
          <cell r="AM241">
            <v>7617.2500000000036</v>
          </cell>
          <cell r="AP241" t="str">
            <v>Pièces</v>
          </cell>
          <cell r="AQ241" t="str">
            <v>Loyer</v>
          </cell>
          <cell r="AR241" t="str">
            <v>$</v>
          </cell>
          <cell r="AS241">
            <v>0</v>
          </cell>
          <cell r="AW241">
            <v>0</v>
          </cell>
          <cell r="AY241" t="str">
            <v>NB</v>
          </cell>
        </row>
        <row r="242">
          <cell r="AM242">
            <v>0</v>
          </cell>
          <cell r="AP242" t="e">
            <v>#N/A</v>
          </cell>
          <cell r="AQ242" t="e">
            <v>#N/A</v>
          </cell>
          <cell r="AR242" t="str">
            <v>$</v>
          </cell>
          <cell r="AS242" t="e">
            <v>#N/A</v>
          </cell>
          <cell r="AW242">
            <v>0</v>
          </cell>
          <cell r="AY242" t="str">
            <v>NB</v>
          </cell>
        </row>
        <row r="243">
          <cell r="AM243">
            <v>2107.8099999999977</v>
          </cell>
          <cell r="AP243" t="str">
            <v>Véhicules neufs</v>
          </cell>
          <cell r="AQ243" t="str">
            <v>Services extérieurs</v>
          </cell>
          <cell r="AR243" t="str">
            <v>$</v>
          </cell>
          <cell r="AS243">
            <v>0</v>
          </cell>
          <cell r="AW243">
            <v>0</v>
          </cell>
          <cell r="AY243" t="str">
            <v>NB</v>
          </cell>
        </row>
        <row r="244">
          <cell r="AM244">
            <v>1405.1999999999989</v>
          </cell>
          <cell r="AP244" t="str">
            <v>Véhicules usagés</v>
          </cell>
          <cell r="AQ244" t="str">
            <v>Services extérieurs</v>
          </cell>
          <cell r="AR244" t="str">
            <v>$</v>
          </cell>
          <cell r="AS244">
            <v>0</v>
          </cell>
          <cell r="AW244">
            <v>0</v>
          </cell>
          <cell r="AY244" t="str">
            <v>NB</v>
          </cell>
        </row>
        <row r="245">
          <cell r="AM245">
            <v>0</v>
          </cell>
          <cell r="AP245" t="str">
            <v>Wholesale autres</v>
          </cell>
          <cell r="AQ245" t="str">
            <v>Services extérieurs</v>
          </cell>
          <cell r="AR245" t="str">
            <v>$</v>
          </cell>
          <cell r="AS245">
            <v>0</v>
          </cell>
          <cell r="AW245">
            <v>0</v>
          </cell>
          <cell r="AY245" t="str">
            <v>NB</v>
          </cell>
        </row>
        <row r="246">
          <cell r="AM246">
            <v>2541.0199999999968</v>
          </cell>
          <cell r="AP246" t="str">
            <v>Service</v>
          </cell>
          <cell r="AQ246" t="str">
            <v>Services extérieurs</v>
          </cell>
          <cell r="AR246" t="str">
            <v>$</v>
          </cell>
          <cell r="AS246">
            <v>0</v>
          </cell>
          <cell r="AW246">
            <v>0</v>
          </cell>
          <cell r="AY246" t="str">
            <v>NB</v>
          </cell>
        </row>
        <row r="247">
          <cell r="AM247">
            <v>702.61000000000058</v>
          </cell>
          <cell r="AP247" t="str">
            <v>Carrosserie</v>
          </cell>
          <cell r="AQ247" t="str">
            <v>Services extérieurs</v>
          </cell>
          <cell r="AR247" t="str">
            <v>$</v>
          </cell>
          <cell r="AS247">
            <v>0</v>
          </cell>
          <cell r="AW247">
            <v>0</v>
          </cell>
          <cell r="AY247" t="str">
            <v>NB</v>
          </cell>
        </row>
        <row r="248">
          <cell r="AM248">
            <v>702.57999999999993</v>
          </cell>
          <cell r="AP248" t="str">
            <v>Pièces</v>
          </cell>
          <cell r="AQ248" t="str">
            <v>Services extérieurs</v>
          </cell>
          <cell r="AR248" t="str">
            <v>$</v>
          </cell>
          <cell r="AS248">
            <v>0</v>
          </cell>
          <cell r="AW248">
            <v>0</v>
          </cell>
          <cell r="AY248" t="str">
            <v>NB</v>
          </cell>
        </row>
        <row r="249">
          <cell r="AM249">
            <v>0</v>
          </cell>
          <cell r="AP249" t="e">
            <v>#N/A</v>
          </cell>
          <cell r="AQ249" t="e">
            <v>#N/A</v>
          </cell>
          <cell r="AR249" t="str">
            <v>$</v>
          </cell>
          <cell r="AS249" t="e">
            <v>#N/A</v>
          </cell>
          <cell r="AW249">
            <v>0</v>
          </cell>
          <cell r="AY249" t="str">
            <v>NB</v>
          </cell>
        </row>
        <row r="250">
          <cell r="AM250">
            <v>43.089999999999975</v>
          </cell>
          <cell r="AP250" t="str">
            <v>Véhicules neufs</v>
          </cell>
          <cell r="AQ250" t="str">
            <v>Amortissement</v>
          </cell>
          <cell r="AR250" t="str">
            <v>$</v>
          </cell>
          <cell r="AS250">
            <v>0</v>
          </cell>
          <cell r="AW250">
            <v>0</v>
          </cell>
          <cell r="AY250" t="str">
            <v>NB</v>
          </cell>
        </row>
        <row r="251">
          <cell r="AM251">
            <v>28.72999999999999</v>
          </cell>
          <cell r="AP251" t="str">
            <v>Véhicules usagés</v>
          </cell>
          <cell r="AQ251" t="str">
            <v>Amortissement</v>
          </cell>
          <cell r="AR251" t="str">
            <v>$</v>
          </cell>
          <cell r="AS251">
            <v>0</v>
          </cell>
          <cell r="AW251">
            <v>0</v>
          </cell>
          <cell r="AY251" t="str">
            <v>NB</v>
          </cell>
        </row>
        <row r="252">
          <cell r="AM252">
            <v>43.089999999999975</v>
          </cell>
          <cell r="AP252" t="str">
            <v>Service</v>
          </cell>
          <cell r="AQ252" t="str">
            <v>Amortissement</v>
          </cell>
          <cell r="AR252" t="str">
            <v>$</v>
          </cell>
          <cell r="AS252">
            <v>0</v>
          </cell>
          <cell r="AW252">
            <v>0</v>
          </cell>
          <cell r="AY252" t="str">
            <v>NB</v>
          </cell>
        </row>
        <row r="253">
          <cell r="AM253">
            <v>14.36</v>
          </cell>
          <cell r="AP253" t="str">
            <v>Carrosserie</v>
          </cell>
          <cell r="AQ253" t="str">
            <v>Amortissement</v>
          </cell>
          <cell r="AR253" t="str">
            <v>$</v>
          </cell>
          <cell r="AS253">
            <v>0</v>
          </cell>
          <cell r="AW253">
            <v>0</v>
          </cell>
          <cell r="AY253" t="str">
            <v>NB</v>
          </cell>
        </row>
        <row r="254">
          <cell r="AM254">
            <v>14.36</v>
          </cell>
          <cell r="AP254" t="str">
            <v>Pièces</v>
          </cell>
          <cell r="AQ254" t="str">
            <v>Amortissement</v>
          </cell>
          <cell r="AR254" t="str">
            <v>$</v>
          </cell>
          <cell r="AS254">
            <v>0</v>
          </cell>
          <cell r="AW254">
            <v>0</v>
          </cell>
          <cell r="AY254" t="str">
            <v>NB</v>
          </cell>
        </row>
        <row r="255">
          <cell r="AM255">
            <v>0</v>
          </cell>
          <cell r="AP255" t="e">
            <v>#N/A</v>
          </cell>
          <cell r="AQ255" t="e">
            <v>#N/A</v>
          </cell>
          <cell r="AR255" t="str">
            <v>$</v>
          </cell>
          <cell r="AS255" t="e">
            <v>#N/A</v>
          </cell>
          <cell r="AW255">
            <v>0</v>
          </cell>
          <cell r="AY255" t="str">
            <v>NB</v>
          </cell>
        </row>
        <row r="256">
          <cell r="AM256">
            <v>3671.4000000000015</v>
          </cell>
          <cell r="AP256" t="str">
            <v>Véhicules neufs</v>
          </cell>
          <cell r="AQ256" t="str">
            <v>Taxes foncières</v>
          </cell>
          <cell r="AR256" t="str">
            <v>$</v>
          </cell>
          <cell r="AS256">
            <v>0</v>
          </cell>
          <cell r="AW256">
            <v>0</v>
          </cell>
          <cell r="AY256" t="str">
            <v>NB</v>
          </cell>
        </row>
        <row r="257">
          <cell r="AM257">
            <v>2447.5999999999985</v>
          </cell>
          <cell r="AP257" t="str">
            <v>Véhicules usagés</v>
          </cell>
          <cell r="AQ257" t="str">
            <v>Taxes foncières</v>
          </cell>
          <cell r="AR257" t="str">
            <v>$</v>
          </cell>
          <cell r="AS257">
            <v>0</v>
          </cell>
          <cell r="AW257">
            <v>0</v>
          </cell>
          <cell r="AY257" t="str">
            <v>NB</v>
          </cell>
        </row>
        <row r="258">
          <cell r="AM258">
            <v>3671.4000000000015</v>
          </cell>
          <cell r="AP258" t="str">
            <v>Service</v>
          </cell>
          <cell r="AQ258" t="str">
            <v>Taxes foncières</v>
          </cell>
          <cell r="AR258" t="str">
            <v>$</v>
          </cell>
          <cell r="AS258">
            <v>0</v>
          </cell>
          <cell r="AW258">
            <v>0</v>
          </cell>
          <cell r="AY258" t="str">
            <v>NB</v>
          </cell>
        </row>
        <row r="259">
          <cell r="AM259">
            <v>1223.7999999999993</v>
          </cell>
          <cell r="AP259" t="str">
            <v>Carrosserie</v>
          </cell>
          <cell r="AQ259" t="str">
            <v>Taxes foncières</v>
          </cell>
          <cell r="AR259" t="str">
            <v>$</v>
          </cell>
          <cell r="AS259">
            <v>0</v>
          </cell>
          <cell r="AW259">
            <v>0</v>
          </cell>
          <cell r="AY259" t="str">
            <v>NB</v>
          </cell>
        </row>
        <row r="260">
          <cell r="AM260">
            <v>1223.7999999999993</v>
          </cell>
          <cell r="AP260" t="str">
            <v>Pièces</v>
          </cell>
          <cell r="AQ260" t="str">
            <v>Taxes foncières</v>
          </cell>
          <cell r="AR260" t="str">
            <v>$</v>
          </cell>
          <cell r="AS260">
            <v>0</v>
          </cell>
          <cell r="AW260">
            <v>0</v>
          </cell>
          <cell r="AY260" t="str">
            <v>NB</v>
          </cell>
        </row>
        <row r="261">
          <cell r="AM261">
            <v>0</v>
          </cell>
          <cell r="AP261" t="e">
            <v>#N/A</v>
          </cell>
          <cell r="AQ261" t="e">
            <v>#N/A</v>
          </cell>
          <cell r="AR261" t="str">
            <v>$</v>
          </cell>
          <cell r="AS261" t="e">
            <v>#N/A</v>
          </cell>
          <cell r="AW261">
            <v>0</v>
          </cell>
          <cell r="AY261" t="str">
            <v>NB</v>
          </cell>
        </row>
        <row r="262">
          <cell r="AM262">
            <v>3922.0799999999981</v>
          </cell>
          <cell r="AP262" t="str">
            <v>Véhicules neufs</v>
          </cell>
          <cell r="AQ262" t="str">
            <v>Assurances</v>
          </cell>
          <cell r="AR262" t="str">
            <v>$</v>
          </cell>
          <cell r="AS262">
            <v>0</v>
          </cell>
          <cell r="AW262">
            <v>0</v>
          </cell>
          <cell r="AY262" t="str">
            <v>NB</v>
          </cell>
        </row>
        <row r="263">
          <cell r="AM263">
            <v>2614.7199999999975</v>
          </cell>
          <cell r="AP263" t="str">
            <v>Véhicules usagés</v>
          </cell>
          <cell r="AQ263" t="str">
            <v>Assurances</v>
          </cell>
          <cell r="AR263" t="str">
            <v>$</v>
          </cell>
          <cell r="AS263">
            <v>0</v>
          </cell>
          <cell r="AW263">
            <v>0</v>
          </cell>
          <cell r="AY263" t="str">
            <v>NB</v>
          </cell>
        </row>
        <row r="264">
          <cell r="AM264">
            <v>3922.0799999999981</v>
          </cell>
          <cell r="AP264" t="str">
            <v>Service</v>
          </cell>
          <cell r="AQ264" t="str">
            <v>Assurances</v>
          </cell>
          <cell r="AR264" t="str">
            <v>$</v>
          </cell>
          <cell r="AS264">
            <v>0</v>
          </cell>
          <cell r="AW264">
            <v>0</v>
          </cell>
          <cell r="AY264" t="str">
            <v>NB</v>
          </cell>
        </row>
        <row r="265">
          <cell r="AM265">
            <v>1307.3599999999988</v>
          </cell>
          <cell r="AP265" t="str">
            <v>Carrosserie</v>
          </cell>
          <cell r="AQ265" t="str">
            <v>Assurances</v>
          </cell>
          <cell r="AR265" t="str">
            <v>$</v>
          </cell>
          <cell r="AS265">
            <v>0</v>
          </cell>
          <cell r="AW265">
            <v>0</v>
          </cell>
          <cell r="AY265" t="str">
            <v>NB</v>
          </cell>
        </row>
        <row r="266">
          <cell r="AM266">
            <v>1307.369999999999</v>
          </cell>
          <cell r="AP266" t="str">
            <v>Pièces</v>
          </cell>
          <cell r="AQ266" t="str">
            <v>Assurances</v>
          </cell>
          <cell r="AR266" t="str">
            <v>$</v>
          </cell>
          <cell r="AS266">
            <v>0</v>
          </cell>
          <cell r="AW266">
            <v>0</v>
          </cell>
          <cell r="AY266" t="str">
            <v>NB</v>
          </cell>
        </row>
        <row r="267">
          <cell r="AM267">
            <v>0</v>
          </cell>
          <cell r="AP267" t="e">
            <v>#N/A</v>
          </cell>
          <cell r="AQ267" t="e">
            <v>#N/A</v>
          </cell>
          <cell r="AR267" t="str">
            <v>$</v>
          </cell>
          <cell r="AS267" t="e">
            <v>#N/A</v>
          </cell>
          <cell r="AW267">
            <v>0</v>
          </cell>
          <cell r="AY267" t="str">
            <v>NB</v>
          </cell>
        </row>
        <row r="268">
          <cell r="AM268">
            <v>2836.91</v>
          </cell>
          <cell r="AP268" t="str">
            <v>Véhicules neufs</v>
          </cell>
          <cell r="AQ268" t="str">
            <v>Chauffage, éclairage</v>
          </cell>
          <cell r="AR268" t="str">
            <v>$</v>
          </cell>
          <cell r="AS268">
            <v>0</v>
          </cell>
          <cell r="AW268">
            <v>0</v>
          </cell>
          <cell r="AY268" t="str">
            <v>NB</v>
          </cell>
        </row>
        <row r="269">
          <cell r="AM269">
            <v>1152.7600000000002</v>
          </cell>
          <cell r="AP269" t="str">
            <v>Véhicules usagés</v>
          </cell>
          <cell r="AQ269" t="str">
            <v>Chauffage, éclairage</v>
          </cell>
          <cell r="AR269" t="str">
            <v>$</v>
          </cell>
          <cell r="AS269">
            <v>0</v>
          </cell>
          <cell r="AW269">
            <v>0</v>
          </cell>
          <cell r="AY269" t="str">
            <v>NB</v>
          </cell>
        </row>
        <row r="270">
          <cell r="AM270">
            <v>2247.5800000000017</v>
          </cell>
          <cell r="AP270" t="str">
            <v>Service</v>
          </cell>
          <cell r="AQ270" t="str">
            <v>Chauffage, éclairage</v>
          </cell>
          <cell r="AR270" t="str">
            <v>$</v>
          </cell>
          <cell r="AS270">
            <v>0</v>
          </cell>
          <cell r="AW270">
            <v>0</v>
          </cell>
          <cell r="AY270" t="str">
            <v>NB</v>
          </cell>
        </row>
        <row r="271">
          <cell r="AM271">
            <v>2098.6900000000005</v>
          </cell>
          <cell r="AP271" t="str">
            <v>Carrosserie</v>
          </cell>
          <cell r="AQ271" t="str">
            <v>Chauffage, éclairage</v>
          </cell>
          <cell r="AR271" t="str">
            <v>$</v>
          </cell>
          <cell r="AS271">
            <v>0</v>
          </cell>
          <cell r="AW271">
            <v>0</v>
          </cell>
          <cell r="AY271" t="str">
            <v>NB</v>
          </cell>
        </row>
        <row r="272">
          <cell r="AM272">
            <v>1333.5299999999997</v>
          </cell>
          <cell r="AP272" t="str">
            <v>Pièces</v>
          </cell>
          <cell r="AQ272" t="str">
            <v>Chauffage, éclairage</v>
          </cell>
          <cell r="AR272" t="str">
            <v>$</v>
          </cell>
          <cell r="AS272">
            <v>0</v>
          </cell>
          <cell r="AW272">
            <v>0</v>
          </cell>
          <cell r="AY272" t="str">
            <v>NB</v>
          </cell>
        </row>
        <row r="273">
          <cell r="AM273">
            <v>0</v>
          </cell>
          <cell r="AP273" t="e">
            <v>#N/A</v>
          </cell>
          <cell r="AQ273" t="e">
            <v>#N/A</v>
          </cell>
          <cell r="AR273" t="str">
            <v>$</v>
          </cell>
          <cell r="AS273" t="e">
            <v>#N/A</v>
          </cell>
          <cell r="AW273">
            <v>0</v>
          </cell>
          <cell r="AY273" t="str">
            <v>NB</v>
          </cell>
        </row>
        <row r="274">
          <cell r="AM274">
            <v>0</v>
          </cell>
          <cell r="AP274">
            <v>0</v>
          </cell>
          <cell r="AQ274">
            <v>0</v>
          </cell>
          <cell r="AR274" t="str">
            <v>$</v>
          </cell>
          <cell r="AS274">
            <v>0</v>
          </cell>
          <cell r="AW274">
            <v>0</v>
          </cell>
          <cell r="AY274" t="str">
            <v>NB</v>
          </cell>
        </row>
        <row r="275">
          <cell r="AM275">
            <v>0</v>
          </cell>
          <cell r="AP275">
            <v>0</v>
          </cell>
          <cell r="AQ275">
            <v>0</v>
          </cell>
          <cell r="AR275" t="str">
            <v>$</v>
          </cell>
          <cell r="AS275">
            <v>0</v>
          </cell>
          <cell r="AW275">
            <v>0</v>
          </cell>
          <cell r="AY275" t="str">
            <v>NB</v>
          </cell>
        </row>
        <row r="276">
          <cell r="AM276">
            <v>0</v>
          </cell>
          <cell r="AP276">
            <v>0</v>
          </cell>
          <cell r="AQ276">
            <v>0</v>
          </cell>
          <cell r="AR276" t="str">
            <v>$</v>
          </cell>
          <cell r="AS276">
            <v>0</v>
          </cell>
          <cell r="AW276">
            <v>0</v>
          </cell>
          <cell r="AY276" t="str">
            <v>NB</v>
          </cell>
        </row>
        <row r="277">
          <cell r="AM277">
            <v>0</v>
          </cell>
          <cell r="AP277">
            <v>0</v>
          </cell>
          <cell r="AQ277">
            <v>0</v>
          </cell>
          <cell r="AR277" t="str">
            <v>$</v>
          </cell>
          <cell r="AS277">
            <v>0</v>
          </cell>
          <cell r="AW277">
            <v>0</v>
          </cell>
          <cell r="AY277" t="str">
            <v>NB</v>
          </cell>
        </row>
        <row r="278">
          <cell r="AM278">
            <v>0</v>
          </cell>
          <cell r="AP278">
            <v>0</v>
          </cell>
          <cell r="AQ278">
            <v>0</v>
          </cell>
          <cell r="AR278" t="str">
            <v>$</v>
          </cell>
          <cell r="AS278">
            <v>0</v>
          </cell>
          <cell r="AW278">
            <v>0</v>
          </cell>
          <cell r="AY278" t="str">
            <v>NB</v>
          </cell>
        </row>
        <row r="279">
          <cell r="AM279">
            <v>0</v>
          </cell>
          <cell r="AP279" t="e">
            <v>#N/A</v>
          </cell>
          <cell r="AQ279" t="e">
            <v>#N/A</v>
          </cell>
          <cell r="AR279" t="str">
            <v>$</v>
          </cell>
          <cell r="AS279" t="e">
            <v>#N/A</v>
          </cell>
          <cell r="AW279">
            <v>0</v>
          </cell>
          <cell r="AY279" t="str">
            <v>NB</v>
          </cell>
        </row>
        <row r="280">
          <cell r="AM280">
            <v>3000</v>
          </cell>
          <cell r="AP280" t="str">
            <v>Véhicules neufs</v>
          </cell>
          <cell r="AQ280" t="str">
            <v>Taxes d`affaires</v>
          </cell>
          <cell r="AR280" t="str">
            <v>$</v>
          </cell>
          <cell r="AS280">
            <v>0</v>
          </cell>
          <cell r="AW280">
            <v>0</v>
          </cell>
          <cell r="AY280" t="str">
            <v>NB</v>
          </cell>
        </row>
        <row r="281">
          <cell r="AM281">
            <v>2000</v>
          </cell>
          <cell r="AP281" t="str">
            <v>Véhicules usagés</v>
          </cell>
          <cell r="AQ281" t="str">
            <v>Taxes d`affaires</v>
          </cell>
          <cell r="AR281" t="str">
            <v>$</v>
          </cell>
          <cell r="AS281">
            <v>0</v>
          </cell>
          <cell r="AW281">
            <v>0</v>
          </cell>
          <cell r="AY281" t="str">
            <v>NB</v>
          </cell>
        </row>
        <row r="282">
          <cell r="AM282">
            <v>0</v>
          </cell>
          <cell r="AP282" t="str">
            <v>Wholesale autres</v>
          </cell>
          <cell r="AQ282" t="str">
            <v>Taxes d`affaires</v>
          </cell>
          <cell r="AR282" t="str">
            <v>$</v>
          </cell>
          <cell r="AS282">
            <v>0</v>
          </cell>
          <cell r="AW282">
            <v>0</v>
          </cell>
          <cell r="AY282" t="str">
            <v>NB</v>
          </cell>
        </row>
        <row r="283">
          <cell r="AM283">
            <v>3000</v>
          </cell>
          <cell r="AP283" t="str">
            <v>Service</v>
          </cell>
          <cell r="AQ283" t="str">
            <v>Taxes d`affaires</v>
          </cell>
          <cell r="AR283" t="str">
            <v>$</v>
          </cell>
          <cell r="AS283">
            <v>0</v>
          </cell>
          <cell r="AW283">
            <v>0</v>
          </cell>
          <cell r="AY283" t="str">
            <v>NB</v>
          </cell>
        </row>
        <row r="284">
          <cell r="AM284">
            <v>1000</v>
          </cell>
          <cell r="AP284" t="str">
            <v>Carrosserie</v>
          </cell>
          <cell r="AQ284" t="str">
            <v>Taxes d`affaires</v>
          </cell>
          <cell r="AR284" t="str">
            <v>$</v>
          </cell>
          <cell r="AS284">
            <v>0</v>
          </cell>
          <cell r="AW284">
            <v>0</v>
          </cell>
          <cell r="AY284" t="str">
            <v>NB</v>
          </cell>
        </row>
        <row r="285">
          <cell r="AM285">
            <v>1000</v>
          </cell>
          <cell r="AP285" t="str">
            <v>Pièces</v>
          </cell>
          <cell r="AQ285" t="str">
            <v>Taxes d`affaires</v>
          </cell>
          <cell r="AR285" t="str">
            <v>$</v>
          </cell>
          <cell r="AS285">
            <v>0</v>
          </cell>
          <cell r="AW285">
            <v>0</v>
          </cell>
          <cell r="AY285" t="str">
            <v>NB</v>
          </cell>
        </row>
        <row r="286">
          <cell r="AM286">
            <v>0</v>
          </cell>
          <cell r="AP286" t="e">
            <v>#N/A</v>
          </cell>
          <cell r="AQ286" t="e">
            <v>#N/A</v>
          </cell>
          <cell r="AR286" t="str">
            <v>$</v>
          </cell>
          <cell r="AS286" t="e">
            <v>#N/A</v>
          </cell>
          <cell r="AW286">
            <v>0</v>
          </cell>
          <cell r="AY286" t="str">
            <v>NB</v>
          </cell>
        </row>
        <row r="287">
          <cell r="AM287">
            <v>0</v>
          </cell>
          <cell r="AP287" t="str">
            <v>Véhicules neufs</v>
          </cell>
          <cell r="AQ287" t="str">
            <v>Réparation équipement</v>
          </cell>
          <cell r="AR287" t="str">
            <v>$</v>
          </cell>
          <cell r="AS287">
            <v>0</v>
          </cell>
          <cell r="AW287">
            <v>0</v>
          </cell>
          <cell r="AY287" t="str">
            <v>NB</v>
          </cell>
        </row>
        <row r="288">
          <cell r="AM288">
            <v>0</v>
          </cell>
          <cell r="AP288" t="str">
            <v>Véhicules usagés</v>
          </cell>
          <cell r="AQ288" t="str">
            <v>Réparation équipement</v>
          </cell>
          <cell r="AR288" t="str">
            <v>$</v>
          </cell>
          <cell r="AS288">
            <v>0</v>
          </cell>
          <cell r="AW288">
            <v>0</v>
          </cell>
          <cell r="AY288" t="str">
            <v>NB</v>
          </cell>
        </row>
        <row r="289">
          <cell r="AM289">
            <v>2832.8999999999978</v>
          </cell>
          <cell r="AP289" t="str">
            <v>Service</v>
          </cell>
          <cell r="AQ289" t="str">
            <v>Réparation équipement</v>
          </cell>
          <cell r="AR289" t="str">
            <v>$</v>
          </cell>
          <cell r="AS289">
            <v>0</v>
          </cell>
          <cell r="AW289">
            <v>0</v>
          </cell>
          <cell r="AY289" t="str">
            <v>NB</v>
          </cell>
        </row>
        <row r="290">
          <cell r="AM290">
            <v>1634.5</v>
          </cell>
          <cell r="AP290" t="str">
            <v>Carrosserie</v>
          </cell>
          <cell r="AQ290" t="str">
            <v>Réparation équipement</v>
          </cell>
          <cell r="AR290" t="str">
            <v>$</v>
          </cell>
          <cell r="AS290">
            <v>0</v>
          </cell>
          <cell r="AW290">
            <v>0</v>
          </cell>
          <cell r="AY290" t="str">
            <v>NB</v>
          </cell>
        </row>
        <row r="291">
          <cell r="AM291">
            <v>0</v>
          </cell>
          <cell r="AP291" t="str">
            <v>Pièces</v>
          </cell>
          <cell r="AQ291" t="str">
            <v>Réparation équipement</v>
          </cell>
          <cell r="AR291" t="str">
            <v>$</v>
          </cell>
          <cell r="AS291">
            <v>0</v>
          </cell>
          <cell r="AW291">
            <v>0</v>
          </cell>
          <cell r="AY291" t="str">
            <v>NB</v>
          </cell>
        </row>
        <row r="292">
          <cell r="AM292">
            <v>0</v>
          </cell>
          <cell r="AP292" t="e">
            <v>#N/A</v>
          </cell>
          <cell r="AQ292" t="e">
            <v>#N/A</v>
          </cell>
          <cell r="AR292" t="str">
            <v>$</v>
          </cell>
          <cell r="AS292" t="e">
            <v>#N/A</v>
          </cell>
          <cell r="AW292">
            <v>0</v>
          </cell>
          <cell r="AY292" t="str">
            <v>NB</v>
          </cell>
        </row>
        <row r="293">
          <cell r="AM293">
            <v>3193.9500000000007</v>
          </cell>
          <cell r="AP293" t="str">
            <v>Véhicules neufs</v>
          </cell>
          <cell r="AQ293" t="str">
            <v>Amortissement</v>
          </cell>
          <cell r="AR293" t="str">
            <v>$</v>
          </cell>
          <cell r="AS293">
            <v>0</v>
          </cell>
          <cell r="AW293">
            <v>0</v>
          </cell>
          <cell r="AY293" t="str">
            <v>NB</v>
          </cell>
        </row>
        <row r="294">
          <cell r="AM294">
            <v>2129.2999999999975</v>
          </cell>
          <cell r="AP294" t="str">
            <v>Véhicules usagés</v>
          </cell>
          <cell r="AQ294" t="str">
            <v>Amortissement</v>
          </cell>
          <cell r="AR294" t="str">
            <v>$</v>
          </cell>
          <cell r="AS294">
            <v>0</v>
          </cell>
          <cell r="AW294">
            <v>0</v>
          </cell>
          <cell r="AY294" t="str">
            <v>NB</v>
          </cell>
        </row>
        <row r="295">
          <cell r="AM295">
            <v>3193.9500000000007</v>
          </cell>
          <cell r="AP295" t="str">
            <v>Service</v>
          </cell>
          <cell r="AQ295" t="str">
            <v>Amortissement</v>
          </cell>
          <cell r="AR295" t="str">
            <v>$</v>
          </cell>
          <cell r="AS295">
            <v>0</v>
          </cell>
          <cell r="AW295">
            <v>0</v>
          </cell>
          <cell r="AY295" t="str">
            <v>NB</v>
          </cell>
        </row>
        <row r="296">
          <cell r="AM296">
            <v>1064.6500000000005</v>
          </cell>
          <cell r="AP296" t="str">
            <v>Carrosserie</v>
          </cell>
          <cell r="AQ296" t="str">
            <v>Amortissement</v>
          </cell>
          <cell r="AR296" t="str">
            <v>$</v>
          </cell>
          <cell r="AS296">
            <v>0</v>
          </cell>
          <cell r="AW296">
            <v>0</v>
          </cell>
          <cell r="AY296" t="str">
            <v>NB</v>
          </cell>
        </row>
        <row r="297">
          <cell r="AM297">
            <v>1064.6499999999996</v>
          </cell>
          <cell r="AP297" t="str">
            <v>Pièces</v>
          </cell>
          <cell r="AQ297" t="str">
            <v>Amortissement</v>
          </cell>
          <cell r="AR297" t="str">
            <v>$</v>
          </cell>
          <cell r="AS297">
            <v>0</v>
          </cell>
          <cell r="AW297">
            <v>0</v>
          </cell>
          <cell r="AY297" t="str">
            <v>NB</v>
          </cell>
        </row>
        <row r="298">
          <cell r="AM298">
            <v>0</v>
          </cell>
          <cell r="AP298" t="e">
            <v>#N/A</v>
          </cell>
          <cell r="AQ298" t="e">
            <v>#N/A</v>
          </cell>
          <cell r="AR298" t="str">
            <v>$</v>
          </cell>
          <cell r="AS298" t="e">
            <v>#N/A</v>
          </cell>
          <cell r="AW298">
            <v>0</v>
          </cell>
          <cell r="AY298" t="str">
            <v>NB</v>
          </cell>
        </row>
        <row r="299">
          <cell r="AM299">
            <v>59.979999999999961</v>
          </cell>
          <cell r="AP299" t="str">
            <v>Véhicules neufs</v>
          </cell>
          <cell r="AQ299" t="str">
            <v>Location équipement</v>
          </cell>
          <cell r="AR299" t="str">
            <v>$</v>
          </cell>
          <cell r="AS299">
            <v>0</v>
          </cell>
          <cell r="AW299">
            <v>0</v>
          </cell>
          <cell r="AY299" t="str">
            <v>NB</v>
          </cell>
        </row>
        <row r="300">
          <cell r="AM300">
            <v>37.490000000000009</v>
          </cell>
          <cell r="AP300" t="str">
            <v>Véhicules usagés</v>
          </cell>
          <cell r="AQ300" t="str">
            <v>Location équipement</v>
          </cell>
          <cell r="AR300" t="str">
            <v>$</v>
          </cell>
          <cell r="AS300">
            <v>0</v>
          </cell>
          <cell r="AW300">
            <v>0</v>
          </cell>
          <cell r="AY300" t="str">
            <v>NB</v>
          </cell>
        </row>
        <row r="301">
          <cell r="AM301">
            <v>29.989999999999782</v>
          </cell>
          <cell r="AP301" t="str">
            <v>Service</v>
          </cell>
          <cell r="AQ301" t="str">
            <v>Location équipement</v>
          </cell>
          <cell r="AR301" t="str">
            <v>$</v>
          </cell>
          <cell r="AS301">
            <v>0</v>
          </cell>
          <cell r="AW301">
            <v>0</v>
          </cell>
          <cell r="AY301" t="str">
            <v>NB</v>
          </cell>
        </row>
        <row r="302">
          <cell r="AM302">
            <v>7.5</v>
          </cell>
          <cell r="AP302" t="str">
            <v>Carrosserie</v>
          </cell>
          <cell r="AQ302" t="str">
            <v>Location équipement</v>
          </cell>
          <cell r="AR302" t="str">
            <v>$</v>
          </cell>
          <cell r="AS302">
            <v>0</v>
          </cell>
          <cell r="AW302">
            <v>0</v>
          </cell>
          <cell r="AY302" t="str">
            <v>NB</v>
          </cell>
        </row>
        <row r="303">
          <cell r="AM303">
            <v>23.239999999999981</v>
          </cell>
          <cell r="AP303" t="str">
            <v>Pièces</v>
          </cell>
          <cell r="AQ303" t="str">
            <v>Location équipement</v>
          </cell>
          <cell r="AR303" t="str">
            <v>$</v>
          </cell>
          <cell r="AS303">
            <v>0</v>
          </cell>
          <cell r="AW303">
            <v>0</v>
          </cell>
          <cell r="AY303" t="str">
            <v>NB</v>
          </cell>
        </row>
        <row r="304">
          <cell r="AM304">
            <v>0</v>
          </cell>
          <cell r="AP304" t="e">
            <v>#N/A</v>
          </cell>
          <cell r="AQ304" t="e">
            <v>#N/A</v>
          </cell>
          <cell r="AR304" t="str">
            <v>$</v>
          </cell>
          <cell r="AS304" t="e">
            <v>#N/A</v>
          </cell>
          <cell r="AW304">
            <v>0</v>
          </cell>
          <cell r="AY304" t="str">
            <v>NB</v>
          </cell>
        </row>
        <row r="305">
          <cell r="AM305">
            <v>0</v>
          </cell>
          <cell r="AP305" t="e">
            <v>#N/A</v>
          </cell>
          <cell r="AQ305" t="e">
            <v>#N/A</v>
          </cell>
          <cell r="AR305" t="str">
            <v>$</v>
          </cell>
          <cell r="AS305" t="e">
            <v>#N/A</v>
          </cell>
          <cell r="AW305">
            <v>0</v>
          </cell>
          <cell r="AY305" t="str">
            <v>NB</v>
          </cell>
        </row>
        <row r="306">
          <cell r="AM306">
            <v>0</v>
          </cell>
          <cell r="AP306">
            <v>0</v>
          </cell>
          <cell r="AQ306">
            <v>0</v>
          </cell>
          <cell r="AR306" t="str">
            <v>$</v>
          </cell>
          <cell r="AS306">
            <v>0</v>
          </cell>
          <cell r="AW306">
            <v>0</v>
          </cell>
          <cell r="AY306" t="str">
            <v>NB</v>
          </cell>
        </row>
        <row r="307">
          <cell r="AM307">
            <v>0</v>
          </cell>
          <cell r="AP307" t="str">
            <v>Bilan</v>
          </cell>
          <cell r="AQ307" t="str">
            <v>Encaisse</v>
          </cell>
          <cell r="AR307" t="str">
            <v>$</v>
          </cell>
          <cell r="AS307">
            <v>0</v>
          </cell>
          <cell r="AW307">
            <v>0</v>
          </cell>
          <cell r="AY307" t="str">
            <v>NB</v>
          </cell>
        </row>
        <row r="308">
          <cell r="AM308">
            <v>-0.02</v>
          </cell>
          <cell r="AP308" t="str">
            <v>Bilan</v>
          </cell>
          <cell r="AQ308" t="str">
            <v>Salaires à Payer</v>
          </cell>
          <cell r="AR308" t="str">
            <v>$</v>
          </cell>
          <cell r="AS308">
            <v>0</v>
          </cell>
          <cell r="AW308">
            <v>0</v>
          </cell>
          <cell r="AY308" t="str">
            <v>NB</v>
          </cell>
        </row>
        <row r="309">
          <cell r="AM309">
            <v>0</v>
          </cell>
          <cell r="AP309" t="str">
            <v>Bilan</v>
          </cell>
          <cell r="AQ309" t="str">
            <v>Encaisse</v>
          </cell>
          <cell r="AR309" t="str">
            <v>$</v>
          </cell>
          <cell r="AS309">
            <v>0</v>
          </cell>
          <cell r="AW309">
            <v>0</v>
          </cell>
          <cell r="AY309" t="str">
            <v>NB</v>
          </cell>
        </row>
        <row r="310">
          <cell r="AM310">
            <v>0</v>
          </cell>
          <cell r="AP310" t="e">
            <v>#N/A</v>
          </cell>
          <cell r="AQ310" t="e">
            <v>#N/A</v>
          </cell>
          <cell r="AR310" t="str">
            <v>$</v>
          </cell>
          <cell r="AS310" t="e">
            <v>#N/A</v>
          </cell>
          <cell r="AW310">
            <v>0</v>
          </cell>
          <cell r="AY310" t="str">
            <v>NB</v>
          </cell>
        </row>
        <row r="311">
          <cell r="AM311">
            <v>2512761.17</v>
          </cell>
          <cell r="AP311" t="str">
            <v>Bilan</v>
          </cell>
          <cell r="AQ311" t="str">
            <v>Encaisse</v>
          </cell>
          <cell r="AR311" t="str">
            <v>$</v>
          </cell>
          <cell r="AS311">
            <v>0</v>
          </cell>
          <cell r="AW311">
            <v>0</v>
          </cell>
          <cell r="AY311" t="str">
            <v>NB</v>
          </cell>
        </row>
        <row r="312">
          <cell r="AM312">
            <v>0</v>
          </cell>
          <cell r="AP312" t="e">
            <v>#N/A</v>
          </cell>
          <cell r="AQ312" t="e">
            <v>#N/A</v>
          </cell>
          <cell r="AR312" t="str">
            <v>$</v>
          </cell>
          <cell r="AS312" t="e">
            <v>#N/A</v>
          </cell>
          <cell r="AW312">
            <v>0</v>
          </cell>
          <cell r="AY312" t="str">
            <v>NB</v>
          </cell>
        </row>
        <row r="313">
          <cell r="AM313">
            <v>0</v>
          </cell>
          <cell r="AP313">
            <v>0</v>
          </cell>
          <cell r="AQ313">
            <v>0</v>
          </cell>
          <cell r="AR313" t="str">
            <v>$</v>
          </cell>
          <cell r="AS313">
            <v>0</v>
          </cell>
          <cell r="AW313">
            <v>0</v>
          </cell>
          <cell r="AY313" t="str">
            <v>NB</v>
          </cell>
        </row>
        <row r="314">
          <cell r="AM314">
            <v>0</v>
          </cell>
          <cell r="AP314" t="e">
            <v>#N/A</v>
          </cell>
          <cell r="AQ314" t="e">
            <v>#N/A</v>
          </cell>
          <cell r="AR314" t="str">
            <v>$</v>
          </cell>
          <cell r="AS314" t="e">
            <v>#N/A</v>
          </cell>
          <cell r="AW314">
            <v>0</v>
          </cell>
          <cell r="AY314" t="str">
            <v>NB</v>
          </cell>
        </row>
        <row r="315">
          <cell r="AM315">
            <v>0</v>
          </cell>
          <cell r="AP315" t="str">
            <v>Bilan</v>
          </cell>
          <cell r="AQ315" t="str">
            <v>Encaisse</v>
          </cell>
          <cell r="AR315" t="str">
            <v>$</v>
          </cell>
          <cell r="AS315">
            <v>0</v>
          </cell>
          <cell r="AW315">
            <v>0</v>
          </cell>
          <cell r="AY315" t="str">
            <v>NB</v>
          </cell>
        </row>
        <row r="316">
          <cell r="AM316">
            <v>0</v>
          </cell>
          <cell r="AP316" t="e">
            <v>#N/A</v>
          </cell>
          <cell r="AQ316" t="e">
            <v>#N/A</v>
          </cell>
          <cell r="AR316" t="str">
            <v>$</v>
          </cell>
          <cell r="AS316" t="e">
            <v>#N/A</v>
          </cell>
          <cell r="AW316">
            <v>0</v>
          </cell>
          <cell r="AY316" t="str">
            <v>NB</v>
          </cell>
        </row>
        <row r="317">
          <cell r="AM317">
            <v>0</v>
          </cell>
          <cell r="AP317">
            <v>0</v>
          </cell>
          <cell r="AQ317">
            <v>0</v>
          </cell>
          <cell r="AR317" t="str">
            <v>$</v>
          </cell>
          <cell r="AS317">
            <v>0</v>
          </cell>
          <cell r="AW317">
            <v>0</v>
          </cell>
          <cell r="AY317" t="str">
            <v>NB</v>
          </cell>
        </row>
        <row r="318">
          <cell r="AM318">
            <v>722839.11999999988</v>
          </cell>
          <cell r="AP318" t="str">
            <v>Bilan</v>
          </cell>
          <cell r="AQ318" t="str">
            <v>Recevables Contrats en Transit</v>
          </cell>
          <cell r="AR318" t="str">
            <v>$</v>
          </cell>
          <cell r="AS318">
            <v>0</v>
          </cell>
          <cell r="AW318">
            <v>0</v>
          </cell>
          <cell r="AY318" t="str">
            <v>NB</v>
          </cell>
        </row>
        <row r="319">
          <cell r="AM319">
            <v>0</v>
          </cell>
          <cell r="AP319" t="e">
            <v>#N/A</v>
          </cell>
          <cell r="AQ319" t="e">
            <v>#N/A</v>
          </cell>
          <cell r="AR319" t="str">
            <v>$</v>
          </cell>
          <cell r="AS319" t="e">
            <v>#N/A</v>
          </cell>
          <cell r="AW319">
            <v>0</v>
          </cell>
          <cell r="AY319" t="str">
            <v>NB</v>
          </cell>
        </row>
        <row r="320">
          <cell r="AM320">
            <v>0</v>
          </cell>
          <cell r="AP320" t="e">
            <v>#N/A</v>
          </cell>
          <cell r="AQ320" t="e">
            <v>#N/A</v>
          </cell>
          <cell r="AR320" t="str">
            <v>$</v>
          </cell>
          <cell r="AS320" t="e">
            <v>#N/A</v>
          </cell>
          <cell r="AW320">
            <v>0</v>
          </cell>
          <cell r="AY320" t="str">
            <v>NB</v>
          </cell>
        </row>
        <row r="321">
          <cell r="AM321">
            <v>13351.199999999997</v>
          </cell>
          <cell r="AP321" t="str">
            <v>Bilan</v>
          </cell>
          <cell r="AQ321" t="str">
            <v>Recevables Véhicules</v>
          </cell>
          <cell r="AR321" t="str">
            <v>$</v>
          </cell>
          <cell r="AS321">
            <v>0</v>
          </cell>
          <cell r="AW321">
            <v>0</v>
          </cell>
          <cell r="AY321" t="str">
            <v>NB</v>
          </cell>
        </row>
        <row r="322">
          <cell r="AM322">
            <v>0</v>
          </cell>
          <cell r="AP322">
            <v>0</v>
          </cell>
          <cell r="AQ322">
            <v>0</v>
          </cell>
          <cell r="AR322" t="str">
            <v>$</v>
          </cell>
          <cell r="AS322">
            <v>0</v>
          </cell>
          <cell r="AW322">
            <v>0</v>
          </cell>
          <cell r="AY322" t="str">
            <v>NB</v>
          </cell>
        </row>
        <row r="323">
          <cell r="AM323">
            <v>32640.769999999902</v>
          </cell>
          <cell r="AP323" t="str">
            <v>Bilan</v>
          </cell>
          <cell r="AQ323" t="str">
            <v>Recevables Pièces et Service</v>
          </cell>
          <cell r="AR323" t="str">
            <v>$</v>
          </cell>
          <cell r="AS323">
            <v>0</v>
          </cell>
          <cell r="AW323">
            <v>0</v>
          </cell>
          <cell r="AY323" t="str">
            <v>NB</v>
          </cell>
        </row>
        <row r="324">
          <cell r="AM324">
            <v>-181201.27</v>
          </cell>
          <cell r="AP324" t="str">
            <v>Bilan</v>
          </cell>
          <cell r="AQ324" t="str">
            <v>Recevables Véhicules</v>
          </cell>
          <cell r="AR324" t="str">
            <v>$</v>
          </cell>
          <cell r="AS324">
            <v>0</v>
          </cell>
          <cell r="AW324">
            <v>0</v>
          </cell>
          <cell r="AY324" t="str">
            <v>NB</v>
          </cell>
        </row>
        <row r="325">
          <cell r="AM325">
            <v>62244.509999999995</v>
          </cell>
          <cell r="AP325" t="str">
            <v>Bilan</v>
          </cell>
          <cell r="AQ325" t="str">
            <v>Recevables Carrosserie</v>
          </cell>
          <cell r="AR325" t="str">
            <v>$</v>
          </cell>
          <cell r="AS325">
            <v>0</v>
          </cell>
          <cell r="AW325">
            <v>0</v>
          </cell>
          <cell r="AY325" t="str">
            <v>NB</v>
          </cell>
        </row>
        <row r="326">
          <cell r="AM326">
            <v>0</v>
          </cell>
          <cell r="AP326" t="str">
            <v>Bilan</v>
          </cell>
          <cell r="AQ326" t="str">
            <v>Recevables Véhicules</v>
          </cell>
          <cell r="AR326" t="str">
            <v>$</v>
          </cell>
          <cell r="AS326">
            <v>0</v>
          </cell>
          <cell r="AW326">
            <v>0</v>
          </cell>
          <cell r="AY326" t="str">
            <v>NB</v>
          </cell>
        </row>
        <row r="327">
          <cell r="AM327">
            <v>2689.3400000000111</v>
          </cell>
          <cell r="AP327" t="str">
            <v>Bilan</v>
          </cell>
          <cell r="AQ327" t="str">
            <v>Taxes de Vente à Payer</v>
          </cell>
          <cell r="AR327" t="str">
            <v>$</v>
          </cell>
          <cell r="AS327">
            <v>0</v>
          </cell>
          <cell r="AW327">
            <v>0</v>
          </cell>
          <cell r="AY327" t="str">
            <v>NB</v>
          </cell>
        </row>
        <row r="328">
          <cell r="AM328">
            <v>110551.58000000007</v>
          </cell>
          <cell r="AP328" t="str">
            <v>Bilan</v>
          </cell>
          <cell r="AQ328" t="str">
            <v>Taxes de Vente à Payer</v>
          </cell>
          <cell r="AR328" t="str">
            <v>$</v>
          </cell>
          <cell r="AS328">
            <v>0</v>
          </cell>
          <cell r="AW328">
            <v>0</v>
          </cell>
          <cell r="AY328" t="str">
            <v>NB</v>
          </cell>
        </row>
        <row r="329">
          <cell r="AM329">
            <v>-2648.8199999999997</v>
          </cell>
          <cell r="AP329" t="str">
            <v>Bilan</v>
          </cell>
          <cell r="AQ329" t="str">
            <v>Recevables Autres</v>
          </cell>
          <cell r="AR329" t="str">
            <v>$</v>
          </cell>
          <cell r="AS329">
            <v>0</v>
          </cell>
          <cell r="AW329">
            <v>0</v>
          </cell>
          <cell r="AY329" t="str">
            <v>NB</v>
          </cell>
        </row>
        <row r="330">
          <cell r="AM330">
            <v>881817.46</v>
          </cell>
          <cell r="AP330" t="str">
            <v>Bilan</v>
          </cell>
          <cell r="AQ330" t="str">
            <v>Recevables Véhicules</v>
          </cell>
          <cell r="AR330" t="str">
            <v>$</v>
          </cell>
          <cell r="AS330">
            <v>0</v>
          </cell>
          <cell r="AW330">
            <v>0</v>
          </cell>
          <cell r="AY330" t="str">
            <v>NB</v>
          </cell>
        </row>
        <row r="331">
          <cell r="AM331">
            <v>-1520435.22</v>
          </cell>
          <cell r="AP331" t="str">
            <v>Bilan</v>
          </cell>
          <cell r="AQ331" t="str">
            <v>Recevables Véhicules</v>
          </cell>
          <cell r="AR331" t="str">
            <v>$</v>
          </cell>
          <cell r="AS331">
            <v>0</v>
          </cell>
          <cell r="AW331">
            <v>0</v>
          </cell>
          <cell r="AY331" t="str">
            <v>NB</v>
          </cell>
        </row>
        <row r="332">
          <cell r="AM332">
            <v>0</v>
          </cell>
          <cell r="AP332" t="e">
            <v>#N/A</v>
          </cell>
          <cell r="AQ332" t="e">
            <v>#N/A</v>
          </cell>
          <cell r="AR332" t="str">
            <v>$</v>
          </cell>
          <cell r="AS332" t="e">
            <v>#N/A</v>
          </cell>
          <cell r="AW332">
            <v>0</v>
          </cell>
          <cell r="AY332" t="str">
            <v>NB</v>
          </cell>
        </row>
        <row r="333">
          <cell r="AM333">
            <v>-51953.709999999992</v>
          </cell>
          <cell r="AP333" t="str">
            <v>Bilan</v>
          </cell>
          <cell r="AQ333" t="str">
            <v>Recevables Véhicules</v>
          </cell>
          <cell r="AR333" t="str">
            <v>$</v>
          </cell>
          <cell r="AS333">
            <v>0</v>
          </cell>
          <cell r="AW333">
            <v>0</v>
          </cell>
          <cell r="AY333" t="str">
            <v>NB</v>
          </cell>
        </row>
        <row r="334">
          <cell r="AM334">
            <v>159073.63</v>
          </cell>
          <cell r="AP334" t="str">
            <v>Bilan</v>
          </cell>
          <cell r="AQ334" t="str">
            <v>Recevables Véhicules</v>
          </cell>
          <cell r="AR334" t="str">
            <v>$</v>
          </cell>
          <cell r="AS334">
            <v>0</v>
          </cell>
          <cell r="AW334">
            <v>0</v>
          </cell>
          <cell r="AY334" t="str">
            <v>NB</v>
          </cell>
        </row>
        <row r="335">
          <cell r="AM335">
            <v>0</v>
          </cell>
          <cell r="AP335" t="e">
            <v>#N/A</v>
          </cell>
          <cell r="AQ335" t="e">
            <v>#N/A</v>
          </cell>
          <cell r="AR335" t="str">
            <v>$</v>
          </cell>
          <cell r="AS335" t="e">
            <v>#N/A</v>
          </cell>
          <cell r="AW335">
            <v>0</v>
          </cell>
          <cell r="AY335" t="str">
            <v>NB</v>
          </cell>
        </row>
        <row r="336">
          <cell r="AM336">
            <v>0</v>
          </cell>
          <cell r="AP336" t="str">
            <v>Bilan</v>
          </cell>
          <cell r="AQ336" t="str">
            <v>Recevables Véhicules</v>
          </cell>
          <cell r="AR336" t="str">
            <v>$</v>
          </cell>
          <cell r="AS336">
            <v>0</v>
          </cell>
          <cell r="AW336">
            <v>0</v>
          </cell>
          <cell r="AY336" t="str">
            <v>NB</v>
          </cell>
        </row>
        <row r="337">
          <cell r="AM337">
            <v>-325387.28000000003</v>
          </cell>
          <cell r="AP337" t="str">
            <v>Bilan</v>
          </cell>
          <cell r="AQ337" t="str">
            <v>Recevables Véhicules</v>
          </cell>
          <cell r="AR337" t="str">
            <v>$</v>
          </cell>
          <cell r="AS337">
            <v>0</v>
          </cell>
          <cell r="AW337">
            <v>0</v>
          </cell>
          <cell r="AY337" t="str">
            <v>NB</v>
          </cell>
        </row>
        <row r="338">
          <cell r="AM338">
            <v>0</v>
          </cell>
          <cell r="AP338" t="str">
            <v>Bilan</v>
          </cell>
          <cell r="AQ338" t="str">
            <v>Recevables Véhicules</v>
          </cell>
          <cell r="AR338" t="str">
            <v>$</v>
          </cell>
          <cell r="AS338">
            <v>0</v>
          </cell>
          <cell r="AW338">
            <v>0</v>
          </cell>
          <cell r="AY338" t="str">
            <v>NB</v>
          </cell>
        </row>
        <row r="339">
          <cell r="AM339">
            <v>0</v>
          </cell>
          <cell r="AP339" t="str">
            <v>Bilan</v>
          </cell>
          <cell r="AQ339" t="str">
            <v>Recevables Véhicules</v>
          </cell>
          <cell r="AR339" t="str">
            <v>$</v>
          </cell>
          <cell r="AS339">
            <v>0</v>
          </cell>
          <cell r="AW339">
            <v>0</v>
          </cell>
          <cell r="AY339" t="str">
            <v>NB</v>
          </cell>
        </row>
        <row r="340">
          <cell r="AM340">
            <v>0</v>
          </cell>
          <cell r="AP340" t="e">
            <v>#N/A</v>
          </cell>
          <cell r="AQ340" t="e">
            <v>#N/A</v>
          </cell>
          <cell r="AR340" t="str">
            <v>$</v>
          </cell>
          <cell r="AS340" t="e">
            <v>#N/A</v>
          </cell>
          <cell r="AW340">
            <v>0</v>
          </cell>
          <cell r="AY340" t="str">
            <v>NB</v>
          </cell>
        </row>
        <row r="341">
          <cell r="AM341">
            <v>0</v>
          </cell>
          <cell r="AP341" t="e">
            <v>#N/A</v>
          </cell>
          <cell r="AQ341" t="e">
            <v>#N/A</v>
          </cell>
          <cell r="AR341" t="str">
            <v>$</v>
          </cell>
          <cell r="AS341" t="e">
            <v>#N/A</v>
          </cell>
          <cell r="AW341">
            <v>0</v>
          </cell>
          <cell r="AY341" t="str">
            <v>NB</v>
          </cell>
        </row>
        <row r="342">
          <cell r="AM342">
            <v>-66501.23</v>
          </cell>
          <cell r="AP342" t="str">
            <v>Bilan</v>
          </cell>
          <cell r="AQ342" t="str">
            <v>Recevables Intercos</v>
          </cell>
          <cell r="AR342" t="str">
            <v>$</v>
          </cell>
          <cell r="AS342">
            <v>0</v>
          </cell>
          <cell r="AW342">
            <v>0</v>
          </cell>
          <cell r="AY342" t="str">
            <v>NB</v>
          </cell>
        </row>
        <row r="343">
          <cell r="AM343">
            <v>0</v>
          </cell>
          <cell r="AP343" t="str">
            <v>Bilan</v>
          </cell>
          <cell r="AQ343" t="str">
            <v>Recevables Intercos</v>
          </cell>
          <cell r="AR343" t="str">
            <v>$</v>
          </cell>
          <cell r="AS343">
            <v>0</v>
          </cell>
          <cell r="AW343">
            <v>0</v>
          </cell>
          <cell r="AY343" t="str">
            <v>NB</v>
          </cell>
        </row>
        <row r="344">
          <cell r="AM344">
            <v>0</v>
          </cell>
          <cell r="AP344" t="str">
            <v>Bilan</v>
          </cell>
          <cell r="AQ344" t="str">
            <v>Recevables Intercos</v>
          </cell>
          <cell r="AR344" t="str">
            <v>$</v>
          </cell>
          <cell r="AS344">
            <v>0</v>
          </cell>
          <cell r="AW344">
            <v>0</v>
          </cell>
          <cell r="AY344" t="str">
            <v>NB</v>
          </cell>
        </row>
        <row r="345">
          <cell r="AM345">
            <v>0</v>
          </cell>
          <cell r="AP345" t="str">
            <v>Bilan</v>
          </cell>
          <cell r="AQ345" t="str">
            <v>Recevables Intercos</v>
          </cell>
          <cell r="AR345" t="str">
            <v>$</v>
          </cell>
          <cell r="AS345">
            <v>0</v>
          </cell>
          <cell r="AW345">
            <v>0</v>
          </cell>
          <cell r="AY345" t="str">
            <v>NB</v>
          </cell>
        </row>
        <row r="346">
          <cell r="AM346">
            <v>0</v>
          </cell>
          <cell r="AP346" t="str">
            <v>Bilan</v>
          </cell>
          <cell r="AQ346" t="str">
            <v>Recevables Véhicules</v>
          </cell>
          <cell r="AR346" t="str">
            <v>$</v>
          </cell>
          <cell r="AS346">
            <v>0</v>
          </cell>
          <cell r="AW346">
            <v>0</v>
          </cell>
          <cell r="AY346" t="str">
            <v>NB</v>
          </cell>
        </row>
        <row r="347">
          <cell r="AM347">
            <v>5677.06</v>
          </cell>
          <cell r="AP347" t="str">
            <v>Bilan</v>
          </cell>
          <cell r="AQ347" t="str">
            <v>Recevables Véhicules</v>
          </cell>
          <cell r="AR347" t="str">
            <v>$</v>
          </cell>
          <cell r="AS347">
            <v>0</v>
          </cell>
          <cell r="AW347">
            <v>0</v>
          </cell>
          <cell r="AY347" t="str">
            <v>NB</v>
          </cell>
        </row>
        <row r="348">
          <cell r="AM348">
            <v>15682.800000000003</v>
          </cell>
          <cell r="AP348" t="str">
            <v>Bilan</v>
          </cell>
          <cell r="AQ348" t="str">
            <v>Recevables Véhicules</v>
          </cell>
          <cell r="AR348" t="str">
            <v>$</v>
          </cell>
          <cell r="AS348">
            <v>0</v>
          </cell>
          <cell r="AW348">
            <v>0</v>
          </cell>
          <cell r="AY348" t="str">
            <v>NB</v>
          </cell>
        </row>
        <row r="349">
          <cell r="AM349">
            <v>-278.81</v>
          </cell>
          <cell r="AP349" t="str">
            <v>Bilan</v>
          </cell>
          <cell r="AQ349" t="str">
            <v>Recevables Véhicules</v>
          </cell>
          <cell r="AR349" t="str">
            <v>$</v>
          </cell>
          <cell r="AS349">
            <v>0</v>
          </cell>
          <cell r="AW349">
            <v>0</v>
          </cell>
          <cell r="AY349" t="str">
            <v>NB</v>
          </cell>
        </row>
        <row r="350">
          <cell r="AM350">
            <v>0</v>
          </cell>
          <cell r="AP350">
            <v>0</v>
          </cell>
          <cell r="AQ350">
            <v>0</v>
          </cell>
          <cell r="AR350" t="str">
            <v>$</v>
          </cell>
          <cell r="AS350">
            <v>0</v>
          </cell>
          <cell r="AW350">
            <v>0</v>
          </cell>
          <cell r="AY350" t="str">
            <v>NB</v>
          </cell>
        </row>
        <row r="351">
          <cell r="AM351">
            <v>8634.6900000000023</v>
          </cell>
          <cell r="AP351" t="str">
            <v>Bilan</v>
          </cell>
          <cell r="AQ351" t="str">
            <v>Recevables Véhicules</v>
          </cell>
          <cell r="AR351" t="str">
            <v>$</v>
          </cell>
          <cell r="AS351">
            <v>0</v>
          </cell>
          <cell r="AW351">
            <v>0</v>
          </cell>
          <cell r="AY351" t="str">
            <v>NB</v>
          </cell>
        </row>
        <row r="352">
          <cell r="AM352">
            <v>-552728.2899999998</v>
          </cell>
          <cell r="AP352" t="str">
            <v>Bilan</v>
          </cell>
          <cell r="AQ352" t="str">
            <v>Recevables Intercos</v>
          </cell>
          <cell r="AR352" t="str">
            <v>$</v>
          </cell>
          <cell r="AS352">
            <v>0</v>
          </cell>
          <cell r="AW352">
            <v>0</v>
          </cell>
          <cell r="AY352" t="str">
            <v>NB</v>
          </cell>
        </row>
        <row r="353">
          <cell r="AM353">
            <v>0</v>
          </cell>
          <cell r="AP353" t="str">
            <v>Bilan</v>
          </cell>
          <cell r="AQ353" t="str">
            <v>Recevables Intercos</v>
          </cell>
          <cell r="AR353" t="str">
            <v>$</v>
          </cell>
          <cell r="AS353">
            <v>0</v>
          </cell>
          <cell r="AW353">
            <v>0</v>
          </cell>
          <cell r="AY353" t="str">
            <v>NB</v>
          </cell>
        </row>
        <row r="354">
          <cell r="AM354">
            <v>1081.1000000000022</v>
          </cell>
          <cell r="AP354" t="str">
            <v>Bilan</v>
          </cell>
          <cell r="AQ354" t="str">
            <v>Recevables Véhicules</v>
          </cell>
          <cell r="AR354" t="str">
            <v>$</v>
          </cell>
          <cell r="AS354">
            <v>0</v>
          </cell>
          <cell r="AW354">
            <v>0</v>
          </cell>
          <cell r="AY354" t="str">
            <v>NB</v>
          </cell>
        </row>
        <row r="355">
          <cell r="AM355">
            <v>78.179999999993015</v>
          </cell>
          <cell r="AP355" t="str">
            <v>Bilan</v>
          </cell>
          <cell r="AQ355" t="str">
            <v>Recevables Intercos</v>
          </cell>
          <cell r="AR355" t="str">
            <v>$</v>
          </cell>
          <cell r="AS355">
            <v>0</v>
          </cell>
          <cell r="AW355">
            <v>0</v>
          </cell>
          <cell r="AY355" t="str">
            <v>NB</v>
          </cell>
        </row>
        <row r="356">
          <cell r="AM356">
            <v>0</v>
          </cell>
          <cell r="AP356" t="str">
            <v>Bilan</v>
          </cell>
          <cell r="AQ356" t="str">
            <v>Recevables Intercos</v>
          </cell>
          <cell r="AR356" t="str">
            <v>$</v>
          </cell>
          <cell r="AS356">
            <v>0</v>
          </cell>
          <cell r="AW356">
            <v>0</v>
          </cell>
          <cell r="AY356" t="str">
            <v>NB</v>
          </cell>
        </row>
        <row r="357">
          <cell r="AM357">
            <v>1545.8400000000001</v>
          </cell>
          <cell r="AP357" t="str">
            <v>Bilan</v>
          </cell>
          <cell r="AQ357" t="str">
            <v>Recevables Intercos</v>
          </cell>
          <cell r="AR357" t="str">
            <v>$</v>
          </cell>
          <cell r="AS357">
            <v>0</v>
          </cell>
          <cell r="AW357">
            <v>0</v>
          </cell>
          <cell r="AY357" t="str">
            <v>NB</v>
          </cell>
        </row>
        <row r="358">
          <cell r="AM358">
            <v>0</v>
          </cell>
          <cell r="AP358" t="str">
            <v>Bilan</v>
          </cell>
          <cell r="AQ358" t="str">
            <v>Recevables Intercos</v>
          </cell>
          <cell r="AR358" t="str">
            <v>$</v>
          </cell>
          <cell r="AS358">
            <v>0</v>
          </cell>
          <cell r="AW358">
            <v>0</v>
          </cell>
          <cell r="AY358" t="str">
            <v>NB</v>
          </cell>
        </row>
        <row r="359">
          <cell r="AM359">
            <v>0</v>
          </cell>
          <cell r="AP359">
            <v>0</v>
          </cell>
          <cell r="AQ359">
            <v>0</v>
          </cell>
          <cell r="AR359" t="str">
            <v>$</v>
          </cell>
          <cell r="AS359">
            <v>0</v>
          </cell>
          <cell r="AW359">
            <v>0</v>
          </cell>
          <cell r="AY359" t="str">
            <v>NB</v>
          </cell>
        </row>
        <row r="360">
          <cell r="AM360">
            <v>0</v>
          </cell>
          <cell r="AP360" t="str">
            <v>Bilan</v>
          </cell>
          <cell r="AQ360" t="str">
            <v>Recevables Intercos</v>
          </cell>
          <cell r="AR360" t="str">
            <v>$</v>
          </cell>
          <cell r="AS360">
            <v>0</v>
          </cell>
          <cell r="AW360">
            <v>0</v>
          </cell>
          <cell r="AY360" t="str">
            <v>NB</v>
          </cell>
        </row>
        <row r="361">
          <cell r="AM361">
            <v>0</v>
          </cell>
          <cell r="AP361" t="e">
            <v>#N/A</v>
          </cell>
          <cell r="AQ361" t="e">
            <v>#N/A</v>
          </cell>
          <cell r="AR361" t="str">
            <v>$</v>
          </cell>
          <cell r="AS361" t="e">
            <v>#N/A</v>
          </cell>
          <cell r="AW361">
            <v>0</v>
          </cell>
          <cell r="AY361" t="str">
            <v>NB</v>
          </cell>
        </row>
        <row r="362">
          <cell r="AM362">
            <v>0</v>
          </cell>
          <cell r="AP362">
            <v>0</v>
          </cell>
          <cell r="AQ362">
            <v>0</v>
          </cell>
          <cell r="AR362" t="str">
            <v>$</v>
          </cell>
          <cell r="AS362">
            <v>0</v>
          </cell>
          <cell r="AW362">
            <v>0</v>
          </cell>
          <cell r="AY362" t="str">
            <v>NB</v>
          </cell>
        </row>
        <row r="363">
          <cell r="AM363">
            <v>19646.25</v>
          </cell>
          <cell r="AP363" t="str">
            <v>Bilan</v>
          </cell>
          <cell r="AQ363" t="str">
            <v>Recevables Intercos</v>
          </cell>
          <cell r="AR363" t="str">
            <v>$</v>
          </cell>
          <cell r="AS363">
            <v>0</v>
          </cell>
          <cell r="AW363">
            <v>0</v>
          </cell>
          <cell r="AY363" t="str">
            <v>NB</v>
          </cell>
        </row>
        <row r="364">
          <cell r="AM364">
            <v>0</v>
          </cell>
          <cell r="AP364" t="str">
            <v>Bilan</v>
          </cell>
          <cell r="AQ364" t="str">
            <v>Recevables Véhicules</v>
          </cell>
          <cell r="AR364" t="str">
            <v>$</v>
          </cell>
          <cell r="AS364">
            <v>0</v>
          </cell>
          <cell r="AW364">
            <v>0</v>
          </cell>
          <cell r="AY364" t="str">
            <v>NB</v>
          </cell>
        </row>
        <row r="365">
          <cell r="AM365">
            <v>0</v>
          </cell>
          <cell r="AP365" t="str">
            <v>Bilan</v>
          </cell>
          <cell r="AQ365" t="str">
            <v>Recevables Véhicules</v>
          </cell>
          <cell r="AR365" t="str">
            <v>$</v>
          </cell>
          <cell r="AS365">
            <v>0</v>
          </cell>
          <cell r="AW365">
            <v>0</v>
          </cell>
          <cell r="AY365" t="str">
            <v>NB</v>
          </cell>
        </row>
        <row r="366">
          <cell r="AM366">
            <v>0</v>
          </cell>
          <cell r="AP366" t="e">
            <v>#N/A</v>
          </cell>
          <cell r="AQ366" t="e">
            <v>#N/A</v>
          </cell>
          <cell r="AR366" t="str">
            <v>$</v>
          </cell>
          <cell r="AS366" t="e">
            <v>#N/A</v>
          </cell>
          <cell r="AW366">
            <v>0</v>
          </cell>
          <cell r="AY366" t="str">
            <v>NB</v>
          </cell>
        </row>
        <row r="367">
          <cell r="AM367">
            <v>0</v>
          </cell>
          <cell r="AP367" t="str">
            <v>Bilan</v>
          </cell>
          <cell r="AQ367" t="str">
            <v>Encaisse</v>
          </cell>
          <cell r="AR367" t="str">
            <v>$</v>
          </cell>
          <cell r="AS367">
            <v>0</v>
          </cell>
          <cell r="AW367">
            <v>0</v>
          </cell>
          <cell r="AY367" t="str">
            <v>NB</v>
          </cell>
        </row>
        <row r="368">
          <cell r="AM368">
            <v>9.07</v>
          </cell>
          <cell r="AP368" t="str">
            <v>Bilan</v>
          </cell>
          <cell r="AQ368" t="str">
            <v>Encaisse</v>
          </cell>
          <cell r="AR368" t="str">
            <v>$</v>
          </cell>
          <cell r="AS368">
            <v>0</v>
          </cell>
          <cell r="AW368">
            <v>0</v>
          </cell>
          <cell r="AY368" t="str">
            <v>NB</v>
          </cell>
        </row>
        <row r="369">
          <cell r="AM369">
            <v>0</v>
          </cell>
          <cell r="AP369" t="str">
            <v>Bilan</v>
          </cell>
          <cell r="AQ369" t="str">
            <v>Encaisse</v>
          </cell>
          <cell r="AR369" t="str">
            <v>$</v>
          </cell>
          <cell r="AS369">
            <v>0</v>
          </cell>
          <cell r="AW369">
            <v>0</v>
          </cell>
          <cell r="AY369" t="str">
            <v>NB</v>
          </cell>
        </row>
        <row r="370">
          <cell r="AM370">
            <v>-347.8</v>
          </cell>
          <cell r="AP370" t="str">
            <v>Bilan</v>
          </cell>
          <cell r="AQ370" t="str">
            <v>Encaisse</v>
          </cell>
          <cell r="AR370" t="str">
            <v>$</v>
          </cell>
          <cell r="AS370">
            <v>0</v>
          </cell>
          <cell r="AW370">
            <v>0</v>
          </cell>
          <cell r="AY370" t="str">
            <v>NB</v>
          </cell>
        </row>
        <row r="371">
          <cell r="AM371">
            <v>0</v>
          </cell>
          <cell r="AP371" t="str">
            <v>Bilan</v>
          </cell>
          <cell r="AQ371" t="str">
            <v>Encaisse</v>
          </cell>
          <cell r="AR371" t="str">
            <v>$</v>
          </cell>
          <cell r="AS371">
            <v>0</v>
          </cell>
          <cell r="AW371">
            <v>0</v>
          </cell>
          <cell r="AY371" t="str">
            <v>NB</v>
          </cell>
        </row>
        <row r="372">
          <cell r="AM372">
            <v>0</v>
          </cell>
          <cell r="AP372" t="str">
            <v>Bilan</v>
          </cell>
          <cell r="AQ372" t="str">
            <v>Encaisse</v>
          </cell>
          <cell r="AR372" t="str">
            <v>$</v>
          </cell>
          <cell r="AS372">
            <v>0</v>
          </cell>
          <cell r="AW372">
            <v>0</v>
          </cell>
          <cell r="AY372" t="str">
            <v>NB</v>
          </cell>
        </row>
        <row r="373">
          <cell r="AM373">
            <v>0</v>
          </cell>
          <cell r="AP373" t="e">
            <v>#N/A</v>
          </cell>
          <cell r="AQ373" t="e">
            <v>#N/A</v>
          </cell>
          <cell r="AR373" t="str">
            <v>$</v>
          </cell>
          <cell r="AS373" t="e">
            <v>#N/A</v>
          </cell>
          <cell r="AW373">
            <v>0</v>
          </cell>
          <cell r="AY373" t="str">
            <v>NB</v>
          </cell>
        </row>
        <row r="374">
          <cell r="AM374">
            <v>53082</v>
          </cell>
          <cell r="AP374" t="str">
            <v>Bilan</v>
          </cell>
          <cell r="AQ374" t="str">
            <v>Inventaire Véhicules Neufs</v>
          </cell>
          <cell r="AR374" t="str">
            <v>$</v>
          </cell>
          <cell r="AS374">
            <v>0</v>
          </cell>
          <cell r="AW374">
            <v>0</v>
          </cell>
          <cell r="AY374" t="str">
            <v>NB</v>
          </cell>
        </row>
        <row r="375">
          <cell r="AM375">
            <v>0</v>
          </cell>
          <cell r="AP375" t="e">
            <v>#N/A</v>
          </cell>
          <cell r="AQ375" t="e">
            <v>#N/A</v>
          </cell>
          <cell r="AR375" t="str">
            <v>$</v>
          </cell>
          <cell r="AS375" t="e">
            <v>#N/A</v>
          </cell>
          <cell r="AW375">
            <v>0</v>
          </cell>
          <cell r="AY375" t="str">
            <v>NB</v>
          </cell>
        </row>
        <row r="376">
          <cell r="AM376">
            <v>-2311469.9900000021</v>
          </cell>
          <cell r="AP376" t="str">
            <v>Bilan</v>
          </cell>
          <cell r="AQ376" t="str">
            <v>Inventaire Véhicules Neufs</v>
          </cell>
          <cell r="AR376" t="str">
            <v>$</v>
          </cell>
          <cell r="AS376">
            <v>0</v>
          </cell>
          <cell r="AW376">
            <v>0</v>
          </cell>
          <cell r="AY376" t="str">
            <v>NB</v>
          </cell>
        </row>
        <row r="377">
          <cell r="AM377">
            <v>225189.56</v>
          </cell>
          <cell r="AP377" t="str">
            <v>Bilan</v>
          </cell>
          <cell r="AQ377" t="str">
            <v>Inventaire Véhicules Usagés</v>
          </cell>
          <cell r="AR377" t="str">
            <v>$</v>
          </cell>
          <cell r="AS377">
            <v>0</v>
          </cell>
          <cell r="AW377">
            <v>0</v>
          </cell>
          <cell r="AY377" t="str">
            <v>NB</v>
          </cell>
        </row>
        <row r="378">
          <cell r="AM378">
            <v>0</v>
          </cell>
          <cell r="AP378" t="e">
            <v>#N/A</v>
          </cell>
          <cell r="AQ378" t="e">
            <v>#N/A</v>
          </cell>
          <cell r="AR378" t="str">
            <v>$</v>
          </cell>
          <cell r="AS378" t="e">
            <v>#N/A</v>
          </cell>
          <cell r="AW378">
            <v>0</v>
          </cell>
          <cell r="AY378" t="str">
            <v>NB</v>
          </cell>
        </row>
        <row r="379">
          <cell r="AM379">
            <v>-1120345.1400000001</v>
          </cell>
          <cell r="AP379" t="str">
            <v>Bilan</v>
          </cell>
          <cell r="AQ379" t="str">
            <v>Inventaire Véhicules Usagés</v>
          </cell>
          <cell r="AR379" t="str">
            <v>$</v>
          </cell>
          <cell r="AS379">
            <v>0</v>
          </cell>
          <cell r="AW379">
            <v>0</v>
          </cell>
          <cell r="AY379" t="str">
            <v>NB</v>
          </cell>
        </row>
        <row r="380">
          <cell r="AM380">
            <v>-2370953.92</v>
          </cell>
          <cell r="AP380" t="str">
            <v>Bilan</v>
          </cell>
          <cell r="AQ380" t="str">
            <v>Inventaire Véhicules Usagés</v>
          </cell>
          <cell r="AR380" t="str">
            <v>$</v>
          </cell>
          <cell r="AS380">
            <v>0</v>
          </cell>
          <cell r="AW380">
            <v>0</v>
          </cell>
          <cell r="AY380" t="str">
            <v>NB</v>
          </cell>
        </row>
        <row r="381">
          <cell r="AM381">
            <v>0</v>
          </cell>
          <cell r="AP381" t="e">
            <v>#N/A</v>
          </cell>
          <cell r="AQ381" t="e">
            <v>#N/A</v>
          </cell>
          <cell r="AR381" t="str">
            <v>$</v>
          </cell>
          <cell r="AS381" t="e">
            <v>#N/A</v>
          </cell>
          <cell r="AW381">
            <v>0</v>
          </cell>
          <cell r="AY381" t="str">
            <v>NB</v>
          </cell>
        </row>
        <row r="382">
          <cell r="AM382">
            <v>67810.429999999993</v>
          </cell>
          <cell r="AP382" t="str">
            <v>Bilan</v>
          </cell>
          <cell r="AQ382" t="str">
            <v>Inventaire Pièces, Pneus, Huile</v>
          </cell>
          <cell r="AR382" t="str">
            <v>$</v>
          </cell>
          <cell r="AS382">
            <v>0</v>
          </cell>
          <cell r="AW382">
            <v>0</v>
          </cell>
          <cell r="AY382" t="str">
            <v>NB</v>
          </cell>
        </row>
        <row r="383">
          <cell r="AM383">
            <v>6326.5</v>
          </cell>
          <cell r="AP383" t="str">
            <v>Bilan</v>
          </cell>
          <cell r="AQ383" t="str">
            <v>Inventaire Pièces, Pneus, Huile</v>
          </cell>
          <cell r="AR383" t="str">
            <v>$</v>
          </cell>
          <cell r="AS383">
            <v>0</v>
          </cell>
          <cell r="AW383">
            <v>0</v>
          </cell>
          <cell r="AY383" t="str">
            <v>NB</v>
          </cell>
        </row>
        <row r="384">
          <cell r="AM384">
            <v>0</v>
          </cell>
          <cell r="AP384" t="e">
            <v>#N/A</v>
          </cell>
          <cell r="AQ384" t="e">
            <v>#N/A</v>
          </cell>
          <cell r="AR384" t="str">
            <v>$</v>
          </cell>
          <cell r="AS384" t="e">
            <v>#N/A</v>
          </cell>
          <cell r="AW384">
            <v>0</v>
          </cell>
          <cell r="AY384" t="str">
            <v>NB</v>
          </cell>
        </row>
        <row r="385">
          <cell r="AM385">
            <v>-32294.35</v>
          </cell>
          <cell r="AP385" t="str">
            <v>Bilan</v>
          </cell>
          <cell r="AQ385" t="str">
            <v>Inventaire Pièces, Pneus, Huile</v>
          </cell>
          <cell r="AR385" t="str">
            <v>$</v>
          </cell>
          <cell r="AS385">
            <v>0</v>
          </cell>
          <cell r="AW385">
            <v>0</v>
          </cell>
          <cell r="AY385" t="str">
            <v>NB</v>
          </cell>
        </row>
        <row r="386">
          <cell r="AM386">
            <v>13714.43</v>
          </cell>
          <cell r="AP386" t="str">
            <v>Bilan</v>
          </cell>
          <cell r="AQ386" t="str">
            <v>Inventaire Pièces, Pneus, Huile</v>
          </cell>
          <cell r="AR386" t="str">
            <v>$</v>
          </cell>
          <cell r="AS386">
            <v>0</v>
          </cell>
          <cell r="AW386">
            <v>0</v>
          </cell>
          <cell r="AY386" t="str">
            <v>NB</v>
          </cell>
        </row>
        <row r="387">
          <cell r="AM387">
            <v>-1045</v>
          </cell>
          <cell r="AP387" t="str">
            <v>Bilan</v>
          </cell>
          <cell r="AQ387" t="str">
            <v>Sous-Traitance</v>
          </cell>
          <cell r="AR387" t="str">
            <v>$</v>
          </cell>
          <cell r="AS387">
            <v>0</v>
          </cell>
          <cell r="AW387">
            <v>0</v>
          </cell>
          <cell r="AY387" t="str">
            <v>NB</v>
          </cell>
        </row>
        <row r="388">
          <cell r="AM388">
            <v>8092.7599999999984</v>
          </cell>
          <cell r="AP388" t="str">
            <v>Bilan</v>
          </cell>
          <cell r="AQ388" t="str">
            <v>Sous-Traitance</v>
          </cell>
          <cell r="AR388" t="str">
            <v>$</v>
          </cell>
          <cell r="AS388">
            <v>0</v>
          </cell>
          <cell r="AW388">
            <v>0</v>
          </cell>
          <cell r="AY388" t="str">
            <v>NB</v>
          </cell>
        </row>
        <row r="389">
          <cell r="AM389">
            <v>401.77999999999884</v>
          </cell>
          <cell r="AP389" t="str">
            <v>Bilan</v>
          </cell>
          <cell r="AQ389" t="str">
            <v>Travaux en Cours</v>
          </cell>
          <cell r="AR389" t="str">
            <v>$</v>
          </cell>
          <cell r="AS389">
            <v>0</v>
          </cell>
          <cell r="AW389">
            <v>0</v>
          </cell>
          <cell r="AY389" t="str">
            <v>NB</v>
          </cell>
        </row>
        <row r="390">
          <cell r="AM390">
            <v>-289.43000000000029</v>
          </cell>
          <cell r="AP390" t="str">
            <v>Bilan</v>
          </cell>
          <cell r="AQ390" t="str">
            <v>Travaux en Cours</v>
          </cell>
          <cell r="AR390" t="str">
            <v>$</v>
          </cell>
          <cell r="AS390">
            <v>0</v>
          </cell>
          <cell r="AW390">
            <v>0</v>
          </cell>
          <cell r="AY390" t="str">
            <v>NB</v>
          </cell>
        </row>
        <row r="391">
          <cell r="AM391">
            <v>-28000</v>
          </cell>
          <cell r="AP391" t="str">
            <v>Bilan</v>
          </cell>
          <cell r="AQ391" t="str">
            <v>Recevables Autres</v>
          </cell>
          <cell r="AR391" t="str">
            <v>$</v>
          </cell>
          <cell r="AS391">
            <v>0</v>
          </cell>
          <cell r="AW391">
            <v>0</v>
          </cell>
          <cell r="AY391" t="str">
            <v>NB</v>
          </cell>
        </row>
        <row r="392">
          <cell r="AM392">
            <v>0</v>
          </cell>
          <cell r="AP392" t="e">
            <v>#N/A</v>
          </cell>
          <cell r="AQ392" t="e">
            <v>#N/A</v>
          </cell>
          <cell r="AR392" t="str">
            <v>$</v>
          </cell>
          <cell r="AS392" t="e">
            <v>#N/A</v>
          </cell>
          <cell r="AW392">
            <v>0</v>
          </cell>
          <cell r="AY392" t="str">
            <v>NB</v>
          </cell>
        </row>
        <row r="393">
          <cell r="AM393">
            <v>0</v>
          </cell>
          <cell r="AP393">
            <v>0</v>
          </cell>
          <cell r="AQ393">
            <v>0</v>
          </cell>
          <cell r="AR393" t="str">
            <v>$</v>
          </cell>
          <cell r="AS393">
            <v>0</v>
          </cell>
          <cell r="AW393">
            <v>0</v>
          </cell>
          <cell r="AY393" t="str">
            <v>NB</v>
          </cell>
        </row>
        <row r="394">
          <cell r="AM394">
            <v>0</v>
          </cell>
          <cell r="AP394" t="str">
            <v>Bilan</v>
          </cell>
          <cell r="AQ394" t="str">
            <v>Encaisse</v>
          </cell>
          <cell r="AR394" t="str">
            <v>$</v>
          </cell>
          <cell r="AS394">
            <v>0</v>
          </cell>
          <cell r="AW394">
            <v>0</v>
          </cell>
          <cell r="AY394" t="str">
            <v>NB</v>
          </cell>
        </row>
        <row r="395">
          <cell r="AM395">
            <v>-9991.2599999999984</v>
          </cell>
          <cell r="AP395" t="str">
            <v>Bilan</v>
          </cell>
          <cell r="AQ395" t="str">
            <v>Recevables Manufacturier</v>
          </cell>
          <cell r="AR395" t="str">
            <v>$</v>
          </cell>
          <cell r="AS395">
            <v>0</v>
          </cell>
          <cell r="AW395">
            <v>0</v>
          </cell>
          <cell r="AY395" t="str">
            <v>NB</v>
          </cell>
        </row>
        <row r="396">
          <cell r="AM396">
            <v>61682.550000000047</v>
          </cell>
          <cell r="AP396" t="str">
            <v>Bilan</v>
          </cell>
          <cell r="AQ396" t="str">
            <v>Recevables Manufacturier</v>
          </cell>
          <cell r="AR396" t="str">
            <v>$</v>
          </cell>
          <cell r="AS396">
            <v>0</v>
          </cell>
          <cell r="AW396">
            <v>0</v>
          </cell>
          <cell r="AY396" t="str">
            <v>NB</v>
          </cell>
        </row>
        <row r="397">
          <cell r="AM397">
            <v>-175355</v>
          </cell>
          <cell r="AP397" t="str">
            <v>Bilan</v>
          </cell>
          <cell r="AQ397" t="str">
            <v>Recevables Manufacturier</v>
          </cell>
          <cell r="AR397" t="str">
            <v>$</v>
          </cell>
          <cell r="AS397">
            <v>0</v>
          </cell>
          <cell r="AW397">
            <v>0</v>
          </cell>
          <cell r="AY397" t="str">
            <v>NB</v>
          </cell>
        </row>
        <row r="398">
          <cell r="AM398">
            <v>-2263.7999999999993</v>
          </cell>
          <cell r="AP398" t="str">
            <v>Bilan</v>
          </cell>
          <cell r="AQ398" t="str">
            <v>Frais Payés d'Avance</v>
          </cell>
          <cell r="AR398" t="str">
            <v>$</v>
          </cell>
          <cell r="AS398">
            <v>0</v>
          </cell>
          <cell r="AW398">
            <v>0</v>
          </cell>
          <cell r="AY398" t="str">
            <v>NB</v>
          </cell>
        </row>
        <row r="399">
          <cell r="AM399">
            <v>14451.63</v>
          </cell>
          <cell r="AP399" t="str">
            <v>Bilan</v>
          </cell>
          <cell r="AQ399" t="str">
            <v>Recevables Garantie Manufacturier</v>
          </cell>
          <cell r="AR399" t="str">
            <v>$</v>
          </cell>
          <cell r="AS399">
            <v>0</v>
          </cell>
          <cell r="AW399">
            <v>0</v>
          </cell>
          <cell r="AY399" t="str">
            <v>NB</v>
          </cell>
        </row>
        <row r="400">
          <cell r="AM400">
            <v>0</v>
          </cell>
          <cell r="AP400" t="e">
            <v>#N/A</v>
          </cell>
          <cell r="AQ400" t="e">
            <v>#N/A</v>
          </cell>
          <cell r="AR400" t="str">
            <v>$</v>
          </cell>
          <cell r="AS400" t="e">
            <v>#N/A</v>
          </cell>
          <cell r="AW400">
            <v>0</v>
          </cell>
          <cell r="AY400" t="str">
            <v>NB</v>
          </cell>
        </row>
        <row r="401">
          <cell r="AM401">
            <v>0</v>
          </cell>
          <cell r="AP401" t="e">
            <v>#N/A</v>
          </cell>
          <cell r="AQ401" t="e">
            <v>#N/A</v>
          </cell>
          <cell r="AR401" t="str">
            <v>$</v>
          </cell>
          <cell r="AS401" t="e">
            <v>#N/A</v>
          </cell>
          <cell r="AW401">
            <v>0</v>
          </cell>
          <cell r="AY401" t="str">
            <v>NB</v>
          </cell>
        </row>
        <row r="402">
          <cell r="AM402">
            <v>0</v>
          </cell>
          <cell r="AP402" t="e">
            <v>#N/A</v>
          </cell>
          <cell r="AQ402" t="e">
            <v>#N/A</v>
          </cell>
          <cell r="AR402" t="str">
            <v>$</v>
          </cell>
          <cell r="AS402" t="e">
            <v>#N/A</v>
          </cell>
          <cell r="AW402">
            <v>0</v>
          </cell>
          <cell r="AY402" t="str">
            <v>NB</v>
          </cell>
        </row>
        <row r="403">
          <cell r="AM403">
            <v>67051.290000000037</v>
          </cell>
          <cell r="AP403" t="str">
            <v>Bilan</v>
          </cell>
          <cell r="AQ403" t="str">
            <v>Recevables Autres</v>
          </cell>
          <cell r="AR403" t="str">
            <v>$</v>
          </cell>
          <cell r="AS403">
            <v>0</v>
          </cell>
          <cell r="AW403">
            <v>0</v>
          </cell>
          <cell r="AY403" t="str">
            <v>NB</v>
          </cell>
        </row>
        <row r="404">
          <cell r="AM404">
            <v>-12238</v>
          </cell>
          <cell r="AP404" t="str">
            <v>Bilan</v>
          </cell>
          <cell r="AQ404" t="str">
            <v>Frais Payés d'Avance</v>
          </cell>
          <cell r="AR404" t="str">
            <v>$</v>
          </cell>
          <cell r="AS404">
            <v>0</v>
          </cell>
          <cell r="AW404">
            <v>0</v>
          </cell>
          <cell r="AY404" t="str">
            <v>NB</v>
          </cell>
        </row>
        <row r="405">
          <cell r="AM405">
            <v>-13073.61</v>
          </cell>
          <cell r="AP405" t="str">
            <v>Bilan</v>
          </cell>
          <cell r="AQ405" t="str">
            <v>Frais Payés d'Avance</v>
          </cell>
          <cell r="AR405" t="str">
            <v>$</v>
          </cell>
          <cell r="AS405">
            <v>0</v>
          </cell>
          <cell r="AW405">
            <v>0</v>
          </cell>
          <cell r="AY405" t="str">
            <v>NB</v>
          </cell>
        </row>
        <row r="406">
          <cell r="AM406">
            <v>-87501.779999999795</v>
          </cell>
          <cell r="AP406" t="str">
            <v>Bilan</v>
          </cell>
          <cell r="AQ406" t="str">
            <v>Frais Payés d'Avance</v>
          </cell>
          <cell r="AR406" t="str">
            <v>$</v>
          </cell>
          <cell r="AS406">
            <v>0</v>
          </cell>
          <cell r="AW406">
            <v>0</v>
          </cell>
          <cell r="AY406" t="str">
            <v>NB</v>
          </cell>
        </row>
        <row r="407">
          <cell r="AM407">
            <v>0</v>
          </cell>
          <cell r="AP407" t="e">
            <v>#N/A</v>
          </cell>
          <cell r="AQ407" t="e">
            <v>#N/A</v>
          </cell>
          <cell r="AR407" t="str">
            <v>$</v>
          </cell>
          <cell r="AS407" t="e">
            <v>#N/A</v>
          </cell>
          <cell r="AW407">
            <v>0</v>
          </cell>
          <cell r="AY407" t="str">
            <v>NB</v>
          </cell>
        </row>
        <row r="408">
          <cell r="AM408">
            <v>0</v>
          </cell>
          <cell r="AP408" t="e">
            <v>#N/A</v>
          </cell>
          <cell r="AQ408" t="e">
            <v>#N/A</v>
          </cell>
          <cell r="AR408" t="str">
            <v>$</v>
          </cell>
          <cell r="AS408" t="e">
            <v>#N/A</v>
          </cell>
          <cell r="AW408">
            <v>0</v>
          </cell>
          <cell r="AY408" t="str">
            <v>NB</v>
          </cell>
        </row>
        <row r="409">
          <cell r="AM409">
            <v>0</v>
          </cell>
          <cell r="AP409">
            <v>0</v>
          </cell>
          <cell r="AQ409">
            <v>0</v>
          </cell>
          <cell r="AR409" t="str">
            <v>$</v>
          </cell>
          <cell r="AS409">
            <v>0</v>
          </cell>
          <cell r="AW409">
            <v>0</v>
          </cell>
          <cell r="AY409" t="str">
            <v>NB</v>
          </cell>
        </row>
        <row r="410">
          <cell r="AM410">
            <v>8795.4299999999348</v>
          </cell>
          <cell r="AP410" t="str">
            <v>Bilan</v>
          </cell>
          <cell r="AQ410" t="str">
            <v>Équipements Service</v>
          </cell>
          <cell r="AR410" t="str">
            <v>$</v>
          </cell>
          <cell r="AS410">
            <v>0</v>
          </cell>
          <cell r="AW410">
            <v>0</v>
          </cell>
          <cell r="AY410" t="str">
            <v>NB</v>
          </cell>
        </row>
        <row r="411">
          <cell r="AM411">
            <v>0</v>
          </cell>
          <cell r="AP411" t="str">
            <v>Bilan</v>
          </cell>
          <cell r="AQ411" t="str">
            <v>Équipements Service</v>
          </cell>
          <cell r="AR411" t="str">
            <v>$</v>
          </cell>
          <cell r="AS411">
            <v>0</v>
          </cell>
          <cell r="AW411">
            <v>0</v>
          </cell>
          <cell r="AY411" t="str">
            <v>NB</v>
          </cell>
        </row>
        <row r="412">
          <cell r="AM412">
            <v>0</v>
          </cell>
          <cell r="AP412" t="str">
            <v>Bilan</v>
          </cell>
          <cell r="AQ412" t="str">
            <v>Mobilier</v>
          </cell>
          <cell r="AR412" t="str">
            <v>$</v>
          </cell>
          <cell r="AS412">
            <v>0</v>
          </cell>
          <cell r="AW412">
            <v>0</v>
          </cell>
          <cell r="AY412" t="str">
            <v>NB</v>
          </cell>
        </row>
        <row r="413">
          <cell r="AM413">
            <v>0</v>
          </cell>
          <cell r="AP413" t="str">
            <v>Bilan</v>
          </cell>
          <cell r="AQ413" t="str">
            <v>Équipements Service</v>
          </cell>
          <cell r="AR413" t="str">
            <v>$</v>
          </cell>
          <cell r="AS413">
            <v>0</v>
          </cell>
          <cell r="AW413">
            <v>0</v>
          </cell>
          <cell r="AY413" t="str">
            <v>NB</v>
          </cell>
        </row>
        <row r="414">
          <cell r="AM414">
            <v>0</v>
          </cell>
          <cell r="AP414" t="str">
            <v>Bilan</v>
          </cell>
          <cell r="AQ414" t="str">
            <v>Améliorations Locatives</v>
          </cell>
          <cell r="AR414" t="str">
            <v>$</v>
          </cell>
          <cell r="AS414">
            <v>0</v>
          </cell>
          <cell r="AW414">
            <v>0</v>
          </cell>
          <cell r="AY414" t="str">
            <v>NB</v>
          </cell>
        </row>
        <row r="415">
          <cell r="AM415">
            <v>0</v>
          </cell>
          <cell r="AP415" t="str">
            <v>Bilan</v>
          </cell>
          <cell r="AQ415" t="str">
            <v>Équipements Informatique</v>
          </cell>
          <cell r="AR415" t="str">
            <v>$</v>
          </cell>
          <cell r="AS415">
            <v>0</v>
          </cell>
          <cell r="AW415">
            <v>0</v>
          </cell>
          <cell r="AY415" t="str">
            <v>NB</v>
          </cell>
        </row>
        <row r="416">
          <cell r="AM416">
            <v>0</v>
          </cell>
          <cell r="AP416" t="str">
            <v>Bilan</v>
          </cell>
          <cell r="AQ416" t="str">
            <v>Enseigne</v>
          </cell>
          <cell r="AR416" t="str">
            <v>$</v>
          </cell>
          <cell r="AS416">
            <v>0</v>
          </cell>
          <cell r="AW416">
            <v>0</v>
          </cell>
          <cell r="AY416" t="str">
            <v>NB</v>
          </cell>
        </row>
        <row r="417">
          <cell r="AM417">
            <v>0</v>
          </cell>
          <cell r="AP417">
            <v>0</v>
          </cell>
          <cell r="AQ417">
            <v>0</v>
          </cell>
          <cell r="AR417" t="str">
            <v>$</v>
          </cell>
          <cell r="AS417">
            <v>0</v>
          </cell>
          <cell r="AW417">
            <v>0</v>
          </cell>
          <cell r="AY417" t="str">
            <v>NB</v>
          </cell>
        </row>
        <row r="418">
          <cell r="AM418">
            <v>0</v>
          </cell>
          <cell r="AP418" t="str">
            <v>Bilan</v>
          </cell>
          <cell r="AQ418" t="str">
            <v>Avances à Recevoir Long Terme</v>
          </cell>
          <cell r="AR418" t="str">
            <v>$</v>
          </cell>
          <cell r="AS418">
            <v>0</v>
          </cell>
          <cell r="AW418">
            <v>0</v>
          </cell>
          <cell r="AY418" t="str">
            <v>NB</v>
          </cell>
        </row>
        <row r="419">
          <cell r="AM419">
            <v>-1500000</v>
          </cell>
          <cell r="AP419" t="str">
            <v>Bilan</v>
          </cell>
          <cell r="AQ419" t="str">
            <v>Encaisse</v>
          </cell>
          <cell r="AR419" t="str">
            <v>$</v>
          </cell>
          <cell r="AS419">
            <v>0</v>
          </cell>
          <cell r="AW419">
            <v>0</v>
          </cell>
          <cell r="AY419" t="str">
            <v>NB</v>
          </cell>
        </row>
        <row r="420">
          <cell r="AM420">
            <v>0</v>
          </cell>
          <cell r="AP420" t="str">
            <v>Bilan</v>
          </cell>
          <cell r="AQ420" t="str">
            <v>Avances à Recevoir Long Terme</v>
          </cell>
          <cell r="AR420" t="str">
            <v>$</v>
          </cell>
          <cell r="AS420">
            <v>0</v>
          </cell>
          <cell r="AW420">
            <v>0</v>
          </cell>
          <cell r="AY420" t="str">
            <v>NB</v>
          </cell>
        </row>
        <row r="421">
          <cell r="AM421">
            <v>0</v>
          </cell>
          <cell r="AP421" t="str">
            <v>Bilan</v>
          </cell>
          <cell r="AQ421" t="str">
            <v>Avances à Recevoir Long Terme</v>
          </cell>
          <cell r="AR421" t="str">
            <v>$</v>
          </cell>
          <cell r="AS421">
            <v>0</v>
          </cell>
          <cell r="AW421">
            <v>0</v>
          </cell>
          <cell r="AY421" t="str">
            <v>NB</v>
          </cell>
        </row>
        <row r="422">
          <cell r="AM422">
            <v>-697384.74</v>
          </cell>
          <cell r="AP422" t="str">
            <v>Bilan</v>
          </cell>
          <cell r="AQ422" t="str">
            <v>Comptes à Payer Fournisseurs</v>
          </cell>
          <cell r="AR422" t="str">
            <v>$</v>
          </cell>
          <cell r="AS422">
            <v>0</v>
          </cell>
          <cell r="AW422">
            <v>0</v>
          </cell>
          <cell r="AY422" t="str">
            <v>NB</v>
          </cell>
        </row>
        <row r="423">
          <cell r="AM423">
            <v>0</v>
          </cell>
          <cell r="AP423" t="e">
            <v>#N/A</v>
          </cell>
          <cell r="AQ423" t="e">
            <v>#N/A</v>
          </cell>
          <cell r="AR423" t="str">
            <v>$</v>
          </cell>
          <cell r="AS423" t="e">
            <v>#N/A</v>
          </cell>
          <cell r="AW423">
            <v>0</v>
          </cell>
          <cell r="AY423" t="str">
            <v>NB</v>
          </cell>
        </row>
        <row r="424">
          <cell r="AM424">
            <v>0</v>
          </cell>
          <cell r="AP424" t="str">
            <v>Bilan</v>
          </cell>
          <cell r="AQ424" t="str">
            <v>Autres Comptes à Payer</v>
          </cell>
          <cell r="AR424" t="str">
            <v>$</v>
          </cell>
          <cell r="AS424">
            <v>0</v>
          </cell>
          <cell r="AW424">
            <v>0</v>
          </cell>
          <cell r="AY424" t="str">
            <v>NB</v>
          </cell>
        </row>
        <row r="425">
          <cell r="AM425">
            <v>-18683.199999999997</v>
          </cell>
          <cell r="AP425" t="str">
            <v>Bilan</v>
          </cell>
          <cell r="AQ425" t="str">
            <v>Autres Comptes à Payer</v>
          </cell>
          <cell r="AR425" t="str">
            <v>$</v>
          </cell>
          <cell r="AS425">
            <v>0</v>
          </cell>
          <cell r="AW425">
            <v>0</v>
          </cell>
          <cell r="AY425" t="str">
            <v>NB</v>
          </cell>
        </row>
        <row r="426">
          <cell r="AM426">
            <v>-40.5</v>
          </cell>
          <cell r="AP426" t="str">
            <v>Bilan</v>
          </cell>
          <cell r="AQ426" t="str">
            <v>Taxes de Vente à Payer</v>
          </cell>
          <cell r="AR426" t="str">
            <v>$</v>
          </cell>
          <cell r="AS426">
            <v>0</v>
          </cell>
          <cell r="AW426">
            <v>0</v>
          </cell>
          <cell r="AY426" t="str">
            <v>NB</v>
          </cell>
        </row>
        <row r="427">
          <cell r="AM427">
            <v>0</v>
          </cell>
          <cell r="AP427" t="str">
            <v>Bilan</v>
          </cell>
          <cell r="AQ427" t="str">
            <v>Payables Intercos</v>
          </cell>
          <cell r="AR427" t="str">
            <v>$</v>
          </cell>
          <cell r="AS427">
            <v>0</v>
          </cell>
          <cell r="AW427">
            <v>0</v>
          </cell>
          <cell r="AY427" t="str">
            <v>NB</v>
          </cell>
        </row>
        <row r="428">
          <cell r="AM428">
            <v>0</v>
          </cell>
          <cell r="AP428" t="str">
            <v>Bilan</v>
          </cell>
          <cell r="AQ428" t="str">
            <v>Payables Intercos</v>
          </cell>
          <cell r="AR428" t="str">
            <v>$</v>
          </cell>
          <cell r="AS428">
            <v>0</v>
          </cell>
          <cell r="AW428">
            <v>0</v>
          </cell>
          <cell r="AY428" t="str">
            <v>NB</v>
          </cell>
        </row>
        <row r="429">
          <cell r="AM429">
            <v>0</v>
          </cell>
          <cell r="AP429" t="str">
            <v>Bilan</v>
          </cell>
          <cell r="AQ429" t="str">
            <v>Payables Intercos</v>
          </cell>
          <cell r="AR429" t="str">
            <v>$</v>
          </cell>
          <cell r="AS429">
            <v>0</v>
          </cell>
          <cell r="AW429">
            <v>0</v>
          </cell>
          <cell r="AY429" t="str">
            <v>NB</v>
          </cell>
        </row>
        <row r="430">
          <cell r="AM430">
            <v>0</v>
          </cell>
          <cell r="AP430" t="str">
            <v>Bilan</v>
          </cell>
          <cell r="AQ430" t="str">
            <v>Payables Intercos</v>
          </cell>
          <cell r="AR430" t="str">
            <v>$</v>
          </cell>
          <cell r="AS430">
            <v>0</v>
          </cell>
          <cell r="AW430">
            <v>0</v>
          </cell>
          <cell r="AY430" t="str">
            <v>NB</v>
          </cell>
        </row>
        <row r="431">
          <cell r="AM431">
            <v>0</v>
          </cell>
          <cell r="AP431">
            <v>0</v>
          </cell>
          <cell r="AQ431">
            <v>0</v>
          </cell>
          <cell r="AR431" t="str">
            <v>$</v>
          </cell>
          <cell r="AS431">
            <v>0</v>
          </cell>
          <cell r="AW431">
            <v>0</v>
          </cell>
          <cell r="AY431" t="str">
            <v>NB</v>
          </cell>
        </row>
        <row r="432">
          <cell r="AM432">
            <v>1075</v>
          </cell>
          <cell r="AP432" t="str">
            <v>Bilan</v>
          </cell>
          <cell r="AQ432" t="str">
            <v>Autres Courus</v>
          </cell>
          <cell r="AR432" t="str">
            <v>$</v>
          </cell>
          <cell r="AS432">
            <v>0</v>
          </cell>
          <cell r="AW432">
            <v>0</v>
          </cell>
          <cell r="AY432" t="str">
            <v>NB</v>
          </cell>
        </row>
        <row r="433">
          <cell r="AM433">
            <v>-14782.529999999999</v>
          </cell>
          <cell r="AP433" t="str">
            <v>Bilan</v>
          </cell>
          <cell r="AQ433" t="str">
            <v>Autres Courus</v>
          </cell>
          <cell r="AR433" t="str">
            <v>$</v>
          </cell>
          <cell r="AS433">
            <v>0</v>
          </cell>
          <cell r="AW433">
            <v>0</v>
          </cell>
          <cell r="AY433" t="str">
            <v>NB</v>
          </cell>
        </row>
        <row r="434">
          <cell r="AM434">
            <v>211783.44</v>
          </cell>
          <cell r="AP434" t="str">
            <v>Bilan</v>
          </cell>
          <cell r="AQ434" t="str">
            <v>Autres Courus</v>
          </cell>
          <cell r="AR434" t="str">
            <v>$</v>
          </cell>
          <cell r="AS434">
            <v>0</v>
          </cell>
          <cell r="AW434">
            <v>0</v>
          </cell>
          <cell r="AY434" t="str">
            <v>NB</v>
          </cell>
        </row>
        <row r="435">
          <cell r="AM435">
            <v>0</v>
          </cell>
          <cell r="AP435" t="str">
            <v>Bilan</v>
          </cell>
          <cell r="AQ435" t="str">
            <v>Payables Intercos</v>
          </cell>
          <cell r="AR435" t="str">
            <v>$</v>
          </cell>
          <cell r="AS435">
            <v>0</v>
          </cell>
          <cell r="AW435">
            <v>0</v>
          </cell>
          <cell r="AY435" t="str">
            <v>NB</v>
          </cell>
        </row>
        <row r="436">
          <cell r="AM436">
            <v>0</v>
          </cell>
          <cell r="AP436" t="str">
            <v>Bilan</v>
          </cell>
          <cell r="AQ436" t="str">
            <v>Payables Intercos</v>
          </cell>
          <cell r="AR436" t="str">
            <v>$</v>
          </cell>
          <cell r="AS436">
            <v>0</v>
          </cell>
          <cell r="AW436">
            <v>0</v>
          </cell>
          <cell r="AY436" t="str">
            <v>NB</v>
          </cell>
        </row>
        <row r="437">
          <cell r="AM437">
            <v>0</v>
          </cell>
          <cell r="AP437" t="str">
            <v>Bilan</v>
          </cell>
          <cell r="AQ437" t="str">
            <v>Payables Intercos</v>
          </cell>
          <cell r="AR437" t="str">
            <v>$</v>
          </cell>
          <cell r="AS437">
            <v>0</v>
          </cell>
          <cell r="AW437">
            <v>0</v>
          </cell>
          <cell r="AY437" t="str">
            <v>NB</v>
          </cell>
        </row>
        <row r="438">
          <cell r="AM438">
            <v>0</v>
          </cell>
          <cell r="AP438" t="e">
            <v>#N/A</v>
          </cell>
          <cell r="AQ438" t="e">
            <v>#N/A</v>
          </cell>
          <cell r="AR438" t="str">
            <v>$</v>
          </cell>
          <cell r="AS438" t="e">
            <v>#N/A</v>
          </cell>
          <cell r="AW438">
            <v>0</v>
          </cell>
          <cell r="AY438" t="str">
            <v>NB</v>
          </cell>
        </row>
        <row r="439">
          <cell r="AM439">
            <v>0</v>
          </cell>
          <cell r="AP439" t="e">
            <v>#N/A</v>
          </cell>
          <cell r="AQ439" t="e">
            <v>#N/A</v>
          </cell>
          <cell r="AR439" t="str">
            <v>$</v>
          </cell>
          <cell r="AS439" t="e">
            <v>#N/A</v>
          </cell>
          <cell r="AW439">
            <v>0</v>
          </cell>
          <cell r="AY439" t="str">
            <v>NB</v>
          </cell>
        </row>
        <row r="440">
          <cell r="AM440">
            <v>3848265.049999997</v>
          </cell>
          <cell r="AP440" t="str">
            <v>Bilan</v>
          </cell>
          <cell r="AQ440" t="str">
            <v>Effet à Payer Véhicules Neufs</v>
          </cell>
          <cell r="AR440" t="str">
            <v>$</v>
          </cell>
          <cell r="AS440">
            <v>0</v>
          </cell>
          <cell r="AW440">
            <v>0</v>
          </cell>
          <cell r="AY440" t="str">
            <v>NB</v>
          </cell>
        </row>
        <row r="441">
          <cell r="AM441">
            <v>1968877.6400000006</v>
          </cell>
          <cell r="AP441" t="str">
            <v>Bilan</v>
          </cell>
          <cell r="AQ441" t="str">
            <v>Effet à Payer Véhicules Usagés</v>
          </cell>
          <cell r="AR441" t="str">
            <v>$</v>
          </cell>
          <cell r="AS441">
            <v>0</v>
          </cell>
          <cell r="AW441">
            <v>0</v>
          </cell>
          <cell r="AY441" t="str">
            <v>NB</v>
          </cell>
        </row>
        <row r="442">
          <cell r="AM442">
            <v>0</v>
          </cell>
          <cell r="AP442" t="e">
            <v>#N/A</v>
          </cell>
          <cell r="AQ442" t="e">
            <v>#N/A</v>
          </cell>
          <cell r="AR442" t="str">
            <v>$</v>
          </cell>
          <cell r="AS442" t="e">
            <v>#N/A</v>
          </cell>
          <cell r="AW442">
            <v>0</v>
          </cell>
          <cell r="AY442" t="str">
            <v>NB</v>
          </cell>
        </row>
        <row r="443">
          <cell r="AM443">
            <v>120000</v>
          </cell>
          <cell r="AP443">
            <v>0</v>
          </cell>
          <cell r="AQ443">
            <v>0</v>
          </cell>
          <cell r="AR443" t="str">
            <v>$</v>
          </cell>
          <cell r="AS443">
            <v>0</v>
          </cell>
          <cell r="AW443">
            <v>0</v>
          </cell>
          <cell r="AY443" t="str">
            <v>NB</v>
          </cell>
        </row>
        <row r="444">
          <cell r="AM444">
            <v>0</v>
          </cell>
          <cell r="AP444" t="e">
            <v>#N/A</v>
          </cell>
          <cell r="AQ444" t="e">
            <v>#N/A</v>
          </cell>
          <cell r="AR444" t="str">
            <v>$</v>
          </cell>
          <cell r="AS444" t="e">
            <v>#N/A</v>
          </cell>
          <cell r="AW444">
            <v>0</v>
          </cell>
          <cell r="AY444" t="str">
            <v>NB</v>
          </cell>
        </row>
        <row r="445">
          <cell r="AM445">
            <v>0</v>
          </cell>
          <cell r="AP445">
            <v>0</v>
          </cell>
          <cell r="AQ445">
            <v>0</v>
          </cell>
          <cell r="AR445" t="str">
            <v>$</v>
          </cell>
          <cell r="AS445">
            <v>0</v>
          </cell>
          <cell r="AW445">
            <v>0</v>
          </cell>
          <cell r="AY445" t="str">
            <v>NB</v>
          </cell>
        </row>
        <row r="446">
          <cell r="AM446">
            <v>6056.63</v>
          </cell>
          <cell r="AP446" t="str">
            <v>Bilan</v>
          </cell>
          <cell r="AQ446" t="str">
            <v>DAS à Payer</v>
          </cell>
          <cell r="AR446" t="str">
            <v>$</v>
          </cell>
          <cell r="AS446">
            <v>0</v>
          </cell>
          <cell r="AW446">
            <v>0</v>
          </cell>
          <cell r="AY446" t="str">
            <v>NB</v>
          </cell>
        </row>
        <row r="447">
          <cell r="AM447">
            <v>-10841.490000000005</v>
          </cell>
          <cell r="AP447" t="str">
            <v>Bilan</v>
          </cell>
          <cell r="AQ447" t="str">
            <v>Salaires à Payer</v>
          </cell>
          <cell r="AR447" t="str">
            <v>$</v>
          </cell>
          <cell r="AS447">
            <v>0</v>
          </cell>
          <cell r="AW447">
            <v>0</v>
          </cell>
          <cell r="AY447" t="str">
            <v>NB</v>
          </cell>
        </row>
        <row r="448">
          <cell r="AM448">
            <v>-65713.06</v>
          </cell>
          <cell r="AP448" t="str">
            <v>Bilan</v>
          </cell>
          <cell r="AQ448" t="str">
            <v>Salaires à Payer</v>
          </cell>
          <cell r="AR448" t="str">
            <v>$</v>
          </cell>
          <cell r="AS448">
            <v>0</v>
          </cell>
          <cell r="AW448">
            <v>0</v>
          </cell>
          <cell r="AY448" t="str">
            <v>NB</v>
          </cell>
        </row>
        <row r="449">
          <cell r="AM449">
            <v>0</v>
          </cell>
          <cell r="AP449">
            <v>0</v>
          </cell>
          <cell r="AQ449">
            <v>0</v>
          </cell>
          <cell r="AR449" t="str">
            <v>$</v>
          </cell>
          <cell r="AS449">
            <v>0</v>
          </cell>
          <cell r="AW449">
            <v>0</v>
          </cell>
          <cell r="AY449" t="str">
            <v>NB</v>
          </cell>
        </row>
        <row r="450">
          <cell r="AM450">
            <v>0</v>
          </cell>
          <cell r="AP450" t="e">
            <v>#N/A</v>
          </cell>
          <cell r="AQ450" t="e">
            <v>#N/A</v>
          </cell>
          <cell r="AR450" t="str">
            <v>$</v>
          </cell>
          <cell r="AS450" t="e">
            <v>#N/A</v>
          </cell>
          <cell r="AW450">
            <v>0</v>
          </cell>
          <cell r="AY450" t="str">
            <v>NB</v>
          </cell>
        </row>
        <row r="451">
          <cell r="AM451">
            <v>0</v>
          </cell>
          <cell r="AP451">
            <v>0</v>
          </cell>
          <cell r="AQ451">
            <v>0</v>
          </cell>
          <cell r="AR451" t="str">
            <v>$</v>
          </cell>
          <cell r="AS451">
            <v>0</v>
          </cell>
          <cell r="AW451">
            <v>0</v>
          </cell>
          <cell r="AY451" t="str">
            <v>NB</v>
          </cell>
        </row>
        <row r="452">
          <cell r="AM452">
            <v>0</v>
          </cell>
          <cell r="AP452" t="e">
            <v>#N/A</v>
          </cell>
          <cell r="AQ452" t="e">
            <v>#N/A</v>
          </cell>
          <cell r="AR452" t="str">
            <v>$</v>
          </cell>
          <cell r="AS452" t="e">
            <v>#N/A</v>
          </cell>
          <cell r="AW452">
            <v>0</v>
          </cell>
          <cell r="AY452" t="str">
            <v>NB</v>
          </cell>
        </row>
        <row r="453">
          <cell r="AM453">
            <v>28063</v>
          </cell>
          <cell r="AP453" t="str">
            <v>Bilan</v>
          </cell>
          <cell r="AQ453" t="str">
            <v>Frais Payés d'Avance</v>
          </cell>
          <cell r="AR453" t="str">
            <v>$</v>
          </cell>
          <cell r="AS453">
            <v>0</v>
          </cell>
          <cell r="AW453">
            <v>0</v>
          </cell>
          <cell r="AY453" t="str">
            <v>NB</v>
          </cell>
        </row>
        <row r="454">
          <cell r="AM454">
            <v>0</v>
          </cell>
          <cell r="AP454">
            <v>0</v>
          </cell>
          <cell r="AQ454">
            <v>0</v>
          </cell>
          <cell r="AR454" t="str">
            <v>$</v>
          </cell>
          <cell r="AS454">
            <v>0</v>
          </cell>
          <cell r="AW454">
            <v>0</v>
          </cell>
          <cell r="AY454" t="str">
            <v>NB</v>
          </cell>
        </row>
        <row r="455">
          <cell r="AM455">
            <v>0</v>
          </cell>
          <cell r="AP455" t="str">
            <v>Bilan</v>
          </cell>
          <cell r="AQ455" t="str">
            <v>Frais Payés d'Avance</v>
          </cell>
          <cell r="AR455" t="str">
            <v>$</v>
          </cell>
          <cell r="AS455">
            <v>0</v>
          </cell>
          <cell r="AW455">
            <v>0</v>
          </cell>
          <cell r="AY455" t="str">
            <v>NB</v>
          </cell>
        </row>
        <row r="456">
          <cell r="AM456">
            <v>0</v>
          </cell>
          <cell r="AP456">
            <v>0</v>
          </cell>
          <cell r="AQ456">
            <v>0</v>
          </cell>
          <cell r="AR456" t="str">
            <v>$</v>
          </cell>
          <cell r="AS456">
            <v>0</v>
          </cell>
          <cell r="AW456">
            <v>0</v>
          </cell>
          <cell r="AY456" t="str">
            <v>NB</v>
          </cell>
        </row>
        <row r="457">
          <cell r="AM457">
            <v>0</v>
          </cell>
          <cell r="AP457" t="e">
            <v>#N/A</v>
          </cell>
          <cell r="AQ457" t="e">
            <v>#N/A</v>
          </cell>
          <cell r="AR457" t="str">
            <v>$</v>
          </cell>
          <cell r="AS457" t="e">
            <v>#N/A</v>
          </cell>
          <cell r="AW457">
            <v>0</v>
          </cell>
          <cell r="AY457" t="str">
            <v>NB</v>
          </cell>
        </row>
        <row r="458">
          <cell r="AM458">
            <v>0</v>
          </cell>
          <cell r="AP458">
            <v>0</v>
          </cell>
          <cell r="AQ458">
            <v>0</v>
          </cell>
          <cell r="AR458" t="str">
            <v>$</v>
          </cell>
          <cell r="AS458">
            <v>0</v>
          </cell>
          <cell r="AW458">
            <v>0</v>
          </cell>
          <cell r="AY458" t="str">
            <v>NB</v>
          </cell>
        </row>
        <row r="459">
          <cell r="AM459">
            <v>0</v>
          </cell>
          <cell r="AP459">
            <v>0</v>
          </cell>
          <cell r="AQ459">
            <v>0</v>
          </cell>
          <cell r="AR459" t="str">
            <v>$</v>
          </cell>
          <cell r="AS459">
            <v>0</v>
          </cell>
          <cell r="AW459">
            <v>0</v>
          </cell>
          <cell r="AY459" t="str">
            <v>NB</v>
          </cell>
        </row>
        <row r="460">
          <cell r="AM460">
            <v>0</v>
          </cell>
          <cell r="AP460">
            <v>0</v>
          </cell>
          <cell r="AQ460">
            <v>0</v>
          </cell>
          <cell r="AR460" t="str">
            <v>$</v>
          </cell>
          <cell r="AS460">
            <v>0</v>
          </cell>
          <cell r="AW460">
            <v>0</v>
          </cell>
          <cell r="AY460" t="str">
            <v>NB</v>
          </cell>
        </row>
        <row r="461">
          <cell r="AM461">
            <v>-211.82000000000062</v>
          </cell>
          <cell r="AP461" t="str">
            <v>Bilan</v>
          </cell>
          <cell r="AQ461" t="str">
            <v>DAS à Payer</v>
          </cell>
          <cell r="AR461" t="str">
            <v>$</v>
          </cell>
          <cell r="AS461">
            <v>0</v>
          </cell>
          <cell r="AW461">
            <v>0</v>
          </cell>
          <cell r="AY461" t="str">
            <v>NB</v>
          </cell>
        </row>
        <row r="462">
          <cell r="AM462">
            <v>-1821.3500000000058</v>
          </cell>
          <cell r="AP462" t="str">
            <v>Bilan</v>
          </cell>
          <cell r="AQ462" t="str">
            <v>Taxes de Vente à Payer</v>
          </cell>
          <cell r="AR462" t="str">
            <v>$</v>
          </cell>
          <cell r="AS462">
            <v>0</v>
          </cell>
          <cell r="AW462">
            <v>0</v>
          </cell>
          <cell r="AY462" t="str">
            <v>NB</v>
          </cell>
        </row>
        <row r="463">
          <cell r="AM463">
            <v>14583.369999999995</v>
          </cell>
          <cell r="AP463" t="str">
            <v>Bilan</v>
          </cell>
          <cell r="AQ463" t="str">
            <v>Taxes de Vente à Payer</v>
          </cell>
          <cell r="AR463" t="str">
            <v>$</v>
          </cell>
          <cell r="AS463">
            <v>0</v>
          </cell>
          <cell r="AW463">
            <v>0</v>
          </cell>
          <cell r="AY463" t="str">
            <v>NB</v>
          </cell>
        </row>
        <row r="464">
          <cell r="AM464">
            <v>-950.22</v>
          </cell>
          <cell r="AP464" t="str">
            <v>Bilan</v>
          </cell>
          <cell r="AQ464" t="str">
            <v>Taxes de Vente à Payer</v>
          </cell>
          <cell r="AR464" t="str">
            <v>$</v>
          </cell>
          <cell r="AS464">
            <v>0</v>
          </cell>
          <cell r="AW464">
            <v>0</v>
          </cell>
          <cell r="AY464" t="str">
            <v>NB</v>
          </cell>
        </row>
        <row r="465">
          <cell r="AM465">
            <v>-4874.2099999999991</v>
          </cell>
          <cell r="AP465" t="str">
            <v>Bilan</v>
          </cell>
          <cell r="AQ465" t="str">
            <v>Taxes de Vente à Payer</v>
          </cell>
          <cell r="AR465" t="str">
            <v>$</v>
          </cell>
          <cell r="AS465">
            <v>0</v>
          </cell>
          <cell r="AW465">
            <v>0</v>
          </cell>
          <cell r="AY465" t="str">
            <v>NB</v>
          </cell>
        </row>
        <row r="466">
          <cell r="AM466">
            <v>0</v>
          </cell>
          <cell r="AP466" t="str">
            <v>Bilan</v>
          </cell>
          <cell r="AQ466" t="str">
            <v>Impôts à payer</v>
          </cell>
          <cell r="AR466" t="str">
            <v>$</v>
          </cell>
          <cell r="AS466">
            <v>0</v>
          </cell>
          <cell r="AW466">
            <v>0</v>
          </cell>
          <cell r="AY466" t="str">
            <v>NB</v>
          </cell>
        </row>
        <row r="467">
          <cell r="AM467">
            <v>-23541.14</v>
          </cell>
          <cell r="AP467" t="str">
            <v>Bilan</v>
          </cell>
          <cell r="AQ467" t="str">
            <v>Salaires à Payer</v>
          </cell>
          <cell r="AR467" t="str">
            <v>$</v>
          </cell>
          <cell r="AS467">
            <v>0</v>
          </cell>
          <cell r="AW467">
            <v>0</v>
          </cell>
          <cell r="AY467" t="str">
            <v>NB</v>
          </cell>
        </row>
        <row r="468">
          <cell r="AM468">
            <v>-4007.9000000000015</v>
          </cell>
          <cell r="AP468" t="str">
            <v>Bilan</v>
          </cell>
          <cell r="AQ468" t="str">
            <v>Autres Courus</v>
          </cell>
          <cell r="AR468" t="str">
            <v>$</v>
          </cell>
          <cell r="AS468">
            <v>0</v>
          </cell>
          <cell r="AW468">
            <v>0</v>
          </cell>
          <cell r="AY468" t="str">
            <v>NB</v>
          </cell>
        </row>
        <row r="469">
          <cell r="AM469">
            <v>0</v>
          </cell>
          <cell r="AP469" t="str">
            <v>Bilan</v>
          </cell>
          <cell r="AQ469" t="str">
            <v>Autres Courus</v>
          </cell>
          <cell r="AR469" t="str">
            <v>$</v>
          </cell>
          <cell r="AS469">
            <v>0</v>
          </cell>
          <cell r="AW469">
            <v>0</v>
          </cell>
          <cell r="AY469" t="str">
            <v>NB</v>
          </cell>
        </row>
        <row r="470">
          <cell r="AM470">
            <v>36185.850000000006</v>
          </cell>
          <cell r="AP470" t="str">
            <v>Bilan</v>
          </cell>
          <cell r="AQ470" t="str">
            <v>Salaires à Payer</v>
          </cell>
          <cell r="AR470" t="str">
            <v>$</v>
          </cell>
          <cell r="AS470">
            <v>0</v>
          </cell>
          <cell r="AW470">
            <v>0</v>
          </cell>
          <cell r="AY470" t="str">
            <v>NB</v>
          </cell>
        </row>
        <row r="471">
          <cell r="AM471">
            <v>3170.75</v>
          </cell>
          <cell r="AP471" t="str">
            <v>Bilan</v>
          </cell>
          <cell r="AQ471" t="str">
            <v>Autres Courus</v>
          </cell>
          <cell r="AR471" t="str">
            <v>$</v>
          </cell>
          <cell r="AS471">
            <v>0</v>
          </cell>
          <cell r="AW471">
            <v>0</v>
          </cell>
          <cell r="AY471" t="str">
            <v>NB</v>
          </cell>
        </row>
        <row r="472">
          <cell r="AM472">
            <v>-49689.58</v>
          </cell>
          <cell r="AP472" t="str">
            <v>Bilan</v>
          </cell>
          <cell r="AQ472" t="str">
            <v>Autres Courus</v>
          </cell>
          <cell r="AR472" t="str">
            <v>$</v>
          </cell>
          <cell r="AS472">
            <v>0</v>
          </cell>
          <cell r="AW472">
            <v>0</v>
          </cell>
          <cell r="AY472" t="str">
            <v>NB</v>
          </cell>
        </row>
        <row r="473">
          <cell r="AM473">
            <v>-556</v>
          </cell>
          <cell r="AP473" t="str">
            <v>Bilan</v>
          </cell>
          <cell r="AQ473" t="str">
            <v>Autres Courus</v>
          </cell>
          <cell r="AR473" t="str">
            <v>$</v>
          </cell>
          <cell r="AS473">
            <v>0</v>
          </cell>
          <cell r="AW473">
            <v>0</v>
          </cell>
          <cell r="AY473" t="str">
            <v>NB</v>
          </cell>
        </row>
        <row r="474">
          <cell r="AM474">
            <v>0</v>
          </cell>
          <cell r="AP474" t="str">
            <v>Bilan</v>
          </cell>
          <cell r="AQ474" t="str">
            <v>Autres Courus</v>
          </cell>
          <cell r="AR474" t="str">
            <v>$</v>
          </cell>
          <cell r="AS474">
            <v>0</v>
          </cell>
          <cell r="AW474">
            <v>0</v>
          </cell>
          <cell r="AY474" t="str">
            <v>NB</v>
          </cell>
        </row>
        <row r="475">
          <cell r="AM475">
            <v>0</v>
          </cell>
          <cell r="AP475" t="str">
            <v>Bilan</v>
          </cell>
          <cell r="AQ475" t="str">
            <v>Autres Comptes à Payer</v>
          </cell>
          <cell r="AR475" t="str">
            <v>$</v>
          </cell>
          <cell r="AS475">
            <v>0</v>
          </cell>
          <cell r="AW475">
            <v>0</v>
          </cell>
          <cell r="AY475" t="str">
            <v>NB</v>
          </cell>
        </row>
        <row r="476">
          <cell r="AM476">
            <v>0</v>
          </cell>
          <cell r="AP476">
            <v>0</v>
          </cell>
          <cell r="AQ476">
            <v>0</v>
          </cell>
          <cell r="AR476" t="str">
            <v>$</v>
          </cell>
          <cell r="AS476">
            <v>0</v>
          </cell>
          <cell r="AW476">
            <v>0</v>
          </cell>
          <cell r="AY476" t="str">
            <v>NB</v>
          </cell>
        </row>
        <row r="477">
          <cell r="AM477">
            <v>-400</v>
          </cell>
          <cell r="AP477" t="str">
            <v>Bilan</v>
          </cell>
          <cell r="AQ477" t="str">
            <v>Autres Courus</v>
          </cell>
          <cell r="AR477" t="str">
            <v>$</v>
          </cell>
          <cell r="AS477">
            <v>0</v>
          </cell>
          <cell r="AW477">
            <v>0</v>
          </cell>
          <cell r="AY477" t="str">
            <v>NB</v>
          </cell>
        </row>
        <row r="478">
          <cell r="AM478">
            <v>-5500</v>
          </cell>
          <cell r="AP478" t="str">
            <v>Bilan</v>
          </cell>
          <cell r="AQ478" t="str">
            <v>Autres Courus</v>
          </cell>
          <cell r="AR478" t="str">
            <v>$</v>
          </cell>
          <cell r="AS478">
            <v>0</v>
          </cell>
          <cell r="AW478">
            <v>0</v>
          </cell>
          <cell r="AY478" t="str">
            <v>NB</v>
          </cell>
        </row>
        <row r="479">
          <cell r="AM479">
            <v>0</v>
          </cell>
          <cell r="AP479" t="str">
            <v>Bilan</v>
          </cell>
          <cell r="AQ479" t="str">
            <v>Autres Courus</v>
          </cell>
          <cell r="AR479" t="str">
            <v>$</v>
          </cell>
          <cell r="AS479">
            <v>0</v>
          </cell>
          <cell r="AW479">
            <v>0</v>
          </cell>
          <cell r="AY479" t="str">
            <v>NB</v>
          </cell>
        </row>
        <row r="480">
          <cell r="AM480">
            <v>20300</v>
          </cell>
          <cell r="AP480" t="str">
            <v>Bilan</v>
          </cell>
          <cell r="AQ480" t="str">
            <v>Autres Courus</v>
          </cell>
          <cell r="AR480" t="str">
            <v>$</v>
          </cell>
          <cell r="AS480">
            <v>0</v>
          </cell>
          <cell r="AW480">
            <v>0</v>
          </cell>
          <cell r="AY480" t="str">
            <v>NB</v>
          </cell>
        </row>
        <row r="481">
          <cell r="AM481">
            <v>0</v>
          </cell>
          <cell r="AP481" t="str">
            <v>Bilan</v>
          </cell>
          <cell r="AQ481" t="str">
            <v>Autres Courus</v>
          </cell>
          <cell r="AR481" t="str">
            <v>$</v>
          </cell>
          <cell r="AS481">
            <v>0</v>
          </cell>
          <cell r="AW481">
            <v>0</v>
          </cell>
          <cell r="AY481" t="str">
            <v>NB</v>
          </cell>
        </row>
        <row r="482">
          <cell r="AM482">
            <v>-1500</v>
          </cell>
          <cell r="AP482" t="str">
            <v>Bilan</v>
          </cell>
          <cell r="AQ482" t="str">
            <v>Autres Courus</v>
          </cell>
          <cell r="AR482" t="str">
            <v>$</v>
          </cell>
          <cell r="AS482">
            <v>0</v>
          </cell>
          <cell r="AW482">
            <v>0</v>
          </cell>
          <cell r="AY482" t="str">
            <v>NB</v>
          </cell>
        </row>
        <row r="483">
          <cell r="AM483">
            <v>0</v>
          </cell>
          <cell r="AP483" t="e">
            <v>#N/A</v>
          </cell>
          <cell r="AQ483" t="e">
            <v>#N/A</v>
          </cell>
          <cell r="AR483" t="str">
            <v>$</v>
          </cell>
          <cell r="AS483" t="e">
            <v>#N/A</v>
          </cell>
          <cell r="AW483">
            <v>0</v>
          </cell>
          <cell r="AY483" t="str">
            <v>NB</v>
          </cell>
        </row>
        <row r="484">
          <cell r="AM484">
            <v>0</v>
          </cell>
          <cell r="AP484" t="str">
            <v>Bilan</v>
          </cell>
          <cell r="AQ484" t="str">
            <v>Impôts Futurs à payer</v>
          </cell>
          <cell r="AR484" t="str">
            <v>$</v>
          </cell>
          <cell r="AS484">
            <v>0</v>
          </cell>
          <cell r="AW484">
            <v>0</v>
          </cell>
          <cell r="AY484" t="str">
            <v>NB</v>
          </cell>
        </row>
        <row r="485">
          <cell r="AM485">
            <v>0</v>
          </cell>
          <cell r="AP485" t="str">
            <v>Bilan</v>
          </cell>
          <cell r="AQ485" t="str">
            <v>Marge de crédit</v>
          </cell>
          <cell r="AR485" t="str">
            <v>$</v>
          </cell>
          <cell r="AS485">
            <v>0</v>
          </cell>
          <cell r="AW485">
            <v>0</v>
          </cell>
          <cell r="AY485" t="str">
            <v>NB</v>
          </cell>
        </row>
        <row r="486">
          <cell r="AM486">
            <v>0</v>
          </cell>
          <cell r="AP486" t="str">
            <v>Bilan</v>
          </cell>
          <cell r="AQ486" t="str">
            <v>Frais Payés d'Avance</v>
          </cell>
          <cell r="AR486" t="str">
            <v>$</v>
          </cell>
          <cell r="AS486">
            <v>0</v>
          </cell>
          <cell r="AW486">
            <v>0</v>
          </cell>
          <cell r="AY486" t="str">
            <v>NB</v>
          </cell>
        </row>
        <row r="487">
          <cell r="AM487">
            <v>0</v>
          </cell>
          <cell r="AP487">
            <v>0</v>
          </cell>
          <cell r="AQ487">
            <v>0</v>
          </cell>
          <cell r="AR487" t="str">
            <v>$</v>
          </cell>
          <cell r="AS487">
            <v>0</v>
          </cell>
          <cell r="AW487">
            <v>0</v>
          </cell>
          <cell r="AY487" t="str">
            <v>NB</v>
          </cell>
        </row>
        <row r="488">
          <cell r="AM488">
            <v>-5029.8599999998696</v>
          </cell>
          <cell r="AP488" t="str">
            <v>Bilan</v>
          </cell>
          <cell r="AQ488" t="str">
            <v>Équipements Service</v>
          </cell>
          <cell r="AR488" t="str">
            <v>$</v>
          </cell>
          <cell r="AS488">
            <v>0</v>
          </cell>
          <cell r="AW488">
            <v>0</v>
          </cell>
          <cell r="AY488" t="str">
            <v>NB</v>
          </cell>
        </row>
        <row r="489">
          <cell r="AM489">
            <v>-94.360000000000014</v>
          </cell>
          <cell r="AP489" t="str">
            <v>Bilan</v>
          </cell>
          <cell r="AQ489" t="str">
            <v>Équipements Service</v>
          </cell>
          <cell r="AR489" t="str">
            <v>$</v>
          </cell>
          <cell r="AS489">
            <v>0</v>
          </cell>
          <cell r="AW489">
            <v>0</v>
          </cell>
          <cell r="AY489" t="str">
            <v>NB</v>
          </cell>
        </row>
        <row r="490">
          <cell r="AM490">
            <v>-824.96000000002095</v>
          </cell>
          <cell r="AP490" t="str">
            <v>Bilan</v>
          </cell>
          <cell r="AQ490" t="str">
            <v>Mobilier</v>
          </cell>
          <cell r="AR490" t="str">
            <v>$</v>
          </cell>
          <cell r="AS490">
            <v>0</v>
          </cell>
          <cell r="AW490">
            <v>0</v>
          </cell>
          <cell r="AY490" t="str">
            <v>NB</v>
          </cell>
        </row>
        <row r="491">
          <cell r="AM491">
            <v>-1739.3600000000006</v>
          </cell>
          <cell r="AP491" t="str">
            <v>Bilan</v>
          </cell>
          <cell r="AQ491" t="str">
            <v>Équipements Service</v>
          </cell>
          <cell r="AR491" t="str">
            <v>$</v>
          </cell>
          <cell r="AS491">
            <v>0</v>
          </cell>
          <cell r="AW491">
            <v>0</v>
          </cell>
          <cell r="AY491" t="str">
            <v>NB</v>
          </cell>
        </row>
        <row r="492">
          <cell r="AM492">
            <v>-2190.1399999999994</v>
          </cell>
          <cell r="AP492" t="str">
            <v>Bilan</v>
          </cell>
          <cell r="AQ492" t="str">
            <v>Améliorations Locatives</v>
          </cell>
          <cell r="AR492" t="str">
            <v>$</v>
          </cell>
          <cell r="AS492">
            <v>0</v>
          </cell>
          <cell r="AW492">
            <v>0</v>
          </cell>
          <cell r="AY492" t="str">
            <v>NB</v>
          </cell>
        </row>
        <row r="493">
          <cell r="AM493">
            <v>-767.82000000000698</v>
          </cell>
          <cell r="AP493" t="str">
            <v>Bilan</v>
          </cell>
          <cell r="AQ493" t="str">
            <v>Équipements Informatique</v>
          </cell>
          <cell r="AR493" t="str">
            <v>$</v>
          </cell>
          <cell r="AS493">
            <v>0</v>
          </cell>
          <cell r="AW493">
            <v>0</v>
          </cell>
          <cell r="AY493" t="str">
            <v>NB</v>
          </cell>
        </row>
        <row r="494">
          <cell r="AM494">
            <v>-139.7300000000032</v>
          </cell>
          <cell r="AP494" t="str">
            <v>Bilan</v>
          </cell>
          <cell r="AQ494" t="str">
            <v>Enseigne</v>
          </cell>
          <cell r="AR494" t="str">
            <v>$</v>
          </cell>
          <cell r="AS494">
            <v>0</v>
          </cell>
          <cell r="AW494">
            <v>0</v>
          </cell>
          <cell r="AY494" t="str">
            <v>NB</v>
          </cell>
        </row>
        <row r="495">
          <cell r="AM495">
            <v>0</v>
          </cell>
          <cell r="AP495">
            <v>0</v>
          </cell>
          <cell r="AQ495">
            <v>0</v>
          </cell>
          <cell r="AR495" t="str">
            <v>$</v>
          </cell>
          <cell r="AS495">
            <v>0</v>
          </cell>
          <cell r="AW495">
            <v>0</v>
          </cell>
          <cell r="AY495" t="str">
            <v>NB</v>
          </cell>
        </row>
        <row r="496">
          <cell r="AM496">
            <v>0</v>
          </cell>
          <cell r="AP496" t="str">
            <v>Bilan</v>
          </cell>
          <cell r="AQ496" t="str">
            <v>Capital Actions</v>
          </cell>
          <cell r="AR496" t="str">
            <v>$</v>
          </cell>
          <cell r="AS496">
            <v>0</v>
          </cell>
          <cell r="AW496">
            <v>0</v>
          </cell>
          <cell r="AY496" t="str">
            <v>NB</v>
          </cell>
        </row>
        <row r="497">
          <cell r="AM497">
            <v>0</v>
          </cell>
          <cell r="AP497" t="str">
            <v>Bilan</v>
          </cell>
          <cell r="AQ497" t="str">
            <v>Capital Actions</v>
          </cell>
          <cell r="AR497" t="str">
            <v>$</v>
          </cell>
          <cell r="AS497">
            <v>0</v>
          </cell>
          <cell r="AW497">
            <v>0</v>
          </cell>
          <cell r="AY497" t="str">
            <v>NB</v>
          </cell>
        </row>
        <row r="498">
          <cell r="AM498">
            <v>0</v>
          </cell>
          <cell r="AP498" t="str">
            <v>Bilan</v>
          </cell>
          <cell r="AQ498" t="str">
            <v>Capital Actions</v>
          </cell>
          <cell r="AR498" t="str">
            <v>$</v>
          </cell>
          <cell r="AS498">
            <v>0</v>
          </cell>
          <cell r="AW498">
            <v>0</v>
          </cell>
          <cell r="AY498" t="str">
            <v>NB</v>
          </cell>
        </row>
        <row r="499">
          <cell r="AM499">
            <v>0</v>
          </cell>
          <cell r="AP499" t="str">
            <v>Bilan</v>
          </cell>
          <cell r="AQ499" t="str">
            <v>Capital Actions</v>
          </cell>
          <cell r="AR499" t="str">
            <v>$</v>
          </cell>
          <cell r="AS499">
            <v>0</v>
          </cell>
          <cell r="AW499">
            <v>0</v>
          </cell>
          <cell r="AY499" t="str">
            <v>NB</v>
          </cell>
        </row>
        <row r="500">
          <cell r="AM500">
            <v>0</v>
          </cell>
          <cell r="AP500" t="str">
            <v>Bilan</v>
          </cell>
          <cell r="AQ500" t="str">
            <v>Capital Actions</v>
          </cell>
          <cell r="AR500" t="str">
            <v>$</v>
          </cell>
          <cell r="AS500">
            <v>0</v>
          </cell>
          <cell r="AW500">
            <v>0</v>
          </cell>
          <cell r="AY500" t="str">
            <v>NB</v>
          </cell>
        </row>
        <row r="501">
          <cell r="AM501">
            <v>0</v>
          </cell>
          <cell r="AP501" t="str">
            <v>Bilan</v>
          </cell>
          <cell r="AQ501" t="str">
            <v>Capital Actions</v>
          </cell>
          <cell r="AR501" t="str">
            <v>$</v>
          </cell>
          <cell r="AS501">
            <v>0</v>
          </cell>
          <cell r="AW501">
            <v>0</v>
          </cell>
          <cell r="AY501" t="str">
            <v>NB</v>
          </cell>
        </row>
        <row r="502">
          <cell r="AM502">
            <v>0</v>
          </cell>
          <cell r="AP502" t="str">
            <v>Bilan</v>
          </cell>
          <cell r="AQ502" t="str">
            <v>Capital Actions</v>
          </cell>
          <cell r="AR502" t="str">
            <v>$</v>
          </cell>
          <cell r="AS502">
            <v>0</v>
          </cell>
          <cell r="AW502">
            <v>0</v>
          </cell>
          <cell r="AY502" t="str">
            <v>NB</v>
          </cell>
        </row>
        <row r="503">
          <cell r="AM503">
            <v>0</v>
          </cell>
          <cell r="AP503" t="str">
            <v>Bilan</v>
          </cell>
          <cell r="AQ503" t="str">
            <v>Bénéfices non répartis</v>
          </cell>
          <cell r="AR503" t="str">
            <v>$</v>
          </cell>
          <cell r="AS503">
            <v>0</v>
          </cell>
          <cell r="AW503">
            <v>0</v>
          </cell>
          <cell r="AY503" t="str">
            <v>NB</v>
          </cell>
        </row>
        <row r="504">
          <cell r="AM504">
            <v>0</v>
          </cell>
          <cell r="AP504">
            <v>0</v>
          </cell>
          <cell r="AQ504">
            <v>0</v>
          </cell>
          <cell r="AR504" t="str">
            <v>$</v>
          </cell>
          <cell r="AS504">
            <v>0</v>
          </cell>
          <cell r="AW504">
            <v>0</v>
          </cell>
          <cell r="AY504" t="str">
            <v>NB</v>
          </cell>
        </row>
        <row r="505">
          <cell r="AM505">
            <v>0</v>
          </cell>
          <cell r="AP505" t="e">
            <v>#N/A</v>
          </cell>
          <cell r="AQ505" t="e">
            <v>#N/A</v>
          </cell>
          <cell r="AR505" t="str">
            <v>$</v>
          </cell>
          <cell r="AS505" t="e">
            <v>#N/A</v>
          </cell>
          <cell r="AW505">
            <v>0</v>
          </cell>
          <cell r="AY505" t="str">
            <v>NB</v>
          </cell>
        </row>
        <row r="506">
          <cell r="AM506">
            <v>0</v>
          </cell>
          <cell r="AP506" t="str">
            <v>Véhicules neufs</v>
          </cell>
          <cell r="AQ506" t="str">
            <v>Autos détail</v>
          </cell>
          <cell r="AR506" t="str">
            <v>$</v>
          </cell>
          <cell r="AS506" t="str">
            <v>Oui</v>
          </cell>
          <cell r="AW506">
            <v>0</v>
          </cell>
          <cell r="AY506" t="str">
            <v>NB</v>
          </cell>
        </row>
        <row r="507">
          <cell r="AM507">
            <v>0</v>
          </cell>
          <cell r="AP507" t="str">
            <v>Véhicules neufs</v>
          </cell>
          <cell r="AQ507" t="str">
            <v>Autos détail</v>
          </cell>
          <cell r="AR507" t="str">
            <v>$</v>
          </cell>
          <cell r="AS507" t="str">
            <v>Oui</v>
          </cell>
          <cell r="AW507">
            <v>0</v>
          </cell>
          <cell r="AY507" t="str">
            <v>NB</v>
          </cell>
        </row>
        <row r="508">
          <cell r="AM508">
            <v>0</v>
          </cell>
          <cell r="AP508" t="str">
            <v>Véhicules neufs</v>
          </cell>
          <cell r="AQ508" t="str">
            <v>Autos détail</v>
          </cell>
          <cell r="AR508" t="str">
            <v>$</v>
          </cell>
          <cell r="AS508" t="str">
            <v>Oui</v>
          </cell>
          <cell r="AW508">
            <v>0</v>
          </cell>
          <cell r="AY508" t="str">
            <v>NB</v>
          </cell>
        </row>
        <row r="509">
          <cell r="AM509">
            <v>0</v>
          </cell>
          <cell r="AP509" t="str">
            <v>Véhicules neufs</v>
          </cell>
          <cell r="AQ509" t="str">
            <v>Autos détail</v>
          </cell>
          <cell r="AR509" t="str">
            <v>$</v>
          </cell>
          <cell r="AS509" t="str">
            <v>Oui</v>
          </cell>
          <cell r="AW509">
            <v>0</v>
          </cell>
          <cell r="AY509" t="str">
            <v>NB</v>
          </cell>
        </row>
        <row r="510">
          <cell r="AM510">
            <v>0</v>
          </cell>
          <cell r="AP510" t="e">
            <v>#N/A</v>
          </cell>
          <cell r="AQ510" t="e">
            <v>#N/A</v>
          </cell>
          <cell r="AR510" t="str">
            <v>$</v>
          </cell>
          <cell r="AS510" t="e">
            <v>#N/A</v>
          </cell>
          <cell r="AW510">
            <v>0</v>
          </cell>
          <cell r="AY510" t="str">
            <v>NB</v>
          </cell>
        </row>
        <row r="511">
          <cell r="AM511">
            <v>0</v>
          </cell>
          <cell r="AP511" t="e">
            <v>#N/A</v>
          </cell>
          <cell r="AQ511" t="e">
            <v>#N/A</v>
          </cell>
          <cell r="AR511" t="str">
            <v>$</v>
          </cell>
          <cell r="AS511" t="e">
            <v>#N/A</v>
          </cell>
          <cell r="AW511">
            <v>0</v>
          </cell>
          <cell r="AY511" t="str">
            <v>NB</v>
          </cell>
        </row>
        <row r="512">
          <cell r="AM512">
            <v>0</v>
          </cell>
          <cell r="AP512" t="e">
            <v>#N/A</v>
          </cell>
          <cell r="AQ512" t="e">
            <v>#N/A</v>
          </cell>
          <cell r="AR512" t="str">
            <v>$</v>
          </cell>
          <cell r="AS512" t="e">
            <v>#N/A</v>
          </cell>
          <cell r="AW512">
            <v>0</v>
          </cell>
          <cell r="AY512" t="str">
            <v>NB</v>
          </cell>
        </row>
        <row r="513">
          <cell r="AM513">
            <v>0</v>
          </cell>
          <cell r="AP513" t="str">
            <v>Véhicules neufs</v>
          </cell>
          <cell r="AQ513" t="str">
            <v>Autos détail</v>
          </cell>
          <cell r="AR513" t="str">
            <v>$</v>
          </cell>
          <cell r="AS513" t="str">
            <v>Oui</v>
          </cell>
          <cell r="AW513">
            <v>0</v>
          </cell>
          <cell r="AY513" t="str">
            <v>NB</v>
          </cell>
        </row>
        <row r="514">
          <cell r="AM514">
            <v>0</v>
          </cell>
          <cell r="AP514" t="str">
            <v>Véhicules neufs</v>
          </cell>
          <cell r="AQ514" t="str">
            <v>Autos détail</v>
          </cell>
          <cell r="AR514" t="str">
            <v>$</v>
          </cell>
          <cell r="AS514" t="str">
            <v>Oui</v>
          </cell>
          <cell r="AW514">
            <v>0</v>
          </cell>
          <cell r="AY514" t="str">
            <v>NB</v>
          </cell>
        </row>
        <row r="515">
          <cell r="AM515">
            <v>0</v>
          </cell>
          <cell r="AP515" t="e">
            <v>#N/A</v>
          </cell>
          <cell r="AQ515" t="e">
            <v>#N/A</v>
          </cell>
          <cell r="AR515" t="str">
            <v>$</v>
          </cell>
          <cell r="AS515" t="e">
            <v>#N/A</v>
          </cell>
          <cell r="AW515">
            <v>0</v>
          </cell>
          <cell r="AY515" t="str">
            <v>NB</v>
          </cell>
        </row>
        <row r="516">
          <cell r="AM516">
            <v>0</v>
          </cell>
          <cell r="AP516" t="str">
            <v>Véhicules neufs</v>
          </cell>
          <cell r="AQ516" t="str">
            <v>Autos détail</v>
          </cell>
          <cell r="AR516" t="str">
            <v>$</v>
          </cell>
          <cell r="AS516" t="str">
            <v>Oui</v>
          </cell>
          <cell r="AW516">
            <v>0</v>
          </cell>
          <cell r="AY516" t="str">
            <v>NB</v>
          </cell>
        </row>
        <row r="517">
          <cell r="AM517">
            <v>-201901</v>
          </cell>
          <cell r="AP517" t="str">
            <v>Véhicules neufs</v>
          </cell>
          <cell r="AQ517" t="str">
            <v>Autos détail</v>
          </cell>
          <cell r="AR517" t="str">
            <v>$</v>
          </cell>
          <cell r="AS517" t="str">
            <v>Oui</v>
          </cell>
          <cell r="AW517">
            <v>2</v>
          </cell>
          <cell r="AY517" t="str">
            <v>NB</v>
          </cell>
        </row>
        <row r="518">
          <cell r="AM518">
            <v>0</v>
          </cell>
          <cell r="AP518" t="e">
            <v>#N/A</v>
          </cell>
          <cell r="AQ518" t="e">
            <v>#N/A</v>
          </cell>
          <cell r="AR518" t="str">
            <v>$</v>
          </cell>
          <cell r="AS518" t="e">
            <v>#N/A</v>
          </cell>
          <cell r="AW518">
            <v>0</v>
          </cell>
          <cell r="AY518" t="str">
            <v>NB</v>
          </cell>
        </row>
        <row r="519">
          <cell r="AM519">
            <v>0</v>
          </cell>
          <cell r="AP519" t="e">
            <v>#N/A</v>
          </cell>
          <cell r="AQ519" t="e">
            <v>#N/A</v>
          </cell>
          <cell r="AR519" t="str">
            <v>$</v>
          </cell>
          <cell r="AS519" t="e">
            <v>#N/A</v>
          </cell>
          <cell r="AW519">
            <v>0</v>
          </cell>
          <cell r="AY519" t="str">
            <v>NB</v>
          </cell>
        </row>
        <row r="520">
          <cell r="AM520">
            <v>0</v>
          </cell>
          <cell r="AP520" t="str">
            <v>Véhicules neufs</v>
          </cell>
          <cell r="AQ520" t="str">
            <v>Camions electriques</v>
          </cell>
          <cell r="AR520" t="str">
            <v>$</v>
          </cell>
          <cell r="AS520" t="str">
            <v>Oui</v>
          </cell>
          <cell r="AW520">
            <v>0</v>
          </cell>
          <cell r="AY520" t="str">
            <v>NB</v>
          </cell>
        </row>
        <row r="521">
          <cell r="AM521">
            <v>0</v>
          </cell>
          <cell r="AP521" t="e">
            <v>#N/A</v>
          </cell>
          <cell r="AQ521" t="e">
            <v>#N/A</v>
          </cell>
          <cell r="AR521" t="str">
            <v>$</v>
          </cell>
          <cell r="AS521" t="e">
            <v>#N/A</v>
          </cell>
          <cell r="AW521">
            <v>0</v>
          </cell>
          <cell r="AY521" t="str">
            <v>NB</v>
          </cell>
        </row>
        <row r="522">
          <cell r="AM522">
            <v>0</v>
          </cell>
          <cell r="AP522" t="e">
            <v>#N/A</v>
          </cell>
          <cell r="AQ522" t="e">
            <v>#N/A</v>
          </cell>
          <cell r="AR522" t="str">
            <v>$</v>
          </cell>
          <cell r="AS522" t="e">
            <v>#N/A</v>
          </cell>
          <cell r="AW522">
            <v>0</v>
          </cell>
          <cell r="AY522" t="str">
            <v>NB</v>
          </cell>
        </row>
        <row r="523">
          <cell r="AM523">
            <v>0</v>
          </cell>
          <cell r="AP523" t="e">
            <v>#N/A</v>
          </cell>
          <cell r="AQ523" t="e">
            <v>#N/A</v>
          </cell>
          <cell r="AR523" t="str">
            <v>$</v>
          </cell>
          <cell r="AS523" t="e">
            <v>#N/A</v>
          </cell>
          <cell r="AW523">
            <v>0</v>
          </cell>
          <cell r="AY523" t="str">
            <v>NB</v>
          </cell>
        </row>
        <row r="524">
          <cell r="AM524">
            <v>0</v>
          </cell>
          <cell r="AP524" t="str">
            <v>Véhicules neufs</v>
          </cell>
          <cell r="AQ524" t="str">
            <v>Autos détail</v>
          </cell>
          <cell r="AR524" t="str">
            <v>$</v>
          </cell>
          <cell r="AS524" t="str">
            <v>Oui</v>
          </cell>
          <cell r="AW524">
            <v>0</v>
          </cell>
          <cell r="AY524" t="str">
            <v>NB</v>
          </cell>
        </row>
        <row r="525">
          <cell r="AM525">
            <v>0</v>
          </cell>
          <cell r="AP525" t="e">
            <v>#N/A</v>
          </cell>
          <cell r="AQ525" t="e">
            <v>#N/A</v>
          </cell>
          <cell r="AR525" t="str">
            <v>$</v>
          </cell>
          <cell r="AS525" t="e">
            <v>#N/A</v>
          </cell>
          <cell r="AW525">
            <v>0</v>
          </cell>
          <cell r="AY525" t="str">
            <v>NB</v>
          </cell>
        </row>
        <row r="526">
          <cell r="AM526">
            <v>0</v>
          </cell>
          <cell r="AP526" t="str">
            <v>Véhicules neufs</v>
          </cell>
          <cell r="AQ526" t="str">
            <v>Autos détail</v>
          </cell>
          <cell r="AR526" t="str">
            <v>$</v>
          </cell>
          <cell r="AS526" t="str">
            <v>Oui</v>
          </cell>
          <cell r="AW526">
            <v>0</v>
          </cell>
          <cell r="AY526" t="str">
            <v>NB</v>
          </cell>
        </row>
        <row r="527">
          <cell r="AM527">
            <v>0</v>
          </cell>
          <cell r="AP527" t="str">
            <v>Véhicules neufs</v>
          </cell>
          <cell r="AQ527" t="str">
            <v>Autos détail</v>
          </cell>
          <cell r="AR527" t="str">
            <v>$</v>
          </cell>
          <cell r="AS527" t="str">
            <v>Oui</v>
          </cell>
          <cell r="AW527">
            <v>0</v>
          </cell>
          <cell r="AY527" t="str">
            <v>NB</v>
          </cell>
        </row>
        <row r="528">
          <cell r="AM528">
            <v>0</v>
          </cell>
          <cell r="AP528">
            <v>0</v>
          </cell>
          <cell r="AQ528">
            <v>0</v>
          </cell>
          <cell r="AR528" t="str">
            <v>$</v>
          </cell>
          <cell r="AS528">
            <v>0</v>
          </cell>
          <cell r="AW528">
            <v>0</v>
          </cell>
          <cell r="AY528" t="str">
            <v>NB</v>
          </cell>
        </row>
        <row r="529">
          <cell r="AM529">
            <v>0</v>
          </cell>
          <cell r="AP529" t="e">
            <v>#N/A</v>
          </cell>
          <cell r="AQ529" t="e">
            <v>#N/A</v>
          </cell>
          <cell r="AR529" t="str">
            <v>$</v>
          </cell>
          <cell r="AS529" t="e">
            <v>#N/A</v>
          </cell>
          <cell r="AW529">
            <v>0</v>
          </cell>
          <cell r="AY529" t="str">
            <v>NB</v>
          </cell>
        </row>
        <row r="530">
          <cell r="AM530">
            <v>0</v>
          </cell>
          <cell r="AP530" t="e">
            <v>#N/A</v>
          </cell>
          <cell r="AQ530" t="e">
            <v>#N/A</v>
          </cell>
          <cell r="AR530" t="str">
            <v>$</v>
          </cell>
          <cell r="AS530" t="e">
            <v>#N/A</v>
          </cell>
          <cell r="AW530">
            <v>0</v>
          </cell>
          <cell r="AY530" t="str">
            <v>NB</v>
          </cell>
        </row>
        <row r="531">
          <cell r="AM531">
            <v>0</v>
          </cell>
          <cell r="AP531">
            <v>0</v>
          </cell>
          <cell r="AQ531">
            <v>0</v>
          </cell>
          <cell r="AR531" t="str">
            <v>$</v>
          </cell>
          <cell r="AS531">
            <v>0</v>
          </cell>
          <cell r="AW531">
            <v>47</v>
          </cell>
          <cell r="AY531" t="str">
            <v>NB</v>
          </cell>
        </row>
        <row r="532">
          <cell r="AM532">
            <v>0</v>
          </cell>
          <cell r="AP532" t="e">
            <v>#N/A</v>
          </cell>
          <cell r="AQ532" t="e">
            <v>#N/A</v>
          </cell>
          <cell r="AR532" t="str">
            <v>$</v>
          </cell>
          <cell r="AS532" t="e">
            <v>#N/A</v>
          </cell>
          <cell r="AW532">
            <v>0</v>
          </cell>
          <cell r="AY532" t="str">
            <v>NB</v>
          </cell>
        </row>
        <row r="533">
          <cell r="AM533">
            <v>0</v>
          </cell>
          <cell r="AP533" t="e">
            <v>#N/A</v>
          </cell>
          <cell r="AQ533" t="e">
            <v>#N/A</v>
          </cell>
          <cell r="AR533" t="str">
            <v>$</v>
          </cell>
          <cell r="AS533" t="e">
            <v>#N/A</v>
          </cell>
          <cell r="AW533">
            <v>0</v>
          </cell>
          <cell r="AY533" t="str">
            <v>NB</v>
          </cell>
        </row>
        <row r="534">
          <cell r="AM534">
            <v>0</v>
          </cell>
          <cell r="AP534" t="e">
            <v>#N/A</v>
          </cell>
          <cell r="AQ534" t="e">
            <v>#N/A</v>
          </cell>
          <cell r="AR534" t="str">
            <v>$</v>
          </cell>
          <cell r="AS534" t="e">
            <v>#N/A</v>
          </cell>
          <cell r="AW534">
            <v>0</v>
          </cell>
          <cell r="AY534" t="str">
            <v>NB</v>
          </cell>
        </row>
        <row r="535">
          <cell r="AM535">
            <v>0</v>
          </cell>
          <cell r="AP535" t="e">
            <v>#N/A</v>
          </cell>
          <cell r="AQ535" t="e">
            <v>#N/A</v>
          </cell>
          <cell r="AR535" t="str">
            <v>$</v>
          </cell>
          <cell r="AS535" t="e">
            <v>#N/A</v>
          </cell>
          <cell r="AW535">
            <v>0</v>
          </cell>
          <cell r="AY535" t="str">
            <v>NB</v>
          </cell>
        </row>
        <row r="536">
          <cell r="AM536">
            <v>0</v>
          </cell>
          <cell r="AP536" t="e">
            <v>#N/A</v>
          </cell>
          <cell r="AQ536" t="e">
            <v>#N/A</v>
          </cell>
          <cell r="AR536" t="str">
            <v>$</v>
          </cell>
          <cell r="AS536" t="e">
            <v>#N/A</v>
          </cell>
          <cell r="AW536">
            <v>0</v>
          </cell>
          <cell r="AY536" t="str">
            <v>NB</v>
          </cell>
        </row>
        <row r="537">
          <cell r="AM537">
            <v>0</v>
          </cell>
          <cell r="AP537" t="e">
            <v>#N/A</v>
          </cell>
          <cell r="AQ537" t="e">
            <v>#N/A</v>
          </cell>
          <cell r="AR537" t="str">
            <v>$</v>
          </cell>
          <cell r="AS537" t="e">
            <v>#N/A</v>
          </cell>
          <cell r="AW537">
            <v>0</v>
          </cell>
          <cell r="AY537" t="str">
            <v>NB</v>
          </cell>
        </row>
        <row r="538">
          <cell r="AM538">
            <v>-49754.339999999967</v>
          </cell>
          <cell r="AP538" t="str">
            <v>Véhicules neufs</v>
          </cell>
          <cell r="AQ538" t="str">
            <v>Camions détail</v>
          </cell>
          <cell r="AR538" t="str">
            <v>$</v>
          </cell>
          <cell r="AS538" t="str">
            <v>Oui</v>
          </cell>
          <cell r="AW538">
            <v>1</v>
          </cell>
          <cell r="AY538" t="str">
            <v>NB</v>
          </cell>
        </row>
        <row r="539">
          <cell r="AM539">
            <v>0</v>
          </cell>
          <cell r="AP539" t="str">
            <v>Véhicules neufs</v>
          </cell>
          <cell r="AQ539" t="str">
            <v>Camions electriques</v>
          </cell>
          <cell r="AR539" t="str">
            <v>$</v>
          </cell>
          <cell r="AS539" t="str">
            <v>Oui</v>
          </cell>
          <cell r="AW539">
            <v>0</v>
          </cell>
          <cell r="AY539" t="str">
            <v>NB</v>
          </cell>
        </row>
        <row r="540">
          <cell r="AM540">
            <v>0</v>
          </cell>
          <cell r="AP540" t="e">
            <v>#N/A</v>
          </cell>
          <cell r="AQ540" t="e">
            <v>#N/A</v>
          </cell>
          <cell r="AR540" t="str">
            <v>$</v>
          </cell>
          <cell r="AS540" t="e">
            <v>#N/A</v>
          </cell>
          <cell r="AW540">
            <v>0</v>
          </cell>
          <cell r="AY540" t="str">
            <v>NB</v>
          </cell>
        </row>
        <row r="541">
          <cell r="AM541">
            <v>0</v>
          </cell>
          <cell r="AP541" t="str">
            <v>Véhicules neufs</v>
          </cell>
          <cell r="AQ541" t="str">
            <v>Camions détail</v>
          </cell>
          <cell r="AR541" t="str">
            <v>$</v>
          </cell>
          <cell r="AS541" t="str">
            <v>Oui</v>
          </cell>
          <cell r="AW541">
            <v>0</v>
          </cell>
          <cell r="AY541" t="str">
            <v>NB</v>
          </cell>
        </row>
        <row r="542">
          <cell r="AM542">
            <v>0</v>
          </cell>
          <cell r="AP542" t="str">
            <v>Véhicules neufs</v>
          </cell>
          <cell r="AQ542" t="str">
            <v>Camions electriques</v>
          </cell>
          <cell r="AR542" t="str">
            <v>$</v>
          </cell>
          <cell r="AS542" t="str">
            <v>Oui</v>
          </cell>
          <cell r="AW542">
            <v>0</v>
          </cell>
          <cell r="AY542" t="str">
            <v>NB</v>
          </cell>
        </row>
        <row r="543">
          <cell r="AM543">
            <v>0</v>
          </cell>
          <cell r="AP543" t="e">
            <v>#N/A</v>
          </cell>
          <cell r="AQ543" t="e">
            <v>#N/A</v>
          </cell>
          <cell r="AR543" t="str">
            <v>$</v>
          </cell>
          <cell r="AS543" t="e">
            <v>#N/A</v>
          </cell>
          <cell r="AW543">
            <v>0</v>
          </cell>
          <cell r="AY543" t="str">
            <v>NB</v>
          </cell>
        </row>
        <row r="544">
          <cell r="AM544">
            <v>0</v>
          </cell>
          <cell r="AP544" t="e">
            <v>#N/A</v>
          </cell>
          <cell r="AQ544" t="e">
            <v>#N/A</v>
          </cell>
          <cell r="AR544" t="str">
            <v>$</v>
          </cell>
          <cell r="AS544" t="e">
            <v>#N/A</v>
          </cell>
          <cell r="AW544">
            <v>0</v>
          </cell>
          <cell r="AY544" t="str">
            <v>NB</v>
          </cell>
        </row>
        <row r="545">
          <cell r="AM545">
            <v>-51327.5</v>
          </cell>
          <cell r="AP545" t="str">
            <v>Véhicules neufs</v>
          </cell>
          <cell r="AQ545" t="str">
            <v>Camions détail</v>
          </cell>
          <cell r="AR545" t="str">
            <v>$</v>
          </cell>
          <cell r="AS545" t="str">
            <v>Oui</v>
          </cell>
          <cell r="AW545">
            <v>1</v>
          </cell>
          <cell r="AY545" t="str">
            <v>NB</v>
          </cell>
        </row>
        <row r="546">
          <cell r="AM546">
            <v>-58707.739999999991</v>
          </cell>
          <cell r="AP546" t="str">
            <v>Véhicules neufs</v>
          </cell>
          <cell r="AQ546" t="str">
            <v>Camions détail</v>
          </cell>
          <cell r="AR546" t="str">
            <v>$</v>
          </cell>
          <cell r="AS546" t="str">
            <v>Oui</v>
          </cell>
          <cell r="AW546">
            <v>1</v>
          </cell>
          <cell r="AY546" t="str">
            <v>NB</v>
          </cell>
        </row>
        <row r="547">
          <cell r="AM547">
            <v>-52488.959999999963</v>
          </cell>
          <cell r="AP547" t="str">
            <v>Véhicules neufs</v>
          </cell>
          <cell r="AQ547" t="str">
            <v>Camions détail</v>
          </cell>
          <cell r="AR547" t="str">
            <v>$</v>
          </cell>
          <cell r="AS547" t="str">
            <v>Oui</v>
          </cell>
          <cell r="AW547">
            <v>1</v>
          </cell>
          <cell r="AY547" t="str">
            <v>NB</v>
          </cell>
        </row>
        <row r="548">
          <cell r="AM548">
            <v>-64418.5</v>
          </cell>
          <cell r="AP548" t="str">
            <v>Véhicules neufs</v>
          </cell>
          <cell r="AQ548" t="str">
            <v>Camions détail</v>
          </cell>
          <cell r="AR548" t="str">
            <v>$</v>
          </cell>
          <cell r="AS548" t="str">
            <v>Oui</v>
          </cell>
          <cell r="AW548">
            <v>2</v>
          </cell>
          <cell r="AY548" t="str">
            <v>NB</v>
          </cell>
        </row>
        <row r="549">
          <cell r="AM549">
            <v>0</v>
          </cell>
          <cell r="AP549" t="e">
            <v>#N/A</v>
          </cell>
          <cell r="AQ549" t="e">
            <v>#N/A</v>
          </cell>
          <cell r="AR549" t="str">
            <v>$</v>
          </cell>
          <cell r="AS549" t="e">
            <v>#N/A</v>
          </cell>
          <cell r="AW549">
            <v>0</v>
          </cell>
          <cell r="AY549" t="str">
            <v>NB</v>
          </cell>
        </row>
        <row r="550">
          <cell r="AM550">
            <v>-54434</v>
          </cell>
          <cell r="AP550" t="str">
            <v>Véhicules neufs</v>
          </cell>
          <cell r="AQ550" t="str">
            <v>Camions détail</v>
          </cell>
          <cell r="AR550" t="str">
            <v>$</v>
          </cell>
          <cell r="AS550" t="str">
            <v>Oui</v>
          </cell>
          <cell r="AW550">
            <v>1</v>
          </cell>
          <cell r="AY550" t="str">
            <v>NB</v>
          </cell>
        </row>
        <row r="551">
          <cell r="AM551">
            <v>-64377.5</v>
          </cell>
          <cell r="AP551" t="str">
            <v>Véhicules neufs</v>
          </cell>
          <cell r="AQ551" t="str">
            <v>Camions détail</v>
          </cell>
          <cell r="AR551" t="str">
            <v>$</v>
          </cell>
          <cell r="AS551" t="str">
            <v>Oui</v>
          </cell>
          <cell r="AW551">
            <v>1</v>
          </cell>
          <cell r="AY551" t="str">
            <v>NB</v>
          </cell>
        </row>
        <row r="552">
          <cell r="AM552">
            <v>-37682.109999999986</v>
          </cell>
          <cell r="AP552" t="str">
            <v>Véhicules neufs</v>
          </cell>
          <cell r="AQ552" t="str">
            <v>Camions détail</v>
          </cell>
          <cell r="AR552" t="str">
            <v>$</v>
          </cell>
          <cell r="AS552" t="str">
            <v>Oui</v>
          </cell>
          <cell r="AW552">
            <v>1</v>
          </cell>
          <cell r="AY552" t="str">
            <v>NB</v>
          </cell>
        </row>
        <row r="553">
          <cell r="AM553">
            <v>0</v>
          </cell>
          <cell r="AP553" t="e">
            <v>#N/A</v>
          </cell>
          <cell r="AQ553" t="e">
            <v>#N/A</v>
          </cell>
          <cell r="AR553" t="str">
            <v>$</v>
          </cell>
          <cell r="AS553" t="e">
            <v>#N/A</v>
          </cell>
          <cell r="AW553">
            <v>0</v>
          </cell>
          <cell r="AY553" t="str">
            <v>NB</v>
          </cell>
        </row>
        <row r="554">
          <cell r="AM554">
            <v>-361616.07999999996</v>
          </cell>
          <cell r="AP554" t="str">
            <v>Véhicules neufs</v>
          </cell>
          <cell r="AQ554" t="str">
            <v>Camions détail</v>
          </cell>
          <cell r="AR554" t="str">
            <v>$</v>
          </cell>
          <cell r="AS554" t="str">
            <v>Oui</v>
          </cell>
          <cell r="AW554">
            <v>12</v>
          </cell>
          <cell r="AY554" t="str">
            <v>NB</v>
          </cell>
        </row>
        <row r="555">
          <cell r="AM555">
            <v>-91563</v>
          </cell>
          <cell r="AP555" t="str">
            <v>Véhicules neufs</v>
          </cell>
          <cell r="AQ555" t="str">
            <v>Camions détail</v>
          </cell>
          <cell r="AR555" t="str">
            <v>$</v>
          </cell>
          <cell r="AS555" t="str">
            <v>Oui</v>
          </cell>
          <cell r="AW555">
            <v>1</v>
          </cell>
          <cell r="AY555" t="str">
            <v>NB</v>
          </cell>
        </row>
        <row r="556">
          <cell r="AM556">
            <v>-1350780.1500000004</v>
          </cell>
          <cell r="AP556" t="str">
            <v>Véhicules neufs</v>
          </cell>
          <cell r="AQ556" t="str">
            <v>Camions détail</v>
          </cell>
          <cell r="AR556" t="str">
            <v>$</v>
          </cell>
          <cell r="AS556" t="str">
            <v>Oui</v>
          </cell>
          <cell r="AW556">
            <v>20</v>
          </cell>
          <cell r="AY556" t="str">
            <v>NB</v>
          </cell>
        </row>
        <row r="557">
          <cell r="AM557">
            <v>0</v>
          </cell>
          <cell r="AP557" t="str">
            <v>Véhicules neufs</v>
          </cell>
          <cell r="AQ557" t="str">
            <v>Camions electriques</v>
          </cell>
          <cell r="AR557" t="str">
            <v>$</v>
          </cell>
          <cell r="AS557" t="str">
            <v>Oui</v>
          </cell>
          <cell r="AW557">
            <v>0</v>
          </cell>
          <cell r="AY557" t="str">
            <v>NB</v>
          </cell>
        </row>
        <row r="558">
          <cell r="AM558">
            <v>-316992.93999999994</v>
          </cell>
          <cell r="AP558" t="str">
            <v>Véhicules neufs</v>
          </cell>
          <cell r="AQ558" t="str">
            <v>Camions détail</v>
          </cell>
          <cell r="AR558" t="str">
            <v>$</v>
          </cell>
          <cell r="AS558" t="str">
            <v>Oui</v>
          </cell>
          <cell r="AW558">
            <v>3</v>
          </cell>
          <cell r="AY558" t="str">
            <v>NB</v>
          </cell>
        </row>
        <row r="559">
          <cell r="AM559">
            <v>0</v>
          </cell>
          <cell r="AP559" t="e">
            <v>#N/A</v>
          </cell>
          <cell r="AQ559" t="e">
            <v>#N/A</v>
          </cell>
          <cell r="AR559" t="str">
            <v>$</v>
          </cell>
          <cell r="AS559" t="e">
            <v>#N/A</v>
          </cell>
          <cell r="AW559">
            <v>0</v>
          </cell>
          <cell r="AY559" t="str">
            <v>NB</v>
          </cell>
        </row>
        <row r="560">
          <cell r="AM560">
            <v>-488115.23999999976</v>
          </cell>
          <cell r="AP560" t="str">
            <v>Véhicules neufs</v>
          </cell>
          <cell r="AQ560" t="str">
            <v>Camions détail</v>
          </cell>
          <cell r="AR560" t="str">
            <v>$</v>
          </cell>
          <cell r="AS560" t="str">
            <v>Oui</v>
          </cell>
          <cell r="AW560">
            <v>5</v>
          </cell>
          <cell r="AY560" t="str">
            <v>NB</v>
          </cell>
        </row>
        <row r="561">
          <cell r="AM561">
            <v>-605226.91000000015</v>
          </cell>
          <cell r="AP561" t="str">
            <v>Véhicules neufs</v>
          </cell>
          <cell r="AQ561" t="str">
            <v>Camions détail</v>
          </cell>
          <cell r="AR561" t="str">
            <v>$</v>
          </cell>
          <cell r="AS561" t="str">
            <v>Oui</v>
          </cell>
          <cell r="AW561">
            <v>8</v>
          </cell>
          <cell r="AY561" t="str">
            <v>NB</v>
          </cell>
        </row>
        <row r="562">
          <cell r="AM562">
            <v>0</v>
          </cell>
          <cell r="AP562" t="str">
            <v>Véhicules neufs</v>
          </cell>
          <cell r="AQ562" t="str">
            <v>Camions electriques</v>
          </cell>
          <cell r="AR562" t="str">
            <v>$</v>
          </cell>
          <cell r="AS562" t="str">
            <v>Oui</v>
          </cell>
          <cell r="AW562">
            <v>0</v>
          </cell>
          <cell r="AY562" t="str">
            <v>NB</v>
          </cell>
        </row>
        <row r="563">
          <cell r="AM563">
            <v>0</v>
          </cell>
          <cell r="AP563" t="e">
            <v>#N/A</v>
          </cell>
          <cell r="AQ563" t="e">
            <v>#N/A</v>
          </cell>
          <cell r="AR563" t="str">
            <v>$</v>
          </cell>
          <cell r="AS563" t="e">
            <v>#N/A</v>
          </cell>
          <cell r="AW563">
            <v>0</v>
          </cell>
          <cell r="AY563" t="str">
            <v>NB</v>
          </cell>
        </row>
        <row r="564">
          <cell r="AM564">
            <v>0</v>
          </cell>
          <cell r="AP564" t="str">
            <v>Véhicules neufs</v>
          </cell>
          <cell r="AQ564" t="str">
            <v>Camions détail</v>
          </cell>
          <cell r="AR564" t="str">
            <v>$</v>
          </cell>
          <cell r="AS564" t="str">
            <v>Oui</v>
          </cell>
          <cell r="AW564">
            <v>0</v>
          </cell>
          <cell r="AY564" t="str">
            <v>NB</v>
          </cell>
        </row>
        <row r="565">
          <cell r="AM565">
            <v>-313065.70999999996</v>
          </cell>
          <cell r="AP565" t="str">
            <v>Véhicules neufs</v>
          </cell>
          <cell r="AQ565" t="str">
            <v>Camions détail</v>
          </cell>
          <cell r="AR565" t="str">
            <v>$</v>
          </cell>
          <cell r="AS565" t="str">
            <v>Oui</v>
          </cell>
          <cell r="AW565">
            <v>3</v>
          </cell>
          <cell r="AY565" t="str">
            <v>NB</v>
          </cell>
        </row>
        <row r="566">
          <cell r="AM566">
            <v>0</v>
          </cell>
          <cell r="AP566" t="str">
            <v>Véhicules neufs</v>
          </cell>
          <cell r="AQ566" t="str">
            <v>Camions détail</v>
          </cell>
          <cell r="AR566" t="str">
            <v>$</v>
          </cell>
          <cell r="AS566" t="str">
            <v>Oui</v>
          </cell>
          <cell r="AW566">
            <v>0</v>
          </cell>
          <cell r="AY566" t="str">
            <v>NB</v>
          </cell>
        </row>
        <row r="567">
          <cell r="AM567">
            <v>0</v>
          </cell>
          <cell r="AP567" t="str">
            <v>Véhicules neufs</v>
          </cell>
          <cell r="AQ567" t="str">
            <v>Camions détail</v>
          </cell>
          <cell r="AR567" t="str">
            <v>$</v>
          </cell>
          <cell r="AS567" t="str">
            <v>Oui</v>
          </cell>
          <cell r="AW567">
            <v>0</v>
          </cell>
          <cell r="AY567" t="str">
            <v>NB</v>
          </cell>
        </row>
        <row r="568">
          <cell r="AM568">
            <v>-128001.68</v>
          </cell>
          <cell r="AP568" t="str">
            <v>Véhicules neufs</v>
          </cell>
          <cell r="AQ568" t="str">
            <v>Camions electriques</v>
          </cell>
          <cell r="AR568" t="str">
            <v>$</v>
          </cell>
          <cell r="AS568" t="str">
            <v>Oui</v>
          </cell>
          <cell r="AW568">
            <v>2</v>
          </cell>
          <cell r="AY568" t="str">
            <v>NB</v>
          </cell>
        </row>
        <row r="569">
          <cell r="AM569">
            <v>0</v>
          </cell>
          <cell r="AP569" t="e">
            <v>#N/A</v>
          </cell>
          <cell r="AQ569" t="e">
            <v>#N/A</v>
          </cell>
          <cell r="AR569" t="str">
            <v>$</v>
          </cell>
          <cell r="AS569" t="e">
            <v>#N/A</v>
          </cell>
          <cell r="AW569">
            <v>0</v>
          </cell>
          <cell r="AY569" t="str">
            <v>NB</v>
          </cell>
        </row>
        <row r="570">
          <cell r="AM570">
            <v>-122985.97000000003</v>
          </cell>
          <cell r="AP570" t="str">
            <v>Véhicules neufs</v>
          </cell>
          <cell r="AQ570" t="str">
            <v>Camions détail</v>
          </cell>
          <cell r="AR570" t="str">
            <v>$</v>
          </cell>
          <cell r="AS570" t="str">
            <v>Oui</v>
          </cell>
          <cell r="AW570">
            <v>3</v>
          </cell>
          <cell r="AY570" t="str">
            <v>NB</v>
          </cell>
        </row>
        <row r="571">
          <cell r="AM571">
            <v>-479741.27000000048</v>
          </cell>
          <cell r="AP571" t="str">
            <v>Véhicules neufs</v>
          </cell>
          <cell r="AQ571" t="str">
            <v>Camions electriques</v>
          </cell>
          <cell r="AR571" t="str">
            <v>$</v>
          </cell>
          <cell r="AS571" t="str">
            <v>Oui</v>
          </cell>
          <cell r="AW571">
            <v>9</v>
          </cell>
          <cell r="AY571" t="str">
            <v>NB</v>
          </cell>
        </row>
        <row r="572">
          <cell r="AM572">
            <v>0</v>
          </cell>
          <cell r="AP572" t="e">
            <v>#N/A</v>
          </cell>
          <cell r="AQ572" t="e">
            <v>#N/A</v>
          </cell>
          <cell r="AR572" t="str">
            <v>$</v>
          </cell>
          <cell r="AS572" t="e">
            <v>#N/A</v>
          </cell>
          <cell r="AW572">
            <v>0</v>
          </cell>
          <cell r="AY572" t="str">
            <v>NB</v>
          </cell>
        </row>
        <row r="573">
          <cell r="AM573">
            <v>0</v>
          </cell>
          <cell r="AP573" t="str">
            <v>Véhicules neufs</v>
          </cell>
          <cell r="AQ573" t="str">
            <v>Camions détail</v>
          </cell>
          <cell r="AR573" t="str">
            <v>$</v>
          </cell>
          <cell r="AS573" t="str">
            <v>Oui</v>
          </cell>
          <cell r="AW573">
            <v>0</v>
          </cell>
          <cell r="AY573" t="str">
            <v>NB</v>
          </cell>
        </row>
        <row r="574">
          <cell r="AM574">
            <v>0</v>
          </cell>
          <cell r="AP574" t="str">
            <v>Véhicules neufs</v>
          </cell>
          <cell r="AQ574" t="str">
            <v>Camions electriques</v>
          </cell>
          <cell r="AR574" t="str">
            <v>$</v>
          </cell>
          <cell r="AS574" t="str">
            <v>Oui</v>
          </cell>
          <cell r="AW574">
            <v>0</v>
          </cell>
          <cell r="AY574" t="str">
            <v>NB</v>
          </cell>
        </row>
        <row r="575">
          <cell r="AM575">
            <v>0</v>
          </cell>
          <cell r="AP575" t="e">
            <v>#N/A</v>
          </cell>
          <cell r="AQ575" t="e">
            <v>#N/A</v>
          </cell>
          <cell r="AR575" t="str">
            <v>$</v>
          </cell>
          <cell r="AS575" t="e">
            <v>#N/A</v>
          </cell>
          <cell r="AW575">
            <v>0</v>
          </cell>
          <cell r="AY575" t="str">
            <v>NB</v>
          </cell>
        </row>
        <row r="576">
          <cell r="AM576">
            <v>-118752.51000000001</v>
          </cell>
          <cell r="AP576" t="str">
            <v>Véhicules neufs</v>
          </cell>
          <cell r="AQ576" t="str">
            <v>Camions détail</v>
          </cell>
          <cell r="AR576" t="str">
            <v>$</v>
          </cell>
          <cell r="AS576" t="str">
            <v>Oui</v>
          </cell>
          <cell r="AW576">
            <v>3</v>
          </cell>
          <cell r="AY576" t="str">
            <v>NB</v>
          </cell>
        </row>
        <row r="577">
          <cell r="AM577">
            <v>0</v>
          </cell>
          <cell r="AP577" t="str">
            <v>Véhicules neufs</v>
          </cell>
          <cell r="AQ577" t="str">
            <v>Camions détail</v>
          </cell>
          <cell r="AR577" t="str">
            <v>$</v>
          </cell>
          <cell r="AS577" t="str">
            <v>Oui</v>
          </cell>
          <cell r="AW577">
            <v>0</v>
          </cell>
          <cell r="AY577" t="str">
            <v>NB</v>
          </cell>
        </row>
        <row r="578">
          <cell r="AM578">
            <v>0</v>
          </cell>
          <cell r="AP578" t="e">
            <v>#N/A</v>
          </cell>
          <cell r="AQ578" t="e">
            <v>#N/A</v>
          </cell>
          <cell r="AR578" t="str">
            <v>$</v>
          </cell>
          <cell r="AS578" t="e">
            <v>#N/A</v>
          </cell>
          <cell r="AW578">
            <v>0</v>
          </cell>
          <cell r="AY578" t="str">
            <v>NB</v>
          </cell>
        </row>
        <row r="579">
          <cell r="AM579">
            <v>0</v>
          </cell>
          <cell r="AP579" t="e">
            <v>#N/A</v>
          </cell>
          <cell r="AQ579" t="e">
            <v>#N/A</v>
          </cell>
          <cell r="AR579" t="str">
            <v>$</v>
          </cell>
          <cell r="AS579" t="e">
            <v>#N/A</v>
          </cell>
          <cell r="AW579">
            <v>0</v>
          </cell>
          <cell r="AY579" t="str">
            <v>NB</v>
          </cell>
        </row>
        <row r="580">
          <cell r="AM580">
            <v>-2887481.9999999925</v>
          </cell>
          <cell r="AP580" t="str">
            <v>Véhicules neufs</v>
          </cell>
          <cell r="AQ580" t="str">
            <v>Flottes</v>
          </cell>
          <cell r="AR580" t="str">
            <v>$</v>
          </cell>
          <cell r="AS580" t="str">
            <v>Oui</v>
          </cell>
          <cell r="AW580">
            <v>54</v>
          </cell>
          <cell r="AY580" t="str">
            <v>NB</v>
          </cell>
        </row>
        <row r="581">
          <cell r="AM581">
            <v>0</v>
          </cell>
          <cell r="AP581" t="str">
            <v>Véhicules neufs</v>
          </cell>
          <cell r="AQ581" t="str">
            <v>Flottes</v>
          </cell>
          <cell r="AR581" t="str">
            <v>$</v>
          </cell>
          <cell r="AS581" t="str">
            <v>Oui</v>
          </cell>
          <cell r="AW581">
            <v>0</v>
          </cell>
          <cell r="AY581" t="str">
            <v>NB</v>
          </cell>
        </row>
        <row r="582">
          <cell r="AM582">
            <v>-100898</v>
          </cell>
          <cell r="AP582" t="str">
            <v>Véhicules neufs</v>
          </cell>
          <cell r="AQ582" t="str">
            <v>Rev. Protections</v>
          </cell>
          <cell r="AR582" t="str">
            <v>$</v>
          </cell>
          <cell r="AS582" t="str">
            <v>Oui</v>
          </cell>
          <cell r="AW582">
            <v>35</v>
          </cell>
          <cell r="AY582" t="str">
            <v>NB</v>
          </cell>
        </row>
        <row r="583">
          <cell r="AM583">
            <v>0</v>
          </cell>
          <cell r="AP583" t="str">
            <v>Véhicules neufs</v>
          </cell>
          <cell r="AQ583" t="str">
            <v>Rev. Protections</v>
          </cell>
          <cell r="AR583" t="str">
            <v>$</v>
          </cell>
          <cell r="AS583" t="str">
            <v>Oui</v>
          </cell>
          <cell r="AW583">
            <v>0</v>
          </cell>
          <cell r="AY583" t="str">
            <v>NB</v>
          </cell>
        </row>
        <row r="584">
          <cell r="AM584">
            <v>-1998</v>
          </cell>
          <cell r="AP584" t="str">
            <v>Véhicules neufs</v>
          </cell>
          <cell r="AQ584" t="str">
            <v>Rev. Autres</v>
          </cell>
          <cell r="AR584" t="str">
            <v>$</v>
          </cell>
          <cell r="AS584" t="str">
            <v>Oui</v>
          </cell>
          <cell r="AW584">
            <v>3</v>
          </cell>
          <cell r="AY584" t="str">
            <v>NB</v>
          </cell>
        </row>
        <row r="585">
          <cell r="AM585">
            <v>-17964</v>
          </cell>
          <cell r="AP585" t="str">
            <v>Véhicules neufs</v>
          </cell>
          <cell r="AQ585" t="str">
            <v>Rev. Autres</v>
          </cell>
          <cell r="AR585" t="str">
            <v>$</v>
          </cell>
          <cell r="AS585" t="str">
            <v>Oui</v>
          </cell>
          <cell r="AW585">
            <v>22</v>
          </cell>
          <cell r="AY585" t="str">
            <v>NB</v>
          </cell>
        </row>
        <row r="586">
          <cell r="AM586">
            <v>-10317</v>
          </cell>
          <cell r="AP586" t="str">
            <v>Véhicules neufs</v>
          </cell>
          <cell r="AQ586" t="str">
            <v>Rev. Protections</v>
          </cell>
          <cell r="AR586" t="str">
            <v>$</v>
          </cell>
          <cell r="AS586" t="str">
            <v>Oui</v>
          </cell>
          <cell r="AW586">
            <v>2</v>
          </cell>
          <cell r="AY586" t="str">
            <v>NB</v>
          </cell>
        </row>
        <row r="587">
          <cell r="AM587">
            <v>-6576</v>
          </cell>
          <cell r="AP587" t="str">
            <v>Véhicules neufs</v>
          </cell>
          <cell r="AQ587" t="str">
            <v>Rev. Autres</v>
          </cell>
          <cell r="AR587" t="str">
            <v>$</v>
          </cell>
          <cell r="AS587" t="str">
            <v>Oui</v>
          </cell>
          <cell r="AW587">
            <v>14</v>
          </cell>
          <cell r="AY587" t="str">
            <v>NB</v>
          </cell>
        </row>
        <row r="588">
          <cell r="AM588">
            <v>0</v>
          </cell>
          <cell r="AP588" t="str">
            <v>Véhicules usagés</v>
          </cell>
          <cell r="AQ588" t="str">
            <v>Certifié</v>
          </cell>
          <cell r="AR588" t="str">
            <v>$</v>
          </cell>
          <cell r="AS588" t="str">
            <v>Oui</v>
          </cell>
          <cell r="AW588">
            <v>0</v>
          </cell>
          <cell r="AY588" t="str">
            <v>NB</v>
          </cell>
        </row>
        <row r="589">
          <cell r="AM589">
            <v>-45498</v>
          </cell>
          <cell r="AP589" t="str">
            <v>Véhicules usagés</v>
          </cell>
          <cell r="AQ589" t="str">
            <v>Non Certifié</v>
          </cell>
          <cell r="AR589" t="str">
            <v>$</v>
          </cell>
          <cell r="AS589" t="str">
            <v>Oui</v>
          </cell>
          <cell r="AW589">
            <v>2</v>
          </cell>
          <cell r="AY589" t="str">
            <v>NB</v>
          </cell>
        </row>
        <row r="590">
          <cell r="AM590">
            <v>0</v>
          </cell>
          <cell r="AP590" t="e">
            <v>#N/A</v>
          </cell>
          <cell r="AQ590" t="e">
            <v>#N/A</v>
          </cell>
          <cell r="AR590" t="str">
            <v>$</v>
          </cell>
          <cell r="AS590" t="e">
            <v>#N/A</v>
          </cell>
          <cell r="AW590">
            <v>0</v>
          </cell>
          <cell r="AY590" t="str">
            <v>NB</v>
          </cell>
        </row>
        <row r="591">
          <cell r="AM591">
            <v>0</v>
          </cell>
          <cell r="AP591">
            <v>0</v>
          </cell>
          <cell r="AQ591">
            <v>0</v>
          </cell>
          <cell r="AR591" t="str">
            <v>$</v>
          </cell>
          <cell r="AS591">
            <v>0</v>
          </cell>
          <cell r="AW591">
            <v>0</v>
          </cell>
          <cell r="AY591" t="str">
            <v>NB</v>
          </cell>
        </row>
        <row r="592">
          <cell r="AM592">
            <v>0</v>
          </cell>
          <cell r="AP592">
            <v>0</v>
          </cell>
          <cell r="AQ592">
            <v>0</v>
          </cell>
          <cell r="AR592" t="str">
            <v>$</v>
          </cell>
          <cell r="AS592">
            <v>0</v>
          </cell>
          <cell r="AW592">
            <v>0</v>
          </cell>
          <cell r="AY592" t="str">
            <v>NB</v>
          </cell>
        </row>
        <row r="593">
          <cell r="AM593">
            <v>0</v>
          </cell>
          <cell r="AP593">
            <v>0</v>
          </cell>
          <cell r="AQ593">
            <v>0</v>
          </cell>
          <cell r="AR593" t="str">
            <v>$</v>
          </cell>
          <cell r="AS593">
            <v>0</v>
          </cell>
          <cell r="AW593">
            <v>0</v>
          </cell>
          <cell r="AY593" t="str">
            <v>NB</v>
          </cell>
        </row>
        <row r="594">
          <cell r="AM594">
            <v>-61514.079999999958</v>
          </cell>
          <cell r="AP594" t="str">
            <v>Véhicules usagés</v>
          </cell>
          <cell r="AQ594" t="str">
            <v>Ventes au Gros</v>
          </cell>
          <cell r="AR594" t="str">
            <v>$</v>
          </cell>
          <cell r="AS594" t="str">
            <v>Oui</v>
          </cell>
          <cell r="AW594">
            <v>3</v>
          </cell>
          <cell r="AY594" t="str">
            <v>NB</v>
          </cell>
        </row>
        <row r="595">
          <cell r="AM595">
            <v>0</v>
          </cell>
          <cell r="AP595">
            <v>0</v>
          </cell>
          <cell r="AQ595">
            <v>0</v>
          </cell>
          <cell r="AR595" t="str">
            <v>$</v>
          </cell>
          <cell r="AS595">
            <v>0</v>
          </cell>
          <cell r="AW595">
            <v>0</v>
          </cell>
          <cell r="AY595" t="str">
            <v>NB</v>
          </cell>
        </row>
        <row r="596">
          <cell r="AM596">
            <v>0</v>
          </cell>
          <cell r="AP596" t="str">
            <v>Véhicules usagés</v>
          </cell>
          <cell r="AQ596" t="str">
            <v>Ventes au Gros</v>
          </cell>
          <cell r="AR596" t="str">
            <v>$</v>
          </cell>
          <cell r="AS596" t="str">
            <v>Oui</v>
          </cell>
          <cell r="AW596">
            <v>0</v>
          </cell>
          <cell r="AY596" t="str">
            <v>NB</v>
          </cell>
        </row>
        <row r="597">
          <cell r="AM597">
            <v>-440469.88</v>
          </cell>
          <cell r="AP597" t="str">
            <v>Véhicules usagés</v>
          </cell>
          <cell r="AQ597" t="str">
            <v>Non Certifié</v>
          </cell>
          <cell r="AR597" t="str">
            <v>$</v>
          </cell>
          <cell r="AS597" t="str">
            <v>Oui</v>
          </cell>
          <cell r="AW597">
            <v>14</v>
          </cell>
          <cell r="AY597" t="str">
            <v>NB</v>
          </cell>
        </row>
        <row r="598">
          <cell r="AM598">
            <v>0</v>
          </cell>
          <cell r="AP598" t="e">
            <v>#N/A</v>
          </cell>
          <cell r="AQ598" t="e">
            <v>#N/A</v>
          </cell>
          <cell r="AR598" t="str">
            <v>$</v>
          </cell>
          <cell r="AS598" t="e">
            <v>#N/A</v>
          </cell>
          <cell r="AW598">
            <v>0</v>
          </cell>
          <cell r="AY598" t="str">
            <v>NB</v>
          </cell>
        </row>
        <row r="599">
          <cell r="AM599">
            <v>0</v>
          </cell>
          <cell r="AP599">
            <v>0</v>
          </cell>
          <cell r="AQ599">
            <v>0</v>
          </cell>
          <cell r="AR599" t="str">
            <v>$</v>
          </cell>
          <cell r="AS599">
            <v>0</v>
          </cell>
          <cell r="AW599">
            <v>0</v>
          </cell>
          <cell r="AY599" t="str">
            <v>NB</v>
          </cell>
        </row>
        <row r="600">
          <cell r="AM600">
            <v>0</v>
          </cell>
          <cell r="AP600">
            <v>0</v>
          </cell>
          <cell r="AQ600">
            <v>0</v>
          </cell>
          <cell r="AR600" t="str">
            <v>$</v>
          </cell>
          <cell r="AS600">
            <v>0</v>
          </cell>
          <cell r="AW600">
            <v>0</v>
          </cell>
          <cell r="AY600" t="str">
            <v>NB</v>
          </cell>
        </row>
        <row r="601">
          <cell r="AM601">
            <v>0</v>
          </cell>
          <cell r="AP601">
            <v>0</v>
          </cell>
          <cell r="AQ601">
            <v>0</v>
          </cell>
          <cell r="AR601" t="str">
            <v>$</v>
          </cell>
          <cell r="AS601">
            <v>0</v>
          </cell>
          <cell r="AW601">
            <v>0</v>
          </cell>
          <cell r="AY601" t="str">
            <v>NB</v>
          </cell>
        </row>
        <row r="602">
          <cell r="AM602">
            <v>-3005809.9999999981</v>
          </cell>
          <cell r="AP602" t="str">
            <v>Véhicules usagés</v>
          </cell>
          <cell r="AQ602" t="str">
            <v>Ventes au Gros</v>
          </cell>
          <cell r="AR602" t="str">
            <v>$</v>
          </cell>
          <cell r="AS602" t="str">
            <v>Oui</v>
          </cell>
          <cell r="AW602">
            <v>79</v>
          </cell>
          <cell r="AY602" t="str">
            <v>NB</v>
          </cell>
        </row>
        <row r="603">
          <cell r="AM603">
            <v>-3999900</v>
          </cell>
          <cell r="AP603" t="str">
            <v>Wholesale autres</v>
          </cell>
          <cell r="AQ603" t="str">
            <v>Wholesale Luxueux</v>
          </cell>
          <cell r="AR603" t="str">
            <v>$</v>
          </cell>
          <cell r="AS603" t="str">
            <v>Oui</v>
          </cell>
          <cell r="AW603">
            <v>21</v>
          </cell>
          <cell r="AY603" t="str">
            <v>NB</v>
          </cell>
        </row>
        <row r="604">
          <cell r="AM604">
            <v>0</v>
          </cell>
          <cell r="AP604">
            <v>0</v>
          </cell>
          <cell r="AQ604">
            <v>0</v>
          </cell>
          <cell r="AR604" t="str">
            <v>$</v>
          </cell>
          <cell r="AS604">
            <v>0</v>
          </cell>
          <cell r="AW604">
            <v>0</v>
          </cell>
          <cell r="AY604" t="str">
            <v>NB</v>
          </cell>
        </row>
        <row r="605">
          <cell r="AM605">
            <v>-10215</v>
          </cell>
          <cell r="AP605" t="str">
            <v>Véhicules usagés</v>
          </cell>
          <cell r="AQ605" t="str">
            <v>Rev. Protections</v>
          </cell>
          <cell r="AR605" t="str">
            <v>$</v>
          </cell>
          <cell r="AS605" t="str">
            <v>Oui</v>
          </cell>
          <cell r="AW605">
            <v>3</v>
          </cell>
          <cell r="AY605" t="str">
            <v>NB</v>
          </cell>
        </row>
        <row r="606">
          <cell r="AM606">
            <v>0</v>
          </cell>
          <cell r="AP606" t="str">
            <v>Véhicules usagés</v>
          </cell>
          <cell r="AQ606" t="str">
            <v>Rev. Protections</v>
          </cell>
          <cell r="AR606" t="str">
            <v>$</v>
          </cell>
          <cell r="AS606" t="str">
            <v>Oui</v>
          </cell>
          <cell r="AW606">
            <v>0</v>
          </cell>
          <cell r="AY606" t="str">
            <v>NB</v>
          </cell>
        </row>
        <row r="607">
          <cell r="AM607">
            <v>-3578</v>
          </cell>
          <cell r="AP607" t="str">
            <v>Véhicules usagés</v>
          </cell>
          <cell r="AQ607" t="str">
            <v>Rev. Protections</v>
          </cell>
          <cell r="AR607" t="str">
            <v>$</v>
          </cell>
          <cell r="AS607" t="str">
            <v>Oui</v>
          </cell>
          <cell r="AW607">
            <v>2</v>
          </cell>
          <cell r="AY607" t="str">
            <v>NB</v>
          </cell>
        </row>
        <row r="608">
          <cell r="AM608">
            <v>0</v>
          </cell>
          <cell r="AP608" t="str">
            <v>Wholesale autres</v>
          </cell>
          <cell r="AQ608" t="str">
            <v>Wholesale USA</v>
          </cell>
          <cell r="AR608" t="str">
            <v>$</v>
          </cell>
          <cell r="AS608" t="str">
            <v>Oui</v>
          </cell>
          <cell r="AW608">
            <v>0</v>
          </cell>
          <cell r="AY608" t="str">
            <v>NB</v>
          </cell>
        </row>
        <row r="609">
          <cell r="AM609">
            <v>0</v>
          </cell>
          <cell r="AP609" t="str">
            <v>Wholesale autres</v>
          </cell>
          <cell r="AQ609" t="str">
            <v>Wholesale USA</v>
          </cell>
          <cell r="AR609" t="str">
            <v>$</v>
          </cell>
          <cell r="AS609" t="str">
            <v>Oui</v>
          </cell>
          <cell r="AW609">
            <v>0</v>
          </cell>
          <cell r="AY609" t="str">
            <v>NB</v>
          </cell>
        </row>
        <row r="610">
          <cell r="AM610">
            <v>-2332540.6900000013</v>
          </cell>
          <cell r="AP610" t="str">
            <v>Wholesale autres</v>
          </cell>
          <cell r="AQ610" t="str">
            <v>Wholesale USA</v>
          </cell>
          <cell r="AR610" t="str">
            <v>$</v>
          </cell>
          <cell r="AS610" t="str">
            <v>Oui</v>
          </cell>
          <cell r="AW610">
            <v>44</v>
          </cell>
          <cell r="AY610" t="str">
            <v>NB</v>
          </cell>
        </row>
        <row r="611">
          <cell r="AM611">
            <v>-82142.419999999925</v>
          </cell>
          <cell r="AP611" t="str">
            <v>Service</v>
          </cell>
          <cell r="AQ611" t="str">
            <v>M/O Client</v>
          </cell>
          <cell r="AR611" t="str">
            <v>$</v>
          </cell>
          <cell r="AS611" t="str">
            <v>Oui</v>
          </cell>
          <cell r="AW611">
            <v>169</v>
          </cell>
          <cell r="AY611" t="str">
            <v>NB</v>
          </cell>
        </row>
        <row r="612">
          <cell r="AM612">
            <v>0</v>
          </cell>
          <cell r="AP612" t="e">
            <v>#N/A</v>
          </cell>
          <cell r="AQ612" t="e">
            <v>#N/A</v>
          </cell>
          <cell r="AR612" t="str">
            <v>$</v>
          </cell>
          <cell r="AS612" t="e">
            <v>#N/A</v>
          </cell>
          <cell r="AW612">
            <v>0</v>
          </cell>
          <cell r="AY612" t="str">
            <v>NB</v>
          </cell>
        </row>
        <row r="613">
          <cell r="AM613">
            <v>0</v>
          </cell>
          <cell r="AP613" t="e">
            <v>#N/A</v>
          </cell>
          <cell r="AQ613" t="e">
            <v>#N/A</v>
          </cell>
          <cell r="AR613" t="str">
            <v>$</v>
          </cell>
          <cell r="AS613" t="e">
            <v>#N/A</v>
          </cell>
          <cell r="AW613">
            <v>0</v>
          </cell>
          <cell r="AY613" t="str">
            <v>NB</v>
          </cell>
        </row>
        <row r="614">
          <cell r="AM614">
            <v>-2784.5499999999956</v>
          </cell>
          <cell r="AP614" t="str">
            <v>Service</v>
          </cell>
          <cell r="AQ614" t="str">
            <v>M/O Client</v>
          </cell>
          <cell r="AR614" t="str">
            <v>$</v>
          </cell>
          <cell r="AS614" t="str">
            <v>Oui</v>
          </cell>
          <cell r="AW614">
            <v>13</v>
          </cell>
          <cell r="AY614" t="str">
            <v>NB</v>
          </cell>
        </row>
        <row r="615">
          <cell r="AM615">
            <v>-63589.339999999967</v>
          </cell>
          <cell r="AP615" t="str">
            <v>SAAQ</v>
          </cell>
          <cell r="AQ615" t="str">
            <v>Inspection - Véhicules Légers</v>
          </cell>
          <cell r="AR615" t="str">
            <v>$</v>
          </cell>
          <cell r="AS615" t="str">
            <v>Oui</v>
          </cell>
          <cell r="AW615">
            <v>450</v>
          </cell>
          <cell r="AY615" t="str">
            <v>NB</v>
          </cell>
        </row>
        <row r="616">
          <cell r="AM616">
            <v>0</v>
          </cell>
          <cell r="AP616" t="str">
            <v>SAAQ</v>
          </cell>
          <cell r="AQ616" t="str">
            <v>Inspection - Véhicules Interne</v>
          </cell>
          <cell r="AR616" t="str">
            <v>$</v>
          </cell>
          <cell r="AS616" t="str">
            <v>Oui</v>
          </cell>
          <cell r="AW616">
            <v>0</v>
          </cell>
          <cell r="AY616" t="str">
            <v>NB</v>
          </cell>
        </row>
        <row r="617">
          <cell r="AM617">
            <v>0</v>
          </cell>
          <cell r="AP617" t="str">
            <v>SAAQ</v>
          </cell>
          <cell r="AQ617" t="str">
            <v>Inspection - Véhicules Lourds</v>
          </cell>
          <cell r="AR617" t="str">
            <v>$</v>
          </cell>
          <cell r="AS617" t="str">
            <v>Oui</v>
          </cell>
          <cell r="AW617">
            <v>0</v>
          </cell>
          <cell r="AY617" t="str">
            <v>NB</v>
          </cell>
        </row>
        <row r="618">
          <cell r="AM618">
            <v>-53852.140000000014</v>
          </cell>
          <cell r="AP618" t="str">
            <v>Service</v>
          </cell>
          <cell r="AQ618" t="str">
            <v>M/O Garantie</v>
          </cell>
          <cell r="AR618" t="str">
            <v>$</v>
          </cell>
          <cell r="AS618" t="str">
            <v>Oui</v>
          </cell>
          <cell r="AW618">
            <v>320</v>
          </cell>
          <cell r="AY618" t="str">
            <v>NB</v>
          </cell>
        </row>
        <row r="619">
          <cell r="AM619">
            <v>-42980.640000000014</v>
          </cell>
          <cell r="AP619" t="str">
            <v>Service</v>
          </cell>
          <cell r="AQ619" t="str">
            <v>M/O Interne</v>
          </cell>
          <cell r="AR619" t="str">
            <v>$</v>
          </cell>
          <cell r="AS619" t="str">
            <v>Oui</v>
          </cell>
          <cell r="AW619">
            <v>274</v>
          </cell>
          <cell r="AY619" t="str">
            <v>NB</v>
          </cell>
        </row>
        <row r="620">
          <cell r="AM620">
            <v>-1795</v>
          </cell>
          <cell r="AP620" t="str">
            <v>SAAQ</v>
          </cell>
          <cell r="AQ620" t="str">
            <v>Inspection - Véhicules Interne</v>
          </cell>
          <cell r="AR620" t="str">
            <v>$</v>
          </cell>
          <cell r="AS620" t="str">
            <v>Oui</v>
          </cell>
          <cell r="AW620">
            <v>16</v>
          </cell>
          <cell r="AY620" t="str">
            <v>NB</v>
          </cell>
        </row>
        <row r="621">
          <cell r="AM621">
            <v>-6102.8699999999953</v>
          </cell>
          <cell r="AP621" t="str">
            <v>Service</v>
          </cell>
          <cell r="AQ621" t="str">
            <v>M/O Interne</v>
          </cell>
          <cell r="AR621" t="str">
            <v>$</v>
          </cell>
          <cell r="AS621" t="str">
            <v>Oui</v>
          </cell>
          <cell r="AW621">
            <v>90</v>
          </cell>
          <cell r="AY621" t="str">
            <v>NB</v>
          </cell>
        </row>
        <row r="622">
          <cell r="AM622">
            <v>0</v>
          </cell>
          <cell r="AP622" t="e">
            <v>#N/A</v>
          </cell>
          <cell r="AQ622" t="e">
            <v>#N/A</v>
          </cell>
          <cell r="AR622" t="str">
            <v>$</v>
          </cell>
          <cell r="AS622" t="e">
            <v>#N/A</v>
          </cell>
          <cell r="AW622">
            <v>0</v>
          </cell>
          <cell r="AY622" t="str">
            <v>NB</v>
          </cell>
        </row>
        <row r="623">
          <cell r="AM623">
            <v>0</v>
          </cell>
          <cell r="AP623">
            <v>0</v>
          </cell>
          <cell r="AQ623">
            <v>0</v>
          </cell>
          <cell r="AR623" t="str">
            <v>$</v>
          </cell>
          <cell r="AS623">
            <v>0</v>
          </cell>
          <cell r="AW623">
            <v>0</v>
          </cell>
          <cell r="AY623" t="str">
            <v>NB</v>
          </cell>
        </row>
        <row r="624">
          <cell r="AM624">
            <v>-24376.430000000022</v>
          </cell>
          <cell r="AP624" t="str">
            <v>Service</v>
          </cell>
          <cell r="AQ624" t="str">
            <v>Sous-traitement</v>
          </cell>
          <cell r="AR624" t="str">
            <v>$</v>
          </cell>
          <cell r="AS624" t="str">
            <v>Oui</v>
          </cell>
          <cell r="AW624">
            <v>52</v>
          </cell>
          <cell r="AY624" t="str">
            <v>NB</v>
          </cell>
        </row>
        <row r="625">
          <cell r="AM625">
            <v>0</v>
          </cell>
          <cell r="AP625" t="str">
            <v>SAAQ</v>
          </cell>
          <cell r="AQ625" t="str">
            <v>Inspection - Véhicules Interne</v>
          </cell>
          <cell r="AR625" t="str">
            <v>$</v>
          </cell>
          <cell r="AS625" t="str">
            <v>Oui</v>
          </cell>
          <cell r="AW625">
            <v>0</v>
          </cell>
          <cell r="AY625" t="str">
            <v>NB</v>
          </cell>
        </row>
        <row r="626">
          <cell r="AM626">
            <v>0</v>
          </cell>
          <cell r="AP626" t="e">
            <v>#N/A</v>
          </cell>
          <cell r="AQ626" t="e">
            <v>#N/A</v>
          </cell>
          <cell r="AR626" t="str">
            <v>$</v>
          </cell>
          <cell r="AS626" t="e">
            <v>#N/A</v>
          </cell>
          <cell r="AW626">
            <v>0</v>
          </cell>
          <cell r="AY626" t="str">
            <v>NB</v>
          </cell>
        </row>
        <row r="627">
          <cell r="AM627">
            <v>-48700.339999999967</v>
          </cell>
          <cell r="AP627" t="str">
            <v>Pièces</v>
          </cell>
          <cell r="AQ627" t="str">
            <v>Pièces Ro Clients</v>
          </cell>
          <cell r="AR627" t="str">
            <v>$</v>
          </cell>
          <cell r="AS627" t="str">
            <v>Oui</v>
          </cell>
          <cell r="AW627">
            <v>191</v>
          </cell>
          <cell r="AY627" t="str">
            <v>NB</v>
          </cell>
        </row>
        <row r="628">
          <cell r="AM628">
            <v>0</v>
          </cell>
          <cell r="AP628" t="str">
            <v>Pièces</v>
          </cell>
          <cell r="AQ628" t="str">
            <v>Pièces Ro Clients</v>
          </cell>
          <cell r="AR628" t="str">
            <v>$</v>
          </cell>
          <cell r="AS628" t="str">
            <v>Oui</v>
          </cell>
          <cell r="AW628">
            <v>0</v>
          </cell>
          <cell r="AY628" t="str">
            <v>NB</v>
          </cell>
        </row>
        <row r="629">
          <cell r="AM629">
            <v>0</v>
          </cell>
          <cell r="AP629">
            <v>0</v>
          </cell>
          <cell r="AQ629">
            <v>0</v>
          </cell>
          <cell r="AR629" t="str">
            <v>$</v>
          </cell>
          <cell r="AS629">
            <v>0</v>
          </cell>
          <cell r="AW629">
            <v>0</v>
          </cell>
          <cell r="AY629" t="str">
            <v>NB</v>
          </cell>
        </row>
        <row r="630">
          <cell r="AM630">
            <v>0</v>
          </cell>
          <cell r="AP630">
            <v>0</v>
          </cell>
          <cell r="AQ630">
            <v>0</v>
          </cell>
          <cell r="AR630" t="str">
            <v>$</v>
          </cell>
          <cell r="AS630">
            <v>0</v>
          </cell>
          <cell r="AW630">
            <v>0</v>
          </cell>
          <cell r="AY630" t="str">
            <v>NB</v>
          </cell>
        </row>
        <row r="631">
          <cell r="AM631">
            <v>0</v>
          </cell>
          <cell r="AP631">
            <v>0</v>
          </cell>
          <cell r="AQ631">
            <v>0</v>
          </cell>
          <cell r="AR631" t="str">
            <v>$</v>
          </cell>
          <cell r="AS631">
            <v>0</v>
          </cell>
          <cell r="AW631">
            <v>0</v>
          </cell>
          <cell r="AY631" t="str">
            <v>NB</v>
          </cell>
        </row>
        <row r="632">
          <cell r="AM632">
            <v>0</v>
          </cell>
          <cell r="AP632" t="e">
            <v>#N/A</v>
          </cell>
          <cell r="AQ632" t="e">
            <v>#N/A</v>
          </cell>
          <cell r="AR632" t="str">
            <v>$</v>
          </cell>
          <cell r="AS632" t="e">
            <v>#N/A</v>
          </cell>
          <cell r="AW632">
            <v>0</v>
          </cell>
          <cell r="AY632" t="str">
            <v>NB</v>
          </cell>
        </row>
        <row r="633">
          <cell r="AM633">
            <v>-2911.8000000000029</v>
          </cell>
          <cell r="AP633" t="str">
            <v>Service</v>
          </cell>
          <cell r="AQ633" t="str">
            <v>Sous-traitement</v>
          </cell>
          <cell r="AR633" t="str">
            <v>$</v>
          </cell>
          <cell r="AS633" t="str">
            <v>Oui</v>
          </cell>
          <cell r="AW633">
            <v>248</v>
          </cell>
          <cell r="AY633" t="str">
            <v>NB</v>
          </cell>
        </row>
        <row r="634">
          <cell r="AM634">
            <v>0</v>
          </cell>
          <cell r="AP634" t="str">
            <v>Carrosserie</v>
          </cell>
          <cell r="AQ634" t="str">
            <v>Carrosserie Clients</v>
          </cell>
          <cell r="AR634" t="str">
            <v>$</v>
          </cell>
          <cell r="AS634" t="str">
            <v>Oui</v>
          </cell>
          <cell r="AW634">
            <v>0</v>
          </cell>
          <cell r="AY634" t="str">
            <v>NB</v>
          </cell>
        </row>
        <row r="635">
          <cell r="AM635">
            <v>-48202.510000000009</v>
          </cell>
          <cell r="AP635" t="str">
            <v>Carrosserie</v>
          </cell>
          <cell r="AQ635" t="str">
            <v>Carrosserie Clients</v>
          </cell>
          <cell r="AR635" t="str">
            <v>$</v>
          </cell>
          <cell r="AS635" t="str">
            <v>Oui</v>
          </cell>
          <cell r="AW635">
            <v>36</v>
          </cell>
          <cell r="AY635" t="str">
            <v>NB</v>
          </cell>
        </row>
        <row r="636">
          <cell r="AM636">
            <v>0</v>
          </cell>
          <cell r="AP636" t="str">
            <v>Carrosserie</v>
          </cell>
          <cell r="AQ636" t="str">
            <v>Carrosserie Interne</v>
          </cell>
          <cell r="AR636" t="str">
            <v>$</v>
          </cell>
          <cell r="AS636" t="str">
            <v>Oui</v>
          </cell>
          <cell r="AW636">
            <v>0</v>
          </cell>
          <cell r="AY636" t="str">
            <v>NB</v>
          </cell>
        </row>
        <row r="637">
          <cell r="AM637">
            <v>-6142.4399999999987</v>
          </cell>
          <cell r="AP637" t="str">
            <v>Carrosserie</v>
          </cell>
          <cell r="AQ637" t="str">
            <v>Carrosserie Interne</v>
          </cell>
          <cell r="AR637" t="str">
            <v>$</v>
          </cell>
          <cell r="AS637" t="str">
            <v>Oui</v>
          </cell>
          <cell r="AW637">
            <v>14</v>
          </cell>
          <cell r="AY637" t="str">
            <v>NB</v>
          </cell>
        </row>
        <row r="638">
          <cell r="AM638">
            <v>0</v>
          </cell>
          <cell r="AP638" t="str">
            <v>Carrosserie</v>
          </cell>
          <cell r="AQ638" t="str">
            <v>Ajustement M/O Carrosserie</v>
          </cell>
          <cell r="AR638" t="str">
            <v>$</v>
          </cell>
          <cell r="AS638" t="str">
            <v>Oui</v>
          </cell>
          <cell r="AW638">
            <v>0</v>
          </cell>
          <cell r="AY638" t="str">
            <v>NB</v>
          </cell>
        </row>
        <row r="639">
          <cell r="AM639">
            <v>-99453.25</v>
          </cell>
          <cell r="AP639" t="str">
            <v>Carrosserie</v>
          </cell>
          <cell r="AQ639" t="str">
            <v>Carrosserie Clients</v>
          </cell>
          <cell r="AR639" t="str">
            <v>$</v>
          </cell>
          <cell r="AS639" t="str">
            <v>Oui</v>
          </cell>
          <cell r="AW639">
            <v>29</v>
          </cell>
          <cell r="AY639" t="str">
            <v>NB</v>
          </cell>
        </row>
        <row r="640">
          <cell r="AM640">
            <v>0</v>
          </cell>
          <cell r="AP640" t="str">
            <v>Pièces</v>
          </cell>
          <cell r="AQ640" t="str">
            <v>Pièces Ro Carrosserie</v>
          </cell>
          <cell r="AR640" t="str">
            <v>$</v>
          </cell>
          <cell r="AS640" t="str">
            <v>Oui</v>
          </cell>
          <cell r="AW640">
            <v>0</v>
          </cell>
          <cell r="AY640" t="str">
            <v>NB</v>
          </cell>
        </row>
        <row r="641">
          <cell r="AM641">
            <v>0</v>
          </cell>
          <cell r="AP641">
            <v>0</v>
          </cell>
          <cell r="AQ641">
            <v>0</v>
          </cell>
          <cell r="AR641" t="str">
            <v>$</v>
          </cell>
          <cell r="AS641">
            <v>0</v>
          </cell>
          <cell r="AW641">
            <v>0</v>
          </cell>
          <cell r="AY641" t="str">
            <v>NB</v>
          </cell>
        </row>
        <row r="642">
          <cell r="AM642">
            <v>0</v>
          </cell>
          <cell r="AP642">
            <v>0</v>
          </cell>
          <cell r="AQ642">
            <v>0</v>
          </cell>
          <cell r="AR642" t="str">
            <v>$</v>
          </cell>
          <cell r="AS642">
            <v>0</v>
          </cell>
          <cell r="AW642">
            <v>0</v>
          </cell>
          <cell r="AY642" t="str">
            <v>NB</v>
          </cell>
        </row>
        <row r="643">
          <cell r="AM643">
            <v>-23912.959999999992</v>
          </cell>
          <cell r="AP643" t="str">
            <v>Carrosserie</v>
          </cell>
          <cell r="AQ643" t="str">
            <v>Carrosserie Clients</v>
          </cell>
          <cell r="AR643" t="str">
            <v>$</v>
          </cell>
          <cell r="AS643" t="str">
            <v>Oui</v>
          </cell>
          <cell r="AW643">
            <v>49</v>
          </cell>
          <cell r="AY643" t="str">
            <v>NB</v>
          </cell>
        </row>
        <row r="644">
          <cell r="AM644">
            <v>-62505.880000000005</v>
          </cell>
          <cell r="AP644" t="str">
            <v>Pièces</v>
          </cell>
          <cell r="AQ644" t="str">
            <v>P/A Garantie</v>
          </cell>
          <cell r="AR644" t="str">
            <v>$</v>
          </cell>
          <cell r="AS644" t="str">
            <v>Oui</v>
          </cell>
          <cell r="AW644">
            <v>225</v>
          </cell>
          <cell r="AY644" t="str">
            <v>NB</v>
          </cell>
        </row>
        <row r="645">
          <cell r="AM645">
            <v>0</v>
          </cell>
          <cell r="AP645" t="str">
            <v>Pièces</v>
          </cell>
          <cell r="AQ645" t="str">
            <v>P/A Garantie</v>
          </cell>
          <cell r="AR645" t="str">
            <v>$</v>
          </cell>
          <cell r="AS645" t="str">
            <v>Oui</v>
          </cell>
          <cell r="AW645">
            <v>0</v>
          </cell>
          <cell r="AY645" t="str">
            <v>NB</v>
          </cell>
        </row>
        <row r="646">
          <cell r="AM646">
            <v>-40829.760000000009</v>
          </cell>
          <cell r="AP646" t="str">
            <v>Pièces</v>
          </cell>
          <cell r="AQ646" t="str">
            <v>Ventes Internes</v>
          </cell>
          <cell r="AR646" t="str">
            <v>$</v>
          </cell>
          <cell r="AS646" t="str">
            <v>Oui</v>
          </cell>
          <cell r="AW646">
            <v>134</v>
          </cell>
          <cell r="AY646" t="str">
            <v>NB</v>
          </cell>
        </row>
        <row r="647">
          <cell r="AM647">
            <v>0</v>
          </cell>
          <cell r="AP647" t="str">
            <v>Pièces</v>
          </cell>
          <cell r="AQ647" t="str">
            <v>Ventes Internes</v>
          </cell>
          <cell r="AR647" t="str">
            <v>$</v>
          </cell>
          <cell r="AS647" t="str">
            <v>Oui</v>
          </cell>
          <cell r="AW647">
            <v>0</v>
          </cell>
          <cell r="AY647" t="str">
            <v>NB</v>
          </cell>
        </row>
        <row r="648">
          <cell r="AM648">
            <v>-37160.139999999985</v>
          </cell>
          <cell r="AP648" t="str">
            <v>Pièces</v>
          </cell>
          <cell r="AQ648" t="str">
            <v>Ventes Détails</v>
          </cell>
          <cell r="AR648" t="str">
            <v>$</v>
          </cell>
          <cell r="AS648" t="str">
            <v>Oui</v>
          </cell>
          <cell r="AW648">
            <v>149</v>
          </cell>
          <cell r="AY648" t="str">
            <v>NB</v>
          </cell>
        </row>
        <row r="649">
          <cell r="AM649">
            <v>-149731.51000000013</v>
          </cell>
          <cell r="AP649" t="str">
            <v>Pièces</v>
          </cell>
          <cell r="AQ649" t="str">
            <v>Ventes de Gros</v>
          </cell>
          <cell r="AR649" t="str">
            <v>$</v>
          </cell>
          <cell r="AS649" t="str">
            <v>Oui</v>
          </cell>
          <cell r="AW649">
            <v>353</v>
          </cell>
          <cell r="AY649" t="str">
            <v>NB</v>
          </cell>
        </row>
        <row r="650">
          <cell r="AM650">
            <v>0</v>
          </cell>
          <cell r="AP650">
            <v>0</v>
          </cell>
          <cell r="AQ650">
            <v>0</v>
          </cell>
          <cell r="AR650" t="str">
            <v>$</v>
          </cell>
          <cell r="AS650">
            <v>0</v>
          </cell>
          <cell r="AW650">
            <v>0</v>
          </cell>
          <cell r="AY650" t="str">
            <v>NB</v>
          </cell>
        </row>
        <row r="651">
          <cell r="AM651">
            <v>0</v>
          </cell>
          <cell r="AP651">
            <v>0</v>
          </cell>
          <cell r="AQ651">
            <v>0</v>
          </cell>
          <cell r="AR651" t="str">
            <v>$</v>
          </cell>
          <cell r="AS651">
            <v>0</v>
          </cell>
          <cell r="AW651">
            <v>0</v>
          </cell>
          <cell r="AY651" t="str">
            <v>NB</v>
          </cell>
        </row>
        <row r="652">
          <cell r="AM652">
            <v>-17332.420000000013</v>
          </cell>
          <cell r="AP652" t="str">
            <v>Pièces</v>
          </cell>
          <cell r="AQ652" t="str">
            <v>Ventes Pneus</v>
          </cell>
          <cell r="AR652" t="str">
            <v>$</v>
          </cell>
          <cell r="AS652" t="str">
            <v>Oui</v>
          </cell>
          <cell r="AW652">
            <v>20</v>
          </cell>
          <cell r="AY652" t="str">
            <v>NB</v>
          </cell>
        </row>
        <row r="653">
          <cell r="AM653">
            <v>-14229.580000000002</v>
          </cell>
          <cell r="AP653" t="str">
            <v>Pièces</v>
          </cell>
          <cell r="AQ653" t="str">
            <v>Huiles et Graisse</v>
          </cell>
          <cell r="AR653" t="str">
            <v>$</v>
          </cell>
          <cell r="AS653" t="str">
            <v>Oui</v>
          </cell>
          <cell r="AW653">
            <v>192</v>
          </cell>
          <cell r="AY653" t="str">
            <v>NB</v>
          </cell>
        </row>
        <row r="654">
          <cell r="AM654">
            <v>0</v>
          </cell>
          <cell r="AP654" t="str">
            <v>Service</v>
          </cell>
          <cell r="AQ654" t="str">
            <v>Frais véhicules de cie</v>
          </cell>
          <cell r="AR654" t="str">
            <v>$</v>
          </cell>
          <cell r="AS654">
            <v>0</v>
          </cell>
          <cell r="AW654">
            <v>0</v>
          </cell>
          <cell r="AY654" t="str">
            <v>NB</v>
          </cell>
        </row>
        <row r="655">
          <cell r="AM655">
            <v>2163.8999999999996</v>
          </cell>
          <cell r="AP655" t="str">
            <v>Carrosserie</v>
          </cell>
          <cell r="AQ655" t="str">
            <v>Frais véhicules de cie</v>
          </cell>
          <cell r="AR655" t="str">
            <v>$</v>
          </cell>
          <cell r="AS655">
            <v>0</v>
          </cell>
          <cell r="AW655">
            <v>-2</v>
          </cell>
          <cell r="AY655" t="str">
            <v>NB</v>
          </cell>
        </row>
        <row r="656">
          <cell r="AM656">
            <v>0</v>
          </cell>
          <cell r="AP656" t="e">
            <v>#N/A</v>
          </cell>
          <cell r="AQ656" t="e">
            <v>#N/A</v>
          </cell>
          <cell r="AR656" t="str">
            <v>$</v>
          </cell>
          <cell r="AS656" t="e">
            <v>#N/A</v>
          </cell>
          <cell r="AW656">
            <v>0</v>
          </cell>
          <cell r="AY656" t="str">
            <v>NB</v>
          </cell>
        </row>
        <row r="657">
          <cell r="AM657">
            <v>0</v>
          </cell>
          <cell r="AP657" t="e">
            <v>#N/A</v>
          </cell>
          <cell r="AQ657" t="e">
            <v>#N/A</v>
          </cell>
          <cell r="AR657" t="str">
            <v>$</v>
          </cell>
          <cell r="AS657" t="e">
            <v>#N/A</v>
          </cell>
          <cell r="AW657">
            <v>0</v>
          </cell>
          <cell r="AY657" t="str">
            <v>NB</v>
          </cell>
        </row>
        <row r="658">
          <cell r="AM658">
            <v>0</v>
          </cell>
          <cell r="AP658" t="e">
            <v>#N/A</v>
          </cell>
          <cell r="AQ658" t="e">
            <v>#N/A</v>
          </cell>
          <cell r="AR658" t="str">
            <v>$</v>
          </cell>
          <cell r="AS658" t="e">
            <v>#N/A</v>
          </cell>
          <cell r="AW658">
            <v>0</v>
          </cell>
          <cell r="AY658" t="str">
            <v>NB</v>
          </cell>
        </row>
        <row r="659">
          <cell r="AM659">
            <v>0</v>
          </cell>
          <cell r="AP659" t="e">
            <v>#N/A</v>
          </cell>
          <cell r="AQ659" t="e">
            <v>#N/A</v>
          </cell>
          <cell r="AR659" t="str">
            <v>$</v>
          </cell>
          <cell r="AS659" t="e">
            <v>#N/A</v>
          </cell>
          <cell r="AW659">
            <v>0</v>
          </cell>
          <cell r="AY659" t="str">
            <v>NB</v>
          </cell>
        </row>
        <row r="660">
          <cell r="AM660">
            <v>0</v>
          </cell>
          <cell r="AP660" t="e">
            <v>#N/A</v>
          </cell>
          <cell r="AQ660" t="e">
            <v>#N/A</v>
          </cell>
          <cell r="AR660" t="str">
            <v>$</v>
          </cell>
          <cell r="AS660" t="e">
            <v>#N/A</v>
          </cell>
          <cell r="AW660">
            <v>0</v>
          </cell>
          <cell r="AY660" t="str">
            <v>NB</v>
          </cell>
        </row>
        <row r="661">
          <cell r="AM661">
            <v>0</v>
          </cell>
          <cell r="AP661" t="e">
            <v>#N/A</v>
          </cell>
          <cell r="AQ661" t="e">
            <v>#N/A</v>
          </cell>
          <cell r="AR661" t="str">
            <v>$</v>
          </cell>
          <cell r="AS661" t="e">
            <v>#N/A</v>
          </cell>
          <cell r="AW661">
            <v>0</v>
          </cell>
          <cell r="AY661" t="str">
            <v>NB</v>
          </cell>
        </row>
        <row r="662">
          <cell r="AM662">
            <v>0</v>
          </cell>
          <cell r="AP662" t="e">
            <v>#N/A</v>
          </cell>
          <cell r="AQ662" t="e">
            <v>#N/A</v>
          </cell>
          <cell r="AR662" t="str">
            <v>$</v>
          </cell>
          <cell r="AS662" t="e">
            <v>#N/A</v>
          </cell>
          <cell r="AW662">
            <v>0</v>
          </cell>
          <cell r="AY662" t="str">
            <v>NB</v>
          </cell>
        </row>
        <row r="663">
          <cell r="AM663">
            <v>0</v>
          </cell>
          <cell r="AP663" t="e">
            <v>#N/A</v>
          </cell>
          <cell r="AQ663" t="e">
            <v>#N/A</v>
          </cell>
          <cell r="AR663" t="str">
            <v>$</v>
          </cell>
          <cell r="AS663" t="e">
            <v>#N/A</v>
          </cell>
          <cell r="AW663">
            <v>0</v>
          </cell>
          <cell r="AY663" t="str">
            <v>NB</v>
          </cell>
        </row>
        <row r="664">
          <cell r="AM664">
            <v>0</v>
          </cell>
          <cell r="AP664" t="e">
            <v>#N/A</v>
          </cell>
          <cell r="AQ664" t="e">
            <v>#N/A</v>
          </cell>
          <cell r="AR664" t="str">
            <v>$</v>
          </cell>
          <cell r="AS664" t="e">
            <v>#N/A</v>
          </cell>
          <cell r="AW664">
            <v>0</v>
          </cell>
          <cell r="AY664" t="str">
            <v>NB</v>
          </cell>
        </row>
        <row r="665">
          <cell r="AM665">
            <v>0</v>
          </cell>
          <cell r="AP665" t="e">
            <v>#N/A</v>
          </cell>
          <cell r="AQ665" t="e">
            <v>#N/A</v>
          </cell>
          <cell r="AR665" t="str">
            <v>$</v>
          </cell>
          <cell r="AS665" t="e">
            <v>#N/A</v>
          </cell>
          <cell r="AW665">
            <v>0</v>
          </cell>
          <cell r="AY665" t="str">
            <v>NB</v>
          </cell>
        </row>
        <row r="666">
          <cell r="AM666">
            <v>0</v>
          </cell>
          <cell r="AP666" t="e">
            <v>#N/A</v>
          </cell>
          <cell r="AQ666" t="e">
            <v>#N/A</v>
          </cell>
          <cell r="AR666" t="str">
            <v>$</v>
          </cell>
          <cell r="AS666" t="e">
            <v>#N/A</v>
          </cell>
          <cell r="AW666">
            <v>0</v>
          </cell>
          <cell r="AY666" t="str">
            <v>NB</v>
          </cell>
        </row>
        <row r="667">
          <cell r="AM667">
            <v>0</v>
          </cell>
          <cell r="AP667" t="e">
            <v>#N/A</v>
          </cell>
          <cell r="AQ667" t="e">
            <v>#N/A</v>
          </cell>
          <cell r="AR667" t="str">
            <v>$</v>
          </cell>
          <cell r="AS667" t="e">
            <v>#N/A</v>
          </cell>
          <cell r="AW667">
            <v>0</v>
          </cell>
          <cell r="AY667" t="str">
            <v>NB</v>
          </cell>
        </row>
        <row r="668">
          <cell r="AM668">
            <v>0</v>
          </cell>
          <cell r="AP668">
            <v>0</v>
          </cell>
          <cell r="AQ668">
            <v>0</v>
          </cell>
          <cell r="AR668" t="str">
            <v>$</v>
          </cell>
          <cell r="AS668">
            <v>0</v>
          </cell>
          <cell r="AW668">
            <v>0</v>
          </cell>
          <cell r="AY668" t="str">
            <v>NB</v>
          </cell>
        </row>
        <row r="669">
          <cell r="AM669">
            <v>0</v>
          </cell>
          <cell r="AP669" t="e">
            <v>#N/A</v>
          </cell>
          <cell r="AQ669" t="e">
            <v>#N/A</v>
          </cell>
          <cell r="AR669" t="str">
            <v>$</v>
          </cell>
          <cell r="AS669" t="e">
            <v>#N/A</v>
          </cell>
          <cell r="AW669">
            <v>0</v>
          </cell>
          <cell r="AY669" t="str">
            <v>NB</v>
          </cell>
        </row>
        <row r="670">
          <cell r="AM670">
            <v>0</v>
          </cell>
          <cell r="AP670" t="e">
            <v>#N/A</v>
          </cell>
          <cell r="AQ670" t="e">
            <v>#N/A</v>
          </cell>
          <cell r="AR670" t="str">
            <v>$</v>
          </cell>
          <cell r="AS670" t="e">
            <v>#N/A</v>
          </cell>
          <cell r="AW670">
            <v>0</v>
          </cell>
          <cell r="AY670" t="str">
            <v>NB</v>
          </cell>
        </row>
        <row r="671">
          <cell r="AM671">
            <v>0</v>
          </cell>
          <cell r="AP671">
            <v>0</v>
          </cell>
          <cell r="AQ671">
            <v>0</v>
          </cell>
          <cell r="AR671" t="str">
            <v>$</v>
          </cell>
          <cell r="AS671">
            <v>0</v>
          </cell>
          <cell r="AW671">
            <v>0</v>
          </cell>
          <cell r="AY671" t="str">
            <v>NB</v>
          </cell>
        </row>
        <row r="672">
          <cell r="AM672">
            <v>0</v>
          </cell>
          <cell r="AP672" t="e">
            <v>#N/A</v>
          </cell>
          <cell r="AQ672" t="e">
            <v>#N/A</v>
          </cell>
          <cell r="AR672" t="str">
            <v>$</v>
          </cell>
          <cell r="AS672" t="e">
            <v>#N/A</v>
          </cell>
          <cell r="AW672">
            <v>0</v>
          </cell>
          <cell r="AY672" t="str">
            <v>NB</v>
          </cell>
        </row>
        <row r="673">
          <cell r="AM673">
            <v>0</v>
          </cell>
          <cell r="AP673" t="e">
            <v>#N/A</v>
          </cell>
          <cell r="AQ673" t="e">
            <v>#N/A</v>
          </cell>
          <cell r="AR673" t="str">
            <v>$</v>
          </cell>
          <cell r="AS673" t="e">
            <v>#N/A</v>
          </cell>
          <cell r="AW673">
            <v>0</v>
          </cell>
          <cell r="AY673" t="str">
            <v>NB</v>
          </cell>
        </row>
        <row r="674">
          <cell r="AM674">
            <v>0</v>
          </cell>
          <cell r="AP674" t="e">
            <v>#N/A</v>
          </cell>
          <cell r="AQ674" t="e">
            <v>#N/A</v>
          </cell>
          <cell r="AR674" t="str">
            <v>$</v>
          </cell>
          <cell r="AS674" t="e">
            <v>#N/A</v>
          </cell>
          <cell r="AW674">
            <v>0</v>
          </cell>
          <cell r="AY674" t="str">
            <v>NB</v>
          </cell>
        </row>
        <row r="675">
          <cell r="AM675">
            <v>0</v>
          </cell>
          <cell r="AP675" t="e">
            <v>#N/A</v>
          </cell>
          <cell r="AQ675" t="e">
            <v>#N/A</v>
          </cell>
          <cell r="AR675" t="str">
            <v>$</v>
          </cell>
          <cell r="AS675" t="e">
            <v>#N/A</v>
          </cell>
          <cell r="AW675">
            <v>0</v>
          </cell>
          <cell r="AY675" t="str">
            <v>NB</v>
          </cell>
        </row>
        <row r="676">
          <cell r="AM676">
            <v>0</v>
          </cell>
          <cell r="AP676" t="e">
            <v>#N/A</v>
          </cell>
          <cell r="AQ676" t="e">
            <v>#N/A</v>
          </cell>
          <cell r="AR676" t="str">
            <v>$</v>
          </cell>
          <cell r="AS676" t="e">
            <v>#N/A</v>
          </cell>
          <cell r="AW676">
            <v>0</v>
          </cell>
          <cell r="AY676" t="str">
            <v>NB</v>
          </cell>
        </row>
        <row r="677">
          <cell r="AM677">
            <v>0</v>
          </cell>
          <cell r="AP677" t="e">
            <v>#N/A</v>
          </cell>
          <cell r="AQ677" t="e">
            <v>#N/A</v>
          </cell>
          <cell r="AR677" t="str">
            <v>$</v>
          </cell>
          <cell r="AS677" t="e">
            <v>#N/A</v>
          </cell>
          <cell r="AW677">
            <v>0</v>
          </cell>
          <cell r="AY677" t="str">
            <v>NB</v>
          </cell>
        </row>
        <row r="678">
          <cell r="AM678">
            <v>0</v>
          </cell>
          <cell r="AP678" t="e">
            <v>#N/A</v>
          </cell>
          <cell r="AQ678" t="e">
            <v>#N/A</v>
          </cell>
          <cell r="AR678" t="str">
            <v>$</v>
          </cell>
          <cell r="AS678" t="e">
            <v>#N/A</v>
          </cell>
          <cell r="AW678">
            <v>0</v>
          </cell>
          <cell r="AY678" t="str">
            <v>NB</v>
          </cell>
        </row>
        <row r="679">
          <cell r="AM679">
            <v>0</v>
          </cell>
          <cell r="AP679" t="e">
            <v>#N/A</v>
          </cell>
          <cell r="AQ679" t="e">
            <v>#N/A</v>
          </cell>
          <cell r="AR679" t="str">
            <v>$</v>
          </cell>
          <cell r="AS679" t="e">
            <v>#N/A</v>
          </cell>
          <cell r="AW679">
            <v>0</v>
          </cell>
          <cell r="AY679" t="str">
            <v>NB</v>
          </cell>
        </row>
        <row r="680">
          <cell r="AM680">
            <v>0</v>
          </cell>
          <cell r="AP680" t="e">
            <v>#N/A</v>
          </cell>
          <cell r="AQ680" t="e">
            <v>#N/A</v>
          </cell>
          <cell r="AR680" t="str">
            <v>$</v>
          </cell>
          <cell r="AS680" t="e">
            <v>#N/A</v>
          </cell>
          <cell r="AW680">
            <v>0</v>
          </cell>
          <cell r="AY680" t="str">
            <v>NB</v>
          </cell>
        </row>
        <row r="681">
          <cell r="AM681">
            <v>0</v>
          </cell>
          <cell r="AP681" t="str">
            <v>Véhicules neufs</v>
          </cell>
          <cell r="AQ681" t="str">
            <v>Autos détail</v>
          </cell>
          <cell r="AR681" t="str">
            <v>$</v>
          </cell>
          <cell r="AS681">
            <v>0</v>
          </cell>
          <cell r="AW681">
            <v>0</v>
          </cell>
          <cell r="AY681" t="str">
            <v>NB</v>
          </cell>
        </row>
        <row r="682">
          <cell r="AM682">
            <v>0</v>
          </cell>
          <cell r="AP682" t="str">
            <v>Véhicules neufs</v>
          </cell>
          <cell r="AQ682" t="str">
            <v>Autos détail</v>
          </cell>
          <cell r="AR682" t="str">
            <v>$</v>
          </cell>
          <cell r="AS682">
            <v>0</v>
          </cell>
          <cell r="AW682">
            <v>0</v>
          </cell>
          <cell r="AY682" t="str">
            <v>NB</v>
          </cell>
        </row>
        <row r="683">
          <cell r="AM683">
            <v>0</v>
          </cell>
          <cell r="AP683" t="str">
            <v>Véhicules neufs</v>
          </cell>
          <cell r="AQ683" t="str">
            <v>Autos détail</v>
          </cell>
          <cell r="AR683" t="str">
            <v>$</v>
          </cell>
          <cell r="AS683">
            <v>0</v>
          </cell>
          <cell r="AW683">
            <v>0</v>
          </cell>
          <cell r="AY683" t="str">
            <v>NB</v>
          </cell>
        </row>
        <row r="684">
          <cell r="AM684">
            <v>0</v>
          </cell>
          <cell r="AP684" t="str">
            <v>Véhicules neufs</v>
          </cell>
          <cell r="AQ684" t="str">
            <v>Autos détail</v>
          </cell>
          <cell r="AR684" t="str">
            <v>$</v>
          </cell>
          <cell r="AS684">
            <v>0</v>
          </cell>
          <cell r="AW684">
            <v>0</v>
          </cell>
          <cell r="AY684" t="str">
            <v>NB</v>
          </cell>
        </row>
        <row r="685">
          <cell r="AM685">
            <v>0</v>
          </cell>
          <cell r="AP685" t="e">
            <v>#N/A</v>
          </cell>
          <cell r="AQ685" t="e">
            <v>#N/A</v>
          </cell>
          <cell r="AR685" t="str">
            <v>$</v>
          </cell>
          <cell r="AS685" t="e">
            <v>#N/A</v>
          </cell>
          <cell r="AW685">
            <v>0</v>
          </cell>
          <cell r="AY685" t="str">
            <v>NB</v>
          </cell>
        </row>
        <row r="686">
          <cell r="AM686">
            <v>0</v>
          </cell>
          <cell r="AP686" t="e">
            <v>#N/A</v>
          </cell>
          <cell r="AQ686" t="e">
            <v>#N/A</v>
          </cell>
          <cell r="AR686" t="str">
            <v>$</v>
          </cell>
          <cell r="AS686" t="e">
            <v>#N/A</v>
          </cell>
          <cell r="AW686">
            <v>0</v>
          </cell>
          <cell r="AY686" t="str">
            <v>NB</v>
          </cell>
        </row>
        <row r="687">
          <cell r="AM687">
            <v>0</v>
          </cell>
          <cell r="AP687" t="e">
            <v>#N/A</v>
          </cell>
          <cell r="AQ687" t="e">
            <v>#N/A</v>
          </cell>
          <cell r="AR687" t="str">
            <v>$</v>
          </cell>
          <cell r="AS687" t="e">
            <v>#N/A</v>
          </cell>
          <cell r="AW687">
            <v>0</v>
          </cell>
          <cell r="AY687" t="str">
            <v>NB</v>
          </cell>
        </row>
        <row r="688">
          <cell r="AM688">
            <v>0</v>
          </cell>
          <cell r="AP688" t="e">
            <v>#N/A</v>
          </cell>
          <cell r="AQ688" t="e">
            <v>#N/A</v>
          </cell>
          <cell r="AR688" t="str">
            <v>$</v>
          </cell>
          <cell r="AS688" t="e">
            <v>#N/A</v>
          </cell>
          <cell r="AW688">
            <v>0</v>
          </cell>
          <cell r="AY688" t="str">
            <v>NB</v>
          </cell>
        </row>
        <row r="689">
          <cell r="AM689">
            <v>0</v>
          </cell>
          <cell r="AP689" t="str">
            <v>Véhicules neufs</v>
          </cell>
          <cell r="AQ689" t="str">
            <v>Autos détail</v>
          </cell>
          <cell r="AR689" t="str">
            <v>$</v>
          </cell>
          <cell r="AS689">
            <v>0</v>
          </cell>
          <cell r="AW689">
            <v>0</v>
          </cell>
          <cell r="AY689" t="str">
            <v>NB</v>
          </cell>
        </row>
        <row r="690">
          <cell r="AM690">
            <v>0</v>
          </cell>
          <cell r="AP690" t="str">
            <v>Véhicules neufs</v>
          </cell>
          <cell r="AQ690" t="str">
            <v>Autos détail</v>
          </cell>
          <cell r="AR690" t="str">
            <v>$</v>
          </cell>
          <cell r="AS690">
            <v>0</v>
          </cell>
          <cell r="AW690">
            <v>0</v>
          </cell>
          <cell r="AY690" t="str">
            <v>NB</v>
          </cell>
        </row>
        <row r="691">
          <cell r="AM691">
            <v>0</v>
          </cell>
          <cell r="AP691" t="e">
            <v>#N/A</v>
          </cell>
          <cell r="AQ691" t="e">
            <v>#N/A</v>
          </cell>
          <cell r="AR691" t="str">
            <v>$</v>
          </cell>
          <cell r="AS691" t="e">
            <v>#N/A</v>
          </cell>
          <cell r="AW691">
            <v>0</v>
          </cell>
          <cell r="AY691" t="str">
            <v>NB</v>
          </cell>
        </row>
        <row r="692">
          <cell r="AM692">
            <v>0</v>
          </cell>
          <cell r="AP692" t="str">
            <v>Véhicules neufs</v>
          </cell>
          <cell r="AQ692" t="str">
            <v>Autos détail</v>
          </cell>
          <cell r="AR692" t="str">
            <v>$</v>
          </cell>
          <cell r="AS692">
            <v>0</v>
          </cell>
          <cell r="AW692">
            <v>0</v>
          </cell>
          <cell r="AY692" t="str">
            <v>NB</v>
          </cell>
        </row>
        <row r="693">
          <cell r="AM693">
            <v>190779</v>
          </cell>
          <cell r="AP693" t="str">
            <v>Véhicules neufs</v>
          </cell>
          <cell r="AQ693" t="str">
            <v>Autos détail</v>
          </cell>
          <cell r="AR693" t="str">
            <v>$</v>
          </cell>
          <cell r="AS693">
            <v>0</v>
          </cell>
          <cell r="AW693">
            <v>0</v>
          </cell>
          <cell r="AY693" t="str">
            <v>NB</v>
          </cell>
        </row>
        <row r="694">
          <cell r="AM694">
            <v>0</v>
          </cell>
          <cell r="AP694" t="e">
            <v>#N/A</v>
          </cell>
          <cell r="AQ694" t="e">
            <v>#N/A</v>
          </cell>
          <cell r="AR694" t="str">
            <v>$</v>
          </cell>
          <cell r="AS694" t="e">
            <v>#N/A</v>
          </cell>
          <cell r="AW694">
            <v>0</v>
          </cell>
          <cell r="AY694" t="str">
            <v>NB</v>
          </cell>
        </row>
        <row r="695">
          <cell r="AM695">
            <v>0</v>
          </cell>
          <cell r="AP695" t="e">
            <v>#N/A</v>
          </cell>
          <cell r="AQ695" t="e">
            <v>#N/A</v>
          </cell>
          <cell r="AR695" t="str">
            <v>$</v>
          </cell>
          <cell r="AS695" t="e">
            <v>#N/A</v>
          </cell>
          <cell r="AW695">
            <v>0</v>
          </cell>
          <cell r="AY695" t="str">
            <v>NB</v>
          </cell>
        </row>
        <row r="696">
          <cell r="AM696">
            <v>0</v>
          </cell>
          <cell r="AP696" t="str">
            <v>Véhicules neufs</v>
          </cell>
          <cell r="AQ696" t="str">
            <v>Camions electriques</v>
          </cell>
          <cell r="AR696" t="str">
            <v>$</v>
          </cell>
          <cell r="AS696">
            <v>0</v>
          </cell>
          <cell r="AW696">
            <v>0</v>
          </cell>
          <cell r="AY696" t="str">
            <v>NB</v>
          </cell>
        </row>
        <row r="697">
          <cell r="AM697">
            <v>0</v>
          </cell>
          <cell r="AP697" t="e">
            <v>#N/A</v>
          </cell>
          <cell r="AQ697" t="e">
            <v>#N/A</v>
          </cell>
          <cell r="AR697" t="str">
            <v>$</v>
          </cell>
          <cell r="AS697" t="e">
            <v>#N/A</v>
          </cell>
          <cell r="AW697">
            <v>0</v>
          </cell>
          <cell r="AY697" t="str">
            <v>NB</v>
          </cell>
        </row>
        <row r="698">
          <cell r="AM698">
            <v>0</v>
          </cell>
          <cell r="AP698" t="e">
            <v>#N/A</v>
          </cell>
          <cell r="AQ698" t="e">
            <v>#N/A</v>
          </cell>
          <cell r="AR698" t="str">
            <v>$</v>
          </cell>
          <cell r="AS698" t="e">
            <v>#N/A</v>
          </cell>
          <cell r="AW698">
            <v>0</v>
          </cell>
          <cell r="AY698" t="str">
            <v>NB</v>
          </cell>
        </row>
        <row r="699">
          <cell r="AM699">
            <v>0</v>
          </cell>
          <cell r="AP699" t="e">
            <v>#N/A</v>
          </cell>
          <cell r="AQ699" t="e">
            <v>#N/A</v>
          </cell>
          <cell r="AR699" t="str">
            <v>$</v>
          </cell>
          <cell r="AS699" t="e">
            <v>#N/A</v>
          </cell>
          <cell r="AW699">
            <v>0</v>
          </cell>
          <cell r="AY699" t="str">
            <v>NB</v>
          </cell>
        </row>
        <row r="700">
          <cell r="AM700">
            <v>0</v>
          </cell>
          <cell r="AP700" t="str">
            <v>Véhicules neufs</v>
          </cell>
          <cell r="AQ700" t="str">
            <v>Autos détail</v>
          </cell>
          <cell r="AR700" t="str">
            <v>$</v>
          </cell>
          <cell r="AS700">
            <v>0</v>
          </cell>
          <cell r="AW700">
            <v>0</v>
          </cell>
          <cell r="AY700" t="str">
            <v>NB</v>
          </cell>
        </row>
        <row r="701">
          <cell r="AM701">
            <v>0</v>
          </cell>
          <cell r="AP701" t="e">
            <v>#N/A</v>
          </cell>
          <cell r="AQ701" t="e">
            <v>#N/A</v>
          </cell>
          <cell r="AR701" t="str">
            <v>$</v>
          </cell>
          <cell r="AS701" t="e">
            <v>#N/A</v>
          </cell>
          <cell r="AW701">
            <v>0</v>
          </cell>
          <cell r="AY701" t="str">
            <v>NB</v>
          </cell>
        </row>
        <row r="702">
          <cell r="AM702">
            <v>0</v>
          </cell>
          <cell r="AP702" t="str">
            <v>Véhicules neufs</v>
          </cell>
          <cell r="AQ702" t="str">
            <v>Autos détail</v>
          </cell>
          <cell r="AR702" t="str">
            <v>$</v>
          </cell>
          <cell r="AS702">
            <v>0</v>
          </cell>
          <cell r="AW702">
            <v>0</v>
          </cell>
          <cell r="AY702" t="str">
            <v>NB</v>
          </cell>
        </row>
        <row r="703">
          <cell r="AM703">
            <v>0</v>
          </cell>
          <cell r="AP703" t="str">
            <v>Véhicules neufs</v>
          </cell>
          <cell r="AQ703" t="str">
            <v>Autos détail</v>
          </cell>
          <cell r="AR703" t="str">
            <v>$</v>
          </cell>
          <cell r="AS703">
            <v>0</v>
          </cell>
          <cell r="AW703">
            <v>0</v>
          </cell>
          <cell r="AY703" t="str">
            <v>NB</v>
          </cell>
        </row>
        <row r="704">
          <cell r="AM704">
            <v>0</v>
          </cell>
          <cell r="AP704">
            <v>0</v>
          </cell>
          <cell r="AQ704">
            <v>0</v>
          </cell>
          <cell r="AR704" t="str">
            <v>$</v>
          </cell>
          <cell r="AS704">
            <v>0</v>
          </cell>
          <cell r="AW704">
            <v>0</v>
          </cell>
          <cell r="AY704" t="str">
            <v>NB</v>
          </cell>
        </row>
        <row r="705">
          <cell r="AM705">
            <v>0</v>
          </cell>
          <cell r="AP705" t="e">
            <v>#N/A</v>
          </cell>
          <cell r="AQ705" t="e">
            <v>#N/A</v>
          </cell>
          <cell r="AR705" t="str">
            <v>$</v>
          </cell>
          <cell r="AS705" t="e">
            <v>#N/A</v>
          </cell>
          <cell r="AW705">
            <v>0</v>
          </cell>
          <cell r="AY705" t="str">
            <v>NB</v>
          </cell>
        </row>
        <row r="706">
          <cell r="AM706">
            <v>0</v>
          </cell>
          <cell r="AP706" t="e">
            <v>#N/A</v>
          </cell>
          <cell r="AQ706" t="e">
            <v>#N/A</v>
          </cell>
          <cell r="AR706" t="str">
            <v>$</v>
          </cell>
          <cell r="AS706" t="e">
            <v>#N/A</v>
          </cell>
          <cell r="AW706">
            <v>0</v>
          </cell>
          <cell r="AY706" t="str">
            <v>NB</v>
          </cell>
        </row>
        <row r="707">
          <cell r="AM707">
            <v>0</v>
          </cell>
          <cell r="AP707">
            <v>0</v>
          </cell>
          <cell r="AQ707">
            <v>0</v>
          </cell>
          <cell r="AR707" t="str">
            <v>$</v>
          </cell>
          <cell r="AS707">
            <v>0</v>
          </cell>
          <cell r="AW707">
            <v>0</v>
          </cell>
          <cell r="AY707" t="str">
            <v>NB</v>
          </cell>
        </row>
        <row r="708">
          <cell r="AM708">
            <v>0</v>
          </cell>
          <cell r="AP708" t="e">
            <v>#N/A</v>
          </cell>
          <cell r="AQ708" t="e">
            <v>#N/A</v>
          </cell>
          <cell r="AR708" t="str">
            <v>$</v>
          </cell>
          <cell r="AS708" t="e">
            <v>#N/A</v>
          </cell>
          <cell r="AW708">
            <v>0</v>
          </cell>
          <cell r="AY708" t="str">
            <v>NB</v>
          </cell>
        </row>
        <row r="709">
          <cell r="AM709">
            <v>0</v>
          </cell>
          <cell r="AP709" t="e">
            <v>#N/A</v>
          </cell>
          <cell r="AQ709" t="e">
            <v>#N/A</v>
          </cell>
          <cell r="AR709" t="str">
            <v>$</v>
          </cell>
          <cell r="AS709" t="e">
            <v>#N/A</v>
          </cell>
          <cell r="AW709">
            <v>0</v>
          </cell>
          <cell r="AY709" t="str">
            <v>NB</v>
          </cell>
        </row>
        <row r="710">
          <cell r="AM710">
            <v>0</v>
          </cell>
          <cell r="AP710" t="e">
            <v>#N/A</v>
          </cell>
          <cell r="AQ710" t="e">
            <v>#N/A</v>
          </cell>
          <cell r="AR710" t="str">
            <v>$</v>
          </cell>
          <cell r="AS710" t="e">
            <v>#N/A</v>
          </cell>
          <cell r="AW710">
            <v>0</v>
          </cell>
          <cell r="AY710" t="str">
            <v>NB</v>
          </cell>
        </row>
        <row r="711">
          <cell r="AM711">
            <v>0</v>
          </cell>
          <cell r="AP711" t="e">
            <v>#N/A</v>
          </cell>
          <cell r="AQ711" t="e">
            <v>#N/A</v>
          </cell>
          <cell r="AR711" t="str">
            <v>$</v>
          </cell>
          <cell r="AS711" t="e">
            <v>#N/A</v>
          </cell>
          <cell r="AW711">
            <v>0</v>
          </cell>
          <cell r="AY711" t="str">
            <v>NB</v>
          </cell>
        </row>
        <row r="712">
          <cell r="AM712">
            <v>0</v>
          </cell>
          <cell r="AP712" t="e">
            <v>#N/A</v>
          </cell>
          <cell r="AQ712" t="e">
            <v>#N/A</v>
          </cell>
          <cell r="AR712" t="str">
            <v>$</v>
          </cell>
          <cell r="AS712" t="e">
            <v>#N/A</v>
          </cell>
          <cell r="AW712">
            <v>0</v>
          </cell>
          <cell r="AY712" t="str">
            <v>NB</v>
          </cell>
        </row>
        <row r="713">
          <cell r="AM713">
            <v>0</v>
          </cell>
          <cell r="AP713" t="e">
            <v>#N/A</v>
          </cell>
          <cell r="AQ713" t="e">
            <v>#N/A</v>
          </cell>
          <cell r="AR713" t="str">
            <v>$</v>
          </cell>
          <cell r="AS713" t="e">
            <v>#N/A</v>
          </cell>
          <cell r="AW713">
            <v>0</v>
          </cell>
          <cell r="AY713" t="str">
            <v>NB</v>
          </cell>
        </row>
        <row r="714">
          <cell r="AM714">
            <v>46845.020000000019</v>
          </cell>
          <cell r="AP714" t="str">
            <v>Véhicules neufs</v>
          </cell>
          <cell r="AQ714" t="str">
            <v>Camions détail</v>
          </cell>
          <cell r="AR714" t="str">
            <v>$</v>
          </cell>
          <cell r="AS714">
            <v>0</v>
          </cell>
          <cell r="AW714">
            <v>0</v>
          </cell>
          <cell r="AY714" t="str">
            <v>NB</v>
          </cell>
        </row>
        <row r="715">
          <cell r="AM715">
            <v>0</v>
          </cell>
          <cell r="AP715" t="str">
            <v>Véhicules neufs</v>
          </cell>
          <cell r="AQ715" t="str">
            <v>Camions electriques</v>
          </cell>
          <cell r="AR715" t="str">
            <v>$</v>
          </cell>
          <cell r="AS715">
            <v>0</v>
          </cell>
          <cell r="AW715">
            <v>0</v>
          </cell>
          <cell r="AY715" t="str">
            <v>NB</v>
          </cell>
        </row>
        <row r="716">
          <cell r="AM716">
            <v>0</v>
          </cell>
          <cell r="AP716" t="e">
            <v>#N/A</v>
          </cell>
          <cell r="AQ716" t="e">
            <v>#N/A</v>
          </cell>
          <cell r="AR716" t="str">
            <v>$</v>
          </cell>
          <cell r="AS716" t="e">
            <v>#N/A</v>
          </cell>
          <cell r="AW716">
            <v>0</v>
          </cell>
          <cell r="AY716" t="str">
            <v>NB</v>
          </cell>
        </row>
        <row r="717">
          <cell r="AM717">
            <v>0</v>
          </cell>
          <cell r="AP717" t="str">
            <v>Véhicules neufs</v>
          </cell>
          <cell r="AQ717" t="str">
            <v>Camions détail</v>
          </cell>
          <cell r="AR717" t="str">
            <v>$</v>
          </cell>
          <cell r="AS717">
            <v>0</v>
          </cell>
          <cell r="AW717">
            <v>0</v>
          </cell>
          <cell r="AY717" t="str">
            <v>NB</v>
          </cell>
        </row>
        <row r="718">
          <cell r="AM718">
            <v>0</v>
          </cell>
          <cell r="AP718" t="str">
            <v>Véhicules neufs</v>
          </cell>
          <cell r="AQ718" t="str">
            <v>Camions electriques</v>
          </cell>
          <cell r="AR718" t="str">
            <v>$</v>
          </cell>
          <cell r="AS718">
            <v>0</v>
          </cell>
          <cell r="AW718">
            <v>0</v>
          </cell>
          <cell r="AY718" t="str">
            <v>NB</v>
          </cell>
        </row>
        <row r="719">
          <cell r="AM719">
            <v>0</v>
          </cell>
          <cell r="AP719" t="e">
            <v>#N/A</v>
          </cell>
          <cell r="AQ719" t="e">
            <v>#N/A</v>
          </cell>
          <cell r="AR719" t="str">
            <v>$</v>
          </cell>
          <cell r="AS719" t="e">
            <v>#N/A</v>
          </cell>
          <cell r="AW719">
            <v>0</v>
          </cell>
          <cell r="AY719" t="str">
            <v>NB</v>
          </cell>
        </row>
        <row r="720">
          <cell r="AM720">
            <v>0</v>
          </cell>
          <cell r="AP720" t="e">
            <v>#N/A</v>
          </cell>
          <cell r="AQ720" t="e">
            <v>#N/A</v>
          </cell>
          <cell r="AR720" t="str">
            <v>$</v>
          </cell>
          <cell r="AS720" t="e">
            <v>#N/A</v>
          </cell>
          <cell r="AW720">
            <v>0</v>
          </cell>
          <cell r="AY720" t="str">
            <v>NB</v>
          </cell>
        </row>
        <row r="721">
          <cell r="AM721">
            <v>51469.650000000023</v>
          </cell>
          <cell r="AP721" t="str">
            <v>Véhicules neufs</v>
          </cell>
          <cell r="AQ721" t="str">
            <v>Camions détail</v>
          </cell>
          <cell r="AR721" t="str">
            <v>$</v>
          </cell>
          <cell r="AS721">
            <v>0</v>
          </cell>
          <cell r="AW721">
            <v>0</v>
          </cell>
          <cell r="AY721" t="str">
            <v>NB</v>
          </cell>
        </row>
        <row r="722">
          <cell r="AM722">
            <v>56595.199999999953</v>
          </cell>
          <cell r="AP722" t="str">
            <v>Véhicules neufs</v>
          </cell>
          <cell r="AQ722" t="str">
            <v>Camions détail</v>
          </cell>
          <cell r="AR722" t="str">
            <v>$</v>
          </cell>
          <cell r="AS722">
            <v>0</v>
          </cell>
          <cell r="AW722">
            <v>0</v>
          </cell>
          <cell r="AY722" t="str">
            <v>NB</v>
          </cell>
        </row>
        <row r="723">
          <cell r="AM723">
            <v>50036.25</v>
          </cell>
          <cell r="AP723" t="str">
            <v>Véhicules neufs</v>
          </cell>
          <cell r="AQ723" t="str">
            <v>Camions détail</v>
          </cell>
          <cell r="AR723" t="str">
            <v>$</v>
          </cell>
          <cell r="AS723">
            <v>0</v>
          </cell>
          <cell r="AW723">
            <v>0</v>
          </cell>
          <cell r="AY723" t="str">
            <v>NB</v>
          </cell>
        </row>
        <row r="724">
          <cell r="AM724">
            <v>62447</v>
          </cell>
          <cell r="AP724" t="str">
            <v>Véhicules neufs</v>
          </cell>
          <cell r="AQ724" t="str">
            <v>Camions détail</v>
          </cell>
          <cell r="AR724" t="str">
            <v>$</v>
          </cell>
          <cell r="AS724">
            <v>0</v>
          </cell>
          <cell r="AW724">
            <v>0</v>
          </cell>
          <cell r="AY724" t="str">
            <v>NB</v>
          </cell>
        </row>
        <row r="725">
          <cell r="AM725">
            <v>0</v>
          </cell>
          <cell r="AP725" t="e">
            <v>#N/A</v>
          </cell>
          <cell r="AQ725" t="e">
            <v>#N/A</v>
          </cell>
          <cell r="AR725" t="str">
            <v>$</v>
          </cell>
          <cell r="AS725" t="e">
            <v>#N/A</v>
          </cell>
          <cell r="AW725">
            <v>0</v>
          </cell>
          <cell r="AY725" t="str">
            <v>NB</v>
          </cell>
        </row>
        <row r="726">
          <cell r="AM726">
            <v>53934</v>
          </cell>
          <cell r="AP726" t="str">
            <v>Véhicules neufs</v>
          </cell>
          <cell r="AQ726" t="str">
            <v>Camions détail</v>
          </cell>
          <cell r="AR726" t="str">
            <v>$</v>
          </cell>
          <cell r="AS726">
            <v>0</v>
          </cell>
          <cell r="AW726">
            <v>0</v>
          </cell>
          <cell r="AY726" t="str">
            <v>NB</v>
          </cell>
        </row>
        <row r="727">
          <cell r="AM727">
            <v>62841</v>
          </cell>
          <cell r="AP727" t="str">
            <v>Véhicules neufs</v>
          </cell>
          <cell r="AQ727" t="str">
            <v>Camions détail</v>
          </cell>
          <cell r="AR727" t="str">
            <v>$</v>
          </cell>
          <cell r="AS727">
            <v>0</v>
          </cell>
          <cell r="AW727">
            <v>0</v>
          </cell>
          <cell r="AY727" t="str">
            <v>NB</v>
          </cell>
        </row>
        <row r="728">
          <cell r="AM728">
            <v>36230.78</v>
          </cell>
          <cell r="AP728" t="str">
            <v>Véhicules neufs</v>
          </cell>
          <cell r="AQ728" t="str">
            <v>Camions détail</v>
          </cell>
          <cell r="AR728" t="str">
            <v>$</v>
          </cell>
          <cell r="AS728">
            <v>0</v>
          </cell>
          <cell r="AW728">
            <v>0</v>
          </cell>
          <cell r="AY728" t="str">
            <v>NB</v>
          </cell>
        </row>
        <row r="729">
          <cell r="AM729">
            <v>0</v>
          </cell>
          <cell r="AP729" t="e">
            <v>#N/A</v>
          </cell>
          <cell r="AQ729" t="e">
            <v>#N/A</v>
          </cell>
          <cell r="AR729" t="str">
            <v>$</v>
          </cell>
          <cell r="AS729" t="e">
            <v>#N/A</v>
          </cell>
          <cell r="AW729">
            <v>0</v>
          </cell>
          <cell r="AY729" t="str">
            <v>NB</v>
          </cell>
        </row>
        <row r="730">
          <cell r="AM730">
            <v>348385.29999999993</v>
          </cell>
          <cell r="AP730" t="str">
            <v>Véhicules neufs</v>
          </cell>
          <cell r="AQ730" t="str">
            <v>Camions détail</v>
          </cell>
          <cell r="AR730" t="str">
            <v>$</v>
          </cell>
          <cell r="AS730">
            <v>0</v>
          </cell>
          <cell r="AW730">
            <v>0</v>
          </cell>
          <cell r="AY730" t="str">
            <v>NB</v>
          </cell>
        </row>
        <row r="731">
          <cell r="AM731">
            <v>86550</v>
          </cell>
          <cell r="AP731" t="str">
            <v>Véhicules neufs</v>
          </cell>
          <cell r="AQ731" t="str">
            <v>Camions détail</v>
          </cell>
          <cell r="AR731" t="str">
            <v>$</v>
          </cell>
          <cell r="AS731">
            <v>0</v>
          </cell>
          <cell r="AW731">
            <v>0</v>
          </cell>
          <cell r="AY731" t="str">
            <v>NB</v>
          </cell>
        </row>
        <row r="732">
          <cell r="AM732">
            <v>1295282.4000000004</v>
          </cell>
          <cell r="AP732" t="str">
            <v>Véhicules neufs</v>
          </cell>
          <cell r="AQ732" t="str">
            <v>Camions détail</v>
          </cell>
          <cell r="AR732" t="str">
            <v>$</v>
          </cell>
          <cell r="AS732">
            <v>0</v>
          </cell>
          <cell r="AW732">
            <v>0</v>
          </cell>
          <cell r="AY732" t="str">
            <v>NB</v>
          </cell>
        </row>
        <row r="733">
          <cell r="AM733">
            <v>0</v>
          </cell>
          <cell r="AP733" t="str">
            <v>Véhicules neufs</v>
          </cell>
          <cell r="AQ733" t="str">
            <v>Camions electriques</v>
          </cell>
          <cell r="AR733" t="str">
            <v>$</v>
          </cell>
          <cell r="AS733">
            <v>0</v>
          </cell>
          <cell r="AW733">
            <v>0</v>
          </cell>
          <cell r="AY733" t="str">
            <v>NB</v>
          </cell>
        </row>
        <row r="734">
          <cell r="AM734">
            <v>304880.21999999997</v>
          </cell>
          <cell r="AP734" t="str">
            <v>Véhicules neufs</v>
          </cell>
          <cell r="AQ734" t="str">
            <v>Camions détail</v>
          </cell>
          <cell r="AR734" t="str">
            <v>$</v>
          </cell>
          <cell r="AS734">
            <v>0</v>
          </cell>
          <cell r="AW734">
            <v>0</v>
          </cell>
          <cell r="AY734" t="str">
            <v>NB</v>
          </cell>
        </row>
        <row r="735">
          <cell r="AM735">
            <v>0</v>
          </cell>
          <cell r="AP735" t="e">
            <v>#N/A</v>
          </cell>
          <cell r="AQ735" t="e">
            <v>#N/A</v>
          </cell>
          <cell r="AR735" t="str">
            <v>$</v>
          </cell>
          <cell r="AS735" t="e">
            <v>#N/A</v>
          </cell>
          <cell r="AW735">
            <v>0</v>
          </cell>
          <cell r="AY735" t="str">
            <v>NB</v>
          </cell>
        </row>
        <row r="736">
          <cell r="AM736">
            <v>463024.08000000007</v>
          </cell>
          <cell r="AP736" t="str">
            <v>Véhicules neufs</v>
          </cell>
          <cell r="AQ736" t="str">
            <v>Camions détail</v>
          </cell>
          <cell r="AR736" t="str">
            <v>$</v>
          </cell>
          <cell r="AS736">
            <v>0</v>
          </cell>
          <cell r="AW736">
            <v>0</v>
          </cell>
          <cell r="AY736" t="str">
            <v>NB</v>
          </cell>
        </row>
        <row r="737">
          <cell r="AM737">
            <v>577961.44000000041</v>
          </cell>
          <cell r="AP737" t="str">
            <v>Véhicules neufs</v>
          </cell>
          <cell r="AQ737" t="str">
            <v>Camions détail</v>
          </cell>
          <cell r="AR737" t="str">
            <v>$</v>
          </cell>
          <cell r="AS737">
            <v>0</v>
          </cell>
          <cell r="AW737">
            <v>0</v>
          </cell>
          <cell r="AY737" t="str">
            <v>NB</v>
          </cell>
        </row>
        <row r="738">
          <cell r="AM738">
            <v>0</v>
          </cell>
          <cell r="AP738" t="str">
            <v>Véhicules neufs</v>
          </cell>
          <cell r="AQ738" t="str">
            <v>Camions electriques</v>
          </cell>
          <cell r="AR738" t="str">
            <v>$</v>
          </cell>
          <cell r="AS738">
            <v>0</v>
          </cell>
          <cell r="AW738">
            <v>0</v>
          </cell>
          <cell r="AY738" t="str">
            <v>NB</v>
          </cell>
        </row>
        <row r="739">
          <cell r="AM739">
            <v>0</v>
          </cell>
          <cell r="AP739" t="e">
            <v>#N/A</v>
          </cell>
          <cell r="AQ739" t="e">
            <v>#N/A</v>
          </cell>
          <cell r="AR739" t="str">
            <v>$</v>
          </cell>
          <cell r="AS739" t="e">
            <v>#N/A</v>
          </cell>
          <cell r="AW739">
            <v>0</v>
          </cell>
          <cell r="AY739" t="str">
            <v>NB</v>
          </cell>
        </row>
        <row r="740">
          <cell r="AM740">
            <v>0</v>
          </cell>
          <cell r="AP740" t="str">
            <v>Véhicules neufs</v>
          </cell>
          <cell r="AQ740" t="str">
            <v>Camions détail</v>
          </cell>
          <cell r="AR740" t="str">
            <v>$</v>
          </cell>
          <cell r="AS740">
            <v>0</v>
          </cell>
          <cell r="AW740">
            <v>0</v>
          </cell>
          <cell r="AY740" t="str">
            <v>NB</v>
          </cell>
        </row>
        <row r="741">
          <cell r="AM741">
            <v>296092.70999999996</v>
          </cell>
          <cell r="AP741" t="str">
            <v>Véhicules neufs</v>
          </cell>
          <cell r="AQ741" t="str">
            <v>Camions détail</v>
          </cell>
          <cell r="AR741" t="str">
            <v>$</v>
          </cell>
          <cell r="AS741">
            <v>0</v>
          </cell>
          <cell r="AW741">
            <v>0</v>
          </cell>
          <cell r="AY741" t="str">
            <v>NB</v>
          </cell>
        </row>
        <row r="742">
          <cell r="AM742">
            <v>0</v>
          </cell>
          <cell r="AP742" t="str">
            <v>Véhicules neufs</v>
          </cell>
          <cell r="AQ742" t="str">
            <v>Camions détail</v>
          </cell>
          <cell r="AR742" t="str">
            <v>$</v>
          </cell>
          <cell r="AS742">
            <v>0</v>
          </cell>
          <cell r="AW742">
            <v>0</v>
          </cell>
          <cell r="AY742" t="str">
            <v>NB</v>
          </cell>
        </row>
        <row r="743">
          <cell r="AM743">
            <v>0</v>
          </cell>
          <cell r="AP743" t="str">
            <v>Véhicules neufs</v>
          </cell>
          <cell r="AQ743" t="str">
            <v>Camions détail</v>
          </cell>
          <cell r="AR743" t="str">
            <v>$</v>
          </cell>
          <cell r="AS743">
            <v>0</v>
          </cell>
          <cell r="AW743">
            <v>0</v>
          </cell>
          <cell r="AY743" t="str">
            <v>NB</v>
          </cell>
        </row>
        <row r="744">
          <cell r="AM744">
            <v>123736.78000000003</v>
          </cell>
          <cell r="AP744" t="str">
            <v>Véhicules neufs</v>
          </cell>
          <cell r="AQ744" t="str">
            <v>Camions electriques</v>
          </cell>
          <cell r="AR744" t="str">
            <v>$</v>
          </cell>
          <cell r="AS744">
            <v>0</v>
          </cell>
          <cell r="AW744">
            <v>0</v>
          </cell>
          <cell r="AY744" t="str">
            <v>NB</v>
          </cell>
        </row>
        <row r="745">
          <cell r="AM745">
            <v>0</v>
          </cell>
          <cell r="AP745" t="e">
            <v>#N/A</v>
          </cell>
          <cell r="AQ745" t="e">
            <v>#N/A</v>
          </cell>
          <cell r="AR745" t="str">
            <v>$</v>
          </cell>
          <cell r="AS745" t="e">
            <v>#N/A</v>
          </cell>
          <cell r="AW745">
            <v>0</v>
          </cell>
          <cell r="AY745" t="str">
            <v>NB</v>
          </cell>
        </row>
        <row r="746">
          <cell r="AM746">
            <v>118618.54000000004</v>
          </cell>
          <cell r="AP746" t="str">
            <v>Véhicules neufs</v>
          </cell>
          <cell r="AQ746" t="str">
            <v>Camions détail</v>
          </cell>
          <cell r="AR746" t="str">
            <v>$</v>
          </cell>
          <cell r="AS746">
            <v>0</v>
          </cell>
          <cell r="AW746">
            <v>0</v>
          </cell>
          <cell r="AY746" t="str">
            <v>NB</v>
          </cell>
        </row>
        <row r="747">
          <cell r="AM747">
            <v>474103.55999999959</v>
          </cell>
          <cell r="AP747" t="str">
            <v>Véhicules neufs</v>
          </cell>
          <cell r="AQ747" t="str">
            <v>Camions electriques</v>
          </cell>
          <cell r="AR747" t="str">
            <v>$</v>
          </cell>
          <cell r="AS747">
            <v>0</v>
          </cell>
          <cell r="AW747">
            <v>0</v>
          </cell>
          <cell r="AY747" t="str">
            <v>NB</v>
          </cell>
        </row>
        <row r="748">
          <cell r="AM748">
            <v>0</v>
          </cell>
          <cell r="AP748" t="e">
            <v>#N/A</v>
          </cell>
          <cell r="AQ748" t="e">
            <v>#N/A</v>
          </cell>
          <cell r="AR748" t="str">
            <v>$</v>
          </cell>
          <cell r="AS748" t="e">
            <v>#N/A</v>
          </cell>
          <cell r="AW748">
            <v>0</v>
          </cell>
          <cell r="AY748" t="str">
            <v>NB</v>
          </cell>
        </row>
        <row r="749">
          <cell r="AM749">
            <v>0</v>
          </cell>
          <cell r="AP749" t="str">
            <v>Véhicules neufs</v>
          </cell>
          <cell r="AQ749" t="str">
            <v>Camions détail</v>
          </cell>
          <cell r="AR749" t="str">
            <v>$</v>
          </cell>
          <cell r="AS749">
            <v>0</v>
          </cell>
          <cell r="AW749">
            <v>0</v>
          </cell>
          <cell r="AY749" t="str">
            <v>NB</v>
          </cell>
        </row>
        <row r="750">
          <cell r="AM750">
            <v>0</v>
          </cell>
          <cell r="AP750" t="str">
            <v>Véhicules neufs</v>
          </cell>
          <cell r="AQ750" t="str">
            <v>Camions electriques</v>
          </cell>
          <cell r="AR750" t="str">
            <v>$</v>
          </cell>
          <cell r="AS750">
            <v>0</v>
          </cell>
          <cell r="AW750">
            <v>0</v>
          </cell>
          <cell r="AY750" t="str">
            <v>NB</v>
          </cell>
        </row>
        <row r="751">
          <cell r="AM751">
            <v>0</v>
          </cell>
          <cell r="AP751" t="e">
            <v>#N/A</v>
          </cell>
          <cell r="AQ751" t="e">
            <v>#N/A</v>
          </cell>
          <cell r="AR751" t="str">
            <v>$</v>
          </cell>
          <cell r="AS751" t="e">
            <v>#N/A</v>
          </cell>
          <cell r="AW751">
            <v>0</v>
          </cell>
          <cell r="AY751" t="str">
            <v>NB</v>
          </cell>
        </row>
        <row r="752">
          <cell r="AM752">
            <v>113967.20000000001</v>
          </cell>
          <cell r="AP752" t="str">
            <v>Véhicules neufs</v>
          </cell>
          <cell r="AQ752" t="str">
            <v>Camions détail</v>
          </cell>
          <cell r="AR752" t="str">
            <v>$</v>
          </cell>
          <cell r="AS752">
            <v>0</v>
          </cell>
          <cell r="AW752">
            <v>0</v>
          </cell>
          <cell r="AY752" t="str">
            <v>NB</v>
          </cell>
        </row>
        <row r="753">
          <cell r="AM753">
            <v>0</v>
          </cell>
          <cell r="AP753" t="str">
            <v>Véhicules neufs</v>
          </cell>
          <cell r="AQ753" t="str">
            <v>Camions détail</v>
          </cell>
          <cell r="AR753" t="str">
            <v>$</v>
          </cell>
          <cell r="AS753">
            <v>0</v>
          </cell>
          <cell r="AW753">
            <v>0</v>
          </cell>
          <cell r="AY753" t="str">
            <v>NB</v>
          </cell>
        </row>
        <row r="754">
          <cell r="AM754">
            <v>0</v>
          </cell>
          <cell r="AP754" t="e">
            <v>#N/A</v>
          </cell>
          <cell r="AQ754" t="e">
            <v>#N/A</v>
          </cell>
          <cell r="AR754" t="str">
            <v>$</v>
          </cell>
          <cell r="AS754" t="e">
            <v>#N/A</v>
          </cell>
          <cell r="AW754">
            <v>0</v>
          </cell>
          <cell r="AY754" t="str">
            <v>NB</v>
          </cell>
        </row>
        <row r="755">
          <cell r="AM755">
            <v>0</v>
          </cell>
          <cell r="AP755" t="e">
            <v>#N/A</v>
          </cell>
          <cell r="AQ755" t="e">
            <v>#N/A</v>
          </cell>
          <cell r="AR755" t="str">
            <v>$</v>
          </cell>
          <cell r="AS755" t="e">
            <v>#N/A</v>
          </cell>
          <cell r="AW755">
            <v>0</v>
          </cell>
          <cell r="AY755" t="str">
            <v>NB</v>
          </cell>
        </row>
        <row r="756">
          <cell r="AM756">
            <v>2854115.6000000015</v>
          </cell>
          <cell r="AP756" t="str">
            <v>Véhicules neufs</v>
          </cell>
          <cell r="AQ756" t="str">
            <v>Flottes</v>
          </cell>
          <cell r="AR756" t="str">
            <v>$</v>
          </cell>
          <cell r="AS756">
            <v>0</v>
          </cell>
          <cell r="AW756">
            <v>0</v>
          </cell>
          <cell r="AY756" t="str">
            <v>NB</v>
          </cell>
        </row>
        <row r="757">
          <cell r="AM757">
            <v>0</v>
          </cell>
          <cell r="AP757" t="str">
            <v>Véhicules neufs</v>
          </cell>
          <cell r="AQ757" t="str">
            <v>Flottes</v>
          </cell>
          <cell r="AR757" t="str">
            <v>$</v>
          </cell>
          <cell r="AS757">
            <v>0</v>
          </cell>
          <cell r="AW757">
            <v>0</v>
          </cell>
          <cell r="AY757" t="str">
            <v>NB</v>
          </cell>
        </row>
        <row r="758">
          <cell r="AM758">
            <v>54554.899999999965</v>
          </cell>
          <cell r="AP758" t="str">
            <v>Véhicules neufs</v>
          </cell>
          <cell r="AQ758" t="str">
            <v>Rev. Protections</v>
          </cell>
          <cell r="AR758" t="str">
            <v>$</v>
          </cell>
          <cell r="AS758">
            <v>0</v>
          </cell>
          <cell r="AW758">
            <v>0</v>
          </cell>
          <cell r="AY758" t="str">
            <v>NB</v>
          </cell>
        </row>
        <row r="759">
          <cell r="AM759">
            <v>0</v>
          </cell>
          <cell r="AP759" t="str">
            <v>Véhicules neufs</v>
          </cell>
          <cell r="AQ759" t="str">
            <v>Rev. Protections</v>
          </cell>
          <cell r="AR759" t="str">
            <v>$</v>
          </cell>
          <cell r="AS759">
            <v>0</v>
          </cell>
          <cell r="AW759">
            <v>0</v>
          </cell>
          <cell r="AY759" t="str">
            <v>NB</v>
          </cell>
        </row>
        <row r="760">
          <cell r="AM760">
            <v>0</v>
          </cell>
          <cell r="AP760" t="str">
            <v>Véhicules neufs</v>
          </cell>
          <cell r="AQ760" t="str">
            <v>Rev. Autres</v>
          </cell>
          <cell r="AR760" t="str">
            <v>$</v>
          </cell>
          <cell r="AS760">
            <v>0</v>
          </cell>
          <cell r="AW760">
            <v>0</v>
          </cell>
          <cell r="AY760" t="str">
            <v>NB</v>
          </cell>
        </row>
        <row r="761">
          <cell r="AM761">
            <v>4739</v>
          </cell>
          <cell r="AP761" t="str">
            <v>Véhicules neufs</v>
          </cell>
          <cell r="AQ761" t="str">
            <v>Rev. Autres</v>
          </cell>
          <cell r="AR761" t="str">
            <v>$</v>
          </cell>
          <cell r="AS761">
            <v>0</v>
          </cell>
          <cell r="AW761">
            <v>0</v>
          </cell>
          <cell r="AY761" t="str">
            <v>NB</v>
          </cell>
        </row>
        <row r="762">
          <cell r="AM762">
            <v>7221.9000000000015</v>
          </cell>
          <cell r="AP762" t="str">
            <v>Véhicules neufs</v>
          </cell>
          <cell r="AQ762" t="str">
            <v>Rev. Protections</v>
          </cell>
          <cell r="AR762" t="str">
            <v>$</v>
          </cell>
          <cell r="AS762">
            <v>0</v>
          </cell>
          <cell r="AW762">
            <v>0</v>
          </cell>
          <cell r="AY762" t="str">
            <v>NB</v>
          </cell>
        </row>
        <row r="763">
          <cell r="AM763">
            <v>7378.9599999999991</v>
          </cell>
          <cell r="AP763" t="str">
            <v>Véhicules neufs</v>
          </cell>
          <cell r="AQ763" t="str">
            <v>Rev. Autres</v>
          </cell>
          <cell r="AR763" t="str">
            <v>$</v>
          </cell>
          <cell r="AS763">
            <v>0</v>
          </cell>
          <cell r="AW763">
            <v>0</v>
          </cell>
          <cell r="AY763" t="str">
            <v>NB</v>
          </cell>
        </row>
        <row r="764">
          <cell r="AM764">
            <v>0</v>
          </cell>
          <cell r="AP764" t="str">
            <v>Véhicules usagés</v>
          </cell>
          <cell r="AQ764" t="str">
            <v>Certifié</v>
          </cell>
          <cell r="AR764" t="str">
            <v>$</v>
          </cell>
          <cell r="AS764">
            <v>0</v>
          </cell>
          <cell r="AW764">
            <v>0</v>
          </cell>
          <cell r="AY764" t="str">
            <v>NB</v>
          </cell>
        </row>
        <row r="765">
          <cell r="AM765">
            <v>46162.169999999925</v>
          </cell>
          <cell r="AP765" t="str">
            <v>Véhicules usagés</v>
          </cell>
          <cell r="AQ765" t="str">
            <v>Non Certifié</v>
          </cell>
          <cell r="AR765" t="str">
            <v>$</v>
          </cell>
          <cell r="AS765">
            <v>0</v>
          </cell>
          <cell r="AW765">
            <v>0</v>
          </cell>
          <cell r="AY765" t="str">
            <v>NB</v>
          </cell>
        </row>
        <row r="766">
          <cell r="AM766">
            <v>0</v>
          </cell>
          <cell r="AP766" t="str">
            <v>Véhicules usagés</v>
          </cell>
          <cell r="AQ766" t="str">
            <v>Certifié</v>
          </cell>
          <cell r="AR766" t="str">
            <v>$</v>
          </cell>
          <cell r="AS766">
            <v>0</v>
          </cell>
          <cell r="AW766">
            <v>0</v>
          </cell>
          <cell r="AY766" t="str">
            <v>NB</v>
          </cell>
        </row>
        <row r="767">
          <cell r="AM767">
            <v>0</v>
          </cell>
          <cell r="AP767">
            <v>0</v>
          </cell>
          <cell r="AQ767">
            <v>0</v>
          </cell>
          <cell r="AR767" t="str">
            <v>$</v>
          </cell>
          <cell r="AS767">
            <v>0</v>
          </cell>
          <cell r="AW767">
            <v>0</v>
          </cell>
          <cell r="AY767" t="str">
            <v>NB</v>
          </cell>
        </row>
        <row r="768">
          <cell r="AM768">
            <v>0</v>
          </cell>
          <cell r="AP768">
            <v>0</v>
          </cell>
          <cell r="AQ768">
            <v>0</v>
          </cell>
          <cell r="AR768" t="str">
            <v>$</v>
          </cell>
          <cell r="AS768">
            <v>0</v>
          </cell>
          <cell r="AW768">
            <v>0</v>
          </cell>
          <cell r="AY768" t="str">
            <v>NB</v>
          </cell>
        </row>
        <row r="769">
          <cell r="AM769">
            <v>0</v>
          </cell>
          <cell r="AP769">
            <v>0</v>
          </cell>
          <cell r="AQ769">
            <v>0</v>
          </cell>
          <cell r="AR769" t="str">
            <v>$</v>
          </cell>
          <cell r="AS769">
            <v>0</v>
          </cell>
          <cell r="AW769">
            <v>0</v>
          </cell>
          <cell r="AY769" t="str">
            <v>NB</v>
          </cell>
        </row>
        <row r="770">
          <cell r="AM770">
            <v>59500</v>
          </cell>
          <cell r="AP770" t="str">
            <v>Véhicules usagés</v>
          </cell>
          <cell r="AQ770" t="str">
            <v>Ventes au Gros</v>
          </cell>
          <cell r="AR770" t="str">
            <v>$</v>
          </cell>
          <cell r="AS770">
            <v>0</v>
          </cell>
          <cell r="AW770">
            <v>0</v>
          </cell>
          <cell r="AY770" t="str">
            <v>NB</v>
          </cell>
        </row>
        <row r="771">
          <cell r="AM771">
            <v>0</v>
          </cell>
          <cell r="AP771">
            <v>0</v>
          </cell>
          <cell r="AQ771">
            <v>0</v>
          </cell>
          <cell r="AR771" t="str">
            <v>$</v>
          </cell>
          <cell r="AS771">
            <v>0</v>
          </cell>
          <cell r="AW771">
            <v>0</v>
          </cell>
          <cell r="AY771" t="str">
            <v>NB</v>
          </cell>
        </row>
        <row r="772">
          <cell r="AM772">
            <v>0</v>
          </cell>
          <cell r="AP772" t="str">
            <v>Véhicules usagés</v>
          </cell>
          <cell r="AQ772" t="str">
            <v>Ventes au Gros</v>
          </cell>
          <cell r="AR772" t="str">
            <v>$</v>
          </cell>
          <cell r="AS772" t="str">
            <v>Oui</v>
          </cell>
          <cell r="AW772">
            <v>0</v>
          </cell>
          <cell r="AY772" t="str">
            <v>NB</v>
          </cell>
        </row>
        <row r="773">
          <cell r="AM773">
            <v>422440.85999999987</v>
          </cell>
          <cell r="AP773" t="str">
            <v>Véhicules usagés</v>
          </cell>
          <cell r="AQ773" t="str">
            <v>Non Certifié</v>
          </cell>
          <cell r="AR773" t="str">
            <v>$</v>
          </cell>
          <cell r="AS773">
            <v>0</v>
          </cell>
          <cell r="AW773">
            <v>0</v>
          </cell>
          <cell r="AY773" t="str">
            <v>NB</v>
          </cell>
        </row>
        <row r="774">
          <cell r="AM774">
            <v>0</v>
          </cell>
          <cell r="AP774" t="e">
            <v>#N/A</v>
          </cell>
          <cell r="AQ774" t="e">
            <v>#N/A</v>
          </cell>
          <cell r="AR774" t="str">
            <v>$</v>
          </cell>
          <cell r="AS774" t="e">
            <v>#N/A</v>
          </cell>
          <cell r="AW774">
            <v>0</v>
          </cell>
          <cell r="AY774" t="str">
            <v>NB</v>
          </cell>
        </row>
        <row r="775">
          <cell r="AM775">
            <v>0</v>
          </cell>
          <cell r="AP775">
            <v>0</v>
          </cell>
          <cell r="AQ775">
            <v>0</v>
          </cell>
          <cell r="AR775" t="str">
            <v>$</v>
          </cell>
          <cell r="AS775">
            <v>0</v>
          </cell>
          <cell r="AW775">
            <v>0</v>
          </cell>
          <cell r="AY775" t="str">
            <v>NB</v>
          </cell>
        </row>
        <row r="776">
          <cell r="AM776">
            <v>0</v>
          </cell>
          <cell r="AP776">
            <v>0</v>
          </cell>
          <cell r="AQ776">
            <v>0</v>
          </cell>
          <cell r="AR776" t="str">
            <v>$</v>
          </cell>
          <cell r="AS776">
            <v>0</v>
          </cell>
          <cell r="AW776">
            <v>0</v>
          </cell>
          <cell r="AY776" t="str">
            <v>NB</v>
          </cell>
        </row>
        <row r="777">
          <cell r="AM777">
            <v>0</v>
          </cell>
          <cell r="AP777">
            <v>0</v>
          </cell>
          <cell r="AQ777">
            <v>0</v>
          </cell>
          <cell r="AR777" t="str">
            <v>$</v>
          </cell>
          <cell r="AS777">
            <v>0</v>
          </cell>
          <cell r="AW777">
            <v>0</v>
          </cell>
          <cell r="AY777" t="str">
            <v>NB</v>
          </cell>
        </row>
        <row r="778">
          <cell r="AM778">
            <v>3004501.8200000003</v>
          </cell>
          <cell r="AP778" t="str">
            <v>Véhicules usagés</v>
          </cell>
          <cell r="AQ778" t="str">
            <v>Ventes au Gros</v>
          </cell>
          <cell r="AR778" t="str">
            <v>$</v>
          </cell>
          <cell r="AS778">
            <v>0</v>
          </cell>
          <cell r="AW778">
            <v>0</v>
          </cell>
          <cell r="AY778" t="str">
            <v>NB</v>
          </cell>
        </row>
        <row r="779">
          <cell r="AM779">
            <v>3904730.0000000019</v>
          </cell>
          <cell r="AP779" t="str">
            <v>Wholesale autres</v>
          </cell>
          <cell r="AQ779" t="str">
            <v>Wholesale Luxueux</v>
          </cell>
          <cell r="AR779" t="str">
            <v>$</v>
          </cell>
          <cell r="AS779">
            <v>0</v>
          </cell>
          <cell r="AW779">
            <v>0</v>
          </cell>
          <cell r="AY779" t="str">
            <v>NB</v>
          </cell>
        </row>
        <row r="780">
          <cell r="AM780">
            <v>0</v>
          </cell>
          <cell r="AP780">
            <v>0</v>
          </cell>
          <cell r="AQ780">
            <v>0</v>
          </cell>
          <cell r="AR780" t="str">
            <v>$</v>
          </cell>
          <cell r="AS780">
            <v>0</v>
          </cell>
          <cell r="AW780">
            <v>0</v>
          </cell>
          <cell r="AY780" t="str">
            <v>NB</v>
          </cell>
        </row>
        <row r="781">
          <cell r="AM781">
            <v>6205</v>
          </cell>
          <cell r="AP781" t="str">
            <v>Véhicules usagés</v>
          </cell>
          <cell r="AQ781" t="str">
            <v>Rev. Protections</v>
          </cell>
          <cell r="AR781" t="str">
            <v>$</v>
          </cell>
          <cell r="AS781">
            <v>0</v>
          </cell>
          <cell r="AW781">
            <v>0</v>
          </cell>
          <cell r="AY781" t="str">
            <v>NB</v>
          </cell>
        </row>
        <row r="782">
          <cell r="AM782">
            <v>0</v>
          </cell>
          <cell r="AP782" t="str">
            <v>Véhicules usagés</v>
          </cell>
          <cell r="AQ782" t="str">
            <v>Rev. Protections</v>
          </cell>
          <cell r="AR782" t="str">
            <v>$</v>
          </cell>
          <cell r="AS782">
            <v>0</v>
          </cell>
          <cell r="AW782">
            <v>0</v>
          </cell>
          <cell r="AY782" t="str">
            <v>NB</v>
          </cell>
        </row>
        <row r="783">
          <cell r="AM783">
            <v>2504.6000000000004</v>
          </cell>
          <cell r="AP783" t="str">
            <v>Véhicules usagés</v>
          </cell>
          <cell r="AQ783" t="str">
            <v>Rev. Protections</v>
          </cell>
          <cell r="AR783" t="str">
            <v>$</v>
          </cell>
          <cell r="AS783">
            <v>0</v>
          </cell>
          <cell r="AW783">
            <v>0</v>
          </cell>
          <cell r="AY783" t="str">
            <v>NB</v>
          </cell>
        </row>
        <row r="784">
          <cell r="AM784">
            <v>132298.88</v>
          </cell>
          <cell r="AP784" t="str">
            <v>Wholesale autres</v>
          </cell>
          <cell r="AQ784" t="str">
            <v>Wholesale USA</v>
          </cell>
          <cell r="AR784" t="str">
            <v>$</v>
          </cell>
          <cell r="AS784">
            <v>0</v>
          </cell>
          <cell r="AW784">
            <v>0</v>
          </cell>
          <cell r="AY784" t="str">
            <v>NB</v>
          </cell>
        </row>
        <row r="785">
          <cell r="AM785">
            <v>0</v>
          </cell>
          <cell r="AP785" t="str">
            <v>Wholesale autres</v>
          </cell>
          <cell r="AQ785" t="str">
            <v>Wholesale USA</v>
          </cell>
          <cell r="AR785" t="str">
            <v>$</v>
          </cell>
          <cell r="AS785">
            <v>0</v>
          </cell>
          <cell r="AW785">
            <v>0</v>
          </cell>
          <cell r="AY785" t="str">
            <v>NB</v>
          </cell>
        </row>
        <row r="786">
          <cell r="AM786">
            <v>2225101.34</v>
          </cell>
          <cell r="AP786" t="str">
            <v>Wholesale autres</v>
          </cell>
          <cell r="AQ786" t="str">
            <v>Wholesale USA</v>
          </cell>
          <cell r="AR786" t="str">
            <v>$</v>
          </cell>
          <cell r="AS786">
            <v>0</v>
          </cell>
          <cell r="AW786">
            <v>0</v>
          </cell>
          <cell r="AY786" t="str">
            <v>NB</v>
          </cell>
        </row>
        <row r="787">
          <cell r="AM787">
            <v>15787.109999999986</v>
          </cell>
          <cell r="AP787" t="str">
            <v>Service</v>
          </cell>
          <cell r="AQ787" t="str">
            <v>M/O Client</v>
          </cell>
          <cell r="AR787" t="str">
            <v>$</v>
          </cell>
          <cell r="AS787">
            <v>0</v>
          </cell>
          <cell r="AW787">
            <v>0</v>
          </cell>
          <cell r="AY787" t="str">
            <v>NB</v>
          </cell>
        </row>
        <row r="788">
          <cell r="AM788">
            <v>0</v>
          </cell>
          <cell r="AP788" t="str">
            <v>Service</v>
          </cell>
          <cell r="AQ788" t="str">
            <v>M/O Garantie</v>
          </cell>
          <cell r="AR788" t="str">
            <v>$</v>
          </cell>
          <cell r="AS788">
            <v>0</v>
          </cell>
          <cell r="AW788">
            <v>0</v>
          </cell>
          <cell r="AY788" t="str">
            <v>NB</v>
          </cell>
        </row>
        <row r="789">
          <cell r="AM789">
            <v>0</v>
          </cell>
          <cell r="AP789" t="e">
            <v>#N/A</v>
          </cell>
          <cell r="AQ789" t="e">
            <v>#N/A</v>
          </cell>
          <cell r="AR789" t="str">
            <v>$</v>
          </cell>
          <cell r="AS789" t="e">
            <v>#N/A</v>
          </cell>
          <cell r="AW789">
            <v>0</v>
          </cell>
          <cell r="AY789" t="str">
            <v>NB</v>
          </cell>
        </row>
        <row r="790">
          <cell r="AM790">
            <v>534.27000000000044</v>
          </cell>
          <cell r="AP790" t="str">
            <v>Service</v>
          </cell>
          <cell r="AQ790" t="str">
            <v>M/O Client</v>
          </cell>
          <cell r="AR790" t="str">
            <v>$</v>
          </cell>
          <cell r="AS790">
            <v>0</v>
          </cell>
          <cell r="AW790">
            <v>0</v>
          </cell>
          <cell r="AY790" t="str">
            <v>NB</v>
          </cell>
        </row>
        <row r="791">
          <cell r="AM791">
            <v>16738.479999999981</v>
          </cell>
          <cell r="AP791" t="str">
            <v>SAAQ</v>
          </cell>
          <cell r="AQ791" t="str">
            <v>Inspection - Véhicules Légers</v>
          </cell>
          <cell r="AR791" t="str">
            <v>$</v>
          </cell>
          <cell r="AS791">
            <v>0</v>
          </cell>
          <cell r="AW791">
            <v>0</v>
          </cell>
          <cell r="AY791" t="str">
            <v>NB</v>
          </cell>
        </row>
        <row r="792">
          <cell r="AM792">
            <v>0</v>
          </cell>
          <cell r="AP792" t="str">
            <v>SAAQ</v>
          </cell>
          <cell r="AQ792" t="str">
            <v>Inspection - Véhicules Interne</v>
          </cell>
          <cell r="AR792" t="str">
            <v>$</v>
          </cell>
          <cell r="AS792">
            <v>0</v>
          </cell>
          <cell r="AW792">
            <v>0</v>
          </cell>
          <cell r="AY792" t="str">
            <v>NB</v>
          </cell>
        </row>
        <row r="793">
          <cell r="AM793">
            <v>0</v>
          </cell>
          <cell r="AP793" t="str">
            <v>SAAQ</v>
          </cell>
          <cell r="AQ793" t="str">
            <v>Inspection - Véhicules Lourds</v>
          </cell>
          <cell r="AR793" t="str">
            <v>$</v>
          </cell>
          <cell r="AS793">
            <v>0</v>
          </cell>
          <cell r="AW793">
            <v>0</v>
          </cell>
          <cell r="AY793" t="str">
            <v>NB</v>
          </cell>
        </row>
        <row r="794">
          <cell r="AM794">
            <v>17044.75</v>
          </cell>
          <cell r="AP794" t="str">
            <v>Service</v>
          </cell>
          <cell r="AQ794" t="str">
            <v>M/O Garantie</v>
          </cell>
          <cell r="AR794" t="str">
            <v>$</v>
          </cell>
          <cell r="AS794">
            <v>0</v>
          </cell>
          <cell r="AW794">
            <v>0</v>
          </cell>
          <cell r="AY794" t="str">
            <v>NB</v>
          </cell>
        </row>
        <row r="795">
          <cell r="AM795">
            <v>14113.89</v>
          </cell>
          <cell r="AP795" t="str">
            <v>Service</v>
          </cell>
          <cell r="AQ795" t="str">
            <v>M/O Interne</v>
          </cell>
          <cell r="AR795" t="str">
            <v>$</v>
          </cell>
          <cell r="AS795">
            <v>0</v>
          </cell>
          <cell r="AW795">
            <v>0</v>
          </cell>
          <cell r="AY795" t="str">
            <v>NB</v>
          </cell>
        </row>
        <row r="796">
          <cell r="AM796">
            <v>502.55000000000018</v>
          </cell>
          <cell r="AP796" t="str">
            <v>SAAQ</v>
          </cell>
          <cell r="AQ796" t="str">
            <v>Inspection - Véhicules Interne</v>
          </cell>
          <cell r="AR796" t="str">
            <v>$</v>
          </cell>
          <cell r="AS796">
            <v>0</v>
          </cell>
          <cell r="AW796">
            <v>0</v>
          </cell>
          <cell r="AY796" t="str">
            <v>NB</v>
          </cell>
        </row>
        <row r="797">
          <cell r="AM797">
            <v>1690.3899999999994</v>
          </cell>
          <cell r="AP797" t="str">
            <v>Service</v>
          </cell>
          <cell r="AQ797" t="str">
            <v>M/O Interne</v>
          </cell>
          <cell r="AR797" t="str">
            <v>$</v>
          </cell>
          <cell r="AS797">
            <v>0</v>
          </cell>
          <cell r="AW797">
            <v>0</v>
          </cell>
          <cell r="AY797" t="str">
            <v>NB</v>
          </cell>
        </row>
        <row r="798">
          <cell r="AM798">
            <v>0</v>
          </cell>
          <cell r="AP798" t="e">
            <v>#N/A</v>
          </cell>
          <cell r="AQ798" t="e">
            <v>#N/A</v>
          </cell>
          <cell r="AR798" t="str">
            <v>$</v>
          </cell>
          <cell r="AS798" t="e">
            <v>#N/A</v>
          </cell>
          <cell r="AW798">
            <v>0</v>
          </cell>
          <cell r="AY798" t="str">
            <v>NB</v>
          </cell>
        </row>
        <row r="799">
          <cell r="AM799">
            <v>-1303.8599999999969</v>
          </cell>
          <cell r="AP799" t="str">
            <v>Service</v>
          </cell>
          <cell r="AQ799" t="str">
            <v>Ajustement M/O</v>
          </cell>
          <cell r="AR799" t="str">
            <v>$</v>
          </cell>
          <cell r="AS799">
            <v>0</v>
          </cell>
          <cell r="AW799">
            <v>0</v>
          </cell>
          <cell r="AY799" t="str">
            <v>NB</v>
          </cell>
        </row>
        <row r="800">
          <cell r="AM800">
            <v>20282.679999999993</v>
          </cell>
          <cell r="AP800" t="str">
            <v>Service</v>
          </cell>
          <cell r="AQ800" t="str">
            <v>Sous-traitement</v>
          </cell>
          <cell r="AR800" t="str">
            <v>$</v>
          </cell>
          <cell r="AS800">
            <v>0</v>
          </cell>
          <cell r="AW800">
            <v>0</v>
          </cell>
          <cell r="AY800" t="str">
            <v>NB</v>
          </cell>
        </row>
        <row r="801">
          <cell r="AM801">
            <v>0</v>
          </cell>
          <cell r="AP801" t="str">
            <v>SAAQ</v>
          </cell>
          <cell r="AQ801" t="str">
            <v>Inspection - Véhicules Interne</v>
          </cell>
          <cell r="AR801" t="str">
            <v>$</v>
          </cell>
          <cell r="AS801">
            <v>0</v>
          </cell>
          <cell r="AW801">
            <v>0</v>
          </cell>
          <cell r="AY801" t="str">
            <v>NB</v>
          </cell>
        </row>
        <row r="802">
          <cell r="AM802">
            <v>0</v>
          </cell>
          <cell r="AP802" t="e">
            <v>#N/A</v>
          </cell>
          <cell r="AQ802" t="e">
            <v>#N/A</v>
          </cell>
          <cell r="AR802" t="str">
            <v>$</v>
          </cell>
          <cell r="AS802" t="e">
            <v>#N/A</v>
          </cell>
          <cell r="AW802">
            <v>0</v>
          </cell>
          <cell r="AY802" t="str">
            <v>NB</v>
          </cell>
        </row>
        <row r="803">
          <cell r="AM803">
            <v>28468.090000000026</v>
          </cell>
          <cell r="AP803" t="str">
            <v>Pièces</v>
          </cell>
          <cell r="AQ803" t="str">
            <v>Pièces Ro Clients</v>
          </cell>
          <cell r="AR803" t="str">
            <v>$</v>
          </cell>
          <cell r="AS803">
            <v>0</v>
          </cell>
          <cell r="AW803">
            <v>0</v>
          </cell>
          <cell r="AY803" t="str">
            <v>NB</v>
          </cell>
        </row>
        <row r="804">
          <cell r="AM804">
            <v>0</v>
          </cell>
          <cell r="AP804" t="str">
            <v>Pièces</v>
          </cell>
          <cell r="AQ804" t="str">
            <v>Pièces Ro Clients</v>
          </cell>
          <cell r="AR804" t="str">
            <v>$</v>
          </cell>
          <cell r="AS804">
            <v>0</v>
          </cell>
          <cell r="AW804">
            <v>0</v>
          </cell>
          <cell r="AY804" t="str">
            <v>NB</v>
          </cell>
        </row>
        <row r="805">
          <cell r="AM805">
            <v>0</v>
          </cell>
          <cell r="AP805">
            <v>0</v>
          </cell>
          <cell r="AQ805">
            <v>0</v>
          </cell>
          <cell r="AR805" t="str">
            <v>$</v>
          </cell>
          <cell r="AS805">
            <v>0</v>
          </cell>
          <cell r="AW805">
            <v>0</v>
          </cell>
          <cell r="AY805" t="str">
            <v>NB</v>
          </cell>
        </row>
        <row r="806">
          <cell r="AM806">
            <v>0</v>
          </cell>
          <cell r="AP806">
            <v>0</v>
          </cell>
          <cell r="AQ806">
            <v>0</v>
          </cell>
          <cell r="AR806" t="str">
            <v>$</v>
          </cell>
          <cell r="AS806">
            <v>0</v>
          </cell>
          <cell r="AW806">
            <v>0</v>
          </cell>
          <cell r="AY806" t="str">
            <v>NB</v>
          </cell>
        </row>
        <row r="807">
          <cell r="AM807">
            <v>0</v>
          </cell>
          <cell r="AP807">
            <v>0</v>
          </cell>
          <cell r="AQ807">
            <v>0</v>
          </cell>
          <cell r="AR807" t="str">
            <v>$</v>
          </cell>
          <cell r="AS807">
            <v>0</v>
          </cell>
          <cell r="AW807">
            <v>0</v>
          </cell>
          <cell r="AY807" t="str">
            <v>NB</v>
          </cell>
        </row>
        <row r="808">
          <cell r="AM808">
            <v>0</v>
          </cell>
          <cell r="AP808" t="e">
            <v>#N/A</v>
          </cell>
          <cell r="AQ808" t="e">
            <v>#N/A</v>
          </cell>
          <cell r="AR808" t="str">
            <v>$</v>
          </cell>
          <cell r="AS808" t="e">
            <v>#N/A</v>
          </cell>
          <cell r="AW808">
            <v>0</v>
          </cell>
          <cell r="AY808" t="str">
            <v>NB</v>
          </cell>
        </row>
        <row r="809">
          <cell r="AM809">
            <v>2654.9400000000005</v>
          </cell>
          <cell r="AP809" t="str">
            <v>Service</v>
          </cell>
          <cell r="AQ809" t="str">
            <v>Sous-traitement</v>
          </cell>
          <cell r="AR809" t="str">
            <v>$</v>
          </cell>
          <cell r="AS809">
            <v>0</v>
          </cell>
          <cell r="AW809">
            <v>0</v>
          </cell>
          <cell r="AY809" t="str">
            <v>NB</v>
          </cell>
        </row>
        <row r="810">
          <cell r="AM810">
            <v>0</v>
          </cell>
          <cell r="AP810" t="str">
            <v>Carrosserie</v>
          </cell>
          <cell r="AQ810" t="str">
            <v>Carrosserie Clients</v>
          </cell>
          <cell r="AR810" t="str">
            <v>$</v>
          </cell>
          <cell r="AS810">
            <v>0</v>
          </cell>
          <cell r="AW810">
            <v>0</v>
          </cell>
          <cell r="AY810" t="str">
            <v>NB</v>
          </cell>
        </row>
        <row r="811">
          <cell r="AM811">
            <v>19062.37000000001</v>
          </cell>
          <cell r="AP811" t="str">
            <v>Carrosserie</v>
          </cell>
          <cell r="AQ811" t="str">
            <v>Carrosserie Clients</v>
          </cell>
          <cell r="AR811" t="str">
            <v>$</v>
          </cell>
          <cell r="AS811">
            <v>0</v>
          </cell>
          <cell r="AW811">
            <v>0</v>
          </cell>
          <cell r="AY811" t="str">
            <v>NB</v>
          </cell>
        </row>
        <row r="812">
          <cell r="AM812">
            <v>0</v>
          </cell>
          <cell r="AP812" t="str">
            <v>Carrosserie</v>
          </cell>
          <cell r="AQ812" t="str">
            <v>Carrosserie Interne</v>
          </cell>
          <cell r="AR812" t="str">
            <v>$</v>
          </cell>
          <cell r="AS812">
            <v>0</v>
          </cell>
          <cell r="AW812">
            <v>0</v>
          </cell>
          <cell r="AY812" t="str">
            <v>NB</v>
          </cell>
        </row>
        <row r="813">
          <cell r="AM813">
            <v>-8069</v>
          </cell>
          <cell r="AP813" t="str">
            <v>Carrosserie</v>
          </cell>
          <cell r="AQ813" t="str">
            <v>Carrosserie Interne</v>
          </cell>
          <cell r="AR813" t="str">
            <v>$</v>
          </cell>
          <cell r="AS813">
            <v>0</v>
          </cell>
          <cell r="AW813">
            <v>0</v>
          </cell>
          <cell r="AY813" t="str">
            <v>NB</v>
          </cell>
        </row>
        <row r="814">
          <cell r="AM814">
            <v>-4423.45</v>
          </cell>
          <cell r="AP814" t="str">
            <v>Carrosserie</v>
          </cell>
          <cell r="AQ814" t="str">
            <v>Ajustement M/O Carrosserie</v>
          </cell>
          <cell r="AR814" t="str">
            <v>$</v>
          </cell>
          <cell r="AS814">
            <v>0</v>
          </cell>
          <cell r="AW814">
            <v>0</v>
          </cell>
          <cell r="AY814" t="str">
            <v>NB</v>
          </cell>
        </row>
        <row r="815">
          <cell r="AM815">
            <v>75862.559999999998</v>
          </cell>
          <cell r="AP815" t="str">
            <v>Carrosserie</v>
          </cell>
          <cell r="AQ815" t="str">
            <v>Carrosserie Clients</v>
          </cell>
          <cell r="AR815" t="str">
            <v>$</v>
          </cell>
          <cell r="AS815">
            <v>0</v>
          </cell>
          <cell r="AW815">
            <v>0</v>
          </cell>
          <cell r="AY815" t="str">
            <v>NB</v>
          </cell>
        </row>
        <row r="816">
          <cell r="AM816">
            <v>0</v>
          </cell>
          <cell r="AP816" t="str">
            <v>Pièces</v>
          </cell>
          <cell r="AQ816" t="str">
            <v>Pièces Ro Carrosserie</v>
          </cell>
          <cell r="AR816" t="str">
            <v>$</v>
          </cell>
          <cell r="AS816">
            <v>0</v>
          </cell>
          <cell r="AW816">
            <v>0</v>
          </cell>
          <cell r="AY816" t="str">
            <v>NB</v>
          </cell>
        </row>
        <row r="817">
          <cell r="AM817">
            <v>0</v>
          </cell>
          <cell r="AP817">
            <v>0</v>
          </cell>
          <cell r="AQ817">
            <v>0</v>
          </cell>
          <cell r="AR817" t="str">
            <v>$</v>
          </cell>
          <cell r="AS817">
            <v>0</v>
          </cell>
          <cell r="AW817">
            <v>0</v>
          </cell>
          <cell r="AY817" t="str">
            <v>NB</v>
          </cell>
        </row>
        <row r="818">
          <cell r="AM818">
            <v>0</v>
          </cell>
          <cell r="AP818" t="e">
            <v>#N/A</v>
          </cell>
          <cell r="AQ818" t="e">
            <v>#N/A</v>
          </cell>
          <cell r="AR818" t="str">
            <v>$</v>
          </cell>
          <cell r="AS818" t="e">
            <v>#N/A</v>
          </cell>
          <cell r="AW818">
            <v>0</v>
          </cell>
          <cell r="AY818" t="str">
            <v>NB</v>
          </cell>
        </row>
        <row r="819">
          <cell r="AM819">
            <v>6313.4400000000023</v>
          </cell>
          <cell r="AP819" t="str">
            <v>Carrosserie</v>
          </cell>
          <cell r="AQ819" t="str">
            <v>Carrosserie Clients</v>
          </cell>
          <cell r="AR819" t="str">
            <v>$</v>
          </cell>
          <cell r="AS819">
            <v>0</v>
          </cell>
          <cell r="AW819">
            <v>0</v>
          </cell>
          <cell r="AY819" t="str">
            <v>NB</v>
          </cell>
        </row>
        <row r="820">
          <cell r="AM820">
            <v>44709.050000000047</v>
          </cell>
          <cell r="AP820" t="str">
            <v>Pièces</v>
          </cell>
          <cell r="AQ820" t="str">
            <v>P/A Garantie</v>
          </cell>
          <cell r="AR820" t="str">
            <v>$</v>
          </cell>
          <cell r="AS820">
            <v>0</v>
          </cell>
          <cell r="AW820">
            <v>0</v>
          </cell>
          <cell r="AY820" t="str">
            <v>NB</v>
          </cell>
        </row>
        <row r="821">
          <cell r="AM821">
            <v>0</v>
          </cell>
          <cell r="AP821" t="str">
            <v>Pièces</v>
          </cell>
          <cell r="AQ821" t="str">
            <v>P/A Garantie</v>
          </cell>
          <cell r="AR821" t="str">
            <v>$</v>
          </cell>
          <cell r="AS821">
            <v>0</v>
          </cell>
          <cell r="AW821">
            <v>0</v>
          </cell>
          <cell r="AY821" t="str">
            <v>NB</v>
          </cell>
        </row>
        <row r="822">
          <cell r="AM822">
            <v>26427.850000000035</v>
          </cell>
          <cell r="AP822" t="str">
            <v>Pièces</v>
          </cell>
          <cell r="AQ822" t="str">
            <v>Ventes Internes</v>
          </cell>
          <cell r="AR822" t="str">
            <v>$</v>
          </cell>
          <cell r="AS822">
            <v>0</v>
          </cell>
          <cell r="AW822">
            <v>0</v>
          </cell>
          <cell r="AY822" t="str">
            <v>NB</v>
          </cell>
        </row>
        <row r="823">
          <cell r="AM823">
            <v>0</v>
          </cell>
          <cell r="AP823" t="str">
            <v>Pièces</v>
          </cell>
          <cell r="AQ823" t="str">
            <v>Ventes Internes</v>
          </cell>
          <cell r="AR823" t="str">
            <v>$</v>
          </cell>
          <cell r="AS823">
            <v>0</v>
          </cell>
          <cell r="AW823">
            <v>0</v>
          </cell>
          <cell r="AY823" t="str">
            <v>NB</v>
          </cell>
        </row>
        <row r="824">
          <cell r="AM824">
            <v>29355.350000000006</v>
          </cell>
          <cell r="AP824" t="str">
            <v>Pièces</v>
          </cell>
          <cell r="AQ824" t="str">
            <v>Ventes Détails</v>
          </cell>
          <cell r="AR824" t="str">
            <v>$</v>
          </cell>
          <cell r="AS824">
            <v>0</v>
          </cell>
          <cell r="AW824">
            <v>0</v>
          </cell>
          <cell r="AY824" t="str">
            <v>NB</v>
          </cell>
        </row>
        <row r="825">
          <cell r="AM825">
            <v>118780.12</v>
          </cell>
          <cell r="AP825" t="str">
            <v>Pièces</v>
          </cell>
          <cell r="AQ825" t="str">
            <v>Ventes de Gros</v>
          </cell>
          <cell r="AR825" t="str">
            <v>$</v>
          </cell>
          <cell r="AS825">
            <v>0</v>
          </cell>
          <cell r="AW825">
            <v>0</v>
          </cell>
          <cell r="AY825" t="str">
            <v>NB</v>
          </cell>
        </row>
        <row r="826">
          <cell r="AM826">
            <v>-335.27999999999884</v>
          </cell>
          <cell r="AP826" t="str">
            <v>Pièces</v>
          </cell>
          <cell r="AQ826" t="str">
            <v>Escomptes</v>
          </cell>
          <cell r="AR826" t="str">
            <v>$</v>
          </cell>
          <cell r="AS826">
            <v>0</v>
          </cell>
          <cell r="AW826">
            <v>0</v>
          </cell>
          <cell r="AY826" t="str">
            <v>NB</v>
          </cell>
        </row>
        <row r="827">
          <cell r="AM827">
            <v>-10.430000000000291</v>
          </cell>
          <cell r="AP827" t="str">
            <v>Pièces</v>
          </cell>
          <cell r="AQ827" t="str">
            <v>Rectif. Inventaire</v>
          </cell>
          <cell r="AR827" t="str">
            <v>$</v>
          </cell>
          <cell r="AS827">
            <v>0</v>
          </cell>
          <cell r="AW827">
            <v>0</v>
          </cell>
          <cell r="AY827" t="str">
            <v>NB</v>
          </cell>
        </row>
        <row r="828">
          <cell r="AM828">
            <v>15414.580000000009</v>
          </cell>
          <cell r="AP828" t="str">
            <v>Pièces</v>
          </cell>
          <cell r="AQ828" t="str">
            <v>Ventes Pneus</v>
          </cell>
          <cell r="AR828" t="str">
            <v>$</v>
          </cell>
          <cell r="AS828">
            <v>0</v>
          </cell>
          <cell r="AW828">
            <v>0</v>
          </cell>
          <cell r="AY828" t="str">
            <v>NB</v>
          </cell>
        </row>
        <row r="829">
          <cell r="AM829">
            <v>10039.419999999998</v>
          </cell>
          <cell r="AP829" t="str">
            <v>Pièces</v>
          </cell>
          <cell r="AQ829" t="str">
            <v>Huiles et Graisse</v>
          </cell>
          <cell r="AR829" t="str">
            <v>$</v>
          </cell>
          <cell r="AS829">
            <v>0</v>
          </cell>
          <cell r="AW829">
            <v>0</v>
          </cell>
          <cell r="AY829" t="str">
            <v>NB</v>
          </cell>
        </row>
        <row r="830">
          <cell r="AM830">
            <v>0</v>
          </cell>
          <cell r="AP830" t="e">
            <v>#N/A</v>
          </cell>
          <cell r="AQ830" t="e">
            <v>#N/A</v>
          </cell>
          <cell r="AR830" t="str">
            <v>$</v>
          </cell>
          <cell r="AS830" t="e">
            <v>#N/A</v>
          </cell>
          <cell r="AW830">
            <v>0</v>
          </cell>
          <cell r="AY830" t="str">
            <v>NB</v>
          </cell>
        </row>
        <row r="831">
          <cell r="AM831">
            <v>0</v>
          </cell>
          <cell r="AP831" t="e">
            <v>#N/A</v>
          </cell>
          <cell r="AQ831" t="e">
            <v>#N/A</v>
          </cell>
          <cell r="AR831" t="str">
            <v>$</v>
          </cell>
          <cell r="AS831" t="e">
            <v>#N/A</v>
          </cell>
          <cell r="AW831">
            <v>0</v>
          </cell>
          <cell r="AY831" t="str">
            <v>NB</v>
          </cell>
        </row>
        <row r="832">
          <cell r="AM832">
            <v>0</v>
          </cell>
          <cell r="AP832" t="e">
            <v>#N/A</v>
          </cell>
          <cell r="AQ832" t="e">
            <v>#N/A</v>
          </cell>
          <cell r="AR832" t="str">
            <v>$</v>
          </cell>
          <cell r="AS832" t="e">
            <v>#N/A</v>
          </cell>
          <cell r="AW832">
            <v>0</v>
          </cell>
          <cell r="AY832" t="str">
            <v>NB</v>
          </cell>
        </row>
        <row r="833">
          <cell r="AM833">
            <v>0</v>
          </cell>
          <cell r="AP833" t="e">
            <v>#N/A</v>
          </cell>
          <cell r="AQ833" t="e">
            <v>#N/A</v>
          </cell>
          <cell r="AR833" t="str">
            <v>$</v>
          </cell>
          <cell r="AS833" t="e">
            <v>#N/A</v>
          </cell>
          <cell r="AW833">
            <v>0</v>
          </cell>
          <cell r="AY833" t="str">
            <v>NB</v>
          </cell>
        </row>
        <row r="834">
          <cell r="AM834">
            <v>0</v>
          </cell>
          <cell r="AP834" t="e">
            <v>#N/A</v>
          </cell>
          <cell r="AQ834" t="e">
            <v>#N/A</v>
          </cell>
          <cell r="AR834" t="str">
            <v>$</v>
          </cell>
          <cell r="AS834" t="e">
            <v>#N/A</v>
          </cell>
          <cell r="AW834">
            <v>0</v>
          </cell>
          <cell r="AY834" t="str">
            <v>NB</v>
          </cell>
        </row>
        <row r="835">
          <cell r="AM835">
            <v>0</v>
          </cell>
          <cell r="AP835" t="e">
            <v>#N/A</v>
          </cell>
          <cell r="AQ835" t="e">
            <v>#N/A</v>
          </cell>
          <cell r="AR835" t="str">
            <v>$</v>
          </cell>
          <cell r="AS835" t="e">
            <v>#N/A</v>
          </cell>
          <cell r="AW835">
            <v>0</v>
          </cell>
          <cell r="AY835" t="str">
            <v>NB</v>
          </cell>
        </row>
        <row r="836">
          <cell r="AM836">
            <v>0</v>
          </cell>
          <cell r="AP836" t="e">
            <v>#N/A</v>
          </cell>
          <cell r="AQ836" t="e">
            <v>#N/A</v>
          </cell>
          <cell r="AR836" t="str">
            <v>$</v>
          </cell>
          <cell r="AS836" t="e">
            <v>#N/A</v>
          </cell>
          <cell r="AW836">
            <v>0</v>
          </cell>
          <cell r="AY836" t="str">
            <v>NB</v>
          </cell>
        </row>
        <row r="837">
          <cell r="AM837">
            <v>0</v>
          </cell>
          <cell r="AP837" t="e">
            <v>#N/A</v>
          </cell>
          <cell r="AQ837" t="e">
            <v>#N/A</v>
          </cell>
          <cell r="AR837" t="str">
            <v>$</v>
          </cell>
          <cell r="AS837" t="e">
            <v>#N/A</v>
          </cell>
          <cell r="AW837">
            <v>0</v>
          </cell>
          <cell r="AY837" t="str">
            <v>NB</v>
          </cell>
        </row>
        <row r="838">
          <cell r="AM838">
            <v>0</v>
          </cell>
          <cell r="AP838" t="e">
            <v>#N/A</v>
          </cell>
          <cell r="AQ838" t="e">
            <v>#N/A</v>
          </cell>
          <cell r="AR838" t="str">
            <v>$</v>
          </cell>
          <cell r="AS838" t="e">
            <v>#N/A</v>
          </cell>
          <cell r="AW838">
            <v>0</v>
          </cell>
          <cell r="AY838" t="str">
            <v>NB</v>
          </cell>
        </row>
        <row r="839">
          <cell r="AM839">
            <v>0</v>
          </cell>
          <cell r="AP839" t="e">
            <v>#N/A</v>
          </cell>
          <cell r="AQ839" t="e">
            <v>#N/A</v>
          </cell>
          <cell r="AR839" t="str">
            <v>$</v>
          </cell>
          <cell r="AS839" t="e">
            <v>#N/A</v>
          </cell>
          <cell r="AW839">
            <v>0</v>
          </cell>
          <cell r="AY839" t="str">
            <v>NB</v>
          </cell>
        </row>
        <row r="840">
          <cell r="AM840">
            <v>0</v>
          </cell>
          <cell r="AP840" t="e">
            <v>#N/A</v>
          </cell>
          <cell r="AQ840" t="e">
            <v>#N/A</v>
          </cell>
          <cell r="AR840" t="str">
            <v>$</v>
          </cell>
          <cell r="AS840" t="e">
            <v>#N/A</v>
          </cell>
          <cell r="AW840">
            <v>0</v>
          </cell>
          <cell r="AY840" t="str">
            <v>NB</v>
          </cell>
        </row>
        <row r="841">
          <cell r="AM841">
            <v>0</v>
          </cell>
          <cell r="AP841" t="e">
            <v>#N/A</v>
          </cell>
          <cell r="AQ841" t="e">
            <v>#N/A</v>
          </cell>
          <cell r="AR841" t="str">
            <v>$</v>
          </cell>
          <cell r="AS841" t="e">
            <v>#N/A</v>
          </cell>
          <cell r="AW841">
            <v>0</v>
          </cell>
          <cell r="AY841" t="str">
            <v>NB</v>
          </cell>
        </row>
        <row r="842">
          <cell r="AM842">
            <v>0</v>
          </cell>
          <cell r="AP842" t="e">
            <v>#N/A</v>
          </cell>
          <cell r="AQ842" t="e">
            <v>#N/A</v>
          </cell>
          <cell r="AR842" t="str">
            <v>$</v>
          </cell>
          <cell r="AS842" t="e">
            <v>#N/A</v>
          </cell>
          <cell r="AW842">
            <v>0</v>
          </cell>
          <cell r="AY842" t="str">
            <v>NB</v>
          </cell>
        </row>
        <row r="843">
          <cell r="AM843">
            <v>0</v>
          </cell>
          <cell r="AP843" t="e">
            <v>#N/A</v>
          </cell>
          <cell r="AQ843" t="e">
            <v>#N/A</v>
          </cell>
          <cell r="AR843" t="str">
            <v>$</v>
          </cell>
          <cell r="AS843" t="e">
            <v>#N/A</v>
          </cell>
          <cell r="AW843">
            <v>0</v>
          </cell>
          <cell r="AY843" t="str">
            <v>NB</v>
          </cell>
        </row>
        <row r="844">
          <cell r="AM844">
            <v>0</v>
          </cell>
          <cell r="AP844" t="e">
            <v>#N/A</v>
          </cell>
          <cell r="AQ844" t="e">
            <v>#N/A</v>
          </cell>
          <cell r="AR844" t="str">
            <v>$</v>
          </cell>
          <cell r="AS844" t="e">
            <v>#N/A</v>
          </cell>
          <cell r="AW844">
            <v>0</v>
          </cell>
          <cell r="AY844" t="str">
            <v>NB</v>
          </cell>
        </row>
        <row r="845">
          <cell r="AM845">
            <v>0</v>
          </cell>
          <cell r="AP845" t="e">
            <v>#N/A</v>
          </cell>
          <cell r="AQ845" t="e">
            <v>#N/A</v>
          </cell>
          <cell r="AR845" t="str">
            <v>$</v>
          </cell>
          <cell r="AS845" t="e">
            <v>#N/A</v>
          </cell>
          <cell r="AW845">
            <v>0</v>
          </cell>
          <cell r="AY845" t="str">
            <v>NB</v>
          </cell>
        </row>
        <row r="846">
          <cell r="AM846">
            <v>0</v>
          </cell>
          <cell r="AP846" t="e">
            <v>#N/A</v>
          </cell>
          <cell r="AQ846" t="e">
            <v>#N/A</v>
          </cell>
          <cell r="AR846" t="str">
            <v>$</v>
          </cell>
          <cell r="AS846" t="e">
            <v>#N/A</v>
          </cell>
          <cell r="AW846">
            <v>0</v>
          </cell>
          <cell r="AY846" t="str">
            <v>NB</v>
          </cell>
        </row>
        <row r="847">
          <cell r="AM847">
            <v>0</v>
          </cell>
          <cell r="AP847">
            <v>0</v>
          </cell>
          <cell r="AQ847">
            <v>0</v>
          </cell>
          <cell r="AR847" t="str">
            <v>$</v>
          </cell>
          <cell r="AS847">
            <v>0</v>
          </cell>
          <cell r="AW847">
            <v>0</v>
          </cell>
          <cell r="AY847" t="str">
            <v>NB</v>
          </cell>
        </row>
        <row r="848">
          <cell r="AM848">
            <v>0</v>
          </cell>
          <cell r="AP848" t="e">
            <v>#N/A</v>
          </cell>
          <cell r="AQ848" t="e">
            <v>#N/A</v>
          </cell>
          <cell r="AR848" t="str">
            <v>$</v>
          </cell>
          <cell r="AS848" t="e">
            <v>#N/A</v>
          </cell>
          <cell r="AW848">
            <v>0</v>
          </cell>
          <cell r="AY848" t="str">
            <v>NB</v>
          </cell>
        </row>
        <row r="849">
          <cell r="AM849">
            <v>0</v>
          </cell>
          <cell r="AP849">
            <v>0</v>
          </cell>
          <cell r="AQ849">
            <v>0</v>
          </cell>
          <cell r="AR849" t="str">
            <v>$</v>
          </cell>
          <cell r="AS849">
            <v>0</v>
          </cell>
          <cell r="AW849">
            <v>0</v>
          </cell>
          <cell r="AY849" t="str">
            <v>NB</v>
          </cell>
        </row>
        <row r="850">
          <cell r="AM850">
            <v>0</v>
          </cell>
          <cell r="AP850" t="e">
            <v>#N/A</v>
          </cell>
          <cell r="AQ850" t="e">
            <v>#N/A</v>
          </cell>
          <cell r="AR850" t="str">
            <v>$</v>
          </cell>
          <cell r="AS850" t="e">
            <v>#N/A</v>
          </cell>
          <cell r="AW850">
            <v>0</v>
          </cell>
          <cell r="AY850" t="str">
            <v>NB</v>
          </cell>
        </row>
        <row r="851">
          <cell r="AM851">
            <v>0</v>
          </cell>
          <cell r="AP851">
            <v>0</v>
          </cell>
          <cell r="AQ851">
            <v>0</v>
          </cell>
          <cell r="AR851" t="str">
            <v>$</v>
          </cell>
          <cell r="AS851">
            <v>0</v>
          </cell>
          <cell r="AW851">
            <v>0</v>
          </cell>
          <cell r="AY851" t="str">
            <v>NB</v>
          </cell>
        </row>
        <row r="852">
          <cell r="AM852">
            <v>0</v>
          </cell>
          <cell r="AP852" t="e">
            <v>#N/A</v>
          </cell>
          <cell r="AQ852" t="e">
            <v>#N/A</v>
          </cell>
          <cell r="AR852" t="str">
            <v>$</v>
          </cell>
          <cell r="AS852" t="e">
            <v>#N/A</v>
          </cell>
          <cell r="AW852">
            <v>0</v>
          </cell>
          <cell r="AY852" t="str">
            <v>NB</v>
          </cell>
        </row>
        <row r="853">
          <cell r="AM853">
            <v>0</v>
          </cell>
          <cell r="AP853" t="e">
            <v>#N/A</v>
          </cell>
          <cell r="AQ853" t="e">
            <v>#N/A</v>
          </cell>
          <cell r="AR853" t="str">
            <v>$</v>
          </cell>
          <cell r="AS853" t="e">
            <v>#N/A</v>
          </cell>
          <cell r="AW853">
            <v>0</v>
          </cell>
          <cell r="AY853" t="str">
            <v>NB</v>
          </cell>
        </row>
        <row r="854">
          <cell r="AM854">
            <v>0</v>
          </cell>
          <cell r="AP854" t="e">
            <v>#N/A</v>
          </cell>
          <cell r="AQ854" t="e">
            <v>#N/A</v>
          </cell>
          <cell r="AR854" t="str">
            <v>$</v>
          </cell>
          <cell r="AS854" t="e">
            <v>#N/A</v>
          </cell>
          <cell r="AW854">
            <v>0</v>
          </cell>
          <cell r="AY854" t="str">
            <v>NB</v>
          </cell>
        </row>
        <row r="855">
          <cell r="AM855">
            <v>0</v>
          </cell>
          <cell r="AP855">
            <v>0</v>
          </cell>
          <cell r="AQ855">
            <v>0</v>
          </cell>
          <cell r="AR855" t="str">
            <v>$</v>
          </cell>
          <cell r="AS855">
            <v>0</v>
          </cell>
          <cell r="AW855">
            <v>0</v>
          </cell>
          <cell r="AY855" t="str">
            <v>NB</v>
          </cell>
        </row>
        <row r="856">
          <cell r="AM856">
            <v>0</v>
          </cell>
          <cell r="AP856" t="e">
            <v>#N/A</v>
          </cell>
          <cell r="AQ856" t="e">
            <v>#N/A</v>
          </cell>
          <cell r="AR856" t="str">
            <v>$</v>
          </cell>
          <cell r="AS856" t="e">
            <v>#N/A</v>
          </cell>
          <cell r="AW856">
            <v>0</v>
          </cell>
          <cell r="AY856" t="str">
            <v>NB</v>
          </cell>
        </row>
        <row r="857">
          <cell r="AM857">
            <v>0</v>
          </cell>
          <cell r="AP857" t="e">
            <v>#N/A</v>
          </cell>
          <cell r="AQ857" t="e">
            <v>#N/A</v>
          </cell>
          <cell r="AR857" t="str">
            <v>$</v>
          </cell>
          <cell r="AS857" t="e">
            <v>#N/A</v>
          </cell>
          <cell r="AW857">
            <v>0</v>
          </cell>
          <cell r="AY857" t="str">
            <v>NB</v>
          </cell>
        </row>
        <row r="858">
          <cell r="AM858">
            <v>0</v>
          </cell>
          <cell r="AP858">
            <v>0</v>
          </cell>
          <cell r="AQ858">
            <v>0</v>
          </cell>
          <cell r="AR858" t="str">
            <v>$</v>
          </cell>
          <cell r="AS858">
            <v>0</v>
          </cell>
          <cell r="AW858">
            <v>0</v>
          </cell>
          <cell r="AY858" t="str">
            <v>NB</v>
          </cell>
        </row>
        <row r="859">
          <cell r="AM859">
            <v>0</v>
          </cell>
          <cell r="AP859" t="e">
            <v>#N/A</v>
          </cell>
          <cell r="AQ859" t="e">
            <v>#N/A</v>
          </cell>
          <cell r="AR859" t="str">
            <v>$</v>
          </cell>
          <cell r="AS859" t="e">
            <v>#N/A</v>
          </cell>
          <cell r="AW859">
            <v>0</v>
          </cell>
          <cell r="AY859" t="str">
            <v>NB</v>
          </cell>
        </row>
        <row r="860">
          <cell r="AM860">
            <v>0</v>
          </cell>
          <cell r="AP860" t="e">
            <v>#N/A</v>
          </cell>
          <cell r="AQ860" t="e">
            <v>#N/A</v>
          </cell>
          <cell r="AR860" t="str">
            <v>$</v>
          </cell>
          <cell r="AS860" t="e">
            <v>#N/A</v>
          </cell>
          <cell r="AW860">
            <v>0</v>
          </cell>
          <cell r="AY860" t="str">
            <v>NB</v>
          </cell>
        </row>
        <row r="861">
          <cell r="AM861">
            <v>0</v>
          </cell>
          <cell r="AP861" t="e">
            <v>#N/A</v>
          </cell>
          <cell r="AQ861" t="e">
            <v>#N/A</v>
          </cell>
          <cell r="AR861" t="str">
            <v>$</v>
          </cell>
          <cell r="AS861" t="e">
            <v>#N/A</v>
          </cell>
          <cell r="AW861">
            <v>0</v>
          </cell>
          <cell r="AY861" t="str">
            <v>NB</v>
          </cell>
        </row>
        <row r="862">
          <cell r="AM862">
            <v>0</v>
          </cell>
          <cell r="AP862" t="e">
            <v>#N/A</v>
          </cell>
          <cell r="AQ862" t="e">
            <v>#N/A</v>
          </cell>
          <cell r="AR862" t="str">
            <v>$</v>
          </cell>
          <cell r="AS862" t="e">
            <v>#N/A</v>
          </cell>
          <cell r="AW862">
            <v>0</v>
          </cell>
          <cell r="AY862" t="str">
            <v>NB</v>
          </cell>
        </row>
        <row r="863">
          <cell r="AM863">
            <v>0</v>
          </cell>
          <cell r="AP863" t="e">
            <v>#N/A</v>
          </cell>
          <cell r="AQ863" t="e">
            <v>#N/A</v>
          </cell>
          <cell r="AR863" t="str">
            <v>$</v>
          </cell>
          <cell r="AS863" t="e">
            <v>#N/A</v>
          </cell>
          <cell r="AW863">
            <v>0</v>
          </cell>
          <cell r="AY863" t="str">
            <v>NB</v>
          </cell>
        </row>
        <row r="864">
          <cell r="AM864">
            <v>-105.79999999999927</v>
          </cell>
          <cell r="AP864" t="str">
            <v>Véhicules neufs</v>
          </cell>
          <cell r="AQ864" t="str">
            <v>Rev. Finances</v>
          </cell>
          <cell r="AR864" t="str">
            <v>$</v>
          </cell>
          <cell r="AS864" t="str">
            <v>Oui</v>
          </cell>
          <cell r="AW864">
            <v>0</v>
          </cell>
          <cell r="AY864" t="str">
            <v>NB</v>
          </cell>
        </row>
        <row r="865">
          <cell r="AM865">
            <v>0</v>
          </cell>
          <cell r="AP865" t="e">
            <v>#N/A</v>
          </cell>
          <cell r="AQ865" t="e">
            <v>#N/A</v>
          </cell>
          <cell r="AR865" t="str">
            <v>$</v>
          </cell>
          <cell r="AS865" t="e">
            <v>#N/A</v>
          </cell>
          <cell r="AW865">
            <v>0</v>
          </cell>
          <cell r="AY865" t="str">
            <v>NB</v>
          </cell>
        </row>
        <row r="866">
          <cell r="AM866">
            <v>-10772.509999999998</v>
          </cell>
          <cell r="AP866" t="str">
            <v>Véhicules neufs</v>
          </cell>
          <cell r="AQ866" t="str">
            <v>Rev. Protections</v>
          </cell>
          <cell r="AR866" t="str">
            <v>$</v>
          </cell>
          <cell r="AS866" t="str">
            <v>Oui</v>
          </cell>
          <cell r="AW866">
            <v>0</v>
          </cell>
          <cell r="AY866" t="str">
            <v>NB</v>
          </cell>
        </row>
        <row r="867">
          <cell r="AM867">
            <v>0</v>
          </cell>
          <cell r="AP867" t="e">
            <v>#N/A</v>
          </cell>
          <cell r="AQ867" t="e">
            <v>#N/A</v>
          </cell>
          <cell r="AR867" t="str">
            <v>$</v>
          </cell>
          <cell r="AS867" t="e">
            <v>#N/A</v>
          </cell>
          <cell r="AW867">
            <v>0</v>
          </cell>
          <cell r="AY867" t="str">
            <v>NB</v>
          </cell>
        </row>
        <row r="868">
          <cell r="AM868">
            <v>-7329.48</v>
          </cell>
          <cell r="AP868" t="str">
            <v>Véhicules usagés</v>
          </cell>
          <cell r="AQ868" t="str">
            <v>Rev. Finances</v>
          </cell>
          <cell r="AR868" t="str">
            <v>$</v>
          </cell>
          <cell r="AS868" t="str">
            <v>Oui</v>
          </cell>
          <cell r="AW868">
            <v>10</v>
          </cell>
          <cell r="AY868" t="str">
            <v>NB</v>
          </cell>
        </row>
        <row r="869">
          <cell r="AM869">
            <v>0</v>
          </cell>
          <cell r="AP869" t="e">
            <v>#N/A</v>
          </cell>
          <cell r="AQ869" t="e">
            <v>#N/A</v>
          </cell>
          <cell r="AR869" t="str">
            <v>$</v>
          </cell>
          <cell r="AS869" t="e">
            <v>#N/A</v>
          </cell>
          <cell r="AW869">
            <v>0</v>
          </cell>
          <cell r="AY869" t="str">
            <v>NB</v>
          </cell>
        </row>
        <row r="870">
          <cell r="AM870">
            <v>-391.71000000000004</v>
          </cell>
          <cell r="AP870" t="str">
            <v>Véhicules usagés</v>
          </cell>
          <cell r="AQ870" t="str">
            <v>Rev. Protections</v>
          </cell>
          <cell r="AR870" t="str">
            <v>$</v>
          </cell>
          <cell r="AS870" t="str">
            <v>Oui</v>
          </cell>
          <cell r="AW870">
            <v>0</v>
          </cell>
          <cell r="AY870" t="str">
            <v>NB</v>
          </cell>
        </row>
        <row r="871">
          <cell r="AM871">
            <v>0</v>
          </cell>
          <cell r="AP871" t="e">
            <v>#N/A</v>
          </cell>
          <cell r="AQ871" t="e">
            <v>#N/A</v>
          </cell>
          <cell r="AR871" t="str">
            <v>$</v>
          </cell>
          <cell r="AS871" t="e">
            <v>#N/A</v>
          </cell>
          <cell r="AW871">
            <v>0</v>
          </cell>
          <cell r="AY871" t="str">
            <v>NB</v>
          </cell>
        </row>
        <row r="872">
          <cell r="AM872">
            <v>0</v>
          </cell>
          <cell r="AP872" t="e">
            <v>#N/A</v>
          </cell>
          <cell r="AQ872" t="e">
            <v>#N/A</v>
          </cell>
          <cell r="AR872" t="str">
            <v>$</v>
          </cell>
          <cell r="AS872" t="e">
            <v>#N/A</v>
          </cell>
          <cell r="AW872">
            <v>0</v>
          </cell>
          <cell r="AY872" t="str">
            <v>NB</v>
          </cell>
        </row>
        <row r="873">
          <cell r="AM873">
            <v>0</v>
          </cell>
          <cell r="AP873" t="e">
            <v>#N/A</v>
          </cell>
          <cell r="AQ873" t="e">
            <v>#N/A</v>
          </cell>
          <cell r="AR873" t="str">
            <v>$</v>
          </cell>
          <cell r="AS873" t="e">
            <v>#N/A</v>
          </cell>
          <cell r="AW873">
            <v>0</v>
          </cell>
          <cell r="AY873" t="str">
            <v>NB</v>
          </cell>
        </row>
        <row r="874">
          <cell r="AM874">
            <v>0</v>
          </cell>
          <cell r="AP874" t="e">
            <v>#N/A</v>
          </cell>
          <cell r="AQ874" t="e">
            <v>#N/A</v>
          </cell>
          <cell r="AR874" t="str">
            <v>$</v>
          </cell>
          <cell r="AS874" t="e">
            <v>#N/A</v>
          </cell>
          <cell r="AW874">
            <v>0</v>
          </cell>
          <cell r="AY874" t="str">
            <v>NB</v>
          </cell>
        </row>
        <row r="875">
          <cell r="AM875">
            <v>0</v>
          </cell>
          <cell r="AP875" t="e">
            <v>#N/A</v>
          </cell>
          <cell r="AQ875" t="e">
            <v>#N/A</v>
          </cell>
          <cell r="AR875" t="str">
            <v>$</v>
          </cell>
          <cell r="AS875" t="e">
            <v>#N/A</v>
          </cell>
          <cell r="AW875">
            <v>0</v>
          </cell>
          <cell r="AY875" t="str">
            <v>NB</v>
          </cell>
        </row>
        <row r="876">
          <cell r="AM876">
            <v>0</v>
          </cell>
          <cell r="AP876" t="e">
            <v>#N/A</v>
          </cell>
          <cell r="AQ876" t="e">
            <v>#N/A</v>
          </cell>
          <cell r="AR876" t="str">
            <v>$</v>
          </cell>
          <cell r="AS876" t="e">
            <v>#N/A</v>
          </cell>
          <cell r="AW876">
            <v>0</v>
          </cell>
          <cell r="AY876" t="str">
            <v>NB</v>
          </cell>
        </row>
        <row r="877">
          <cell r="AM877">
            <v>0</v>
          </cell>
          <cell r="AP877" t="e">
            <v>#N/A</v>
          </cell>
          <cell r="AQ877" t="e">
            <v>#N/A</v>
          </cell>
          <cell r="AR877" t="str">
            <v>$</v>
          </cell>
          <cell r="AS877" t="e">
            <v>#N/A</v>
          </cell>
          <cell r="AW877">
            <v>0</v>
          </cell>
          <cell r="AY877" t="str">
            <v>NB</v>
          </cell>
        </row>
        <row r="878">
          <cell r="AM878">
            <v>0</v>
          </cell>
          <cell r="AP878" t="e">
            <v>#N/A</v>
          </cell>
          <cell r="AQ878" t="e">
            <v>#N/A</v>
          </cell>
          <cell r="AR878" t="str">
            <v>$</v>
          </cell>
          <cell r="AS878" t="e">
            <v>#N/A</v>
          </cell>
          <cell r="AW878">
            <v>0</v>
          </cell>
          <cell r="AY878" t="str">
            <v>NB</v>
          </cell>
        </row>
        <row r="879">
          <cell r="AM879">
            <v>0</v>
          </cell>
          <cell r="AP879" t="e">
            <v>#N/A</v>
          </cell>
          <cell r="AQ879" t="e">
            <v>#N/A</v>
          </cell>
          <cell r="AR879" t="str">
            <v>$</v>
          </cell>
          <cell r="AS879" t="e">
            <v>#N/A</v>
          </cell>
          <cell r="AW879">
            <v>0</v>
          </cell>
          <cell r="AY879" t="str">
            <v>NB</v>
          </cell>
        </row>
        <row r="880">
          <cell r="AM880">
            <v>0</v>
          </cell>
          <cell r="AP880">
            <v>0</v>
          </cell>
          <cell r="AQ880">
            <v>0</v>
          </cell>
          <cell r="AR880" t="str">
            <v>$</v>
          </cell>
          <cell r="AS880">
            <v>0</v>
          </cell>
          <cell r="AW880">
            <v>0</v>
          </cell>
          <cell r="AY880" t="str">
            <v>NB</v>
          </cell>
        </row>
        <row r="881">
          <cell r="AM881">
            <v>0</v>
          </cell>
          <cell r="AP881" t="e">
            <v>#N/A</v>
          </cell>
          <cell r="AQ881" t="e">
            <v>#N/A</v>
          </cell>
          <cell r="AR881" t="str">
            <v>$</v>
          </cell>
          <cell r="AS881" t="e">
            <v>#N/A</v>
          </cell>
          <cell r="AW881">
            <v>0</v>
          </cell>
          <cell r="AY881" t="str">
            <v>NB</v>
          </cell>
        </row>
        <row r="882">
          <cell r="AM882">
            <v>0</v>
          </cell>
          <cell r="AP882">
            <v>0</v>
          </cell>
          <cell r="AQ882">
            <v>0</v>
          </cell>
          <cell r="AR882" t="str">
            <v>$</v>
          </cell>
          <cell r="AS882">
            <v>0</v>
          </cell>
          <cell r="AW882">
            <v>0</v>
          </cell>
          <cell r="AY882" t="str">
            <v>NB</v>
          </cell>
        </row>
        <row r="883">
          <cell r="AM883">
            <v>0</v>
          </cell>
          <cell r="AP883" t="e">
            <v>#N/A</v>
          </cell>
          <cell r="AQ883" t="e">
            <v>#N/A</v>
          </cell>
          <cell r="AR883" t="str">
            <v>$</v>
          </cell>
          <cell r="AS883" t="e">
            <v>#N/A</v>
          </cell>
          <cell r="AW883">
            <v>0</v>
          </cell>
          <cell r="AY883" t="str">
            <v>NB</v>
          </cell>
        </row>
        <row r="884">
          <cell r="AM884">
            <v>18030.459999999992</v>
          </cell>
          <cell r="AP884" t="str">
            <v>Véhicules neufs</v>
          </cell>
          <cell r="AQ884" t="str">
            <v>Comm. F&amp;I</v>
          </cell>
          <cell r="AR884" t="str">
            <v>$</v>
          </cell>
          <cell r="AS884">
            <v>0</v>
          </cell>
          <cell r="AW884">
            <v>0</v>
          </cell>
          <cell r="AY884" t="str">
            <v>NB</v>
          </cell>
        </row>
        <row r="885">
          <cell r="AM885">
            <v>0</v>
          </cell>
          <cell r="AP885" t="e">
            <v>#N/A</v>
          </cell>
          <cell r="AQ885" t="e">
            <v>#N/A</v>
          </cell>
          <cell r="AR885" t="str">
            <v>$</v>
          </cell>
          <cell r="AS885" t="e">
            <v>#N/A</v>
          </cell>
          <cell r="AW885">
            <v>0</v>
          </cell>
          <cell r="AY885" t="str">
            <v>NB</v>
          </cell>
        </row>
        <row r="886">
          <cell r="AM886">
            <v>3009.5499999999993</v>
          </cell>
          <cell r="AP886" t="str">
            <v>Véhicules usagés</v>
          </cell>
          <cell r="AQ886" t="str">
            <v>Comm. F&amp;I</v>
          </cell>
          <cell r="AR886" t="str">
            <v>$</v>
          </cell>
          <cell r="AS886">
            <v>0</v>
          </cell>
          <cell r="AW886">
            <v>0</v>
          </cell>
          <cell r="AY886" t="str">
            <v>NB</v>
          </cell>
        </row>
        <row r="887">
          <cell r="AM887">
            <v>0</v>
          </cell>
          <cell r="AP887" t="e">
            <v>#N/A</v>
          </cell>
          <cell r="AQ887" t="e">
            <v>#N/A</v>
          </cell>
          <cell r="AR887" t="str">
            <v>$</v>
          </cell>
          <cell r="AS887" t="e">
            <v>#N/A</v>
          </cell>
          <cell r="AW887">
            <v>0</v>
          </cell>
          <cell r="AY887" t="str">
            <v>NB</v>
          </cell>
        </row>
        <row r="888">
          <cell r="AM888">
            <v>0</v>
          </cell>
          <cell r="AP888" t="e">
            <v>#N/A</v>
          </cell>
          <cell r="AQ888" t="e">
            <v>#N/A</v>
          </cell>
          <cell r="AR888" t="str">
            <v>$</v>
          </cell>
          <cell r="AS888" t="e">
            <v>#N/A</v>
          </cell>
          <cell r="AW888">
            <v>0</v>
          </cell>
          <cell r="AY888" t="str">
            <v>NB</v>
          </cell>
        </row>
        <row r="889">
          <cell r="AM889">
            <v>0</v>
          </cell>
          <cell r="AP889" t="e">
            <v>#N/A</v>
          </cell>
          <cell r="AQ889" t="e">
            <v>#N/A</v>
          </cell>
          <cell r="AR889" t="str">
            <v>$</v>
          </cell>
          <cell r="AS889" t="e">
            <v>#N/A</v>
          </cell>
          <cell r="AW889">
            <v>0</v>
          </cell>
          <cell r="AY889" t="str">
            <v>NB</v>
          </cell>
        </row>
        <row r="890">
          <cell r="AM890">
            <v>0</v>
          </cell>
          <cell r="AP890">
            <v>0</v>
          </cell>
          <cell r="AQ890">
            <v>0</v>
          </cell>
          <cell r="AR890" t="str">
            <v>$</v>
          </cell>
          <cell r="AS890">
            <v>0</v>
          </cell>
          <cell r="AW890">
            <v>0</v>
          </cell>
          <cell r="AY890" t="str">
            <v>NB</v>
          </cell>
        </row>
        <row r="891">
          <cell r="AM891">
            <v>0</v>
          </cell>
          <cell r="AP891" t="e">
            <v>#N/A</v>
          </cell>
          <cell r="AQ891" t="e">
            <v>#N/A</v>
          </cell>
          <cell r="AR891" t="str">
            <v>$</v>
          </cell>
          <cell r="AS891" t="e">
            <v>#N/A</v>
          </cell>
          <cell r="AW891">
            <v>0</v>
          </cell>
          <cell r="AY891" t="str">
            <v>NB</v>
          </cell>
        </row>
        <row r="892">
          <cell r="AM892">
            <v>0</v>
          </cell>
          <cell r="AP892" t="e">
            <v>#N/A</v>
          </cell>
          <cell r="AQ892" t="e">
            <v>#N/A</v>
          </cell>
          <cell r="AR892" t="str">
            <v>$</v>
          </cell>
          <cell r="AS892" t="e">
            <v>#N/A</v>
          </cell>
          <cell r="AW892">
            <v>0</v>
          </cell>
          <cell r="AY892" t="str">
            <v>NB</v>
          </cell>
        </row>
        <row r="893">
          <cell r="AM893">
            <v>19066.600000000035</v>
          </cell>
          <cell r="AP893" t="str">
            <v>TOTAL DES REVENUS ET DÉPENSES</v>
          </cell>
          <cell r="AQ893" t="str">
            <v>Revenus autres</v>
          </cell>
          <cell r="AR893" t="str">
            <v>$</v>
          </cell>
          <cell r="AS893">
            <v>0</v>
          </cell>
          <cell r="AW893">
            <v>-14</v>
          </cell>
          <cell r="AY893" t="str">
            <v>NB</v>
          </cell>
        </row>
        <row r="894">
          <cell r="AM894">
            <v>-25446.580000000016</v>
          </cell>
          <cell r="AP894" t="str">
            <v>Véhicules neufs</v>
          </cell>
          <cell r="AQ894" t="str">
            <v>Programme Excellence</v>
          </cell>
          <cell r="AR894" t="str">
            <v>$</v>
          </cell>
          <cell r="AS894">
            <v>0</v>
          </cell>
          <cell r="AW894">
            <v>4</v>
          </cell>
          <cell r="AY894" t="str">
            <v>NB</v>
          </cell>
        </row>
        <row r="895">
          <cell r="AM895">
            <v>0</v>
          </cell>
          <cell r="AP895" t="e">
            <v>#N/A</v>
          </cell>
          <cell r="AQ895" t="e">
            <v>#N/A</v>
          </cell>
          <cell r="AR895" t="str">
            <v>$</v>
          </cell>
          <cell r="AS895" t="e">
            <v>#N/A</v>
          </cell>
          <cell r="AW895">
            <v>0</v>
          </cell>
          <cell r="AY895" t="str">
            <v>NB</v>
          </cell>
        </row>
        <row r="896">
          <cell r="AM896">
            <v>0</v>
          </cell>
          <cell r="AP896" t="e">
            <v>#N/A</v>
          </cell>
          <cell r="AQ896" t="e">
            <v>#N/A</v>
          </cell>
          <cell r="AR896" t="str">
            <v>$</v>
          </cell>
          <cell r="AS896" t="e">
            <v>#N/A</v>
          </cell>
          <cell r="AW896">
            <v>0</v>
          </cell>
          <cell r="AY896" t="str">
            <v>NB</v>
          </cell>
        </row>
        <row r="897">
          <cell r="AM897">
            <v>115.64999999999964</v>
          </cell>
          <cell r="AP897" t="str">
            <v>TOTAL DES REVENUS ET DÉPENSES</v>
          </cell>
          <cell r="AQ897" t="str">
            <v>Revenus autres</v>
          </cell>
          <cell r="AR897" t="str">
            <v>$</v>
          </cell>
          <cell r="AS897">
            <v>0</v>
          </cell>
          <cell r="AW897">
            <v>0</v>
          </cell>
          <cell r="AY897" t="str">
            <v>NB</v>
          </cell>
        </row>
        <row r="898">
          <cell r="AM898">
            <v>0</v>
          </cell>
          <cell r="AP898" t="e">
            <v>#N/A</v>
          </cell>
          <cell r="AQ898" t="e">
            <v>#N/A</v>
          </cell>
          <cell r="AR898" t="str">
            <v>$</v>
          </cell>
          <cell r="AS898" t="e">
            <v>#N/A</v>
          </cell>
          <cell r="AW898">
            <v>0</v>
          </cell>
          <cell r="AY898" t="str">
            <v>NB</v>
          </cell>
        </row>
        <row r="899">
          <cell r="AM899">
            <v>-4832.51</v>
          </cell>
          <cell r="AP899" t="str">
            <v>Wholesale autres</v>
          </cell>
          <cell r="AQ899" t="str">
            <v>Frais de livraison</v>
          </cell>
          <cell r="AR899" t="str">
            <v>$</v>
          </cell>
          <cell r="AS899">
            <v>0</v>
          </cell>
          <cell r="AW899">
            <v>0</v>
          </cell>
          <cell r="AY899" t="str">
            <v>NB</v>
          </cell>
        </row>
      </sheetData>
      <sheetData sheetId="16"/>
      <sheetData sheetId="1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es"/>
      <sheetName val="Bilan"/>
      <sheetName val="Budget original"/>
      <sheetName val="Réel 2024"/>
      <sheetName val="Capex"/>
      <sheetName val="Inventaire_Used"/>
      <sheetName val="Inventaire_Neuf"/>
      <sheetName val="2pager"/>
      <sheetName val="Print_Mois"/>
      <sheetName val="Print_AAD"/>
      <sheetName val="Q2"/>
      <sheetName val="Carrosserie_Mois"/>
      <sheetName val="Carrosserie_AAD"/>
      <sheetName val="BV_Data_An_Cour"/>
      <sheetName val="Data_Validation"/>
      <sheetName val="BV_Data_An_Prec"/>
      <sheetName val="Résumé"/>
      <sheetName val="Mensuel 2026"/>
    </sheetNames>
    <sheetDataSet>
      <sheetData sheetId="0">
        <row r="1">
          <cell r="B1" t="str">
            <v>Ste-Marie Auto</v>
          </cell>
        </row>
        <row r="3">
          <cell r="B3" t="str">
            <v>Septembre</v>
          </cell>
        </row>
        <row r="4">
          <cell r="B4">
            <v>2026</v>
          </cell>
        </row>
      </sheetData>
      <sheetData sheetId="1"/>
      <sheetData sheetId="2">
        <row r="2">
          <cell r="B2" t="str">
            <v>Mois</v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O2" t="str">
            <v/>
          </cell>
          <cell r="P2" t="str">
            <v/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Z2" t="str">
            <v/>
          </cell>
          <cell r="AA2" t="str">
            <v/>
          </cell>
          <cell r="AB2" t="str">
            <v/>
          </cell>
          <cell r="AC2" t="str">
            <v/>
          </cell>
          <cell r="AD2" t="str">
            <v>X</v>
          </cell>
          <cell r="AE2" t="str">
            <v>O</v>
          </cell>
          <cell r="AF2" t="str">
            <v>U</v>
          </cell>
          <cell r="AG2" t="str">
            <v/>
          </cell>
          <cell r="AH2" t="str">
            <v/>
          </cell>
          <cell r="AI2" t="str">
            <v/>
          </cell>
          <cell r="AJ2" t="str">
            <v/>
          </cell>
          <cell r="AK2" t="str">
            <v/>
          </cell>
          <cell r="AL2" t="str">
            <v/>
          </cell>
          <cell r="AM2" t="str">
            <v/>
          </cell>
          <cell r="AN2" t="str">
            <v/>
          </cell>
          <cell r="AO2" t="str">
            <v/>
          </cell>
        </row>
        <row r="3">
          <cell r="B3" t="str">
            <v>YTD</v>
          </cell>
          <cell r="F3" t="str">
            <v>X</v>
          </cell>
          <cell r="G3" t="str">
            <v>O</v>
          </cell>
          <cell r="H3" t="str">
            <v>U</v>
          </cell>
          <cell r="I3" t="str">
            <v>X</v>
          </cell>
          <cell r="J3" t="str">
            <v>O</v>
          </cell>
          <cell r="K3" t="str">
            <v>U</v>
          </cell>
          <cell r="L3" t="str">
            <v>X</v>
          </cell>
          <cell r="M3" t="str">
            <v>O</v>
          </cell>
          <cell r="N3" t="str">
            <v>U</v>
          </cell>
          <cell r="O3" t="str">
            <v>X</v>
          </cell>
          <cell r="P3" t="str">
            <v>O</v>
          </cell>
          <cell r="Q3" t="str">
            <v>U</v>
          </cell>
          <cell r="R3" t="str">
            <v>X</v>
          </cell>
          <cell r="S3" t="str">
            <v>O</v>
          </cell>
          <cell r="T3" t="str">
            <v>U</v>
          </cell>
          <cell r="U3" t="str">
            <v>X</v>
          </cell>
          <cell r="V3" t="str">
            <v>O</v>
          </cell>
          <cell r="W3" t="str">
            <v>U</v>
          </cell>
          <cell r="X3" t="str">
            <v>X</v>
          </cell>
          <cell r="Y3" t="str">
            <v>O</v>
          </cell>
          <cell r="Z3" t="str">
            <v>U</v>
          </cell>
          <cell r="AA3" t="e">
            <v>#N/A</v>
          </cell>
          <cell r="AB3" t="e">
            <v>#N/A</v>
          </cell>
          <cell r="AC3" t="e">
            <v>#N/A</v>
          </cell>
          <cell r="AD3" t="str">
            <v>X</v>
          </cell>
          <cell r="AE3" t="str">
            <v>O</v>
          </cell>
          <cell r="AF3" t="str">
            <v>U</v>
          </cell>
          <cell r="AG3" t="str">
            <v/>
          </cell>
          <cell r="AH3" t="str">
            <v/>
          </cell>
          <cell r="AI3" t="str">
            <v/>
          </cell>
          <cell r="AJ3" t="str">
            <v/>
          </cell>
          <cell r="AK3" t="str">
            <v/>
          </cell>
          <cell r="AL3" t="str">
            <v/>
          </cell>
          <cell r="AM3" t="str">
            <v/>
          </cell>
          <cell r="AN3" t="str">
            <v/>
          </cell>
          <cell r="AO3" t="str">
            <v/>
          </cell>
        </row>
        <row r="4">
          <cell r="B4" t="str">
            <v>Budget 2025</v>
          </cell>
          <cell r="C4" t="str">
            <v>Véhicules neufs</v>
          </cell>
        </row>
        <row r="6">
          <cell r="B6" t="str">
            <v>Mois</v>
          </cell>
          <cell r="C6" t="str">
            <v>TOTAL</v>
          </cell>
          <cell r="F6" t="str">
            <v>Janvier</v>
          </cell>
          <cell r="I6" t="str">
            <v>Février</v>
          </cell>
          <cell r="L6" t="str">
            <v>Mars</v>
          </cell>
          <cell r="O6" t="str">
            <v>Avril</v>
          </cell>
          <cell r="R6" t="str">
            <v>Mai</v>
          </cell>
          <cell r="U6" t="str">
            <v>Juin</v>
          </cell>
          <cell r="X6" t="str">
            <v>Juillet</v>
          </cell>
          <cell r="AA6" t="str">
            <v>Août</v>
          </cell>
          <cell r="AD6" t="str">
            <v>Septembre</v>
          </cell>
          <cell r="AG6" t="str">
            <v>Octobre</v>
          </cell>
          <cell r="AJ6" t="str">
            <v>Novembre</v>
          </cell>
          <cell r="AM6" t="str">
            <v>Décembre</v>
          </cell>
        </row>
        <row r="7">
          <cell r="C7" t="str">
            <v>UNITE</v>
          </cell>
          <cell r="D7" t="str">
            <v>$P/UNITE</v>
          </cell>
          <cell r="E7" t="str">
            <v>$PROFITS</v>
          </cell>
          <cell r="F7" t="str">
            <v>UNITE</v>
          </cell>
          <cell r="G7" t="str">
            <v>$P/UNITE</v>
          </cell>
          <cell r="H7" t="str">
            <v>$PROFITS</v>
          </cell>
          <cell r="I7" t="str">
            <v>UNITE</v>
          </cell>
          <cell r="J7" t="str">
            <v>$P/UNITE</v>
          </cell>
          <cell r="K7" t="str">
            <v>$PROFITS</v>
          </cell>
          <cell r="L7" t="str">
            <v>UNITE</v>
          </cell>
          <cell r="M7" t="str">
            <v>$P/UNITE</v>
          </cell>
          <cell r="N7" t="str">
            <v>$PROFITS</v>
          </cell>
          <cell r="O7" t="str">
            <v>UNITE</v>
          </cell>
          <cell r="P7" t="str">
            <v>$P/UNITE</v>
          </cell>
          <cell r="Q7" t="str">
            <v>$PROFITS</v>
          </cell>
          <cell r="R7" t="str">
            <v>UNITE</v>
          </cell>
          <cell r="S7" t="str">
            <v>$P/UNITE</v>
          </cell>
          <cell r="T7" t="str">
            <v>$PROFITS</v>
          </cell>
          <cell r="U7" t="str">
            <v>UNITE</v>
          </cell>
          <cell r="V7" t="str">
            <v>$P/UNITE</v>
          </cell>
          <cell r="W7" t="str">
            <v>$PROFITS</v>
          </cell>
          <cell r="X7" t="str">
            <v>UNITE</v>
          </cell>
          <cell r="Y7" t="str">
            <v>$P/UNITE</v>
          </cell>
          <cell r="Z7" t="str">
            <v>$PROFITS</v>
          </cell>
          <cell r="AA7" t="str">
            <v>UNITE</v>
          </cell>
          <cell r="AB7" t="str">
            <v>$P/UNITE</v>
          </cell>
          <cell r="AC7" t="str">
            <v>$PROFITS</v>
          </cell>
          <cell r="AD7" t="str">
            <v>UNITE</v>
          </cell>
          <cell r="AE7" t="str">
            <v>$P/UNITE</v>
          </cell>
          <cell r="AF7" t="str">
            <v>$PROFITS</v>
          </cell>
          <cell r="AG7" t="str">
            <v>UNITE</v>
          </cell>
          <cell r="AH7" t="str">
            <v>$P/UNITE</v>
          </cell>
          <cell r="AI7" t="str">
            <v>$PROFITS</v>
          </cell>
          <cell r="AJ7" t="str">
            <v>UNITE</v>
          </cell>
          <cell r="AK7" t="str">
            <v>$P/UNITE</v>
          </cell>
          <cell r="AL7" t="str">
            <v>$PROFITS</v>
          </cell>
          <cell r="AM7" t="str">
            <v>UNITE</v>
          </cell>
          <cell r="AN7" t="str">
            <v>$P/UNITE</v>
          </cell>
          <cell r="AO7" t="str">
            <v>$PROFITS</v>
          </cell>
        </row>
        <row r="8">
          <cell r="A8" t="str">
            <v>Véhicules neufsVentes nettes</v>
          </cell>
          <cell r="B8" t="str">
            <v>Ventes nettes</v>
          </cell>
        </row>
        <row r="9">
          <cell r="A9" t="str">
            <v>Véhicules neufsAutos détail</v>
          </cell>
          <cell r="B9" t="str">
            <v>Autos détail</v>
          </cell>
        </row>
        <row r="10">
          <cell r="A10" t="str">
            <v>Véhicules neufsCamions détail</v>
          </cell>
          <cell r="B10" t="str">
            <v>Camions détail</v>
          </cell>
        </row>
        <row r="11">
          <cell r="A11" t="str">
            <v>Véhicules neufsSprinter</v>
          </cell>
          <cell r="B11" t="str">
            <v>Sprinter</v>
          </cell>
        </row>
        <row r="12">
          <cell r="A12" t="str">
            <v>Véhicules neufsMoto détail</v>
          </cell>
          <cell r="B12" t="str">
            <v>Moto détail</v>
          </cell>
        </row>
        <row r="13">
          <cell r="A13" t="str">
            <v>Véhicules neufs[...]</v>
          </cell>
          <cell r="B13" t="str">
            <v>[...]</v>
          </cell>
        </row>
        <row r="14">
          <cell r="A14" t="str">
            <v>Véhicules neufs[...]</v>
          </cell>
          <cell r="B14" t="str">
            <v>[...]</v>
          </cell>
        </row>
        <row r="15">
          <cell r="A15" t="str">
            <v>Véhicules neufs[...]</v>
          </cell>
          <cell r="B15" t="str">
            <v>[...]</v>
          </cell>
        </row>
        <row r="16">
          <cell r="A16" t="str">
            <v>Véhicules neufsTotal Neufs</v>
          </cell>
          <cell r="B16" t="str">
            <v>Total Neufs</v>
          </cell>
        </row>
        <row r="17">
          <cell r="A17" t="str">
            <v>Véhicules neufs</v>
          </cell>
        </row>
        <row r="18">
          <cell r="A18" t="str">
            <v>Véhicules neufsEx-Démos et courtoisies</v>
          </cell>
          <cell r="B18" t="str">
            <v>Ex-Démos et courtoisies</v>
          </cell>
        </row>
        <row r="19">
          <cell r="A19" t="str">
            <v>Véhicules neufs</v>
          </cell>
        </row>
        <row r="20">
          <cell r="A20" t="str">
            <v>Véhicules neufsFlottes</v>
          </cell>
          <cell r="B20" t="str">
            <v>Flottes</v>
          </cell>
        </row>
        <row r="21">
          <cell r="A21" t="str">
            <v>Véhicules neufs</v>
          </cell>
        </row>
        <row r="22">
          <cell r="A22" t="str">
            <v>Véhicules neufsRachat bail</v>
          </cell>
          <cell r="B22" t="str">
            <v>Rachat bail</v>
          </cell>
        </row>
        <row r="23">
          <cell r="A23" t="str">
            <v>Véhicules neufs</v>
          </cell>
        </row>
        <row r="24">
          <cell r="A24" t="str">
            <v>Véhicules neufsRev. Finances</v>
          </cell>
          <cell r="B24" t="str">
            <v>Rev. Finances</v>
          </cell>
        </row>
        <row r="25">
          <cell r="A25" t="str">
            <v>Véhicules neufsRev. Protections</v>
          </cell>
          <cell r="B25" t="str">
            <v>Rev. Protections</v>
          </cell>
        </row>
        <row r="26">
          <cell r="A26" t="str">
            <v>Véhicules neufsRev. Autres</v>
          </cell>
          <cell r="B26" t="str">
            <v>Rev. Autres</v>
          </cell>
        </row>
        <row r="27">
          <cell r="A27" t="str">
            <v>Véhicules neufsTotal F&amp;I</v>
          </cell>
          <cell r="B27" t="str">
            <v>Total F&amp;I</v>
          </cell>
        </row>
        <row r="28">
          <cell r="A28" t="str">
            <v>Véhicules neufs</v>
          </cell>
        </row>
        <row r="29">
          <cell r="A29" t="str">
            <v>Véhicules neufs</v>
          </cell>
        </row>
        <row r="30">
          <cell r="A30" t="str">
            <v>Véhicules neufsTotal Dépt. Neufs</v>
          </cell>
          <cell r="B30" t="str">
            <v>Total Dépt. Neufs</v>
          </cell>
        </row>
        <row r="31">
          <cell r="A31" t="str">
            <v>Véhicules neufs</v>
          </cell>
        </row>
        <row r="32">
          <cell r="A32" t="str">
            <v>Véhicules neufs</v>
          </cell>
        </row>
        <row r="33">
          <cell r="A33" t="str">
            <v>Véhicules neufsDEPENSES</v>
          </cell>
          <cell r="B33" t="str">
            <v>DEPENSES</v>
          </cell>
        </row>
        <row r="34">
          <cell r="A34" t="str">
            <v>Véhicules neufsComm. vendeurs</v>
          </cell>
          <cell r="B34" t="str">
            <v>Comm. vendeurs</v>
          </cell>
        </row>
        <row r="35">
          <cell r="A35" t="str">
            <v>Véhicules neufsComm. F&amp;I</v>
          </cell>
          <cell r="B35" t="str">
            <v>Comm. F&amp;I</v>
          </cell>
        </row>
        <row r="36">
          <cell r="A36" t="str">
            <v>Véhicules neufsFrais de livraison</v>
          </cell>
          <cell r="B36" t="str">
            <v>Frais de livraison</v>
          </cell>
        </row>
        <row r="37">
          <cell r="A37" t="str">
            <v>Véhicules neufsService gratuit 1</v>
          </cell>
          <cell r="B37" t="str">
            <v>Service gratuit 1</v>
          </cell>
        </row>
        <row r="38">
          <cell r="A38" t="str">
            <v>Véhicules neufsEntretien stock</v>
          </cell>
          <cell r="B38" t="str">
            <v>Entretien stock</v>
          </cell>
        </row>
        <row r="39">
          <cell r="A39" t="str">
            <v>Véhicules neufsPublicité 1</v>
          </cell>
          <cell r="B39" t="str">
            <v>Publicité 1</v>
          </cell>
        </row>
        <row r="40">
          <cell r="A40" t="str">
            <v>Véhicules neufsIntérêt de gros</v>
          </cell>
          <cell r="B40" t="str">
            <v>Intérêt de gros</v>
          </cell>
        </row>
        <row r="41">
          <cell r="A41" t="str">
            <v>Véhicules neufs[...]</v>
          </cell>
          <cell r="B41" t="str">
            <v>[...]</v>
          </cell>
        </row>
        <row r="42">
          <cell r="A42" t="str">
            <v>Véhicules neufs[...]</v>
          </cell>
          <cell r="B42" t="str">
            <v>[...]</v>
          </cell>
        </row>
        <row r="43">
          <cell r="A43" t="str">
            <v>Véhicules neufs[...]</v>
          </cell>
          <cell r="B43" t="str">
            <v>[...]</v>
          </cell>
        </row>
        <row r="44">
          <cell r="A44" t="str">
            <v>Véhicules neufsTOTAL VARIABLES</v>
          </cell>
          <cell r="B44" t="str">
            <v>TOTAL VARIABLES</v>
          </cell>
        </row>
        <row r="45">
          <cell r="A45" t="str">
            <v>Véhicules neufsSalaires cadres</v>
          </cell>
          <cell r="B45" t="str">
            <v>Salaires cadres</v>
          </cell>
        </row>
        <row r="46">
          <cell r="A46" t="str">
            <v>Véhicules neufsSalaires commis</v>
          </cell>
          <cell r="B46" t="str">
            <v>Salaires commis</v>
          </cell>
        </row>
        <row r="47">
          <cell r="A47" t="str">
            <v>Véhicules neufsSalaires autres</v>
          </cell>
          <cell r="B47" t="str">
            <v>Salaires autres</v>
          </cell>
        </row>
        <row r="48">
          <cell r="A48" t="str">
            <v>Véhicules neufsSalaires spécialistes</v>
          </cell>
          <cell r="B48" t="str">
            <v>Salaires spécialistes</v>
          </cell>
        </row>
        <row r="49">
          <cell r="A49" t="str">
            <v>Véhicules neufs[...]</v>
          </cell>
          <cell r="B49" t="str">
            <v>[...]</v>
          </cell>
        </row>
        <row r="50">
          <cell r="A50" t="str">
            <v>Véhicules neufs[...]</v>
          </cell>
          <cell r="B50" t="str">
            <v>[...]</v>
          </cell>
        </row>
        <row r="51">
          <cell r="A51" t="str">
            <v>Véhicules neufs[...]</v>
          </cell>
          <cell r="B51" t="str">
            <v>[...]</v>
          </cell>
        </row>
        <row r="52">
          <cell r="A52" t="str">
            <v>Véhicules neufsSalaires en absences</v>
          </cell>
          <cell r="B52" t="str">
            <v>Salaires en absences</v>
          </cell>
        </row>
        <row r="53">
          <cell r="A53" t="str">
            <v>Véhicules neufsDéduction à la source</v>
          </cell>
          <cell r="B53" t="str">
            <v>Déduction à la source</v>
          </cell>
        </row>
        <row r="54">
          <cell r="A54" t="str">
            <v>Véhicules neufsBénéfices marginaux</v>
          </cell>
          <cell r="B54" t="str">
            <v>Bénéfices marginaux</v>
          </cell>
        </row>
        <row r="55">
          <cell r="A55" t="str">
            <v>Véhicules neufsCsst</v>
          </cell>
          <cell r="B55" t="str">
            <v>Csst</v>
          </cell>
        </row>
        <row r="56">
          <cell r="A56" t="str">
            <v>Véhicules neufs[...]</v>
          </cell>
          <cell r="B56" t="str">
            <v>[...]</v>
          </cell>
        </row>
        <row r="57">
          <cell r="A57" t="str">
            <v>Véhicules neufsTOTAL PERSONNEL</v>
          </cell>
          <cell r="B57" t="str">
            <v>TOTAL PERSONNEL</v>
          </cell>
        </row>
        <row r="58">
          <cell r="A58" t="str">
            <v>Véhicules neufsPublicité 2</v>
          </cell>
          <cell r="B58" t="str">
            <v>Publicité 2</v>
          </cell>
        </row>
        <row r="59">
          <cell r="A59" t="str">
            <v>Véhicules neufsService gratuit 2</v>
          </cell>
          <cell r="B59" t="str">
            <v>Service gratuit 2</v>
          </cell>
        </row>
        <row r="60">
          <cell r="A60" t="str">
            <v>Véhicules neufsFrais véhicules de cie</v>
          </cell>
          <cell r="B60" t="str">
            <v>Frais véhicules de cie</v>
          </cell>
        </row>
        <row r="61">
          <cell r="A61" t="str">
            <v>Véhicules neufsInformatique</v>
          </cell>
          <cell r="B61" t="str">
            <v>Informatique</v>
          </cell>
        </row>
        <row r="62">
          <cell r="A62" t="str">
            <v>Véhicules neufsFrais de déplacement</v>
          </cell>
          <cell r="B62" t="str">
            <v>Frais de déplacement</v>
          </cell>
        </row>
        <row r="63">
          <cell r="A63" t="str">
            <v>Véhicules neufsServices extérieurs</v>
          </cell>
          <cell r="B63" t="str">
            <v>Services extérieurs</v>
          </cell>
        </row>
        <row r="64">
          <cell r="A64" t="str">
            <v>Véhicules neufsFournitures autres</v>
          </cell>
          <cell r="B64" t="str">
            <v>Fournitures autres</v>
          </cell>
        </row>
        <row r="65">
          <cell r="A65" t="str">
            <v>Véhicules neufsUniformes</v>
          </cell>
          <cell r="B65" t="str">
            <v>Uniformes</v>
          </cell>
        </row>
        <row r="66">
          <cell r="A66" t="str">
            <v>Véhicules neufsPapeterie</v>
          </cell>
          <cell r="B66" t="str">
            <v>Papeterie</v>
          </cell>
        </row>
        <row r="67">
          <cell r="A67" t="str">
            <v>Véhicules neufsTéléphone</v>
          </cell>
          <cell r="B67" t="str">
            <v>Téléphone</v>
          </cell>
        </row>
        <row r="68">
          <cell r="A68" t="str">
            <v>Véhicules neufsFrais postaux</v>
          </cell>
          <cell r="B68" t="str">
            <v>Frais postaux</v>
          </cell>
        </row>
        <row r="69">
          <cell r="A69" t="str">
            <v>Véhicules neufsDivers</v>
          </cell>
          <cell r="B69" t="str">
            <v>Divers</v>
          </cell>
        </row>
        <row r="70">
          <cell r="A70" t="str">
            <v>Véhicules neufsFormation</v>
          </cell>
          <cell r="B70" t="str">
            <v>Formation</v>
          </cell>
        </row>
        <row r="71">
          <cell r="A71" t="str">
            <v>Véhicules neufsFrais bancaires</v>
          </cell>
          <cell r="B71" t="str">
            <v>Frais bancaires</v>
          </cell>
        </row>
        <row r="72">
          <cell r="A72" t="str">
            <v>Véhicules neufs[...]</v>
          </cell>
          <cell r="B72" t="str">
            <v>[...]</v>
          </cell>
        </row>
        <row r="73">
          <cell r="A73" t="str">
            <v>Véhicules neufs[...]</v>
          </cell>
          <cell r="B73" t="str">
            <v>[...]</v>
          </cell>
        </row>
        <row r="74">
          <cell r="A74" t="str">
            <v>Véhicules neufs[...]</v>
          </cell>
          <cell r="B74" t="str">
            <v>[...]</v>
          </cell>
        </row>
        <row r="75">
          <cell r="A75" t="str">
            <v>Véhicules neufsTOTAL SEMI-FIXES</v>
          </cell>
          <cell r="B75" t="str">
            <v>TOTAL SEMI-FIXES</v>
          </cell>
        </row>
        <row r="76">
          <cell r="A76" t="str">
            <v>Véhicules neufs</v>
          </cell>
        </row>
        <row r="77">
          <cell r="A77" t="str">
            <v>Véhicules neufsTOTAL DES DÉPENSES</v>
          </cell>
          <cell r="B77" t="str">
            <v>TOTAL DES DÉPENSES</v>
          </cell>
        </row>
        <row r="78">
          <cell r="A78" t="str">
            <v>Véhicules neufsProgramme neuf 1</v>
          </cell>
          <cell r="B78" t="str">
            <v>Programme neuf 1</v>
          </cell>
        </row>
        <row r="79">
          <cell r="A79" t="str">
            <v>Véhicules neufsProgramme neuf 2</v>
          </cell>
          <cell r="B79" t="str">
            <v>Programme neuf 2</v>
          </cell>
        </row>
        <row r="80">
          <cell r="A80" t="str">
            <v>Véhicules neufsProgramme neuf 3</v>
          </cell>
          <cell r="B80" t="str">
            <v>Programme neuf 3</v>
          </cell>
        </row>
        <row r="81">
          <cell r="A81" t="str">
            <v>Véhicules neufsHoldbacks</v>
          </cell>
          <cell r="B81" t="str">
            <v>Holdbacks</v>
          </cell>
        </row>
        <row r="82">
          <cell r="A82" t="str">
            <v>Véhicules neufs[...]</v>
          </cell>
          <cell r="B82" t="str">
            <v>[...]</v>
          </cell>
        </row>
        <row r="83">
          <cell r="A83" t="str">
            <v>Véhicules neufs[...]</v>
          </cell>
          <cell r="B83" t="str">
            <v>[...]</v>
          </cell>
        </row>
        <row r="84">
          <cell r="A84" t="str">
            <v>Véhicules neufs[...]</v>
          </cell>
          <cell r="B84" t="str">
            <v>[...]</v>
          </cell>
        </row>
        <row r="85">
          <cell r="A85" t="str">
            <v>Véhicules neufsFrais administration</v>
          </cell>
          <cell r="B85" t="str">
            <v>Frais administration</v>
          </cell>
        </row>
        <row r="86">
          <cell r="A86" t="str">
            <v>Véhicules neufsAUTRES REVENUS</v>
          </cell>
          <cell r="B86" t="str">
            <v>AUTRES REVENUS</v>
          </cell>
        </row>
        <row r="87">
          <cell r="A87" t="str">
            <v>Véhicules neufs</v>
          </cell>
        </row>
        <row r="88">
          <cell r="A88" t="str">
            <v>Véhicules neufsPROFIT DÉPARTEMENTAL</v>
          </cell>
          <cell r="B88" t="str">
            <v>PROFIT DÉPARTEMENTAL</v>
          </cell>
        </row>
        <row r="92">
          <cell r="B92" t="str">
            <v>Budget 2025</v>
          </cell>
          <cell r="C92" t="str">
            <v>Véhicules usagés</v>
          </cell>
        </row>
        <row r="94">
          <cell r="B94" t="str">
            <v>Mois</v>
          </cell>
          <cell r="C94">
            <v>2021</v>
          </cell>
          <cell r="F94" t="str">
            <v>Janvier</v>
          </cell>
          <cell r="I94" t="str">
            <v>Février</v>
          </cell>
          <cell r="L94" t="str">
            <v>Mars</v>
          </cell>
          <cell r="O94" t="str">
            <v>Avril</v>
          </cell>
          <cell r="R94" t="str">
            <v>Mai</v>
          </cell>
          <cell r="U94" t="str">
            <v>Juin</v>
          </cell>
          <cell r="X94" t="str">
            <v>Juillet</v>
          </cell>
          <cell r="AA94" t="str">
            <v>Août</v>
          </cell>
          <cell r="AD94" t="str">
            <v>Septembre</v>
          </cell>
          <cell r="AG94" t="str">
            <v>Octobre</v>
          </cell>
          <cell r="AJ94" t="str">
            <v>Novembre</v>
          </cell>
          <cell r="AM94" t="str">
            <v>Décembre</v>
          </cell>
        </row>
        <row r="95">
          <cell r="C95" t="str">
            <v>UNITE</v>
          </cell>
          <cell r="D95" t="str">
            <v>$P/UNITE</v>
          </cell>
          <cell r="E95" t="str">
            <v>$PROFITS</v>
          </cell>
          <cell r="F95" t="str">
            <v>UNITE</v>
          </cell>
          <cell r="G95" t="str">
            <v>$P/UNITE</v>
          </cell>
          <cell r="H95" t="str">
            <v>$PROFITS</v>
          </cell>
          <cell r="I95" t="str">
            <v>UNITE</v>
          </cell>
          <cell r="J95" t="str">
            <v>$P/UNITE</v>
          </cell>
          <cell r="K95" t="str">
            <v>$PROFITS</v>
          </cell>
          <cell r="L95" t="str">
            <v>UNITE</v>
          </cell>
          <cell r="M95" t="str">
            <v>$P/UNITE</v>
          </cell>
          <cell r="N95" t="str">
            <v>$PROFITS</v>
          </cell>
          <cell r="O95" t="str">
            <v>UNITE</v>
          </cell>
          <cell r="P95" t="str">
            <v>$P/UNITE</v>
          </cell>
          <cell r="Q95" t="str">
            <v>$PROFITS</v>
          </cell>
          <cell r="R95" t="str">
            <v>UNITE</v>
          </cell>
          <cell r="S95" t="str">
            <v>$P/UNITE</v>
          </cell>
          <cell r="T95" t="str">
            <v>$PROFITS</v>
          </cell>
          <cell r="U95" t="str">
            <v>UNITE</v>
          </cell>
          <cell r="V95" t="str">
            <v>$P/UNITE</v>
          </cell>
          <cell r="W95" t="str">
            <v>$PROFITS</v>
          </cell>
          <cell r="X95" t="str">
            <v>UNITE</v>
          </cell>
          <cell r="Y95" t="str">
            <v>$P/UNITE</v>
          </cell>
          <cell r="Z95" t="str">
            <v>$PROFITS</v>
          </cell>
          <cell r="AA95" t="str">
            <v>UNITE</v>
          </cell>
          <cell r="AB95" t="str">
            <v>$P/UNITE</v>
          </cell>
          <cell r="AC95" t="str">
            <v>$PROFITS</v>
          </cell>
          <cell r="AD95" t="str">
            <v>UNITE</v>
          </cell>
          <cell r="AE95" t="str">
            <v>$P/UNITE</v>
          </cell>
          <cell r="AF95" t="str">
            <v>$PROFITS</v>
          </cell>
          <cell r="AG95" t="str">
            <v>UNITE</v>
          </cell>
          <cell r="AH95" t="str">
            <v>$P/UNITE</v>
          </cell>
          <cell r="AI95" t="str">
            <v>$PROFITS</v>
          </cell>
          <cell r="AJ95" t="str">
            <v>UNITE</v>
          </cell>
          <cell r="AK95" t="str">
            <v>$P/UNITE</v>
          </cell>
          <cell r="AL95" t="str">
            <v>$PROFITS</v>
          </cell>
          <cell r="AM95" t="str">
            <v>UNITE</v>
          </cell>
          <cell r="AN95" t="str">
            <v>$P/UNITE</v>
          </cell>
          <cell r="AO95" t="str">
            <v>$PROFITS</v>
          </cell>
        </row>
        <row r="96">
          <cell r="A96" t="str">
            <v>Véhicules usagésVentes nettes</v>
          </cell>
          <cell r="B96" t="str">
            <v>Ventes nettes</v>
          </cell>
        </row>
        <row r="97">
          <cell r="A97" t="str">
            <v>Véhicules usagésCertifié</v>
          </cell>
          <cell r="B97" t="str">
            <v>Certifié</v>
          </cell>
        </row>
        <row r="98">
          <cell r="A98" t="str">
            <v>Véhicules usagésNon Certifié</v>
          </cell>
          <cell r="B98" t="str">
            <v>Non Certifié</v>
          </cell>
        </row>
        <row r="99">
          <cell r="A99" t="str">
            <v>Véhicules usagésAutres Marques</v>
          </cell>
          <cell r="B99" t="str">
            <v>Autres Marques</v>
          </cell>
        </row>
        <row r="100">
          <cell r="A100" t="str">
            <v>Véhicules usagésTotal Usagés</v>
          </cell>
          <cell r="B100" t="str">
            <v>Total Usagés</v>
          </cell>
        </row>
        <row r="101">
          <cell r="A101" t="str">
            <v>Véhicules usagés</v>
          </cell>
        </row>
        <row r="102">
          <cell r="A102" t="str">
            <v>Véhicules usagés</v>
          </cell>
        </row>
        <row r="103">
          <cell r="A103" t="str">
            <v>Véhicules usagésVentes au Gros</v>
          </cell>
          <cell r="B103" t="str">
            <v>Ventes au Gros</v>
          </cell>
        </row>
        <row r="104">
          <cell r="A104" t="str">
            <v>Véhicules usagés</v>
          </cell>
        </row>
        <row r="105">
          <cell r="A105" t="str">
            <v>Véhicules usagésRev. Finances</v>
          </cell>
          <cell r="B105" t="str">
            <v>Rev. Finances</v>
          </cell>
        </row>
        <row r="106">
          <cell r="A106" t="str">
            <v>Véhicules usagésRev. Protections</v>
          </cell>
          <cell r="B106" t="str">
            <v>Rev. Protections</v>
          </cell>
        </row>
        <row r="107">
          <cell r="A107" t="str">
            <v>Véhicules usagésRev. Autres</v>
          </cell>
          <cell r="B107" t="str">
            <v>Rev. Autres</v>
          </cell>
        </row>
        <row r="108">
          <cell r="A108" t="str">
            <v>Véhicules usagésTotal F&amp;I</v>
          </cell>
          <cell r="B108" t="str">
            <v>Total F&amp;I</v>
          </cell>
        </row>
        <row r="109">
          <cell r="A109" t="str">
            <v>Véhicules usagés</v>
          </cell>
        </row>
        <row r="110">
          <cell r="A110" t="str">
            <v>Véhicules usagés</v>
          </cell>
        </row>
        <row r="111">
          <cell r="A111" t="str">
            <v>Véhicules usagésTotal Dépt. Usagés</v>
          </cell>
          <cell r="B111" t="str">
            <v>Total Dépt. Usagés</v>
          </cell>
        </row>
        <row r="112">
          <cell r="A112" t="str">
            <v>Véhicules usagés</v>
          </cell>
        </row>
        <row r="113">
          <cell r="A113" t="str">
            <v>Véhicules usagés</v>
          </cell>
        </row>
        <row r="114">
          <cell r="A114" t="str">
            <v>Véhicules usagésDEPENSES</v>
          </cell>
          <cell r="B114" t="str">
            <v>DEPENSES</v>
          </cell>
        </row>
        <row r="115">
          <cell r="A115" t="str">
            <v>Véhicules usagésComm. vendeurs</v>
          </cell>
          <cell r="B115" t="str">
            <v>Comm. vendeurs</v>
          </cell>
        </row>
        <row r="116">
          <cell r="A116" t="str">
            <v>Véhicules usagésComm. F&amp;I</v>
          </cell>
          <cell r="B116" t="str">
            <v>Comm. F&amp;I</v>
          </cell>
        </row>
        <row r="117">
          <cell r="A117" t="str">
            <v>Véhicules usagésFrais de livraison</v>
          </cell>
          <cell r="B117" t="str">
            <v>Frais de livraison</v>
          </cell>
        </row>
        <row r="118">
          <cell r="A118" t="str">
            <v>Véhicules usagésService gratuit 1</v>
          </cell>
          <cell r="B118" t="str">
            <v>Service gratuit 1</v>
          </cell>
        </row>
        <row r="119">
          <cell r="A119" t="str">
            <v>Véhicules usagésEntretien stock</v>
          </cell>
          <cell r="B119" t="str">
            <v>Entretien stock</v>
          </cell>
        </row>
        <row r="120">
          <cell r="A120" t="str">
            <v>Véhicules usagésPublicité 1</v>
          </cell>
          <cell r="B120" t="str">
            <v>Publicité 1</v>
          </cell>
        </row>
        <row r="121">
          <cell r="A121" t="str">
            <v>Véhicules usagésIntérêt de gros</v>
          </cell>
          <cell r="B121" t="str">
            <v>Intérêt de gros</v>
          </cell>
        </row>
        <row r="122">
          <cell r="A122" t="str">
            <v>Véhicules usagés[...]</v>
          </cell>
          <cell r="B122" t="str">
            <v>[...]</v>
          </cell>
        </row>
        <row r="123">
          <cell r="A123" t="str">
            <v>Véhicules usagés[...]</v>
          </cell>
          <cell r="B123" t="str">
            <v>[...]</v>
          </cell>
        </row>
        <row r="124">
          <cell r="A124" t="str">
            <v>Véhicules usagés[...]</v>
          </cell>
          <cell r="B124" t="str">
            <v>[...]</v>
          </cell>
        </row>
        <row r="125">
          <cell r="A125" t="str">
            <v>Véhicules usagésTOTAL VARIABLES</v>
          </cell>
          <cell r="B125" t="str">
            <v>TOTAL VARIABLES</v>
          </cell>
        </row>
        <row r="126">
          <cell r="A126" t="str">
            <v>Véhicules usagésSalaires cadres</v>
          </cell>
          <cell r="B126" t="str">
            <v>Salaires cadres</v>
          </cell>
        </row>
        <row r="127">
          <cell r="A127" t="str">
            <v>Véhicules usagésSalaires commis</v>
          </cell>
          <cell r="B127" t="str">
            <v>Salaires commis</v>
          </cell>
        </row>
        <row r="128">
          <cell r="A128" t="str">
            <v>Véhicules usagésSalaires autres</v>
          </cell>
          <cell r="B128" t="str">
            <v>Salaires autres</v>
          </cell>
        </row>
        <row r="129">
          <cell r="A129" t="str">
            <v>Véhicules usagésSalaires spécialistes</v>
          </cell>
          <cell r="B129" t="str">
            <v>Salaires spécialistes</v>
          </cell>
        </row>
        <row r="130">
          <cell r="A130" t="str">
            <v>Véhicules usagés[...]</v>
          </cell>
          <cell r="B130" t="str">
            <v>[...]</v>
          </cell>
        </row>
        <row r="131">
          <cell r="A131" t="str">
            <v>Véhicules usagés[...]</v>
          </cell>
          <cell r="B131" t="str">
            <v>[...]</v>
          </cell>
        </row>
        <row r="132">
          <cell r="A132" t="str">
            <v>Véhicules usagés[...]</v>
          </cell>
          <cell r="B132" t="str">
            <v>[...]</v>
          </cell>
        </row>
        <row r="133">
          <cell r="A133" t="str">
            <v>Véhicules usagésSalaires en absences</v>
          </cell>
          <cell r="B133" t="str">
            <v>Salaires en absences</v>
          </cell>
        </row>
        <row r="134">
          <cell r="A134" t="str">
            <v>Véhicules usagésDéduction à la source</v>
          </cell>
          <cell r="B134" t="str">
            <v>Déduction à la source</v>
          </cell>
        </row>
        <row r="135">
          <cell r="A135" t="str">
            <v>Véhicules usagésBénéfices marginaux</v>
          </cell>
          <cell r="B135" t="str">
            <v>Bénéfices marginaux</v>
          </cell>
        </row>
        <row r="136">
          <cell r="A136" t="str">
            <v>Véhicules usagésCsst</v>
          </cell>
          <cell r="B136" t="str">
            <v>Csst</v>
          </cell>
        </row>
        <row r="137">
          <cell r="A137" t="str">
            <v>Véhicules usagés[...]</v>
          </cell>
          <cell r="B137" t="str">
            <v>[...]</v>
          </cell>
        </row>
        <row r="138">
          <cell r="A138" t="str">
            <v>Véhicules usagésTOTAL PERSONNEL</v>
          </cell>
          <cell r="B138" t="str">
            <v>TOTAL PERSONNEL</v>
          </cell>
        </row>
        <row r="139">
          <cell r="A139" t="str">
            <v>Véhicules usagésPublicité 2</v>
          </cell>
          <cell r="B139" t="str">
            <v>Publicité 2</v>
          </cell>
        </row>
        <row r="140">
          <cell r="A140" t="str">
            <v>Véhicules usagésService gratuit 2</v>
          </cell>
          <cell r="B140" t="str">
            <v>Service gratuit 2</v>
          </cell>
        </row>
        <row r="141">
          <cell r="A141" t="str">
            <v>Véhicules usagésFrais véhicules de cie</v>
          </cell>
          <cell r="B141" t="str">
            <v>Frais véhicules de cie</v>
          </cell>
        </row>
        <row r="142">
          <cell r="A142" t="str">
            <v>Véhicules usagésInformatique</v>
          </cell>
          <cell r="B142" t="str">
            <v>Informatique</v>
          </cell>
        </row>
        <row r="143">
          <cell r="A143" t="str">
            <v>Véhicules usagésFrais de déplacement</v>
          </cell>
          <cell r="B143" t="str">
            <v>Frais de déplacement</v>
          </cell>
        </row>
        <row r="144">
          <cell r="A144" t="str">
            <v>Véhicules usagésServices extérieurs</v>
          </cell>
          <cell r="B144" t="str">
            <v>Services extérieurs</v>
          </cell>
        </row>
        <row r="145">
          <cell r="A145" t="str">
            <v>Véhicules usagésFournitures autres</v>
          </cell>
          <cell r="B145" t="str">
            <v>Fournitures autres</v>
          </cell>
        </row>
        <row r="146">
          <cell r="A146" t="str">
            <v>Véhicules usagésUniformes</v>
          </cell>
          <cell r="B146" t="str">
            <v>Uniformes</v>
          </cell>
        </row>
        <row r="147">
          <cell r="A147" t="str">
            <v>Véhicules usagésPapeterie</v>
          </cell>
          <cell r="B147" t="str">
            <v>Papeterie</v>
          </cell>
        </row>
        <row r="148">
          <cell r="A148" t="str">
            <v>Véhicules usagésTéléphone</v>
          </cell>
          <cell r="B148" t="str">
            <v>Téléphone</v>
          </cell>
        </row>
        <row r="149">
          <cell r="A149" t="str">
            <v>Véhicules usagésFrais postaux</v>
          </cell>
          <cell r="B149" t="str">
            <v>Frais postaux</v>
          </cell>
        </row>
        <row r="150">
          <cell r="A150" t="str">
            <v>Véhicules usagésDivers</v>
          </cell>
          <cell r="B150" t="str">
            <v>Divers</v>
          </cell>
        </row>
        <row r="151">
          <cell r="A151" t="str">
            <v>Véhicules usagésFormation</v>
          </cell>
          <cell r="B151" t="str">
            <v>Formation</v>
          </cell>
        </row>
        <row r="152">
          <cell r="A152" t="str">
            <v>Véhicules usagésFrais bancaires</v>
          </cell>
          <cell r="B152" t="str">
            <v>Frais bancaires</v>
          </cell>
        </row>
        <row r="153">
          <cell r="A153" t="str">
            <v>Véhicules usagés[...]</v>
          </cell>
          <cell r="B153" t="str">
            <v>[...]</v>
          </cell>
        </row>
        <row r="154">
          <cell r="A154" t="str">
            <v>Véhicules usagés[...]</v>
          </cell>
          <cell r="B154" t="str">
            <v>[...]</v>
          </cell>
        </row>
        <row r="155">
          <cell r="A155" t="str">
            <v>Véhicules usagés[...]</v>
          </cell>
          <cell r="B155" t="str">
            <v>[...]</v>
          </cell>
        </row>
        <row r="156">
          <cell r="A156" t="str">
            <v>Véhicules usagésTOTAL SEMI-FIXES</v>
          </cell>
          <cell r="B156" t="str">
            <v>TOTAL SEMI-FIXES</v>
          </cell>
        </row>
        <row r="157">
          <cell r="A157" t="str">
            <v>Véhicules usagés</v>
          </cell>
        </row>
        <row r="158">
          <cell r="A158" t="str">
            <v>Véhicules usagésTOTAL DES DÉPENSES</v>
          </cell>
          <cell r="B158" t="str">
            <v>TOTAL DES DÉPENSES</v>
          </cell>
        </row>
        <row r="159">
          <cell r="A159" t="str">
            <v>Véhicules usagésProgramme used 1</v>
          </cell>
          <cell r="B159" t="str">
            <v>Programme used 1</v>
          </cell>
        </row>
        <row r="160">
          <cell r="A160" t="str">
            <v>Véhicules usagésProgramme used 2</v>
          </cell>
          <cell r="B160" t="str">
            <v>Programme used 2</v>
          </cell>
        </row>
        <row r="161">
          <cell r="A161" t="str">
            <v>Véhicules usagésProgramme used 3</v>
          </cell>
          <cell r="B161" t="str">
            <v>Programme used 3</v>
          </cell>
        </row>
        <row r="162">
          <cell r="A162" t="str">
            <v>Véhicules usagés[...]</v>
          </cell>
          <cell r="B162" t="str">
            <v>[...]</v>
          </cell>
        </row>
        <row r="163">
          <cell r="A163" t="str">
            <v>Véhicules usagés[...]</v>
          </cell>
          <cell r="B163" t="str">
            <v>[...]</v>
          </cell>
        </row>
        <row r="164">
          <cell r="A164" t="str">
            <v>Véhicules usagés[...]</v>
          </cell>
          <cell r="B164" t="str">
            <v>[...]</v>
          </cell>
        </row>
        <row r="165">
          <cell r="A165" t="str">
            <v>Véhicules usagésFrais administration</v>
          </cell>
          <cell r="B165" t="str">
            <v>Frais administration</v>
          </cell>
        </row>
        <row r="166">
          <cell r="A166" t="str">
            <v>Véhicules usagésAUTRES REVENUS</v>
          </cell>
          <cell r="B166" t="str">
            <v>AUTRES REVENUS</v>
          </cell>
        </row>
        <row r="167">
          <cell r="A167" t="str">
            <v>Véhicules usagés</v>
          </cell>
        </row>
        <row r="168">
          <cell r="A168" t="str">
            <v>Véhicules usagésPROFIT DÉPARTEMENTAL</v>
          </cell>
          <cell r="B168" t="str">
            <v>PROFIT DÉPARTEMENTAL</v>
          </cell>
        </row>
        <row r="171">
          <cell r="B171" t="str">
            <v>Budget 2025</v>
          </cell>
          <cell r="C171" t="str">
            <v>Service</v>
          </cell>
        </row>
        <row r="173">
          <cell r="B173" t="str">
            <v>Mois</v>
          </cell>
        </row>
        <row r="174">
          <cell r="A174" t="str">
            <v>Service</v>
          </cell>
        </row>
        <row r="175">
          <cell r="A175" t="str">
            <v>ServiceM/O Client</v>
          </cell>
          <cell r="B175" t="str">
            <v>M/O Client</v>
          </cell>
        </row>
        <row r="176">
          <cell r="A176" t="str">
            <v>Service% profit / ventes</v>
          </cell>
          <cell r="B176" t="str">
            <v>% profit / ventes</v>
          </cell>
        </row>
        <row r="177">
          <cell r="A177" t="str">
            <v>Service</v>
          </cell>
        </row>
        <row r="178">
          <cell r="A178" t="str">
            <v>ServiceM/O Garantie</v>
          </cell>
          <cell r="B178" t="str">
            <v>M/O Garantie</v>
          </cell>
        </row>
        <row r="179">
          <cell r="A179" t="str">
            <v>Service% profit / ventes</v>
          </cell>
          <cell r="B179" t="str">
            <v>% profit / ventes</v>
          </cell>
        </row>
        <row r="180">
          <cell r="A180" t="str">
            <v>Service</v>
          </cell>
        </row>
        <row r="181">
          <cell r="A181" t="str">
            <v>ServiceM/O Interne</v>
          </cell>
          <cell r="B181" t="str">
            <v>M/O Interne</v>
          </cell>
        </row>
        <row r="182">
          <cell r="A182" t="str">
            <v>Service% profit / ventes</v>
          </cell>
          <cell r="B182" t="str">
            <v>% profit / ventes</v>
          </cell>
        </row>
        <row r="183">
          <cell r="A183" t="str">
            <v>Service</v>
          </cell>
        </row>
        <row r="184">
          <cell r="A184" t="str">
            <v>ServiceM/O Esthétique</v>
          </cell>
          <cell r="B184" t="str">
            <v>M/O Esthétique</v>
          </cell>
        </row>
        <row r="185">
          <cell r="A185" t="str">
            <v>Service% profit / ventes</v>
          </cell>
          <cell r="B185" t="str">
            <v>% profit / ventes</v>
          </cell>
        </row>
        <row r="186">
          <cell r="A186" t="str">
            <v>Service</v>
          </cell>
        </row>
        <row r="187">
          <cell r="A187" t="str">
            <v>ServiceAjustement M/O</v>
          </cell>
          <cell r="B187" t="str">
            <v>Ajustement M/O</v>
          </cell>
        </row>
        <row r="188">
          <cell r="A188" t="str">
            <v>ServiceSous-total M/O</v>
          </cell>
          <cell r="B188" t="str">
            <v>Sous-total M/O</v>
          </cell>
        </row>
        <row r="189">
          <cell r="A189" t="str">
            <v>Service% protit / ventes</v>
          </cell>
          <cell r="B189" t="str">
            <v>% protit / ventes</v>
          </cell>
        </row>
        <row r="190">
          <cell r="A190" t="str">
            <v>Service</v>
          </cell>
        </row>
        <row r="191">
          <cell r="A191" t="str">
            <v>ServiceSous-traitement</v>
          </cell>
          <cell r="B191" t="str">
            <v>Sous-traitement</v>
          </cell>
        </row>
        <row r="192">
          <cell r="A192" t="str">
            <v>Service% profit / ventes</v>
          </cell>
          <cell r="B192" t="str">
            <v>% profit / ventes</v>
          </cell>
        </row>
        <row r="193">
          <cell r="A193" t="str">
            <v>Service</v>
          </cell>
        </row>
        <row r="194">
          <cell r="A194" t="str">
            <v>ServiceM.O. Recond. MCPA</v>
          </cell>
          <cell r="B194" t="str">
            <v>M.O. Recond. MCPA</v>
          </cell>
        </row>
        <row r="195">
          <cell r="A195" t="str">
            <v>Service% profit / ventes</v>
          </cell>
          <cell r="B195" t="str">
            <v>% profit / ventes</v>
          </cell>
        </row>
        <row r="196">
          <cell r="A196" t="str">
            <v>Service</v>
          </cell>
        </row>
        <row r="197">
          <cell r="A197" t="str">
            <v>ServiceTotal Mécanique</v>
          </cell>
          <cell r="B197" t="str">
            <v>Total Mécanique</v>
          </cell>
        </row>
        <row r="198">
          <cell r="A198" t="str">
            <v>Service</v>
          </cell>
        </row>
        <row r="199">
          <cell r="A199" t="str">
            <v>Service</v>
          </cell>
        </row>
        <row r="200">
          <cell r="A200" t="str">
            <v>ServiceDEPENSES</v>
          </cell>
          <cell r="B200" t="str">
            <v>DEPENSES</v>
          </cell>
        </row>
        <row r="201">
          <cell r="A201" t="str">
            <v>ServiceSalaires cadres</v>
          </cell>
          <cell r="B201" t="str">
            <v>Salaires cadres</v>
          </cell>
        </row>
        <row r="202">
          <cell r="A202" t="str">
            <v>ServiceSalaires commis</v>
          </cell>
          <cell r="B202" t="str">
            <v>Salaires commis</v>
          </cell>
        </row>
        <row r="203">
          <cell r="A203" t="str">
            <v>ServiceSalaires autres</v>
          </cell>
          <cell r="B203" t="str">
            <v>Salaires autres</v>
          </cell>
        </row>
        <row r="204">
          <cell r="A204" t="str">
            <v>ServiceSalaires spécialistes</v>
          </cell>
          <cell r="B204" t="str">
            <v>Salaires spécialistes</v>
          </cell>
        </row>
        <row r="205">
          <cell r="A205" t="str">
            <v>Service[...]</v>
          </cell>
          <cell r="B205" t="str">
            <v>[...]</v>
          </cell>
        </row>
        <row r="206">
          <cell r="A206" t="str">
            <v>Service[...]</v>
          </cell>
          <cell r="B206" t="str">
            <v>[...]</v>
          </cell>
        </row>
        <row r="207">
          <cell r="A207" t="str">
            <v>Service[...]</v>
          </cell>
          <cell r="B207" t="str">
            <v>[...]</v>
          </cell>
        </row>
        <row r="208">
          <cell r="A208" t="str">
            <v>ServiceSalaires en absences</v>
          </cell>
          <cell r="B208" t="str">
            <v>Salaires en absences</v>
          </cell>
        </row>
        <row r="209">
          <cell r="A209" t="str">
            <v>ServiceDéduction à la source</v>
          </cell>
          <cell r="B209" t="str">
            <v>Déduction à la source</v>
          </cell>
        </row>
        <row r="210">
          <cell r="A210" t="str">
            <v>ServiceBénéfices marginaux</v>
          </cell>
          <cell r="B210" t="str">
            <v>Bénéfices marginaux</v>
          </cell>
        </row>
        <row r="211">
          <cell r="A211" t="str">
            <v>ServiceCsst</v>
          </cell>
          <cell r="B211" t="str">
            <v>Csst</v>
          </cell>
        </row>
        <row r="212">
          <cell r="A212" t="str">
            <v>Service[...]</v>
          </cell>
          <cell r="B212" t="str">
            <v>[...]</v>
          </cell>
        </row>
        <row r="213">
          <cell r="A213" t="str">
            <v>ServiceTOTAL PERSONNEL</v>
          </cell>
          <cell r="B213" t="str">
            <v>TOTAL PERSONNEL</v>
          </cell>
        </row>
        <row r="214">
          <cell r="A214" t="str">
            <v>ServicePublicité 2</v>
          </cell>
          <cell r="B214" t="str">
            <v>Publicité 2</v>
          </cell>
        </row>
        <row r="215">
          <cell r="A215" t="str">
            <v>ServiceService gratuit 2</v>
          </cell>
          <cell r="B215" t="str">
            <v>Service gratuit 2</v>
          </cell>
        </row>
        <row r="216">
          <cell r="A216" t="str">
            <v>ServiceFrais véhicules de cie</v>
          </cell>
          <cell r="B216" t="str">
            <v>Frais véhicules de cie</v>
          </cell>
        </row>
        <row r="217">
          <cell r="A217" t="str">
            <v>ServiceInformatique</v>
          </cell>
          <cell r="B217" t="str">
            <v>Informatique</v>
          </cell>
        </row>
        <row r="218">
          <cell r="A218" t="str">
            <v>ServiceFrais de déplacement</v>
          </cell>
          <cell r="B218" t="str">
            <v>Frais de déplacement</v>
          </cell>
        </row>
        <row r="219">
          <cell r="A219" t="str">
            <v>ServiceServices extérieurs</v>
          </cell>
          <cell r="B219" t="str">
            <v>Services extérieurs</v>
          </cell>
        </row>
        <row r="220">
          <cell r="A220" t="str">
            <v>ServiceFournitures d'atelier</v>
          </cell>
          <cell r="B220" t="str">
            <v>Fournitures d'atelier</v>
          </cell>
        </row>
        <row r="221">
          <cell r="A221" t="str">
            <v>ServiceFournitures autres</v>
          </cell>
          <cell r="B221" t="str">
            <v>Fournitures autres</v>
          </cell>
        </row>
        <row r="222">
          <cell r="A222" t="str">
            <v>ServiceUniformes</v>
          </cell>
          <cell r="B222" t="str">
            <v>Uniformes</v>
          </cell>
        </row>
        <row r="223">
          <cell r="A223" t="str">
            <v>ServicePapeterie</v>
          </cell>
          <cell r="B223" t="str">
            <v>Papeterie</v>
          </cell>
        </row>
        <row r="224">
          <cell r="A224" t="str">
            <v>ServiceTéléphone</v>
          </cell>
          <cell r="B224" t="str">
            <v>Téléphone</v>
          </cell>
        </row>
        <row r="225">
          <cell r="A225" t="str">
            <v>ServiceFrais postaux</v>
          </cell>
          <cell r="B225" t="str">
            <v>Frais postaux</v>
          </cell>
        </row>
        <row r="226">
          <cell r="A226" t="str">
            <v>ServiceDivers</v>
          </cell>
          <cell r="B226" t="str">
            <v>Divers</v>
          </cell>
        </row>
        <row r="227">
          <cell r="A227" t="str">
            <v>ServiceFormation</v>
          </cell>
          <cell r="B227" t="str">
            <v>Formation</v>
          </cell>
        </row>
        <row r="228">
          <cell r="A228" t="str">
            <v>ServiceFrais bancaires</v>
          </cell>
          <cell r="B228" t="str">
            <v>Frais bancaires</v>
          </cell>
        </row>
        <row r="229">
          <cell r="A229" t="str">
            <v>Service[...]</v>
          </cell>
          <cell r="B229" t="str">
            <v>[...]</v>
          </cell>
        </row>
        <row r="230">
          <cell r="A230" t="str">
            <v>Service[...]</v>
          </cell>
          <cell r="B230" t="str">
            <v>[...]</v>
          </cell>
        </row>
        <row r="231">
          <cell r="A231" t="str">
            <v>Service[...]</v>
          </cell>
          <cell r="B231" t="str">
            <v>[...]</v>
          </cell>
        </row>
        <row r="232">
          <cell r="A232" t="str">
            <v>ServiceTOTAL SEMI-FIXES</v>
          </cell>
          <cell r="B232" t="str">
            <v>TOTAL SEMI-FIXES</v>
          </cell>
        </row>
        <row r="233">
          <cell r="A233" t="str">
            <v>Service</v>
          </cell>
        </row>
        <row r="234">
          <cell r="A234" t="str">
            <v>ServiceTOTAL DES DÉPENSES</v>
          </cell>
          <cell r="B234" t="str">
            <v>TOTAL DES DÉPENSES</v>
          </cell>
        </row>
        <row r="235">
          <cell r="A235" t="str">
            <v>Service</v>
          </cell>
        </row>
        <row r="236">
          <cell r="A236" t="str">
            <v>ServicePROFIT DÉPARTEMENTAL</v>
          </cell>
          <cell r="B236" t="str">
            <v>PROFIT DÉPARTEMENTAL</v>
          </cell>
        </row>
        <row r="239">
          <cell r="B239" t="str">
            <v>Budget 2025</v>
          </cell>
          <cell r="C239" t="str">
            <v>Carrosserie</v>
          </cell>
        </row>
        <row r="241">
          <cell r="B241" t="str">
            <v>Mois</v>
          </cell>
        </row>
        <row r="242">
          <cell r="A242" t="str">
            <v>Carrosserie</v>
          </cell>
        </row>
        <row r="243">
          <cell r="A243" t="str">
            <v>Carrosserie</v>
          </cell>
        </row>
        <row r="244">
          <cell r="A244" t="str">
            <v>CarrosserieM/O Sous-traitement</v>
          </cell>
          <cell r="B244" t="str">
            <v>M/O Sous-traitement</v>
          </cell>
        </row>
        <row r="245">
          <cell r="A245" t="str">
            <v>Carrosserie% profit / ventes</v>
          </cell>
          <cell r="B245" t="str">
            <v>% profit / ventes</v>
          </cell>
        </row>
        <row r="246">
          <cell r="A246" t="str">
            <v>Carrosserie</v>
          </cell>
        </row>
        <row r="247">
          <cell r="A247" t="str">
            <v>CarrosserieM/O Carrosserie</v>
          </cell>
          <cell r="B247" t="str">
            <v>M/O Carrosserie</v>
          </cell>
        </row>
        <row r="248">
          <cell r="A248" t="str">
            <v>Carrosserie% profit / ventes</v>
          </cell>
          <cell r="B248" t="str">
            <v>% profit / ventes</v>
          </cell>
        </row>
        <row r="249">
          <cell r="A249" t="str">
            <v>Carrosserie</v>
          </cell>
        </row>
        <row r="250">
          <cell r="A250" t="str">
            <v>CarrosserieM/O Esthétique Carr.</v>
          </cell>
          <cell r="B250" t="str">
            <v>M/O Esthétique Carr.</v>
          </cell>
        </row>
        <row r="251">
          <cell r="A251" t="str">
            <v>Carrosserie% profit / ventes</v>
          </cell>
          <cell r="B251" t="str">
            <v>% profit / ventes</v>
          </cell>
        </row>
        <row r="252">
          <cell r="A252" t="str">
            <v>Carrosserie</v>
          </cell>
        </row>
        <row r="253">
          <cell r="A253" t="str">
            <v>CarrosserieTotal Mécanique</v>
          </cell>
          <cell r="B253" t="str">
            <v>Total Mécanique</v>
          </cell>
        </row>
        <row r="254">
          <cell r="A254" t="str">
            <v>Carrosserie</v>
          </cell>
        </row>
        <row r="255">
          <cell r="A255" t="str">
            <v>Carrosserie</v>
          </cell>
        </row>
        <row r="256">
          <cell r="A256" t="str">
            <v>CarrosserieDEPENSES</v>
          </cell>
          <cell r="B256" t="str">
            <v>DEPENSES</v>
          </cell>
        </row>
        <row r="257">
          <cell r="A257" t="str">
            <v>CarrosserieSalaires cadres</v>
          </cell>
          <cell r="B257" t="str">
            <v>Salaires cadres</v>
          </cell>
        </row>
        <row r="258">
          <cell r="A258" t="str">
            <v>CarrosserieSalaires commis</v>
          </cell>
          <cell r="B258" t="str">
            <v>Salaires commis</v>
          </cell>
        </row>
        <row r="259">
          <cell r="A259" t="str">
            <v>CarrosserieSalaires autres</v>
          </cell>
          <cell r="B259" t="str">
            <v>Salaires autres</v>
          </cell>
        </row>
        <row r="260">
          <cell r="A260" t="str">
            <v>CarrosserieSalaires spécialistes</v>
          </cell>
          <cell r="B260" t="str">
            <v>Salaires spécialistes</v>
          </cell>
        </row>
        <row r="261">
          <cell r="A261" t="str">
            <v>Carrosserie[...]</v>
          </cell>
          <cell r="B261" t="str">
            <v>[...]</v>
          </cell>
        </row>
        <row r="262">
          <cell r="A262" t="str">
            <v>Carrosserie[...]</v>
          </cell>
          <cell r="B262" t="str">
            <v>[...]</v>
          </cell>
        </row>
        <row r="263">
          <cell r="A263" t="str">
            <v>Carrosserie[...]</v>
          </cell>
          <cell r="B263" t="str">
            <v>[...]</v>
          </cell>
        </row>
        <row r="264">
          <cell r="A264" t="str">
            <v>CarrosserieSalaires en absences</v>
          </cell>
          <cell r="B264" t="str">
            <v>Salaires en absences</v>
          </cell>
        </row>
        <row r="265">
          <cell r="A265" t="str">
            <v>CarrosserieDéduction à la source</v>
          </cell>
          <cell r="B265" t="str">
            <v>Déduction à la source</v>
          </cell>
        </row>
        <row r="266">
          <cell r="A266" t="str">
            <v>CarrosserieBénéfices marginaux</v>
          </cell>
          <cell r="B266" t="str">
            <v>Bénéfices marginaux</v>
          </cell>
        </row>
        <row r="267">
          <cell r="A267" t="str">
            <v>CarrosserieCsst</v>
          </cell>
          <cell r="B267" t="str">
            <v>Csst</v>
          </cell>
        </row>
        <row r="268">
          <cell r="A268" t="str">
            <v>Carrosserie[...]</v>
          </cell>
          <cell r="B268" t="str">
            <v>[...]</v>
          </cell>
        </row>
        <row r="269">
          <cell r="A269" t="str">
            <v>CarrosserieTOTAL PERSONNEL</v>
          </cell>
          <cell r="B269" t="str">
            <v>TOTAL PERSONNEL</v>
          </cell>
        </row>
        <row r="270">
          <cell r="A270" t="str">
            <v>CarrosseriePublicité 2</v>
          </cell>
          <cell r="B270" t="str">
            <v>Publicité 2</v>
          </cell>
        </row>
        <row r="271">
          <cell r="A271" t="str">
            <v>CarrosserieService gratuit 2</v>
          </cell>
          <cell r="B271" t="str">
            <v>Service gratuit 2</v>
          </cell>
        </row>
        <row r="272">
          <cell r="A272" t="str">
            <v>CarrosserieFrais véhicules de cie</v>
          </cell>
          <cell r="B272" t="str">
            <v>Frais véhicules de cie</v>
          </cell>
        </row>
        <row r="273">
          <cell r="A273" t="str">
            <v>CarrosserieInformatique</v>
          </cell>
          <cell r="B273" t="str">
            <v>Informatique</v>
          </cell>
        </row>
        <row r="274">
          <cell r="A274" t="str">
            <v>CarrosserieFrais de déplacement</v>
          </cell>
          <cell r="B274" t="str">
            <v>Frais de déplacement</v>
          </cell>
        </row>
        <row r="275">
          <cell r="A275" t="str">
            <v>CarrosserieServices extérieurs</v>
          </cell>
          <cell r="B275" t="str">
            <v>Services extérieurs</v>
          </cell>
        </row>
        <row r="276">
          <cell r="A276" t="str">
            <v>CarrosserieFournitures d'atelier</v>
          </cell>
          <cell r="B276" t="str">
            <v>Fournitures d'atelier</v>
          </cell>
        </row>
        <row r="277">
          <cell r="A277" t="str">
            <v>CarrosserieFournitures autres</v>
          </cell>
          <cell r="B277" t="str">
            <v>Fournitures autres</v>
          </cell>
        </row>
        <row r="278">
          <cell r="A278" t="str">
            <v>CarrosserieUniformes</v>
          </cell>
          <cell r="B278" t="str">
            <v>Uniformes</v>
          </cell>
        </row>
        <row r="279">
          <cell r="A279" t="str">
            <v>CarrosseriePapeterie</v>
          </cell>
          <cell r="B279" t="str">
            <v>Papeterie</v>
          </cell>
        </row>
        <row r="280">
          <cell r="A280" t="str">
            <v>CarrosserieTéléphone</v>
          </cell>
          <cell r="B280" t="str">
            <v>Téléphone</v>
          </cell>
        </row>
        <row r="281">
          <cell r="A281" t="str">
            <v>CarrosserieFrais postaux</v>
          </cell>
          <cell r="B281" t="str">
            <v>Frais postaux</v>
          </cell>
        </row>
        <row r="282">
          <cell r="A282" t="str">
            <v>CarrosserieDivers</v>
          </cell>
          <cell r="B282" t="str">
            <v>Divers</v>
          </cell>
        </row>
        <row r="283">
          <cell r="A283" t="str">
            <v>CarrosserieFormation</v>
          </cell>
          <cell r="B283" t="str">
            <v>Formation</v>
          </cell>
        </row>
        <row r="284">
          <cell r="A284" t="str">
            <v>CarrosserieFrais bancaires</v>
          </cell>
          <cell r="B284" t="str">
            <v>Frais bancaires</v>
          </cell>
        </row>
        <row r="285">
          <cell r="A285" t="str">
            <v>Carrosserie[...]</v>
          </cell>
          <cell r="B285" t="str">
            <v>[...]</v>
          </cell>
        </row>
        <row r="286">
          <cell r="A286" t="str">
            <v>Carrosserie[...]</v>
          </cell>
          <cell r="B286" t="str">
            <v>[...]</v>
          </cell>
        </row>
        <row r="287">
          <cell r="A287" t="str">
            <v>Carrosserie[...]</v>
          </cell>
          <cell r="B287" t="str">
            <v>[...]</v>
          </cell>
        </row>
        <row r="288">
          <cell r="A288" t="str">
            <v>CarrosserieTOTAL SEMI-FIXES</v>
          </cell>
          <cell r="B288" t="str">
            <v>TOTAL SEMI-FIXES</v>
          </cell>
        </row>
        <row r="289">
          <cell r="A289" t="str">
            <v>Carrosserie</v>
          </cell>
        </row>
        <row r="290">
          <cell r="A290" t="str">
            <v>CarrosserieTOTAL DES DÉPENSES</v>
          </cell>
          <cell r="B290" t="str">
            <v>TOTAL DES DÉPENSES</v>
          </cell>
        </row>
        <row r="291">
          <cell r="A291" t="str">
            <v>Carrosserie</v>
          </cell>
        </row>
        <row r="292">
          <cell r="A292" t="str">
            <v>CarrosseriePROFIT DÉPARTEMENTAL</v>
          </cell>
          <cell r="B292" t="str">
            <v>PROFIT DÉPARTEMENTAL</v>
          </cell>
        </row>
        <row r="294">
          <cell r="B294" t="str">
            <v>Budget 2025</v>
          </cell>
          <cell r="C294" t="str">
            <v>Pièces</v>
          </cell>
        </row>
        <row r="296">
          <cell r="B296" t="str">
            <v>Mois</v>
          </cell>
        </row>
        <row r="297">
          <cell r="A297" t="str">
            <v>Pièces</v>
          </cell>
        </row>
        <row r="298">
          <cell r="A298" t="str">
            <v>PiècesPièces Ro Clients</v>
          </cell>
          <cell r="B298" t="str">
            <v>Pièces Ro Clients</v>
          </cell>
        </row>
        <row r="299">
          <cell r="A299" t="str">
            <v>PiècesPièces Ro Carrosserie</v>
          </cell>
          <cell r="B299" t="str">
            <v>Pièces Ro Carrosserie</v>
          </cell>
        </row>
        <row r="300">
          <cell r="A300" t="str">
            <v>PiècesP/A Garantie</v>
          </cell>
          <cell r="B300" t="str">
            <v>P/A Garantie</v>
          </cell>
        </row>
        <row r="301">
          <cell r="A301" t="str">
            <v>PiècesVentes Internes</v>
          </cell>
          <cell r="B301" t="str">
            <v>Ventes Internes</v>
          </cell>
        </row>
        <row r="302">
          <cell r="A302" t="str">
            <v>PiècesVentes Détails</v>
          </cell>
          <cell r="B302" t="str">
            <v>Ventes Détails</v>
          </cell>
        </row>
        <row r="303">
          <cell r="A303" t="str">
            <v>PiècesVentes de Gros</v>
          </cell>
          <cell r="B303" t="str">
            <v>Ventes de Gros</v>
          </cell>
        </row>
        <row r="304">
          <cell r="A304" t="str">
            <v>Pièces[...]</v>
          </cell>
          <cell r="B304" t="str">
            <v>[...]</v>
          </cell>
        </row>
        <row r="305">
          <cell r="A305" t="str">
            <v>PiècesEscomptes</v>
          </cell>
          <cell r="B305" t="str">
            <v>Escomptes</v>
          </cell>
        </row>
        <row r="306">
          <cell r="A306" t="str">
            <v>PiècesRectif. Inventaire</v>
          </cell>
          <cell r="B306" t="str">
            <v>Rectif. Inventaire</v>
          </cell>
        </row>
        <row r="307">
          <cell r="A307" t="str">
            <v>PiècesSous-total Pièces</v>
          </cell>
          <cell r="B307" t="str">
            <v>Sous-total Pièces</v>
          </cell>
        </row>
        <row r="308">
          <cell r="A308" t="str">
            <v>Pièces</v>
          </cell>
        </row>
        <row r="309">
          <cell r="A309" t="str">
            <v>Pièces</v>
          </cell>
        </row>
        <row r="310">
          <cell r="A310" t="str">
            <v>PiècesVentes Pneus</v>
          </cell>
          <cell r="B310" t="str">
            <v>Ventes Pneus</v>
          </cell>
        </row>
        <row r="311">
          <cell r="A311" t="str">
            <v>PiècesHuiles et Graisse</v>
          </cell>
          <cell r="B311" t="str">
            <v>Huiles et Graisse</v>
          </cell>
        </row>
        <row r="312">
          <cell r="A312" t="str">
            <v>PiècesSous-total Pièces et Acc.</v>
          </cell>
          <cell r="B312" t="str">
            <v>Sous-total Pièces et Acc.</v>
          </cell>
        </row>
        <row r="313">
          <cell r="A313" t="str">
            <v>Pièces</v>
          </cell>
        </row>
        <row r="314">
          <cell r="A314" t="str">
            <v>Pièces</v>
          </cell>
        </row>
        <row r="315">
          <cell r="A315" t="str">
            <v>PiècesAutostock</v>
          </cell>
          <cell r="B315" t="str">
            <v>Autostock</v>
          </cell>
        </row>
        <row r="316">
          <cell r="A316" t="str">
            <v>Pièces</v>
          </cell>
        </row>
        <row r="317">
          <cell r="A317" t="str">
            <v>PiècesTotal Dépt. Pièces</v>
          </cell>
          <cell r="B317" t="str">
            <v>Total Dépt. Pièces</v>
          </cell>
        </row>
        <row r="318">
          <cell r="A318" t="str">
            <v>Pièces</v>
          </cell>
        </row>
        <row r="319">
          <cell r="A319" t="str">
            <v>Pièces</v>
          </cell>
        </row>
        <row r="320">
          <cell r="A320" t="str">
            <v>PiècesDEPENSES</v>
          </cell>
          <cell r="B320" t="str">
            <v>DEPENSES</v>
          </cell>
        </row>
        <row r="321">
          <cell r="A321" t="str">
            <v>PiècesSalaires cadres</v>
          </cell>
          <cell r="B321" t="str">
            <v>Salaires cadres</v>
          </cell>
        </row>
        <row r="322">
          <cell r="A322" t="str">
            <v>PiècesSalaires commis</v>
          </cell>
          <cell r="B322" t="str">
            <v>Salaires commis</v>
          </cell>
        </row>
        <row r="323">
          <cell r="A323" t="str">
            <v>PiècesSalaires autres</v>
          </cell>
          <cell r="B323" t="str">
            <v>Salaires autres</v>
          </cell>
        </row>
        <row r="324">
          <cell r="A324" t="str">
            <v>PiècesSalaires spécialistes</v>
          </cell>
          <cell r="B324" t="str">
            <v>Salaires spécialistes</v>
          </cell>
        </row>
        <row r="325">
          <cell r="A325" t="str">
            <v>Pièces[...]</v>
          </cell>
          <cell r="B325" t="str">
            <v>[...]</v>
          </cell>
        </row>
        <row r="326">
          <cell r="A326" t="str">
            <v>Pièces[...]</v>
          </cell>
          <cell r="B326" t="str">
            <v>[...]</v>
          </cell>
        </row>
        <row r="327">
          <cell r="A327" t="str">
            <v>Pièces[...]</v>
          </cell>
          <cell r="B327" t="str">
            <v>[...]</v>
          </cell>
        </row>
        <row r="328">
          <cell r="A328" t="str">
            <v>PiècesSalaires en absences</v>
          </cell>
          <cell r="B328" t="str">
            <v>Salaires en absences</v>
          </cell>
        </row>
        <row r="329">
          <cell r="A329" t="str">
            <v>PiècesDéduction à la source</v>
          </cell>
          <cell r="B329" t="str">
            <v>Déduction à la source</v>
          </cell>
        </row>
        <row r="330">
          <cell r="A330" t="str">
            <v>PiècesBénéfices marginaux</v>
          </cell>
          <cell r="B330" t="str">
            <v>Bénéfices marginaux</v>
          </cell>
        </row>
        <row r="331">
          <cell r="A331" t="str">
            <v>PiècesCsst</v>
          </cell>
          <cell r="B331" t="str">
            <v>Csst</v>
          </cell>
        </row>
        <row r="332">
          <cell r="A332" t="str">
            <v>Pièces[...]</v>
          </cell>
          <cell r="B332" t="str">
            <v>[...]</v>
          </cell>
        </row>
        <row r="333">
          <cell r="A333" t="str">
            <v>PiècesTOTAL PERSONNEL</v>
          </cell>
          <cell r="B333" t="str">
            <v>TOTAL PERSONNEL</v>
          </cell>
        </row>
        <row r="334">
          <cell r="A334" t="str">
            <v>PiècesPublicité 2</v>
          </cell>
          <cell r="B334" t="str">
            <v>Publicité 2</v>
          </cell>
        </row>
        <row r="335">
          <cell r="A335" t="str">
            <v>PiècesService gratuit 2</v>
          </cell>
          <cell r="B335" t="str">
            <v>Service gratuit 2</v>
          </cell>
        </row>
        <row r="336">
          <cell r="A336" t="str">
            <v>PiècesFrais véhicules de cie</v>
          </cell>
          <cell r="B336" t="str">
            <v>Frais véhicules de cie</v>
          </cell>
        </row>
        <row r="337">
          <cell r="A337" t="str">
            <v>PiècesInformatique</v>
          </cell>
          <cell r="B337" t="str">
            <v>Informatique</v>
          </cell>
        </row>
        <row r="338">
          <cell r="A338" t="str">
            <v>PiècesFrais de déplacement</v>
          </cell>
          <cell r="B338" t="str">
            <v>Frais de déplacement</v>
          </cell>
        </row>
        <row r="339">
          <cell r="A339" t="str">
            <v>PiècesServices extérieurs</v>
          </cell>
          <cell r="B339" t="str">
            <v>Services extérieurs</v>
          </cell>
        </row>
        <row r="340">
          <cell r="A340" t="str">
            <v>PiècesFournitures d'atelier</v>
          </cell>
          <cell r="B340" t="str">
            <v>Fournitures d'atelier</v>
          </cell>
        </row>
        <row r="341">
          <cell r="A341" t="str">
            <v>PiècesFournitures autres</v>
          </cell>
          <cell r="B341" t="str">
            <v>Fournitures autres</v>
          </cell>
        </row>
        <row r="342">
          <cell r="A342" t="str">
            <v>PiècesUniformes</v>
          </cell>
          <cell r="B342" t="str">
            <v>Uniformes</v>
          </cell>
        </row>
        <row r="343">
          <cell r="A343" t="str">
            <v>PiècesPapeterie</v>
          </cell>
          <cell r="B343" t="str">
            <v>Papeterie</v>
          </cell>
        </row>
        <row r="344">
          <cell r="A344" t="str">
            <v>PiècesTéléphone</v>
          </cell>
          <cell r="B344" t="str">
            <v>Téléphone</v>
          </cell>
        </row>
        <row r="345">
          <cell r="A345" t="str">
            <v>PiècesFrais postaux</v>
          </cell>
          <cell r="B345" t="str">
            <v>Frais postaux</v>
          </cell>
        </row>
        <row r="346">
          <cell r="A346" t="str">
            <v>PiècesDivers</v>
          </cell>
          <cell r="B346" t="str">
            <v>Divers</v>
          </cell>
        </row>
        <row r="347">
          <cell r="A347" t="str">
            <v>PiècesFormation</v>
          </cell>
          <cell r="B347" t="str">
            <v>Formation</v>
          </cell>
        </row>
        <row r="348">
          <cell r="A348" t="str">
            <v>PiècesFrais bancaires</v>
          </cell>
          <cell r="B348" t="str">
            <v>Frais bancaires</v>
          </cell>
        </row>
        <row r="349">
          <cell r="A349" t="str">
            <v>Pièces[...]</v>
          </cell>
          <cell r="B349" t="str">
            <v>[...]</v>
          </cell>
        </row>
        <row r="350">
          <cell r="A350" t="str">
            <v>Pièces[...]</v>
          </cell>
          <cell r="B350" t="str">
            <v>[...]</v>
          </cell>
        </row>
        <row r="351">
          <cell r="A351" t="str">
            <v>Pièces[...]</v>
          </cell>
          <cell r="B351" t="str">
            <v>[...]</v>
          </cell>
        </row>
        <row r="352">
          <cell r="A352" t="str">
            <v>PiècesTOTAL SEMI-FIXES</v>
          </cell>
          <cell r="B352" t="str">
            <v>TOTAL SEMI-FIXES</v>
          </cell>
        </row>
        <row r="353">
          <cell r="A353" t="str">
            <v>Pièces</v>
          </cell>
        </row>
        <row r="354">
          <cell r="A354" t="str">
            <v>PiècesTOTAL DES DÉPENSES</v>
          </cell>
          <cell r="B354" t="str">
            <v>TOTAL DES DÉPENSES</v>
          </cell>
        </row>
        <row r="355">
          <cell r="A355" t="str">
            <v>Pièces</v>
          </cell>
        </row>
        <row r="356">
          <cell r="A356" t="str">
            <v>PiècesPROFIT DÉPARTEMENTAL</v>
          </cell>
          <cell r="B356" t="str">
            <v>PROFIT DÉPARTEMENTAL</v>
          </cell>
        </row>
        <row r="359">
          <cell r="B359" t="str">
            <v>Budget 2025</v>
          </cell>
          <cell r="C359" t="str">
            <v>Boutique</v>
          </cell>
        </row>
        <row r="361">
          <cell r="B361" t="str">
            <v>Mois</v>
          </cell>
        </row>
        <row r="363">
          <cell r="A363" t="str">
            <v>BoutiqueBoutique</v>
          </cell>
          <cell r="B363" t="str">
            <v>Boutique</v>
          </cell>
        </row>
        <row r="364">
          <cell r="A364" t="str">
            <v>Boutique</v>
          </cell>
        </row>
        <row r="365">
          <cell r="A365" t="str">
            <v>BoutiqueTotal Dépt. Boutique</v>
          </cell>
          <cell r="B365" t="str">
            <v>Total Dépt. Boutique</v>
          </cell>
        </row>
        <row r="366">
          <cell r="A366" t="str">
            <v>Boutique</v>
          </cell>
        </row>
        <row r="367">
          <cell r="A367" t="str">
            <v>BoutiqueDEPENSES</v>
          </cell>
          <cell r="B367" t="str">
            <v>DEPENSES</v>
          </cell>
        </row>
        <row r="368">
          <cell r="A368" t="str">
            <v>BoutiqueSalaires cadres</v>
          </cell>
          <cell r="B368" t="str">
            <v>Salaires cadres</v>
          </cell>
        </row>
        <row r="369">
          <cell r="A369" t="str">
            <v>BoutiqueSalaires commis</v>
          </cell>
          <cell r="B369" t="str">
            <v>Salaires commis</v>
          </cell>
        </row>
        <row r="370">
          <cell r="A370" t="str">
            <v>BoutiqueSalaires autres</v>
          </cell>
          <cell r="B370" t="str">
            <v>Salaires autres</v>
          </cell>
        </row>
        <row r="371">
          <cell r="A371" t="str">
            <v>BoutiqueSalaires spécialistes</v>
          </cell>
          <cell r="B371" t="str">
            <v>Salaires spécialistes</v>
          </cell>
        </row>
        <row r="372">
          <cell r="A372" t="str">
            <v>Boutique[...]</v>
          </cell>
          <cell r="B372" t="str">
            <v>[...]</v>
          </cell>
        </row>
        <row r="373">
          <cell r="A373" t="str">
            <v>Boutique[...]</v>
          </cell>
          <cell r="B373" t="str">
            <v>[...]</v>
          </cell>
        </row>
        <row r="374">
          <cell r="A374" t="str">
            <v>Boutique[...]</v>
          </cell>
          <cell r="B374" t="str">
            <v>[...]</v>
          </cell>
        </row>
        <row r="375">
          <cell r="A375" t="str">
            <v>BoutiqueSalaires en absences</v>
          </cell>
          <cell r="B375" t="str">
            <v>Salaires en absences</v>
          </cell>
        </row>
        <row r="376">
          <cell r="A376" t="str">
            <v>BoutiqueDéduction à la source</v>
          </cell>
          <cell r="B376" t="str">
            <v>Déduction à la source</v>
          </cell>
        </row>
        <row r="377">
          <cell r="A377" t="str">
            <v>BoutiqueBénéfices marginaux</v>
          </cell>
          <cell r="B377" t="str">
            <v>Bénéfices marginaux</v>
          </cell>
        </row>
        <row r="378">
          <cell r="A378" t="str">
            <v>BoutiqueCsst</v>
          </cell>
          <cell r="B378" t="str">
            <v>Csst</v>
          </cell>
        </row>
        <row r="379">
          <cell r="A379" t="str">
            <v>Boutique[...]</v>
          </cell>
          <cell r="B379" t="str">
            <v>[...]</v>
          </cell>
        </row>
        <row r="380">
          <cell r="A380" t="str">
            <v>BoutiqueTOTAL PERSONNEL</v>
          </cell>
          <cell r="B380" t="str">
            <v>TOTAL PERSONNEL</v>
          </cell>
        </row>
        <row r="381">
          <cell r="A381" t="str">
            <v>BoutiquePublicité 2</v>
          </cell>
          <cell r="B381" t="str">
            <v>Publicité 2</v>
          </cell>
        </row>
        <row r="382">
          <cell r="A382" t="str">
            <v>BoutiqueService gratuit 2</v>
          </cell>
          <cell r="B382" t="str">
            <v>Service gratuit 2</v>
          </cell>
        </row>
        <row r="383">
          <cell r="A383" t="str">
            <v>BoutiqueFrais véhicules de cie</v>
          </cell>
          <cell r="B383" t="str">
            <v>Frais véhicules de cie</v>
          </cell>
        </row>
        <row r="384">
          <cell r="A384" t="str">
            <v>BoutiqueInformatique</v>
          </cell>
          <cell r="B384" t="str">
            <v>Informatique</v>
          </cell>
        </row>
        <row r="385">
          <cell r="A385" t="str">
            <v>BoutiqueFrais de déplacement</v>
          </cell>
          <cell r="B385" t="str">
            <v>Frais de déplacement</v>
          </cell>
        </row>
        <row r="386">
          <cell r="A386" t="str">
            <v>BoutiqueServices extérieurs</v>
          </cell>
          <cell r="B386" t="str">
            <v>Services extérieurs</v>
          </cell>
        </row>
        <row r="387">
          <cell r="A387" t="str">
            <v>BoutiqueFournitures autres</v>
          </cell>
          <cell r="B387" t="str">
            <v>Fournitures autres</v>
          </cell>
        </row>
        <row r="388">
          <cell r="A388" t="str">
            <v>BoutiqueUniformes</v>
          </cell>
          <cell r="B388" t="str">
            <v>Uniformes</v>
          </cell>
        </row>
        <row r="389">
          <cell r="A389" t="str">
            <v>BoutiquePapeterie</v>
          </cell>
          <cell r="B389" t="str">
            <v>Papeterie</v>
          </cell>
        </row>
        <row r="390">
          <cell r="A390" t="str">
            <v>BoutiqueTéléphone</v>
          </cell>
          <cell r="B390" t="str">
            <v>Téléphone</v>
          </cell>
        </row>
        <row r="391">
          <cell r="A391" t="str">
            <v>BoutiqueFrais postaux</v>
          </cell>
          <cell r="B391" t="str">
            <v>Frais postaux</v>
          </cell>
        </row>
        <row r="392">
          <cell r="A392" t="str">
            <v>BoutiqueDivers</v>
          </cell>
          <cell r="B392" t="str">
            <v>Divers</v>
          </cell>
        </row>
        <row r="393">
          <cell r="A393" t="str">
            <v>BoutiqueFormation</v>
          </cell>
          <cell r="B393" t="str">
            <v>Formation</v>
          </cell>
        </row>
        <row r="394">
          <cell r="A394" t="str">
            <v>BoutiqueFrais bancaires</v>
          </cell>
          <cell r="B394" t="str">
            <v>Frais bancaires</v>
          </cell>
        </row>
        <row r="395">
          <cell r="A395" t="str">
            <v>Boutique[...]</v>
          </cell>
          <cell r="B395" t="str">
            <v>[...]</v>
          </cell>
        </row>
        <row r="396">
          <cell r="A396" t="str">
            <v>Boutique[...]</v>
          </cell>
          <cell r="B396" t="str">
            <v>[...]</v>
          </cell>
        </row>
        <row r="397">
          <cell r="A397" t="str">
            <v>Boutique[...]</v>
          </cell>
          <cell r="B397" t="str">
            <v>[...]</v>
          </cell>
        </row>
        <row r="398">
          <cell r="A398" t="str">
            <v>BoutiqueTOTAL SEMI-FIXES</v>
          </cell>
          <cell r="B398" t="str">
            <v>TOTAL SEMI-FIXES</v>
          </cell>
        </row>
        <row r="399">
          <cell r="A399" t="str">
            <v>Boutique</v>
          </cell>
        </row>
        <row r="400">
          <cell r="A400" t="str">
            <v>BoutiqueTOTAL DES DÉPENSES</v>
          </cell>
          <cell r="B400" t="str">
            <v>TOTAL DES DÉPENSES</v>
          </cell>
        </row>
        <row r="401">
          <cell r="A401" t="str">
            <v>Boutique</v>
          </cell>
        </row>
        <row r="402">
          <cell r="A402" t="str">
            <v>BoutiquePROFIT DÉPARTEMENTAL</v>
          </cell>
          <cell r="B402" t="str">
            <v>PROFIT DÉPARTEMENTAL</v>
          </cell>
        </row>
        <row r="405">
          <cell r="B405" t="str">
            <v>Budget 2025</v>
          </cell>
          <cell r="C405" t="str">
            <v>TOTAL  DES  REVENUS  ET  DÉPENSES</v>
          </cell>
        </row>
        <row r="407">
          <cell r="B407" t="str">
            <v>Mois</v>
          </cell>
        </row>
        <row r="409">
          <cell r="A409" t="str">
            <v>Ventes nettes</v>
          </cell>
          <cell r="B409" t="str">
            <v>Ventes nettes</v>
          </cell>
        </row>
        <row r="410">
          <cell r="A410" t="str">
            <v>Profit brut</v>
          </cell>
          <cell r="B410" t="str">
            <v>Profit brut</v>
          </cell>
        </row>
        <row r="411">
          <cell r="A411" t="str">
            <v>DÉPENSES</v>
          </cell>
          <cell r="B411" t="str">
            <v>DÉPENSES</v>
          </cell>
        </row>
        <row r="412">
          <cell r="A412" t="str">
            <v>Comm. vendeurs</v>
          </cell>
          <cell r="B412" t="str">
            <v>Comm. vendeurs</v>
          </cell>
        </row>
        <row r="413">
          <cell r="A413" t="str">
            <v>Comm. F&amp;I</v>
          </cell>
          <cell r="B413" t="str">
            <v>Comm. F&amp;I</v>
          </cell>
        </row>
        <row r="414">
          <cell r="A414" t="str">
            <v>Frais de livraison</v>
          </cell>
          <cell r="B414" t="str">
            <v>Frais de livraison</v>
          </cell>
        </row>
        <row r="415">
          <cell r="A415" t="str">
            <v>Service gratuit 1</v>
          </cell>
          <cell r="B415" t="str">
            <v>Service gratuit 1</v>
          </cell>
        </row>
        <row r="416">
          <cell r="A416" t="str">
            <v>Entretien stock</v>
          </cell>
          <cell r="B416" t="str">
            <v>Entretien stock</v>
          </cell>
        </row>
        <row r="417">
          <cell r="A417" t="str">
            <v>Publicité 1</v>
          </cell>
          <cell r="B417" t="str">
            <v>Publicité 1</v>
          </cell>
        </row>
        <row r="418">
          <cell r="A418" t="str">
            <v>Intérêt de gros</v>
          </cell>
          <cell r="B418" t="str">
            <v>Intérêt de gros</v>
          </cell>
        </row>
        <row r="419">
          <cell r="A419" t="str">
            <v>[...]</v>
          </cell>
          <cell r="B419" t="str">
            <v>[...]</v>
          </cell>
        </row>
        <row r="420">
          <cell r="A420" t="str">
            <v>[...]</v>
          </cell>
          <cell r="B420" t="str">
            <v>[...]</v>
          </cell>
        </row>
        <row r="421">
          <cell r="A421" t="str">
            <v>[...]</v>
          </cell>
          <cell r="B421" t="str">
            <v>[...]</v>
          </cell>
        </row>
        <row r="422">
          <cell r="A422" t="str">
            <v>TOTAL VARIABLES</v>
          </cell>
          <cell r="B422" t="str">
            <v>TOTAL VARIABLES</v>
          </cell>
        </row>
        <row r="423">
          <cell r="A423" t="str">
            <v>Salaires propriétaire</v>
          </cell>
          <cell r="B423" t="str">
            <v>Salaires propriétaire</v>
          </cell>
        </row>
        <row r="424">
          <cell r="A424" t="str">
            <v>Salaires cadres</v>
          </cell>
          <cell r="B424" t="str">
            <v>Salaires cadres</v>
          </cell>
        </row>
        <row r="425">
          <cell r="A425" t="str">
            <v>Salaires commis</v>
          </cell>
          <cell r="B425" t="str">
            <v>Salaires commis</v>
          </cell>
        </row>
        <row r="426">
          <cell r="A426" t="str">
            <v>Salaires autres</v>
          </cell>
          <cell r="B426" t="str">
            <v>Salaires autres</v>
          </cell>
        </row>
        <row r="427">
          <cell r="A427" t="str">
            <v>Salaires spécialistes</v>
          </cell>
          <cell r="B427" t="str">
            <v>Salaires spécialistes</v>
          </cell>
        </row>
        <row r="428">
          <cell r="A428" t="str">
            <v>[...]</v>
          </cell>
          <cell r="B428" t="str">
            <v>[...]</v>
          </cell>
        </row>
        <row r="429">
          <cell r="A429" t="str">
            <v>[...]</v>
          </cell>
          <cell r="B429" t="str">
            <v>[...]</v>
          </cell>
        </row>
        <row r="430">
          <cell r="A430" t="str">
            <v>[...]</v>
          </cell>
          <cell r="B430" t="str">
            <v>[...]</v>
          </cell>
        </row>
        <row r="431">
          <cell r="A431" t="str">
            <v>Salaires en absences</v>
          </cell>
          <cell r="B431" t="str">
            <v>Salaires en absences</v>
          </cell>
        </row>
        <row r="432">
          <cell r="A432" t="str">
            <v>Déduction à la source</v>
          </cell>
          <cell r="B432" t="str">
            <v>Déduction à la source</v>
          </cell>
        </row>
        <row r="433">
          <cell r="A433" t="str">
            <v>Bénéfices marginaux</v>
          </cell>
          <cell r="B433" t="str">
            <v>Bénéfices marginaux</v>
          </cell>
        </row>
        <row r="434">
          <cell r="A434" t="str">
            <v>Csst</v>
          </cell>
          <cell r="B434" t="str">
            <v>Csst</v>
          </cell>
        </row>
        <row r="435">
          <cell r="A435" t="str">
            <v>[...]</v>
          </cell>
          <cell r="B435" t="str">
            <v>[...]</v>
          </cell>
        </row>
        <row r="436">
          <cell r="A436" t="str">
            <v>TOTAL PERSONNEL</v>
          </cell>
          <cell r="B436" t="str">
            <v>TOTAL PERSONNEL</v>
          </cell>
        </row>
        <row r="437">
          <cell r="A437" t="str">
            <v>Publicité 2</v>
          </cell>
          <cell r="B437" t="str">
            <v>Publicité 2</v>
          </cell>
        </row>
        <row r="438">
          <cell r="A438" t="str">
            <v>Service gratuit 2</v>
          </cell>
          <cell r="B438" t="str">
            <v>Service gratuit 2</v>
          </cell>
        </row>
        <row r="439">
          <cell r="A439" t="str">
            <v>Frais véhicules de cie</v>
          </cell>
          <cell r="B439" t="str">
            <v>Frais véhicules de cie</v>
          </cell>
        </row>
        <row r="440">
          <cell r="A440" t="str">
            <v>Informatique</v>
          </cell>
          <cell r="B440" t="str">
            <v>Informatique</v>
          </cell>
        </row>
        <row r="441">
          <cell r="A441" t="str">
            <v>Frais de déplacement</v>
          </cell>
          <cell r="B441" t="str">
            <v>Frais de déplacement</v>
          </cell>
        </row>
        <row r="442">
          <cell r="A442" t="str">
            <v>Services extérieurs</v>
          </cell>
          <cell r="B442" t="str">
            <v>Services extérieurs</v>
          </cell>
        </row>
        <row r="443">
          <cell r="B443" t="str">
            <v>Fournitures d'atelier</v>
          </cell>
        </row>
        <row r="444">
          <cell r="A444" t="str">
            <v>Fournitures autres</v>
          </cell>
          <cell r="B444" t="str">
            <v>Fournitures autres</v>
          </cell>
        </row>
        <row r="445">
          <cell r="A445" t="str">
            <v>Uniformes</v>
          </cell>
          <cell r="B445" t="str">
            <v>Uniformes</v>
          </cell>
        </row>
        <row r="446">
          <cell r="A446" t="str">
            <v>Papeterie</v>
          </cell>
          <cell r="B446" t="str">
            <v>Papeterie</v>
          </cell>
        </row>
        <row r="447">
          <cell r="A447" t="str">
            <v>Téléphone</v>
          </cell>
          <cell r="B447" t="str">
            <v>Téléphone</v>
          </cell>
        </row>
        <row r="448">
          <cell r="A448" t="str">
            <v>Frais postaux</v>
          </cell>
          <cell r="B448" t="str">
            <v>Frais postaux</v>
          </cell>
        </row>
        <row r="449">
          <cell r="A449" t="str">
            <v>Divers</v>
          </cell>
          <cell r="B449" t="str">
            <v>Divers</v>
          </cell>
        </row>
        <row r="450">
          <cell r="A450" t="str">
            <v>Formation</v>
          </cell>
          <cell r="B450" t="str">
            <v>Formation</v>
          </cell>
        </row>
        <row r="451">
          <cell r="A451" t="str">
            <v>Frais bancaires</v>
          </cell>
          <cell r="B451" t="str">
            <v>Frais bancaires</v>
          </cell>
        </row>
        <row r="452">
          <cell r="A452" t="str">
            <v>[...]</v>
          </cell>
          <cell r="B452" t="str">
            <v>[...]</v>
          </cell>
        </row>
        <row r="453">
          <cell r="A453" t="str">
            <v>[...]</v>
          </cell>
          <cell r="B453" t="str">
            <v>[...]</v>
          </cell>
        </row>
        <row r="454">
          <cell r="A454" t="str">
            <v>[...]</v>
          </cell>
          <cell r="B454" t="str">
            <v>[...]</v>
          </cell>
        </row>
        <row r="455">
          <cell r="A455" t="str">
            <v>TOTAL SEMI-FIXES</v>
          </cell>
          <cell r="B455" t="str">
            <v>TOTAL SEMI-FIXES</v>
          </cell>
        </row>
        <row r="456">
          <cell r="A456" t="str">
            <v>Loyer</v>
          </cell>
          <cell r="B456" t="str">
            <v>Loyer</v>
          </cell>
        </row>
        <row r="457">
          <cell r="A457" t="str">
            <v>Taxes foncières</v>
          </cell>
          <cell r="B457" t="str">
            <v>Taxes foncières</v>
          </cell>
        </row>
        <row r="458">
          <cell r="A458" t="str">
            <v>Taxes d`affaires</v>
          </cell>
          <cell r="B458" t="str">
            <v>Taxes d`affaires</v>
          </cell>
        </row>
        <row r="459">
          <cell r="A459" t="str">
            <v>Taxe sur le capital</v>
          </cell>
          <cell r="B459" t="str">
            <v>Taxe sur le capital</v>
          </cell>
        </row>
        <row r="460">
          <cell r="A460" t="str">
            <v>Assurances</v>
          </cell>
          <cell r="B460" t="str">
            <v>Assurances</v>
          </cell>
        </row>
        <row r="461">
          <cell r="A461" t="str">
            <v>Chauffage, éclairage</v>
          </cell>
          <cell r="B461" t="str">
            <v>Chauffage, éclairage</v>
          </cell>
        </row>
        <row r="462">
          <cell r="A462" t="str">
            <v>Honoraires</v>
          </cell>
          <cell r="B462" t="str">
            <v>Honoraires</v>
          </cell>
        </row>
        <row r="463">
          <cell r="A463" t="str">
            <v>Réparation équipement</v>
          </cell>
          <cell r="B463" t="str">
            <v>Réparation équipement</v>
          </cell>
        </row>
        <row r="464">
          <cell r="A464" t="str">
            <v>Location équipement</v>
          </cell>
          <cell r="B464" t="str">
            <v>Location équipement</v>
          </cell>
        </row>
        <row r="465">
          <cell r="A465" t="str">
            <v>Dons</v>
          </cell>
          <cell r="B465" t="str">
            <v>Dons</v>
          </cell>
        </row>
        <row r="466">
          <cell r="A466" t="str">
            <v>[...]</v>
          </cell>
          <cell r="B466" t="str">
            <v>[...]</v>
          </cell>
        </row>
        <row r="467">
          <cell r="A467" t="str">
            <v>[...]</v>
          </cell>
          <cell r="B467" t="str">
            <v>[...]</v>
          </cell>
        </row>
        <row r="468">
          <cell r="A468" t="str">
            <v>[...]</v>
          </cell>
          <cell r="B468" t="str">
            <v>[...]</v>
          </cell>
        </row>
        <row r="469">
          <cell r="A469" t="str">
            <v>TOTAL DÉPENSES FIXES</v>
          </cell>
          <cell r="B469" t="str">
            <v>TOTAL DÉPENSES FIXES</v>
          </cell>
        </row>
        <row r="470">
          <cell r="A470">
            <v>0</v>
          </cell>
        </row>
        <row r="471">
          <cell r="A471" t="str">
            <v>TOTAL DES DÉPENSES</v>
          </cell>
          <cell r="B471" t="str">
            <v>TOTAL DES DÉPENSES</v>
          </cell>
        </row>
        <row r="472">
          <cell r="A472" t="str">
            <v>Revenus autres</v>
          </cell>
          <cell r="B472" t="str">
            <v>Revenus autres</v>
          </cell>
        </row>
        <row r="473">
          <cell r="A473" t="str">
            <v>Holdbacks</v>
          </cell>
          <cell r="B473" t="str">
            <v>Holdbacks</v>
          </cell>
        </row>
        <row r="474">
          <cell r="A474" t="str">
            <v>Programme neuf 1</v>
          </cell>
          <cell r="B474" t="str">
            <v>Programme neuf 1</v>
          </cell>
        </row>
        <row r="475">
          <cell r="A475" t="str">
            <v>Programme neuf 2</v>
          </cell>
          <cell r="B475" t="str">
            <v>Programme neuf 2</v>
          </cell>
        </row>
        <row r="476">
          <cell r="A476" t="str">
            <v>Programme neuf 3</v>
          </cell>
          <cell r="B476" t="str">
            <v>Programme neuf 3</v>
          </cell>
        </row>
        <row r="477">
          <cell r="A477" t="str">
            <v>Programme used 1</v>
          </cell>
          <cell r="B477" t="str">
            <v>Programme used 1</v>
          </cell>
        </row>
        <row r="478">
          <cell r="A478" t="str">
            <v>Programme used 2</v>
          </cell>
          <cell r="B478" t="str">
            <v>Programme used 2</v>
          </cell>
        </row>
        <row r="479">
          <cell r="A479" t="str">
            <v>Programme used 3</v>
          </cell>
          <cell r="B479" t="str">
            <v>Programme used 3</v>
          </cell>
        </row>
        <row r="480">
          <cell r="A480" t="str">
            <v>[...]</v>
          </cell>
          <cell r="B480" t="str">
            <v>[...]</v>
          </cell>
        </row>
        <row r="481">
          <cell r="A481" t="str">
            <v>[...]</v>
          </cell>
          <cell r="B481" t="str">
            <v>[...]</v>
          </cell>
        </row>
        <row r="482">
          <cell r="A482" t="str">
            <v>[...]</v>
          </cell>
          <cell r="B482" t="str">
            <v>[...]</v>
          </cell>
        </row>
        <row r="483">
          <cell r="A483" t="str">
            <v>Frais administration</v>
          </cell>
          <cell r="B483" t="str">
            <v>Frais administration</v>
          </cell>
        </row>
        <row r="484">
          <cell r="A484" t="str">
            <v>TOTAL AUTRES REVENUS</v>
          </cell>
          <cell r="B484" t="str">
            <v>TOTAL AUTRES REVENUS</v>
          </cell>
        </row>
        <row r="485">
          <cell r="A485">
            <v>0</v>
          </cell>
        </row>
        <row r="486">
          <cell r="A486" t="str">
            <v>BAIIA OPÉRATIONNEL</v>
          </cell>
          <cell r="B486" t="str">
            <v>BAIIA OPÉRATIONNEL</v>
          </cell>
        </row>
        <row r="488">
          <cell r="B488" t="str">
            <v>Budget 2025</v>
          </cell>
          <cell r="C488" t="str">
            <v>CALCUL DU PROFIT NET</v>
          </cell>
        </row>
        <row r="492">
          <cell r="B492" t="str">
            <v>BAIIA OPÉRATIONNEL</v>
          </cell>
        </row>
        <row r="494">
          <cell r="A494" t="str">
            <v>Amortissement</v>
          </cell>
          <cell r="B494" t="str">
            <v>Amortissement</v>
          </cell>
        </row>
        <row r="495">
          <cell r="A495" t="str">
            <v>Intérêts sur marge</v>
          </cell>
          <cell r="B495" t="str">
            <v>Intérêts sur marge</v>
          </cell>
        </row>
        <row r="496">
          <cell r="A496" t="str">
            <v>Intérêts sur prêt</v>
          </cell>
          <cell r="B496" t="str">
            <v>Intérêts sur prêt</v>
          </cell>
        </row>
        <row r="497">
          <cell r="A497" t="str">
            <v>Intérêts sur avance</v>
          </cell>
          <cell r="B497" t="str">
            <v>Intérêts sur avance</v>
          </cell>
        </row>
        <row r="498">
          <cell r="A498" t="str">
            <v>[...]</v>
          </cell>
          <cell r="B498" t="str">
            <v>[...]</v>
          </cell>
        </row>
        <row r="499">
          <cell r="A499" t="str">
            <v>Revenus d'intérêts floor plan</v>
          </cell>
          <cell r="B499" t="str">
            <v>Revenus d'intérêts floor plan</v>
          </cell>
        </row>
        <row r="500">
          <cell r="A500" t="str">
            <v>[...]</v>
          </cell>
          <cell r="B500" t="str">
            <v>[...]</v>
          </cell>
        </row>
        <row r="501">
          <cell r="B501" t="str">
            <v>Profit Net</v>
          </cell>
        </row>
      </sheetData>
      <sheetData sheetId="3"/>
      <sheetData sheetId="4"/>
      <sheetData sheetId="5"/>
      <sheetData sheetId="6"/>
      <sheetData sheetId="7"/>
      <sheetData sheetId="8">
        <row r="544">
          <cell r="V544" t="str">
            <v>Assurances</v>
          </cell>
        </row>
      </sheetData>
      <sheetData sheetId="9"/>
      <sheetData sheetId="10"/>
      <sheetData sheetId="11"/>
      <sheetData sheetId="12"/>
      <sheetData sheetId="13">
        <row r="2">
          <cell r="AM2" t="str">
            <v>Solde courant</v>
          </cell>
          <cell r="AQ2" t="str">
            <v>Classification</v>
          </cell>
          <cell r="AR2" t="str">
            <v>$ / NB</v>
          </cell>
          <cell r="AS2" t="str">
            <v>Ventes</v>
          </cell>
          <cell r="AW2" t="str">
            <v>Solde courant</v>
          </cell>
          <cell r="AY2" t="str">
            <v>$ / NB</v>
          </cell>
        </row>
        <row r="3">
          <cell r="AM3">
            <v>0</v>
          </cell>
          <cell r="AP3" t="e">
            <v>#N/A</v>
          </cell>
          <cell r="AQ3" t="e">
            <v>#N/A</v>
          </cell>
          <cell r="AR3" t="str">
            <v>$</v>
          </cell>
          <cell r="AS3" t="e">
            <v>#N/A</v>
          </cell>
          <cell r="AW3">
            <v>0</v>
          </cell>
          <cell r="AY3" t="str">
            <v>NB</v>
          </cell>
        </row>
        <row r="4">
          <cell r="AM4">
            <v>0</v>
          </cell>
          <cell r="AP4" t="e">
            <v>#N/A</v>
          </cell>
          <cell r="AQ4" t="e">
            <v>#N/A</v>
          </cell>
          <cell r="AR4" t="str">
            <v>$</v>
          </cell>
          <cell r="AS4" t="e">
            <v>#N/A</v>
          </cell>
          <cell r="AW4">
            <v>0</v>
          </cell>
          <cell r="AY4" t="str">
            <v>NB</v>
          </cell>
        </row>
        <row r="5">
          <cell r="AM5">
            <v>42437.869999999995</v>
          </cell>
          <cell r="AP5" t="str">
            <v>Véhicules neufs</v>
          </cell>
          <cell r="AQ5" t="str">
            <v>Comm. vendeurs</v>
          </cell>
          <cell r="AR5" t="str">
            <v>$</v>
          </cell>
          <cell r="AS5">
            <v>0</v>
          </cell>
          <cell r="AW5">
            <v>0</v>
          </cell>
          <cell r="AY5" t="str">
            <v>NB</v>
          </cell>
        </row>
        <row r="6">
          <cell r="AM6">
            <v>8805.9100000000035</v>
          </cell>
          <cell r="AP6" t="str">
            <v>Véhicules usagés</v>
          </cell>
          <cell r="AQ6" t="str">
            <v>Comm. vendeurs</v>
          </cell>
          <cell r="AR6" t="str">
            <v>$</v>
          </cell>
          <cell r="AS6">
            <v>0</v>
          </cell>
          <cell r="AW6">
            <v>0</v>
          </cell>
          <cell r="AY6" t="str">
            <v>NB</v>
          </cell>
        </row>
        <row r="7">
          <cell r="AM7">
            <v>2814.5499999999884</v>
          </cell>
          <cell r="AP7" t="str">
            <v>Wholesale autres</v>
          </cell>
          <cell r="AQ7" t="str">
            <v>Comm. vendeurs</v>
          </cell>
          <cell r="AR7" t="str">
            <v>$</v>
          </cell>
          <cell r="AS7">
            <v>0</v>
          </cell>
          <cell r="AW7">
            <v>0</v>
          </cell>
          <cell r="AY7" t="str">
            <v>NB</v>
          </cell>
        </row>
        <row r="8">
          <cell r="AM8">
            <v>28240.629999999976</v>
          </cell>
          <cell r="AP8" t="str">
            <v>Véhicules neufs</v>
          </cell>
          <cell r="AQ8" t="str">
            <v>Frais de livraison</v>
          </cell>
          <cell r="AR8" t="str">
            <v>$</v>
          </cell>
          <cell r="AS8">
            <v>0</v>
          </cell>
          <cell r="AW8">
            <v>0</v>
          </cell>
          <cell r="AY8" t="str">
            <v>NB</v>
          </cell>
        </row>
        <row r="9">
          <cell r="AM9">
            <v>-837.65999999999985</v>
          </cell>
          <cell r="AP9" t="str">
            <v>Véhicules usagés</v>
          </cell>
          <cell r="AQ9" t="str">
            <v>Frais de livraison</v>
          </cell>
          <cell r="AR9" t="str">
            <v>$</v>
          </cell>
          <cell r="AS9">
            <v>0</v>
          </cell>
          <cell r="AW9">
            <v>0</v>
          </cell>
          <cell r="AY9" t="str">
            <v>NB</v>
          </cell>
        </row>
        <row r="10">
          <cell r="AM10">
            <v>391.76000000000022</v>
          </cell>
          <cell r="AP10" t="str">
            <v>Wholesale autres</v>
          </cell>
          <cell r="AQ10" t="str">
            <v>Frais de livraison</v>
          </cell>
          <cell r="AR10" t="str">
            <v>$</v>
          </cell>
          <cell r="AS10">
            <v>0</v>
          </cell>
          <cell r="AW10">
            <v>0</v>
          </cell>
          <cell r="AY10" t="str">
            <v>NB</v>
          </cell>
        </row>
        <row r="11">
          <cell r="AM11">
            <v>0</v>
          </cell>
          <cell r="AP11" t="e">
            <v>#N/A</v>
          </cell>
          <cell r="AQ11" t="e">
            <v>#N/A</v>
          </cell>
          <cell r="AR11" t="str">
            <v>$</v>
          </cell>
          <cell r="AS11" t="e">
            <v>#N/A</v>
          </cell>
          <cell r="AW11">
            <v>0</v>
          </cell>
          <cell r="AY11" t="str">
            <v>NB</v>
          </cell>
        </row>
        <row r="12">
          <cell r="AM12">
            <v>0</v>
          </cell>
          <cell r="AP12" t="e">
            <v>#N/A</v>
          </cell>
          <cell r="AQ12" t="e">
            <v>#N/A</v>
          </cell>
          <cell r="AR12" t="str">
            <v>$</v>
          </cell>
          <cell r="AS12" t="e">
            <v>#N/A</v>
          </cell>
          <cell r="AW12">
            <v>0</v>
          </cell>
          <cell r="AY12" t="str">
            <v>NB</v>
          </cell>
        </row>
        <row r="13">
          <cell r="AM13">
            <v>1901.3199999999997</v>
          </cell>
          <cell r="AP13" t="str">
            <v>Véhicules neufs</v>
          </cell>
          <cell r="AQ13" t="str">
            <v>Entretien stock</v>
          </cell>
          <cell r="AR13" t="str">
            <v>$</v>
          </cell>
          <cell r="AS13">
            <v>0</v>
          </cell>
          <cell r="AW13">
            <v>0</v>
          </cell>
          <cell r="AY13" t="str">
            <v>NB</v>
          </cell>
        </row>
        <row r="14">
          <cell r="AM14">
            <v>1215.83</v>
          </cell>
          <cell r="AP14" t="str">
            <v>Véhicules usagés</v>
          </cell>
          <cell r="AQ14" t="str">
            <v>Entretien stock</v>
          </cell>
          <cell r="AR14" t="str">
            <v>$</v>
          </cell>
          <cell r="AS14">
            <v>0</v>
          </cell>
          <cell r="AW14">
            <v>0</v>
          </cell>
          <cell r="AY14" t="str">
            <v>NB</v>
          </cell>
        </row>
        <row r="15">
          <cell r="AM15">
            <v>17.5</v>
          </cell>
          <cell r="AP15" t="str">
            <v>Wholesale autres</v>
          </cell>
          <cell r="AQ15" t="str">
            <v>Entretien stock</v>
          </cell>
          <cell r="AR15" t="str">
            <v>$</v>
          </cell>
          <cell r="AS15">
            <v>0</v>
          </cell>
          <cell r="AW15">
            <v>0</v>
          </cell>
          <cell r="AY15" t="str">
            <v>NB</v>
          </cell>
        </row>
        <row r="16">
          <cell r="AM16">
            <v>525.17999999999847</v>
          </cell>
          <cell r="AP16" t="str">
            <v>Véhicules neufs</v>
          </cell>
          <cell r="AQ16" t="str">
            <v>Service gratuit 1</v>
          </cell>
          <cell r="AR16" t="str">
            <v>$</v>
          </cell>
          <cell r="AS16">
            <v>0</v>
          </cell>
          <cell r="AW16">
            <v>0</v>
          </cell>
          <cell r="AY16" t="str">
            <v>NB</v>
          </cell>
        </row>
        <row r="17">
          <cell r="AM17">
            <v>258.98999999999978</v>
          </cell>
          <cell r="AP17" t="str">
            <v>Véhicules usagés</v>
          </cell>
          <cell r="AQ17" t="str">
            <v>Service gratuit 1</v>
          </cell>
          <cell r="AR17" t="str">
            <v>$</v>
          </cell>
          <cell r="AS17">
            <v>0</v>
          </cell>
          <cell r="AW17">
            <v>0</v>
          </cell>
          <cell r="AY17" t="str">
            <v>NB</v>
          </cell>
        </row>
        <row r="18">
          <cell r="AM18">
            <v>0</v>
          </cell>
          <cell r="AP18" t="str">
            <v>Wholesale autres</v>
          </cell>
          <cell r="AQ18" t="str">
            <v>Service gratuit 1</v>
          </cell>
          <cell r="AR18" t="str">
            <v>$</v>
          </cell>
          <cell r="AS18">
            <v>0</v>
          </cell>
          <cell r="AW18">
            <v>0</v>
          </cell>
          <cell r="AY18" t="str">
            <v>NB</v>
          </cell>
        </row>
        <row r="19">
          <cell r="AM19">
            <v>-48634</v>
          </cell>
          <cell r="AP19" t="str">
            <v>Véhicules neufs</v>
          </cell>
          <cell r="AQ19" t="str">
            <v>Frais administration</v>
          </cell>
          <cell r="AR19" t="str">
            <v>$</v>
          </cell>
          <cell r="AS19">
            <v>0</v>
          </cell>
          <cell r="AW19">
            <v>0</v>
          </cell>
          <cell r="AY19" t="str">
            <v>NB</v>
          </cell>
        </row>
        <row r="20">
          <cell r="AM20">
            <v>-5500</v>
          </cell>
          <cell r="AP20" t="str">
            <v>Véhicules usagés</v>
          </cell>
          <cell r="AQ20" t="str">
            <v>Frais administration</v>
          </cell>
          <cell r="AR20" t="str">
            <v>$</v>
          </cell>
          <cell r="AS20">
            <v>0</v>
          </cell>
          <cell r="AW20">
            <v>0</v>
          </cell>
          <cell r="AY20" t="str">
            <v>NB</v>
          </cell>
        </row>
        <row r="21">
          <cell r="AM21">
            <v>0</v>
          </cell>
          <cell r="AP21" t="e">
            <v>#N/A</v>
          </cell>
          <cell r="AQ21" t="e">
            <v>#N/A</v>
          </cell>
          <cell r="AR21" t="str">
            <v>$</v>
          </cell>
          <cell r="AS21" t="e">
            <v>#N/A</v>
          </cell>
          <cell r="AW21">
            <v>0</v>
          </cell>
          <cell r="AY21" t="str">
            <v>NB</v>
          </cell>
        </row>
        <row r="22">
          <cell r="AM22">
            <v>0</v>
          </cell>
          <cell r="AP22" t="e">
            <v>#N/A</v>
          </cell>
          <cell r="AQ22" t="e">
            <v>#N/A</v>
          </cell>
          <cell r="AR22" t="str">
            <v>$</v>
          </cell>
          <cell r="AS22" t="e">
            <v>#N/A</v>
          </cell>
          <cell r="AW22">
            <v>0</v>
          </cell>
          <cell r="AY22" t="str">
            <v>NB</v>
          </cell>
        </row>
        <row r="23">
          <cell r="AM23">
            <v>3461.5599999999977</v>
          </cell>
          <cell r="AP23" t="str">
            <v>Véhicules neufs</v>
          </cell>
          <cell r="AQ23" t="str">
            <v>Salaires propriétaire</v>
          </cell>
          <cell r="AR23" t="str">
            <v>$</v>
          </cell>
          <cell r="AS23">
            <v>0</v>
          </cell>
          <cell r="AW23">
            <v>0</v>
          </cell>
          <cell r="AY23" t="str">
            <v>NB</v>
          </cell>
        </row>
        <row r="24">
          <cell r="AM24">
            <v>0</v>
          </cell>
          <cell r="AP24" t="e">
            <v>#N/A</v>
          </cell>
          <cell r="AQ24" t="e">
            <v>#N/A</v>
          </cell>
          <cell r="AR24" t="str">
            <v>$</v>
          </cell>
          <cell r="AS24" t="e">
            <v>#N/A</v>
          </cell>
          <cell r="AW24">
            <v>0</v>
          </cell>
          <cell r="AY24" t="str">
            <v>NB</v>
          </cell>
        </row>
        <row r="25">
          <cell r="AM25">
            <v>2307.6899999999987</v>
          </cell>
          <cell r="AP25" t="str">
            <v>Véhicules usagés</v>
          </cell>
          <cell r="AQ25" t="str">
            <v>Salaires propriétaire</v>
          </cell>
          <cell r="AR25" t="str">
            <v>$</v>
          </cell>
          <cell r="AS25">
            <v>0</v>
          </cell>
          <cell r="AW25">
            <v>0</v>
          </cell>
          <cell r="AY25" t="str">
            <v>NB</v>
          </cell>
        </row>
        <row r="26">
          <cell r="AM26">
            <v>3461.5599999999977</v>
          </cell>
          <cell r="AP26" t="str">
            <v>Service</v>
          </cell>
          <cell r="AQ26" t="str">
            <v>Salaires propriétaire</v>
          </cell>
          <cell r="AR26" t="str">
            <v>$</v>
          </cell>
          <cell r="AS26">
            <v>0</v>
          </cell>
          <cell r="AW26">
            <v>0</v>
          </cell>
          <cell r="AY26" t="str">
            <v>NB</v>
          </cell>
        </row>
        <row r="27">
          <cell r="AM27">
            <v>1153.8500000000004</v>
          </cell>
          <cell r="AP27" t="str">
            <v>Carrosserie</v>
          </cell>
          <cell r="AQ27" t="str">
            <v>Salaires propriétaire</v>
          </cell>
          <cell r="AR27" t="str">
            <v>$</v>
          </cell>
          <cell r="AS27">
            <v>0</v>
          </cell>
          <cell r="AW27">
            <v>0</v>
          </cell>
          <cell r="AY27" t="str">
            <v>NB</v>
          </cell>
        </row>
        <row r="28">
          <cell r="AM28">
            <v>1153.83</v>
          </cell>
          <cell r="AP28" t="str">
            <v>Pièces</v>
          </cell>
          <cell r="AQ28" t="str">
            <v>Salaires propriétaire</v>
          </cell>
          <cell r="AR28" t="str">
            <v>$</v>
          </cell>
          <cell r="AS28">
            <v>0</v>
          </cell>
          <cell r="AW28">
            <v>0</v>
          </cell>
          <cell r="AY28" t="str">
            <v>NB</v>
          </cell>
        </row>
        <row r="29">
          <cell r="AM29">
            <v>0</v>
          </cell>
          <cell r="AP29" t="e">
            <v>#N/A</v>
          </cell>
          <cell r="AQ29" t="e">
            <v>#N/A</v>
          </cell>
          <cell r="AR29" t="str">
            <v>$</v>
          </cell>
          <cell r="AS29" t="e">
            <v>#N/A</v>
          </cell>
          <cell r="AW29">
            <v>0</v>
          </cell>
          <cell r="AY29" t="str">
            <v>NB</v>
          </cell>
        </row>
        <row r="30">
          <cell r="AM30">
            <v>0</v>
          </cell>
          <cell r="AP30" t="e">
            <v>#N/A</v>
          </cell>
          <cell r="AQ30" t="e">
            <v>#N/A</v>
          </cell>
          <cell r="AR30" t="str">
            <v>$</v>
          </cell>
          <cell r="AS30" t="e">
            <v>#N/A</v>
          </cell>
          <cell r="AW30">
            <v>0</v>
          </cell>
          <cell r="AY30" t="str">
            <v>NB</v>
          </cell>
        </row>
        <row r="31">
          <cell r="AM31">
            <v>29650.080000000002</v>
          </cell>
          <cell r="AP31" t="str">
            <v>Véhicules neufs</v>
          </cell>
          <cell r="AQ31" t="str">
            <v>Salaires cadres</v>
          </cell>
          <cell r="AR31" t="str">
            <v>$</v>
          </cell>
          <cell r="AS31">
            <v>0</v>
          </cell>
          <cell r="AW31">
            <v>0</v>
          </cell>
          <cell r="AY31" t="str">
            <v>NB</v>
          </cell>
        </row>
        <row r="32">
          <cell r="AM32">
            <v>0</v>
          </cell>
          <cell r="AP32" t="e">
            <v>#N/A</v>
          </cell>
          <cell r="AQ32" t="e">
            <v>#N/A</v>
          </cell>
          <cell r="AR32" t="str">
            <v>$</v>
          </cell>
          <cell r="AS32" t="e">
            <v>#N/A</v>
          </cell>
          <cell r="AW32">
            <v>0</v>
          </cell>
          <cell r="AY32" t="str">
            <v>NB</v>
          </cell>
        </row>
        <row r="33">
          <cell r="AM33">
            <v>14148.75</v>
          </cell>
          <cell r="AP33" t="str">
            <v>Véhicules usagés</v>
          </cell>
          <cell r="AQ33" t="str">
            <v>Salaires cadres</v>
          </cell>
          <cell r="AR33" t="str">
            <v>$</v>
          </cell>
          <cell r="AS33">
            <v>0</v>
          </cell>
          <cell r="AW33">
            <v>0</v>
          </cell>
          <cell r="AY33" t="str">
            <v>NB</v>
          </cell>
        </row>
        <row r="34">
          <cell r="AM34">
            <v>3670.7999999999884</v>
          </cell>
          <cell r="AP34" t="str">
            <v>Wholesale autres</v>
          </cell>
          <cell r="AQ34" t="str">
            <v>Salaires cadres</v>
          </cell>
          <cell r="AR34" t="str">
            <v>$</v>
          </cell>
          <cell r="AS34">
            <v>0</v>
          </cell>
          <cell r="AW34">
            <v>0</v>
          </cell>
          <cell r="AY34" t="str">
            <v>NB</v>
          </cell>
        </row>
        <row r="35">
          <cell r="AM35">
            <v>17751.659999999989</v>
          </cell>
          <cell r="AP35" t="str">
            <v>Service</v>
          </cell>
          <cell r="AQ35" t="str">
            <v>Salaires cadres</v>
          </cell>
          <cell r="AR35" t="str">
            <v>$</v>
          </cell>
          <cell r="AS35">
            <v>0</v>
          </cell>
          <cell r="AW35">
            <v>0</v>
          </cell>
          <cell r="AY35" t="str">
            <v>NB</v>
          </cell>
        </row>
        <row r="36">
          <cell r="AM36">
            <v>14083.029999999999</v>
          </cell>
          <cell r="AP36" t="str">
            <v>Carrosserie</v>
          </cell>
          <cell r="AQ36" t="str">
            <v>Salaires cadres</v>
          </cell>
          <cell r="AR36" t="str">
            <v>$</v>
          </cell>
          <cell r="AS36">
            <v>0</v>
          </cell>
          <cell r="AW36">
            <v>0</v>
          </cell>
          <cell r="AY36" t="str">
            <v>NB</v>
          </cell>
        </row>
        <row r="37">
          <cell r="AM37">
            <v>8180.43</v>
          </cell>
          <cell r="AP37" t="str">
            <v>Pièces</v>
          </cell>
          <cell r="AQ37" t="str">
            <v>Salaires cadres</v>
          </cell>
          <cell r="AR37" t="str">
            <v>$</v>
          </cell>
          <cell r="AS37">
            <v>0</v>
          </cell>
          <cell r="AW37">
            <v>0</v>
          </cell>
          <cell r="AY37" t="str">
            <v>NB</v>
          </cell>
        </row>
        <row r="38">
          <cell r="AM38">
            <v>0</v>
          </cell>
          <cell r="AP38" t="str">
            <v>SAAQ</v>
          </cell>
          <cell r="AQ38" t="str">
            <v>Salaires cadres</v>
          </cell>
          <cell r="AR38" t="str">
            <v>$</v>
          </cell>
          <cell r="AS38">
            <v>0</v>
          </cell>
          <cell r="AW38">
            <v>0</v>
          </cell>
          <cell r="AY38" t="str">
            <v>NB</v>
          </cell>
        </row>
        <row r="39">
          <cell r="AM39">
            <v>0</v>
          </cell>
          <cell r="AP39" t="e">
            <v>#N/A</v>
          </cell>
          <cell r="AQ39" t="e">
            <v>#N/A</v>
          </cell>
          <cell r="AR39" t="str">
            <v>$</v>
          </cell>
          <cell r="AS39" t="e">
            <v>#N/A</v>
          </cell>
          <cell r="AW39">
            <v>0</v>
          </cell>
          <cell r="AY39" t="str">
            <v>NB</v>
          </cell>
        </row>
        <row r="40">
          <cell r="AM40">
            <v>0</v>
          </cell>
          <cell r="AP40" t="e">
            <v>#N/A</v>
          </cell>
          <cell r="AQ40" t="e">
            <v>#N/A</v>
          </cell>
          <cell r="AR40" t="str">
            <v>$</v>
          </cell>
          <cell r="AS40" t="e">
            <v>#N/A</v>
          </cell>
          <cell r="AW40">
            <v>0</v>
          </cell>
          <cell r="AY40" t="str">
            <v>NB</v>
          </cell>
        </row>
        <row r="41">
          <cell r="AM41">
            <v>9795.2300000000105</v>
          </cell>
          <cell r="AP41" t="str">
            <v>Véhicules neufs</v>
          </cell>
          <cell r="AQ41" t="str">
            <v>Salaires commis</v>
          </cell>
          <cell r="AR41" t="str">
            <v>$</v>
          </cell>
          <cell r="AS41">
            <v>0</v>
          </cell>
          <cell r="AW41">
            <v>0</v>
          </cell>
          <cell r="AY41" t="str">
            <v>NB</v>
          </cell>
        </row>
        <row r="42">
          <cell r="AM42">
            <v>0</v>
          </cell>
          <cell r="AP42" t="e">
            <v>#N/A</v>
          </cell>
          <cell r="AQ42" t="e">
            <v>#N/A</v>
          </cell>
          <cell r="AR42" t="str">
            <v>$</v>
          </cell>
          <cell r="AS42" t="e">
            <v>#N/A</v>
          </cell>
          <cell r="AW42">
            <v>0</v>
          </cell>
          <cell r="AY42" t="str">
            <v>NB</v>
          </cell>
        </row>
        <row r="43">
          <cell r="AM43">
            <v>6530.1699999999983</v>
          </cell>
          <cell r="AP43" t="str">
            <v>Véhicules usagés</v>
          </cell>
          <cell r="AQ43" t="str">
            <v>Salaires commis</v>
          </cell>
          <cell r="AR43" t="str">
            <v>$</v>
          </cell>
          <cell r="AS43">
            <v>0</v>
          </cell>
          <cell r="AW43">
            <v>0</v>
          </cell>
          <cell r="AY43" t="str">
            <v>NB</v>
          </cell>
        </row>
        <row r="44">
          <cell r="AM44">
            <v>5819.4099999999962</v>
          </cell>
          <cell r="AP44" t="str">
            <v>Wholesale autres</v>
          </cell>
          <cell r="AQ44" t="str">
            <v>Salaires commis</v>
          </cell>
          <cell r="AR44" t="str">
            <v>$</v>
          </cell>
          <cell r="AS44">
            <v>0</v>
          </cell>
          <cell r="AW44">
            <v>0</v>
          </cell>
          <cell r="AY44" t="str">
            <v>NB</v>
          </cell>
        </row>
        <row r="45">
          <cell r="AM45">
            <v>7761.1600000000035</v>
          </cell>
          <cell r="AP45" t="str">
            <v>Service</v>
          </cell>
          <cell r="AQ45" t="str">
            <v>Salaires commis</v>
          </cell>
          <cell r="AR45" t="str">
            <v>$</v>
          </cell>
          <cell r="AS45">
            <v>0</v>
          </cell>
          <cell r="AW45">
            <v>0</v>
          </cell>
          <cell r="AY45" t="str">
            <v>NB</v>
          </cell>
        </row>
        <row r="46">
          <cell r="AM46">
            <v>5677.7799999999988</v>
          </cell>
          <cell r="AP46" t="str">
            <v>Carrosserie</v>
          </cell>
          <cell r="AQ46" t="str">
            <v>Salaires commis</v>
          </cell>
          <cell r="AR46" t="str">
            <v>$</v>
          </cell>
          <cell r="AS46">
            <v>0</v>
          </cell>
          <cell r="AW46">
            <v>0</v>
          </cell>
          <cell r="AY46" t="str">
            <v>NB</v>
          </cell>
        </row>
        <row r="47">
          <cell r="AM47">
            <v>2587.0600000000013</v>
          </cell>
          <cell r="AP47" t="str">
            <v>Pièces</v>
          </cell>
          <cell r="AQ47" t="str">
            <v>Salaires commis</v>
          </cell>
          <cell r="AR47" t="str">
            <v>$</v>
          </cell>
          <cell r="AS47">
            <v>0</v>
          </cell>
          <cell r="AW47">
            <v>0</v>
          </cell>
          <cell r="AY47" t="str">
            <v>NB</v>
          </cell>
        </row>
        <row r="48">
          <cell r="AM48">
            <v>8443.4200000000019</v>
          </cell>
          <cell r="AP48" t="str">
            <v>SAAQ</v>
          </cell>
          <cell r="AQ48" t="str">
            <v>Salaires commis</v>
          </cell>
          <cell r="AR48" t="str">
            <v>$</v>
          </cell>
          <cell r="AS48">
            <v>0</v>
          </cell>
          <cell r="AW48">
            <v>0</v>
          </cell>
          <cell r="AY48" t="str">
            <v>NB</v>
          </cell>
        </row>
        <row r="49">
          <cell r="AM49">
            <v>0</v>
          </cell>
          <cell r="AP49" t="e">
            <v>#N/A</v>
          </cell>
          <cell r="AQ49" t="e">
            <v>#N/A</v>
          </cell>
          <cell r="AR49" t="str">
            <v>$</v>
          </cell>
          <cell r="AS49" t="e">
            <v>#N/A</v>
          </cell>
          <cell r="AW49">
            <v>0</v>
          </cell>
          <cell r="AY49" t="str">
            <v>NB</v>
          </cell>
        </row>
        <row r="50">
          <cell r="AM50">
            <v>0</v>
          </cell>
          <cell r="AP50" t="e">
            <v>#N/A</v>
          </cell>
          <cell r="AQ50" t="e">
            <v>#N/A</v>
          </cell>
          <cell r="AR50" t="str">
            <v>$</v>
          </cell>
          <cell r="AS50" t="e">
            <v>#N/A</v>
          </cell>
          <cell r="AW50">
            <v>0</v>
          </cell>
          <cell r="AY50" t="str">
            <v>NB</v>
          </cell>
        </row>
        <row r="51">
          <cell r="AM51">
            <v>12795.479999999996</v>
          </cell>
          <cell r="AP51" t="str">
            <v>Véhicules neufs</v>
          </cell>
          <cell r="AQ51" t="str">
            <v>Salaires autres</v>
          </cell>
          <cell r="AR51" t="str">
            <v>$</v>
          </cell>
          <cell r="AS51">
            <v>0</v>
          </cell>
          <cell r="AW51">
            <v>0</v>
          </cell>
          <cell r="AY51" t="str">
            <v>NB</v>
          </cell>
        </row>
        <row r="52">
          <cell r="AM52">
            <v>0</v>
          </cell>
          <cell r="AP52" t="e">
            <v>#N/A</v>
          </cell>
          <cell r="AQ52" t="e">
            <v>#N/A</v>
          </cell>
          <cell r="AR52" t="str">
            <v>$</v>
          </cell>
          <cell r="AS52" t="e">
            <v>#N/A</v>
          </cell>
          <cell r="AW52">
            <v>0</v>
          </cell>
          <cell r="AY52" t="str">
            <v>NB</v>
          </cell>
        </row>
        <row r="53">
          <cell r="AM53">
            <v>2431.3599999999988</v>
          </cell>
          <cell r="AP53" t="str">
            <v>Véhicules usagés</v>
          </cell>
          <cell r="AQ53" t="str">
            <v>Salaires autres</v>
          </cell>
          <cell r="AR53" t="str">
            <v>$</v>
          </cell>
          <cell r="AS53">
            <v>0</v>
          </cell>
          <cell r="AW53">
            <v>0</v>
          </cell>
          <cell r="AY53" t="str">
            <v>NB</v>
          </cell>
        </row>
        <row r="54">
          <cell r="AM54">
            <v>0</v>
          </cell>
          <cell r="AP54" t="str">
            <v>Wholesale autres</v>
          </cell>
          <cell r="AQ54" t="str">
            <v>Salaires autres</v>
          </cell>
          <cell r="AR54" t="str">
            <v>$</v>
          </cell>
          <cell r="AS54">
            <v>0</v>
          </cell>
          <cell r="AW54">
            <v>0</v>
          </cell>
          <cell r="AY54" t="str">
            <v>NB</v>
          </cell>
        </row>
        <row r="55">
          <cell r="AM55">
            <v>19247.569999999992</v>
          </cell>
          <cell r="AP55" t="str">
            <v>Service</v>
          </cell>
          <cell r="AQ55" t="str">
            <v>Salaires autres</v>
          </cell>
          <cell r="AR55" t="str">
            <v>$</v>
          </cell>
          <cell r="AS55">
            <v>0</v>
          </cell>
          <cell r="AW55">
            <v>0</v>
          </cell>
          <cell r="AY55" t="str">
            <v>NB</v>
          </cell>
        </row>
        <row r="56">
          <cell r="AM56">
            <v>9827.5999999999985</v>
          </cell>
          <cell r="AP56" t="str">
            <v>Service</v>
          </cell>
          <cell r="AQ56" t="str">
            <v>Salaires spécialistes</v>
          </cell>
          <cell r="AR56" t="str">
            <v>$</v>
          </cell>
          <cell r="AS56">
            <v>0</v>
          </cell>
          <cell r="AW56">
            <v>0</v>
          </cell>
          <cell r="AY56" t="str">
            <v>NB</v>
          </cell>
        </row>
        <row r="57">
          <cell r="AM57">
            <v>2747.8500000000004</v>
          </cell>
          <cell r="AP57" t="str">
            <v>Carrosserie</v>
          </cell>
          <cell r="AQ57" t="str">
            <v>Salaires autres</v>
          </cell>
          <cell r="AR57" t="str">
            <v>$</v>
          </cell>
          <cell r="AS57">
            <v>0</v>
          </cell>
          <cell r="AW57">
            <v>0</v>
          </cell>
          <cell r="AY57" t="str">
            <v>NB</v>
          </cell>
        </row>
        <row r="58">
          <cell r="AM58">
            <v>14535.920000000013</v>
          </cell>
          <cell r="AP58" t="str">
            <v>Pièces</v>
          </cell>
          <cell r="AQ58" t="str">
            <v>Salaires autres</v>
          </cell>
          <cell r="AR58" t="str">
            <v>$</v>
          </cell>
          <cell r="AS58">
            <v>0</v>
          </cell>
          <cell r="AW58">
            <v>0</v>
          </cell>
          <cell r="AY58" t="str">
            <v>NB</v>
          </cell>
        </row>
        <row r="59">
          <cell r="AM59">
            <v>2025.0000000000002</v>
          </cell>
          <cell r="AP59" t="str">
            <v>SAAQ</v>
          </cell>
          <cell r="AQ59" t="str">
            <v>Salaires autres</v>
          </cell>
          <cell r="AR59" t="str">
            <v>$</v>
          </cell>
          <cell r="AS59">
            <v>0</v>
          </cell>
          <cell r="AW59">
            <v>0</v>
          </cell>
          <cell r="AY59" t="str">
            <v>NB</v>
          </cell>
        </row>
        <row r="60">
          <cell r="AM60">
            <v>0</v>
          </cell>
          <cell r="AP60" t="e">
            <v>#N/A</v>
          </cell>
          <cell r="AQ60" t="e">
            <v>#N/A</v>
          </cell>
          <cell r="AR60" t="str">
            <v>$</v>
          </cell>
          <cell r="AS60" t="e">
            <v>#N/A</v>
          </cell>
          <cell r="AW60">
            <v>0</v>
          </cell>
          <cell r="AY60" t="str">
            <v>NB</v>
          </cell>
        </row>
        <row r="61">
          <cell r="AM61">
            <v>0</v>
          </cell>
          <cell r="AP61" t="e">
            <v>#N/A</v>
          </cell>
          <cell r="AQ61" t="e">
            <v>#N/A</v>
          </cell>
          <cell r="AR61" t="str">
            <v>$</v>
          </cell>
          <cell r="AS61" t="e">
            <v>#N/A</v>
          </cell>
          <cell r="AW61">
            <v>0</v>
          </cell>
          <cell r="AY61" t="str">
            <v>NB</v>
          </cell>
        </row>
        <row r="62">
          <cell r="AM62">
            <v>9384.07</v>
          </cell>
          <cell r="AP62" t="str">
            <v>Véhicules neufs</v>
          </cell>
          <cell r="AQ62" t="str">
            <v>Salaires en absences</v>
          </cell>
          <cell r="AR62" t="str">
            <v>$</v>
          </cell>
          <cell r="AS62">
            <v>0</v>
          </cell>
          <cell r="AW62">
            <v>0</v>
          </cell>
          <cell r="AY62" t="str">
            <v>NB</v>
          </cell>
        </row>
        <row r="63">
          <cell r="AM63">
            <v>4655.2400000000016</v>
          </cell>
          <cell r="AP63" t="str">
            <v>Véhicules usagés</v>
          </cell>
          <cell r="AQ63" t="str">
            <v>Salaires en absences</v>
          </cell>
          <cell r="AR63" t="str">
            <v>$</v>
          </cell>
          <cell r="AS63">
            <v>0</v>
          </cell>
          <cell r="AW63">
            <v>0</v>
          </cell>
          <cell r="AY63" t="str">
            <v>NB</v>
          </cell>
        </row>
        <row r="64">
          <cell r="AM64">
            <v>2976.4599999999991</v>
          </cell>
          <cell r="AP64" t="str">
            <v>Wholesale autres</v>
          </cell>
          <cell r="AQ64" t="str">
            <v>Salaires en absences</v>
          </cell>
          <cell r="AR64" t="str">
            <v>$</v>
          </cell>
          <cell r="AS64">
            <v>0</v>
          </cell>
          <cell r="AW64">
            <v>0</v>
          </cell>
          <cell r="AY64" t="str">
            <v>NB</v>
          </cell>
        </row>
        <row r="65">
          <cell r="AM65">
            <v>12528.740000000005</v>
          </cell>
          <cell r="AP65" t="str">
            <v>Service</v>
          </cell>
          <cell r="AQ65" t="str">
            <v>Salaires en absences</v>
          </cell>
          <cell r="AR65" t="str">
            <v>$</v>
          </cell>
          <cell r="AS65">
            <v>0</v>
          </cell>
          <cell r="AW65">
            <v>0</v>
          </cell>
          <cell r="AY65" t="str">
            <v>NB</v>
          </cell>
        </row>
        <row r="66">
          <cell r="AM66">
            <v>5365.2000000000044</v>
          </cell>
          <cell r="AP66" t="str">
            <v>Carrosserie</v>
          </cell>
          <cell r="AQ66" t="str">
            <v>Salaires en absences</v>
          </cell>
          <cell r="AR66" t="str">
            <v>$</v>
          </cell>
          <cell r="AS66">
            <v>0</v>
          </cell>
          <cell r="AW66">
            <v>0</v>
          </cell>
          <cell r="AY66" t="str">
            <v>NB</v>
          </cell>
        </row>
        <row r="67">
          <cell r="AM67">
            <v>2896.3600000000006</v>
          </cell>
          <cell r="AP67" t="str">
            <v>Pièces</v>
          </cell>
          <cell r="AQ67" t="str">
            <v>Salaires en absences</v>
          </cell>
          <cell r="AR67" t="str">
            <v>$</v>
          </cell>
          <cell r="AS67">
            <v>0</v>
          </cell>
          <cell r="AW67">
            <v>0</v>
          </cell>
          <cell r="AY67" t="str">
            <v>NB</v>
          </cell>
        </row>
        <row r="68">
          <cell r="AM68">
            <v>6497.1700000000019</v>
          </cell>
          <cell r="AP68" t="str">
            <v>SAAQ</v>
          </cell>
          <cell r="AQ68" t="str">
            <v>Salaires en absences</v>
          </cell>
          <cell r="AR68" t="str">
            <v>$</v>
          </cell>
          <cell r="AS68">
            <v>0</v>
          </cell>
          <cell r="AW68">
            <v>0</v>
          </cell>
          <cell r="AY68" t="str">
            <v>NB</v>
          </cell>
        </row>
        <row r="69">
          <cell r="AM69">
            <v>0</v>
          </cell>
          <cell r="AP69" t="e">
            <v>#N/A</v>
          </cell>
          <cell r="AQ69" t="e">
            <v>#N/A</v>
          </cell>
          <cell r="AR69" t="str">
            <v>$</v>
          </cell>
          <cell r="AS69" t="e">
            <v>#N/A</v>
          </cell>
          <cell r="AW69">
            <v>0</v>
          </cell>
          <cell r="AY69" t="str">
            <v>NB</v>
          </cell>
        </row>
        <row r="70">
          <cell r="AM70">
            <v>0</v>
          </cell>
          <cell r="AP70" t="e">
            <v>#N/A</v>
          </cell>
          <cell r="AQ70" t="e">
            <v>#N/A</v>
          </cell>
          <cell r="AR70" t="str">
            <v>$</v>
          </cell>
          <cell r="AS70" t="e">
            <v>#N/A</v>
          </cell>
          <cell r="AW70">
            <v>0</v>
          </cell>
          <cell r="AY70" t="str">
            <v>NB</v>
          </cell>
        </row>
        <row r="71">
          <cell r="AM71">
            <v>7549.1699999999983</v>
          </cell>
          <cell r="AP71" t="str">
            <v>Véhicules neufs</v>
          </cell>
          <cell r="AQ71" t="str">
            <v>Déduction à la source</v>
          </cell>
          <cell r="AR71" t="str">
            <v>$</v>
          </cell>
          <cell r="AS71">
            <v>0</v>
          </cell>
          <cell r="AW71">
            <v>0</v>
          </cell>
          <cell r="AY71" t="str">
            <v>NB</v>
          </cell>
        </row>
        <row r="72">
          <cell r="AM72">
            <v>0</v>
          </cell>
          <cell r="AP72" t="e">
            <v>#N/A</v>
          </cell>
          <cell r="AQ72" t="e">
            <v>#N/A</v>
          </cell>
          <cell r="AR72" t="str">
            <v>$</v>
          </cell>
          <cell r="AS72" t="e">
            <v>#N/A</v>
          </cell>
          <cell r="AW72">
            <v>0</v>
          </cell>
          <cell r="AY72" t="str">
            <v>NB</v>
          </cell>
        </row>
        <row r="73">
          <cell r="AM73">
            <v>4370.8899999999994</v>
          </cell>
          <cell r="AP73" t="str">
            <v>Véhicules usagés</v>
          </cell>
          <cell r="AQ73" t="str">
            <v>Déduction à la source</v>
          </cell>
          <cell r="AR73" t="str">
            <v>$</v>
          </cell>
          <cell r="AS73">
            <v>0</v>
          </cell>
          <cell r="AW73">
            <v>0</v>
          </cell>
          <cell r="AY73" t="str">
            <v>NB</v>
          </cell>
        </row>
        <row r="74">
          <cell r="AM74">
            <v>3343.8799999999974</v>
          </cell>
          <cell r="AP74" t="str">
            <v>Wholesale autres</v>
          </cell>
          <cell r="AQ74" t="str">
            <v>Déduction à la source</v>
          </cell>
          <cell r="AR74" t="str">
            <v>$</v>
          </cell>
          <cell r="AS74">
            <v>0</v>
          </cell>
          <cell r="AW74">
            <v>0</v>
          </cell>
          <cell r="AY74" t="str">
            <v>NB</v>
          </cell>
        </row>
        <row r="75">
          <cell r="AM75">
            <v>14699.760000000009</v>
          </cell>
          <cell r="AP75" t="str">
            <v>Service</v>
          </cell>
          <cell r="AQ75" t="str">
            <v>Déduction à la source</v>
          </cell>
          <cell r="AR75" t="str">
            <v>$</v>
          </cell>
          <cell r="AS75">
            <v>0</v>
          </cell>
          <cell r="AW75">
            <v>0</v>
          </cell>
          <cell r="AY75" t="str">
            <v>NB</v>
          </cell>
        </row>
        <row r="76">
          <cell r="AM76">
            <v>5519.6900000000023</v>
          </cell>
          <cell r="AP76" t="str">
            <v>Carrosserie</v>
          </cell>
          <cell r="AQ76" t="str">
            <v>Déduction à la source</v>
          </cell>
          <cell r="AR76" t="str">
            <v>$</v>
          </cell>
          <cell r="AS76">
            <v>0</v>
          </cell>
          <cell r="AW76">
            <v>0</v>
          </cell>
          <cell r="AY76" t="str">
            <v>NB</v>
          </cell>
        </row>
        <row r="77">
          <cell r="AM77">
            <v>3067.4300000000003</v>
          </cell>
          <cell r="AP77" t="str">
            <v>Pièces</v>
          </cell>
          <cell r="AQ77" t="str">
            <v>Déduction à la source</v>
          </cell>
          <cell r="AR77" t="str">
            <v>$</v>
          </cell>
          <cell r="AS77">
            <v>0</v>
          </cell>
          <cell r="AW77">
            <v>0</v>
          </cell>
          <cell r="AY77" t="str">
            <v>NB</v>
          </cell>
        </row>
        <row r="78">
          <cell r="AM78">
            <v>5652.2199999999993</v>
          </cell>
          <cell r="AP78" t="str">
            <v>SAAQ</v>
          </cell>
          <cell r="AQ78" t="str">
            <v>Déduction à la source</v>
          </cell>
          <cell r="AR78" t="str">
            <v>$</v>
          </cell>
          <cell r="AS78">
            <v>0</v>
          </cell>
          <cell r="AW78">
            <v>0</v>
          </cell>
          <cell r="AY78" t="str">
            <v>NB</v>
          </cell>
        </row>
        <row r="79">
          <cell r="AM79">
            <v>0</v>
          </cell>
          <cell r="AP79" t="e">
            <v>#N/A</v>
          </cell>
          <cell r="AQ79" t="e">
            <v>#N/A</v>
          </cell>
          <cell r="AR79" t="str">
            <v>$</v>
          </cell>
          <cell r="AS79" t="e">
            <v>#N/A</v>
          </cell>
          <cell r="AW79">
            <v>0</v>
          </cell>
          <cell r="AY79" t="str">
            <v>NB</v>
          </cell>
        </row>
        <row r="80">
          <cell r="AM80">
            <v>0</v>
          </cell>
          <cell r="AP80" t="e">
            <v>#N/A</v>
          </cell>
          <cell r="AQ80" t="e">
            <v>#N/A</v>
          </cell>
          <cell r="AR80" t="str">
            <v>$</v>
          </cell>
          <cell r="AS80" t="e">
            <v>#N/A</v>
          </cell>
          <cell r="AW80">
            <v>0</v>
          </cell>
          <cell r="AY80" t="str">
            <v>NB</v>
          </cell>
        </row>
        <row r="81">
          <cell r="AM81">
            <v>3038.7299999999996</v>
          </cell>
          <cell r="AP81" t="str">
            <v>Véhicules neufs</v>
          </cell>
          <cell r="AQ81" t="str">
            <v>Bénéfices marginaux</v>
          </cell>
          <cell r="AR81" t="str">
            <v>$</v>
          </cell>
          <cell r="AS81">
            <v>0</v>
          </cell>
          <cell r="AW81">
            <v>0</v>
          </cell>
          <cell r="AY81" t="str">
            <v>NB</v>
          </cell>
        </row>
        <row r="82">
          <cell r="AM82">
            <v>0</v>
          </cell>
          <cell r="AP82" t="e">
            <v>#N/A</v>
          </cell>
          <cell r="AQ82" t="e">
            <v>#N/A</v>
          </cell>
          <cell r="AR82" t="str">
            <v>$</v>
          </cell>
          <cell r="AS82" t="e">
            <v>#N/A</v>
          </cell>
          <cell r="AW82">
            <v>0</v>
          </cell>
          <cell r="AY82" t="str">
            <v>NB</v>
          </cell>
        </row>
        <row r="83">
          <cell r="AM83">
            <v>1961.6800000000003</v>
          </cell>
          <cell r="AP83" t="str">
            <v>Véhicules usagés</v>
          </cell>
          <cell r="AQ83" t="str">
            <v>Bénéfices marginaux</v>
          </cell>
          <cell r="AR83" t="str">
            <v>$</v>
          </cell>
          <cell r="AS83">
            <v>0</v>
          </cell>
          <cell r="AW83">
            <v>0</v>
          </cell>
          <cell r="AY83" t="str">
            <v>NB</v>
          </cell>
        </row>
        <row r="84">
          <cell r="AM84">
            <v>228.64999999999964</v>
          </cell>
          <cell r="AP84" t="str">
            <v>Wholesale autres</v>
          </cell>
          <cell r="AQ84" t="str">
            <v>Bénéfices marginaux</v>
          </cell>
          <cell r="AR84" t="str">
            <v>$</v>
          </cell>
          <cell r="AS84">
            <v>0</v>
          </cell>
          <cell r="AW84">
            <v>0</v>
          </cell>
          <cell r="AY84" t="str">
            <v>NB</v>
          </cell>
        </row>
        <row r="85">
          <cell r="AM85">
            <v>3961.25</v>
          </cell>
          <cell r="AP85" t="str">
            <v>Service</v>
          </cell>
          <cell r="AQ85" t="str">
            <v>Bénéfices marginaux</v>
          </cell>
          <cell r="AR85" t="str">
            <v>$</v>
          </cell>
          <cell r="AS85">
            <v>0</v>
          </cell>
          <cell r="AW85">
            <v>0</v>
          </cell>
          <cell r="AY85" t="str">
            <v>NB</v>
          </cell>
        </row>
        <row r="86">
          <cell r="AM86">
            <v>1186.8600000000006</v>
          </cell>
          <cell r="AP86" t="str">
            <v>Carrosserie</v>
          </cell>
          <cell r="AQ86" t="str">
            <v>Bénéfices marginaux</v>
          </cell>
          <cell r="AR86" t="str">
            <v>$</v>
          </cell>
          <cell r="AS86">
            <v>0</v>
          </cell>
          <cell r="AW86">
            <v>0</v>
          </cell>
          <cell r="AY86" t="str">
            <v>NB</v>
          </cell>
        </row>
        <row r="87">
          <cell r="AM87">
            <v>1053.58</v>
          </cell>
          <cell r="AP87" t="str">
            <v>Pièces</v>
          </cell>
          <cell r="AQ87" t="str">
            <v>Bénéfices marginaux</v>
          </cell>
          <cell r="AR87" t="str">
            <v>$</v>
          </cell>
          <cell r="AS87">
            <v>0</v>
          </cell>
          <cell r="AW87">
            <v>0</v>
          </cell>
          <cell r="AY87" t="str">
            <v>NB</v>
          </cell>
        </row>
        <row r="88">
          <cell r="AM88">
            <v>1102.9100000000003</v>
          </cell>
          <cell r="AP88" t="str">
            <v>SAAQ</v>
          </cell>
          <cell r="AQ88" t="str">
            <v>Bénéfices marginaux</v>
          </cell>
          <cell r="AR88" t="str">
            <v>$</v>
          </cell>
          <cell r="AS88">
            <v>0</v>
          </cell>
          <cell r="AW88">
            <v>0</v>
          </cell>
          <cell r="AY88" t="str">
            <v>NB</v>
          </cell>
        </row>
        <row r="89">
          <cell r="AM89">
            <v>0</v>
          </cell>
          <cell r="AP89" t="e">
            <v>#N/A</v>
          </cell>
          <cell r="AQ89" t="e">
            <v>#N/A</v>
          </cell>
          <cell r="AR89" t="str">
            <v>$</v>
          </cell>
          <cell r="AS89" t="e">
            <v>#N/A</v>
          </cell>
          <cell r="AW89">
            <v>0</v>
          </cell>
          <cell r="AY89" t="str">
            <v>NB</v>
          </cell>
        </row>
        <row r="90">
          <cell r="AM90">
            <v>0</v>
          </cell>
          <cell r="AP90" t="e">
            <v>#N/A</v>
          </cell>
          <cell r="AQ90" t="e">
            <v>#N/A</v>
          </cell>
          <cell r="AR90" t="str">
            <v>$</v>
          </cell>
          <cell r="AS90" t="e">
            <v>#N/A</v>
          </cell>
          <cell r="AW90">
            <v>0</v>
          </cell>
          <cell r="AY90" t="str">
            <v>NB</v>
          </cell>
        </row>
        <row r="91">
          <cell r="AM91">
            <v>0</v>
          </cell>
          <cell r="AP91" t="e">
            <v>#N/A</v>
          </cell>
          <cell r="AQ91" t="e">
            <v>#N/A</v>
          </cell>
          <cell r="AR91" t="str">
            <v>$</v>
          </cell>
          <cell r="AS91" t="e">
            <v>#N/A</v>
          </cell>
          <cell r="AW91">
            <v>0</v>
          </cell>
          <cell r="AY91" t="str">
            <v>NB</v>
          </cell>
        </row>
        <row r="92">
          <cell r="AM92">
            <v>3813.6500000000015</v>
          </cell>
          <cell r="AP92" t="str">
            <v>Véhicules neufs</v>
          </cell>
          <cell r="AQ92" t="str">
            <v>Csst</v>
          </cell>
          <cell r="AR92" t="str">
            <v>$</v>
          </cell>
          <cell r="AS92">
            <v>0</v>
          </cell>
          <cell r="AW92">
            <v>0</v>
          </cell>
          <cell r="AY92" t="str">
            <v>NB</v>
          </cell>
        </row>
        <row r="93">
          <cell r="AM93">
            <v>0</v>
          </cell>
          <cell r="AP93" t="e">
            <v>#N/A</v>
          </cell>
          <cell r="AQ93" t="e">
            <v>#N/A</v>
          </cell>
          <cell r="AR93" t="str">
            <v>$</v>
          </cell>
          <cell r="AS93" t="e">
            <v>#N/A</v>
          </cell>
          <cell r="AW93">
            <v>0</v>
          </cell>
          <cell r="AY93" t="str">
            <v>NB</v>
          </cell>
        </row>
        <row r="94">
          <cell r="AM94">
            <v>2430.42</v>
          </cell>
          <cell r="AP94" t="str">
            <v>Véhicules usagés</v>
          </cell>
          <cell r="AQ94" t="str">
            <v>Csst</v>
          </cell>
          <cell r="AR94" t="str">
            <v>$</v>
          </cell>
          <cell r="AS94">
            <v>0</v>
          </cell>
          <cell r="AW94">
            <v>0</v>
          </cell>
          <cell r="AY94" t="str">
            <v>NB</v>
          </cell>
        </row>
        <row r="95">
          <cell r="AM95">
            <v>328.96000000000004</v>
          </cell>
          <cell r="AP95" t="str">
            <v>Wholesale autres</v>
          </cell>
          <cell r="AQ95" t="str">
            <v>Csst</v>
          </cell>
          <cell r="AR95" t="str">
            <v>$</v>
          </cell>
          <cell r="AS95">
            <v>0</v>
          </cell>
          <cell r="AW95">
            <v>0</v>
          </cell>
          <cell r="AY95" t="str">
            <v>NB</v>
          </cell>
        </row>
        <row r="96">
          <cell r="AM96">
            <v>4716.0800000000017</v>
          </cell>
          <cell r="AP96" t="str">
            <v>Service</v>
          </cell>
          <cell r="AQ96" t="str">
            <v>Csst</v>
          </cell>
          <cell r="AR96" t="str">
            <v>$</v>
          </cell>
          <cell r="AS96">
            <v>0</v>
          </cell>
          <cell r="AW96">
            <v>0</v>
          </cell>
          <cell r="AY96" t="str">
            <v>NB</v>
          </cell>
        </row>
        <row r="97">
          <cell r="AM97">
            <v>1652.8300000000008</v>
          </cell>
          <cell r="AP97" t="str">
            <v>Carrosserie</v>
          </cell>
          <cell r="AQ97" t="str">
            <v>Csst</v>
          </cell>
          <cell r="AR97" t="str">
            <v>$</v>
          </cell>
          <cell r="AS97">
            <v>0</v>
          </cell>
          <cell r="AW97">
            <v>0</v>
          </cell>
          <cell r="AY97" t="str">
            <v>NB</v>
          </cell>
        </row>
        <row r="98">
          <cell r="AM98">
            <v>1331.3399999999992</v>
          </cell>
          <cell r="AP98" t="str">
            <v>Pièces</v>
          </cell>
          <cell r="AQ98" t="str">
            <v>Csst</v>
          </cell>
          <cell r="AR98" t="str">
            <v>$</v>
          </cell>
          <cell r="AS98">
            <v>0</v>
          </cell>
          <cell r="AW98">
            <v>0</v>
          </cell>
          <cell r="AY98" t="str">
            <v>NB</v>
          </cell>
        </row>
        <row r="99">
          <cell r="AM99">
            <v>741.76</v>
          </cell>
          <cell r="AP99" t="str">
            <v>SAAQ</v>
          </cell>
          <cell r="AQ99" t="str">
            <v>Csst</v>
          </cell>
          <cell r="AR99" t="str">
            <v>$</v>
          </cell>
          <cell r="AS99">
            <v>0</v>
          </cell>
          <cell r="AW99">
            <v>0</v>
          </cell>
          <cell r="AY99" t="str">
            <v>NB</v>
          </cell>
        </row>
        <row r="100">
          <cell r="AM100">
            <v>0</v>
          </cell>
          <cell r="AP100" t="e">
            <v>#N/A</v>
          </cell>
          <cell r="AQ100" t="e">
            <v>#N/A</v>
          </cell>
          <cell r="AR100" t="str">
            <v>$</v>
          </cell>
          <cell r="AS100" t="e">
            <v>#N/A</v>
          </cell>
          <cell r="AW100">
            <v>0</v>
          </cell>
          <cell r="AY100" t="str">
            <v>NB</v>
          </cell>
        </row>
        <row r="101">
          <cell r="AM101">
            <v>0</v>
          </cell>
          <cell r="AP101" t="e">
            <v>#N/A</v>
          </cell>
          <cell r="AQ101" t="e">
            <v>#N/A</v>
          </cell>
          <cell r="AR101" t="str">
            <v>$</v>
          </cell>
          <cell r="AS101" t="e">
            <v>#N/A</v>
          </cell>
          <cell r="AW101">
            <v>0</v>
          </cell>
          <cell r="AY101" t="str">
            <v>NB</v>
          </cell>
        </row>
        <row r="102">
          <cell r="AM102">
            <v>1314.3499999999985</v>
          </cell>
          <cell r="AP102" t="str">
            <v>Véhicules neufs</v>
          </cell>
          <cell r="AQ102" t="str">
            <v>Frais postaux</v>
          </cell>
          <cell r="AR102" t="str">
            <v>$</v>
          </cell>
          <cell r="AS102">
            <v>0</v>
          </cell>
          <cell r="AW102">
            <v>0</v>
          </cell>
          <cell r="AY102" t="str">
            <v>NB</v>
          </cell>
        </row>
        <row r="103">
          <cell r="AM103">
            <v>765.27999999999884</v>
          </cell>
          <cell r="AP103" t="str">
            <v>Véhicules usagés</v>
          </cell>
          <cell r="AQ103" t="str">
            <v>Frais postaux</v>
          </cell>
          <cell r="AR103" t="str">
            <v>$</v>
          </cell>
          <cell r="AS103">
            <v>0</v>
          </cell>
          <cell r="AW103">
            <v>0</v>
          </cell>
          <cell r="AY103" t="str">
            <v>NB</v>
          </cell>
        </row>
        <row r="104">
          <cell r="AM104">
            <v>19</v>
          </cell>
          <cell r="AP104" t="str">
            <v>Wholesale autres</v>
          </cell>
          <cell r="AQ104" t="str">
            <v>Frais postaux</v>
          </cell>
          <cell r="AR104" t="str">
            <v>$</v>
          </cell>
          <cell r="AS104">
            <v>0</v>
          </cell>
          <cell r="AW104">
            <v>0</v>
          </cell>
          <cell r="AY104" t="str">
            <v>NB</v>
          </cell>
        </row>
        <row r="105">
          <cell r="AM105">
            <v>501.89999999999964</v>
          </cell>
          <cell r="AP105" t="str">
            <v>Service</v>
          </cell>
          <cell r="AQ105" t="str">
            <v>Frais postaux</v>
          </cell>
          <cell r="AR105" t="str">
            <v>$</v>
          </cell>
          <cell r="AS105">
            <v>0</v>
          </cell>
          <cell r="AW105">
            <v>0</v>
          </cell>
          <cell r="AY105" t="str">
            <v>NB</v>
          </cell>
        </row>
        <row r="106">
          <cell r="AM106">
            <v>167.30000000000018</v>
          </cell>
          <cell r="AP106" t="str">
            <v>Carrosserie</v>
          </cell>
          <cell r="AQ106" t="str">
            <v>Frais postaux</v>
          </cell>
          <cell r="AR106" t="str">
            <v>$</v>
          </cell>
          <cell r="AS106">
            <v>0</v>
          </cell>
          <cell r="AW106">
            <v>0</v>
          </cell>
          <cell r="AY106" t="str">
            <v>NB</v>
          </cell>
        </row>
        <row r="107">
          <cell r="AM107">
            <v>948.1200000000008</v>
          </cell>
          <cell r="AP107" t="str">
            <v>Pièces</v>
          </cell>
          <cell r="AQ107" t="str">
            <v>Frais postaux</v>
          </cell>
          <cell r="AR107" t="str">
            <v>$</v>
          </cell>
          <cell r="AS107">
            <v>0</v>
          </cell>
          <cell r="AW107">
            <v>0</v>
          </cell>
          <cell r="AY107" t="str">
            <v>NB</v>
          </cell>
        </row>
        <row r="108">
          <cell r="AM108">
            <v>0</v>
          </cell>
          <cell r="AP108" t="e">
            <v>#N/A</v>
          </cell>
          <cell r="AQ108" t="e">
            <v>#N/A</v>
          </cell>
          <cell r="AR108" t="str">
            <v>$</v>
          </cell>
          <cell r="AS108" t="e">
            <v>#N/A</v>
          </cell>
          <cell r="AW108">
            <v>0</v>
          </cell>
          <cell r="AY108" t="str">
            <v>NB</v>
          </cell>
        </row>
        <row r="109">
          <cell r="AM109">
            <v>6931.8999999999942</v>
          </cell>
          <cell r="AP109" t="str">
            <v>Véhicules neufs</v>
          </cell>
          <cell r="AQ109" t="str">
            <v>Frais véhicules de cie</v>
          </cell>
          <cell r="AR109" t="str">
            <v>$</v>
          </cell>
          <cell r="AS109">
            <v>0</v>
          </cell>
          <cell r="AW109">
            <v>0</v>
          </cell>
          <cell r="AY109" t="str">
            <v>NB</v>
          </cell>
        </row>
        <row r="110">
          <cell r="AM110">
            <v>1747.1299999999974</v>
          </cell>
          <cell r="AP110" t="str">
            <v>Véhicules usagés</v>
          </cell>
          <cell r="AQ110" t="str">
            <v>Frais véhicules de cie</v>
          </cell>
          <cell r="AR110" t="str">
            <v>$</v>
          </cell>
          <cell r="AS110">
            <v>0</v>
          </cell>
          <cell r="AW110">
            <v>0</v>
          </cell>
          <cell r="AY110" t="str">
            <v>NB</v>
          </cell>
        </row>
        <row r="111">
          <cell r="AM111">
            <v>0</v>
          </cell>
          <cell r="AP111" t="str">
            <v>Wholesale autres</v>
          </cell>
          <cell r="AQ111" t="str">
            <v>Frais véhicules de cie</v>
          </cell>
          <cell r="AR111" t="str">
            <v>$</v>
          </cell>
          <cell r="AS111">
            <v>0</v>
          </cell>
          <cell r="AW111">
            <v>0</v>
          </cell>
          <cell r="AY111" t="str">
            <v>NB</v>
          </cell>
        </row>
        <row r="112">
          <cell r="AM112">
            <v>4838.75</v>
          </cell>
          <cell r="AP112" t="str">
            <v>Service</v>
          </cell>
          <cell r="AQ112" t="str">
            <v>Frais véhicules de cie</v>
          </cell>
          <cell r="AR112" t="str">
            <v>$</v>
          </cell>
          <cell r="AS112">
            <v>0</v>
          </cell>
          <cell r="AW112">
            <v>0</v>
          </cell>
          <cell r="AY112" t="str">
            <v>NB</v>
          </cell>
        </row>
        <row r="113">
          <cell r="AM113">
            <v>-803.86000000000013</v>
          </cell>
          <cell r="AP113" t="str">
            <v>Carrosserie</v>
          </cell>
          <cell r="AQ113" t="str">
            <v>Frais véhicules de cie</v>
          </cell>
          <cell r="AR113" t="str">
            <v>$</v>
          </cell>
          <cell r="AS113">
            <v>0</v>
          </cell>
          <cell r="AW113">
            <v>0</v>
          </cell>
          <cell r="AY113" t="str">
            <v>NB</v>
          </cell>
        </row>
        <row r="114">
          <cell r="AM114">
            <v>2297.9199999999983</v>
          </cell>
          <cell r="AP114" t="str">
            <v>Pièces</v>
          </cell>
          <cell r="AQ114" t="str">
            <v>Frais véhicules de cie</v>
          </cell>
          <cell r="AR114" t="str">
            <v>$</v>
          </cell>
          <cell r="AS114">
            <v>0</v>
          </cell>
          <cell r="AW114">
            <v>0</v>
          </cell>
          <cell r="AY114" t="str">
            <v>NB</v>
          </cell>
        </row>
        <row r="115">
          <cell r="AM115">
            <v>0</v>
          </cell>
          <cell r="AP115" t="e">
            <v>#N/A</v>
          </cell>
          <cell r="AQ115" t="e">
            <v>#N/A</v>
          </cell>
          <cell r="AR115" t="str">
            <v>$</v>
          </cell>
          <cell r="AS115" t="e">
            <v>#N/A</v>
          </cell>
          <cell r="AW115">
            <v>0</v>
          </cell>
          <cell r="AY115" t="str">
            <v>NB</v>
          </cell>
        </row>
        <row r="116">
          <cell r="AM116">
            <v>0</v>
          </cell>
          <cell r="AP116">
            <v>0</v>
          </cell>
          <cell r="AQ116">
            <v>0</v>
          </cell>
          <cell r="AR116" t="str">
            <v>$</v>
          </cell>
          <cell r="AS116">
            <v>0</v>
          </cell>
          <cell r="AW116">
            <v>0</v>
          </cell>
          <cell r="AY116" t="str">
            <v>NB</v>
          </cell>
        </row>
        <row r="117">
          <cell r="AM117">
            <v>0</v>
          </cell>
          <cell r="AP117">
            <v>0</v>
          </cell>
          <cell r="AQ117">
            <v>0</v>
          </cell>
          <cell r="AR117" t="str">
            <v>$</v>
          </cell>
          <cell r="AS117">
            <v>0</v>
          </cell>
          <cell r="AW117">
            <v>0</v>
          </cell>
          <cell r="AY117" t="str">
            <v>NB</v>
          </cell>
        </row>
        <row r="118">
          <cell r="AM118">
            <v>0</v>
          </cell>
          <cell r="AP118">
            <v>0</v>
          </cell>
          <cell r="AQ118">
            <v>0</v>
          </cell>
          <cell r="AR118" t="str">
            <v>$</v>
          </cell>
          <cell r="AS118">
            <v>0</v>
          </cell>
          <cell r="AW118">
            <v>0</v>
          </cell>
          <cell r="AY118" t="str">
            <v>NB</v>
          </cell>
        </row>
        <row r="119">
          <cell r="AM119">
            <v>0</v>
          </cell>
          <cell r="AP119" t="str">
            <v>Véhicules neufs</v>
          </cell>
          <cell r="AQ119" t="str">
            <v>Divers</v>
          </cell>
          <cell r="AR119" t="str">
            <v>$</v>
          </cell>
          <cell r="AS119">
            <v>0</v>
          </cell>
          <cell r="AW119">
            <v>0</v>
          </cell>
          <cell r="AY119" t="str">
            <v>NB</v>
          </cell>
        </row>
        <row r="120">
          <cell r="AM120">
            <v>0</v>
          </cell>
          <cell r="AP120" t="str">
            <v>Véhicules usagés</v>
          </cell>
          <cell r="AQ120" t="str">
            <v>Divers</v>
          </cell>
          <cell r="AR120" t="str">
            <v>$</v>
          </cell>
          <cell r="AS120">
            <v>0</v>
          </cell>
          <cell r="AW120">
            <v>0</v>
          </cell>
          <cell r="AY120" t="str">
            <v>NB</v>
          </cell>
        </row>
        <row r="121">
          <cell r="AM121">
            <v>0</v>
          </cell>
          <cell r="AP121" t="str">
            <v>Service</v>
          </cell>
          <cell r="AQ121" t="str">
            <v>Divers</v>
          </cell>
          <cell r="AR121" t="str">
            <v>$</v>
          </cell>
          <cell r="AS121">
            <v>0</v>
          </cell>
          <cell r="AW121">
            <v>0</v>
          </cell>
          <cell r="AY121" t="str">
            <v>NB</v>
          </cell>
        </row>
        <row r="122">
          <cell r="AM122">
            <v>0</v>
          </cell>
          <cell r="AP122" t="str">
            <v>Pièces</v>
          </cell>
          <cell r="AQ122" t="str">
            <v>Divers</v>
          </cell>
          <cell r="AR122" t="str">
            <v>$</v>
          </cell>
          <cell r="AS122">
            <v>0</v>
          </cell>
          <cell r="AW122">
            <v>0</v>
          </cell>
          <cell r="AY122" t="str">
            <v>NB</v>
          </cell>
        </row>
        <row r="123">
          <cell r="AM123">
            <v>0</v>
          </cell>
          <cell r="AP123" t="e">
            <v>#N/A</v>
          </cell>
          <cell r="AQ123" t="e">
            <v>#N/A</v>
          </cell>
          <cell r="AR123" t="str">
            <v>$</v>
          </cell>
          <cell r="AS123" t="e">
            <v>#N/A</v>
          </cell>
          <cell r="AW123">
            <v>0</v>
          </cell>
          <cell r="AY123" t="str">
            <v>NB</v>
          </cell>
        </row>
        <row r="124">
          <cell r="AM124">
            <v>2389.3399999999983</v>
          </cell>
          <cell r="AP124" t="str">
            <v>Véhicules neufs</v>
          </cell>
          <cell r="AQ124" t="str">
            <v>Frais bancaires</v>
          </cell>
          <cell r="AR124" t="str">
            <v>$</v>
          </cell>
          <cell r="AS124">
            <v>0</v>
          </cell>
          <cell r="AW124">
            <v>0</v>
          </cell>
          <cell r="AY124" t="str">
            <v>NB</v>
          </cell>
        </row>
        <row r="125">
          <cell r="AM125">
            <v>1645.38</v>
          </cell>
          <cell r="AP125" t="str">
            <v>Véhicules usagés</v>
          </cell>
          <cell r="AQ125" t="str">
            <v>Frais bancaires</v>
          </cell>
          <cell r="AR125" t="str">
            <v>$</v>
          </cell>
          <cell r="AS125">
            <v>0</v>
          </cell>
          <cell r="AW125">
            <v>0</v>
          </cell>
          <cell r="AY125" t="str">
            <v>NB</v>
          </cell>
        </row>
        <row r="126">
          <cell r="AM126">
            <v>0</v>
          </cell>
          <cell r="AP126" t="str">
            <v>Wholesale autres</v>
          </cell>
          <cell r="AQ126" t="str">
            <v>Frais bancaires</v>
          </cell>
          <cell r="AR126" t="str">
            <v>$</v>
          </cell>
          <cell r="AS126">
            <v>0</v>
          </cell>
          <cell r="AW126">
            <v>0</v>
          </cell>
          <cell r="AY126" t="str">
            <v>NB</v>
          </cell>
        </row>
        <row r="127">
          <cell r="AM127">
            <v>2389.3199999999997</v>
          </cell>
          <cell r="AP127" t="str">
            <v>Service</v>
          </cell>
          <cell r="AQ127" t="str">
            <v>Frais bancaires</v>
          </cell>
          <cell r="AR127" t="str">
            <v>$</v>
          </cell>
          <cell r="AS127">
            <v>0</v>
          </cell>
          <cell r="AW127">
            <v>0</v>
          </cell>
          <cell r="AY127" t="str">
            <v>NB</v>
          </cell>
        </row>
        <row r="128">
          <cell r="AM128">
            <v>796.44000000000051</v>
          </cell>
          <cell r="AP128" t="str">
            <v>Carrosserie</v>
          </cell>
          <cell r="AQ128" t="str">
            <v>Frais bancaires</v>
          </cell>
          <cell r="AR128" t="str">
            <v>$</v>
          </cell>
          <cell r="AS128">
            <v>0</v>
          </cell>
          <cell r="AW128">
            <v>0</v>
          </cell>
          <cell r="AY128" t="str">
            <v>NB</v>
          </cell>
        </row>
        <row r="129">
          <cell r="AM129">
            <v>796.4399999999996</v>
          </cell>
          <cell r="AP129" t="str">
            <v>Pièces</v>
          </cell>
          <cell r="AQ129" t="str">
            <v>Frais bancaires</v>
          </cell>
          <cell r="AR129" t="str">
            <v>$</v>
          </cell>
          <cell r="AS129">
            <v>0</v>
          </cell>
          <cell r="AW129">
            <v>0</v>
          </cell>
          <cell r="AY129" t="str">
            <v>NB</v>
          </cell>
        </row>
        <row r="130">
          <cell r="AM130">
            <v>0</v>
          </cell>
          <cell r="AP130" t="e">
            <v>#N/A</v>
          </cell>
          <cell r="AQ130" t="e">
            <v>#N/A</v>
          </cell>
          <cell r="AR130" t="str">
            <v>$</v>
          </cell>
          <cell r="AS130" t="e">
            <v>#N/A</v>
          </cell>
          <cell r="AW130">
            <v>0</v>
          </cell>
          <cell r="AY130" t="str">
            <v>NB</v>
          </cell>
        </row>
        <row r="131">
          <cell r="AM131">
            <v>0</v>
          </cell>
          <cell r="AP131" t="e">
            <v>#N/A</v>
          </cell>
          <cell r="AQ131" t="e">
            <v>#N/A</v>
          </cell>
          <cell r="AR131" t="str">
            <v>$</v>
          </cell>
          <cell r="AS131" t="e">
            <v>#N/A</v>
          </cell>
          <cell r="AW131">
            <v>0</v>
          </cell>
          <cell r="AY131" t="str">
            <v>NB</v>
          </cell>
        </row>
        <row r="132">
          <cell r="AM132">
            <v>0</v>
          </cell>
          <cell r="AP132" t="e">
            <v>#N/A</v>
          </cell>
          <cell r="AQ132" t="e">
            <v>#N/A</v>
          </cell>
          <cell r="AR132" t="str">
            <v>$</v>
          </cell>
          <cell r="AS132" t="e">
            <v>#N/A</v>
          </cell>
          <cell r="AW132">
            <v>0</v>
          </cell>
          <cell r="AY132" t="str">
            <v>NB</v>
          </cell>
        </row>
        <row r="133">
          <cell r="AM133">
            <v>0</v>
          </cell>
          <cell r="AP133" t="e">
            <v>#N/A</v>
          </cell>
          <cell r="AQ133" t="e">
            <v>#N/A</v>
          </cell>
          <cell r="AR133" t="str">
            <v>$</v>
          </cell>
          <cell r="AS133" t="e">
            <v>#N/A</v>
          </cell>
          <cell r="AW133">
            <v>0</v>
          </cell>
          <cell r="AY133" t="str">
            <v>NB</v>
          </cell>
        </row>
        <row r="134">
          <cell r="AM134">
            <v>1732.3500000000001</v>
          </cell>
          <cell r="AP134" t="str">
            <v>Service</v>
          </cell>
          <cell r="AQ134" t="str">
            <v>Uniformes</v>
          </cell>
          <cell r="AR134" t="str">
            <v>$</v>
          </cell>
          <cell r="AS134">
            <v>0</v>
          </cell>
          <cell r="AW134">
            <v>0</v>
          </cell>
          <cell r="AY134" t="str">
            <v>NB</v>
          </cell>
        </row>
        <row r="135">
          <cell r="AM135">
            <v>411.05</v>
          </cell>
          <cell r="AP135" t="str">
            <v>Carrosserie</v>
          </cell>
          <cell r="AQ135" t="str">
            <v>Uniformes</v>
          </cell>
          <cell r="AR135" t="str">
            <v>$</v>
          </cell>
          <cell r="AS135">
            <v>0</v>
          </cell>
          <cell r="AW135">
            <v>0</v>
          </cell>
          <cell r="AY135" t="str">
            <v>NB</v>
          </cell>
        </row>
        <row r="136">
          <cell r="AM136">
            <v>0</v>
          </cell>
          <cell r="AP136" t="e">
            <v>#N/A</v>
          </cell>
          <cell r="AQ136" t="e">
            <v>#N/A</v>
          </cell>
          <cell r="AR136" t="str">
            <v>$</v>
          </cell>
          <cell r="AS136" t="e">
            <v>#N/A</v>
          </cell>
          <cell r="AW136">
            <v>0</v>
          </cell>
          <cell r="AY136" t="str">
            <v>NB</v>
          </cell>
        </row>
        <row r="137">
          <cell r="AM137">
            <v>544.45000000000005</v>
          </cell>
          <cell r="AP137" t="str">
            <v>SAAQ</v>
          </cell>
          <cell r="AQ137" t="str">
            <v>Uniformes</v>
          </cell>
          <cell r="AR137" t="str">
            <v>$</v>
          </cell>
          <cell r="AS137">
            <v>0</v>
          </cell>
          <cell r="AW137">
            <v>0</v>
          </cell>
          <cell r="AY137" t="str">
            <v>NB</v>
          </cell>
        </row>
        <row r="138">
          <cell r="AM138">
            <v>0</v>
          </cell>
          <cell r="AP138" t="e">
            <v>#N/A</v>
          </cell>
          <cell r="AQ138" t="e">
            <v>#N/A</v>
          </cell>
          <cell r="AR138" t="str">
            <v>$</v>
          </cell>
          <cell r="AS138" t="e">
            <v>#N/A</v>
          </cell>
          <cell r="AW138">
            <v>0</v>
          </cell>
          <cell r="AY138" t="str">
            <v>NB</v>
          </cell>
        </row>
        <row r="139">
          <cell r="AM139">
            <v>740.47999999999956</v>
          </cell>
          <cell r="AP139" t="str">
            <v>Véhicules neufs</v>
          </cell>
          <cell r="AQ139" t="str">
            <v>Papeterie</v>
          </cell>
          <cell r="AR139" t="str">
            <v>$</v>
          </cell>
          <cell r="AS139">
            <v>0</v>
          </cell>
          <cell r="AW139">
            <v>0</v>
          </cell>
          <cell r="AY139" t="str">
            <v>NB</v>
          </cell>
        </row>
        <row r="140">
          <cell r="AM140">
            <v>162.69999999999982</v>
          </cell>
          <cell r="AP140" t="str">
            <v>Véhicules usagés</v>
          </cell>
          <cell r="AQ140" t="str">
            <v>Papeterie</v>
          </cell>
          <cell r="AR140" t="str">
            <v>$</v>
          </cell>
          <cell r="AS140">
            <v>0</v>
          </cell>
          <cell r="AW140">
            <v>0</v>
          </cell>
          <cell r="AY140" t="str">
            <v>NB</v>
          </cell>
        </row>
        <row r="141">
          <cell r="AM141">
            <v>0</v>
          </cell>
          <cell r="AP141" t="str">
            <v>Wholesale autres</v>
          </cell>
          <cell r="AQ141" t="str">
            <v>Papeterie</v>
          </cell>
          <cell r="AR141" t="str">
            <v>$</v>
          </cell>
          <cell r="AS141">
            <v>0</v>
          </cell>
          <cell r="AW141">
            <v>0</v>
          </cell>
          <cell r="AY141" t="str">
            <v>NB</v>
          </cell>
        </row>
        <row r="142">
          <cell r="AM142">
            <v>338.53999999999905</v>
          </cell>
          <cell r="AP142" t="str">
            <v>Service</v>
          </cell>
          <cell r="AQ142" t="str">
            <v>Papeterie</v>
          </cell>
          <cell r="AR142" t="str">
            <v>$</v>
          </cell>
          <cell r="AS142">
            <v>0</v>
          </cell>
          <cell r="AW142">
            <v>0</v>
          </cell>
          <cell r="AY142" t="str">
            <v>NB</v>
          </cell>
        </row>
        <row r="143">
          <cell r="AM143">
            <v>48.799999999999727</v>
          </cell>
          <cell r="AP143" t="str">
            <v>Carrosserie</v>
          </cell>
          <cell r="AQ143" t="str">
            <v>Papeterie</v>
          </cell>
          <cell r="AR143" t="str">
            <v>$</v>
          </cell>
          <cell r="AS143">
            <v>0</v>
          </cell>
          <cell r="AW143">
            <v>0</v>
          </cell>
          <cell r="AY143" t="str">
            <v>NB</v>
          </cell>
        </row>
        <row r="144">
          <cell r="AM144">
            <v>77.309999999999945</v>
          </cell>
          <cell r="AP144" t="str">
            <v>Pièces</v>
          </cell>
          <cell r="AQ144" t="str">
            <v>Papeterie</v>
          </cell>
          <cell r="AR144" t="str">
            <v>$</v>
          </cell>
          <cell r="AS144">
            <v>0</v>
          </cell>
          <cell r="AW144">
            <v>0</v>
          </cell>
          <cell r="AY144" t="str">
            <v>NB</v>
          </cell>
        </row>
        <row r="145">
          <cell r="AM145">
            <v>0</v>
          </cell>
          <cell r="AP145" t="e">
            <v>#N/A</v>
          </cell>
          <cell r="AQ145" t="e">
            <v>#N/A</v>
          </cell>
          <cell r="AR145" t="str">
            <v>$</v>
          </cell>
          <cell r="AS145" t="e">
            <v>#N/A</v>
          </cell>
          <cell r="AW145">
            <v>0</v>
          </cell>
          <cell r="AY145" t="str">
            <v>NB</v>
          </cell>
        </row>
        <row r="146">
          <cell r="AM146">
            <v>252.29999999999973</v>
          </cell>
          <cell r="AP146" t="str">
            <v>Véhicules neufs</v>
          </cell>
          <cell r="AQ146" t="str">
            <v>Fournitures autres</v>
          </cell>
          <cell r="AR146" t="str">
            <v>$</v>
          </cell>
          <cell r="AS146">
            <v>0</v>
          </cell>
          <cell r="AW146">
            <v>0</v>
          </cell>
          <cell r="AY146" t="str">
            <v>NB</v>
          </cell>
        </row>
        <row r="147">
          <cell r="AM147">
            <v>210.47000000000003</v>
          </cell>
          <cell r="AP147" t="str">
            <v>Véhicules usagés</v>
          </cell>
          <cell r="AQ147" t="str">
            <v>Fournitures autres</v>
          </cell>
          <cell r="AR147" t="str">
            <v>$</v>
          </cell>
          <cell r="AS147">
            <v>0</v>
          </cell>
          <cell r="AW147">
            <v>0</v>
          </cell>
          <cell r="AY147" t="str">
            <v>NB</v>
          </cell>
        </row>
        <row r="148">
          <cell r="AM148">
            <v>0</v>
          </cell>
          <cell r="AP148" t="str">
            <v>Wholesale autres</v>
          </cell>
          <cell r="AQ148" t="str">
            <v>Fournitures autres</v>
          </cell>
          <cell r="AR148" t="str">
            <v>$</v>
          </cell>
          <cell r="AS148">
            <v>0</v>
          </cell>
          <cell r="AW148">
            <v>0</v>
          </cell>
          <cell r="AY148" t="str">
            <v>NB</v>
          </cell>
        </row>
        <row r="149">
          <cell r="AM149">
            <v>5384.4700000000012</v>
          </cell>
          <cell r="AP149" t="str">
            <v>Service</v>
          </cell>
          <cell r="AQ149" t="str">
            <v>Fournitures autres</v>
          </cell>
          <cell r="AR149" t="str">
            <v>$</v>
          </cell>
          <cell r="AS149">
            <v>0</v>
          </cell>
          <cell r="AW149">
            <v>0</v>
          </cell>
          <cell r="AY149" t="str">
            <v>NB</v>
          </cell>
        </row>
        <row r="150">
          <cell r="AM150">
            <v>5084.6199999999953</v>
          </cell>
          <cell r="AP150" t="str">
            <v>Carrosserie</v>
          </cell>
          <cell r="AQ150" t="str">
            <v>Fournitures autres</v>
          </cell>
          <cell r="AR150" t="str">
            <v>$</v>
          </cell>
          <cell r="AS150">
            <v>0</v>
          </cell>
          <cell r="AW150">
            <v>0</v>
          </cell>
          <cell r="AY150" t="str">
            <v>NB</v>
          </cell>
        </row>
        <row r="151">
          <cell r="AM151">
            <v>383.69000000000005</v>
          </cell>
          <cell r="AP151" t="str">
            <v>Pièces</v>
          </cell>
          <cell r="AQ151" t="str">
            <v>Fournitures autres</v>
          </cell>
          <cell r="AR151" t="str">
            <v>$</v>
          </cell>
          <cell r="AS151">
            <v>0</v>
          </cell>
          <cell r="AW151">
            <v>0</v>
          </cell>
          <cell r="AY151" t="str">
            <v>NB</v>
          </cell>
        </row>
        <row r="152">
          <cell r="AM152">
            <v>0</v>
          </cell>
          <cell r="AP152" t="str">
            <v>Service</v>
          </cell>
          <cell r="AQ152" t="str">
            <v>Fournitures autres</v>
          </cell>
          <cell r="AR152" t="str">
            <v>$</v>
          </cell>
          <cell r="AS152">
            <v>0</v>
          </cell>
          <cell r="AW152">
            <v>0</v>
          </cell>
          <cell r="AY152" t="str">
            <v>NB</v>
          </cell>
        </row>
        <row r="153">
          <cell r="AM153">
            <v>0</v>
          </cell>
          <cell r="AP153" t="e">
            <v>#N/A</v>
          </cell>
          <cell r="AQ153" t="e">
            <v>#N/A</v>
          </cell>
          <cell r="AR153" t="str">
            <v>$</v>
          </cell>
          <cell r="AS153" t="e">
            <v>#N/A</v>
          </cell>
          <cell r="AW153">
            <v>0</v>
          </cell>
          <cell r="AY153" t="str">
            <v>NB</v>
          </cell>
        </row>
        <row r="154">
          <cell r="AM154">
            <v>1784.8500000000004</v>
          </cell>
          <cell r="AP154" t="str">
            <v>Véhicules neufs</v>
          </cell>
          <cell r="AQ154" t="str">
            <v>Publicité 1</v>
          </cell>
          <cell r="AR154" t="str">
            <v>$</v>
          </cell>
          <cell r="AS154">
            <v>0</v>
          </cell>
          <cell r="AW154">
            <v>0</v>
          </cell>
          <cell r="AY154" t="str">
            <v>NB</v>
          </cell>
        </row>
        <row r="155">
          <cell r="AM155">
            <v>209.79999999999973</v>
          </cell>
          <cell r="AP155" t="str">
            <v>Véhicules usagés</v>
          </cell>
          <cell r="AQ155" t="str">
            <v>Publicité 1</v>
          </cell>
          <cell r="AR155" t="str">
            <v>$</v>
          </cell>
          <cell r="AS155">
            <v>0</v>
          </cell>
          <cell r="AW155">
            <v>0</v>
          </cell>
          <cell r="AY155" t="str">
            <v>NB</v>
          </cell>
        </row>
        <row r="156">
          <cell r="AM156">
            <v>0</v>
          </cell>
          <cell r="AP156" t="str">
            <v>Wholesale autres</v>
          </cell>
          <cell r="AQ156" t="str">
            <v>Publicité 1</v>
          </cell>
          <cell r="AR156" t="str">
            <v>$</v>
          </cell>
          <cell r="AS156">
            <v>0</v>
          </cell>
          <cell r="AW156">
            <v>0</v>
          </cell>
          <cell r="AY156" t="str">
            <v>NB</v>
          </cell>
        </row>
        <row r="157">
          <cell r="AM157">
            <v>1155.4499999999998</v>
          </cell>
          <cell r="AP157" t="str">
            <v>Service</v>
          </cell>
          <cell r="AQ157" t="str">
            <v>Publicité 2</v>
          </cell>
          <cell r="AR157" t="str">
            <v>$</v>
          </cell>
          <cell r="AS157">
            <v>0</v>
          </cell>
          <cell r="AW157">
            <v>0</v>
          </cell>
          <cell r="AY157" t="str">
            <v>NB</v>
          </cell>
        </row>
        <row r="158">
          <cell r="AM158">
            <v>52.450000000000045</v>
          </cell>
          <cell r="AP158" t="str">
            <v>Carrosserie</v>
          </cell>
          <cell r="AQ158" t="str">
            <v>Publicité 2</v>
          </cell>
          <cell r="AR158" t="str">
            <v>$</v>
          </cell>
          <cell r="AS158">
            <v>0</v>
          </cell>
          <cell r="AW158">
            <v>0</v>
          </cell>
          <cell r="AY158" t="str">
            <v>NB</v>
          </cell>
        </row>
        <row r="159">
          <cell r="AM159">
            <v>1155.46</v>
          </cell>
          <cell r="AP159" t="str">
            <v>Pièces</v>
          </cell>
          <cell r="AQ159" t="str">
            <v>Publicité 2</v>
          </cell>
          <cell r="AR159" t="str">
            <v>$</v>
          </cell>
          <cell r="AS159">
            <v>0</v>
          </cell>
          <cell r="AW159">
            <v>0</v>
          </cell>
          <cell r="AY159" t="str">
            <v>NB</v>
          </cell>
        </row>
        <row r="160">
          <cell r="AM160">
            <v>-78100</v>
          </cell>
          <cell r="AP160" t="str">
            <v>Véhicules neufs</v>
          </cell>
          <cell r="AQ160" t="str">
            <v>Publicité 1</v>
          </cell>
          <cell r="AR160" t="str">
            <v>$</v>
          </cell>
          <cell r="AS160">
            <v>0</v>
          </cell>
          <cell r="AW160">
            <v>0</v>
          </cell>
          <cell r="AY160" t="str">
            <v>NB</v>
          </cell>
        </row>
        <row r="161">
          <cell r="AM161">
            <v>0</v>
          </cell>
          <cell r="AP161" t="str">
            <v>Véhicules usagés</v>
          </cell>
          <cell r="AQ161" t="str">
            <v>Publicité 1</v>
          </cell>
          <cell r="AR161" t="str">
            <v>$</v>
          </cell>
          <cell r="AS161">
            <v>0</v>
          </cell>
          <cell r="AW161">
            <v>0</v>
          </cell>
          <cell r="AY161" t="str">
            <v>NB</v>
          </cell>
        </row>
        <row r="162">
          <cell r="AM162">
            <v>0</v>
          </cell>
          <cell r="AP162" t="str">
            <v>Service</v>
          </cell>
          <cell r="AQ162" t="str">
            <v>Publicité 2</v>
          </cell>
          <cell r="AR162" t="str">
            <v>$</v>
          </cell>
          <cell r="AS162">
            <v>0</v>
          </cell>
          <cell r="AW162">
            <v>0</v>
          </cell>
          <cell r="AY162" t="str">
            <v>NB</v>
          </cell>
        </row>
        <row r="163">
          <cell r="AM163">
            <v>0</v>
          </cell>
          <cell r="AP163" t="str">
            <v>Carrosserie</v>
          </cell>
          <cell r="AQ163" t="str">
            <v>Publicité 2</v>
          </cell>
          <cell r="AR163" t="str">
            <v>$</v>
          </cell>
          <cell r="AS163">
            <v>0</v>
          </cell>
          <cell r="AW163">
            <v>0</v>
          </cell>
          <cell r="AY163" t="str">
            <v>NB</v>
          </cell>
        </row>
        <row r="164">
          <cell r="AM164">
            <v>0</v>
          </cell>
          <cell r="AP164" t="str">
            <v>Pièces</v>
          </cell>
          <cell r="AQ164" t="str">
            <v>Publicité 2</v>
          </cell>
          <cell r="AR164" t="str">
            <v>$</v>
          </cell>
          <cell r="AS164">
            <v>0</v>
          </cell>
          <cell r="AW164">
            <v>0</v>
          </cell>
          <cell r="AY164" t="str">
            <v>NB</v>
          </cell>
        </row>
        <row r="165">
          <cell r="AM165">
            <v>0</v>
          </cell>
          <cell r="AP165" t="str">
            <v>SAAQ</v>
          </cell>
          <cell r="AQ165" t="str">
            <v>Publicité 2</v>
          </cell>
          <cell r="AR165" t="str">
            <v>$</v>
          </cell>
          <cell r="AS165">
            <v>0</v>
          </cell>
          <cell r="AW165">
            <v>0</v>
          </cell>
          <cell r="AY165" t="str">
            <v>NB</v>
          </cell>
        </row>
        <row r="166">
          <cell r="AM166">
            <v>0</v>
          </cell>
          <cell r="AP166" t="e">
            <v>#N/A</v>
          </cell>
          <cell r="AQ166" t="e">
            <v>#N/A</v>
          </cell>
          <cell r="AR166" t="str">
            <v>$</v>
          </cell>
          <cell r="AS166" t="e">
            <v>#N/A</v>
          </cell>
          <cell r="AW166">
            <v>0</v>
          </cell>
          <cell r="AY166" t="str">
            <v>NB</v>
          </cell>
        </row>
        <row r="167">
          <cell r="AM167">
            <v>0</v>
          </cell>
          <cell r="AP167" t="e">
            <v>#N/A</v>
          </cell>
          <cell r="AQ167" t="e">
            <v>#N/A</v>
          </cell>
          <cell r="AR167" t="str">
            <v>$</v>
          </cell>
          <cell r="AS167" t="e">
            <v>#N/A</v>
          </cell>
          <cell r="AW167">
            <v>0</v>
          </cell>
          <cell r="AY167" t="str">
            <v>NB</v>
          </cell>
        </row>
        <row r="168">
          <cell r="AM168">
            <v>10084.819999999992</v>
          </cell>
          <cell r="AP168" t="str">
            <v>Véhicules neufs</v>
          </cell>
          <cell r="AQ168" t="str">
            <v>Publicité 1</v>
          </cell>
          <cell r="AR168" t="str">
            <v>$</v>
          </cell>
          <cell r="AS168">
            <v>0</v>
          </cell>
          <cell r="AW168">
            <v>0</v>
          </cell>
          <cell r="AY168" t="str">
            <v>NB</v>
          </cell>
        </row>
        <row r="169">
          <cell r="AM169">
            <v>10651.550000000003</v>
          </cell>
          <cell r="AP169" t="str">
            <v>Véhicules usagés</v>
          </cell>
          <cell r="AQ169" t="str">
            <v>Publicité 1</v>
          </cell>
          <cell r="AR169" t="str">
            <v>$</v>
          </cell>
          <cell r="AS169">
            <v>0</v>
          </cell>
          <cell r="AW169">
            <v>0</v>
          </cell>
          <cell r="AY169" t="str">
            <v>NB</v>
          </cell>
        </row>
        <row r="170">
          <cell r="AM170">
            <v>0</v>
          </cell>
          <cell r="AP170" t="str">
            <v>Wholesale autres</v>
          </cell>
          <cell r="AQ170" t="str">
            <v>Publicité 1</v>
          </cell>
          <cell r="AR170" t="str">
            <v>$</v>
          </cell>
          <cell r="AS170">
            <v>0</v>
          </cell>
          <cell r="AW170">
            <v>0</v>
          </cell>
          <cell r="AY170" t="str">
            <v>NB</v>
          </cell>
        </row>
        <row r="171">
          <cell r="AM171">
            <v>1452.869999999999</v>
          </cell>
          <cell r="AP171" t="str">
            <v>Service</v>
          </cell>
          <cell r="AQ171" t="str">
            <v>Publicité 2</v>
          </cell>
          <cell r="AR171" t="str">
            <v>$</v>
          </cell>
          <cell r="AS171">
            <v>0</v>
          </cell>
          <cell r="AW171">
            <v>0</v>
          </cell>
          <cell r="AY171" t="str">
            <v>NB</v>
          </cell>
        </row>
        <row r="172">
          <cell r="AM172">
            <v>1833</v>
          </cell>
          <cell r="AP172" t="str">
            <v>Carrosserie</v>
          </cell>
          <cell r="AQ172" t="str">
            <v>Publicité 2</v>
          </cell>
          <cell r="AR172" t="str">
            <v>$</v>
          </cell>
          <cell r="AS172">
            <v>0</v>
          </cell>
          <cell r="AW172">
            <v>0</v>
          </cell>
          <cell r="AY172" t="str">
            <v>NB</v>
          </cell>
        </row>
        <row r="173">
          <cell r="AM173">
            <v>83</v>
          </cell>
          <cell r="AP173" t="str">
            <v>Pièces</v>
          </cell>
          <cell r="AQ173" t="str">
            <v>Publicité 2</v>
          </cell>
          <cell r="AR173" t="str">
            <v>$</v>
          </cell>
          <cell r="AS173">
            <v>0</v>
          </cell>
          <cell r="AW173">
            <v>0</v>
          </cell>
          <cell r="AY173" t="str">
            <v>NB</v>
          </cell>
        </row>
        <row r="174">
          <cell r="AM174">
            <v>0</v>
          </cell>
          <cell r="AP174" t="e">
            <v>#N/A</v>
          </cell>
          <cell r="AQ174" t="e">
            <v>#N/A</v>
          </cell>
          <cell r="AR174" t="str">
            <v>$</v>
          </cell>
          <cell r="AS174" t="e">
            <v>#N/A</v>
          </cell>
          <cell r="AW174">
            <v>0</v>
          </cell>
          <cell r="AY174" t="str">
            <v>NB</v>
          </cell>
        </row>
        <row r="175">
          <cell r="AM175">
            <v>0</v>
          </cell>
          <cell r="AP175" t="str">
            <v>Véhicules neufs</v>
          </cell>
          <cell r="AQ175" t="str">
            <v>Publicité 1</v>
          </cell>
          <cell r="AR175" t="str">
            <v>$</v>
          </cell>
          <cell r="AS175">
            <v>0</v>
          </cell>
          <cell r="AW175">
            <v>0</v>
          </cell>
          <cell r="AY175" t="str">
            <v>NB</v>
          </cell>
        </row>
        <row r="176">
          <cell r="AM176">
            <v>0</v>
          </cell>
          <cell r="AP176" t="str">
            <v>Véhicules usagés</v>
          </cell>
          <cell r="AQ176" t="str">
            <v>Publicité 1</v>
          </cell>
          <cell r="AR176" t="str">
            <v>$</v>
          </cell>
          <cell r="AS176">
            <v>0</v>
          </cell>
          <cell r="AW176">
            <v>0</v>
          </cell>
          <cell r="AY176" t="str">
            <v>NB</v>
          </cell>
        </row>
        <row r="177">
          <cell r="AM177">
            <v>0</v>
          </cell>
          <cell r="AP177" t="str">
            <v>Service</v>
          </cell>
          <cell r="AQ177" t="str">
            <v>Publicité 2</v>
          </cell>
          <cell r="AR177" t="str">
            <v>$</v>
          </cell>
          <cell r="AS177">
            <v>0</v>
          </cell>
          <cell r="AW177">
            <v>0</v>
          </cell>
          <cell r="AY177" t="str">
            <v>NB</v>
          </cell>
        </row>
        <row r="178">
          <cell r="AM178">
            <v>0</v>
          </cell>
          <cell r="AP178" t="str">
            <v>Carrosserie</v>
          </cell>
          <cell r="AQ178" t="str">
            <v>Publicité 2</v>
          </cell>
          <cell r="AR178" t="str">
            <v>$</v>
          </cell>
          <cell r="AS178">
            <v>0</v>
          </cell>
          <cell r="AW178">
            <v>0</v>
          </cell>
          <cell r="AY178" t="str">
            <v>NB</v>
          </cell>
        </row>
        <row r="179">
          <cell r="AM179">
            <v>0</v>
          </cell>
          <cell r="AP179" t="str">
            <v>Pièces</v>
          </cell>
          <cell r="AQ179" t="str">
            <v>Publicité 2</v>
          </cell>
          <cell r="AR179" t="str">
            <v>$</v>
          </cell>
          <cell r="AS179">
            <v>0</v>
          </cell>
          <cell r="AW179">
            <v>0</v>
          </cell>
          <cell r="AY179" t="str">
            <v>NB</v>
          </cell>
        </row>
        <row r="180">
          <cell r="AM180">
            <v>3201.9900000000016</v>
          </cell>
          <cell r="AP180" t="str">
            <v>Service</v>
          </cell>
          <cell r="AQ180" t="str">
            <v>Service gratuit 2</v>
          </cell>
          <cell r="AR180" t="str">
            <v>$</v>
          </cell>
          <cell r="AS180">
            <v>0</v>
          </cell>
          <cell r="AW180">
            <v>0</v>
          </cell>
          <cell r="AY180" t="str">
            <v>NB</v>
          </cell>
        </row>
        <row r="181">
          <cell r="AM181">
            <v>1829.2199999999993</v>
          </cell>
          <cell r="AP181" t="str">
            <v>Carrosserie</v>
          </cell>
          <cell r="AQ181" t="str">
            <v>Service gratuit 2</v>
          </cell>
          <cell r="AR181" t="str">
            <v>$</v>
          </cell>
          <cell r="AS181">
            <v>0</v>
          </cell>
          <cell r="AW181">
            <v>0</v>
          </cell>
          <cell r="AY181" t="str">
            <v>NB</v>
          </cell>
        </row>
        <row r="182">
          <cell r="AM182">
            <v>0</v>
          </cell>
          <cell r="AP182" t="str">
            <v>Pièces</v>
          </cell>
          <cell r="AQ182" t="str">
            <v>Service gratuit 2</v>
          </cell>
          <cell r="AR182" t="str">
            <v>$</v>
          </cell>
          <cell r="AS182">
            <v>0</v>
          </cell>
          <cell r="AW182">
            <v>0</v>
          </cell>
          <cell r="AY182" t="str">
            <v>NB</v>
          </cell>
        </row>
        <row r="183">
          <cell r="AM183">
            <v>0</v>
          </cell>
          <cell r="AP183" t="str">
            <v>SAAQ</v>
          </cell>
          <cell r="AQ183" t="str">
            <v>Service gratuit 2</v>
          </cell>
          <cell r="AR183" t="str">
            <v>$</v>
          </cell>
          <cell r="AS183">
            <v>0</v>
          </cell>
          <cell r="AW183">
            <v>0</v>
          </cell>
          <cell r="AY183" t="str">
            <v>NB</v>
          </cell>
        </row>
        <row r="184">
          <cell r="AM184">
            <v>0</v>
          </cell>
          <cell r="AP184" t="e">
            <v>#N/A</v>
          </cell>
          <cell r="AQ184" t="e">
            <v>#N/A</v>
          </cell>
          <cell r="AR184" t="str">
            <v>$</v>
          </cell>
          <cell r="AS184" t="e">
            <v>#N/A</v>
          </cell>
          <cell r="AW184">
            <v>0</v>
          </cell>
          <cell r="AY184" t="str">
            <v>NB</v>
          </cell>
        </row>
        <row r="185">
          <cell r="AM185">
            <v>3443.6800000000003</v>
          </cell>
          <cell r="AP185" t="str">
            <v>Véhicules neufs</v>
          </cell>
          <cell r="AQ185" t="str">
            <v>Informatique</v>
          </cell>
          <cell r="AR185" t="str">
            <v>$</v>
          </cell>
          <cell r="AS185">
            <v>0</v>
          </cell>
          <cell r="AW185">
            <v>0</v>
          </cell>
          <cell r="AY185" t="str">
            <v>NB</v>
          </cell>
        </row>
        <row r="186">
          <cell r="AM186">
            <v>1889.5299999999988</v>
          </cell>
          <cell r="AP186" t="str">
            <v>Véhicules usagés</v>
          </cell>
          <cell r="AQ186" t="str">
            <v>Informatique</v>
          </cell>
          <cell r="AR186" t="str">
            <v>$</v>
          </cell>
          <cell r="AS186">
            <v>0</v>
          </cell>
          <cell r="AW186">
            <v>0</v>
          </cell>
          <cell r="AY186" t="str">
            <v>NB</v>
          </cell>
        </row>
        <row r="187">
          <cell r="AM187">
            <v>0</v>
          </cell>
          <cell r="AP187" t="str">
            <v>Wholesale autres</v>
          </cell>
          <cell r="AQ187" t="str">
            <v>Informatique</v>
          </cell>
          <cell r="AR187" t="str">
            <v>$</v>
          </cell>
          <cell r="AS187">
            <v>0</v>
          </cell>
          <cell r="AW187">
            <v>0</v>
          </cell>
          <cell r="AY187" t="str">
            <v>NB</v>
          </cell>
        </row>
        <row r="188">
          <cell r="AM188">
            <v>3527.16</v>
          </cell>
          <cell r="AP188" t="str">
            <v>Service</v>
          </cell>
          <cell r="AQ188" t="str">
            <v>Informatique</v>
          </cell>
          <cell r="AR188" t="str">
            <v>$</v>
          </cell>
          <cell r="AS188">
            <v>0</v>
          </cell>
          <cell r="AW188">
            <v>0</v>
          </cell>
          <cell r="AY188" t="str">
            <v>NB</v>
          </cell>
        </row>
        <row r="189">
          <cell r="AM189">
            <v>3939.3099999999977</v>
          </cell>
          <cell r="AP189" t="str">
            <v>Carrosserie</v>
          </cell>
          <cell r="AQ189" t="str">
            <v>Informatique</v>
          </cell>
          <cell r="AR189" t="str">
            <v>$</v>
          </cell>
          <cell r="AS189">
            <v>0</v>
          </cell>
          <cell r="AW189">
            <v>0</v>
          </cell>
          <cell r="AY189" t="str">
            <v>NB</v>
          </cell>
        </row>
        <row r="190">
          <cell r="AM190">
            <v>2108.6899999999987</v>
          </cell>
          <cell r="AP190" t="str">
            <v>Pièces</v>
          </cell>
          <cell r="AQ190" t="str">
            <v>Informatique</v>
          </cell>
          <cell r="AR190" t="str">
            <v>$</v>
          </cell>
          <cell r="AS190">
            <v>0</v>
          </cell>
          <cell r="AW190">
            <v>0</v>
          </cell>
          <cell r="AY190" t="str">
            <v>NB</v>
          </cell>
        </row>
        <row r="191">
          <cell r="AM191">
            <v>0</v>
          </cell>
          <cell r="AP191" t="str">
            <v>SAAQ</v>
          </cell>
          <cell r="AQ191" t="str">
            <v>Informatique</v>
          </cell>
          <cell r="AR191" t="str">
            <v>$</v>
          </cell>
          <cell r="AS191">
            <v>0</v>
          </cell>
          <cell r="AW191">
            <v>0</v>
          </cell>
          <cell r="AY191" t="str">
            <v>NB</v>
          </cell>
        </row>
        <row r="192">
          <cell r="AM192">
            <v>0</v>
          </cell>
          <cell r="AP192" t="e">
            <v>#N/A</v>
          </cell>
          <cell r="AQ192" t="e">
            <v>#N/A</v>
          </cell>
          <cell r="AR192" t="str">
            <v>$</v>
          </cell>
          <cell r="AS192" t="e">
            <v>#N/A</v>
          </cell>
          <cell r="AW192">
            <v>0</v>
          </cell>
          <cell r="AY192" t="str">
            <v>NB</v>
          </cell>
        </row>
        <row r="193">
          <cell r="AM193">
            <v>0</v>
          </cell>
          <cell r="AP193" t="e">
            <v>#N/A</v>
          </cell>
          <cell r="AQ193" t="e">
            <v>#N/A</v>
          </cell>
          <cell r="AR193" t="str">
            <v>$</v>
          </cell>
          <cell r="AS193" t="e">
            <v>#N/A</v>
          </cell>
          <cell r="AW193">
            <v>0</v>
          </cell>
          <cell r="AY193" t="str">
            <v>NB</v>
          </cell>
        </row>
        <row r="194">
          <cell r="AM194">
            <v>3205.7299999999996</v>
          </cell>
          <cell r="AP194" t="str">
            <v>Véhicules neufs</v>
          </cell>
          <cell r="AQ194" t="str">
            <v>Services extérieurs</v>
          </cell>
          <cell r="AR194" t="str">
            <v>$</v>
          </cell>
          <cell r="AS194">
            <v>0</v>
          </cell>
          <cell r="AW194">
            <v>0</v>
          </cell>
          <cell r="AY194" t="str">
            <v>NB</v>
          </cell>
        </row>
        <row r="195">
          <cell r="AM195">
            <v>1872.6999999999989</v>
          </cell>
          <cell r="AP195" t="str">
            <v>Véhicules usagés</v>
          </cell>
          <cell r="AQ195" t="str">
            <v>Services extérieurs</v>
          </cell>
          <cell r="AR195" t="str">
            <v>$</v>
          </cell>
          <cell r="AS195">
            <v>0</v>
          </cell>
          <cell r="AW195">
            <v>0</v>
          </cell>
          <cell r="AY195" t="str">
            <v>NB</v>
          </cell>
        </row>
        <row r="196">
          <cell r="AM196">
            <v>0</v>
          </cell>
          <cell r="AP196" t="str">
            <v>Wholesale autres</v>
          </cell>
          <cell r="AQ196" t="str">
            <v>Services extérieurs</v>
          </cell>
          <cell r="AR196" t="str">
            <v>$</v>
          </cell>
          <cell r="AS196">
            <v>0</v>
          </cell>
          <cell r="AW196">
            <v>0</v>
          </cell>
          <cell r="AY196" t="str">
            <v>NB</v>
          </cell>
        </row>
        <row r="197">
          <cell r="AM197">
            <v>8799.2299999999959</v>
          </cell>
          <cell r="AP197" t="str">
            <v>Service</v>
          </cell>
          <cell r="AQ197" t="str">
            <v>Services extérieurs</v>
          </cell>
          <cell r="AR197" t="str">
            <v>$</v>
          </cell>
          <cell r="AS197">
            <v>0</v>
          </cell>
          <cell r="AW197">
            <v>0</v>
          </cell>
          <cell r="AY197" t="str">
            <v>NB</v>
          </cell>
        </row>
        <row r="198">
          <cell r="AM198">
            <v>1532.6000000000004</v>
          </cell>
          <cell r="AP198" t="str">
            <v>Carrosserie</v>
          </cell>
          <cell r="AQ198" t="str">
            <v>Services extérieurs</v>
          </cell>
          <cell r="AR198" t="str">
            <v>$</v>
          </cell>
          <cell r="AS198">
            <v>0</v>
          </cell>
          <cell r="AW198">
            <v>0</v>
          </cell>
          <cell r="AY198" t="str">
            <v>NB</v>
          </cell>
        </row>
        <row r="199">
          <cell r="AM199">
            <v>936.35000000000036</v>
          </cell>
          <cell r="AP199" t="str">
            <v>Pièces</v>
          </cell>
          <cell r="AQ199" t="str">
            <v>Services extérieurs</v>
          </cell>
          <cell r="AR199" t="str">
            <v>$</v>
          </cell>
          <cell r="AS199">
            <v>0</v>
          </cell>
          <cell r="AW199">
            <v>0</v>
          </cell>
          <cell r="AY199" t="str">
            <v>NB</v>
          </cell>
        </row>
        <row r="200">
          <cell r="AM200">
            <v>0</v>
          </cell>
          <cell r="AP200" t="str">
            <v>SAAQ</v>
          </cell>
          <cell r="AQ200" t="str">
            <v>Services extérieurs</v>
          </cell>
          <cell r="AR200" t="str">
            <v>$</v>
          </cell>
          <cell r="AS200">
            <v>0</v>
          </cell>
          <cell r="AW200">
            <v>0</v>
          </cell>
          <cell r="AY200" t="str">
            <v>NB</v>
          </cell>
        </row>
        <row r="201">
          <cell r="AM201">
            <v>0</v>
          </cell>
          <cell r="AP201" t="e">
            <v>#N/A</v>
          </cell>
          <cell r="AQ201" t="e">
            <v>#N/A</v>
          </cell>
          <cell r="AR201" t="str">
            <v>$</v>
          </cell>
          <cell r="AS201" t="e">
            <v>#N/A</v>
          </cell>
          <cell r="AW201">
            <v>0</v>
          </cell>
          <cell r="AY201" t="str">
            <v>NB</v>
          </cell>
        </row>
        <row r="202">
          <cell r="AM202">
            <v>0</v>
          </cell>
          <cell r="AP202" t="e">
            <v>#N/A</v>
          </cell>
          <cell r="AQ202" t="e">
            <v>#N/A</v>
          </cell>
          <cell r="AR202" t="str">
            <v>$</v>
          </cell>
          <cell r="AS202" t="e">
            <v>#N/A</v>
          </cell>
          <cell r="AW202">
            <v>0</v>
          </cell>
          <cell r="AY202" t="str">
            <v>NB</v>
          </cell>
        </row>
        <row r="203">
          <cell r="AM203">
            <v>120.17000000000007</v>
          </cell>
          <cell r="AP203" t="str">
            <v>Véhicules neufs</v>
          </cell>
          <cell r="AQ203" t="str">
            <v>Frais de déplacement</v>
          </cell>
          <cell r="AR203" t="str">
            <v>$</v>
          </cell>
          <cell r="AS203">
            <v>0</v>
          </cell>
          <cell r="AW203">
            <v>0</v>
          </cell>
          <cell r="AY203" t="str">
            <v>NB</v>
          </cell>
        </row>
        <row r="204">
          <cell r="AM204">
            <v>784.52000000000044</v>
          </cell>
          <cell r="AP204" t="str">
            <v>Véhicules neufs</v>
          </cell>
          <cell r="AQ204" t="str">
            <v>Frais de déplacement</v>
          </cell>
          <cell r="AR204" t="str">
            <v>$</v>
          </cell>
          <cell r="AS204">
            <v>0</v>
          </cell>
          <cell r="AW204">
            <v>0</v>
          </cell>
          <cell r="AY204" t="str">
            <v>NB</v>
          </cell>
        </row>
        <row r="205">
          <cell r="AM205">
            <v>0</v>
          </cell>
          <cell r="AP205" t="str">
            <v>Véhicules neufs</v>
          </cell>
          <cell r="AQ205" t="str">
            <v>Frais de déplacement</v>
          </cell>
          <cell r="AR205" t="str">
            <v>$</v>
          </cell>
          <cell r="AS205">
            <v>0</v>
          </cell>
          <cell r="AW205">
            <v>0</v>
          </cell>
          <cell r="AY205" t="str">
            <v>NB</v>
          </cell>
        </row>
        <row r="206">
          <cell r="AM206">
            <v>439.38999999999942</v>
          </cell>
          <cell r="AP206" t="str">
            <v>Véhicules usagés</v>
          </cell>
          <cell r="AQ206" t="str">
            <v>Frais de déplacement</v>
          </cell>
          <cell r="AR206" t="str">
            <v>$</v>
          </cell>
          <cell r="AS206">
            <v>0</v>
          </cell>
          <cell r="AW206">
            <v>0</v>
          </cell>
          <cell r="AY206" t="str">
            <v>NB</v>
          </cell>
        </row>
        <row r="207">
          <cell r="AM207">
            <v>0</v>
          </cell>
          <cell r="AP207" t="str">
            <v>Véhicules usagés</v>
          </cell>
          <cell r="AQ207" t="str">
            <v>Frais de déplacement</v>
          </cell>
          <cell r="AR207" t="str">
            <v>$</v>
          </cell>
          <cell r="AS207">
            <v>0</v>
          </cell>
          <cell r="AW207">
            <v>0</v>
          </cell>
          <cell r="AY207" t="str">
            <v>NB</v>
          </cell>
        </row>
        <row r="208">
          <cell r="AM208">
            <v>0</v>
          </cell>
          <cell r="AP208" t="str">
            <v>Wholesale autres</v>
          </cell>
          <cell r="AQ208" t="str">
            <v>Frais de déplacement</v>
          </cell>
          <cell r="AR208" t="str">
            <v>$</v>
          </cell>
          <cell r="AS208">
            <v>0</v>
          </cell>
          <cell r="AW208">
            <v>0</v>
          </cell>
          <cell r="AY208" t="str">
            <v>NB</v>
          </cell>
        </row>
        <row r="209">
          <cell r="AM209">
            <v>0</v>
          </cell>
          <cell r="AP209" t="str">
            <v>Wholesale autres</v>
          </cell>
          <cell r="AQ209" t="str">
            <v>Frais de déplacement</v>
          </cell>
          <cell r="AR209" t="str">
            <v>$</v>
          </cell>
          <cell r="AS209">
            <v>0</v>
          </cell>
          <cell r="AW209">
            <v>0</v>
          </cell>
          <cell r="AY209" t="str">
            <v>NB</v>
          </cell>
        </row>
        <row r="210">
          <cell r="AM210">
            <v>719.95000000000073</v>
          </cell>
          <cell r="AP210" t="str">
            <v>Service</v>
          </cell>
          <cell r="AQ210" t="str">
            <v>Frais de déplacement</v>
          </cell>
          <cell r="AR210" t="str">
            <v>$</v>
          </cell>
          <cell r="AS210">
            <v>0</v>
          </cell>
          <cell r="AW210">
            <v>0</v>
          </cell>
          <cell r="AY210" t="str">
            <v>NB</v>
          </cell>
        </row>
        <row r="211">
          <cell r="AM211">
            <v>0</v>
          </cell>
          <cell r="AP211" t="str">
            <v>Service</v>
          </cell>
          <cell r="AQ211" t="str">
            <v>Frais de déplacement</v>
          </cell>
          <cell r="AR211" t="str">
            <v>$</v>
          </cell>
          <cell r="AS211">
            <v>0</v>
          </cell>
          <cell r="AW211">
            <v>0</v>
          </cell>
          <cell r="AY211" t="str">
            <v>NB</v>
          </cell>
        </row>
        <row r="212">
          <cell r="AM212">
            <v>219.6899999999996</v>
          </cell>
          <cell r="AP212" t="str">
            <v>Carrosserie</v>
          </cell>
          <cell r="AQ212" t="str">
            <v>Frais de déplacement</v>
          </cell>
          <cell r="AR212" t="str">
            <v>$</v>
          </cell>
          <cell r="AS212">
            <v>0</v>
          </cell>
          <cell r="AW212">
            <v>0</v>
          </cell>
          <cell r="AY212" t="str">
            <v>NB</v>
          </cell>
        </row>
        <row r="213">
          <cell r="AM213">
            <v>0</v>
          </cell>
          <cell r="AP213" t="str">
            <v>Carrosserie</v>
          </cell>
          <cell r="AQ213" t="str">
            <v>Frais de déplacement</v>
          </cell>
          <cell r="AR213" t="str">
            <v>$</v>
          </cell>
          <cell r="AS213">
            <v>0</v>
          </cell>
          <cell r="AW213">
            <v>0</v>
          </cell>
          <cell r="AY213" t="str">
            <v>NB</v>
          </cell>
        </row>
        <row r="214">
          <cell r="AM214">
            <v>219.67000000000007</v>
          </cell>
          <cell r="AP214" t="str">
            <v>Pièces</v>
          </cell>
          <cell r="AQ214" t="str">
            <v>Frais de déplacement</v>
          </cell>
          <cell r="AR214" t="str">
            <v>$</v>
          </cell>
          <cell r="AS214">
            <v>0</v>
          </cell>
          <cell r="AW214">
            <v>0</v>
          </cell>
          <cell r="AY214" t="str">
            <v>NB</v>
          </cell>
        </row>
        <row r="215">
          <cell r="AM215">
            <v>0</v>
          </cell>
          <cell r="AP215" t="str">
            <v>Pièces</v>
          </cell>
          <cell r="AQ215" t="str">
            <v>Frais de déplacement</v>
          </cell>
          <cell r="AR215" t="str">
            <v>$</v>
          </cell>
          <cell r="AS215">
            <v>0</v>
          </cell>
          <cell r="AW215">
            <v>0</v>
          </cell>
          <cell r="AY215" t="str">
            <v>NB</v>
          </cell>
        </row>
        <row r="216">
          <cell r="AM216">
            <v>0</v>
          </cell>
          <cell r="AP216" t="e">
            <v>#N/A</v>
          </cell>
          <cell r="AQ216" t="e">
            <v>#N/A</v>
          </cell>
          <cell r="AR216" t="str">
            <v>$</v>
          </cell>
          <cell r="AS216" t="e">
            <v>#N/A</v>
          </cell>
          <cell r="AW216">
            <v>0</v>
          </cell>
          <cell r="AY216" t="str">
            <v>NB</v>
          </cell>
        </row>
        <row r="217">
          <cell r="AM217">
            <v>2875.66</v>
          </cell>
          <cell r="AP217" t="str">
            <v>Véhicules neufs</v>
          </cell>
          <cell r="AQ217" t="str">
            <v>Divers</v>
          </cell>
          <cell r="AR217" t="str">
            <v>$</v>
          </cell>
          <cell r="AS217">
            <v>0</v>
          </cell>
          <cell r="AW217">
            <v>0</v>
          </cell>
          <cell r="AY217" t="str">
            <v>NB</v>
          </cell>
        </row>
        <row r="218">
          <cell r="AM218">
            <v>1385.7999999999993</v>
          </cell>
          <cell r="AP218" t="str">
            <v>Véhicules usagés</v>
          </cell>
          <cell r="AQ218" t="str">
            <v>Divers</v>
          </cell>
          <cell r="AR218" t="str">
            <v>$</v>
          </cell>
          <cell r="AS218">
            <v>0</v>
          </cell>
          <cell r="AW218">
            <v>0</v>
          </cell>
          <cell r="AY218" t="str">
            <v>NB</v>
          </cell>
        </row>
        <row r="219">
          <cell r="AM219">
            <v>858.80000000000018</v>
          </cell>
          <cell r="AP219" t="str">
            <v>Service</v>
          </cell>
          <cell r="AQ219" t="str">
            <v>Divers</v>
          </cell>
          <cell r="AR219" t="str">
            <v>$</v>
          </cell>
          <cell r="AS219">
            <v>0</v>
          </cell>
          <cell r="AW219">
            <v>0</v>
          </cell>
          <cell r="AY219" t="str">
            <v>NB</v>
          </cell>
        </row>
        <row r="220">
          <cell r="AM220">
            <v>1380.0100000000002</v>
          </cell>
          <cell r="AP220" t="str">
            <v>Carrosserie</v>
          </cell>
          <cell r="AQ220" t="str">
            <v>Divers</v>
          </cell>
          <cell r="AR220" t="str">
            <v>$</v>
          </cell>
          <cell r="AS220">
            <v>0</v>
          </cell>
          <cell r="AW220">
            <v>0</v>
          </cell>
          <cell r="AY220" t="str">
            <v>NB</v>
          </cell>
        </row>
        <row r="221">
          <cell r="AM221">
            <v>2278.380000000001</v>
          </cell>
          <cell r="AP221" t="str">
            <v>Carrosserie</v>
          </cell>
          <cell r="AQ221" t="str">
            <v>Frais assurances</v>
          </cell>
          <cell r="AR221" t="str">
            <v>$</v>
          </cell>
          <cell r="AS221">
            <v>0</v>
          </cell>
          <cell r="AW221">
            <v>0</v>
          </cell>
          <cell r="AY221" t="str">
            <v>NB</v>
          </cell>
        </row>
        <row r="222">
          <cell r="AM222">
            <v>1026.6000000000004</v>
          </cell>
          <cell r="AP222" t="str">
            <v>Pièces</v>
          </cell>
          <cell r="AQ222" t="str">
            <v>Divers</v>
          </cell>
          <cell r="AR222" t="str">
            <v>$</v>
          </cell>
          <cell r="AS222">
            <v>0</v>
          </cell>
          <cell r="AW222">
            <v>0</v>
          </cell>
          <cell r="AY222" t="str">
            <v>NB</v>
          </cell>
        </row>
        <row r="223">
          <cell r="AM223">
            <v>0</v>
          </cell>
          <cell r="AP223" t="e">
            <v>#N/A</v>
          </cell>
          <cell r="AQ223" t="e">
            <v>#N/A</v>
          </cell>
          <cell r="AR223" t="str">
            <v>$</v>
          </cell>
          <cell r="AS223" t="e">
            <v>#N/A</v>
          </cell>
          <cell r="AW223">
            <v>0</v>
          </cell>
          <cell r="AY223" t="str">
            <v>NB</v>
          </cell>
        </row>
        <row r="224">
          <cell r="AM224">
            <v>1532</v>
          </cell>
          <cell r="AP224" t="str">
            <v>Véhicules neufs</v>
          </cell>
          <cell r="AQ224" t="str">
            <v>Honoraires</v>
          </cell>
          <cell r="AR224" t="str">
            <v>$</v>
          </cell>
          <cell r="AS224">
            <v>0</v>
          </cell>
          <cell r="AW224">
            <v>0</v>
          </cell>
          <cell r="AY224" t="str">
            <v>NB</v>
          </cell>
        </row>
        <row r="225">
          <cell r="AM225">
            <v>933.32999999999993</v>
          </cell>
          <cell r="AP225" t="str">
            <v>Véhicules usagés</v>
          </cell>
          <cell r="AQ225" t="str">
            <v>Honoraires</v>
          </cell>
          <cell r="AR225" t="str">
            <v>$</v>
          </cell>
          <cell r="AS225">
            <v>0</v>
          </cell>
          <cell r="AW225">
            <v>0</v>
          </cell>
          <cell r="AY225" t="str">
            <v>NB</v>
          </cell>
        </row>
        <row r="226">
          <cell r="AM226">
            <v>0</v>
          </cell>
          <cell r="AP226" t="str">
            <v>Wholesale autres</v>
          </cell>
          <cell r="AQ226" t="str">
            <v>Honoraires</v>
          </cell>
          <cell r="AR226" t="str">
            <v>$</v>
          </cell>
          <cell r="AS226">
            <v>0</v>
          </cell>
          <cell r="AW226">
            <v>0</v>
          </cell>
          <cell r="AY226" t="str">
            <v>NB</v>
          </cell>
        </row>
        <row r="227">
          <cell r="AM227">
            <v>1654.4799999999996</v>
          </cell>
          <cell r="AP227" t="str">
            <v>Service</v>
          </cell>
          <cell r="AQ227" t="str">
            <v>Honoraires</v>
          </cell>
          <cell r="AR227" t="str">
            <v>$</v>
          </cell>
          <cell r="AS227">
            <v>0</v>
          </cell>
          <cell r="AW227">
            <v>0</v>
          </cell>
          <cell r="AY227" t="str">
            <v>NB</v>
          </cell>
        </row>
        <row r="228">
          <cell r="AM228">
            <v>721.14999999999964</v>
          </cell>
          <cell r="AP228" t="str">
            <v>Carrosserie</v>
          </cell>
          <cell r="AQ228" t="str">
            <v>Honoraires</v>
          </cell>
          <cell r="AR228" t="str">
            <v>$</v>
          </cell>
          <cell r="AS228">
            <v>0</v>
          </cell>
          <cell r="AW228">
            <v>0</v>
          </cell>
          <cell r="AY228" t="str">
            <v>NB</v>
          </cell>
        </row>
        <row r="229">
          <cell r="AM229">
            <v>593.91000000000031</v>
          </cell>
          <cell r="AP229" t="str">
            <v>Pièces</v>
          </cell>
          <cell r="AQ229" t="str">
            <v>Honoraires</v>
          </cell>
          <cell r="AR229" t="str">
            <v>$</v>
          </cell>
          <cell r="AS229">
            <v>0</v>
          </cell>
          <cell r="AW229">
            <v>0</v>
          </cell>
          <cell r="AY229" t="str">
            <v>NB</v>
          </cell>
        </row>
        <row r="230">
          <cell r="AM230">
            <v>0</v>
          </cell>
          <cell r="AP230" t="e">
            <v>#N/A</v>
          </cell>
          <cell r="AQ230" t="e">
            <v>#N/A</v>
          </cell>
          <cell r="AR230" t="str">
            <v>$</v>
          </cell>
          <cell r="AS230" t="e">
            <v>#N/A</v>
          </cell>
          <cell r="AW230">
            <v>0</v>
          </cell>
          <cell r="AY230" t="str">
            <v>NB</v>
          </cell>
        </row>
        <row r="231">
          <cell r="AM231">
            <v>633.19000000000051</v>
          </cell>
          <cell r="AP231" t="str">
            <v>Véhicules neufs</v>
          </cell>
          <cell r="AQ231" t="str">
            <v>Téléphone</v>
          </cell>
          <cell r="AR231" t="str">
            <v>$</v>
          </cell>
          <cell r="AS231">
            <v>0</v>
          </cell>
          <cell r="AW231">
            <v>0</v>
          </cell>
          <cell r="AY231" t="str">
            <v>NB</v>
          </cell>
        </row>
        <row r="232">
          <cell r="AM232">
            <v>422.13000000000011</v>
          </cell>
          <cell r="AP232" t="str">
            <v>Véhicules usagés</v>
          </cell>
          <cell r="AQ232" t="str">
            <v>Téléphone</v>
          </cell>
          <cell r="AR232" t="str">
            <v>$</v>
          </cell>
          <cell r="AS232">
            <v>0</v>
          </cell>
          <cell r="AW232">
            <v>0</v>
          </cell>
          <cell r="AY232" t="str">
            <v>NB</v>
          </cell>
        </row>
        <row r="233">
          <cell r="AM233">
            <v>0</v>
          </cell>
          <cell r="AP233" t="str">
            <v>Wholesale autres</v>
          </cell>
          <cell r="AQ233" t="str">
            <v>Téléphone</v>
          </cell>
          <cell r="AR233" t="str">
            <v>$</v>
          </cell>
          <cell r="AS233">
            <v>0</v>
          </cell>
          <cell r="AW233">
            <v>0</v>
          </cell>
          <cell r="AY233" t="str">
            <v>NB</v>
          </cell>
        </row>
        <row r="234">
          <cell r="AM234">
            <v>688.19000000000051</v>
          </cell>
          <cell r="AP234" t="str">
            <v>Service</v>
          </cell>
          <cell r="AQ234" t="str">
            <v>Téléphone</v>
          </cell>
          <cell r="AR234" t="str">
            <v>$</v>
          </cell>
          <cell r="AS234">
            <v>0</v>
          </cell>
          <cell r="AW234">
            <v>0</v>
          </cell>
          <cell r="AY234" t="str">
            <v>NB</v>
          </cell>
        </row>
        <row r="235">
          <cell r="AM235">
            <v>569.06999999999994</v>
          </cell>
          <cell r="AP235" t="str">
            <v>Carrosserie</v>
          </cell>
          <cell r="AQ235" t="str">
            <v>Téléphone</v>
          </cell>
          <cell r="AR235" t="str">
            <v>$</v>
          </cell>
          <cell r="AS235">
            <v>0</v>
          </cell>
          <cell r="AW235">
            <v>0</v>
          </cell>
          <cell r="AY235" t="str">
            <v>NB</v>
          </cell>
        </row>
        <row r="236">
          <cell r="AM236">
            <v>211.05999999999995</v>
          </cell>
          <cell r="AP236" t="str">
            <v>Pièces</v>
          </cell>
          <cell r="AQ236" t="str">
            <v>Téléphone</v>
          </cell>
          <cell r="AR236" t="str">
            <v>$</v>
          </cell>
          <cell r="AS236">
            <v>0</v>
          </cell>
          <cell r="AW236">
            <v>0</v>
          </cell>
          <cell r="AY236" t="str">
            <v>NB</v>
          </cell>
        </row>
        <row r="237">
          <cell r="AM237">
            <v>0</v>
          </cell>
          <cell r="AP237" t="e">
            <v>#N/A</v>
          </cell>
          <cell r="AQ237" t="e">
            <v>#N/A</v>
          </cell>
          <cell r="AR237" t="str">
            <v>$</v>
          </cell>
          <cell r="AS237" t="e">
            <v>#N/A</v>
          </cell>
          <cell r="AW237">
            <v>0</v>
          </cell>
          <cell r="AY237" t="str">
            <v>NB</v>
          </cell>
        </row>
        <row r="238">
          <cell r="AM238">
            <v>570</v>
          </cell>
          <cell r="AP238" t="str">
            <v>Véhicules neufs</v>
          </cell>
          <cell r="AQ238" t="str">
            <v>Formation</v>
          </cell>
          <cell r="AR238" t="str">
            <v>$</v>
          </cell>
          <cell r="AS238">
            <v>0</v>
          </cell>
          <cell r="AW238">
            <v>0</v>
          </cell>
          <cell r="AY238" t="str">
            <v>NB</v>
          </cell>
        </row>
        <row r="239">
          <cell r="AM239">
            <v>0</v>
          </cell>
          <cell r="AP239" t="str">
            <v>Véhicules usagés</v>
          </cell>
          <cell r="AQ239" t="str">
            <v>Formation</v>
          </cell>
          <cell r="AR239" t="str">
            <v>$</v>
          </cell>
          <cell r="AS239">
            <v>0</v>
          </cell>
          <cell r="AW239">
            <v>0</v>
          </cell>
          <cell r="AY239" t="str">
            <v>NB</v>
          </cell>
        </row>
        <row r="240">
          <cell r="AM240">
            <v>0</v>
          </cell>
          <cell r="AP240" t="str">
            <v>Wholesale autres</v>
          </cell>
          <cell r="AQ240" t="str">
            <v>Formation</v>
          </cell>
          <cell r="AR240" t="str">
            <v>$</v>
          </cell>
          <cell r="AS240">
            <v>0</v>
          </cell>
          <cell r="AW240">
            <v>0</v>
          </cell>
          <cell r="AY240" t="str">
            <v>NB</v>
          </cell>
        </row>
        <row r="241">
          <cell r="AM241">
            <v>4364.17</v>
          </cell>
          <cell r="AP241" t="str">
            <v>Service</v>
          </cell>
          <cell r="AQ241" t="str">
            <v>Formation</v>
          </cell>
          <cell r="AR241" t="str">
            <v>$</v>
          </cell>
          <cell r="AS241">
            <v>0</v>
          </cell>
          <cell r="AW241">
            <v>0</v>
          </cell>
          <cell r="AY241" t="str">
            <v>NB</v>
          </cell>
        </row>
        <row r="242">
          <cell r="AM242">
            <v>0</v>
          </cell>
          <cell r="AP242" t="str">
            <v>Carrosserie</v>
          </cell>
          <cell r="AQ242" t="str">
            <v>Formation</v>
          </cell>
          <cell r="AR242" t="str">
            <v>$</v>
          </cell>
          <cell r="AS242">
            <v>0</v>
          </cell>
          <cell r="AW242">
            <v>0</v>
          </cell>
          <cell r="AY242" t="str">
            <v>NB</v>
          </cell>
        </row>
        <row r="243">
          <cell r="AM243">
            <v>0</v>
          </cell>
          <cell r="AP243" t="str">
            <v>Pièces</v>
          </cell>
          <cell r="AQ243" t="str">
            <v>Formation</v>
          </cell>
          <cell r="AR243" t="str">
            <v>$</v>
          </cell>
          <cell r="AS243">
            <v>0</v>
          </cell>
          <cell r="AW243">
            <v>0</v>
          </cell>
          <cell r="AY243" t="str">
            <v>NB</v>
          </cell>
        </row>
        <row r="244">
          <cell r="AM244">
            <v>1577.2800000000002</v>
          </cell>
          <cell r="AP244" t="str">
            <v>SAAQ</v>
          </cell>
          <cell r="AQ244" t="str">
            <v>Formation</v>
          </cell>
          <cell r="AR244" t="str">
            <v>$</v>
          </cell>
          <cell r="AS244">
            <v>0</v>
          </cell>
          <cell r="AW244">
            <v>0</v>
          </cell>
          <cell r="AY244" t="str">
            <v>NB</v>
          </cell>
        </row>
        <row r="245">
          <cell r="AM245">
            <v>0</v>
          </cell>
          <cell r="AP245">
            <v>0</v>
          </cell>
          <cell r="AQ245">
            <v>0</v>
          </cell>
          <cell r="AR245" t="str">
            <v>$</v>
          </cell>
          <cell r="AS245">
            <v>0</v>
          </cell>
          <cell r="AW245">
            <v>0</v>
          </cell>
          <cell r="AY245" t="str">
            <v>NB</v>
          </cell>
        </row>
        <row r="246">
          <cell r="AM246">
            <v>41282.799999999988</v>
          </cell>
          <cell r="AP246" t="str">
            <v>Véhicules neufs</v>
          </cell>
          <cell r="AQ246" t="str">
            <v>Intérêt de gros</v>
          </cell>
          <cell r="AR246" t="str">
            <v>$</v>
          </cell>
          <cell r="AS246">
            <v>0</v>
          </cell>
          <cell r="AW246">
            <v>0</v>
          </cell>
          <cell r="AY246" t="str">
            <v>NB</v>
          </cell>
        </row>
        <row r="247">
          <cell r="AM247">
            <v>2428.6300000000047</v>
          </cell>
          <cell r="AP247" t="str">
            <v>Véhicules usagés</v>
          </cell>
          <cell r="AQ247" t="str">
            <v>Intérêt de gros</v>
          </cell>
          <cell r="AR247" t="str">
            <v>$</v>
          </cell>
          <cell r="AS247">
            <v>0</v>
          </cell>
          <cell r="AW247">
            <v>0</v>
          </cell>
          <cell r="AY247" t="str">
            <v>NB</v>
          </cell>
        </row>
        <row r="248">
          <cell r="AM248">
            <v>5501.9599999999919</v>
          </cell>
          <cell r="AP248" t="str">
            <v>Wholesale autres</v>
          </cell>
          <cell r="AQ248" t="str">
            <v>Intérêt de gros</v>
          </cell>
          <cell r="AR248" t="str">
            <v>$</v>
          </cell>
          <cell r="AS248">
            <v>0</v>
          </cell>
          <cell r="AW248">
            <v>0</v>
          </cell>
          <cell r="AY248" t="str">
            <v>NB</v>
          </cell>
        </row>
        <row r="249">
          <cell r="AM249">
            <v>0</v>
          </cell>
          <cell r="AP249" t="str">
            <v>Service</v>
          </cell>
          <cell r="AQ249" t="str">
            <v>Divers</v>
          </cell>
          <cell r="AR249" t="str">
            <v>$</v>
          </cell>
          <cell r="AS249">
            <v>0</v>
          </cell>
          <cell r="AW249">
            <v>0</v>
          </cell>
          <cell r="AY249" t="str">
            <v>NB</v>
          </cell>
        </row>
        <row r="250">
          <cell r="AM250">
            <v>0</v>
          </cell>
          <cell r="AP250" t="e">
            <v>#N/A</v>
          </cell>
          <cell r="AQ250" t="e">
            <v>#N/A</v>
          </cell>
          <cell r="AR250" t="str">
            <v>$</v>
          </cell>
          <cell r="AS250" t="e">
            <v>#N/A</v>
          </cell>
          <cell r="AW250">
            <v>0</v>
          </cell>
          <cell r="AY250" t="str">
            <v>NB</v>
          </cell>
        </row>
        <row r="251">
          <cell r="AM251">
            <v>0</v>
          </cell>
          <cell r="AP251" t="e">
            <v>#N/A</v>
          </cell>
          <cell r="AQ251" t="e">
            <v>#N/A</v>
          </cell>
          <cell r="AR251" t="str">
            <v>$</v>
          </cell>
          <cell r="AS251" t="e">
            <v>#N/A</v>
          </cell>
          <cell r="AW251">
            <v>0</v>
          </cell>
          <cell r="AY251" t="str">
            <v>NB</v>
          </cell>
        </row>
        <row r="252">
          <cell r="AM252">
            <v>829.60000000000036</v>
          </cell>
          <cell r="AP252" t="str">
            <v>Véhicules neufs</v>
          </cell>
          <cell r="AQ252" t="str">
            <v>Divers</v>
          </cell>
          <cell r="AR252" t="str">
            <v>$</v>
          </cell>
          <cell r="AS252">
            <v>0</v>
          </cell>
          <cell r="AW252">
            <v>0</v>
          </cell>
          <cell r="AY252" t="str">
            <v>NB</v>
          </cell>
        </row>
        <row r="253">
          <cell r="AM253">
            <v>486.39000000000033</v>
          </cell>
          <cell r="AP253" t="str">
            <v>Véhicules usagés</v>
          </cell>
          <cell r="AQ253" t="str">
            <v>Divers</v>
          </cell>
          <cell r="AR253" t="str">
            <v>$</v>
          </cell>
          <cell r="AS253">
            <v>0</v>
          </cell>
          <cell r="AW253">
            <v>0</v>
          </cell>
          <cell r="AY253" t="str">
            <v>NB</v>
          </cell>
        </row>
        <row r="254">
          <cell r="AM254">
            <v>0</v>
          </cell>
          <cell r="AP254" t="str">
            <v>Wholesale autres</v>
          </cell>
          <cell r="AQ254" t="str">
            <v>Divers</v>
          </cell>
          <cell r="AR254" t="str">
            <v>$</v>
          </cell>
          <cell r="AS254">
            <v>0</v>
          </cell>
          <cell r="AW254">
            <v>0</v>
          </cell>
          <cell r="AY254" t="str">
            <v>NB</v>
          </cell>
        </row>
        <row r="255">
          <cell r="AM255">
            <v>499.80000000000018</v>
          </cell>
          <cell r="AP255" t="str">
            <v>Service</v>
          </cell>
          <cell r="AQ255" t="str">
            <v>Divers</v>
          </cell>
          <cell r="AR255" t="str">
            <v>$</v>
          </cell>
          <cell r="AS255">
            <v>0</v>
          </cell>
          <cell r="AW255">
            <v>0</v>
          </cell>
          <cell r="AY255" t="str">
            <v>NB</v>
          </cell>
        </row>
        <row r="256">
          <cell r="AM256">
            <v>243.21000000000004</v>
          </cell>
          <cell r="AP256" t="str">
            <v>Carrosserie</v>
          </cell>
          <cell r="AQ256" t="str">
            <v>Divers</v>
          </cell>
          <cell r="AR256" t="str">
            <v>$</v>
          </cell>
          <cell r="AS256">
            <v>0</v>
          </cell>
          <cell r="AW256">
            <v>0</v>
          </cell>
          <cell r="AY256" t="str">
            <v>NB</v>
          </cell>
        </row>
        <row r="257">
          <cell r="AM257">
            <v>263.45999999999958</v>
          </cell>
          <cell r="AP257" t="str">
            <v>Pièces</v>
          </cell>
          <cell r="AQ257" t="str">
            <v>Divers</v>
          </cell>
          <cell r="AR257" t="str">
            <v>$</v>
          </cell>
          <cell r="AS257">
            <v>0</v>
          </cell>
          <cell r="AW257">
            <v>0</v>
          </cell>
          <cell r="AY257" t="str">
            <v>NB</v>
          </cell>
        </row>
        <row r="258">
          <cell r="AM258">
            <v>75</v>
          </cell>
          <cell r="AP258" t="str">
            <v>SAAQ</v>
          </cell>
          <cell r="AQ258" t="str">
            <v>Divers</v>
          </cell>
          <cell r="AR258" t="str">
            <v>$</v>
          </cell>
          <cell r="AS258">
            <v>0</v>
          </cell>
          <cell r="AW258">
            <v>0</v>
          </cell>
          <cell r="AY258" t="str">
            <v>NB</v>
          </cell>
        </row>
        <row r="259">
          <cell r="AM259">
            <v>0</v>
          </cell>
          <cell r="AP259">
            <v>0</v>
          </cell>
          <cell r="AQ259">
            <v>0</v>
          </cell>
          <cell r="AR259" t="str">
            <v>$</v>
          </cell>
          <cell r="AS259">
            <v>0</v>
          </cell>
          <cell r="AW259">
            <v>0</v>
          </cell>
          <cell r="AY259" t="str">
            <v>NB</v>
          </cell>
        </row>
        <row r="260">
          <cell r="AM260">
            <v>0</v>
          </cell>
          <cell r="AP260" t="e">
            <v>#N/A</v>
          </cell>
          <cell r="AQ260" t="e">
            <v>#N/A</v>
          </cell>
          <cell r="AR260" t="str">
            <v>$</v>
          </cell>
          <cell r="AS260" t="e">
            <v>#N/A</v>
          </cell>
          <cell r="AW260">
            <v>0</v>
          </cell>
          <cell r="AY260" t="str">
            <v>NB</v>
          </cell>
        </row>
        <row r="261">
          <cell r="AM261">
            <v>-128319.93999999994</v>
          </cell>
          <cell r="AP261" t="str">
            <v>Véhicules neufs</v>
          </cell>
          <cell r="AQ261" t="str">
            <v>Crédit Intérêts Floor Plan</v>
          </cell>
          <cell r="AR261" t="str">
            <v>$</v>
          </cell>
          <cell r="AS261">
            <v>0</v>
          </cell>
          <cell r="AW261">
            <v>0</v>
          </cell>
          <cell r="AY261" t="str">
            <v>NB</v>
          </cell>
        </row>
        <row r="262">
          <cell r="AM262">
            <v>0</v>
          </cell>
          <cell r="AP262" t="str">
            <v>Véhicules usagés</v>
          </cell>
          <cell r="AQ262" t="str">
            <v>Crédit Intérêts Floor Plan</v>
          </cell>
          <cell r="AR262" t="str">
            <v>$</v>
          </cell>
          <cell r="AS262">
            <v>0</v>
          </cell>
          <cell r="AW262">
            <v>0</v>
          </cell>
          <cell r="AY262" t="str">
            <v>NB</v>
          </cell>
        </row>
        <row r="263">
          <cell r="AM263">
            <v>0</v>
          </cell>
          <cell r="AP263" t="str">
            <v>Wholesale autres</v>
          </cell>
          <cell r="AQ263" t="str">
            <v>Crédit Intérêts Floor Plan</v>
          </cell>
          <cell r="AR263" t="str">
            <v>$</v>
          </cell>
          <cell r="AS263">
            <v>0</v>
          </cell>
          <cell r="AW263">
            <v>0</v>
          </cell>
          <cell r="AY263" t="str">
            <v>NB</v>
          </cell>
        </row>
        <row r="264">
          <cell r="AM264">
            <v>0</v>
          </cell>
          <cell r="AP264" t="e">
            <v>#N/A</v>
          </cell>
          <cell r="AQ264" t="e">
            <v>#N/A</v>
          </cell>
          <cell r="AR264" t="str">
            <v>$</v>
          </cell>
          <cell r="AS264" t="e">
            <v>#N/A</v>
          </cell>
          <cell r="AW264">
            <v>0</v>
          </cell>
          <cell r="AY264" t="str">
            <v>NB</v>
          </cell>
        </row>
        <row r="265">
          <cell r="AM265">
            <v>0</v>
          </cell>
          <cell r="AP265" t="str">
            <v>Véhicules neufs</v>
          </cell>
          <cell r="AQ265" t="str">
            <v>Divers</v>
          </cell>
          <cell r="AR265" t="str">
            <v>$</v>
          </cell>
          <cell r="AS265">
            <v>0</v>
          </cell>
          <cell r="AW265">
            <v>0</v>
          </cell>
          <cell r="AY265" t="str">
            <v>NB</v>
          </cell>
        </row>
        <row r="266">
          <cell r="AM266">
            <v>0</v>
          </cell>
          <cell r="AP266" t="str">
            <v>Véhicules usagés</v>
          </cell>
          <cell r="AQ266" t="str">
            <v>Divers</v>
          </cell>
          <cell r="AR266" t="str">
            <v>$</v>
          </cell>
          <cell r="AS266">
            <v>0</v>
          </cell>
          <cell r="AW266">
            <v>0</v>
          </cell>
          <cell r="AY266" t="str">
            <v>NB</v>
          </cell>
        </row>
        <row r="267">
          <cell r="AM267">
            <v>0</v>
          </cell>
          <cell r="AP267" t="str">
            <v>Service</v>
          </cell>
          <cell r="AQ267" t="str">
            <v>Divers</v>
          </cell>
          <cell r="AR267" t="str">
            <v>$</v>
          </cell>
          <cell r="AS267">
            <v>0</v>
          </cell>
          <cell r="AW267">
            <v>0</v>
          </cell>
          <cell r="AY267" t="str">
            <v>NB</v>
          </cell>
        </row>
        <row r="268">
          <cell r="AM268">
            <v>0</v>
          </cell>
          <cell r="AP268" t="str">
            <v>Carrosserie</v>
          </cell>
          <cell r="AQ268" t="str">
            <v>Divers</v>
          </cell>
          <cell r="AR268" t="str">
            <v>$</v>
          </cell>
          <cell r="AS268">
            <v>0</v>
          </cell>
          <cell r="AW268">
            <v>0</v>
          </cell>
          <cell r="AY268" t="str">
            <v>NB</v>
          </cell>
        </row>
        <row r="269">
          <cell r="AM269">
            <v>0</v>
          </cell>
          <cell r="AP269" t="str">
            <v>Pièces</v>
          </cell>
          <cell r="AQ269" t="str">
            <v>Divers</v>
          </cell>
          <cell r="AR269" t="str">
            <v>$</v>
          </cell>
          <cell r="AS269">
            <v>0</v>
          </cell>
          <cell r="AW269">
            <v>0</v>
          </cell>
          <cell r="AY269" t="str">
            <v>NB</v>
          </cell>
        </row>
        <row r="270">
          <cell r="AM270">
            <v>0</v>
          </cell>
          <cell r="AP270" t="e">
            <v>#N/A</v>
          </cell>
          <cell r="AQ270" t="e">
            <v>#N/A</v>
          </cell>
          <cell r="AR270" t="str">
            <v>$</v>
          </cell>
          <cell r="AS270" t="e">
            <v>#N/A</v>
          </cell>
          <cell r="AW270">
            <v>0</v>
          </cell>
          <cell r="AY270" t="str">
            <v>NB</v>
          </cell>
        </row>
        <row r="271">
          <cell r="AM271">
            <v>21315</v>
          </cell>
          <cell r="AP271" t="str">
            <v>Véhicules neufs</v>
          </cell>
          <cell r="AQ271" t="str">
            <v>Loyer</v>
          </cell>
          <cell r="AR271" t="str">
            <v>$</v>
          </cell>
          <cell r="AS271">
            <v>0</v>
          </cell>
          <cell r="AW271">
            <v>0</v>
          </cell>
          <cell r="AY271" t="str">
            <v>NB</v>
          </cell>
        </row>
        <row r="272">
          <cell r="AM272">
            <v>14210</v>
          </cell>
          <cell r="AP272" t="str">
            <v>Véhicules usagés</v>
          </cell>
          <cell r="AQ272" t="str">
            <v>Loyer</v>
          </cell>
          <cell r="AR272" t="str">
            <v>$</v>
          </cell>
          <cell r="AS272">
            <v>0</v>
          </cell>
          <cell r="AW272">
            <v>0</v>
          </cell>
          <cell r="AY272" t="str">
            <v>NB</v>
          </cell>
        </row>
        <row r="273">
          <cell r="AM273">
            <v>0</v>
          </cell>
          <cell r="AP273" t="str">
            <v>Wholesale autres</v>
          </cell>
          <cell r="AQ273" t="str">
            <v>Loyer</v>
          </cell>
          <cell r="AR273" t="str">
            <v>$</v>
          </cell>
          <cell r="AS273">
            <v>0</v>
          </cell>
          <cell r="AW273">
            <v>0</v>
          </cell>
          <cell r="AY273" t="str">
            <v>NB</v>
          </cell>
        </row>
        <row r="274">
          <cell r="AM274">
            <v>21315</v>
          </cell>
          <cell r="AP274" t="str">
            <v>Service</v>
          </cell>
          <cell r="AQ274" t="str">
            <v>Loyer</v>
          </cell>
          <cell r="AR274" t="str">
            <v>$</v>
          </cell>
          <cell r="AS274">
            <v>0</v>
          </cell>
          <cell r="AW274">
            <v>0</v>
          </cell>
          <cell r="AY274" t="str">
            <v>NB</v>
          </cell>
        </row>
        <row r="275">
          <cell r="AM275">
            <v>7105</v>
          </cell>
          <cell r="AP275" t="str">
            <v>Carrosserie</v>
          </cell>
          <cell r="AQ275" t="str">
            <v>Loyer</v>
          </cell>
          <cell r="AR275" t="str">
            <v>$</v>
          </cell>
          <cell r="AS275">
            <v>0</v>
          </cell>
          <cell r="AW275">
            <v>0</v>
          </cell>
          <cell r="AY275" t="str">
            <v>NB</v>
          </cell>
        </row>
        <row r="276">
          <cell r="AM276">
            <v>7105</v>
          </cell>
          <cell r="AP276" t="str">
            <v>Pièces</v>
          </cell>
          <cell r="AQ276" t="str">
            <v>Loyer</v>
          </cell>
          <cell r="AR276" t="str">
            <v>$</v>
          </cell>
          <cell r="AS276">
            <v>0</v>
          </cell>
          <cell r="AW276">
            <v>0</v>
          </cell>
          <cell r="AY276" t="str">
            <v>NB</v>
          </cell>
        </row>
        <row r="277">
          <cell r="AM277">
            <v>0</v>
          </cell>
          <cell r="AP277" t="e">
            <v>#N/A</v>
          </cell>
          <cell r="AQ277" t="e">
            <v>#N/A</v>
          </cell>
          <cell r="AR277" t="str">
            <v>$</v>
          </cell>
          <cell r="AS277" t="e">
            <v>#N/A</v>
          </cell>
          <cell r="AW277">
            <v>0</v>
          </cell>
          <cell r="AY277" t="str">
            <v>NB</v>
          </cell>
        </row>
        <row r="278">
          <cell r="AM278">
            <v>0</v>
          </cell>
          <cell r="AP278" t="str">
            <v>Véhicules neufs</v>
          </cell>
          <cell r="AQ278" t="str">
            <v>Loyer</v>
          </cell>
          <cell r="AR278" t="str">
            <v>$</v>
          </cell>
          <cell r="AS278">
            <v>0</v>
          </cell>
          <cell r="AW278">
            <v>0</v>
          </cell>
          <cell r="AY278" t="str">
            <v>NB</v>
          </cell>
        </row>
        <row r="279">
          <cell r="AM279">
            <v>0</v>
          </cell>
          <cell r="AP279" t="str">
            <v>Véhicules usagés</v>
          </cell>
          <cell r="AQ279" t="str">
            <v>Loyer</v>
          </cell>
          <cell r="AR279" t="str">
            <v>$</v>
          </cell>
          <cell r="AS279">
            <v>0</v>
          </cell>
          <cell r="AW279">
            <v>0</v>
          </cell>
          <cell r="AY279" t="str">
            <v>NB</v>
          </cell>
        </row>
        <row r="280">
          <cell r="AM280">
            <v>0</v>
          </cell>
          <cell r="AP280" t="str">
            <v>Wholesale autres</v>
          </cell>
          <cell r="AQ280" t="str">
            <v>Loyer</v>
          </cell>
          <cell r="AR280" t="str">
            <v>$</v>
          </cell>
          <cell r="AS280">
            <v>0</v>
          </cell>
          <cell r="AW280">
            <v>0</v>
          </cell>
          <cell r="AY280" t="str">
            <v>NB</v>
          </cell>
        </row>
        <row r="281">
          <cell r="AM281">
            <v>0</v>
          </cell>
          <cell r="AP281" t="str">
            <v>Service</v>
          </cell>
          <cell r="AQ281" t="str">
            <v>Loyer</v>
          </cell>
          <cell r="AR281" t="str">
            <v>$</v>
          </cell>
          <cell r="AS281">
            <v>0</v>
          </cell>
          <cell r="AW281">
            <v>0</v>
          </cell>
          <cell r="AY281" t="str">
            <v>NB</v>
          </cell>
        </row>
        <row r="282">
          <cell r="AM282">
            <v>0</v>
          </cell>
          <cell r="AP282" t="str">
            <v>Carrosserie</v>
          </cell>
          <cell r="AQ282" t="str">
            <v>Loyer</v>
          </cell>
          <cell r="AR282" t="str">
            <v>$</v>
          </cell>
          <cell r="AS282">
            <v>0</v>
          </cell>
          <cell r="AW282">
            <v>0</v>
          </cell>
          <cell r="AY282" t="str">
            <v>NB</v>
          </cell>
        </row>
        <row r="283">
          <cell r="AM283">
            <v>0</v>
          </cell>
          <cell r="AP283" t="str">
            <v>Pièces</v>
          </cell>
          <cell r="AQ283" t="str">
            <v>Loyer</v>
          </cell>
          <cell r="AR283" t="str">
            <v>$</v>
          </cell>
          <cell r="AS283">
            <v>0</v>
          </cell>
          <cell r="AW283">
            <v>0</v>
          </cell>
          <cell r="AY283" t="str">
            <v>NB</v>
          </cell>
        </row>
        <row r="284">
          <cell r="AM284">
            <v>0</v>
          </cell>
          <cell r="AP284" t="e">
            <v>#N/A</v>
          </cell>
          <cell r="AQ284" t="e">
            <v>#N/A</v>
          </cell>
          <cell r="AR284" t="str">
            <v>$</v>
          </cell>
          <cell r="AS284" t="e">
            <v>#N/A</v>
          </cell>
          <cell r="AW284">
            <v>0</v>
          </cell>
          <cell r="AY284" t="str">
            <v>NB</v>
          </cell>
        </row>
        <row r="285">
          <cell r="AM285">
            <v>1471.0699999999997</v>
          </cell>
          <cell r="AP285" t="str">
            <v>Véhicules neufs</v>
          </cell>
          <cell r="AQ285" t="str">
            <v>Services extérieurs</v>
          </cell>
          <cell r="AR285" t="str">
            <v>$</v>
          </cell>
          <cell r="AS285">
            <v>0</v>
          </cell>
          <cell r="AW285">
            <v>0</v>
          </cell>
          <cell r="AY285" t="str">
            <v>NB</v>
          </cell>
        </row>
        <row r="286">
          <cell r="AM286">
            <v>980.71000000000095</v>
          </cell>
          <cell r="AP286" t="str">
            <v>Véhicules usagés</v>
          </cell>
          <cell r="AQ286" t="str">
            <v>Services extérieurs</v>
          </cell>
          <cell r="AR286" t="str">
            <v>$</v>
          </cell>
          <cell r="AS286">
            <v>0</v>
          </cell>
          <cell r="AW286">
            <v>0</v>
          </cell>
          <cell r="AY286" t="str">
            <v>NB</v>
          </cell>
        </row>
        <row r="287">
          <cell r="AM287">
            <v>0</v>
          </cell>
          <cell r="AP287" t="str">
            <v>Wholesale autres</v>
          </cell>
          <cell r="AQ287" t="str">
            <v>Services extérieurs</v>
          </cell>
          <cell r="AR287" t="str">
            <v>$</v>
          </cell>
          <cell r="AS287">
            <v>0</v>
          </cell>
          <cell r="AW287">
            <v>0</v>
          </cell>
          <cell r="AY287" t="str">
            <v>NB</v>
          </cell>
        </row>
        <row r="288">
          <cell r="AM288">
            <v>2170.6399999999994</v>
          </cell>
          <cell r="AP288" t="str">
            <v>Service</v>
          </cell>
          <cell r="AQ288" t="str">
            <v>Services extérieurs</v>
          </cell>
          <cell r="AR288" t="str">
            <v>$</v>
          </cell>
          <cell r="AS288">
            <v>0</v>
          </cell>
          <cell r="AW288">
            <v>0</v>
          </cell>
          <cell r="AY288" t="str">
            <v>NB</v>
          </cell>
        </row>
        <row r="289">
          <cell r="AM289">
            <v>664.13000000000102</v>
          </cell>
          <cell r="AP289" t="str">
            <v>Carrosserie</v>
          </cell>
          <cell r="AQ289" t="str">
            <v>Services extérieurs</v>
          </cell>
          <cell r="AR289" t="str">
            <v>$</v>
          </cell>
          <cell r="AS289">
            <v>0</v>
          </cell>
          <cell r="AW289">
            <v>0</v>
          </cell>
          <cell r="AY289" t="str">
            <v>NB</v>
          </cell>
        </row>
        <row r="290">
          <cell r="AM290">
            <v>490.35000000000036</v>
          </cell>
          <cell r="AP290" t="str">
            <v>Pièces</v>
          </cell>
          <cell r="AQ290" t="str">
            <v>Services extérieurs</v>
          </cell>
          <cell r="AR290" t="str">
            <v>$</v>
          </cell>
          <cell r="AS290">
            <v>0</v>
          </cell>
          <cell r="AW290">
            <v>0</v>
          </cell>
          <cell r="AY290" t="str">
            <v>NB</v>
          </cell>
        </row>
        <row r="291">
          <cell r="AM291">
            <v>567.63</v>
          </cell>
          <cell r="AP291" t="str">
            <v>SAAQ</v>
          </cell>
          <cell r="AQ291" t="str">
            <v>Services extérieurs</v>
          </cell>
          <cell r="AR291" t="str">
            <v>$</v>
          </cell>
          <cell r="AS291">
            <v>0</v>
          </cell>
          <cell r="AW291">
            <v>0</v>
          </cell>
          <cell r="AY291" t="str">
            <v>NB</v>
          </cell>
        </row>
        <row r="292">
          <cell r="AM292">
            <v>0</v>
          </cell>
          <cell r="AP292" t="e">
            <v>#N/A</v>
          </cell>
          <cell r="AQ292" t="e">
            <v>#N/A</v>
          </cell>
          <cell r="AR292" t="str">
            <v>$</v>
          </cell>
          <cell r="AS292" t="e">
            <v>#N/A</v>
          </cell>
          <cell r="AW292">
            <v>0</v>
          </cell>
          <cell r="AY292" t="str">
            <v>NB</v>
          </cell>
        </row>
        <row r="293">
          <cell r="AM293">
            <v>28.5</v>
          </cell>
          <cell r="AP293" t="str">
            <v>Véhicules neufs</v>
          </cell>
          <cell r="AQ293" t="str">
            <v>Amortissement</v>
          </cell>
          <cell r="AR293" t="str">
            <v>$</v>
          </cell>
          <cell r="AS293">
            <v>0</v>
          </cell>
          <cell r="AW293">
            <v>0</v>
          </cell>
          <cell r="AY293" t="str">
            <v>NB</v>
          </cell>
        </row>
        <row r="294">
          <cell r="AM294">
            <v>19</v>
          </cell>
          <cell r="AP294" t="str">
            <v>Véhicules usagés</v>
          </cell>
          <cell r="AQ294" t="str">
            <v>Amortissement</v>
          </cell>
          <cell r="AR294" t="str">
            <v>$</v>
          </cell>
          <cell r="AS294">
            <v>0</v>
          </cell>
          <cell r="AW294">
            <v>0</v>
          </cell>
          <cell r="AY294" t="str">
            <v>NB</v>
          </cell>
        </row>
        <row r="295">
          <cell r="AM295">
            <v>28.5</v>
          </cell>
          <cell r="AP295" t="str">
            <v>Service</v>
          </cell>
          <cell r="AQ295" t="str">
            <v>Amortissement</v>
          </cell>
          <cell r="AR295" t="str">
            <v>$</v>
          </cell>
          <cell r="AS295">
            <v>0</v>
          </cell>
          <cell r="AW295">
            <v>0</v>
          </cell>
          <cell r="AY295" t="str">
            <v>NB</v>
          </cell>
        </row>
        <row r="296">
          <cell r="AM296">
            <v>9.5</v>
          </cell>
          <cell r="AP296" t="str">
            <v>Carrosserie</v>
          </cell>
          <cell r="AQ296" t="str">
            <v>Amortissement</v>
          </cell>
          <cell r="AR296" t="str">
            <v>$</v>
          </cell>
          <cell r="AS296">
            <v>0</v>
          </cell>
          <cell r="AW296">
            <v>0</v>
          </cell>
          <cell r="AY296" t="str">
            <v>NB</v>
          </cell>
        </row>
        <row r="297">
          <cell r="AM297">
            <v>9.5</v>
          </cell>
          <cell r="AP297" t="str">
            <v>Pièces</v>
          </cell>
          <cell r="AQ297" t="str">
            <v>Amortissement</v>
          </cell>
          <cell r="AR297" t="str">
            <v>$</v>
          </cell>
          <cell r="AS297">
            <v>0</v>
          </cell>
          <cell r="AW297">
            <v>0</v>
          </cell>
          <cell r="AY297" t="str">
            <v>NB</v>
          </cell>
        </row>
        <row r="298">
          <cell r="AM298">
            <v>0</v>
          </cell>
          <cell r="AP298" t="e">
            <v>#N/A</v>
          </cell>
          <cell r="AQ298" t="e">
            <v>#N/A</v>
          </cell>
          <cell r="AR298" t="str">
            <v>$</v>
          </cell>
          <cell r="AS298" t="e">
            <v>#N/A</v>
          </cell>
          <cell r="AW298">
            <v>0</v>
          </cell>
          <cell r="AY298" t="str">
            <v>NB</v>
          </cell>
        </row>
        <row r="299">
          <cell r="AM299">
            <v>2116.1699999999983</v>
          </cell>
          <cell r="AP299" t="str">
            <v>Véhicules neufs</v>
          </cell>
          <cell r="AQ299" t="str">
            <v>Taxes foncières</v>
          </cell>
          <cell r="AR299" t="str">
            <v>$</v>
          </cell>
          <cell r="AS299">
            <v>0</v>
          </cell>
          <cell r="AW299">
            <v>0</v>
          </cell>
          <cell r="AY299" t="str">
            <v>NB</v>
          </cell>
        </row>
        <row r="300">
          <cell r="AM300">
            <v>1410.7800000000007</v>
          </cell>
          <cell r="AP300" t="str">
            <v>Véhicules usagés</v>
          </cell>
          <cell r="AQ300" t="str">
            <v>Taxes foncières</v>
          </cell>
          <cell r="AR300" t="str">
            <v>$</v>
          </cell>
          <cell r="AS300">
            <v>0</v>
          </cell>
          <cell r="AW300">
            <v>0</v>
          </cell>
          <cell r="AY300" t="str">
            <v>NB</v>
          </cell>
        </row>
        <row r="301">
          <cell r="AM301">
            <v>2116.1699999999983</v>
          </cell>
          <cell r="AP301" t="str">
            <v>Service</v>
          </cell>
          <cell r="AQ301" t="str">
            <v>Taxes foncières</v>
          </cell>
          <cell r="AR301" t="str">
            <v>$</v>
          </cell>
          <cell r="AS301">
            <v>0</v>
          </cell>
          <cell r="AW301">
            <v>0</v>
          </cell>
          <cell r="AY301" t="str">
            <v>NB</v>
          </cell>
        </row>
        <row r="302">
          <cell r="AM302">
            <v>705.39000000000033</v>
          </cell>
          <cell r="AP302" t="str">
            <v>Carrosserie</v>
          </cell>
          <cell r="AQ302" t="str">
            <v>Taxes foncières</v>
          </cell>
          <cell r="AR302" t="str">
            <v>$</v>
          </cell>
          <cell r="AS302">
            <v>0</v>
          </cell>
          <cell r="AW302">
            <v>0</v>
          </cell>
          <cell r="AY302" t="str">
            <v>NB</v>
          </cell>
        </row>
        <row r="303">
          <cell r="AM303">
            <v>705.38000000000011</v>
          </cell>
          <cell r="AP303" t="str">
            <v>Pièces</v>
          </cell>
          <cell r="AQ303" t="str">
            <v>Taxes foncières</v>
          </cell>
          <cell r="AR303" t="str">
            <v>$</v>
          </cell>
          <cell r="AS303">
            <v>0</v>
          </cell>
          <cell r="AW303">
            <v>0</v>
          </cell>
          <cell r="AY303" t="str">
            <v>NB</v>
          </cell>
        </row>
        <row r="304">
          <cell r="AM304">
            <v>0</v>
          </cell>
          <cell r="AP304" t="e">
            <v>#N/A</v>
          </cell>
          <cell r="AQ304" t="e">
            <v>#N/A</v>
          </cell>
          <cell r="AR304" t="str">
            <v>$</v>
          </cell>
          <cell r="AS304" t="e">
            <v>#N/A</v>
          </cell>
          <cell r="AW304">
            <v>0</v>
          </cell>
          <cell r="AY304" t="str">
            <v>NB</v>
          </cell>
        </row>
        <row r="305">
          <cell r="AM305">
            <v>2352.3899999999994</v>
          </cell>
          <cell r="AP305" t="str">
            <v>Véhicules neufs</v>
          </cell>
          <cell r="AQ305" t="str">
            <v>Assurances</v>
          </cell>
          <cell r="AR305" t="str">
            <v>$</v>
          </cell>
          <cell r="AS305">
            <v>0</v>
          </cell>
          <cell r="AW305">
            <v>0</v>
          </cell>
          <cell r="AY305" t="str">
            <v>NB</v>
          </cell>
        </row>
        <row r="306">
          <cell r="AM306">
            <v>1568.2600000000002</v>
          </cell>
          <cell r="AP306" t="str">
            <v>Véhicules usagés</v>
          </cell>
          <cell r="AQ306" t="str">
            <v>Assurances</v>
          </cell>
          <cell r="AR306" t="str">
            <v>$</v>
          </cell>
          <cell r="AS306">
            <v>0</v>
          </cell>
          <cell r="AW306">
            <v>0</v>
          </cell>
          <cell r="AY306" t="str">
            <v>NB</v>
          </cell>
        </row>
        <row r="307">
          <cell r="AM307">
            <v>2352.3899999999994</v>
          </cell>
          <cell r="AP307" t="str">
            <v>Service</v>
          </cell>
          <cell r="AQ307" t="str">
            <v>Assurances</v>
          </cell>
          <cell r="AR307" t="str">
            <v>$</v>
          </cell>
          <cell r="AS307">
            <v>0</v>
          </cell>
          <cell r="AW307">
            <v>0</v>
          </cell>
          <cell r="AY307" t="str">
            <v>NB</v>
          </cell>
        </row>
        <row r="308">
          <cell r="AM308">
            <v>784.13000000000011</v>
          </cell>
          <cell r="AP308" t="str">
            <v>Carrosserie</v>
          </cell>
          <cell r="AQ308" t="str">
            <v>Assurances</v>
          </cell>
          <cell r="AR308" t="str">
            <v>$</v>
          </cell>
          <cell r="AS308">
            <v>0</v>
          </cell>
          <cell r="AW308">
            <v>0</v>
          </cell>
          <cell r="AY308" t="str">
            <v>NB</v>
          </cell>
        </row>
        <row r="309">
          <cell r="AM309">
            <v>784.11999999999989</v>
          </cell>
          <cell r="AP309" t="str">
            <v>Pièces</v>
          </cell>
          <cell r="AQ309" t="str">
            <v>Assurances</v>
          </cell>
          <cell r="AR309" t="str">
            <v>$</v>
          </cell>
          <cell r="AS309">
            <v>0</v>
          </cell>
          <cell r="AW309">
            <v>0</v>
          </cell>
          <cell r="AY309" t="str">
            <v>NB</v>
          </cell>
        </row>
        <row r="310">
          <cell r="AM310">
            <v>0</v>
          </cell>
          <cell r="AP310" t="e">
            <v>#N/A</v>
          </cell>
          <cell r="AQ310" t="e">
            <v>#N/A</v>
          </cell>
          <cell r="AR310" t="str">
            <v>$</v>
          </cell>
          <cell r="AS310" t="e">
            <v>#N/A</v>
          </cell>
          <cell r="AW310">
            <v>0</v>
          </cell>
          <cell r="AY310" t="str">
            <v>NB</v>
          </cell>
        </row>
        <row r="311">
          <cell r="AM311">
            <v>3330</v>
          </cell>
          <cell r="AP311" t="str">
            <v>Véhicules neufs</v>
          </cell>
          <cell r="AQ311" t="str">
            <v>Chauffage, éclairage</v>
          </cell>
          <cell r="AR311" t="str">
            <v>$</v>
          </cell>
          <cell r="AS311">
            <v>0</v>
          </cell>
          <cell r="AW311">
            <v>0</v>
          </cell>
          <cell r="AY311" t="str">
            <v>NB</v>
          </cell>
        </row>
        <row r="312">
          <cell r="AM312">
            <v>2220</v>
          </cell>
          <cell r="AP312" t="str">
            <v>Véhicules usagés</v>
          </cell>
          <cell r="AQ312" t="str">
            <v>Chauffage, éclairage</v>
          </cell>
          <cell r="AR312" t="str">
            <v>$</v>
          </cell>
          <cell r="AS312">
            <v>0</v>
          </cell>
          <cell r="AW312">
            <v>0</v>
          </cell>
          <cell r="AY312" t="str">
            <v>NB</v>
          </cell>
        </row>
        <row r="313">
          <cell r="AM313">
            <v>3330</v>
          </cell>
          <cell r="AP313" t="str">
            <v>Service</v>
          </cell>
          <cell r="AQ313" t="str">
            <v>Chauffage, éclairage</v>
          </cell>
          <cell r="AR313" t="str">
            <v>$</v>
          </cell>
          <cell r="AS313">
            <v>0</v>
          </cell>
          <cell r="AW313">
            <v>0</v>
          </cell>
          <cell r="AY313" t="str">
            <v>NB</v>
          </cell>
        </row>
        <row r="314">
          <cell r="AM314">
            <v>1110</v>
          </cell>
          <cell r="AP314" t="str">
            <v>Carrosserie</v>
          </cell>
          <cell r="AQ314" t="str">
            <v>Chauffage, éclairage</v>
          </cell>
          <cell r="AR314" t="str">
            <v>$</v>
          </cell>
          <cell r="AS314">
            <v>0</v>
          </cell>
          <cell r="AW314">
            <v>0</v>
          </cell>
          <cell r="AY314" t="str">
            <v>NB</v>
          </cell>
        </row>
        <row r="315">
          <cell r="AM315">
            <v>1110</v>
          </cell>
          <cell r="AP315" t="str">
            <v>Pièces</v>
          </cell>
          <cell r="AQ315" t="str">
            <v>Chauffage, éclairage</v>
          </cell>
          <cell r="AR315" t="str">
            <v>$</v>
          </cell>
          <cell r="AS315">
            <v>0</v>
          </cell>
          <cell r="AW315">
            <v>0</v>
          </cell>
          <cell r="AY315" t="str">
            <v>NB</v>
          </cell>
        </row>
        <row r="316">
          <cell r="AM316">
            <v>0</v>
          </cell>
          <cell r="AP316" t="e">
            <v>#N/A</v>
          </cell>
          <cell r="AQ316" t="e">
            <v>#N/A</v>
          </cell>
          <cell r="AR316" t="str">
            <v>$</v>
          </cell>
          <cell r="AS316" t="e">
            <v>#N/A</v>
          </cell>
          <cell r="AW316">
            <v>0</v>
          </cell>
          <cell r="AY316" t="str">
            <v>NB</v>
          </cell>
        </row>
        <row r="317">
          <cell r="AM317">
            <v>0</v>
          </cell>
          <cell r="AP317">
            <v>0</v>
          </cell>
          <cell r="AQ317">
            <v>0</v>
          </cell>
          <cell r="AR317" t="str">
            <v>$</v>
          </cell>
          <cell r="AS317">
            <v>0</v>
          </cell>
          <cell r="AW317">
            <v>0</v>
          </cell>
          <cell r="AY317" t="str">
            <v>NB</v>
          </cell>
        </row>
        <row r="318">
          <cell r="AM318">
            <v>0</v>
          </cell>
          <cell r="AP318">
            <v>0</v>
          </cell>
          <cell r="AQ318">
            <v>0</v>
          </cell>
          <cell r="AR318" t="str">
            <v>$</v>
          </cell>
          <cell r="AS318">
            <v>0</v>
          </cell>
          <cell r="AW318">
            <v>0</v>
          </cell>
          <cell r="AY318" t="str">
            <v>NB</v>
          </cell>
        </row>
        <row r="319">
          <cell r="AM319">
            <v>0</v>
          </cell>
          <cell r="AP319">
            <v>0</v>
          </cell>
          <cell r="AQ319">
            <v>0</v>
          </cell>
          <cell r="AR319" t="str">
            <v>$</v>
          </cell>
          <cell r="AS319">
            <v>0</v>
          </cell>
          <cell r="AW319">
            <v>0</v>
          </cell>
          <cell r="AY319" t="str">
            <v>NB</v>
          </cell>
        </row>
        <row r="320">
          <cell r="AM320">
            <v>0</v>
          </cell>
          <cell r="AP320">
            <v>0</v>
          </cell>
          <cell r="AQ320">
            <v>0</v>
          </cell>
          <cell r="AR320" t="str">
            <v>$</v>
          </cell>
          <cell r="AS320">
            <v>0</v>
          </cell>
          <cell r="AW320">
            <v>0</v>
          </cell>
          <cell r="AY320" t="str">
            <v>NB</v>
          </cell>
        </row>
        <row r="321">
          <cell r="AM321">
            <v>0</v>
          </cell>
          <cell r="AP321">
            <v>0</v>
          </cell>
          <cell r="AQ321">
            <v>0</v>
          </cell>
          <cell r="AR321" t="str">
            <v>$</v>
          </cell>
          <cell r="AS321">
            <v>0</v>
          </cell>
          <cell r="AW321">
            <v>0</v>
          </cell>
          <cell r="AY321" t="str">
            <v>NB</v>
          </cell>
        </row>
        <row r="322">
          <cell r="AM322">
            <v>0</v>
          </cell>
          <cell r="AP322" t="e">
            <v>#N/A</v>
          </cell>
          <cell r="AQ322" t="e">
            <v>#N/A</v>
          </cell>
          <cell r="AR322" t="str">
            <v>$</v>
          </cell>
          <cell r="AS322" t="e">
            <v>#N/A</v>
          </cell>
          <cell r="AW322">
            <v>0</v>
          </cell>
          <cell r="AY322" t="str">
            <v>NB</v>
          </cell>
        </row>
        <row r="323">
          <cell r="AM323">
            <v>4418.2799999999988</v>
          </cell>
          <cell r="AP323" t="str">
            <v>Véhicules neufs</v>
          </cell>
          <cell r="AQ323" t="str">
            <v>Taxes d`affaires</v>
          </cell>
          <cell r="AR323" t="str">
            <v>$</v>
          </cell>
          <cell r="AS323">
            <v>0</v>
          </cell>
          <cell r="AW323">
            <v>0</v>
          </cell>
          <cell r="AY323" t="str">
            <v>NB</v>
          </cell>
        </row>
        <row r="324">
          <cell r="AM324">
            <v>2945.5200000000004</v>
          </cell>
          <cell r="AP324" t="str">
            <v>Véhicules usagés</v>
          </cell>
          <cell r="AQ324" t="str">
            <v>Taxes d`affaires</v>
          </cell>
          <cell r="AR324" t="str">
            <v>$</v>
          </cell>
          <cell r="AS324">
            <v>0</v>
          </cell>
          <cell r="AW324">
            <v>0</v>
          </cell>
          <cell r="AY324" t="str">
            <v>NB</v>
          </cell>
        </row>
        <row r="325">
          <cell r="AM325">
            <v>0</v>
          </cell>
          <cell r="AP325" t="str">
            <v>Wholesale autres</v>
          </cell>
          <cell r="AQ325" t="str">
            <v>Taxes d`affaires</v>
          </cell>
          <cell r="AR325" t="str">
            <v>$</v>
          </cell>
          <cell r="AS325">
            <v>0</v>
          </cell>
          <cell r="AW325">
            <v>0</v>
          </cell>
          <cell r="AY325" t="str">
            <v>NB</v>
          </cell>
        </row>
        <row r="326">
          <cell r="AM326">
            <v>4418.2799999999988</v>
          </cell>
          <cell r="AP326" t="str">
            <v>Service</v>
          </cell>
          <cell r="AQ326" t="str">
            <v>Taxes d`affaires</v>
          </cell>
          <cell r="AR326" t="str">
            <v>$</v>
          </cell>
          <cell r="AS326">
            <v>0</v>
          </cell>
          <cell r="AW326">
            <v>0</v>
          </cell>
          <cell r="AY326" t="str">
            <v>NB</v>
          </cell>
        </row>
        <row r="327">
          <cell r="AM327">
            <v>1472.7600000000002</v>
          </cell>
          <cell r="AP327" t="str">
            <v>Carrosserie</v>
          </cell>
          <cell r="AQ327" t="str">
            <v>Taxes d`affaires</v>
          </cell>
          <cell r="AR327" t="str">
            <v>$</v>
          </cell>
          <cell r="AS327">
            <v>0</v>
          </cell>
          <cell r="AW327">
            <v>0</v>
          </cell>
          <cell r="AY327" t="str">
            <v>NB</v>
          </cell>
        </row>
        <row r="328">
          <cell r="AM328">
            <v>1472.7700000000004</v>
          </cell>
          <cell r="AP328" t="str">
            <v>Pièces</v>
          </cell>
          <cell r="AQ328" t="str">
            <v>Taxes d`affaires</v>
          </cell>
          <cell r="AR328" t="str">
            <v>$</v>
          </cell>
          <cell r="AS328">
            <v>0</v>
          </cell>
          <cell r="AW328">
            <v>0</v>
          </cell>
          <cell r="AY328" t="str">
            <v>NB</v>
          </cell>
        </row>
        <row r="329">
          <cell r="AM329">
            <v>0</v>
          </cell>
          <cell r="AP329" t="e">
            <v>#N/A</v>
          </cell>
          <cell r="AQ329" t="e">
            <v>#N/A</v>
          </cell>
          <cell r="AR329" t="str">
            <v>$</v>
          </cell>
          <cell r="AS329" t="e">
            <v>#N/A</v>
          </cell>
          <cell r="AW329">
            <v>0</v>
          </cell>
          <cell r="AY329" t="str">
            <v>NB</v>
          </cell>
        </row>
        <row r="330">
          <cell r="AM330">
            <v>0</v>
          </cell>
          <cell r="AP330" t="str">
            <v>Véhicules neufs</v>
          </cell>
          <cell r="AQ330" t="str">
            <v>Réparation équipement</v>
          </cell>
          <cell r="AR330" t="str">
            <v>$</v>
          </cell>
          <cell r="AS330">
            <v>0</v>
          </cell>
          <cell r="AW330">
            <v>0</v>
          </cell>
          <cell r="AY330" t="str">
            <v>NB</v>
          </cell>
        </row>
        <row r="331">
          <cell r="AM331">
            <v>0</v>
          </cell>
          <cell r="AP331" t="str">
            <v>Véhicules usagés</v>
          </cell>
          <cell r="AQ331" t="str">
            <v>Réparation équipement</v>
          </cell>
          <cell r="AR331" t="str">
            <v>$</v>
          </cell>
          <cell r="AS331">
            <v>0</v>
          </cell>
          <cell r="AW331">
            <v>0</v>
          </cell>
          <cell r="AY331" t="str">
            <v>NB</v>
          </cell>
        </row>
        <row r="332">
          <cell r="AM332">
            <v>6205.0000000000018</v>
          </cell>
          <cell r="AP332" t="str">
            <v>Service</v>
          </cell>
          <cell r="AQ332" t="str">
            <v>Réparation équipement</v>
          </cell>
          <cell r="AR332" t="str">
            <v>$</v>
          </cell>
          <cell r="AS332">
            <v>0</v>
          </cell>
          <cell r="AW332">
            <v>0</v>
          </cell>
          <cell r="AY332" t="str">
            <v>NB</v>
          </cell>
        </row>
        <row r="333">
          <cell r="AM333">
            <v>4581.67</v>
          </cell>
          <cell r="AP333" t="str">
            <v>Carrosserie</v>
          </cell>
          <cell r="AQ333" t="str">
            <v>Réparation équipement</v>
          </cell>
          <cell r="AR333" t="str">
            <v>$</v>
          </cell>
          <cell r="AS333">
            <v>0</v>
          </cell>
          <cell r="AW333">
            <v>0</v>
          </cell>
          <cell r="AY333" t="str">
            <v>NB</v>
          </cell>
        </row>
        <row r="334">
          <cell r="AM334">
            <v>0</v>
          </cell>
          <cell r="AP334" t="str">
            <v>Pièces</v>
          </cell>
          <cell r="AQ334" t="str">
            <v>Réparation équipement</v>
          </cell>
          <cell r="AR334" t="str">
            <v>$</v>
          </cell>
          <cell r="AS334">
            <v>0</v>
          </cell>
          <cell r="AW334">
            <v>0</v>
          </cell>
          <cell r="AY334" t="str">
            <v>NB</v>
          </cell>
        </row>
        <row r="335">
          <cell r="AM335">
            <v>0</v>
          </cell>
          <cell r="AP335" t="str">
            <v>SAAQ</v>
          </cell>
          <cell r="AQ335" t="str">
            <v>Réparation équipement</v>
          </cell>
          <cell r="AR335" t="str">
            <v>$</v>
          </cell>
          <cell r="AS335">
            <v>0</v>
          </cell>
          <cell r="AW335">
            <v>0</v>
          </cell>
          <cell r="AY335" t="str">
            <v>NB</v>
          </cell>
        </row>
        <row r="336">
          <cell r="AM336">
            <v>0</v>
          </cell>
          <cell r="AP336" t="e">
            <v>#N/A</v>
          </cell>
          <cell r="AQ336" t="e">
            <v>#N/A</v>
          </cell>
          <cell r="AR336" t="str">
            <v>$</v>
          </cell>
          <cell r="AS336" t="e">
            <v>#N/A</v>
          </cell>
          <cell r="AW336">
            <v>0</v>
          </cell>
          <cell r="AY336" t="str">
            <v>NB</v>
          </cell>
        </row>
        <row r="337">
          <cell r="AM337">
            <v>3214.5</v>
          </cell>
          <cell r="AP337" t="str">
            <v>Véhicules neufs</v>
          </cell>
          <cell r="AQ337" t="str">
            <v>Amortissement</v>
          </cell>
          <cell r="AR337" t="str">
            <v>$</v>
          </cell>
          <cell r="AS337">
            <v>0</v>
          </cell>
          <cell r="AW337">
            <v>0</v>
          </cell>
          <cell r="AY337" t="str">
            <v>NB</v>
          </cell>
        </row>
        <row r="338">
          <cell r="AM338">
            <v>2143</v>
          </cell>
          <cell r="AP338" t="str">
            <v>Véhicules usagés</v>
          </cell>
          <cell r="AQ338" t="str">
            <v>Amortissement</v>
          </cell>
          <cell r="AR338" t="str">
            <v>$</v>
          </cell>
          <cell r="AS338">
            <v>0</v>
          </cell>
          <cell r="AW338">
            <v>0</v>
          </cell>
          <cell r="AY338" t="str">
            <v>NB</v>
          </cell>
        </row>
        <row r="339">
          <cell r="AM339">
            <v>3214.5</v>
          </cell>
          <cell r="AP339" t="str">
            <v>Service</v>
          </cell>
          <cell r="AQ339" t="str">
            <v>Amortissement</v>
          </cell>
          <cell r="AR339" t="str">
            <v>$</v>
          </cell>
          <cell r="AS339">
            <v>0</v>
          </cell>
          <cell r="AW339">
            <v>0</v>
          </cell>
          <cell r="AY339" t="str">
            <v>NB</v>
          </cell>
        </row>
        <row r="340">
          <cell r="AM340">
            <v>1071.5</v>
          </cell>
          <cell r="AP340" t="str">
            <v>Carrosserie</v>
          </cell>
          <cell r="AQ340" t="str">
            <v>Amortissement</v>
          </cell>
          <cell r="AR340" t="str">
            <v>$</v>
          </cell>
          <cell r="AS340">
            <v>0</v>
          </cell>
          <cell r="AW340">
            <v>0</v>
          </cell>
          <cell r="AY340" t="str">
            <v>NB</v>
          </cell>
        </row>
        <row r="341">
          <cell r="AM341">
            <v>1071.5</v>
          </cell>
          <cell r="AP341" t="str">
            <v>Pièces</v>
          </cell>
          <cell r="AQ341" t="str">
            <v>Amortissement</v>
          </cell>
          <cell r="AR341" t="str">
            <v>$</v>
          </cell>
          <cell r="AS341">
            <v>0</v>
          </cell>
          <cell r="AW341">
            <v>0</v>
          </cell>
          <cell r="AY341" t="str">
            <v>NB</v>
          </cell>
        </row>
        <row r="342">
          <cell r="AM342">
            <v>0</v>
          </cell>
          <cell r="AP342" t="e">
            <v>#N/A</v>
          </cell>
          <cell r="AQ342" t="e">
            <v>#N/A</v>
          </cell>
          <cell r="AR342" t="str">
            <v>$</v>
          </cell>
          <cell r="AS342" t="e">
            <v>#N/A</v>
          </cell>
          <cell r="AW342">
            <v>0</v>
          </cell>
          <cell r="AY342" t="str">
            <v>NB</v>
          </cell>
        </row>
        <row r="343">
          <cell r="AM343">
            <v>129.27000000000021</v>
          </cell>
          <cell r="AP343" t="str">
            <v>Véhicules neufs</v>
          </cell>
          <cell r="AQ343" t="str">
            <v>Location équipement</v>
          </cell>
          <cell r="AR343" t="str">
            <v>$</v>
          </cell>
          <cell r="AS343">
            <v>0</v>
          </cell>
          <cell r="AW343">
            <v>0</v>
          </cell>
          <cell r="AY343" t="str">
            <v>NB</v>
          </cell>
        </row>
        <row r="344">
          <cell r="AM344">
            <v>83.68</v>
          </cell>
          <cell r="AP344" t="str">
            <v>Véhicules usagés</v>
          </cell>
          <cell r="AQ344" t="str">
            <v>Location équipement</v>
          </cell>
          <cell r="AR344" t="str">
            <v>$</v>
          </cell>
          <cell r="AS344">
            <v>0</v>
          </cell>
          <cell r="AW344">
            <v>0</v>
          </cell>
          <cell r="AY344" t="str">
            <v>NB</v>
          </cell>
        </row>
        <row r="345">
          <cell r="AM345">
            <v>557.63999999999942</v>
          </cell>
          <cell r="AP345" t="str">
            <v>Service</v>
          </cell>
          <cell r="AQ345" t="str">
            <v>Location équipement</v>
          </cell>
          <cell r="AR345" t="str">
            <v>$</v>
          </cell>
          <cell r="AS345">
            <v>0</v>
          </cell>
          <cell r="AW345">
            <v>0</v>
          </cell>
          <cell r="AY345" t="str">
            <v>NB</v>
          </cell>
        </row>
        <row r="346">
          <cell r="AM346">
            <v>30.600000000000023</v>
          </cell>
          <cell r="AP346" t="str">
            <v>Carrosserie</v>
          </cell>
          <cell r="AQ346" t="str">
            <v>Location équipement</v>
          </cell>
          <cell r="AR346" t="str">
            <v>$</v>
          </cell>
          <cell r="AS346">
            <v>0</v>
          </cell>
          <cell r="AW346">
            <v>0</v>
          </cell>
          <cell r="AY346" t="str">
            <v>NB</v>
          </cell>
        </row>
        <row r="347">
          <cell r="AM347">
            <v>54.569999999999993</v>
          </cell>
          <cell r="AP347" t="str">
            <v>Pièces</v>
          </cell>
          <cell r="AQ347" t="str">
            <v>Location équipement</v>
          </cell>
          <cell r="AR347" t="str">
            <v>$</v>
          </cell>
          <cell r="AS347">
            <v>0</v>
          </cell>
          <cell r="AW347">
            <v>0</v>
          </cell>
          <cell r="AY347" t="str">
            <v>NB</v>
          </cell>
        </row>
        <row r="348">
          <cell r="AM348">
            <v>0</v>
          </cell>
          <cell r="AP348" t="e">
            <v>#N/A</v>
          </cell>
          <cell r="AQ348" t="e">
            <v>#N/A</v>
          </cell>
          <cell r="AR348" t="str">
            <v>$</v>
          </cell>
          <cell r="AS348" t="e">
            <v>#N/A</v>
          </cell>
          <cell r="AW348">
            <v>0</v>
          </cell>
          <cell r="AY348" t="str">
            <v>NB</v>
          </cell>
        </row>
        <row r="349">
          <cell r="AM349">
            <v>0</v>
          </cell>
          <cell r="AP349" t="e">
            <v>#N/A</v>
          </cell>
          <cell r="AQ349" t="e">
            <v>#N/A</v>
          </cell>
          <cell r="AR349" t="str">
            <v>$</v>
          </cell>
          <cell r="AS349" t="e">
            <v>#N/A</v>
          </cell>
          <cell r="AW349">
            <v>0</v>
          </cell>
          <cell r="AY349" t="str">
            <v>NB</v>
          </cell>
        </row>
        <row r="350">
          <cell r="AM350">
            <v>0</v>
          </cell>
          <cell r="AP350" t="e">
            <v>#N/A</v>
          </cell>
          <cell r="AQ350" t="e">
            <v>#N/A</v>
          </cell>
          <cell r="AR350" t="str">
            <v>$</v>
          </cell>
          <cell r="AS350" t="e">
            <v>#N/A</v>
          </cell>
          <cell r="AW350">
            <v>0</v>
          </cell>
          <cell r="AY350" t="str">
            <v>NB</v>
          </cell>
        </row>
        <row r="351">
          <cell r="AM351">
            <v>0</v>
          </cell>
          <cell r="AP351">
            <v>0</v>
          </cell>
          <cell r="AQ351">
            <v>0</v>
          </cell>
          <cell r="AR351" t="str">
            <v>$</v>
          </cell>
          <cell r="AS351">
            <v>0</v>
          </cell>
          <cell r="AW351">
            <v>0</v>
          </cell>
          <cell r="AY351" t="str">
            <v>NB</v>
          </cell>
        </row>
        <row r="352">
          <cell r="AM352">
            <v>0</v>
          </cell>
          <cell r="AP352" t="str">
            <v>Bilan</v>
          </cell>
          <cell r="AQ352" t="str">
            <v>Encaisse</v>
          </cell>
          <cell r="AR352" t="str">
            <v>$</v>
          </cell>
          <cell r="AS352">
            <v>0</v>
          </cell>
          <cell r="AW352">
            <v>0</v>
          </cell>
          <cell r="AY352" t="str">
            <v>NB</v>
          </cell>
        </row>
        <row r="353">
          <cell r="AM353">
            <v>0</v>
          </cell>
          <cell r="AP353" t="str">
            <v>Bilan</v>
          </cell>
          <cell r="AQ353" t="str">
            <v>Salaires à Payer</v>
          </cell>
          <cell r="AR353" t="str">
            <v>$</v>
          </cell>
          <cell r="AS353">
            <v>0</v>
          </cell>
          <cell r="AW353">
            <v>0</v>
          </cell>
          <cell r="AY353" t="str">
            <v>NB</v>
          </cell>
        </row>
        <row r="354">
          <cell r="AM354">
            <v>0</v>
          </cell>
          <cell r="AP354" t="str">
            <v>Bilan</v>
          </cell>
          <cell r="AQ354" t="str">
            <v>Encaisse</v>
          </cell>
          <cell r="AR354" t="str">
            <v>$</v>
          </cell>
          <cell r="AS354">
            <v>0</v>
          </cell>
          <cell r="AW354">
            <v>0</v>
          </cell>
          <cell r="AY354" t="str">
            <v>NB</v>
          </cell>
        </row>
        <row r="355">
          <cell r="AM355">
            <v>0</v>
          </cell>
          <cell r="AP355" t="e">
            <v>#N/A</v>
          </cell>
          <cell r="AQ355" t="e">
            <v>#N/A</v>
          </cell>
          <cell r="AR355" t="str">
            <v>$</v>
          </cell>
          <cell r="AS355" t="e">
            <v>#N/A</v>
          </cell>
          <cell r="AW355">
            <v>0</v>
          </cell>
          <cell r="AY355" t="str">
            <v>NB</v>
          </cell>
        </row>
        <row r="356">
          <cell r="AM356">
            <v>29643.229999999981</v>
          </cell>
          <cell r="AP356" t="str">
            <v>Bilan</v>
          </cell>
          <cell r="AQ356" t="str">
            <v>Encaisse</v>
          </cell>
          <cell r="AR356" t="str">
            <v>$</v>
          </cell>
          <cell r="AS356">
            <v>0</v>
          </cell>
          <cell r="AW356">
            <v>0</v>
          </cell>
          <cell r="AY356" t="str">
            <v>NB</v>
          </cell>
        </row>
        <row r="357">
          <cell r="AM357">
            <v>0</v>
          </cell>
          <cell r="AP357" t="e">
            <v>#N/A</v>
          </cell>
          <cell r="AQ357" t="e">
            <v>#N/A</v>
          </cell>
          <cell r="AR357" t="str">
            <v>$</v>
          </cell>
          <cell r="AS357" t="e">
            <v>#N/A</v>
          </cell>
          <cell r="AW357">
            <v>0</v>
          </cell>
          <cell r="AY357" t="str">
            <v>NB</v>
          </cell>
        </row>
        <row r="358">
          <cell r="AM358">
            <v>0</v>
          </cell>
          <cell r="AP358">
            <v>0</v>
          </cell>
          <cell r="AQ358">
            <v>0</v>
          </cell>
          <cell r="AR358" t="str">
            <v>$</v>
          </cell>
          <cell r="AS358">
            <v>0</v>
          </cell>
          <cell r="AW358">
            <v>0</v>
          </cell>
          <cell r="AY358" t="str">
            <v>NB</v>
          </cell>
        </row>
        <row r="359">
          <cell r="AM359">
            <v>0</v>
          </cell>
          <cell r="AP359" t="e">
            <v>#N/A</v>
          </cell>
          <cell r="AQ359" t="e">
            <v>#N/A</v>
          </cell>
          <cell r="AR359" t="str">
            <v>$</v>
          </cell>
          <cell r="AS359" t="e">
            <v>#N/A</v>
          </cell>
          <cell r="AW359">
            <v>0</v>
          </cell>
          <cell r="AY359" t="str">
            <v>NB</v>
          </cell>
        </row>
        <row r="360">
          <cell r="AM360">
            <v>0</v>
          </cell>
          <cell r="AP360" t="str">
            <v>Bilan</v>
          </cell>
          <cell r="AQ360" t="str">
            <v>Encaisse</v>
          </cell>
          <cell r="AR360" t="str">
            <v>$</v>
          </cell>
          <cell r="AS360">
            <v>0</v>
          </cell>
          <cell r="AW360">
            <v>0</v>
          </cell>
          <cell r="AY360" t="str">
            <v>NB</v>
          </cell>
        </row>
        <row r="361">
          <cell r="AM361">
            <v>0</v>
          </cell>
          <cell r="AP361" t="e">
            <v>#N/A</v>
          </cell>
          <cell r="AQ361" t="e">
            <v>#N/A</v>
          </cell>
          <cell r="AR361" t="str">
            <v>$</v>
          </cell>
          <cell r="AS361" t="e">
            <v>#N/A</v>
          </cell>
          <cell r="AW361">
            <v>0</v>
          </cell>
          <cell r="AY361" t="str">
            <v>NB</v>
          </cell>
        </row>
        <row r="362">
          <cell r="AM362">
            <v>0</v>
          </cell>
          <cell r="AP362">
            <v>0</v>
          </cell>
          <cell r="AQ362">
            <v>0</v>
          </cell>
          <cell r="AR362" t="str">
            <v>$</v>
          </cell>
          <cell r="AS362">
            <v>0</v>
          </cell>
          <cell r="AW362">
            <v>0</v>
          </cell>
          <cell r="AY362" t="str">
            <v>NB</v>
          </cell>
        </row>
        <row r="363">
          <cell r="AM363">
            <v>149049.93999999994</v>
          </cell>
          <cell r="AP363" t="str">
            <v>Bilan</v>
          </cell>
          <cell r="AQ363" t="str">
            <v>Recevables Contrats en Transit</v>
          </cell>
          <cell r="AR363" t="str">
            <v>$</v>
          </cell>
          <cell r="AS363">
            <v>0</v>
          </cell>
          <cell r="AW363">
            <v>0</v>
          </cell>
          <cell r="AY363" t="str">
            <v>NB</v>
          </cell>
        </row>
        <row r="364">
          <cell r="AM364">
            <v>0</v>
          </cell>
          <cell r="AP364" t="e">
            <v>#N/A</v>
          </cell>
          <cell r="AQ364" t="e">
            <v>#N/A</v>
          </cell>
          <cell r="AR364" t="str">
            <v>$</v>
          </cell>
          <cell r="AS364" t="e">
            <v>#N/A</v>
          </cell>
          <cell r="AW364">
            <v>0</v>
          </cell>
          <cell r="AY364" t="str">
            <v>NB</v>
          </cell>
        </row>
        <row r="365">
          <cell r="AM365">
            <v>0</v>
          </cell>
          <cell r="AP365" t="e">
            <v>#N/A</v>
          </cell>
          <cell r="AQ365" t="e">
            <v>#N/A</v>
          </cell>
          <cell r="AR365" t="str">
            <v>$</v>
          </cell>
          <cell r="AS365" t="e">
            <v>#N/A</v>
          </cell>
          <cell r="AW365">
            <v>0</v>
          </cell>
          <cell r="AY365" t="str">
            <v>NB</v>
          </cell>
        </row>
        <row r="366">
          <cell r="AM366">
            <v>0</v>
          </cell>
          <cell r="AP366" t="e">
            <v>#N/A</v>
          </cell>
          <cell r="AQ366" t="e">
            <v>#N/A</v>
          </cell>
          <cell r="AR366" t="str">
            <v>$</v>
          </cell>
          <cell r="AS366" t="e">
            <v>#N/A</v>
          </cell>
          <cell r="AW366">
            <v>0</v>
          </cell>
          <cell r="AY366" t="str">
            <v>NB</v>
          </cell>
        </row>
        <row r="367">
          <cell r="AM367">
            <v>2308.7100000000005</v>
          </cell>
          <cell r="AP367" t="str">
            <v>Bilan</v>
          </cell>
          <cell r="AQ367" t="str">
            <v>Recevables Véhicules</v>
          </cell>
          <cell r="AR367" t="str">
            <v>$</v>
          </cell>
          <cell r="AS367">
            <v>0</v>
          </cell>
          <cell r="AW367">
            <v>0</v>
          </cell>
          <cell r="AY367" t="str">
            <v>NB</v>
          </cell>
        </row>
        <row r="368">
          <cell r="AM368">
            <v>0</v>
          </cell>
          <cell r="AP368">
            <v>0</v>
          </cell>
          <cell r="AQ368">
            <v>0</v>
          </cell>
          <cell r="AR368" t="str">
            <v>$</v>
          </cell>
          <cell r="AS368">
            <v>0</v>
          </cell>
          <cell r="AW368">
            <v>0</v>
          </cell>
          <cell r="AY368" t="str">
            <v>NB</v>
          </cell>
        </row>
        <row r="369">
          <cell r="AM369">
            <v>71680.760000000009</v>
          </cell>
          <cell r="AP369" t="str">
            <v>Bilan</v>
          </cell>
          <cell r="AQ369" t="str">
            <v>Recevables Pièces et Service</v>
          </cell>
          <cell r="AR369" t="str">
            <v>$</v>
          </cell>
          <cell r="AS369">
            <v>0</v>
          </cell>
          <cell r="AW369">
            <v>0</v>
          </cell>
          <cell r="AY369" t="str">
            <v>NB</v>
          </cell>
        </row>
        <row r="370">
          <cell r="AM370">
            <v>227721.71</v>
          </cell>
          <cell r="AP370" t="str">
            <v>Bilan</v>
          </cell>
          <cell r="AQ370" t="str">
            <v>Recevables Véhicules</v>
          </cell>
          <cell r="AR370" t="str">
            <v>$</v>
          </cell>
          <cell r="AS370">
            <v>0</v>
          </cell>
          <cell r="AW370">
            <v>0</v>
          </cell>
          <cell r="AY370" t="str">
            <v>NB</v>
          </cell>
        </row>
        <row r="371">
          <cell r="AM371">
            <v>60920.9</v>
          </cell>
          <cell r="AP371" t="str">
            <v>Bilan</v>
          </cell>
          <cell r="AQ371" t="str">
            <v>Recevables Carrosserie</v>
          </cell>
          <cell r="AR371" t="str">
            <v>$</v>
          </cell>
          <cell r="AS371">
            <v>0</v>
          </cell>
          <cell r="AW371">
            <v>0</v>
          </cell>
          <cell r="AY371" t="str">
            <v>NB</v>
          </cell>
        </row>
        <row r="372">
          <cell r="AM372">
            <v>0</v>
          </cell>
          <cell r="AP372" t="str">
            <v>Bilan</v>
          </cell>
          <cell r="AQ372" t="str">
            <v>Recevables Véhicules</v>
          </cell>
          <cell r="AR372" t="str">
            <v>$</v>
          </cell>
          <cell r="AS372">
            <v>0</v>
          </cell>
          <cell r="AW372">
            <v>0</v>
          </cell>
          <cell r="AY372" t="str">
            <v>NB</v>
          </cell>
        </row>
        <row r="373">
          <cell r="AM373">
            <v>-9805.4099999999962</v>
          </cell>
          <cell r="AP373" t="str">
            <v>Bilan</v>
          </cell>
          <cell r="AQ373" t="str">
            <v>Taxes de Vente à Payer</v>
          </cell>
          <cell r="AR373" t="str">
            <v>$</v>
          </cell>
          <cell r="AS373">
            <v>0</v>
          </cell>
          <cell r="AW373">
            <v>0</v>
          </cell>
          <cell r="AY373" t="str">
            <v>NB</v>
          </cell>
        </row>
        <row r="374">
          <cell r="AM374">
            <v>76374.340000000084</v>
          </cell>
          <cell r="AP374" t="str">
            <v>Bilan</v>
          </cell>
          <cell r="AQ374" t="str">
            <v>Taxes de Vente à Payer</v>
          </cell>
          <cell r="AR374" t="str">
            <v>$</v>
          </cell>
          <cell r="AS374">
            <v>0</v>
          </cell>
          <cell r="AW374">
            <v>0</v>
          </cell>
          <cell r="AY374" t="str">
            <v>NB</v>
          </cell>
        </row>
        <row r="375">
          <cell r="AM375">
            <v>5930.3700000000008</v>
          </cell>
          <cell r="AP375" t="str">
            <v>Bilan</v>
          </cell>
          <cell r="AQ375" t="str">
            <v>Recevables Autres</v>
          </cell>
          <cell r="AR375" t="str">
            <v>$</v>
          </cell>
          <cell r="AS375">
            <v>0</v>
          </cell>
          <cell r="AW375">
            <v>0</v>
          </cell>
          <cell r="AY375" t="str">
            <v>NB</v>
          </cell>
        </row>
        <row r="376">
          <cell r="AM376">
            <v>-216300.65</v>
          </cell>
          <cell r="AP376" t="str">
            <v>Bilan</v>
          </cell>
          <cell r="AQ376" t="str">
            <v>Recevables Véhicules</v>
          </cell>
          <cell r="AR376" t="str">
            <v>$</v>
          </cell>
          <cell r="AS376">
            <v>0</v>
          </cell>
          <cell r="AW376">
            <v>0</v>
          </cell>
          <cell r="AY376" t="str">
            <v>NB</v>
          </cell>
        </row>
        <row r="377">
          <cell r="AM377">
            <v>27493.200000000012</v>
          </cell>
          <cell r="AP377" t="str">
            <v>Bilan</v>
          </cell>
          <cell r="AQ377" t="str">
            <v>Recevables Véhicules</v>
          </cell>
          <cell r="AR377" t="str">
            <v>$</v>
          </cell>
          <cell r="AS377">
            <v>0</v>
          </cell>
          <cell r="AW377">
            <v>0</v>
          </cell>
          <cell r="AY377" t="str">
            <v>NB</v>
          </cell>
        </row>
        <row r="378">
          <cell r="AM378">
            <v>0</v>
          </cell>
          <cell r="AP378" t="e">
            <v>#N/A</v>
          </cell>
          <cell r="AQ378" t="e">
            <v>#N/A</v>
          </cell>
          <cell r="AR378" t="str">
            <v>$</v>
          </cell>
          <cell r="AS378" t="e">
            <v>#N/A</v>
          </cell>
          <cell r="AW378">
            <v>0</v>
          </cell>
          <cell r="AY378" t="str">
            <v>NB</v>
          </cell>
        </row>
        <row r="379">
          <cell r="AM379">
            <v>-259910.76999999996</v>
          </cell>
          <cell r="AP379" t="str">
            <v>Bilan</v>
          </cell>
          <cell r="AQ379" t="str">
            <v>Recevables Véhicules</v>
          </cell>
          <cell r="AR379" t="str">
            <v>$</v>
          </cell>
          <cell r="AS379">
            <v>0</v>
          </cell>
          <cell r="AW379">
            <v>0</v>
          </cell>
          <cell r="AY379" t="str">
            <v>NB</v>
          </cell>
        </row>
        <row r="380">
          <cell r="AM380">
            <v>-79572.790000000008</v>
          </cell>
          <cell r="AP380" t="str">
            <v>Bilan</v>
          </cell>
          <cell r="AQ380" t="str">
            <v>Recevables Véhicules</v>
          </cell>
          <cell r="AR380" t="str">
            <v>$</v>
          </cell>
          <cell r="AS380">
            <v>0</v>
          </cell>
          <cell r="AW380">
            <v>0</v>
          </cell>
          <cell r="AY380" t="str">
            <v>NB</v>
          </cell>
        </row>
        <row r="381">
          <cell r="AM381">
            <v>0</v>
          </cell>
          <cell r="AP381" t="e">
            <v>#N/A</v>
          </cell>
          <cell r="AQ381" t="e">
            <v>#N/A</v>
          </cell>
          <cell r="AR381" t="str">
            <v>$</v>
          </cell>
          <cell r="AS381" t="e">
            <v>#N/A</v>
          </cell>
          <cell r="AW381">
            <v>0</v>
          </cell>
          <cell r="AY381" t="str">
            <v>NB</v>
          </cell>
        </row>
        <row r="382">
          <cell r="AM382">
            <v>0</v>
          </cell>
          <cell r="AP382" t="str">
            <v>Bilan</v>
          </cell>
          <cell r="AQ382" t="str">
            <v>Recevables Véhicules</v>
          </cell>
          <cell r="AR382" t="str">
            <v>$</v>
          </cell>
          <cell r="AS382">
            <v>0</v>
          </cell>
          <cell r="AW382">
            <v>0</v>
          </cell>
          <cell r="AY382" t="str">
            <v>NB</v>
          </cell>
        </row>
        <row r="383">
          <cell r="AM383">
            <v>284008.77</v>
          </cell>
          <cell r="AP383" t="str">
            <v>Bilan</v>
          </cell>
          <cell r="AQ383" t="str">
            <v>Recevables Véhicules</v>
          </cell>
          <cell r="AR383" t="str">
            <v>$</v>
          </cell>
          <cell r="AS383">
            <v>0</v>
          </cell>
          <cell r="AW383">
            <v>0</v>
          </cell>
          <cell r="AY383" t="str">
            <v>NB</v>
          </cell>
        </row>
        <row r="384">
          <cell r="AM384">
            <v>0</v>
          </cell>
          <cell r="AP384" t="str">
            <v>Bilan</v>
          </cell>
          <cell r="AQ384" t="str">
            <v>Recevables Véhicules</v>
          </cell>
          <cell r="AR384" t="str">
            <v>$</v>
          </cell>
          <cell r="AS384">
            <v>0</v>
          </cell>
          <cell r="AW384">
            <v>0</v>
          </cell>
          <cell r="AY384" t="str">
            <v>NB</v>
          </cell>
        </row>
        <row r="385">
          <cell r="AM385">
            <v>0</v>
          </cell>
          <cell r="AP385" t="str">
            <v>Bilan</v>
          </cell>
          <cell r="AQ385" t="str">
            <v>Recevables Véhicules</v>
          </cell>
          <cell r="AR385" t="str">
            <v>$</v>
          </cell>
          <cell r="AS385">
            <v>0</v>
          </cell>
          <cell r="AW385">
            <v>0</v>
          </cell>
          <cell r="AY385" t="str">
            <v>NB</v>
          </cell>
        </row>
        <row r="386">
          <cell r="AM386">
            <v>0</v>
          </cell>
          <cell r="AP386" t="e">
            <v>#N/A</v>
          </cell>
          <cell r="AQ386" t="e">
            <v>#N/A</v>
          </cell>
          <cell r="AR386" t="str">
            <v>$</v>
          </cell>
          <cell r="AS386" t="e">
            <v>#N/A</v>
          </cell>
          <cell r="AW386">
            <v>0</v>
          </cell>
          <cell r="AY386" t="str">
            <v>NB</v>
          </cell>
        </row>
        <row r="387">
          <cell r="AM387">
            <v>0</v>
          </cell>
          <cell r="AP387" t="e">
            <v>#N/A</v>
          </cell>
          <cell r="AQ387" t="e">
            <v>#N/A</v>
          </cell>
          <cell r="AR387" t="str">
            <v>$</v>
          </cell>
          <cell r="AS387" t="e">
            <v>#N/A</v>
          </cell>
          <cell r="AW387">
            <v>0</v>
          </cell>
          <cell r="AY387" t="str">
            <v>NB</v>
          </cell>
        </row>
        <row r="388">
          <cell r="AM388">
            <v>-409777.36000000004</v>
          </cell>
          <cell r="AP388" t="str">
            <v>Bilan</v>
          </cell>
          <cell r="AQ388" t="str">
            <v>Recevables Intercos</v>
          </cell>
          <cell r="AR388" t="str">
            <v>$</v>
          </cell>
          <cell r="AS388">
            <v>0</v>
          </cell>
          <cell r="AW388">
            <v>0</v>
          </cell>
          <cell r="AY388" t="str">
            <v>NB</v>
          </cell>
        </row>
        <row r="389">
          <cell r="AM389">
            <v>0</v>
          </cell>
          <cell r="AP389" t="str">
            <v>Bilan</v>
          </cell>
          <cell r="AQ389" t="str">
            <v>Recevables Intercos</v>
          </cell>
          <cell r="AR389" t="str">
            <v>$</v>
          </cell>
          <cell r="AS389">
            <v>0</v>
          </cell>
          <cell r="AW389">
            <v>0</v>
          </cell>
          <cell r="AY389" t="str">
            <v>NB</v>
          </cell>
        </row>
        <row r="390">
          <cell r="AM390">
            <v>-634213.38</v>
          </cell>
          <cell r="AP390" t="str">
            <v>Bilan</v>
          </cell>
          <cell r="AQ390" t="str">
            <v>Recevables Intercos</v>
          </cell>
          <cell r="AR390" t="str">
            <v>$</v>
          </cell>
          <cell r="AS390">
            <v>0</v>
          </cell>
          <cell r="AW390">
            <v>0</v>
          </cell>
          <cell r="AY390" t="str">
            <v>NB</v>
          </cell>
        </row>
        <row r="391">
          <cell r="AM391">
            <v>0</v>
          </cell>
          <cell r="AP391" t="str">
            <v>Bilan</v>
          </cell>
          <cell r="AQ391" t="str">
            <v>Recevables Intercos</v>
          </cell>
          <cell r="AR391" t="str">
            <v>$</v>
          </cell>
          <cell r="AS391">
            <v>0</v>
          </cell>
          <cell r="AW391">
            <v>0</v>
          </cell>
          <cell r="AY391" t="str">
            <v>NB</v>
          </cell>
        </row>
        <row r="392">
          <cell r="AM392">
            <v>0</v>
          </cell>
          <cell r="AP392" t="str">
            <v>Bilan</v>
          </cell>
          <cell r="AQ392" t="str">
            <v>Recevables Véhicules</v>
          </cell>
          <cell r="AR392" t="str">
            <v>$</v>
          </cell>
          <cell r="AS392">
            <v>0</v>
          </cell>
          <cell r="AW392">
            <v>0</v>
          </cell>
          <cell r="AY392" t="str">
            <v>NB</v>
          </cell>
        </row>
        <row r="393">
          <cell r="AM393">
            <v>0</v>
          </cell>
          <cell r="AP393" t="str">
            <v>Bilan</v>
          </cell>
          <cell r="AQ393" t="str">
            <v>Recevables Véhicules</v>
          </cell>
          <cell r="AR393" t="str">
            <v>$</v>
          </cell>
          <cell r="AS393">
            <v>0</v>
          </cell>
          <cell r="AW393">
            <v>0</v>
          </cell>
          <cell r="AY393" t="str">
            <v>NB</v>
          </cell>
        </row>
        <row r="394">
          <cell r="AM394">
            <v>0</v>
          </cell>
          <cell r="AP394" t="str">
            <v>Bilan</v>
          </cell>
          <cell r="AQ394" t="str">
            <v>Recevables Véhicules</v>
          </cell>
          <cell r="AR394" t="str">
            <v>$</v>
          </cell>
          <cell r="AS394">
            <v>0</v>
          </cell>
          <cell r="AW394">
            <v>0</v>
          </cell>
          <cell r="AY394" t="str">
            <v>NB</v>
          </cell>
        </row>
        <row r="395">
          <cell r="AM395">
            <v>0</v>
          </cell>
          <cell r="AP395" t="str">
            <v>Bilan</v>
          </cell>
          <cell r="AQ395" t="str">
            <v>Recevables Véhicules</v>
          </cell>
          <cell r="AR395" t="str">
            <v>$</v>
          </cell>
          <cell r="AS395">
            <v>0</v>
          </cell>
          <cell r="AW395">
            <v>0</v>
          </cell>
          <cell r="AY395" t="str">
            <v>NB</v>
          </cell>
        </row>
        <row r="396">
          <cell r="AM396">
            <v>0</v>
          </cell>
          <cell r="AP396">
            <v>0</v>
          </cell>
          <cell r="AQ396">
            <v>0</v>
          </cell>
          <cell r="AR396" t="str">
            <v>$</v>
          </cell>
          <cell r="AS396">
            <v>0</v>
          </cell>
          <cell r="AW396">
            <v>0</v>
          </cell>
          <cell r="AY396" t="str">
            <v>NB</v>
          </cell>
        </row>
        <row r="397">
          <cell r="AM397">
            <v>-78601.95</v>
          </cell>
          <cell r="AP397" t="str">
            <v>Bilan</v>
          </cell>
          <cell r="AQ397" t="str">
            <v>Recevables Véhicules</v>
          </cell>
          <cell r="AR397" t="str">
            <v>$</v>
          </cell>
          <cell r="AS397">
            <v>0</v>
          </cell>
          <cell r="AW397">
            <v>0</v>
          </cell>
          <cell r="AY397" t="str">
            <v>NB</v>
          </cell>
        </row>
        <row r="398">
          <cell r="AM398">
            <v>0</v>
          </cell>
          <cell r="AP398" t="str">
            <v>Bilan</v>
          </cell>
          <cell r="AQ398" t="str">
            <v>Recevables Intercos</v>
          </cell>
          <cell r="AR398" t="str">
            <v>$</v>
          </cell>
          <cell r="AS398">
            <v>0</v>
          </cell>
          <cell r="AW398">
            <v>0</v>
          </cell>
          <cell r="AY398" t="str">
            <v>NB</v>
          </cell>
        </row>
        <row r="399">
          <cell r="AM399">
            <v>0</v>
          </cell>
          <cell r="AP399" t="str">
            <v>Bilan</v>
          </cell>
          <cell r="AQ399" t="str">
            <v>Recevables Intercos</v>
          </cell>
          <cell r="AR399" t="str">
            <v>$</v>
          </cell>
          <cell r="AS399">
            <v>0</v>
          </cell>
          <cell r="AW399">
            <v>0</v>
          </cell>
          <cell r="AY399" t="str">
            <v>NB</v>
          </cell>
        </row>
        <row r="400">
          <cell r="AM400">
            <v>0</v>
          </cell>
          <cell r="AP400" t="str">
            <v>Bilan</v>
          </cell>
          <cell r="AQ400" t="str">
            <v>Recevables Véhicules</v>
          </cell>
          <cell r="AR400" t="str">
            <v>$</v>
          </cell>
          <cell r="AS400">
            <v>0</v>
          </cell>
          <cell r="AW400">
            <v>0</v>
          </cell>
          <cell r="AY400" t="str">
            <v>NB</v>
          </cell>
        </row>
        <row r="401">
          <cell r="AM401">
            <v>0</v>
          </cell>
          <cell r="AP401" t="str">
            <v>Bilan</v>
          </cell>
          <cell r="AQ401" t="str">
            <v>Recevables Intercos</v>
          </cell>
          <cell r="AR401" t="str">
            <v>$</v>
          </cell>
          <cell r="AS401">
            <v>0</v>
          </cell>
          <cell r="AW401">
            <v>0</v>
          </cell>
          <cell r="AY401" t="str">
            <v>NB</v>
          </cell>
        </row>
        <row r="402">
          <cell r="AM402">
            <v>0</v>
          </cell>
          <cell r="AP402" t="str">
            <v>Bilan</v>
          </cell>
          <cell r="AQ402" t="str">
            <v>Recevables Intercos</v>
          </cell>
          <cell r="AR402" t="str">
            <v>$</v>
          </cell>
          <cell r="AS402">
            <v>0</v>
          </cell>
          <cell r="AW402">
            <v>0</v>
          </cell>
          <cell r="AY402" t="str">
            <v>NB</v>
          </cell>
        </row>
        <row r="403">
          <cell r="AM403">
            <v>0</v>
          </cell>
          <cell r="AP403" t="str">
            <v>Bilan</v>
          </cell>
          <cell r="AQ403" t="str">
            <v>Recevables Intercos</v>
          </cell>
          <cell r="AR403" t="str">
            <v>$</v>
          </cell>
          <cell r="AS403">
            <v>0</v>
          </cell>
          <cell r="AW403">
            <v>0</v>
          </cell>
          <cell r="AY403" t="str">
            <v>NB</v>
          </cell>
        </row>
        <row r="404">
          <cell r="AM404">
            <v>0</v>
          </cell>
          <cell r="AP404" t="str">
            <v>Bilan</v>
          </cell>
          <cell r="AQ404" t="str">
            <v>Recevables Intercos</v>
          </cell>
          <cell r="AR404" t="str">
            <v>$</v>
          </cell>
          <cell r="AS404">
            <v>0</v>
          </cell>
          <cell r="AW404">
            <v>0</v>
          </cell>
          <cell r="AY404" t="str">
            <v>NB</v>
          </cell>
        </row>
        <row r="405">
          <cell r="AM405">
            <v>0</v>
          </cell>
          <cell r="AP405" t="str">
            <v>Bilan</v>
          </cell>
          <cell r="AQ405" t="str">
            <v>Recevables Intercos</v>
          </cell>
          <cell r="AR405" t="str">
            <v>$</v>
          </cell>
          <cell r="AS405">
            <v>0</v>
          </cell>
          <cell r="AW405">
            <v>0</v>
          </cell>
          <cell r="AY405" t="str">
            <v>NB</v>
          </cell>
        </row>
        <row r="406">
          <cell r="AM406">
            <v>0</v>
          </cell>
          <cell r="AP406" t="str">
            <v>Bilan</v>
          </cell>
          <cell r="AQ406" t="str">
            <v>Recevables Intercos</v>
          </cell>
          <cell r="AR406" t="str">
            <v>$</v>
          </cell>
          <cell r="AS406">
            <v>0</v>
          </cell>
          <cell r="AW406">
            <v>0</v>
          </cell>
          <cell r="AY406" t="str">
            <v>NB</v>
          </cell>
        </row>
        <row r="407">
          <cell r="AM407">
            <v>0</v>
          </cell>
          <cell r="AP407">
            <v>0</v>
          </cell>
          <cell r="AQ407">
            <v>0</v>
          </cell>
          <cell r="AR407" t="str">
            <v>$</v>
          </cell>
          <cell r="AS407">
            <v>0</v>
          </cell>
          <cell r="AW407">
            <v>0</v>
          </cell>
          <cell r="AY407" t="str">
            <v>NB</v>
          </cell>
        </row>
        <row r="408">
          <cell r="AM408">
            <v>0</v>
          </cell>
          <cell r="AP408" t="str">
            <v>Bilan</v>
          </cell>
          <cell r="AQ408" t="str">
            <v>Recevables Intercos</v>
          </cell>
          <cell r="AR408" t="str">
            <v>$</v>
          </cell>
          <cell r="AS408">
            <v>0</v>
          </cell>
          <cell r="AW408">
            <v>0</v>
          </cell>
          <cell r="AY408" t="str">
            <v>NB</v>
          </cell>
        </row>
        <row r="409">
          <cell r="AM409">
            <v>0</v>
          </cell>
          <cell r="AP409" t="e">
            <v>#N/A</v>
          </cell>
          <cell r="AQ409" t="e">
            <v>#N/A</v>
          </cell>
          <cell r="AR409" t="str">
            <v>$</v>
          </cell>
          <cell r="AS409" t="e">
            <v>#N/A</v>
          </cell>
          <cell r="AW409">
            <v>0</v>
          </cell>
          <cell r="AY409" t="str">
            <v>NB</v>
          </cell>
        </row>
        <row r="410">
          <cell r="AM410">
            <v>5.5799999999580905</v>
          </cell>
          <cell r="AP410" t="str">
            <v>Bilan</v>
          </cell>
          <cell r="AQ410" t="str">
            <v>Recevables Intercos</v>
          </cell>
          <cell r="AR410" t="str">
            <v>$</v>
          </cell>
          <cell r="AS410">
            <v>0</v>
          </cell>
          <cell r="AW410">
            <v>0</v>
          </cell>
          <cell r="AY410" t="str">
            <v>NB</v>
          </cell>
        </row>
        <row r="411">
          <cell r="AM411">
            <v>0</v>
          </cell>
          <cell r="AP411" t="str">
            <v>Bilan</v>
          </cell>
          <cell r="AQ411" t="str">
            <v>Recevables Intercos</v>
          </cell>
          <cell r="AR411" t="str">
            <v>$</v>
          </cell>
          <cell r="AS411">
            <v>0</v>
          </cell>
          <cell r="AW411">
            <v>0</v>
          </cell>
          <cell r="AY411" t="str">
            <v>NB</v>
          </cell>
        </row>
        <row r="412">
          <cell r="AM412">
            <v>0</v>
          </cell>
          <cell r="AP412">
            <v>0</v>
          </cell>
          <cell r="AQ412">
            <v>0</v>
          </cell>
          <cell r="AR412" t="str">
            <v>$</v>
          </cell>
          <cell r="AS412">
            <v>0</v>
          </cell>
          <cell r="AW412">
            <v>0</v>
          </cell>
          <cell r="AY412" t="str">
            <v>NB</v>
          </cell>
        </row>
        <row r="413">
          <cell r="AM413">
            <v>0</v>
          </cell>
          <cell r="AP413" t="str">
            <v>Bilan</v>
          </cell>
          <cell r="AQ413" t="str">
            <v>Recevables Intercos</v>
          </cell>
          <cell r="AR413" t="str">
            <v>$</v>
          </cell>
          <cell r="AS413">
            <v>0</v>
          </cell>
          <cell r="AW413">
            <v>0</v>
          </cell>
          <cell r="AY413" t="str">
            <v>NB</v>
          </cell>
        </row>
        <row r="414">
          <cell r="AM414">
            <v>0</v>
          </cell>
          <cell r="AP414" t="str">
            <v>Bilan</v>
          </cell>
          <cell r="AQ414" t="str">
            <v>Recevables Véhicules</v>
          </cell>
          <cell r="AR414" t="str">
            <v>$</v>
          </cell>
          <cell r="AS414">
            <v>0</v>
          </cell>
          <cell r="AW414">
            <v>0</v>
          </cell>
          <cell r="AY414" t="str">
            <v>NB</v>
          </cell>
        </row>
        <row r="415">
          <cell r="AM415">
            <v>0</v>
          </cell>
          <cell r="AP415" t="str">
            <v>Bilan</v>
          </cell>
          <cell r="AQ415" t="str">
            <v>Recevables Véhicules</v>
          </cell>
          <cell r="AR415" t="str">
            <v>$</v>
          </cell>
          <cell r="AS415">
            <v>0</v>
          </cell>
          <cell r="AW415">
            <v>0</v>
          </cell>
          <cell r="AY415" t="str">
            <v>NB</v>
          </cell>
        </row>
        <row r="416">
          <cell r="AM416">
            <v>0</v>
          </cell>
          <cell r="AP416" t="e">
            <v>#N/A</v>
          </cell>
          <cell r="AQ416" t="e">
            <v>#N/A</v>
          </cell>
          <cell r="AR416" t="str">
            <v>$</v>
          </cell>
          <cell r="AS416" t="e">
            <v>#N/A</v>
          </cell>
          <cell r="AW416">
            <v>0</v>
          </cell>
          <cell r="AY416" t="str">
            <v>NB</v>
          </cell>
        </row>
        <row r="417">
          <cell r="AM417">
            <v>0</v>
          </cell>
          <cell r="AP417" t="str">
            <v>Bilan</v>
          </cell>
          <cell r="AQ417" t="str">
            <v>Encaisse</v>
          </cell>
          <cell r="AR417" t="str">
            <v>$</v>
          </cell>
          <cell r="AS417">
            <v>0</v>
          </cell>
          <cell r="AW417">
            <v>0</v>
          </cell>
          <cell r="AY417" t="str">
            <v>NB</v>
          </cell>
        </row>
        <row r="418">
          <cell r="AM418">
            <v>0</v>
          </cell>
          <cell r="AP418" t="str">
            <v>Bilan</v>
          </cell>
          <cell r="AQ418" t="str">
            <v>Encaisse</v>
          </cell>
          <cell r="AR418" t="str">
            <v>$</v>
          </cell>
          <cell r="AS418">
            <v>0</v>
          </cell>
          <cell r="AW418">
            <v>0</v>
          </cell>
          <cell r="AY418" t="str">
            <v>NB</v>
          </cell>
        </row>
        <row r="419">
          <cell r="AM419">
            <v>0</v>
          </cell>
          <cell r="AP419" t="str">
            <v>Bilan</v>
          </cell>
          <cell r="AQ419" t="str">
            <v>Encaisse</v>
          </cell>
          <cell r="AR419" t="str">
            <v>$</v>
          </cell>
          <cell r="AS419">
            <v>0</v>
          </cell>
          <cell r="AW419">
            <v>0</v>
          </cell>
          <cell r="AY419" t="str">
            <v>NB</v>
          </cell>
        </row>
        <row r="420">
          <cell r="AM420">
            <v>0</v>
          </cell>
          <cell r="AP420" t="str">
            <v>Bilan</v>
          </cell>
          <cell r="AQ420" t="str">
            <v>Encaisse</v>
          </cell>
          <cell r="AR420" t="str">
            <v>$</v>
          </cell>
          <cell r="AS420">
            <v>0</v>
          </cell>
          <cell r="AW420">
            <v>0</v>
          </cell>
          <cell r="AY420" t="str">
            <v>NB</v>
          </cell>
        </row>
        <row r="421">
          <cell r="AM421">
            <v>0</v>
          </cell>
          <cell r="AP421" t="str">
            <v>Bilan</v>
          </cell>
          <cell r="AQ421" t="str">
            <v>Encaisse</v>
          </cell>
          <cell r="AR421" t="str">
            <v>$</v>
          </cell>
          <cell r="AS421">
            <v>0</v>
          </cell>
          <cell r="AW421">
            <v>0</v>
          </cell>
          <cell r="AY421" t="str">
            <v>NB</v>
          </cell>
        </row>
        <row r="422">
          <cell r="AM422">
            <v>0</v>
          </cell>
          <cell r="AP422" t="str">
            <v>Bilan</v>
          </cell>
          <cell r="AQ422" t="str">
            <v>Encaisse</v>
          </cell>
          <cell r="AR422" t="str">
            <v>$</v>
          </cell>
          <cell r="AS422">
            <v>0</v>
          </cell>
          <cell r="AW422">
            <v>0</v>
          </cell>
          <cell r="AY422" t="str">
            <v>NB</v>
          </cell>
        </row>
        <row r="423">
          <cell r="AM423">
            <v>0</v>
          </cell>
          <cell r="AP423" t="e">
            <v>#N/A</v>
          </cell>
          <cell r="AQ423" t="e">
            <v>#N/A</v>
          </cell>
          <cell r="AR423" t="str">
            <v>$</v>
          </cell>
          <cell r="AS423" t="e">
            <v>#N/A</v>
          </cell>
          <cell r="AW423">
            <v>0</v>
          </cell>
          <cell r="AY423" t="str">
            <v>NB</v>
          </cell>
        </row>
        <row r="424">
          <cell r="AM424">
            <v>-198600.22000000003</v>
          </cell>
          <cell r="AP424" t="str">
            <v>Bilan</v>
          </cell>
          <cell r="AQ424" t="str">
            <v>Inventaire Véhicules Neufs</v>
          </cell>
          <cell r="AR424" t="str">
            <v>$</v>
          </cell>
          <cell r="AS424">
            <v>0</v>
          </cell>
          <cell r="AW424">
            <v>0</v>
          </cell>
          <cell r="AY424" t="str">
            <v>NB</v>
          </cell>
        </row>
        <row r="425">
          <cell r="AM425">
            <v>0</v>
          </cell>
          <cell r="AP425" t="e">
            <v>#N/A</v>
          </cell>
          <cell r="AQ425" t="e">
            <v>#N/A</v>
          </cell>
          <cell r="AR425" t="str">
            <v>$</v>
          </cell>
          <cell r="AS425" t="e">
            <v>#N/A</v>
          </cell>
          <cell r="AW425">
            <v>0</v>
          </cell>
          <cell r="AY425" t="str">
            <v>NB</v>
          </cell>
        </row>
        <row r="426">
          <cell r="AM426">
            <v>-340307.40000000037</v>
          </cell>
          <cell r="AP426" t="str">
            <v>Bilan</v>
          </cell>
          <cell r="AQ426" t="str">
            <v>Inventaire Véhicules Neufs</v>
          </cell>
          <cell r="AR426" t="str">
            <v>$</v>
          </cell>
          <cell r="AS426">
            <v>0</v>
          </cell>
          <cell r="AW426">
            <v>0</v>
          </cell>
          <cell r="AY426" t="str">
            <v>NB</v>
          </cell>
        </row>
        <row r="427">
          <cell r="AM427">
            <v>-28908.01999999999</v>
          </cell>
          <cell r="AP427" t="str">
            <v>Bilan</v>
          </cell>
          <cell r="AQ427" t="str">
            <v>Inventaire Véhicules Usagés</v>
          </cell>
          <cell r="AR427" t="str">
            <v>$</v>
          </cell>
          <cell r="AS427">
            <v>0</v>
          </cell>
          <cell r="AW427">
            <v>0</v>
          </cell>
          <cell r="AY427" t="str">
            <v>NB</v>
          </cell>
        </row>
        <row r="428">
          <cell r="AM428">
            <v>0</v>
          </cell>
          <cell r="AP428" t="e">
            <v>#N/A</v>
          </cell>
          <cell r="AQ428" t="e">
            <v>#N/A</v>
          </cell>
          <cell r="AR428" t="str">
            <v>$</v>
          </cell>
          <cell r="AS428" t="e">
            <v>#N/A</v>
          </cell>
          <cell r="AW428">
            <v>0</v>
          </cell>
          <cell r="AY428" t="str">
            <v>NB</v>
          </cell>
        </row>
        <row r="429">
          <cell r="AM429">
            <v>-251585.69999999972</v>
          </cell>
          <cell r="AP429" t="str">
            <v>Bilan</v>
          </cell>
          <cell r="AQ429" t="str">
            <v>Inventaire Véhicules Usagés</v>
          </cell>
          <cell r="AR429" t="str">
            <v>$</v>
          </cell>
          <cell r="AS429">
            <v>0</v>
          </cell>
          <cell r="AW429">
            <v>0</v>
          </cell>
          <cell r="AY429" t="str">
            <v>NB</v>
          </cell>
        </row>
        <row r="430">
          <cell r="AM430">
            <v>-164260.86000000004</v>
          </cell>
          <cell r="AP430" t="str">
            <v>Bilan</v>
          </cell>
          <cell r="AQ430" t="str">
            <v>Inventaire Véhicules Usagés</v>
          </cell>
          <cell r="AR430" t="str">
            <v>$</v>
          </cell>
          <cell r="AS430">
            <v>0</v>
          </cell>
          <cell r="AW430">
            <v>0</v>
          </cell>
          <cell r="AY430" t="str">
            <v>NB</v>
          </cell>
        </row>
        <row r="431">
          <cell r="AM431">
            <v>-604838.04999999981</v>
          </cell>
          <cell r="AP431" t="str">
            <v>Bilan</v>
          </cell>
          <cell r="AQ431" t="str">
            <v>Inventaire Véhicules Usagés</v>
          </cell>
          <cell r="AR431" t="str">
            <v>$</v>
          </cell>
          <cell r="AS431">
            <v>0</v>
          </cell>
          <cell r="AW431">
            <v>0</v>
          </cell>
          <cell r="AY431" t="str">
            <v>NB</v>
          </cell>
        </row>
        <row r="432">
          <cell r="AM432">
            <v>786000</v>
          </cell>
          <cell r="AP432" t="str">
            <v>Bilan</v>
          </cell>
          <cell r="AQ432" t="str">
            <v>Inventaire Véhicules Usagés</v>
          </cell>
          <cell r="AR432" t="str">
            <v>$</v>
          </cell>
          <cell r="AS432">
            <v>0</v>
          </cell>
          <cell r="AW432">
            <v>0</v>
          </cell>
          <cell r="AY432" t="str">
            <v>NB</v>
          </cell>
        </row>
        <row r="433">
          <cell r="AM433">
            <v>0</v>
          </cell>
          <cell r="AP433" t="e">
            <v>#N/A</v>
          </cell>
          <cell r="AQ433" t="e">
            <v>#N/A</v>
          </cell>
          <cell r="AR433" t="str">
            <v>$</v>
          </cell>
          <cell r="AS433" t="e">
            <v>#N/A</v>
          </cell>
          <cell r="AW433">
            <v>0</v>
          </cell>
          <cell r="AY433" t="str">
            <v>NB</v>
          </cell>
        </row>
        <row r="434">
          <cell r="AM434">
            <v>44308.369999999995</v>
          </cell>
          <cell r="AP434" t="str">
            <v>Bilan</v>
          </cell>
          <cell r="AQ434" t="str">
            <v>Inventaire Pièces, Pneus, Huile</v>
          </cell>
          <cell r="AR434" t="str">
            <v>$</v>
          </cell>
          <cell r="AS434">
            <v>0</v>
          </cell>
          <cell r="AW434">
            <v>0</v>
          </cell>
          <cell r="AY434" t="str">
            <v>NB</v>
          </cell>
        </row>
        <row r="435">
          <cell r="AM435">
            <v>20771.579999999994</v>
          </cell>
          <cell r="AP435" t="str">
            <v>Bilan</v>
          </cell>
          <cell r="AQ435" t="str">
            <v>Inventaire Pièces, Pneus, Huile</v>
          </cell>
          <cell r="AR435" t="str">
            <v>$</v>
          </cell>
          <cell r="AS435">
            <v>0</v>
          </cell>
          <cell r="AW435">
            <v>0</v>
          </cell>
          <cell r="AY435" t="str">
            <v>NB</v>
          </cell>
        </row>
        <row r="436">
          <cell r="AM436">
            <v>0</v>
          </cell>
          <cell r="AP436" t="e">
            <v>#N/A</v>
          </cell>
          <cell r="AQ436" t="e">
            <v>#N/A</v>
          </cell>
          <cell r="AR436" t="str">
            <v>$</v>
          </cell>
          <cell r="AS436" t="e">
            <v>#N/A</v>
          </cell>
          <cell r="AW436">
            <v>0</v>
          </cell>
          <cell r="AY436" t="str">
            <v>NB</v>
          </cell>
        </row>
        <row r="437">
          <cell r="AM437">
            <v>0</v>
          </cell>
          <cell r="AP437" t="e">
            <v>#N/A</v>
          </cell>
          <cell r="AQ437" t="e">
            <v>#N/A</v>
          </cell>
          <cell r="AR437" t="str">
            <v>$</v>
          </cell>
          <cell r="AS437" t="e">
            <v>#N/A</v>
          </cell>
          <cell r="AW437">
            <v>0</v>
          </cell>
          <cell r="AY437" t="str">
            <v>NB</v>
          </cell>
        </row>
        <row r="438">
          <cell r="AM438">
            <v>7154.9499999999989</v>
          </cell>
          <cell r="AP438" t="str">
            <v>Bilan</v>
          </cell>
          <cell r="AQ438" t="str">
            <v>Inventaire Pièces, Pneus, Huile</v>
          </cell>
          <cell r="AR438" t="str">
            <v>$</v>
          </cell>
          <cell r="AS438">
            <v>0</v>
          </cell>
          <cell r="AW438">
            <v>0</v>
          </cell>
          <cell r="AY438" t="str">
            <v>NB</v>
          </cell>
        </row>
        <row r="439">
          <cell r="AM439">
            <v>7639.47</v>
          </cell>
          <cell r="AP439" t="str">
            <v>Bilan</v>
          </cell>
          <cell r="AQ439" t="str">
            <v>Inventaire Pièces, Pneus, Huile</v>
          </cell>
          <cell r="AR439" t="str">
            <v>$</v>
          </cell>
          <cell r="AS439">
            <v>0</v>
          </cell>
          <cell r="AW439">
            <v>0</v>
          </cell>
          <cell r="AY439" t="str">
            <v>NB</v>
          </cell>
        </row>
        <row r="440">
          <cell r="AM440">
            <v>-9548.6600000000035</v>
          </cell>
          <cell r="AP440" t="str">
            <v>Bilan</v>
          </cell>
          <cell r="AQ440" t="str">
            <v>Inventaire Pièces, Pneus, Huile</v>
          </cell>
          <cell r="AR440" t="str">
            <v>$</v>
          </cell>
          <cell r="AS440">
            <v>0</v>
          </cell>
          <cell r="AW440">
            <v>0</v>
          </cell>
          <cell r="AY440" t="str">
            <v>NB</v>
          </cell>
        </row>
        <row r="441">
          <cell r="AM441">
            <v>0</v>
          </cell>
          <cell r="AP441" t="e">
            <v>#N/A</v>
          </cell>
          <cell r="AQ441" t="e">
            <v>#N/A</v>
          </cell>
          <cell r="AR441" t="str">
            <v>$</v>
          </cell>
          <cell r="AS441" t="e">
            <v>#N/A</v>
          </cell>
          <cell r="AW441">
            <v>0</v>
          </cell>
          <cell r="AY441" t="str">
            <v>NB</v>
          </cell>
        </row>
        <row r="442">
          <cell r="AM442">
            <v>1789.9199999999998</v>
          </cell>
          <cell r="AP442" t="str">
            <v>Bilan</v>
          </cell>
          <cell r="AQ442" t="str">
            <v>Inventaire Pièces, Pneus, Huile</v>
          </cell>
          <cell r="AR442" t="str">
            <v>$</v>
          </cell>
          <cell r="AS442">
            <v>0</v>
          </cell>
          <cell r="AW442">
            <v>0</v>
          </cell>
          <cell r="AY442" t="str">
            <v>NB</v>
          </cell>
        </row>
        <row r="443">
          <cell r="AM443">
            <v>303.26</v>
          </cell>
          <cell r="AP443" t="str">
            <v>Bilan</v>
          </cell>
          <cell r="AQ443" t="str">
            <v>Inventaire Pièces, Pneus, Huile</v>
          </cell>
          <cell r="AR443" t="str">
            <v>$</v>
          </cell>
          <cell r="AS443">
            <v>0</v>
          </cell>
          <cell r="AW443">
            <v>0</v>
          </cell>
          <cell r="AY443" t="str">
            <v>NB</v>
          </cell>
        </row>
        <row r="444">
          <cell r="AM444">
            <v>-170</v>
          </cell>
          <cell r="AP444" t="str">
            <v>Bilan</v>
          </cell>
          <cell r="AQ444" t="str">
            <v>Sous-Traitance</v>
          </cell>
          <cell r="AR444" t="str">
            <v>$</v>
          </cell>
          <cell r="AS444">
            <v>0</v>
          </cell>
          <cell r="AW444">
            <v>0</v>
          </cell>
          <cell r="AY444" t="str">
            <v>NB</v>
          </cell>
        </row>
        <row r="445">
          <cell r="AM445">
            <v>4009.7700000000004</v>
          </cell>
          <cell r="AP445" t="str">
            <v>Bilan</v>
          </cell>
          <cell r="AQ445" t="str">
            <v>Sous-Traitance</v>
          </cell>
          <cell r="AR445" t="str">
            <v>$</v>
          </cell>
          <cell r="AS445">
            <v>0</v>
          </cell>
          <cell r="AW445">
            <v>0</v>
          </cell>
          <cell r="AY445" t="str">
            <v>NB</v>
          </cell>
        </row>
        <row r="446">
          <cell r="AM446">
            <v>0</v>
          </cell>
          <cell r="AP446" t="str">
            <v>Bilan</v>
          </cell>
          <cell r="AQ446" t="str">
            <v>Sous-Traitance</v>
          </cell>
          <cell r="AR446" t="str">
            <v>$</v>
          </cell>
          <cell r="AS446">
            <v>0</v>
          </cell>
          <cell r="AW446">
            <v>0</v>
          </cell>
          <cell r="AY446" t="str">
            <v>NB</v>
          </cell>
        </row>
        <row r="447">
          <cell r="AM447">
            <v>7216.1299999999992</v>
          </cell>
          <cell r="AP447" t="str">
            <v>Bilan</v>
          </cell>
          <cell r="AQ447" t="str">
            <v>Travaux en Cours</v>
          </cell>
          <cell r="AR447" t="str">
            <v>$</v>
          </cell>
          <cell r="AS447">
            <v>0</v>
          </cell>
          <cell r="AW447">
            <v>0</v>
          </cell>
          <cell r="AY447" t="str">
            <v>NB</v>
          </cell>
        </row>
        <row r="448">
          <cell r="AM448">
            <v>-316.14</v>
          </cell>
          <cell r="AP448" t="str">
            <v>Bilan</v>
          </cell>
          <cell r="AQ448" t="str">
            <v>Travaux en Cours</v>
          </cell>
          <cell r="AR448" t="str">
            <v>$</v>
          </cell>
          <cell r="AS448">
            <v>0</v>
          </cell>
          <cell r="AW448">
            <v>0</v>
          </cell>
          <cell r="AY448" t="str">
            <v>NB</v>
          </cell>
        </row>
        <row r="449">
          <cell r="AM449">
            <v>-1548.08</v>
          </cell>
          <cell r="AP449" t="str">
            <v>Bilan</v>
          </cell>
          <cell r="AQ449" t="str">
            <v>Travaux en Cours</v>
          </cell>
          <cell r="AR449" t="str">
            <v>$</v>
          </cell>
          <cell r="AS449">
            <v>0</v>
          </cell>
          <cell r="AW449">
            <v>0</v>
          </cell>
          <cell r="AY449" t="str">
            <v>NB</v>
          </cell>
        </row>
        <row r="450">
          <cell r="AM450">
            <v>384.02000000000004</v>
          </cell>
          <cell r="AP450" t="str">
            <v>Bilan</v>
          </cell>
          <cell r="AQ450" t="str">
            <v>Travaux en Cours</v>
          </cell>
          <cell r="AR450" t="str">
            <v>$</v>
          </cell>
          <cell r="AS450">
            <v>0</v>
          </cell>
          <cell r="AW450">
            <v>0</v>
          </cell>
          <cell r="AY450" t="str">
            <v>NB</v>
          </cell>
        </row>
        <row r="451">
          <cell r="AM451">
            <v>26000</v>
          </cell>
          <cell r="AP451" t="str">
            <v>Bilan</v>
          </cell>
          <cell r="AQ451" t="str">
            <v>Recevables Autres</v>
          </cell>
          <cell r="AR451" t="str">
            <v>$</v>
          </cell>
          <cell r="AS451">
            <v>0</v>
          </cell>
          <cell r="AW451">
            <v>0</v>
          </cell>
          <cell r="AY451" t="str">
            <v>NB</v>
          </cell>
        </row>
        <row r="452">
          <cell r="AM452">
            <v>0</v>
          </cell>
          <cell r="AP452" t="e">
            <v>#N/A</v>
          </cell>
          <cell r="AQ452" t="e">
            <v>#N/A</v>
          </cell>
          <cell r="AR452" t="str">
            <v>$</v>
          </cell>
          <cell r="AS452" t="e">
            <v>#N/A</v>
          </cell>
          <cell r="AW452">
            <v>0</v>
          </cell>
          <cell r="AY452" t="str">
            <v>NB</v>
          </cell>
        </row>
        <row r="453">
          <cell r="AM453">
            <v>0</v>
          </cell>
          <cell r="AP453">
            <v>0</v>
          </cell>
          <cell r="AQ453">
            <v>0</v>
          </cell>
          <cell r="AR453" t="str">
            <v>$</v>
          </cell>
          <cell r="AS453">
            <v>0</v>
          </cell>
          <cell r="AW453">
            <v>0</v>
          </cell>
          <cell r="AY453" t="str">
            <v>NB</v>
          </cell>
        </row>
        <row r="454">
          <cell r="AM454">
            <v>0</v>
          </cell>
          <cell r="AP454" t="str">
            <v>Bilan</v>
          </cell>
          <cell r="AQ454" t="str">
            <v>Encaisse</v>
          </cell>
          <cell r="AR454" t="str">
            <v>$</v>
          </cell>
          <cell r="AS454">
            <v>0</v>
          </cell>
          <cell r="AW454">
            <v>0</v>
          </cell>
          <cell r="AY454" t="str">
            <v>NB</v>
          </cell>
        </row>
        <row r="455">
          <cell r="AM455">
            <v>-5727.1700000000019</v>
          </cell>
          <cell r="AP455" t="str">
            <v>Bilan</v>
          </cell>
          <cell r="AQ455" t="str">
            <v>Recevables Manufacturier</v>
          </cell>
          <cell r="AR455" t="str">
            <v>$</v>
          </cell>
          <cell r="AS455">
            <v>0</v>
          </cell>
          <cell r="AW455">
            <v>0</v>
          </cell>
          <cell r="AY455" t="str">
            <v>NB</v>
          </cell>
        </row>
        <row r="456">
          <cell r="AM456">
            <v>-23990.86</v>
          </cell>
          <cell r="AP456" t="str">
            <v>Bilan</v>
          </cell>
          <cell r="AQ456" t="str">
            <v>Recevables Manufacturier</v>
          </cell>
          <cell r="AR456" t="str">
            <v>$</v>
          </cell>
          <cell r="AS456">
            <v>0</v>
          </cell>
          <cell r="AW456">
            <v>0</v>
          </cell>
          <cell r="AY456" t="str">
            <v>NB</v>
          </cell>
        </row>
        <row r="457">
          <cell r="AM457">
            <v>-3637.1300000000047</v>
          </cell>
          <cell r="AP457" t="str">
            <v>Bilan</v>
          </cell>
          <cell r="AQ457" t="str">
            <v>Recevables Manufacturier</v>
          </cell>
          <cell r="AR457" t="str">
            <v>$</v>
          </cell>
          <cell r="AS457">
            <v>0</v>
          </cell>
          <cell r="AW457">
            <v>0</v>
          </cell>
          <cell r="AY457" t="str">
            <v>NB</v>
          </cell>
        </row>
        <row r="458">
          <cell r="AM458">
            <v>2300</v>
          </cell>
          <cell r="AP458" t="str">
            <v>Bilan</v>
          </cell>
          <cell r="AQ458" t="str">
            <v>Frais Payés d'Avance</v>
          </cell>
          <cell r="AR458" t="str">
            <v>$</v>
          </cell>
          <cell r="AS458">
            <v>0</v>
          </cell>
          <cell r="AW458">
            <v>0</v>
          </cell>
          <cell r="AY458" t="str">
            <v>NB</v>
          </cell>
        </row>
        <row r="459">
          <cell r="AM459">
            <v>-2808</v>
          </cell>
          <cell r="AP459" t="str">
            <v>Bilan</v>
          </cell>
          <cell r="AQ459" t="str">
            <v>Frais Payés d'Avance</v>
          </cell>
          <cell r="AR459" t="str">
            <v>$</v>
          </cell>
          <cell r="AS459">
            <v>0</v>
          </cell>
          <cell r="AW459">
            <v>0</v>
          </cell>
          <cell r="AY459" t="str">
            <v>NB</v>
          </cell>
        </row>
        <row r="460">
          <cell r="AM460">
            <v>-50251.040000000001</v>
          </cell>
          <cell r="AP460" t="str">
            <v>Bilan</v>
          </cell>
          <cell r="AQ460" t="str">
            <v>Recevables Garantie Manufacturier</v>
          </cell>
          <cell r="AR460" t="str">
            <v>$</v>
          </cell>
          <cell r="AS460">
            <v>0</v>
          </cell>
          <cell r="AW460">
            <v>0</v>
          </cell>
          <cell r="AY460" t="str">
            <v>NB</v>
          </cell>
        </row>
        <row r="461">
          <cell r="AM461">
            <v>0</v>
          </cell>
          <cell r="AP461" t="e">
            <v>#N/A</v>
          </cell>
          <cell r="AQ461" t="e">
            <v>#N/A</v>
          </cell>
          <cell r="AR461" t="str">
            <v>$</v>
          </cell>
          <cell r="AS461" t="e">
            <v>#N/A</v>
          </cell>
          <cell r="AW461">
            <v>0</v>
          </cell>
          <cell r="AY461" t="str">
            <v>NB</v>
          </cell>
        </row>
        <row r="462">
          <cell r="AM462">
            <v>0</v>
          </cell>
          <cell r="AP462" t="e">
            <v>#N/A</v>
          </cell>
          <cell r="AQ462" t="e">
            <v>#N/A</v>
          </cell>
          <cell r="AR462" t="str">
            <v>$</v>
          </cell>
          <cell r="AS462" t="e">
            <v>#N/A</v>
          </cell>
          <cell r="AW462">
            <v>0</v>
          </cell>
          <cell r="AY462" t="str">
            <v>NB</v>
          </cell>
        </row>
        <row r="463">
          <cell r="AM463">
            <v>0</v>
          </cell>
          <cell r="AP463" t="e">
            <v>#N/A</v>
          </cell>
          <cell r="AQ463" t="e">
            <v>#N/A</v>
          </cell>
          <cell r="AR463" t="str">
            <v>$</v>
          </cell>
          <cell r="AS463" t="e">
            <v>#N/A</v>
          </cell>
          <cell r="AW463">
            <v>0</v>
          </cell>
          <cell r="AY463" t="str">
            <v>NB</v>
          </cell>
        </row>
        <row r="464">
          <cell r="AM464">
            <v>-79077.010000000009</v>
          </cell>
          <cell r="AP464" t="str">
            <v>Bilan</v>
          </cell>
          <cell r="AQ464" t="str">
            <v>Recevables Autres</v>
          </cell>
          <cell r="AR464" t="str">
            <v>$</v>
          </cell>
          <cell r="AS464">
            <v>0</v>
          </cell>
          <cell r="AW464">
            <v>0</v>
          </cell>
          <cell r="AY464" t="str">
            <v>NB</v>
          </cell>
        </row>
        <row r="465">
          <cell r="AM465">
            <v>16336.84</v>
          </cell>
          <cell r="AP465" t="str">
            <v>Bilan</v>
          </cell>
          <cell r="AQ465" t="str">
            <v>Frais Payés d'Avance</v>
          </cell>
          <cell r="AR465" t="str">
            <v>$</v>
          </cell>
          <cell r="AS465">
            <v>0</v>
          </cell>
          <cell r="AW465">
            <v>0</v>
          </cell>
          <cell r="AY465" t="str">
            <v>NB</v>
          </cell>
        </row>
        <row r="466">
          <cell r="AM466">
            <v>-4727.6099999999988</v>
          </cell>
          <cell r="AP466" t="str">
            <v>Bilan</v>
          </cell>
          <cell r="AQ466" t="str">
            <v>Frais Payés d'Avance</v>
          </cell>
          <cell r="AR466" t="str">
            <v>$</v>
          </cell>
          <cell r="AS466">
            <v>0</v>
          </cell>
          <cell r="AW466">
            <v>0</v>
          </cell>
          <cell r="AY466" t="str">
            <v>NB</v>
          </cell>
        </row>
        <row r="467">
          <cell r="AM467">
            <v>-7841.2900000000009</v>
          </cell>
          <cell r="AP467" t="str">
            <v>Bilan</v>
          </cell>
          <cell r="AQ467" t="str">
            <v>Frais Payés d'Avance</v>
          </cell>
          <cell r="AR467" t="str">
            <v>$</v>
          </cell>
          <cell r="AS467">
            <v>0</v>
          </cell>
          <cell r="AW467">
            <v>0</v>
          </cell>
          <cell r="AY467" t="str">
            <v>NB</v>
          </cell>
        </row>
        <row r="468">
          <cell r="AM468">
            <v>21281.089999999997</v>
          </cell>
          <cell r="AP468" t="str">
            <v>Bilan</v>
          </cell>
          <cell r="AQ468" t="str">
            <v>Frais Payés d'Avance</v>
          </cell>
          <cell r="AR468" t="str">
            <v>$</v>
          </cell>
          <cell r="AS468">
            <v>0</v>
          </cell>
          <cell r="AW468">
            <v>0</v>
          </cell>
          <cell r="AY468" t="str">
            <v>NB</v>
          </cell>
        </row>
        <row r="469">
          <cell r="AM469">
            <v>0</v>
          </cell>
          <cell r="AP469" t="e">
            <v>#N/A</v>
          </cell>
          <cell r="AQ469" t="e">
            <v>#N/A</v>
          </cell>
          <cell r="AR469" t="str">
            <v>$</v>
          </cell>
          <cell r="AS469" t="e">
            <v>#N/A</v>
          </cell>
          <cell r="AW469">
            <v>0</v>
          </cell>
          <cell r="AY469" t="str">
            <v>NB</v>
          </cell>
        </row>
        <row r="470">
          <cell r="AM470">
            <v>193.57999999999993</v>
          </cell>
          <cell r="AP470" t="str">
            <v>Bilan</v>
          </cell>
          <cell r="AQ470" t="str">
            <v>Frais Payés d'Avance</v>
          </cell>
          <cell r="AR470" t="str">
            <v>$</v>
          </cell>
          <cell r="AS470">
            <v>0</v>
          </cell>
          <cell r="AW470">
            <v>0</v>
          </cell>
          <cell r="AY470" t="str">
            <v>NB</v>
          </cell>
        </row>
        <row r="471">
          <cell r="AM471">
            <v>-4119.08</v>
          </cell>
          <cell r="AP471" t="str">
            <v>Bilan</v>
          </cell>
          <cell r="AQ471" t="str">
            <v>Frais Payés d'Avance</v>
          </cell>
          <cell r="AR471" t="str">
            <v>$</v>
          </cell>
          <cell r="AS471">
            <v>0</v>
          </cell>
          <cell r="AW471">
            <v>0</v>
          </cell>
          <cell r="AY471" t="str">
            <v>NB</v>
          </cell>
        </row>
        <row r="472">
          <cell r="AM472">
            <v>-216.5</v>
          </cell>
          <cell r="AP472" t="str">
            <v>Bilan</v>
          </cell>
          <cell r="AQ472" t="str">
            <v>Frais Payés d'Avance</v>
          </cell>
          <cell r="AR472" t="str">
            <v>$</v>
          </cell>
          <cell r="AS472">
            <v>0</v>
          </cell>
          <cell r="AW472">
            <v>0</v>
          </cell>
          <cell r="AY472" t="str">
            <v>NB</v>
          </cell>
        </row>
        <row r="473">
          <cell r="AM473">
            <v>-227.19999999999993</v>
          </cell>
          <cell r="AP473" t="str">
            <v>Bilan</v>
          </cell>
          <cell r="AQ473" t="str">
            <v>Frais Payés d'Avance</v>
          </cell>
          <cell r="AR473" t="str">
            <v>$</v>
          </cell>
          <cell r="AS473">
            <v>0</v>
          </cell>
          <cell r="AW473">
            <v>0</v>
          </cell>
          <cell r="AY473" t="str">
            <v>NB</v>
          </cell>
        </row>
        <row r="474">
          <cell r="AM474">
            <v>-17271.759999999995</v>
          </cell>
          <cell r="AP474" t="str">
            <v>Bilan</v>
          </cell>
          <cell r="AQ474" t="str">
            <v>Frais Payés d'Avance</v>
          </cell>
          <cell r="AR474" t="str">
            <v>$</v>
          </cell>
          <cell r="AS474">
            <v>0</v>
          </cell>
          <cell r="AW474">
            <v>0</v>
          </cell>
          <cell r="AY474" t="str">
            <v>NB</v>
          </cell>
        </row>
        <row r="475">
          <cell r="AM475">
            <v>-787.5</v>
          </cell>
          <cell r="AP475" t="str">
            <v>Bilan</v>
          </cell>
          <cell r="AQ475" t="str">
            <v>Frais Payés d'Avance</v>
          </cell>
          <cell r="AR475" t="str">
            <v>$</v>
          </cell>
          <cell r="AS475">
            <v>0</v>
          </cell>
          <cell r="AW475">
            <v>0</v>
          </cell>
          <cell r="AY475" t="str">
            <v>NB</v>
          </cell>
        </row>
        <row r="476">
          <cell r="AM476">
            <v>-7564</v>
          </cell>
          <cell r="AP476" t="str">
            <v>Bilan</v>
          </cell>
          <cell r="AQ476" t="str">
            <v>Frais Payés d'Avance</v>
          </cell>
          <cell r="AR476" t="str">
            <v>$</v>
          </cell>
          <cell r="AS476">
            <v>0</v>
          </cell>
          <cell r="AW476">
            <v>0</v>
          </cell>
          <cell r="AY476" t="str">
            <v>NB</v>
          </cell>
        </row>
        <row r="477">
          <cell r="AM477">
            <v>0</v>
          </cell>
          <cell r="AP477" t="e">
            <v>#N/A</v>
          </cell>
          <cell r="AQ477" t="e">
            <v>#N/A</v>
          </cell>
          <cell r="AR477" t="str">
            <v>$</v>
          </cell>
          <cell r="AS477" t="e">
            <v>#N/A</v>
          </cell>
          <cell r="AW477">
            <v>0</v>
          </cell>
          <cell r="AY477" t="str">
            <v>NB</v>
          </cell>
        </row>
        <row r="478">
          <cell r="AM478">
            <v>0</v>
          </cell>
          <cell r="AP478">
            <v>0</v>
          </cell>
          <cell r="AQ478">
            <v>0</v>
          </cell>
          <cell r="AR478" t="str">
            <v>$</v>
          </cell>
          <cell r="AS478">
            <v>0</v>
          </cell>
          <cell r="AW478">
            <v>0</v>
          </cell>
          <cell r="AY478" t="str">
            <v>NB</v>
          </cell>
        </row>
        <row r="479">
          <cell r="AM479">
            <v>0</v>
          </cell>
          <cell r="AP479" t="str">
            <v>Bilan</v>
          </cell>
          <cell r="AQ479" t="str">
            <v>Équipements Service</v>
          </cell>
          <cell r="AR479" t="str">
            <v>$</v>
          </cell>
          <cell r="AS479">
            <v>0</v>
          </cell>
          <cell r="AW479">
            <v>0</v>
          </cell>
          <cell r="AY479" t="str">
            <v>NB</v>
          </cell>
        </row>
        <row r="480">
          <cell r="AM480">
            <v>0</v>
          </cell>
          <cell r="AP480" t="str">
            <v>Bilan</v>
          </cell>
          <cell r="AQ480" t="str">
            <v>Équipements Service</v>
          </cell>
          <cell r="AR480" t="str">
            <v>$</v>
          </cell>
          <cell r="AS480">
            <v>0</v>
          </cell>
          <cell r="AW480">
            <v>0</v>
          </cell>
          <cell r="AY480" t="str">
            <v>NB</v>
          </cell>
        </row>
        <row r="481">
          <cell r="AM481">
            <v>0</v>
          </cell>
          <cell r="AP481" t="str">
            <v>Bilan</v>
          </cell>
          <cell r="AQ481" t="str">
            <v>Équipements Service</v>
          </cell>
          <cell r="AR481" t="str">
            <v>$</v>
          </cell>
          <cell r="AS481">
            <v>0</v>
          </cell>
          <cell r="AW481">
            <v>0</v>
          </cell>
          <cell r="AY481" t="str">
            <v>NB</v>
          </cell>
        </row>
        <row r="482">
          <cell r="AM482">
            <v>10504.609999999986</v>
          </cell>
          <cell r="AP482" t="str">
            <v>Bilan</v>
          </cell>
          <cell r="AQ482" t="str">
            <v>Mobilier</v>
          </cell>
          <cell r="AR482" t="str">
            <v>$</v>
          </cell>
          <cell r="AS482">
            <v>0</v>
          </cell>
          <cell r="AW482">
            <v>0</v>
          </cell>
          <cell r="AY482" t="str">
            <v>NB</v>
          </cell>
        </row>
        <row r="483">
          <cell r="AM483">
            <v>0</v>
          </cell>
          <cell r="AP483" t="str">
            <v>Bilan</v>
          </cell>
          <cell r="AQ483" t="str">
            <v>Équipements Service</v>
          </cell>
          <cell r="AR483" t="str">
            <v>$</v>
          </cell>
          <cell r="AS483">
            <v>0</v>
          </cell>
          <cell r="AW483">
            <v>0</v>
          </cell>
          <cell r="AY483" t="str">
            <v>NB</v>
          </cell>
        </row>
        <row r="484">
          <cell r="AM484">
            <v>0</v>
          </cell>
          <cell r="AP484" t="str">
            <v>Bilan</v>
          </cell>
          <cell r="AQ484" t="str">
            <v>Améliorations Locatives</v>
          </cell>
          <cell r="AR484" t="str">
            <v>$</v>
          </cell>
          <cell r="AS484">
            <v>0</v>
          </cell>
          <cell r="AW484">
            <v>0</v>
          </cell>
          <cell r="AY484" t="str">
            <v>NB</v>
          </cell>
        </row>
        <row r="485">
          <cell r="AM485">
            <v>2306.9799999999814</v>
          </cell>
          <cell r="AP485" t="str">
            <v>Bilan</v>
          </cell>
          <cell r="AQ485" t="str">
            <v>Équipements Informatique</v>
          </cell>
          <cell r="AR485" t="str">
            <v>$</v>
          </cell>
          <cell r="AS485">
            <v>0</v>
          </cell>
          <cell r="AW485">
            <v>0</v>
          </cell>
          <cell r="AY485" t="str">
            <v>NB</v>
          </cell>
        </row>
        <row r="486">
          <cell r="AM486">
            <v>0</v>
          </cell>
          <cell r="AP486" t="str">
            <v>Bilan</v>
          </cell>
          <cell r="AQ486" t="str">
            <v>Enseigne</v>
          </cell>
          <cell r="AR486" t="str">
            <v>$</v>
          </cell>
          <cell r="AS486">
            <v>0</v>
          </cell>
          <cell r="AW486">
            <v>0</v>
          </cell>
          <cell r="AY486" t="str">
            <v>NB</v>
          </cell>
        </row>
        <row r="487">
          <cell r="AM487">
            <v>0</v>
          </cell>
          <cell r="AP487">
            <v>0</v>
          </cell>
          <cell r="AQ487">
            <v>0</v>
          </cell>
          <cell r="AR487" t="str">
            <v>$</v>
          </cell>
          <cell r="AS487">
            <v>0</v>
          </cell>
          <cell r="AW487">
            <v>0</v>
          </cell>
          <cell r="AY487" t="str">
            <v>NB</v>
          </cell>
        </row>
        <row r="488">
          <cell r="AM488">
            <v>0</v>
          </cell>
          <cell r="AP488" t="str">
            <v>Bilan</v>
          </cell>
          <cell r="AQ488" t="str">
            <v>Avances à Recevoir Long Terme</v>
          </cell>
          <cell r="AR488" t="str">
            <v>$</v>
          </cell>
          <cell r="AS488">
            <v>0</v>
          </cell>
          <cell r="AW488">
            <v>0</v>
          </cell>
          <cell r="AY488" t="str">
            <v>NB</v>
          </cell>
        </row>
        <row r="489">
          <cell r="AM489">
            <v>0</v>
          </cell>
          <cell r="AP489" t="str">
            <v>Bilan</v>
          </cell>
          <cell r="AQ489" t="str">
            <v>Encaisse</v>
          </cell>
          <cell r="AR489" t="str">
            <v>$</v>
          </cell>
          <cell r="AS489">
            <v>0</v>
          </cell>
          <cell r="AW489">
            <v>0</v>
          </cell>
          <cell r="AY489" t="str">
            <v>NB</v>
          </cell>
        </row>
        <row r="490">
          <cell r="AM490">
            <v>0</v>
          </cell>
          <cell r="AP490" t="str">
            <v>Bilan</v>
          </cell>
          <cell r="AQ490" t="str">
            <v>Avances à Recevoir Long Terme</v>
          </cell>
          <cell r="AR490" t="str">
            <v>$</v>
          </cell>
          <cell r="AS490">
            <v>0</v>
          </cell>
          <cell r="AW490">
            <v>0</v>
          </cell>
          <cell r="AY490" t="str">
            <v>NB</v>
          </cell>
        </row>
        <row r="491">
          <cell r="AM491">
            <v>0</v>
          </cell>
          <cell r="AP491" t="str">
            <v>Bilan</v>
          </cell>
          <cell r="AQ491" t="str">
            <v>Avances à Recevoir Long Terme</v>
          </cell>
          <cell r="AR491" t="str">
            <v>$</v>
          </cell>
          <cell r="AS491">
            <v>0</v>
          </cell>
          <cell r="AW491">
            <v>0</v>
          </cell>
          <cell r="AY491" t="str">
            <v>NB</v>
          </cell>
        </row>
        <row r="492">
          <cell r="AM492">
            <v>-526820.91999999993</v>
          </cell>
          <cell r="AP492" t="str">
            <v>Bilan</v>
          </cell>
          <cell r="AQ492" t="str">
            <v>Comptes à Payer Fournisseurs</v>
          </cell>
          <cell r="AR492" t="str">
            <v>$</v>
          </cell>
          <cell r="AS492">
            <v>0</v>
          </cell>
          <cell r="AW492">
            <v>0</v>
          </cell>
          <cell r="AY492" t="str">
            <v>NB</v>
          </cell>
        </row>
        <row r="493">
          <cell r="AM493">
            <v>0</v>
          </cell>
          <cell r="AP493" t="e">
            <v>#N/A</v>
          </cell>
          <cell r="AQ493" t="e">
            <v>#N/A</v>
          </cell>
          <cell r="AR493" t="str">
            <v>$</v>
          </cell>
          <cell r="AS493" t="e">
            <v>#N/A</v>
          </cell>
          <cell r="AW493">
            <v>0</v>
          </cell>
          <cell r="AY493" t="str">
            <v>NB</v>
          </cell>
        </row>
        <row r="494">
          <cell r="AM494">
            <v>0</v>
          </cell>
          <cell r="AP494" t="str">
            <v>Bilan</v>
          </cell>
          <cell r="AQ494" t="str">
            <v>Autres Comptes à Payer</v>
          </cell>
          <cell r="AR494" t="str">
            <v>$</v>
          </cell>
          <cell r="AS494">
            <v>0</v>
          </cell>
          <cell r="AW494">
            <v>0</v>
          </cell>
          <cell r="AY494" t="str">
            <v>NB</v>
          </cell>
        </row>
        <row r="495">
          <cell r="AM495">
            <v>-11617.829999999998</v>
          </cell>
          <cell r="AP495" t="str">
            <v>Bilan</v>
          </cell>
          <cell r="AQ495" t="str">
            <v>Autres Comptes à Payer</v>
          </cell>
          <cell r="AR495" t="str">
            <v>$</v>
          </cell>
          <cell r="AS495">
            <v>0</v>
          </cell>
          <cell r="AW495">
            <v>0</v>
          </cell>
          <cell r="AY495" t="str">
            <v>NB</v>
          </cell>
        </row>
        <row r="496">
          <cell r="AM496">
            <v>0</v>
          </cell>
          <cell r="AP496" t="e">
            <v>#N/A</v>
          </cell>
          <cell r="AQ496" t="e">
            <v>#N/A</v>
          </cell>
          <cell r="AR496" t="str">
            <v>$</v>
          </cell>
          <cell r="AS496" t="e">
            <v>#N/A</v>
          </cell>
          <cell r="AW496">
            <v>0</v>
          </cell>
          <cell r="AY496" t="str">
            <v>NB</v>
          </cell>
        </row>
        <row r="497">
          <cell r="AM497">
            <v>-1112.6999999999998</v>
          </cell>
          <cell r="AP497" t="str">
            <v>Bilan</v>
          </cell>
          <cell r="AQ497" t="str">
            <v>Autres Comptes à Payer</v>
          </cell>
          <cell r="AR497" t="str">
            <v>$</v>
          </cell>
          <cell r="AS497">
            <v>0</v>
          </cell>
          <cell r="AW497">
            <v>0</v>
          </cell>
          <cell r="AY497" t="str">
            <v>NB</v>
          </cell>
        </row>
        <row r="498">
          <cell r="AM498">
            <v>-940.5</v>
          </cell>
          <cell r="AP498" t="str">
            <v>Bilan</v>
          </cell>
          <cell r="AQ498" t="str">
            <v>Taxes de Vente à Payer</v>
          </cell>
          <cell r="AR498" t="str">
            <v>$</v>
          </cell>
          <cell r="AS498">
            <v>0</v>
          </cell>
          <cell r="AW498">
            <v>0</v>
          </cell>
          <cell r="AY498" t="str">
            <v>NB</v>
          </cell>
        </row>
        <row r="499">
          <cell r="AM499">
            <v>0</v>
          </cell>
          <cell r="AP499" t="e">
            <v>#N/A</v>
          </cell>
          <cell r="AQ499" t="e">
            <v>#N/A</v>
          </cell>
          <cell r="AR499" t="str">
            <v>$</v>
          </cell>
          <cell r="AS499" t="e">
            <v>#N/A</v>
          </cell>
          <cell r="AW499">
            <v>0</v>
          </cell>
          <cell r="AY499" t="str">
            <v>NB</v>
          </cell>
        </row>
        <row r="500">
          <cell r="AM500">
            <v>0</v>
          </cell>
          <cell r="AP500" t="str">
            <v>Bilan</v>
          </cell>
          <cell r="AQ500" t="str">
            <v>Payables Intercos</v>
          </cell>
          <cell r="AR500" t="str">
            <v>$</v>
          </cell>
          <cell r="AS500">
            <v>0</v>
          </cell>
          <cell r="AW500">
            <v>0</v>
          </cell>
          <cell r="AY500" t="str">
            <v>NB</v>
          </cell>
        </row>
        <row r="501">
          <cell r="AM501">
            <v>0</v>
          </cell>
          <cell r="AP501" t="e">
            <v>#N/A</v>
          </cell>
          <cell r="AQ501" t="e">
            <v>#N/A</v>
          </cell>
          <cell r="AR501" t="str">
            <v>$</v>
          </cell>
          <cell r="AS501" t="e">
            <v>#N/A</v>
          </cell>
          <cell r="AW501">
            <v>0</v>
          </cell>
          <cell r="AY501" t="str">
            <v>NB</v>
          </cell>
        </row>
        <row r="502">
          <cell r="AM502">
            <v>0</v>
          </cell>
          <cell r="AP502" t="str">
            <v>Bilan</v>
          </cell>
          <cell r="AQ502" t="str">
            <v>Payables Intercos</v>
          </cell>
          <cell r="AR502" t="str">
            <v>$</v>
          </cell>
          <cell r="AS502">
            <v>0</v>
          </cell>
          <cell r="AW502">
            <v>0</v>
          </cell>
          <cell r="AY502" t="str">
            <v>NB</v>
          </cell>
        </row>
        <row r="503">
          <cell r="AM503">
            <v>0</v>
          </cell>
          <cell r="AP503" t="str">
            <v>Bilan</v>
          </cell>
          <cell r="AQ503" t="str">
            <v>Payables Intercos</v>
          </cell>
          <cell r="AR503" t="str">
            <v>$</v>
          </cell>
          <cell r="AS503">
            <v>0</v>
          </cell>
          <cell r="AW503">
            <v>0</v>
          </cell>
          <cell r="AY503" t="str">
            <v>NB</v>
          </cell>
        </row>
        <row r="504">
          <cell r="AM504">
            <v>0</v>
          </cell>
          <cell r="AP504" t="str">
            <v>Bilan</v>
          </cell>
          <cell r="AQ504" t="str">
            <v>Payables Intercos</v>
          </cell>
          <cell r="AR504" t="str">
            <v>$</v>
          </cell>
          <cell r="AS504">
            <v>0</v>
          </cell>
          <cell r="AW504">
            <v>0</v>
          </cell>
          <cell r="AY504" t="str">
            <v>NB</v>
          </cell>
        </row>
        <row r="505">
          <cell r="AM505">
            <v>0</v>
          </cell>
          <cell r="AP505">
            <v>0</v>
          </cell>
          <cell r="AQ505">
            <v>0</v>
          </cell>
          <cell r="AR505" t="str">
            <v>$</v>
          </cell>
          <cell r="AS505">
            <v>0</v>
          </cell>
          <cell r="AW505">
            <v>0</v>
          </cell>
          <cell r="AY505" t="str">
            <v>NB</v>
          </cell>
        </row>
        <row r="506">
          <cell r="AM506">
            <v>-11182.540000000008</v>
          </cell>
          <cell r="AP506" t="str">
            <v>Bilan</v>
          </cell>
          <cell r="AQ506" t="str">
            <v>Autres Courus</v>
          </cell>
          <cell r="AR506" t="str">
            <v>$</v>
          </cell>
          <cell r="AS506">
            <v>0</v>
          </cell>
          <cell r="AW506">
            <v>0</v>
          </cell>
          <cell r="AY506" t="str">
            <v>NB</v>
          </cell>
        </row>
        <row r="507">
          <cell r="AM507">
            <v>-13352.180000000051</v>
          </cell>
          <cell r="AP507" t="str">
            <v>Bilan</v>
          </cell>
          <cell r="AQ507" t="str">
            <v>Autres Courus</v>
          </cell>
          <cell r="AR507" t="str">
            <v>$</v>
          </cell>
          <cell r="AS507">
            <v>0</v>
          </cell>
          <cell r="AW507">
            <v>0</v>
          </cell>
          <cell r="AY507" t="str">
            <v>NB</v>
          </cell>
        </row>
        <row r="508">
          <cell r="AM508">
            <v>-110346.24999999999</v>
          </cell>
          <cell r="AP508" t="str">
            <v>Bilan</v>
          </cell>
          <cell r="AQ508" t="str">
            <v>Autres Courus</v>
          </cell>
          <cell r="AR508" t="str">
            <v>$</v>
          </cell>
          <cell r="AS508">
            <v>0</v>
          </cell>
          <cell r="AW508">
            <v>0</v>
          </cell>
          <cell r="AY508" t="str">
            <v>NB</v>
          </cell>
        </row>
        <row r="509">
          <cell r="AM509">
            <v>0</v>
          </cell>
          <cell r="AP509" t="str">
            <v>Bilan</v>
          </cell>
          <cell r="AQ509" t="str">
            <v>Payables Intercos</v>
          </cell>
          <cell r="AR509" t="str">
            <v>$</v>
          </cell>
          <cell r="AS509">
            <v>0</v>
          </cell>
          <cell r="AW509">
            <v>0</v>
          </cell>
          <cell r="AY509" t="str">
            <v>NB</v>
          </cell>
        </row>
        <row r="510">
          <cell r="AM510">
            <v>0</v>
          </cell>
          <cell r="AP510" t="str">
            <v>Bilan</v>
          </cell>
          <cell r="AQ510" t="str">
            <v>Payables Intercos</v>
          </cell>
          <cell r="AR510" t="str">
            <v>$</v>
          </cell>
          <cell r="AS510">
            <v>0</v>
          </cell>
          <cell r="AW510">
            <v>0</v>
          </cell>
          <cell r="AY510" t="str">
            <v>NB</v>
          </cell>
        </row>
        <row r="511">
          <cell r="AM511">
            <v>0</v>
          </cell>
          <cell r="AP511" t="str">
            <v>Bilan</v>
          </cell>
          <cell r="AQ511" t="str">
            <v>Payables Intercos</v>
          </cell>
          <cell r="AR511" t="str">
            <v>$</v>
          </cell>
          <cell r="AS511">
            <v>0</v>
          </cell>
          <cell r="AW511">
            <v>0</v>
          </cell>
          <cell r="AY511" t="str">
            <v>NB</v>
          </cell>
        </row>
        <row r="512">
          <cell r="AM512">
            <v>32835</v>
          </cell>
          <cell r="AP512" t="str">
            <v>Bilan</v>
          </cell>
          <cell r="AQ512" t="str">
            <v>Dette à Long terme</v>
          </cell>
          <cell r="AR512" t="str">
            <v>$</v>
          </cell>
          <cell r="AS512">
            <v>0</v>
          </cell>
          <cell r="AW512">
            <v>0</v>
          </cell>
          <cell r="AY512" t="str">
            <v>NB</v>
          </cell>
        </row>
        <row r="513">
          <cell r="AM513">
            <v>0</v>
          </cell>
          <cell r="AP513" t="e">
            <v>#N/A</v>
          </cell>
          <cell r="AQ513" t="e">
            <v>#N/A</v>
          </cell>
          <cell r="AR513" t="str">
            <v>$</v>
          </cell>
          <cell r="AS513" t="e">
            <v>#N/A</v>
          </cell>
          <cell r="AW513">
            <v>0</v>
          </cell>
          <cell r="AY513" t="str">
            <v>NB</v>
          </cell>
        </row>
        <row r="514">
          <cell r="AM514">
            <v>0</v>
          </cell>
          <cell r="AP514" t="str">
            <v>Bilan</v>
          </cell>
          <cell r="AQ514" t="str">
            <v>Dépôts de Client</v>
          </cell>
          <cell r="AR514" t="str">
            <v>$</v>
          </cell>
          <cell r="AS514">
            <v>0</v>
          </cell>
          <cell r="AW514">
            <v>0</v>
          </cell>
          <cell r="AY514" t="str">
            <v>NB</v>
          </cell>
        </row>
        <row r="515">
          <cell r="AM515">
            <v>0</v>
          </cell>
          <cell r="AP515" t="e">
            <v>#N/A</v>
          </cell>
          <cell r="AQ515" t="e">
            <v>#N/A</v>
          </cell>
          <cell r="AR515" t="str">
            <v>$</v>
          </cell>
          <cell r="AS515" t="e">
            <v>#N/A</v>
          </cell>
          <cell r="AW515">
            <v>0</v>
          </cell>
          <cell r="AY515" t="str">
            <v>NB</v>
          </cell>
        </row>
        <row r="516">
          <cell r="AM516">
            <v>735697.51999999955</v>
          </cell>
          <cell r="AP516" t="str">
            <v>Bilan</v>
          </cell>
          <cell r="AQ516" t="str">
            <v>Effet à Payer Véhicules Neufs</v>
          </cell>
          <cell r="AR516" t="str">
            <v>$</v>
          </cell>
          <cell r="AS516">
            <v>0</v>
          </cell>
          <cell r="AW516">
            <v>0</v>
          </cell>
          <cell r="AY516" t="str">
            <v>NB</v>
          </cell>
        </row>
        <row r="517">
          <cell r="AM517">
            <v>1224846.8799999999</v>
          </cell>
          <cell r="AP517" t="str">
            <v>Bilan</v>
          </cell>
          <cell r="AQ517" t="str">
            <v>Effet à Payer Véhicules Usagés</v>
          </cell>
          <cell r="AR517" t="str">
            <v>$</v>
          </cell>
          <cell r="AS517">
            <v>0</v>
          </cell>
          <cell r="AW517">
            <v>0</v>
          </cell>
          <cell r="AY517" t="str">
            <v>NB</v>
          </cell>
        </row>
        <row r="518">
          <cell r="AM518">
            <v>0</v>
          </cell>
          <cell r="AP518" t="e">
            <v>#N/A</v>
          </cell>
          <cell r="AQ518" t="e">
            <v>#N/A</v>
          </cell>
          <cell r="AR518" t="str">
            <v>$</v>
          </cell>
          <cell r="AS518" t="e">
            <v>#N/A</v>
          </cell>
          <cell r="AW518">
            <v>0</v>
          </cell>
          <cell r="AY518" t="str">
            <v>NB</v>
          </cell>
        </row>
        <row r="519">
          <cell r="AM519">
            <v>0</v>
          </cell>
          <cell r="AP519">
            <v>0</v>
          </cell>
          <cell r="AQ519">
            <v>0</v>
          </cell>
          <cell r="AR519" t="str">
            <v>$</v>
          </cell>
          <cell r="AS519">
            <v>0</v>
          </cell>
          <cell r="AW519">
            <v>0</v>
          </cell>
          <cell r="AY519" t="str">
            <v>NB</v>
          </cell>
        </row>
        <row r="520">
          <cell r="AM520">
            <v>0</v>
          </cell>
          <cell r="AP520" t="e">
            <v>#N/A</v>
          </cell>
          <cell r="AQ520" t="e">
            <v>#N/A</v>
          </cell>
          <cell r="AR520" t="str">
            <v>$</v>
          </cell>
          <cell r="AS520" t="e">
            <v>#N/A</v>
          </cell>
          <cell r="AW520">
            <v>0</v>
          </cell>
          <cell r="AY520" t="str">
            <v>NB</v>
          </cell>
        </row>
        <row r="521">
          <cell r="AM521">
            <v>0</v>
          </cell>
          <cell r="AP521">
            <v>0</v>
          </cell>
          <cell r="AQ521">
            <v>0</v>
          </cell>
          <cell r="AR521" t="str">
            <v>$</v>
          </cell>
          <cell r="AS521">
            <v>0</v>
          </cell>
          <cell r="AW521">
            <v>0</v>
          </cell>
          <cell r="AY521" t="str">
            <v>NB</v>
          </cell>
        </row>
        <row r="522">
          <cell r="AM522">
            <v>-979.62000000000262</v>
          </cell>
          <cell r="AP522" t="str">
            <v>Bilan</v>
          </cell>
          <cell r="AQ522" t="str">
            <v>DAS à Payer</v>
          </cell>
          <cell r="AR522" t="str">
            <v>$</v>
          </cell>
          <cell r="AS522">
            <v>0</v>
          </cell>
          <cell r="AW522">
            <v>0</v>
          </cell>
          <cell r="AY522" t="str">
            <v>NB</v>
          </cell>
        </row>
        <row r="523">
          <cell r="AM523">
            <v>-41090.250000000015</v>
          </cell>
          <cell r="AP523" t="str">
            <v>Bilan</v>
          </cell>
          <cell r="AQ523" t="str">
            <v>Salaires à Payer</v>
          </cell>
          <cell r="AR523" t="str">
            <v>$</v>
          </cell>
          <cell r="AS523">
            <v>0</v>
          </cell>
          <cell r="AW523">
            <v>0</v>
          </cell>
          <cell r="AY523" t="str">
            <v>NB</v>
          </cell>
        </row>
        <row r="524">
          <cell r="AM524">
            <v>-29414.199999999997</v>
          </cell>
          <cell r="AP524" t="str">
            <v>Bilan</v>
          </cell>
          <cell r="AQ524" t="str">
            <v>Salaires à Payer</v>
          </cell>
          <cell r="AR524" t="str">
            <v>$</v>
          </cell>
          <cell r="AS524">
            <v>0</v>
          </cell>
          <cell r="AW524">
            <v>0</v>
          </cell>
          <cell r="AY524" t="str">
            <v>NB</v>
          </cell>
        </row>
        <row r="525">
          <cell r="AM525">
            <v>0</v>
          </cell>
          <cell r="AP525">
            <v>0</v>
          </cell>
          <cell r="AQ525">
            <v>0</v>
          </cell>
          <cell r="AR525" t="str">
            <v>$</v>
          </cell>
          <cell r="AS525">
            <v>0</v>
          </cell>
          <cell r="AW525">
            <v>0</v>
          </cell>
          <cell r="AY525" t="str">
            <v>NB</v>
          </cell>
        </row>
        <row r="526">
          <cell r="AM526">
            <v>703.75</v>
          </cell>
          <cell r="AP526" t="str">
            <v>Bilan</v>
          </cell>
          <cell r="AQ526" t="str">
            <v>DAS à Payer</v>
          </cell>
          <cell r="AR526" t="str">
            <v>$</v>
          </cell>
          <cell r="AS526">
            <v>0</v>
          </cell>
          <cell r="AW526">
            <v>0</v>
          </cell>
          <cell r="AY526" t="str">
            <v>NB</v>
          </cell>
        </row>
        <row r="527">
          <cell r="AM527">
            <v>0</v>
          </cell>
          <cell r="AP527" t="e">
            <v>#N/A</v>
          </cell>
          <cell r="AQ527" t="e">
            <v>#N/A</v>
          </cell>
          <cell r="AR527" t="str">
            <v>$</v>
          </cell>
          <cell r="AS527" t="e">
            <v>#N/A</v>
          </cell>
          <cell r="AW527">
            <v>0</v>
          </cell>
          <cell r="AY527" t="str">
            <v>NB</v>
          </cell>
        </row>
        <row r="528">
          <cell r="AM528">
            <v>0</v>
          </cell>
          <cell r="AP528">
            <v>0</v>
          </cell>
          <cell r="AQ528">
            <v>0</v>
          </cell>
          <cell r="AR528" t="str">
            <v>$</v>
          </cell>
          <cell r="AS528">
            <v>0</v>
          </cell>
          <cell r="AW528">
            <v>0</v>
          </cell>
          <cell r="AY528" t="str">
            <v>NB</v>
          </cell>
        </row>
        <row r="529">
          <cell r="AM529">
            <v>0</v>
          </cell>
          <cell r="AP529" t="e">
            <v>#N/A</v>
          </cell>
          <cell r="AQ529" t="e">
            <v>#N/A</v>
          </cell>
          <cell r="AR529" t="str">
            <v>$</v>
          </cell>
          <cell r="AS529" t="e">
            <v>#N/A</v>
          </cell>
          <cell r="AW529">
            <v>0</v>
          </cell>
          <cell r="AY529" t="str">
            <v>NB</v>
          </cell>
        </row>
        <row r="530">
          <cell r="AM530">
            <v>0</v>
          </cell>
          <cell r="AP530" t="str">
            <v>Bilan</v>
          </cell>
          <cell r="AQ530" t="str">
            <v>Frais Payés d'Avance</v>
          </cell>
          <cell r="AR530" t="str">
            <v>$</v>
          </cell>
          <cell r="AS530">
            <v>0</v>
          </cell>
          <cell r="AW530">
            <v>0</v>
          </cell>
          <cell r="AY530" t="str">
            <v>NB</v>
          </cell>
        </row>
        <row r="531">
          <cell r="AM531">
            <v>0</v>
          </cell>
          <cell r="AP531">
            <v>0</v>
          </cell>
          <cell r="AQ531">
            <v>0</v>
          </cell>
          <cell r="AR531" t="str">
            <v>$</v>
          </cell>
          <cell r="AS531">
            <v>0</v>
          </cell>
          <cell r="AW531">
            <v>0</v>
          </cell>
          <cell r="AY531" t="str">
            <v>NB</v>
          </cell>
        </row>
        <row r="532">
          <cell r="AM532">
            <v>-22518.729999999981</v>
          </cell>
          <cell r="AP532" t="str">
            <v>Bilan</v>
          </cell>
          <cell r="AQ532" t="str">
            <v>Frais Payés d'Avance</v>
          </cell>
          <cell r="AR532" t="str">
            <v>$</v>
          </cell>
          <cell r="AS532">
            <v>0</v>
          </cell>
          <cell r="AW532">
            <v>0</v>
          </cell>
          <cell r="AY532" t="str">
            <v>NB</v>
          </cell>
        </row>
        <row r="533">
          <cell r="AM533">
            <v>0</v>
          </cell>
          <cell r="AP533">
            <v>0</v>
          </cell>
          <cell r="AQ533">
            <v>0</v>
          </cell>
          <cell r="AR533" t="str">
            <v>$</v>
          </cell>
          <cell r="AS533">
            <v>0</v>
          </cell>
          <cell r="AW533">
            <v>0</v>
          </cell>
          <cell r="AY533" t="str">
            <v>NB</v>
          </cell>
        </row>
        <row r="534">
          <cell r="AM534">
            <v>0</v>
          </cell>
          <cell r="AP534" t="e">
            <v>#N/A</v>
          </cell>
          <cell r="AQ534" t="e">
            <v>#N/A</v>
          </cell>
          <cell r="AR534" t="str">
            <v>$</v>
          </cell>
          <cell r="AS534" t="e">
            <v>#N/A</v>
          </cell>
          <cell r="AW534">
            <v>0</v>
          </cell>
          <cell r="AY534" t="str">
            <v>NB</v>
          </cell>
        </row>
        <row r="535">
          <cell r="AM535">
            <v>0</v>
          </cell>
          <cell r="AP535">
            <v>0</v>
          </cell>
          <cell r="AQ535">
            <v>0</v>
          </cell>
          <cell r="AR535" t="str">
            <v>$</v>
          </cell>
          <cell r="AS535">
            <v>0</v>
          </cell>
          <cell r="AW535">
            <v>0</v>
          </cell>
          <cell r="AY535" t="str">
            <v>NB</v>
          </cell>
        </row>
        <row r="536">
          <cell r="AM536">
            <v>0</v>
          </cell>
          <cell r="AP536">
            <v>0</v>
          </cell>
          <cell r="AQ536">
            <v>0</v>
          </cell>
          <cell r="AR536" t="str">
            <v>$</v>
          </cell>
          <cell r="AS536">
            <v>0</v>
          </cell>
          <cell r="AW536">
            <v>0</v>
          </cell>
          <cell r="AY536" t="str">
            <v>NB</v>
          </cell>
        </row>
        <row r="537">
          <cell r="AM537">
            <v>0</v>
          </cell>
          <cell r="AP537">
            <v>0</v>
          </cell>
          <cell r="AQ537">
            <v>0</v>
          </cell>
          <cell r="AR537" t="str">
            <v>$</v>
          </cell>
          <cell r="AS537">
            <v>0</v>
          </cell>
          <cell r="AW537">
            <v>0</v>
          </cell>
          <cell r="AY537" t="str">
            <v>NB</v>
          </cell>
        </row>
        <row r="538">
          <cell r="AM538">
            <v>0</v>
          </cell>
          <cell r="AP538" t="str">
            <v>Bilan</v>
          </cell>
          <cell r="AQ538" t="str">
            <v>DAS à Payer</v>
          </cell>
          <cell r="AR538" t="str">
            <v>$</v>
          </cell>
          <cell r="AS538">
            <v>0</v>
          </cell>
          <cell r="AW538">
            <v>0</v>
          </cell>
          <cell r="AY538" t="str">
            <v>NB</v>
          </cell>
        </row>
        <row r="539">
          <cell r="AM539">
            <v>-186.52999999999997</v>
          </cell>
          <cell r="AP539" t="str">
            <v>Bilan</v>
          </cell>
          <cell r="AQ539" t="str">
            <v>DAS à Payer</v>
          </cell>
          <cell r="AR539" t="str">
            <v>$</v>
          </cell>
          <cell r="AS539">
            <v>0</v>
          </cell>
          <cell r="AW539">
            <v>0</v>
          </cell>
          <cell r="AY539" t="str">
            <v>NB</v>
          </cell>
        </row>
        <row r="540">
          <cell r="AM540">
            <v>-26655.37999999999</v>
          </cell>
          <cell r="AP540" t="str">
            <v>Bilan</v>
          </cell>
          <cell r="AQ540" t="str">
            <v>Taxes de Vente à Payer</v>
          </cell>
          <cell r="AR540" t="str">
            <v>$</v>
          </cell>
          <cell r="AS540">
            <v>0</v>
          </cell>
          <cell r="AW540">
            <v>0</v>
          </cell>
          <cell r="AY540" t="str">
            <v>NB</v>
          </cell>
        </row>
        <row r="541">
          <cell r="AM541">
            <v>54255.709999999963</v>
          </cell>
          <cell r="AP541" t="str">
            <v>Bilan</v>
          </cell>
          <cell r="AQ541" t="str">
            <v>Taxes de Vente à Payer</v>
          </cell>
          <cell r="AR541" t="str">
            <v>$</v>
          </cell>
          <cell r="AS541">
            <v>0</v>
          </cell>
          <cell r="AW541">
            <v>0</v>
          </cell>
          <cell r="AY541" t="str">
            <v>NB</v>
          </cell>
        </row>
        <row r="542">
          <cell r="AM542">
            <v>226.61</v>
          </cell>
          <cell r="AP542" t="str">
            <v>Bilan</v>
          </cell>
          <cell r="AQ542" t="str">
            <v>Taxes de Vente à Payer</v>
          </cell>
          <cell r="AR542" t="str">
            <v>$</v>
          </cell>
          <cell r="AS542">
            <v>0</v>
          </cell>
          <cell r="AW542">
            <v>0</v>
          </cell>
          <cell r="AY542" t="str">
            <v>NB</v>
          </cell>
        </row>
        <row r="543">
          <cell r="AM543">
            <v>-19269.2</v>
          </cell>
          <cell r="AP543" t="str">
            <v>Bilan</v>
          </cell>
          <cell r="AQ543" t="str">
            <v>Taxes de Vente à Payer</v>
          </cell>
          <cell r="AR543" t="str">
            <v>$</v>
          </cell>
          <cell r="AS543">
            <v>0</v>
          </cell>
          <cell r="AW543">
            <v>0</v>
          </cell>
          <cell r="AY543" t="str">
            <v>NB</v>
          </cell>
        </row>
        <row r="544">
          <cell r="AM544">
            <v>0</v>
          </cell>
          <cell r="AP544" t="str">
            <v>Bilan</v>
          </cell>
          <cell r="AQ544" t="str">
            <v>Impôts à payer</v>
          </cell>
          <cell r="AR544" t="str">
            <v>$</v>
          </cell>
          <cell r="AS544">
            <v>0</v>
          </cell>
          <cell r="AW544">
            <v>0</v>
          </cell>
          <cell r="AY544" t="str">
            <v>NB</v>
          </cell>
        </row>
        <row r="545">
          <cell r="AM545">
            <v>-18049.109999999997</v>
          </cell>
          <cell r="AP545" t="str">
            <v>Bilan</v>
          </cell>
          <cell r="AQ545" t="str">
            <v>Salaires à Payer</v>
          </cell>
          <cell r="AR545" t="str">
            <v>$</v>
          </cell>
          <cell r="AS545">
            <v>0</v>
          </cell>
          <cell r="AW545">
            <v>0</v>
          </cell>
          <cell r="AY545" t="str">
            <v>NB</v>
          </cell>
        </row>
        <row r="546">
          <cell r="AM546">
            <v>37319.520000000019</v>
          </cell>
          <cell r="AP546" t="str">
            <v>Bilan</v>
          </cell>
          <cell r="AQ546" t="str">
            <v>Salaires à Payer</v>
          </cell>
          <cell r="AR546" t="str">
            <v>$</v>
          </cell>
          <cell r="AS546">
            <v>0</v>
          </cell>
          <cell r="AW546">
            <v>0</v>
          </cell>
          <cell r="AY546" t="str">
            <v>NB</v>
          </cell>
        </row>
        <row r="547">
          <cell r="AM547">
            <v>42247.54</v>
          </cell>
          <cell r="AP547" t="str">
            <v>Bilan</v>
          </cell>
          <cell r="AQ547" t="str">
            <v>Payables Intercos</v>
          </cell>
          <cell r="AR547" t="str">
            <v>$</v>
          </cell>
          <cell r="AS547">
            <v>0</v>
          </cell>
          <cell r="AW547">
            <v>0</v>
          </cell>
          <cell r="AY547" t="str">
            <v>NB</v>
          </cell>
        </row>
        <row r="548">
          <cell r="AM548">
            <v>0</v>
          </cell>
          <cell r="AP548" t="str">
            <v>Bilan</v>
          </cell>
          <cell r="AQ548" t="str">
            <v>Payables Intercos</v>
          </cell>
          <cell r="AR548" t="str">
            <v>$</v>
          </cell>
          <cell r="AS548">
            <v>0</v>
          </cell>
          <cell r="AW548">
            <v>0</v>
          </cell>
          <cell r="AY548" t="str">
            <v>NB</v>
          </cell>
        </row>
        <row r="549">
          <cell r="AM549">
            <v>448083.11999999994</v>
          </cell>
          <cell r="AP549" t="str">
            <v>Bilan</v>
          </cell>
          <cell r="AQ549" t="str">
            <v>Payables Intercos</v>
          </cell>
          <cell r="AR549" t="str">
            <v>$</v>
          </cell>
          <cell r="AS549">
            <v>0</v>
          </cell>
          <cell r="AW549">
            <v>0</v>
          </cell>
          <cell r="AY549" t="str">
            <v>NB</v>
          </cell>
        </row>
        <row r="550">
          <cell r="AM550">
            <v>0</v>
          </cell>
          <cell r="AP550" t="str">
            <v>Bilan</v>
          </cell>
          <cell r="AQ550" t="str">
            <v>Payables Intercos</v>
          </cell>
          <cell r="AR550" t="str">
            <v>$</v>
          </cell>
          <cell r="AS550">
            <v>0</v>
          </cell>
          <cell r="AW550">
            <v>0</v>
          </cell>
          <cell r="AY550" t="str">
            <v>NB</v>
          </cell>
        </row>
        <row r="551">
          <cell r="AM551">
            <v>0</v>
          </cell>
          <cell r="AP551" t="str">
            <v>Bilan</v>
          </cell>
          <cell r="AQ551" t="str">
            <v>Payables Intercos</v>
          </cell>
          <cell r="AR551" t="str">
            <v>$</v>
          </cell>
          <cell r="AS551">
            <v>0</v>
          </cell>
          <cell r="AW551">
            <v>0</v>
          </cell>
          <cell r="AY551" t="str">
            <v>NB</v>
          </cell>
        </row>
        <row r="552">
          <cell r="AM552">
            <v>-3151.5</v>
          </cell>
          <cell r="AP552" t="str">
            <v>Bilan</v>
          </cell>
          <cell r="AQ552" t="str">
            <v>Autres Courus</v>
          </cell>
          <cell r="AR552" t="str">
            <v>$</v>
          </cell>
          <cell r="AS552">
            <v>0</v>
          </cell>
          <cell r="AW552">
            <v>0</v>
          </cell>
          <cell r="AY552" t="str">
            <v>NB</v>
          </cell>
        </row>
        <row r="553">
          <cell r="AM553">
            <v>0</v>
          </cell>
          <cell r="AP553" t="str">
            <v>Bilan</v>
          </cell>
          <cell r="AQ553" t="str">
            <v>Autres Courus</v>
          </cell>
          <cell r="AR553" t="str">
            <v>$</v>
          </cell>
          <cell r="AS553">
            <v>0</v>
          </cell>
          <cell r="AW553">
            <v>0</v>
          </cell>
          <cell r="AY553" t="str">
            <v>NB</v>
          </cell>
        </row>
        <row r="554">
          <cell r="AM554">
            <v>-6100.179999999993</v>
          </cell>
          <cell r="AP554" t="str">
            <v>Bilan</v>
          </cell>
          <cell r="AQ554" t="str">
            <v>Salaires à Payer</v>
          </cell>
          <cell r="AR554" t="str">
            <v>$</v>
          </cell>
          <cell r="AS554">
            <v>0</v>
          </cell>
          <cell r="AW554">
            <v>0</v>
          </cell>
          <cell r="AY554" t="str">
            <v>NB</v>
          </cell>
        </row>
        <row r="555">
          <cell r="AM555">
            <v>39172.68</v>
          </cell>
          <cell r="AP555" t="str">
            <v>Bilan</v>
          </cell>
          <cell r="AQ555" t="str">
            <v>Autres Courus</v>
          </cell>
          <cell r="AR555" t="str">
            <v>$</v>
          </cell>
          <cell r="AS555">
            <v>0</v>
          </cell>
          <cell r="AW555">
            <v>0</v>
          </cell>
          <cell r="AY555" t="str">
            <v>NB</v>
          </cell>
        </row>
        <row r="556">
          <cell r="AM556">
            <v>0</v>
          </cell>
          <cell r="AP556" t="str">
            <v>Bilan</v>
          </cell>
          <cell r="AQ556" t="str">
            <v>Autres Courus</v>
          </cell>
          <cell r="AR556" t="str">
            <v>$</v>
          </cell>
          <cell r="AS556">
            <v>0</v>
          </cell>
          <cell r="AW556">
            <v>0</v>
          </cell>
          <cell r="AY556" t="str">
            <v>NB</v>
          </cell>
        </row>
        <row r="557">
          <cell r="AM557">
            <v>1100</v>
          </cell>
          <cell r="AP557" t="str">
            <v>Bilan</v>
          </cell>
          <cell r="AQ557" t="str">
            <v>Autres Courus</v>
          </cell>
          <cell r="AR557" t="str">
            <v>$</v>
          </cell>
          <cell r="AS557">
            <v>0</v>
          </cell>
          <cell r="AW557">
            <v>0</v>
          </cell>
          <cell r="AY557" t="str">
            <v>NB</v>
          </cell>
        </row>
        <row r="558">
          <cell r="AM558">
            <v>-8775.7800000000061</v>
          </cell>
          <cell r="AP558" t="str">
            <v>Bilan</v>
          </cell>
          <cell r="AQ558" t="str">
            <v>Autres Courus</v>
          </cell>
          <cell r="AR558" t="str">
            <v>$</v>
          </cell>
          <cell r="AS558">
            <v>0</v>
          </cell>
          <cell r="AW558">
            <v>0</v>
          </cell>
          <cell r="AY558" t="str">
            <v>NB</v>
          </cell>
        </row>
        <row r="559">
          <cell r="AM559">
            <v>0</v>
          </cell>
          <cell r="AP559" t="str">
            <v>Bilan</v>
          </cell>
          <cell r="AQ559" t="str">
            <v>Autres Comptes à Payer</v>
          </cell>
          <cell r="AR559" t="str">
            <v>$</v>
          </cell>
          <cell r="AS559">
            <v>0</v>
          </cell>
          <cell r="AW559">
            <v>0</v>
          </cell>
          <cell r="AY559" t="str">
            <v>NB</v>
          </cell>
        </row>
        <row r="560">
          <cell r="AM560">
            <v>-1500</v>
          </cell>
          <cell r="AP560" t="str">
            <v>Bilan</v>
          </cell>
          <cell r="AQ560" t="str">
            <v>Autres Courus</v>
          </cell>
          <cell r="AR560" t="str">
            <v>$</v>
          </cell>
          <cell r="AS560">
            <v>0</v>
          </cell>
          <cell r="AW560">
            <v>0</v>
          </cell>
          <cell r="AY560" t="str">
            <v>NB</v>
          </cell>
        </row>
        <row r="561">
          <cell r="AM561">
            <v>0</v>
          </cell>
          <cell r="AP561">
            <v>0</v>
          </cell>
          <cell r="AQ561">
            <v>0</v>
          </cell>
          <cell r="AR561" t="str">
            <v>$</v>
          </cell>
          <cell r="AS561">
            <v>0</v>
          </cell>
          <cell r="AW561">
            <v>0</v>
          </cell>
          <cell r="AY561" t="str">
            <v>NB</v>
          </cell>
        </row>
        <row r="562">
          <cell r="AM562">
            <v>-10450</v>
          </cell>
          <cell r="AP562" t="str">
            <v>Bilan</v>
          </cell>
          <cell r="AQ562" t="str">
            <v>Autres Courus</v>
          </cell>
          <cell r="AR562" t="str">
            <v>$</v>
          </cell>
          <cell r="AS562">
            <v>0</v>
          </cell>
          <cell r="AW562">
            <v>0</v>
          </cell>
          <cell r="AY562" t="str">
            <v>NB</v>
          </cell>
        </row>
        <row r="563">
          <cell r="AM563">
            <v>0</v>
          </cell>
          <cell r="AP563" t="str">
            <v>Bilan</v>
          </cell>
          <cell r="AQ563" t="str">
            <v>Autres Courus</v>
          </cell>
          <cell r="AR563" t="str">
            <v>$</v>
          </cell>
          <cell r="AS563">
            <v>0</v>
          </cell>
          <cell r="AW563">
            <v>0</v>
          </cell>
          <cell r="AY563" t="str">
            <v>NB</v>
          </cell>
        </row>
        <row r="564">
          <cell r="AM564">
            <v>-1550</v>
          </cell>
          <cell r="AP564" t="str">
            <v>Bilan</v>
          </cell>
          <cell r="AQ564" t="str">
            <v>Autres Courus</v>
          </cell>
          <cell r="AR564" t="str">
            <v>$</v>
          </cell>
          <cell r="AS564">
            <v>0</v>
          </cell>
          <cell r="AW564">
            <v>0</v>
          </cell>
          <cell r="AY564" t="str">
            <v>NB</v>
          </cell>
        </row>
        <row r="565">
          <cell r="AM565">
            <v>0</v>
          </cell>
          <cell r="AP565" t="str">
            <v>Bilan</v>
          </cell>
          <cell r="AQ565" t="str">
            <v>Autres Courus</v>
          </cell>
          <cell r="AR565" t="str">
            <v>$</v>
          </cell>
          <cell r="AS565">
            <v>0</v>
          </cell>
          <cell r="AW565">
            <v>0</v>
          </cell>
          <cell r="AY565" t="str">
            <v>NB</v>
          </cell>
        </row>
        <row r="566">
          <cell r="AM566">
            <v>0</v>
          </cell>
          <cell r="AP566" t="str">
            <v>Bilan</v>
          </cell>
          <cell r="AQ566" t="str">
            <v>Autres Courus</v>
          </cell>
          <cell r="AR566" t="str">
            <v>$</v>
          </cell>
          <cell r="AS566">
            <v>0</v>
          </cell>
          <cell r="AW566">
            <v>0</v>
          </cell>
          <cell r="AY566" t="str">
            <v>NB</v>
          </cell>
        </row>
        <row r="567">
          <cell r="AM567">
            <v>0</v>
          </cell>
          <cell r="AP567" t="str">
            <v>Bilan</v>
          </cell>
          <cell r="AQ567" t="str">
            <v>Autres Courus</v>
          </cell>
          <cell r="AR567" t="str">
            <v>$</v>
          </cell>
          <cell r="AS567">
            <v>0</v>
          </cell>
          <cell r="AW567">
            <v>0</v>
          </cell>
          <cell r="AY567" t="str">
            <v>NB</v>
          </cell>
        </row>
        <row r="568">
          <cell r="AM568">
            <v>0</v>
          </cell>
          <cell r="AP568" t="str">
            <v>Bilan</v>
          </cell>
          <cell r="AQ568" t="str">
            <v>Autres Courus</v>
          </cell>
          <cell r="AR568" t="str">
            <v>$</v>
          </cell>
          <cell r="AS568">
            <v>0</v>
          </cell>
          <cell r="AW568">
            <v>0</v>
          </cell>
          <cell r="AY568" t="str">
            <v>NB</v>
          </cell>
        </row>
        <row r="569">
          <cell r="AM569">
            <v>0</v>
          </cell>
          <cell r="AP569" t="e">
            <v>#N/A</v>
          </cell>
          <cell r="AQ569" t="e">
            <v>#N/A</v>
          </cell>
          <cell r="AR569" t="str">
            <v>$</v>
          </cell>
          <cell r="AS569" t="e">
            <v>#N/A</v>
          </cell>
          <cell r="AW569">
            <v>0</v>
          </cell>
          <cell r="AY569" t="str">
            <v>NB</v>
          </cell>
        </row>
        <row r="570">
          <cell r="AM570">
            <v>-4666.67</v>
          </cell>
          <cell r="AP570" t="str">
            <v>Bilan</v>
          </cell>
          <cell r="AQ570" t="str">
            <v>Autres Courus</v>
          </cell>
          <cell r="AR570" t="str">
            <v>$</v>
          </cell>
          <cell r="AS570">
            <v>0</v>
          </cell>
          <cell r="AW570">
            <v>0</v>
          </cell>
          <cell r="AY570" t="str">
            <v>NB</v>
          </cell>
        </row>
        <row r="571">
          <cell r="AM571">
            <v>0</v>
          </cell>
          <cell r="AP571" t="str">
            <v>Bilan</v>
          </cell>
          <cell r="AQ571" t="str">
            <v>Autres Courus</v>
          </cell>
          <cell r="AR571" t="str">
            <v>$</v>
          </cell>
          <cell r="AS571">
            <v>0</v>
          </cell>
          <cell r="AW571">
            <v>0</v>
          </cell>
          <cell r="AY571" t="str">
            <v>NB</v>
          </cell>
        </row>
        <row r="572">
          <cell r="AM572">
            <v>0</v>
          </cell>
          <cell r="AP572" t="e">
            <v>#N/A</v>
          </cell>
          <cell r="AQ572" t="e">
            <v>#N/A</v>
          </cell>
          <cell r="AR572" t="str">
            <v>$</v>
          </cell>
          <cell r="AS572" t="e">
            <v>#N/A</v>
          </cell>
          <cell r="AW572">
            <v>0</v>
          </cell>
          <cell r="AY572" t="str">
            <v>NB</v>
          </cell>
        </row>
        <row r="573">
          <cell r="AM573">
            <v>0</v>
          </cell>
          <cell r="AP573" t="str">
            <v>Bilan</v>
          </cell>
          <cell r="AQ573" t="str">
            <v>Autres Courus</v>
          </cell>
          <cell r="AR573" t="str">
            <v>$</v>
          </cell>
          <cell r="AS573">
            <v>0</v>
          </cell>
          <cell r="AW573">
            <v>0</v>
          </cell>
          <cell r="AY573" t="str">
            <v>NB</v>
          </cell>
        </row>
        <row r="574">
          <cell r="AM574">
            <v>0</v>
          </cell>
          <cell r="AP574" t="str">
            <v>Bilan</v>
          </cell>
          <cell r="AQ574" t="str">
            <v>Impôts Futurs à payer</v>
          </cell>
          <cell r="AR574" t="str">
            <v>$</v>
          </cell>
          <cell r="AS574">
            <v>0</v>
          </cell>
          <cell r="AW574">
            <v>0</v>
          </cell>
          <cell r="AY574" t="str">
            <v>NB</v>
          </cell>
        </row>
        <row r="575">
          <cell r="AM575">
            <v>0</v>
          </cell>
          <cell r="AP575" t="str">
            <v>Bilan</v>
          </cell>
          <cell r="AQ575" t="str">
            <v>Marge de crédit</v>
          </cell>
          <cell r="AR575" t="str">
            <v>$</v>
          </cell>
          <cell r="AS575">
            <v>0</v>
          </cell>
          <cell r="AW575">
            <v>0</v>
          </cell>
          <cell r="AY575" t="str">
            <v>NB</v>
          </cell>
        </row>
        <row r="576">
          <cell r="AM576">
            <v>0</v>
          </cell>
          <cell r="AP576" t="str">
            <v>Bilan</v>
          </cell>
          <cell r="AQ576" t="str">
            <v>Frais Payés d'Avance</v>
          </cell>
          <cell r="AR576" t="str">
            <v>$</v>
          </cell>
          <cell r="AS576">
            <v>0</v>
          </cell>
          <cell r="AW576">
            <v>0</v>
          </cell>
          <cell r="AY576" t="str">
            <v>NB</v>
          </cell>
        </row>
        <row r="577">
          <cell r="AM577">
            <v>0</v>
          </cell>
          <cell r="AP577">
            <v>0</v>
          </cell>
          <cell r="AQ577">
            <v>0</v>
          </cell>
          <cell r="AR577" t="str">
            <v>$</v>
          </cell>
          <cell r="AS577">
            <v>0</v>
          </cell>
          <cell r="AW577">
            <v>0</v>
          </cell>
          <cell r="AY577" t="str">
            <v>NB</v>
          </cell>
        </row>
        <row r="578">
          <cell r="AM578">
            <v>-5030</v>
          </cell>
          <cell r="AP578" t="str">
            <v>Bilan</v>
          </cell>
          <cell r="AQ578" t="str">
            <v>Équipements Service</v>
          </cell>
          <cell r="AR578" t="str">
            <v>$</v>
          </cell>
          <cell r="AS578">
            <v>0</v>
          </cell>
          <cell r="AW578">
            <v>0</v>
          </cell>
          <cell r="AY578" t="str">
            <v>NB</v>
          </cell>
        </row>
        <row r="579">
          <cell r="AM579">
            <v>0</v>
          </cell>
          <cell r="AP579" t="str">
            <v>Bilan</v>
          </cell>
          <cell r="AQ579" t="str">
            <v>Équipements Service</v>
          </cell>
          <cell r="AR579" t="str">
            <v>$</v>
          </cell>
          <cell r="AS579">
            <v>0</v>
          </cell>
          <cell r="AW579">
            <v>0</v>
          </cell>
          <cell r="AY579" t="str">
            <v>NB</v>
          </cell>
        </row>
        <row r="580">
          <cell r="AM580">
            <v>-95</v>
          </cell>
          <cell r="AP580" t="str">
            <v>Bilan</v>
          </cell>
          <cell r="AQ580" t="str">
            <v>Équipements Service</v>
          </cell>
          <cell r="AR580" t="str">
            <v>$</v>
          </cell>
          <cell r="AS580">
            <v>0</v>
          </cell>
          <cell r="AW580">
            <v>0</v>
          </cell>
          <cell r="AY580" t="str">
            <v>NB</v>
          </cell>
        </row>
        <row r="581">
          <cell r="AM581">
            <v>-825</v>
          </cell>
          <cell r="AP581" t="str">
            <v>Bilan</v>
          </cell>
          <cell r="AQ581" t="str">
            <v>Mobilier</v>
          </cell>
          <cell r="AR581" t="str">
            <v>$</v>
          </cell>
          <cell r="AS581">
            <v>0</v>
          </cell>
          <cell r="AW581">
            <v>0</v>
          </cell>
          <cell r="AY581" t="str">
            <v>NB</v>
          </cell>
        </row>
        <row r="582">
          <cell r="AM582">
            <v>-1750</v>
          </cell>
          <cell r="AP582" t="str">
            <v>Bilan</v>
          </cell>
          <cell r="AQ582" t="str">
            <v>Équipements Service</v>
          </cell>
          <cell r="AR582" t="str">
            <v>$</v>
          </cell>
          <cell r="AS582">
            <v>0</v>
          </cell>
          <cell r="AW582">
            <v>0</v>
          </cell>
          <cell r="AY582" t="str">
            <v>NB</v>
          </cell>
        </row>
        <row r="583">
          <cell r="AM583">
            <v>-2200</v>
          </cell>
          <cell r="AP583" t="str">
            <v>Bilan</v>
          </cell>
          <cell r="AQ583" t="str">
            <v>Améliorations Locatives</v>
          </cell>
          <cell r="AR583" t="str">
            <v>$</v>
          </cell>
          <cell r="AS583">
            <v>0</v>
          </cell>
          <cell r="AW583">
            <v>0</v>
          </cell>
          <cell r="AY583" t="str">
            <v>NB</v>
          </cell>
        </row>
        <row r="584">
          <cell r="AM584">
            <v>-770</v>
          </cell>
          <cell r="AP584" t="str">
            <v>Bilan</v>
          </cell>
          <cell r="AQ584" t="str">
            <v>Équipements Informatique</v>
          </cell>
          <cell r="AR584" t="str">
            <v>$</v>
          </cell>
          <cell r="AS584">
            <v>0</v>
          </cell>
          <cell r="AW584">
            <v>0</v>
          </cell>
          <cell r="AY584" t="str">
            <v>NB</v>
          </cell>
        </row>
        <row r="585">
          <cell r="AM585">
            <v>-140</v>
          </cell>
          <cell r="AP585" t="str">
            <v>Bilan</v>
          </cell>
          <cell r="AQ585" t="str">
            <v>Enseigne</v>
          </cell>
          <cell r="AR585" t="str">
            <v>$</v>
          </cell>
          <cell r="AS585">
            <v>0</v>
          </cell>
          <cell r="AW585">
            <v>0</v>
          </cell>
          <cell r="AY585" t="str">
            <v>NB</v>
          </cell>
        </row>
        <row r="586">
          <cell r="AM586">
            <v>0</v>
          </cell>
          <cell r="AP586">
            <v>0</v>
          </cell>
          <cell r="AQ586">
            <v>0</v>
          </cell>
          <cell r="AR586" t="str">
            <v>$</v>
          </cell>
          <cell r="AS586">
            <v>0</v>
          </cell>
          <cell r="AW586">
            <v>0</v>
          </cell>
          <cell r="AY586" t="str">
            <v>NB</v>
          </cell>
        </row>
        <row r="587">
          <cell r="AM587">
            <v>0</v>
          </cell>
          <cell r="AP587" t="str">
            <v>Bilan</v>
          </cell>
          <cell r="AQ587" t="str">
            <v>Capital Actions</v>
          </cell>
          <cell r="AR587" t="str">
            <v>$</v>
          </cell>
          <cell r="AS587">
            <v>0</v>
          </cell>
          <cell r="AW587">
            <v>0</v>
          </cell>
          <cell r="AY587" t="str">
            <v>NB</v>
          </cell>
        </row>
        <row r="588">
          <cell r="AM588">
            <v>0</v>
          </cell>
          <cell r="AP588" t="str">
            <v>Bilan</v>
          </cell>
          <cell r="AQ588" t="str">
            <v>Capital Actions</v>
          </cell>
          <cell r="AR588" t="str">
            <v>$</v>
          </cell>
          <cell r="AS588">
            <v>0</v>
          </cell>
          <cell r="AW588">
            <v>0</v>
          </cell>
          <cell r="AY588" t="str">
            <v>NB</v>
          </cell>
        </row>
        <row r="589">
          <cell r="AM589">
            <v>0</v>
          </cell>
          <cell r="AP589" t="str">
            <v>Bilan</v>
          </cell>
          <cell r="AQ589" t="str">
            <v>Capital Actions</v>
          </cell>
          <cell r="AR589" t="str">
            <v>$</v>
          </cell>
          <cell r="AS589">
            <v>0</v>
          </cell>
          <cell r="AW589">
            <v>0</v>
          </cell>
          <cell r="AY589" t="str">
            <v>NB</v>
          </cell>
        </row>
        <row r="590">
          <cell r="AM590">
            <v>0</v>
          </cell>
          <cell r="AP590" t="str">
            <v>Bilan</v>
          </cell>
          <cell r="AQ590" t="str">
            <v>Capital Actions</v>
          </cell>
          <cell r="AR590" t="str">
            <v>$</v>
          </cell>
          <cell r="AS590">
            <v>0</v>
          </cell>
          <cell r="AW590">
            <v>0</v>
          </cell>
          <cell r="AY590" t="str">
            <v>NB</v>
          </cell>
        </row>
        <row r="591">
          <cell r="AM591">
            <v>0</v>
          </cell>
          <cell r="AP591" t="str">
            <v>Bilan</v>
          </cell>
          <cell r="AQ591" t="str">
            <v>Capital Actions</v>
          </cell>
          <cell r="AR591" t="str">
            <v>$</v>
          </cell>
          <cell r="AS591">
            <v>0</v>
          </cell>
          <cell r="AW591">
            <v>0</v>
          </cell>
          <cell r="AY591" t="str">
            <v>NB</v>
          </cell>
        </row>
        <row r="592">
          <cell r="AM592">
            <v>0</v>
          </cell>
          <cell r="AP592" t="str">
            <v>Bilan</v>
          </cell>
          <cell r="AQ592" t="str">
            <v>Capital Actions</v>
          </cell>
          <cell r="AR592" t="str">
            <v>$</v>
          </cell>
          <cell r="AS592">
            <v>0</v>
          </cell>
          <cell r="AW592">
            <v>0</v>
          </cell>
          <cell r="AY592" t="str">
            <v>NB</v>
          </cell>
        </row>
        <row r="593">
          <cell r="AM593">
            <v>0</v>
          </cell>
          <cell r="AP593" t="str">
            <v>Bilan</v>
          </cell>
          <cell r="AQ593" t="str">
            <v>Capital Actions</v>
          </cell>
          <cell r="AR593" t="str">
            <v>$</v>
          </cell>
          <cell r="AS593">
            <v>0</v>
          </cell>
          <cell r="AW593">
            <v>0</v>
          </cell>
          <cell r="AY593" t="str">
            <v>NB</v>
          </cell>
        </row>
        <row r="594">
          <cell r="AM594">
            <v>0</v>
          </cell>
          <cell r="AP594" t="str">
            <v>Bilan</v>
          </cell>
          <cell r="AQ594" t="str">
            <v>Capital Actions</v>
          </cell>
          <cell r="AR594" t="str">
            <v>$</v>
          </cell>
          <cell r="AS594">
            <v>0</v>
          </cell>
          <cell r="AW594">
            <v>0</v>
          </cell>
          <cell r="AY594" t="str">
            <v>NB</v>
          </cell>
        </row>
        <row r="595">
          <cell r="AM595">
            <v>0</v>
          </cell>
          <cell r="AP595" t="str">
            <v>Bilan</v>
          </cell>
          <cell r="AQ595" t="str">
            <v>Capital Actions</v>
          </cell>
          <cell r="AR595" t="str">
            <v>$</v>
          </cell>
          <cell r="AS595">
            <v>0</v>
          </cell>
          <cell r="AW595">
            <v>0</v>
          </cell>
          <cell r="AY595" t="str">
            <v>NB</v>
          </cell>
        </row>
        <row r="596">
          <cell r="AM596">
            <v>0</v>
          </cell>
          <cell r="AP596" t="str">
            <v>Bilan</v>
          </cell>
          <cell r="AQ596" t="str">
            <v>Bénéfices non répartis</v>
          </cell>
          <cell r="AR596" t="str">
            <v>$</v>
          </cell>
          <cell r="AS596">
            <v>0</v>
          </cell>
          <cell r="AW596">
            <v>0</v>
          </cell>
          <cell r="AY596" t="str">
            <v>NB</v>
          </cell>
        </row>
        <row r="597">
          <cell r="AM597">
            <v>0</v>
          </cell>
          <cell r="AP597">
            <v>0</v>
          </cell>
          <cell r="AQ597">
            <v>0</v>
          </cell>
          <cell r="AR597" t="str">
            <v>$</v>
          </cell>
          <cell r="AS597">
            <v>0</v>
          </cell>
          <cell r="AW597">
            <v>0</v>
          </cell>
          <cell r="AY597" t="str">
            <v>NB</v>
          </cell>
        </row>
        <row r="598">
          <cell r="AM598">
            <v>0</v>
          </cell>
          <cell r="AP598" t="e">
            <v>#N/A</v>
          </cell>
          <cell r="AQ598" t="e">
            <v>#N/A</v>
          </cell>
          <cell r="AR598" t="str">
            <v>$</v>
          </cell>
          <cell r="AS598" t="e">
            <v>#N/A</v>
          </cell>
          <cell r="AW598">
            <v>0</v>
          </cell>
          <cell r="AY598" t="str">
            <v>NB</v>
          </cell>
        </row>
        <row r="599">
          <cell r="AM599">
            <v>0</v>
          </cell>
          <cell r="AP599" t="str">
            <v>Véhicules neufs</v>
          </cell>
          <cell r="AQ599" t="str">
            <v>Autos détail</v>
          </cell>
          <cell r="AR599" t="str">
            <v>$</v>
          </cell>
          <cell r="AS599" t="str">
            <v>Oui</v>
          </cell>
          <cell r="AW599">
            <v>0</v>
          </cell>
          <cell r="AY599" t="str">
            <v>NB</v>
          </cell>
        </row>
        <row r="600">
          <cell r="AM600">
            <v>0</v>
          </cell>
          <cell r="AP600" t="str">
            <v>Véhicules neufs</v>
          </cell>
          <cell r="AQ600" t="str">
            <v>Autos détail</v>
          </cell>
          <cell r="AR600" t="str">
            <v>$</v>
          </cell>
          <cell r="AS600" t="str">
            <v>Oui</v>
          </cell>
          <cell r="AW600">
            <v>0</v>
          </cell>
          <cell r="AY600" t="str">
            <v>NB</v>
          </cell>
        </row>
        <row r="601">
          <cell r="AM601">
            <v>0</v>
          </cell>
          <cell r="AP601" t="str">
            <v>Véhicules neufs</v>
          </cell>
          <cell r="AQ601" t="str">
            <v>Autos détail</v>
          </cell>
          <cell r="AR601" t="str">
            <v>$</v>
          </cell>
          <cell r="AS601" t="str">
            <v>Oui</v>
          </cell>
          <cell r="AW601">
            <v>0</v>
          </cell>
          <cell r="AY601" t="str">
            <v>NB</v>
          </cell>
        </row>
        <row r="602">
          <cell r="AM602">
            <v>0</v>
          </cell>
          <cell r="AP602" t="str">
            <v>Véhicules neufs</v>
          </cell>
          <cell r="AQ602" t="str">
            <v>Autos détail</v>
          </cell>
          <cell r="AR602" t="str">
            <v>$</v>
          </cell>
          <cell r="AS602" t="str">
            <v>Oui</v>
          </cell>
          <cell r="AW602">
            <v>0</v>
          </cell>
          <cell r="AY602" t="str">
            <v>NB</v>
          </cell>
        </row>
        <row r="603">
          <cell r="AM603">
            <v>0</v>
          </cell>
          <cell r="AP603" t="e">
            <v>#N/A</v>
          </cell>
          <cell r="AQ603" t="e">
            <v>#N/A</v>
          </cell>
          <cell r="AR603" t="str">
            <v>$</v>
          </cell>
          <cell r="AS603" t="e">
            <v>#N/A</v>
          </cell>
          <cell r="AW603">
            <v>0</v>
          </cell>
          <cell r="AY603" t="str">
            <v>NB</v>
          </cell>
        </row>
        <row r="604">
          <cell r="AM604">
            <v>0</v>
          </cell>
          <cell r="AP604" t="e">
            <v>#N/A</v>
          </cell>
          <cell r="AQ604" t="e">
            <v>#N/A</v>
          </cell>
          <cell r="AR604" t="str">
            <v>$</v>
          </cell>
          <cell r="AS604" t="e">
            <v>#N/A</v>
          </cell>
          <cell r="AW604">
            <v>0</v>
          </cell>
          <cell r="AY604" t="str">
            <v>NB</v>
          </cell>
        </row>
        <row r="605">
          <cell r="AM605">
            <v>0</v>
          </cell>
          <cell r="AP605" t="e">
            <v>#N/A</v>
          </cell>
          <cell r="AQ605" t="e">
            <v>#N/A</v>
          </cell>
          <cell r="AR605" t="str">
            <v>$</v>
          </cell>
          <cell r="AS605" t="e">
            <v>#N/A</v>
          </cell>
          <cell r="AW605">
            <v>0</v>
          </cell>
          <cell r="AY605" t="str">
            <v>NB</v>
          </cell>
        </row>
        <row r="606">
          <cell r="AM606">
            <v>0</v>
          </cell>
          <cell r="AP606" t="str">
            <v>Véhicules neufs</v>
          </cell>
          <cell r="AQ606" t="str">
            <v>Autos détail</v>
          </cell>
          <cell r="AR606" t="str">
            <v>$</v>
          </cell>
          <cell r="AS606" t="str">
            <v>Oui</v>
          </cell>
          <cell r="AW606">
            <v>0</v>
          </cell>
          <cell r="AY606" t="str">
            <v>NB</v>
          </cell>
        </row>
        <row r="607">
          <cell r="AM607">
            <v>0</v>
          </cell>
          <cell r="AP607" t="str">
            <v>Véhicules neufs</v>
          </cell>
          <cell r="AQ607" t="str">
            <v>Autos détail</v>
          </cell>
          <cell r="AR607" t="str">
            <v>$</v>
          </cell>
          <cell r="AS607" t="str">
            <v>Oui</v>
          </cell>
          <cell r="AW607">
            <v>0</v>
          </cell>
          <cell r="AY607" t="str">
            <v>NB</v>
          </cell>
        </row>
        <row r="608">
          <cell r="AM608">
            <v>0</v>
          </cell>
          <cell r="AP608" t="e">
            <v>#N/A</v>
          </cell>
          <cell r="AQ608" t="e">
            <v>#N/A</v>
          </cell>
          <cell r="AR608" t="str">
            <v>$</v>
          </cell>
          <cell r="AS608" t="e">
            <v>#N/A</v>
          </cell>
          <cell r="AW608">
            <v>0</v>
          </cell>
          <cell r="AY608" t="str">
            <v>NB</v>
          </cell>
        </row>
        <row r="609">
          <cell r="AM609">
            <v>0</v>
          </cell>
          <cell r="AP609" t="str">
            <v>Véhicules neufs</v>
          </cell>
          <cell r="AQ609" t="str">
            <v>Autos détail</v>
          </cell>
          <cell r="AR609" t="str">
            <v>$</v>
          </cell>
          <cell r="AS609" t="str">
            <v>Oui</v>
          </cell>
          <cell r="AW609">
            <v>0</v>
          </cell>
          <cell r="AY609" t="str">
            <v>NB</v>
          </cell>
        </row>
        <row r="610">
          <cell r="AM610">
            <v>-159221.35999999999</v>
          </cell>
          <cell r="AP610" t="str">
            <v>Véhicules neufs</v>
          </cell>
          <cell r="AQ610" t="str">
            <v>Autos détail</v>
          </cell>
          <cell r="AR610" t="str">
            <v>$</v>
          </cell>
          <cell r="AS610" t="str">
            <v>Oui</v>
          </cell>
          <cell r="AW610">
            <v>1</v>
          </cell>
          <cell r="AY610" t="str">
            <v>NB</v>
          </cell>
        </row>
        <row r="611">
          <cell r="AM611">
            <v>0</v>
          </cell>
          <cell r="AP611" t="e">
            <v>#N/A</v>
          </cell>
          <cell r="AQ611" t="e">
            <v>#N/A</v>
          </cell>
          <cell r="AR611" t="str">
            <v>$</v>
          </cell>
          <cell r="AS611" t="e">
            <v>#N/A</v>
          </cell>
          <cell r="AW611">
            <v>0</v>
          </cell>
          <cell r="AY611" t="str">
            <v>NB</v>
          </cell>
        </row>
        <row r="612">
          <cell r="AM612">
            <v>0</v>
          </cell>
          <cell r="AP612" t="e">
            <v>#N/A</v>
          </cell>
          <cell r="AQ612" t="e">
            <v>#N/A</v>
          </cell>
          <cell r="AR612" t="str">
            <v>$</v>
          </cell>
          <cell r="AS612" t="e">
            <v>#N/A</v>
          </cell>
          <cell r="AW612">
            <v>0</v>
          </cell>
          <cell r="AY612" t="str">
            <v>NB</v>
          </cell>
        </row>
        <row r="613">
          <cell r="AM613">
            <v>-178622</v>
          </cell>
          <cell r="AP613" t="str">
            <v>Véhicules neufs</v>
          </cell>
          <cell r="AQ613" t="str">
            <v>Camions electriques</v>
          </cell>
          <cell r="AR613" t="str">
            <v>$</v>
          </cell>
          <cell r="AS613" t="str">
            <v>Oui</v>
          </cell>
          <cell r="AW613">
            <v>4</v>
          </cell>
          <cell r="AY613" t="str">
            <v>NB</v>
          </cell>
        </row>
        <row r="614">
          <cell r="AM614">
            <v>0</v>
          </cell>
          <cell r="AP614" t="e">
            <v>#N/A</v>
          </cell>
          <cell r="AQ614" t="e">
            <v>#N/A</v>
          </cell>
          <cell r="AR614" t="str">
            <v>$</v>
          </cell>
          <cell r="AS614" t="e">
            <v>#N/A</v>
          </cell>
          <cell r="AW614">
            <v>0</v>
          </cell>
          <cell r="AY614" t="str">
            <v>NB</v>
          </cell>
        </row>
        <row r="615">
          <cell r="AM615">
            <v>0</v>
          </cell>
          <cell r="AP615" t="e">
            <v>#N/A</v>
          </cell>
          <cell r="AQ615" t="e">
            <v>#N/A</v>
          </cell>
          <cell r="AR615" t="str">
            <v>$</v>
          </cell>
          <cell r="AS615" t="e">
            <v>#N/A</v>
          </cell>
          <cell r="AW615">
            <v>0</v>
          </cell>
          <cell r="AY615" t="str">
            <v>NB</v>
          </cell>
        </row>
        <row r="616">
          <cell r="AM616">
            <v>0</v>
          </cell>
          <cell r="AP616" t="e">
            <v>#N/A</v>
          </cell>
          <cell r="AQ616" t="e">
            <v>#N/A</v>
          </cell>
          <cell r="AR616" t="str">
            <v>$</v>
          </cell>
          <cell r="AS616" t="e">
            <v>#N/A</v>
          </cell>
          <cell r="AW616">
            <v>0</v>
          </cell>
          <cell r="AY616" t="str">
            <v>NB</v>
          </cell>
        </row>
        <row r="617">
          <cell r="AM617">
            <v>0</v>
          </cell>
          <cell r="AP617" t="str">
            <v>Véhicules neufs</v>
          </cell>
          <cell r="AQ617" t="str">
            <v>Autos détail</v>
          </cell>
          <cell r="AR617" t="str">
            <v>$</v>
          </cell>
          <cell r="AS617" t="str">
            <v>Oui</v>
          </cell>
          <cell r="AW617">
            <v>0</v>
          </cell>
          <cell r="AY617" t="str">
            <v>NB</v>
          </cell>
        </row>
        <row r="618">
          <cell r="AM618">
            <v>0</v>
          </cell>
          <cell r="AP618" t="e">
            <v>#N/A</v>
          </cell>
          <cell r="AQ618" t="e">
            <v>#N/A</v>
          </cell>
          <cell r="AR618" t="str">
            <v>$</v>
          </cell>
          <cell r="AS618" t="e">
            <v>#N/A</v>
          </cell>
          <cell r="AW618">
            <v>0</v>
          </cell>
          <cell r="AY618" t="str">
            <v>NB</v>
          </cell>
        </row>
        <row r="619">
          <cell r="AM619">
            <v>0</v>
          </cell>
          <cell r="AP619" t="str">
            <v>Véhicules neufs</v>
          </cell>
          <cell r="AQ619" t="str">
            <v>Autos détail</v>
          </cell>
          <cell r="AR619" t="str">
            <v>$</v>
          </cell>
          <cell r="AS619" t="str">
            <v>Oui</v>
          </cell>
          <cell r="AW619">
            <v>0</v>
          </cell>
          <cell r="AY619" t="str">
            <v>NB</v>
          </cell>
        </row>
        <row r="620">
          <cell r="AM620">
            <v>0</v>
          </cell>
          <cell r="AP620" t="str">
            <v>Véhicules neufs</v>
          </cell>
          <cell r="AQ620" t="str">
            <v>Autos détail</v>
          </cell>
          <cell r="AR620" t="str">
            <v>$</v>
          </cell>
          <cell r="AS620" t="str">
            <v>Oui</v>
          </cell>
          <cell r="AW620">
            <v>0</v>
          </cell>
          <cell r="AY620" t="str">
            <v>NB</v>
          </cell>
        </row>
        <row r="621">
          <cell r="AM621">
            <v>0</v>
          </cell>
          <cell r="AP621">
            <v>0</v>
          </cell>
          <cell r="AQ621">
            <v>0</v>
          </cell>
          <cell r="AR621" t="str">
            <v>$</v>
          </cell>
          <cell r="AS621">
            <v>0</v>
          </cell>
          <cell r="AW621">
            <v>0</v>
          </cell>
          <cell r="AY621" t="str">
            <v>NB</v>
          </cell>
        </row>
        <row r="622">
          <cell r="AM622">
            <v>0</v>
          </cell>
          <cell r="AP622" t="e">
            <v>#N/A</v>
          </cell>
          <cell r="AQ622" t="e">
            <v>#N/A</v>
          </cell>
          <cell r="AR622" t="str">
            <v>$</v>
          </cell>
          <cell r="AS622" t="e">
            <v>#N/A</v>
          </cell>
          <cell r="AW622">
            <v>0</v>
          </cell>
          <cell r="AY622" t="str">
            <v>NB</v>
          </cell>
        </row>
        <row r="623">
          <cell r="AM623">
            <v>0</v>
          </cell>
          <cell r="AP623" t="e">
            <v>#N/A</v>
          </cell>
          <cell r="AQ623" t="e">
            <v>#N/A</v>
          </cell>
          <cell r="AR623" t="str">
            <v>$</v>
          </cell>
          <cell r="AS623" t="e">
            <v>#N/A</v>
          </cell>
          <cell r="AW623">
            <v>0</v>
          </cell>
          <cell r="AY623" t="str">
            <v>NB</v>
          </cell>
        </row>
        <row r="624">
          <cell r="AM624">
            <v>0</v>
          </cell>
          <cell r="AP624">
            <v>0</v>
          </cell>
          <cell r="AQ624">
            <v>0</v>
          </cell>
          <cell r="AR624" t="str">
            <v>$</v>
          </cell>
          <cell r="AS624">
            <v>0</v>
          </cell>
          <cell r="AW624">
            <v>38</v>
          </cell>
          <cell r="AY624" t="str">
            <v>NB</v>
          </cell>
        </row>
        <row r="625">
          <cell r="AM625">
            <v>0</v>
          </cell>
          <cell r="AP625" t="e">
            <v>#N/A</v>
          </cell>
          <cell r="AQ625" t="e">
            <v>#N/A</v>
          </cell>
          <cell r="AR625" t="str">
            <v>$</v>
          </cell>
          <cell r="AS625" t="e">
            <v>#N/A</v>
          </cell>
          <cell r="AW625">
            <v>0</v>
          </cell>
          <cell r="AY625" t="str">
            <v>NB</v>
          </cell>
        </row>
        <row r="626">
          <cell r="AM626">
            <v>0</v>
          </cell>
          <cell r="AP626" t="e">
            <v>#N/A</v>
          </cell>
          <cell r="AQ626" t="e">
            <v>#N/A</v>
          </cell>
          <cell r="AR626" t="str">
            <v>$</v>
          </cell>
          <cell r="AS626" t="e">
            <v>#N/A</v>
          </cell>
          <cell r="AW626">
            <v>0</v>
          </cell>
          <cell r="AY626" t="str">
            <v>NB</v>
          </cell>
        </row>
        <row r="627">
          <cell r="AM627">
            <v>0</v>
          </cell>
          <cell r="AP627" t="e">
            <v>#N/A</v>
          </cell>
          <cell r="AQ627" t="e">
            <v>#N/A</v>
          </cell>
          <cell r="AR627" t="str">
            <v>$</v>
          </cell>
          <cell r="AS627" t="e">
            <v>#N/A</v>
          </cell>
          <cell r="AW627">
            <v>0</v>
          </cell>
          <cell r="AY627" t="str">
            <v>NB</v>
          </cell>
        </row>
        <row r="628">
          <cell r="AM628">
            <v>0</v>
          </cell>
          <cell r="AP628" t="e">
            <v>#N/A</v>
          </cell>
          <cell r="AQ628" t="e">
            <v>#N/A</v>
          </cell>
          <cell r="AR628" t="str">
            <v>$</v>
          </cell>
          <cell r="AS628" t="e">
            <v>#N/A</v>
          </cell>
          <cell r="AW628">
            <v>0</v>
          </cell>
          <cell r="AY628" t="str">
            <v>NB</v>
          </cell>
        </row>
        <row r="629">
          <cell r="AM629">
            <v>0</v>
          </cell>
          <cell r="AP629" t="e">
            <v>#N/A</v>
          </cell>
          <cell r="AQ629" t="e">
            <v>#N/A</v>
          </cell>
          <cell r="AR629" t="str">
            <v>$</v>
          </cell>
          <cell r="AS629" t="e">
            <v>#N/A</v>
          </cell>
          <cell r="AW629">
            <v>0</v>
          </cell>
          <cell r="AY629" t="str">
            <v>NB</v>
          </cell>
        </row>
        <row r="630">
          <cell r="AM630">
            <v>0</v>
          </cell>
          <cell r="AP630" t="e">
            <v>#N/A</v>
          </cell>
          <cell r="AQ630" t="e">
            <v>#N/A</v>
          </cell>
          <cell r="AR630" t="str">
            <v>$</v>
          </cell>
          <cell r="AS630" t="e">
            <v>#N/A</v>
          </cell>
          <cell r="AW630">
            <v>0</v>
          </cell>
          <cell r="AY630" t="str">
            <v>NB</v>
          </cell>
        </row>
        <row r="631">
          <cell r="AM631">
            <v>0</v>
          </cell>
          <cell r="AP631" t="str">
            <v>Véhicules neufs</v>
          </cell>
          <cell r="AQ631" t="str">
            <v>Camions détail</v>
          </cell>
          <cell r="AR631" t="str">
            <v>$</v>
          </cell>
          <cell r="AS631" t="str">
            <v>Oui</v>
          </cell>
          <cell r="AW631">
            <v>0</v>
          </cell>
          <cell r="AY631" t="str">
            <v>NB</v>
          </cell>
        </row>
        <row r="632">
          <cell r="AM632">
            <v>-1369252.1400000001</v>
          </cell>
          <cell r="AP632" t="str">
            <v>Véhicules neufs</v>
          </cell>
          <cell r="AQ632" t="str">
            <v>Camions electriques</v>
          </cell>
          <cell r="AR632" t="str">
            <v>$</v>
          </cell>
          <cell r="AS632" t="str">
            <v>Oui</v>
          </cell>
          <cell r="AW632">
            <v>31</v>
          </cell>
          <cell r="AY632" t="str">
            <v>NB</v>
          </cell>
        </row>
        <row r="633">
          <cell r="AM633">
            <v>0</v>
          </cell>
          <cell r="AP633" t="e">
            <v>#N/A</v>
          </cell>
          <cell r="AQ633" t="e">
            <v>#N/A</v>
          </cell>
          <cell r="AR633" t="str">
            <v>$</v>
          </cell>
          <cell r="AS633" t="e">
            <v>#N/A</v>
          </cell>
          <cell r="AW633">
            <v>0</v>
          </cell>
          <cell r="AY633" t="str">
            <v>NB</v>
          </cell>
        </row>
        <row r="634">
          <cell r="AM634">
            <v>0</v>
          </cell>
          <cell r="AP634" t="str">
            <v>Véhicules neufs</v>
          </cell>
          <cell r="AQ634" t="str">
            <v>Camions détail</v>
          </cell>
          <cell r="AR634" t="str">
            <v>$</v>
          </cell>
          <cell r="AS634" t="str">
            <v>Oui</v>
          </cell>
          <cell r="AW634">
            <v>0</v>
          </cell>
          <cell r="AY634" t="str">
            <v>NB</v>
          </cell>
        </row>
        <row r="635">
          <cell r="AM635">
            <v>0</v>
          </cell>
          <cell r="AP635" t="str">
            <v>Véhicules neufs</v>
          </cell>
          <cell r="AQ635" t="str">
            <v>Camions electriques</v>
          </cell>
          <cell r="AR635" t="str">
            <v>$</v>
          </cell>
          <cell r="AS635" t="str">
            <v>Oui</v>
          </cell>
          <cell r="AW635">
            <v>0</v>
          </cell>
          <cell r="AY635" t="str">
            <v>NB</v>
          </cell>
        </row>
        <row r="636">
          <cell r="AM636">
            <v>0</v>
          </cell>
          <cell r="AP636" t="e">
            <v>#N/A</v>
          </cell>
          <cell r="AQ636" t="e">
            <v>#N/A</v>
          </cell>
          <cell r="AR636" t="str">
            <v>$</v>
          </cell>
          <cell r="AS636" t="e">
            <v>#N/A</v>
          </cell>
          <cell r="AW636">
            <v>0</v>
          </cell>
          <cell r="AY636" t="str">
            <v>NB</v>
          </cell>
        </row>
        <row r="637">
          <cell r="AM637">
            <v>0</v>
          </cell>
          <cell r="AP637" t="e">
            <v>#N/A</v>
          </cell>
          <cell r="AQ637" t="e">
            <v>#N/A</v>
          </cell>
          <cell r="AR637" t="str">
            <v>$</v>
          </cell>
          <cell r="AS637" t="e">
            <v>#N/A</v>
          </cell>
          <cell r="AW637">
            <v>0</v>
          </cell>
          <cell r="AY637" t="str">
            <v>NB</v>
          </cell>
        </row>
        <row r="638">
          <cell r="AM638">
            <v>0</v>
          </cell>
          <cell r="AP638" t="str">
            <v>Véhicules neufs</v>
          </cell>
          <cell r="AQ638" t="str">
            <v>Camions détail</v>
          </cell>
          <cell r="AR638" t="str">
            <v>$</v>
          </cell>
          <cell r="AS638" t="str">
            <v>Oui</v>
          </cell>
          <cell r="AW638">
            <v>0</v>
          </cell>
          <cell r="AY638" t="str">
            <v>NB</v>
          </cell>
        </row>
        <row r="639">
          <cell r="AM639">
            <v>-124562.87000000002</v>
          </cell>
          <cell r="AP639" t="str">
            <v>Véhicules neufs</v>
          </cell>
          <cell r="AQ639" t="str">
            <v>Camions détail</v>
          </cell>
          <cell r="AR639" t="str">
            <v>$</v>
          </cell>
          <cell r="AS639" t="str">
            <v>Oui</v>
          </cell>
          <cell r="AW639">
            <v>2</v>
          </cell>
          <cell r="AY639" t="str">
            <v>NB</v>
          </cell>
        </row>
        <row r="640">
          <cell r="AM640">
            <v>0</v>
          </cell>
          <cell r="AP640" t="str">
            <v>Véhicules neufs</v>
          </cell>
          <cell r="AQ640" t="str">
            <v>Camions détail</v>
          </cell>
          <cell r="AR640" t="str">
            <v>$</v>
          </cell>
          <cell r="AS640" t="str">
            <v>Oui</v>
          </cell>
          <cell r="AW640">
            <v>0</v>
          </cell>
          <cell r="AY640" t="str">
            <v>NB</v>
          </cell>
        </row>
        <row r="641">
          <cell r="AM641">
            <v>-104927.85000000003</v>
          </cell>
          <cell r="AP641" t="str">
            <v>Véhicules neufs</v>
          </cell>
          <cell r="AQ641" t="str">
            <v>Camions détail</v>
          </cell>
          <cell r="AR641" t="str">
            <v>$</v>
          </cell>
          <cell r="AS641" t="str">
            <v>Oui</v>
          </cell>
          <cell r="AW641">
            <v>3</v>
          </cell>
          <cell r="AY641" t="str">
            <v>NB</v>
          </cell>
        </row>
        <row r="642">
          <cell r="AM642">
            <v>0</v>
          </cell>
          <cell r="AP642" t="e">
            <v>#N/A</v>
          </cell>
          <cell r="AQ642" t="e">
            <v>#N/A</v>
          </cell>
          <cell r="AR642" t="str">
            <v>$</v>
          </cell>
          <cell r="AS642" t="e">
            <v>#N/A</v>
          </cell>
          <cell r="AW642">
            <v>0</v>
          </cell>
          <cell r="AY642" t="str">
            <v>NB</v>
          </cell>
        </row>
        <row r="643">
          <cell r="AM643">
            <v>-191829.28999999998</v>
          </cell>
          <cell r="AP643" t="str">
            <v>Véhicules neufs</v>
          </cell>
          <cell r="AQ643" t="str">
            <v>Camions détail</v>
          </cell>
          <cell r="AR643" t="str">
            <v>$</v>
          </cell>
          <cell r="AS643" t="str">
            <v>Oui</v>
          </cell>
          <cell r="AW643">
            <v>3</v>
          </cell>
          <cell r="AY643" t="str">
            <v>NB</v>
          </cell>
        </row>
        <row r="644">
          <cell r="AM644">
            <v>0</v>
          </cell>
          <cell r="AP644" t="str">
            <v>Véhicules neufs</v>
          </cell>
          <cell r="AQ644" t="str">
            <v>Camions détail</v>
          </cell>
          <cell r="AR644" t="str">
            <v>$</v>
          </cell>
          <cell r="AS644" t="str">
            <v>Oui</v>
          </cell>
          <cell r="AW644">
            <v>0</v>
          </cell>
          <cell r="AY644" t="str">
            <v>NB</v>
          </cell>
        </row>
        <row r="645">
          <cell r="AM645">
            <v>-111866.49999999997</v>
          </cell>
          <cell r="AP645" t="str">
            <v>Véhicules neufs</v>
          </cell>
          <cell r="AQ645" t="str">
            <v>Camions détail</v>
          </cell>
          <cell r="AR645" t="str">
            <v>$</v>
          </cell>
          <cell r="AS645" t="str">
            <v>Oui</v>
          </cell>
          <cell r="AW645">
            <v>3</v>
          </cell>
          <cell r="AY645" t="str">
            <v>NB</v>
          </cell>
        </row>
        <row r="646">
          <cell r="AM646">
            <v>0</v>
          </cell>
          <cell r="AP646" t="e">
            <v>#N/A</v>
          </cell>
          <cell r="AQ646" t="e">
            <v>#N/A</v>
          </cell>
          <cell r="AR646" t="str">
            <v>$</v>
          </cell>
          <cell r="AS646" t="e">
            <v>#N/A</v>
          </cell>
          <cell r="AW646">
            <v>0</v>
          </cell>
          <cell r="AY646" t="str">
            <v>NB</v>
          </cell>
        </row>
        <row r="647">
          <cell r="AM647">
            <v>-130735</v>
          </cell>
          <cell r="AP647" t="str">
            <v>Véhicules neufs</v>
          </cell>
          <cell r="AQ647" t="str">
            <v>Camions détail</v>
          </cell>
          <cell r="AR647" t="str">
            <v>$</v>
          </cell>
          <cell r="AS647" t="str">
            <v>Oui</v>
          </cell>
          <cell r="AW647">
            <v>4</v>
          </cell>
          <cell r="AY647" t="str">
            <v>NB</v>
          </cell>
        </row>
        <row r="648">
          <cell r="AM648">
            <v>0</v>
          </cell>
          <cell r="AP648" t="str">
            <v>Véhicules neufs</v>
          </cell>
          <cell r="AQ648" t="str">
            <v>Camions détail</v>
          </cell>
          <cell r="AR648" t="str">
            <v>$</v>
          </cell>
          <cell r="AS648" t="str">
            <v>Oui</v>
          </cell>
          <cell r="AW648">
            <v>0</v>
          </cell>
          <cell r="AY648" t="str">
            <v>NB</v>
          </cell>
        </row>
        <row r="649">
          <cell r="AM649">
            <v>-425297.75</v>
          </cell>
          <cell r="AP649" t="str">
            <v>Véhicules neufs</v>
          </cell>
          <cell r="AQ649" t="str">
            <v>Camions détail</v>
          </cell>
          <cell r="AR649" t="str">
            <v>$</v>
          </cell>
          <cell r="AS649" t="str">
            <v>Oui</v>
          </cell>
          <cell r="AW649">
            <v>6</v>
          </cell>
          <cell r="AY649" t="str">
            <v>NB</v>
          </cell>
        </row>
        <row r="650">
          <cell r="AM650">
            <v>-94012.549999999988</v>
          </cell>
          <cell r="AP650" t="str">
            <v>Véhicules neufs</v>
          </cell>
          <cell r="AQ650" t="str">
            <v>Camions electriques</v>
          </cell>
          <cell r="AR650" t="str">
            <v>$</v>
          </cell>
          <cell r="AS650" t="str">
            <v>Oui</v>
          </cell>
          <cell r="AW650">
            <v>1</v>
          </cell>
          <cell r="AY650" t="str">
            <v>NB</v>
          </cell>
        </row>
        <row r="651">
          <cell r="AM651">
            <v>-115860.54000000004</v>
          </cell>
          <cell r="AP651" t="str">
            <v>Véhicules neufs</v>
          </cell>
          <cell r="AQ651" t="str">
            <v>Camions détail</v>
          </cell>
          <cell r="AR651" t="str">
            <v>$</v>
          </cell>
          <cell r="AS651" t="str">
            <v>Oui</v>
          </cell>
          <cell r="AW651">
            <v>1</v>
          </cell>
          <cell r="AY651" t="str">
            <v>NB</v>
          </cell>
        </row>
        <row r="652">
          <cell r="AM652">
            <v>0</v>
          </cell>
          <cell r="AP652" t="e">
            <v>#N/A</v>
          </cell>
          <cell r="AQ652" t="e">
            <v>#N/A</v>
          </cell>
          <cell r="AR652" t="str">
            <v>$</v>
          </cell>
          <cell r="AS652" t="e">
            <v>#N/A</v>
          </cell>
          <cell r="AW652">
            <v>0</v>
          </cell>
          <cell r="AY652" t="str">
            <v>NB</v>
          </cell>
        </row>
        <row r="653">
          <cell r="AM653">
            <v>0</v>
          </cell>
          <cell r="AP653" t="str">
            <v>Véhicules neufs</v>
          </cell>
          <cell r="AQ653" t="str">
            <v>Camions détail</v>
          </cell>
          <cell r="AR653" t="str">
            <v>$</v>
          </cell>
          <cell r="AS653" t="str">
            <v>Oui</v>
          </cell>
          <cell r="AW653">
            <v>0</v>
          </cell>
          <cell r="AY653" t="str">
            <v>NB</v>
          </cell>
        </row>
        <row r="654">
          <cell r="AM654">
            <v>-386921</v>
          </cell>
          <cell r="AP654" t="str">
            <v>Véhicules neufs</v>
          </cell>
          <cell r="AQ654" t="str">
            <v>Camions détail</v>
          </cell>
          <cell r="AR654" t="str">
            <v>$</v>
          </cell>
          <cell r="AS654" t="str">
            <v>Oui</v>
          </cell>
          <cell r="AW654">
            <v>5</v>
          </cell>
          <cell r="AY654" t="str">
            <v>NB</v>
          </cell>
        </row>
        <row r="655">
          <cell r="AM655">
            <v>0</v>
          </cell>
          <cell r="AP655" t="str">
            <v>Véhicules neufs</v>
          </cell>
          <cell r="AQ655" t="str">
            <v>Camions electriques</v>
          </cell>
          <cell r="AR655" t="str">
            <v>$</v>
          </cell>
          <cell r="AS655" t="str">
            <v>Oui</v>
          </cell>
          <cell r="AW655">
            <v>0</v>
          </cell>
          <cell r="AY655" t="str">
            <v>NB</v>
          </cell>
        </row>
        <row r="656">
          <cell r="AM656">
            <v>0</v>
          </cell>
          <cell r="AP656" t="e">
            <v>#N/A</v>
          </cell>
          <cell r="AQ656" t="e">
            <v>#N/A</v>
          </cell>
          <cell r="AR656" t="str">
            <v>$</v>
          </cell>
          <cell r="AS656" t="e">
            <v>#N/A</v>
          </cell>
          <cell r="AW656">
            <v>0</v>
          </cell>
          <cell r="AY656" t="str">
            <v>NB</v>
          </cell>
        </row>
        <row r="657">
          <cell r="AM657">
            <v>0</v>
          </cell>
          <cell r="AP657" t="str">
            <v>Véhicules neufs</v>
          </cell>
          <cell r="AQ657" t="str">
            <v>Camions détail</v>
          </cell>
          <cell r="AR657" t="str">
            <v>$</v>
          </cell>
          <cell r="AS657" t="str">
            <v>Oui</v>
          </cell>
          <cell r="AW657">
            <v>0</v>
          </cell>
          <cell r="AY657" t="str">
            <v>NB</v>
          </cell>
        </row>
        <row r="658">
          <cell r="AM658">
            <v>0</v>
          </cell>
          <cell r="AP658" t="str">
            <v>Véhicules neufs</v>
          </cell>
          <cell r="AQ658" t="str">
            <v>Camions détail</v>
          </cell>
          <cell r="AR658" t="str">
            <v>$</v>
          </cell>
          <cell r="AS658" t="str">
            <v>Oui</v>
          </cell>
          <cell r="AW658">
            <v>0</v>
          </cell>
          <cell r="AY658" t="str">
            <v>NB</v>
          </cell>
        </row>
        <row r="659">
          <cell r="AM659">
            <v>0</v>
          </cell>
          <cell r="AP659" t="str">
            <v>Véhicules neufs</v>
          </cell>
          <cell r="AQ659" t="str">
            <v>Camions détail</v>
          </cell>
          <cell r="AR659" t="str">
            <v>$</v>
          </cell>
          <cell r="AS659" t="str">
            <v>Oui</v>
          </cell>
          <cell r="AW659">
            <v>0</v>
          </cell>
          <cell r="AY659" t="str">
            <v>NB</v>
          </cell>
        </row>
        <row r="660">
          <cell r="AM660">
            <v>0</v>
          </cell>
          <cell r="AP660" t="str">
            <v>Véhicules neufs</v>
          </cell>
          <cell r="AQ660" t="str">
            <v>Camions détail</v>
          </cell>
          <cell r="AR660" t="str">
            <v>$</v>
          </cell>
          <cell r="AS660" t="str">
            <v>Oui</v>
          </cell>
          <cell r="AW660">
            <v>0</v>
          </cell>
          <cell r="AY660" t="str">
            <v>NB</v>
          </cell>
        </row>
        <row r="661">
          <cell r="AM661">
            <v>-61522</v>
          </cell>
          <cell r="AP661" t="str">
            <v>Véhicules neufs</v>
          </cell>
          <cell r="AQ661" t="str">
            <v>Camions electriques</v>
          </cell>
          <cell r="AR661" t="str">
            <v>$</v>
          </cell>
          <cell r="AS661" t="str">
            <v>Oui</v>
          </cell>
          <cell r="AW661">
            <v>1</v>
          </cell>
          <cell r="AY661" t="str">
            <v>NB</v>
          </cell>
        </row>
        <row r="662">
          <cell r="AM662">
            <v>0</v>
          </cell>
          <cell r="AP662" t="e">
            <v>#N/A</v>
          </cell>
          <cell r="AQ662" t="e">
            <v>#N/A</v>
          </cell>
          <cell r="AR662" t="str">
            <v>$</v>
          </cell>
          <cell r="AS662" t="e">
            <v>#N/A</v>
          </cell>
          <cell r="AW662">
            <v>0</v>
          </cell>
          <cell r="AY662" t="str">
            <v>NB</v>
          </cell>
        </row>
        <row r="663">
          <cell r="AM663">
            <v>0</v>
          </cell>
          <cell r="AP663" t="str">
            <v>Véhicules neufs</v>
          </cell>
          <cell r="AQ663" t="str">
            <v>Camions détail</v>
          </cell>
          <cell r="AR663" t="str">
            <v>$</v>
          </cell>
          <cell r="AS663" t="str">
            <v>Oui</v>
          </cell>
          <cell r="AW663">
            <v>0</v>
          </cell>
          <cell r="AY663" t="str">
            <v>NB</v>
          </cell>
        </row>
        <row r="664">
          <cell r="AM664">
            <v>-510910.5</v>
          </cell>
          <cell r="AP664" t="str">
            <v>Véhicules neufs</v>
          </cell>
          <cell r="AQ664" t="str">
            <v>Camions electriques</v>
          </cell>
          <cell r="AR664" t="str">
            <v>$</v>
          </cell>
          <cell r="AS664" t="str">
            <v>Oui</v>
          </cell>
          <cell r="AW664">
            <v>10</v>
          </cell>
          <cell r="AY664" t="str">
            <v>NB</v>
          </cell>
        </row>
        <row r="665">
          <cell r="AM665">
            <v>0</v>
          </cell>
          <cell r="AP665" t="e">
            <v>#N/A</v>
          </cell>
          <cell r="AQ665" t="e">
            <v>#N/A</v>
          </cell>
          <cell r="AR665" t="str">
            <v>$</v>
          </cell>
          <cell r="AS665" t="e">
            <v>#N/A</v>
          </cell>
          <cell r="AW665">
            <v>0</v>
          </cell>
          <cell r="AY665" t="str">
            <v>NB</v>
          </cell>
        </row>
        <row r="666">
          <cell r="AM666">
            <v>0</v>
          </cell>
          <cell r="AP666" t="str">
            <v>Véhicules neufs</v>
          </cell>
          <cell r="AQ666" t="str">
            <v>Camions détail</v>
          </cell>
          <cell r="AR666" t="str">
            <v>$</v>
          </cell>
          <cell r="AS666" t="str">
            <v>Oui</v>
          </cell>
          <cell r="AW666">
            <v>0</v>
          </cell>
          <cell r="AY666" t="str">
            <v>NB</v>
          </cell>
        </row>
        <row r="667">
          <cell r="AM667">
            <v>-121045.49999999999</v>
          </cell>
          <cell r="AP667" t="str">
            <v>Véhicules neufs</v>
          </cell>
          <cell r="AQ667" t="str">
            <v>Camions electriques</v>
          </cell>
          <cell r="AR667" t="str">
            <v>$</v>
          </cell>
          <cell r="AS667" t="str">
            <v>Oui</v>
          </cell>
          <cell r="AW667">
            <v>1</v>
          </cell>
          <cell r="AY667" t="str">
            <v>NB</v>
          </cell>
        </row>
        <row r="668">
          <cell r="AM668">
            <v>0</v>
          </cell>
          <cell r="AP668" t="e">
            <v>#N/A</v>
          </cell>
          <cell r="AQ668" t="e">
            <v>#N/A</v>
          </cell>
          <cell r="AR668" t="str">
            <v>$</v>
          </cell>
          <cell r="AS668" t="e">
            <v>#N/A</v>
          </cell>
          <cell r="AW668">
            <v>0</v>
          </cell>
          <cell r="AY668" t="str">
            <v>NB</v>
          </cell>
        </row>
        <row r="669">
          <cell r="AM669">
            <v>-81957.399999999994</v>
          </cell>
          <cell r="AP669" t="str">
            <v>Véhicules neufs</v>
          </cell>
          <cell r="AQ669" t="str">
            <v>Camions détail</v>
          </cell>
          <cell r="AR669" t="str">
            <v>$</v>
          </cell>
          <cell r="AS669" t="str">
            <v>Oui</v>
          </cell>
          <cell r="AW669">
            <v>2</v>
          </cell>
          <cell r="AY669" t="str">
            <v>NB</v>
          </cell>
        </row>
        <row r="670">
          <cell r="AM670">
            <v>-70352.289999999979</v>
          </cell>
          <cell r="AP670" t="str">
            <v>Véhicules neufs</v>
          </cell>
          <cell r="AQ670" t="str">
            <v>Camions détail</v>
          </cell>
          <cell r="AR670" t="str">
            <v>$</v>
          </cell>
          <cell r="AS670" t="str">
            <v>Oui</v>
          </cell>
          <cell r="AW670">
            <v>1</v>
          </cell>
          <cell r="AY670" t="str">
            <v>NB</v>
          </cell>
        </row>
        <row r="671">
          <cell r="AM671">
            <v>0</v>
          </cell>
          <cell r="AP671" t="e">
            <v>#N/A</v>
          </cell>
          <cell r="AQ671" t="e">
            <v>#N/A</v>
          </cell>
          <cell r="AR671" t="str">
            <v>$</v>
          </cell>
          <cell r="AS671" t="e">
            <v>#N/A</v>
          </cell>
          <cell r="AW671">
            <v>0</v>
          </cell>
          <cell r="AY671" t="str">
            <v>NB</v>
          </cell>
        </row>
        <row r="672">
          <cell r="AM672">
            <v>0</v>
          </cell>
          <cell r="AP672" t="e">
            <v>#N/A</v>
          </cell>
          <cell r="AQ672" t="e">
            <v>#N/A</v>
          </cell>
          <cell r="AR672" t="str">
            <v>$</v>
          </cell>
          <cell r="AS672" t="e">
            <v>#N/A</v>
          </cell>
          <cell r="AW672">
            <v>0</v>
          </cell>
          <cell r="AY672" t="str">
            <v>NB</v>
          </cell>
        </row>
        <row r="673">
          <cell r="AM673">
            <v>-3128427.7600000054</v>
          </cell>
          <cell r="AP673" t="str">
            <v>Véhicules neufs</v>
          </cell>
          <cell r="AQ673" t="str">
            <v>Flottes</v>
          </cell>
          <cell r="AR673" t="str">
            <v>$</v>
          </cell>
          <cell r="AS673" t="str">
            <v>Oui</v>
          </cell>
          <cell r="AW673">
            <v>51</v>
          </cell>
          <cell r="AY673" t="str">
            <v>NB</v>
          </cell>
        </row>
        <row r="674">
          <cell r="AM674">
            <v>0</v>
          </cell>
          <cell r="AP674" t="str">
            <v>Véhicules neufs</v>
          </cell>
          <cell r="AQ674" t="str">
            <v>Flottes</v>
          </cell>
          <cell r="AR674" t="str">
            <v>$</v>
          </cell>
          <cell r="AS674" t="str">
            <v>Oui</v>
          </cell>
          <cell r="AW674">
            <v>0</v>
          </cell>
          <cell r="AY674" t="str">
            <v>NB</v>
          </cell>
        </row>
        <row r="675">
          <cell r="AM675">
            <v>-90419.399999999965</v>
          </cell>
          <cell r="AP675" t="str">
            <v>Véhicules neufs</v>
          </cell>
          <cell r="AQ675" t="str">
            <v>Rev. Protections</v>
          </cell>
          <cell r="AR675" t="str">
            <v>$</v>
          </cell>
          <cell r="AS675" t="str">
            <v>Oui</v>
          </cell>
          <cell r="AW675">
            <v>37</v>
          </cell>
          <cell r="AY675" t="str">
            <v>NB</v>
          </cell>
        </row>
        <row r="676">
          <cell r="AM676">
            <v>0</v>
          </cell>
          <cell r="AP676" t="e">
            <v>#N/A</v>
          </cell>
          <cell r="AQ676" t="e">
            <v>#N/A</v>
          </cell>
          <cell r="AR676" t="str">
            <v>$</v>
          </cell>
          <cell r="AS676" t="e">
            <v>#N/A</v>
          </cell>
          <cell r="AW676">
            <v>0</v>
          </cell>
          <cell r="AY676" t="str">
            <v>NB</v>
          </cell>
        </row>
        <row r="677">
          <cell r="AM677">
            <v>0</v>
          </cell>
          <cell r="AP677" t="e">
            <v>#N/A</v>
          </cell>
          <cell r="AQ677" t="e">
            <v>#N/A</v>
          </cell>
          <cell r="AR677" t="str">
            <v>$</v>
          </cell>
          <cell r="AS677" t="e">
            <v>#N/A</v>
          </cell>
          <cell r="AW677">
            <v>0</v>
          </cell>
          <cell r="AY677" t="str">
            <v>NB</v>
          </cell>
        </row>
        <row r="678">
          <cell r="AM678">
            <v>0</v>
          </cell>
          <cell r="AP678" t="e">
            <v>#N/A</v>
          </cell>
          <cell r="AQ678" t="e">
            <v>#N/A</v>
          </cell>
          <cell r="AR678" t="str">
            <v>$</v>
          </cell>
          <cell r="AS678" t="e">
            <v>#N/A</v>
          </cell>
          <cell r="AW678">
            <v>0</v>
          </cell>
          <cell r="AY678" t="str">
            <v>NB</v>
          </cell>
        </row>
        <row r="679">
          <cell r="AM679">
            <v>0</v>
          </cell>
          <cell r="AP679" t="e">
            <v>#N/A</v>
          </cell>
          <cell r="AQ679" t="e">
            <v>#N/A</v>
          </cell>
          <cell r="AR679" t="str">
            <v>$</v>
          </cell>
          <cell r="AS679" t="e">
            <v>#N/A</v>
          </cell>
          <cell r="AW679">
            <v>0</v>
          </cell>
          <cell r="AY679" t="str">
            <v>NB</v>
          </cell>
        </row>
        <row r="680">
          <cell r="AM680">
            <v>0</v>
          </cell>
          <cell r="AP680" t="e">
            <v>#N/A</v>
          </cell>
          <cell r="AQ680" t="e">
            <v>#N/A</v>
          </cell>
          <cell r="AR680" t="str">
            <v>$</v>
          </cell>
          <cell r="AS680" t="e">
            <v>#N/A</v>
          </cell>
          <cell r="AW680">
            <v>0</v>
          </cell>
          <cell r="AY680" t="str">
            <v>NB</v>
          </cell>
        </row>
        <row r="681">
          <cell r="AM681">
            <v>0</v>
          </cell>
          <cell r="AP681" t="e">
            <v>#N/A</v>
          </cell>
          <cell r="AQ681" t="e">
            <v>#N/A</v>
          </cell>
          <cell r="AR681" t="str">
            <v>$</v>
          </cell>
          <cell r="AS681" t="e">
            <v>#N/A</v>
          </cell>
          <cell r="AW681">
            <v>0</v>
          </cell>
          <cell r="AY681" t="str">
            <v>NB</v>
          </cell>
        </row>
        <row r="682">
          <cell r="AM682">
            <v>0</v>
          </cell>
          <cell r="AP682" t="str">
            <v>Véhicules neufs</v>
          </cell>
          <cell r="AQ682" t="str">
            <v>Rev. Protections</v>
          </cell>
          <cell r="AR682" t="str">
            <v>$</v>
          </cell>
          <cell r="AS682" t="str">
            <v>Oui</v>
          </cell>
          <cell r="AW682">
            <v>0</v>
          </cell>
          <cell r="AY682" t="str">
            <v>NB</v>
          </cell>
        </row>
        <row r="683">
          <cell r="AM683">
            <v>0</v>
          </cell>
          <cell r="AP683" t="e">
            <v>#N/A</v>
          </cell>
          <cell r="AQ683" t="e">
            <v>#N/A</v>
          </cell>
          <cell r="AR683" t="str">
            <v>$</v>
          </cell>
          <cell r="AS683" t="e">
            <v>#N/A</v>
          </cell>
          <cell r="AW683">
            <v>0</v>
          </cell>
          <cell r="AY683" t="str">
            <v>NB</v>
          </cell>
        </row>
        <row r="684">
          <cell r="AM684">
            <v>0</v>
          </cell>
          <cell r="AP684" t="e">
            <v>#N/A</v>
          </cell>
          <cell r="AQ684" t="e">
            <v>#N/A</v>
          </cell>
          <cell r="AR684" t="str">
            <v>$</v>
          </cell>
          <cell r="AS684" t="e">
            <v>#N/A</v>
          </cell>
          <cell r="AW684">
            <v>0</v>
          </cell>
          <cell r="AY684" t="str">
            <v>NB</v>
          </cell>
        </row>
        <row r="685">
          <cell r="AM685">
            <v>0</v>
          </cell>
          <cell r="AP685" t="e">
            <v>#N/A</v>
          </cell>
          <cell r="AQ685" t="e">
            <v>#N/A</v>
          </cell>
          <cell r="AR685" t="str">
            <v>$</v>
          </cell>
          <cell r="AS685" t="e">
            <v>#N/A</v>
          </cell>
          <cell r="AW685">
            <v>0</v>
          </cell>
          <cell r="AY685" t="str">
            <v>NB</v>
          </cell>
        </row>
        <row r="686">
          <cell r="AM686">
            <v>0</v>
          </cell>
          <cell r="AP686" t="e">
            <v>#N/A</v>
          </cell>
          <cell r="AQ686" t="e">
            <v>#N/A</v>
          </cell>
          <cell r="AR686" t="str">
            <v>$</v>
          </cell>
          <cell r="AS686" t="e">
            <v>#N/A</v>
          </cell>
          <cell r="AW686">
            <v>0</v>
          </cell>
          <cell r="AY686" t="str">
            <v>NB</v>
          </cell>
        </row>
        <row r="687">
          <cell r="AM687">
            <v>0</v>
          </cell>
          <cell r="AP687" t="e">
            <v>#N/A</v>
          </cell>
          <cell r="AQ687" t="e">
            <v>#N/A</v>
          </cell>
          <cell r="AR687" t="str">
            <v>$</v>
          </cell>
          <cell r="AS687" t="e">
            <v>#N/A</v>
          </cell>
          <cell r="AW687">
            <v>0</v>
          </cell>
          <cell r="AY687" t="str">
            <v>NB</v>
          </cell>
        </row>
        <row r="688">
          <cell r="AM688">
            <v>-450</v>
          </cell>
          <cell r="AP688" t="str">
            <v>Véhicules neufs</v>
          </cell>
          <cell r="AQ688" t="str">
            <v>Rev. Autres</v>
          </cell>
          <cell r="AR688" t="str">
            <v>$</v>
          </cell>
          <cell r="AS688" t="str">
            <v>Oui</v>
          </cell>
          <cell r="AW688">
            <v>1</v>
          </cell>
          <cell r="AY688" t="str">
            <v>NB</v>
          </cell>
        </row>
        <row r="689">
          <cell r="AM689">
            <v>-5190</v>
          </cell>
          <cell r="AP689" t="str">
            <v>Véhicules neufs</v>
          </cell>
          <cell r="AQ689" t="str">
            <v>Rev. Autres</v>
          </cell>
          <cell r="AR689" t="str">
            <v>$</v>
          </cell>
          <cell r="AS689" t="str">
            <v>Oui</v>
          </cell>
          <cell r="AW689">
            <v>10</v>
          </cell>
          <cell r="AY689" t="str">
            <v>NB</v>
          </cell>
        </row>
        <row r="690">
          <cell r="AM690">
            <v>-1911</v>
          </cell>
          <cell r="AP690" t="str">
            <v>Véhicules neufs</v>
          </cell>
          <cell r="AQ690" t="str">
            <v>Rev. Protections</v>
          </cell>
          <cell r="AR690" t="str">
            <v>$</v>
          </cell>
          <cell r="AS690" t="str">
            <v>Oui</v>
          </cell>
          <cell r="AW690">
            <v>1</v>
          </cell>
          <cell r="AY690" t="str">
            <v>NB</v>
          </cell>
        </row>
        <row r="691">
          <cell r="AM691">
            <v>-258</v>
          </cell>
          <cell r="AP691" t="str">
            <v>Véhicules neufs</v>
          </cell>
          <cell r="AQ691" t="str">
            <v>Rev. Autres</v>
          </cell>
          <cell r="AR691" t="str">
            <v>$</v>
          </cell>
          <cell r="AS691" t="str">
            <v>Oui</v>
          </cell>
          <cell r="AW691">
            <v>1</v>
          </cell>
          <cell r="AY691" t="str">
            <v>NB</v>
          </cell>
        </row>
        <row r="692">
          <cell r="AM692">
            <v>0</v>
          </cell>
          <cell r="AP692" t="str">
            <v>Véhicules usagés</v>
          </cell>
          <cell r="AQ692" t="str">
            <v>Certifié</v>
          </cell>
          <cell r="AR692" t="str">
            <v>$</v>
          </cell>
          <cell r="AS692" t="str">
            <v>Oui</v>
          </cell>
          <cell r="AW692">
            <v>0</v>
          </cell>
          <cell r="AY692" t="str">
            <v>NB</v>
          </cell>
        </row>
        <row r="693">
          <cell r="AM693">
            <v>-77743</v>
          </cell>
          <cell r="AP693" t="str">
            <v>Véhicules usagés</v>
          </cell>
          <cell r="AQ693" t="str">
            <v>Non Certifié</v>
          </cell>
          <cell r="AR693" t="str">
            <v>$</v>
          </cell>
          <cell r="AS693" t="str">
            <v>Oui</v>
          </cell>
          <cell r="AW693">
            <v>6</v>
          </cell>
          <cell r="AY693" t="str">
            <v>NB</v>
          </cell>
        </row>
        <row r="694">
          <cell r="AM694">
            <v>0</v>
          </cell>
          <cell r="AP694" t="str">
            <v>Véhicules usagés</v>
          </cell>
          <cell r="AQ694" t="str">
            <v>Autres Marques</v>
          </cell>
          <cell r="AR694" t="str">
            <v>$</v>
          </cell>
          <cell r="AS694">
            <v>0</v>
          </cell>
          <cell r="AW694">
            <v>0</v>
          </cell>
          <cell r="AY694" t="str">
            <v>NB</v>
          </cell>
        </row>
        <row r="695">
          <cell r="AM695">
            <v>0</v>
          </cell>
          <cell r="AP695">
            <v>0</v>
          </cell>
          <cell r="AQ695">
            <v>0</v>
          </cell>
          <cell r="AR695" t="str">
            <v>$</v>
          </cell>
          <cell r="AS695">
            <v>0</v>
          </cell>
          <cell r="AW695">
            <v>0</v>
          </cell>
          <cell r="AY695" t="str">
            <v>NB</v>
          </cell>
        </row>
        <row r="696">
          <cell r="AM696">
            <v>0</v>
          </cell>
          <cell r="AP696" t="e">
            <v>#N/A</v>
          </cell>
          <cell r="AQ696" t="e">
            <v>#N/A</v>
          </cell>
          <cell r="AR696" t="str">
            <v>$</v>
          </cell>
          <cell r="AS696" t="e">
            <v>#N/A</v>
          </cell>
          <cell r="AW696">
            <v>0</v>
          </cell>
          <cell r="AY696" t="str">
            <v>NB</v>
          </cell>
        </row>
        <row r="697">
          <cell r="AM697">
            <v>0</v>
          </cell>
          <cell r="AP697">
            <v>0</v>
          </cell>
          <cell r="AQ697">
            <v>0</v>
          </cell>
          <cell r="AR697" t="str">
            <v>$</v>
          </cell>
          <cell r="AS697">
            <v>0</v>
          </cell>
          <cell r="AW697">
            <v>0</v>
          </cell>
          <cell r="AY697" t="str">
            <v>NB</v>
          </cell>
        </row>
        <row r="698">
          <cell r="AM698">
            <v>0</v>
          </cell>
          <cell r="AP698">
            <v>0</v>
          </cell>
          <cell r="AQ698">
            <v>0</v>
          </cell>
          <cell r="AR698" t="str">
            <v>$</v>
          </cell>
          <cell r="AS698">
            <v>0</v>
          </cell>
          <cell r="AW698">
            <v>0</v>
          </cell>
          <cell r="AY698" t="str">
            <v>NB</v>
          </cell>
        </row>
        <row r="699">
          <cell r="AM699">
            <v>0</v>
          </cell>
          <cell r="AP699">
            <v>0</v>
          </cell>
          <cell r="AQ699">
            <v>0</v>
          </cell>
          <cell r="AR699" t="str">
            <v>$</v>
          </cell>
          <cell r="AS699">
            <v>0</v>
          </cell>
          <cell r="AW699">
            <v>0</v>
          </cell>
          <cell r="AY699" t="str">
            <v>NB</v>
          </cell>
        </row>
        <row r="700">
          <cell r="AM700">
            <v>-168200</v>
          </cell>
          <cell r="AP700" t="str">
            <v>Véhicules usagés</v>
          </cell>
          <cell r="AQ700" t="str">
            <v>Ventes au Gros</v>
          </cell>
          <cell r="AR700" t="str">
            <v>$</v>
          </cell>
          <cell r="AS700" t="str">
            <v>Oui</v>
          </cell>
          <cell r="AW700">
            <v>5</v>
          </cell>
          <cell r="AY700" t="str">
            <v>NB</v>
          </cell>
        </row>
        <row r="701">
          <cell r="AM701">
            <v>0</v>
          </cell>
          <cell r="AP701">
            <v>0</v>
          </cell>
          <cell r="AQ701">
            <v>0</v>
          </cell>
          <cell r="AR701" t="str">
            <v>$</v>
          </cell>
          <cell r="AS701">
            <v>0</v>
          </cell>
          <cell r="AW701">
            <v>0</v>
          </cell>
          <cell r="AY701" t="str">
            <v>NB</v>
          </cell>
        </row>
        <row r="702">
          <cell r="AM702">
            <v>0</v>
          </cell>
          <cell r="AP702" t="str">
            <v>Véhicules usagés</v>
          </cell>
          <cell r="AQ702" t="str">
            <v>Ventes au Gros</v>
          </cell>
          <cell r="AR702" t="str">
            <v>$</v>
          </cell>
          <cell r="AS702" t="str">
            <v>Oui</v>
          </cell>
          <cell r="AW702">
            <v>0</v>
          </cell>
          <cell r="AY702" t="str">
            <v>NB</v>
          </cell>
        </row>
        <row r="703">
          <cell r="AM703">
            <v>-524218.84999999963</v>
          </cell>
          <cell r="AP703" t="str">
            <v>Véhicules usagés</v>
          </cell>
          <cell r="AQ703" t="str">
            <v>Non Certifié</v>
          </cell>
          <cell r="AR703" t="str">
            <v>$</v>
          </cell>
          <cell r="AS703" t="str">
            <v>Oui</v>
          </cell>
          <cell r="AW703">
            <v>16</v>
          </cell>
          <cell r="AY703" t="str">
            <v>NB</v>
          </cell>
        </row>
        <row r="704">
          <cell r="AM704">
            <v>0</v>
          </cell>
          <cell r="AP704" t="str">
            <v>Véhicules usagés</v>
          </cell>
          <cell r="AQ704" t="str">
            <v>Autres Marques</v>
          </cell>
          <cell r="AR704" t="str">
            <v>$</v>
          </cell>
          <cell r="AS704">
            <v>0</v>
          </cell>
          <cell r="AW704">
            <v>0</v>
          </cell>
          <cell r="AY704" t="str">
            <v>NB</v>
          </cell>
        </row>
        <row r="705">
          <cell r="AM705">
            <v>0</v>
          </cell>
          <cell r="AP705" t="str">
            <v>Véhicules usagés</v>
          </cell>
          <cell r="AQ705" t="str">
            <v>Rachat bail</v>
          </cell>
          <cell r="AR705" t="str">
            <v>$</v>
          </cell>
          <cell r="AS705" t="str">
            <v>OUI</v>
          </cell>
          <cell r="AW705">
            <v>0</v>
          </cell>
          <cell r="AY705" t="str">
            <v>NB</v>
          </cell>
        </row>
        <row r="706">
          <cell r="AM706">
            <v>0</v>
          </cell>
          <cell r="AP706" t="e">
            <v>#N/A</v>
          </cell>
          <cell r="AQ706" t="e">
            <v>#N/A</v>
          </cell>
          <cell r="AR706" t="str">
            <v>$</v>
          </cell>
          <cell r="AS706" t="e">
            <v>#N/A</v>
          </cell>
          <cell r="AW706">
            <v>0</v>
          </cell>
          <cell r="AY706" t="str">
            <v>NB</v>
          </cell>
        </row>
        <row r="707">
          <cell r="AM707">
            <v>0</v>
          </cell>
          <cell r="AP707">
            <v>0</v>
          </cell>
          <cell r="AQ707">
            <v>0</v>
          </cell>
          <cell r="AR707" t="str">
            <v>$</v>
          </cell>
          <cell r="AS707">
            <v>0</v>
          </cell>
          <cell r="AW707">
            <v>0</v>
          </cell>
          <cell r="AY707" t="str">
            <v>NB</v>
          </cell>
        </row>
        <row r="708">
          <cell r="AM708">
            <v>0</v>
          </cell>
          <cell r="AP708">
            <v>0</v>
          </cell>
          <cell r="AQ708">
            <v>0</v>
          </cell>
          <cell r="AR708" t="str">
            <v>$</v>
          </cell>
          <cell r="AS708">
            <v>0</v>
          </cell>
          <cell r="AW708">
            <v>0</v>
          </cell>
          <cell r="AY708" t="str">
            <v>NB</v>
          </cell>
        </row>
        <row r="709">
          <cell r="AM709">
            <v>0</v>
          </cell>
          <cell r="AP709">
            <v>0</v>
          </cell>
          <cell r="AQ709">
            <v>0</v>
          </cell>
          <cell r="AR709" t="str">
            <v>$</v>
          </cell>
          <cell r="AS709">
            <v>0</v>
          </cell>
          <cell r="AW709">
            <v>0</v>
          </cell>
          <cell r="AY709" t="str">
            <v>NB</v>
          </cell>
        </row>
        <row r="710">
          <cell r="AM710">
            <v>-627112.74000000022</v>
          </cell>
          <cell r="AP710" t="str">
            <v>Véhicules usagés</v>
          </cell>
          <cell r="AQ710" t="str">
            <v>Ventes au Gros</v>
          </cell>
          <cell r="AR710" t="str">
            <v>$</v>
          </cell>
          <cell r="AS710" t="str">
            <v>Oui</v>
          </cell>
          <cell r="AW710">
            <v>18</v>
          </cell>
          <cell r="AY710" t="str">
            <v>NB</v>
          </cell>
        </row>
        <row r="711">
          <cell r="AM711">
            <v>-378500</v>
          </cell>
          <cell r="AP711" t="str">
            <v>Wholesale autres</v>
          </cell>
          <cell r="AQ711" t="str">
            <v>Wholesale Luxueux</v>
          </cell>
          <cell r="AR711" t="str">
            <v>$</v>
          </cell>
          <cell r="AS711" t="str">
            <v>Oui</v>
          </cell>
          <cell r="AW711">
            <v>1</v>
          </cell>
          <cell r="AY711" t="str">
            <v>NB</v>
          </cell>
        </row>
        <row r="712">
          <cell r="AM712">
            <v>0</v>
          </cell>
          <cell r="AP712" t="str">
            <v>Wholesale autres</v>
          </cell>
          <cell r="AQ712" t="str">
            <v>Wholesale Luxueux</v>
          </cell>
          <cell r="AR712" t="str">
            <v>$</v>
          </cell>
          <cell r="AS712" t="str">
            <v>Oui</v>
          </cell>
          <cell r="AW712">
            <v>0</v>
          </cell>
          <cell r="AY712" t="str">
            <v>NB</v>
          </cell>
        </row>
        <row r="713">
          <cell r="AM713">
            <v>0</v>
          </cell>
          <cell r="AP713">
            <v>0</v>
          </cell>
          <cell r="AQ713">
            <v>0</v>
          </cell>
          <cell r="AR713" t="str">
            <v>$</v>
          </cell>
          <cell r="AS713">
            <v>0</v>
          </cell>
          <cell r="AW713">
            <v>0</v>
          </cell>
          <cell r="AY713" t="str">
            <v>NB</v>
          </cell>
        </row>
        <row r="714">
          <cell r="AM714">
            <v>0</v>
          </cell>
          <cell r="AP714" t="e">
            <v>#N/A</v>
          </cell>
          <cell r="AQ714" t="e">
            <v>#N/A</v>
          </cell>
          <cell r="AR714" t="str">
            <v>$</v>
          </cell>
          <cell r="AS714" t="e">
            <v>#N/A</v>
          </cell>
          <cell r="AW714">
            <v>0</v>
          </cell>
          <cell r="AY714" t="str">
            <v>NB</v>
          </cell>
        </row>
        <row r="715">
          <cell r="AM715">
            <v>0</v>
          </cell>
          <cell r="AP715" t="e">
            <v>#N/A</v>
          </cell>
          <cell r="AQ715" t="e">
            <v>#N/A</v>
          </cell>
          <cell r="AR715" t="str">
            <v>$</v>
          </cell>
          <cell r="AS715" t="e">
            <v>#N/A</v>
          </cell>
          <cell r="AW715">
            <v>0</v>
          </cell>
          <cell r="AY715" t="str">
            <v>NB</v>
          </cell>
        </row>
        <row r="716">
          <cell r="AM716">
            <v>-2959</v>
          </cell>
          <cell r="AP716" t="str">
            <v>Véhicules usagés</v>
          </cell>
          <cell r="AQ716" t="str">
            <v>Rev. Protections</v>
          </cell>
          <cell r="AR716" t="str">
            <v>$</v>
          </cell>
          <cell r="AS716" t="str">
            <v>Oui</v>
          </cell>
          <cell r="AW716">
            <v>1</v>
          </cell>
          <cell r="AY716" t="str">
            <v>NB</v>
          </cell>
        </row>
        <row r="717">
          <cell r="AM717">
            <v>0</v>
          </cell>
          <cell r="AP717" t="str">
            <v>Véhicules usagés</v>
          </cell>
          <cell r="AQ717" t="str">
            <v>Rev. Protections</v>
          </cell>
          <cell r="AR717" t="str">
            <v>$</v>
          </cell>
          <cell r="AS717" t="str">
            <v>Oui</v>
          </cell>
          <cell r="AW717">
            <v>0</v>
          </cell>
          <cell r="AY717" t="str">
            <v>NB</v>
          </cell>
        </row>
        <row r="718">
          <cell r="AM718">
            <v>0</v>
          </cell>
          <cell r="AP718" t="e">
            <v>#N/A</v>
          </cell>
          <cell r="AQ718" t="e">
            <v>#N/A</v>
          </cell>
          <cell r="AR718" t="str">
            <v>$</v>
          </cell>
          <cell r="AS718" t="e">
            <v>#N/A</v>
          </cell>
          <cell r="AW718">
            <v>0</v>
          </cell>
          <cell r="AY718" t="str">
            <v>NB</v>
          </cell>
        </row>
        <row r="719">
          <cell r="AM719">
            <v>0</v>
          </cell>
          <cell r="AP719" t="str">
            <v>Véhicules usagés</v>
          </cell>
          <cell r="AQ719" t="str">
            <v>Rev. Protections</v>
          </cell>
          <cell r="AR719" t="str">
            <v>$</v>
          </cell>
          <cell r="AS719" t="str">
            <v>Oui</v>
          </cell>
          <cell r="AW719">
            <v>0</v>
          </cell>
          <cell r="AY719" t="str">
            <v>NB</v>
          </cell>
        </row>
        <row r="720">
          <cell r="AM720">
            <v>0</v>
          </cell>
          <cell r="AP720" t="e">
            <v>#N/A</v>
          </cell>
          <cell r="AQ720" t="e">
            <v>#N/A</v>
          </cell>
          <cell r="AR720" t="str">
            <v>$</v>
          </cell>
          <cell r="AS720" t="e">
            <v>#N/A</v>
          </cell>
          <cell r="AW720">
            <v>0</v>
          </cell>
          <cell r="AY720" t="str">
            <v>NB</v>
          </cell>
        </row>
        <row r="721">
          <cell r="AM721">
            <v>0</v>
          </cell>
          <cell r="AP721" t="e">
            <v>#N/A</v>
          </cell>
          <cell r="AQ721" t="e">
            <v>#N/A</v>
          </cell>
          <cell r="AR721" t="str">
            <v>$</v>
          </cell>
          <cell r="AS721" t="e">
            <v>#N/A</v>
          </cell>
          <cell r="AW721">
            <v>0</v>
          </cell>
          <cell r="AY721" t="str">
            <v>NB</v>
          </cell>
        </row>
        <row r="722">
          <cell r="AM722">
            <v>0</v>
          </cell>
          <cell r="AP722" t="e">
            <v>#N/A</v>
          </cell>
          <cell r="AQ722" t="e">
            <v>#N/A</v>
          </cell>
          <cell r="AR722" t="str">
            <v>$</v>
          </cell>
          <cell r="AS722" t="e">
            <v>#N/A</v>
          </cell>
          <cell r="AW722">
            <v>0</v>
          </cell>
          <cell r="AY722" t="str">
            <v>NB</v>
          </cell>
        </row>
        <row r="723">
          <cell r="AM723">
            <v>0</v>
          </cell>
          <cell r="AP723" t="e">
            <v>#N/A</v>
          </cell>
          <cell r="AQ723" t="e">
            <v>#N/A</v>
          </cell>
          <cell r="AR723" t="str">
            <v>$</v>
          </cell>
          <cell r="AS723" t="e">
            <v>#N/A</v>
          </cell>
          <cell r="AW723">
            <v>0</v>
          </cell>
          <cell r="AY723" t="str">
            <v>NB</v>
          </cell>
        </row>
        <row r="724">
          <cell r="AM724">
            <v>0</v>
          </cell>
          <cell r="AP724" t="e">
            <v>#N/A</v>
          </cell>
          <cell r="AQ724" t="e">
            <v>#N/A</v>
          </cell>
          <cell r="AR724" t="str">
            <v>$</v>
          </cell>
          <cell r="AS724" t="e">
            <v>#N/A</v>
          </cell>
          <cell r="AW724">
            <v>0</v>
          </cell>
          <cell r="AY724" t="str">
            <v>NB</v>
          </cell>
        </row>
        <row r="725">
          <cell r="AM725">
            <v>0</v>
          </cell>
          <cell r="AP725" t="str">
            <v>Véhicules usagés</v>
          </cell>
          <cell r="AQ725" t="str">
            <v>Rev. Protections</v>
          </cell>
          <cell r="AR725" t="str">
            <v>$</v>
          </cell>
          <cell r="AS725" t="str">
            <v>Oui</v>
          </cell>
          <cell r="AW725">
            <v>0</v>
          </cell>
          <cell r="AY725" t="str">
            <v>NB</v>
          </cell>
        </row>
        <row r="726">
          <cell r="AM726">
            <v>0</v>
          </cell>
          <cell r="AP726" t="e">
            <v>#N/A</v>
          </cell>
          <cell r="AQ726" t="e">
            <v>#N/A</v>
          </cell>
          <cell r="AR726" t="str">
            <v>$</v>
          </cell>
          <cell r="AS726" t="e">
            <v>#N/A</v>
          </cell>
          <cell r="AW726">
            <v>0</v>
          </cell>
          <cell r="AY726" t="str">
            <v>NB</v>
          </cell>
        </row>
        <row r="727">
          <cell r="AM727">
            <v>0</v>
          </cell>
          <cell r="AP727" t="e">
            <v>#N/A</v>
          </cell>
          <cell r="AQ727" t="e">
            <v>#N/A</v>
          </cell>
          <cell r="AR727" t="str">
            <v>$</v>
          </cell>
          <cell r="AS727" t="e">
            <v>#N/A</v>
          </cell>
          <cell r="AW727">
            <v>0</v>
          </cell>
          <cell r="AY727" t="str">
            <v>NB</v>
          </cell>
        </row>
        <row r="728">
          <cell r="AM728">
            <v>0</v>
          </cell>
          <cell r="AP728" t="e">
            <v>#N/A</v>
          </cell>
          <cell r="AQ728" t="e">
            <v>#N/A</v>
          </cell>
          <cell r="AR728" t="str">
            <v>$</v>
          </cell>
          <cell r="AS728" t="e">
            <v>#N/A</v>
          </cell>
          <cell r="AW728">
            <v>0</v>
          </cell>
          <cell r="AY728" t="str">
            <v>NB</v>
          </cell>
        </row>
        <row r="729">
          <cell r="AM729">
            <v>0</v>
          </cell>
          <cell r="AP729" t="e">
            <v>#N/A</v>
          </cell>
          <cell r="AQ729" t="e">
            <v>#N/A</v>
          </cell>
          <cell r="AR729" t="str">
            <v>$</v>
          </cell>
          <cell r="AS729" t="e">
            <v>#N/A</v>
          </cell>
          <cell r="AW729">
            <v>0</v>
          </cell>
          <cell r="AY729" t="str">
            <v>NB</v>
          </cell>
        </row>
        <row r="730">
          <cell r="AM730">
            <v>0</v>
          </cell>
          <cell r="AP730" t="str">
            <v>Véhicules usagés</v>
          </cell>
          <cell r="AQ730" t="str">
            <v>Rev. Protections</v>
          </cell>
          <cell r="AR730" t="str">
            <v>$</v>
          </cell>
          <cell r="AS730" t="str">
            <v>Oui</v>
          </cell>
          <cell r="AW730">
            <v>0</v>
          </cell>
          <cell r="AY730" t="str">
            <v>NB</v>
          </cell>
        </row>
        <row r="731">
          <cell r="AM731">
            <v>0</v>
          </cell>
          <cell r="AP731" t="str">
            <v>Wholesale autres</v>
          </cell>
          <cell r="AQ731" t="str">
            <v>Wholesale USA</v>
          </cell>
          <cell r="AR731" t="str">
            <v>$</v>
          </cell>
          <cell r="AS731" t="str">
            <v>Oui</v>
          </cell>
          <cell r="AW731">
            <v>0</v>
          </cell>
          <cell r="AY731" t="str">
            <v>NB</v>
          </cell>
        </row>
        <row r="732">
          <cell r="AM732">
            <v>0</v>
          </cell>
          <cell r="AP732" t="str">
            <v>Wholesale autres</v>
          </cell>
          <cell r="AQ732" t="str">
            <v>Wholesale USA</v>
          </cell>
          <cell r="AR732" t="str">
            <v>$</v>
          </cell>
          <cell r="AS732" t="str">
            <v>Oui</v>
          </cell>
          <cell r="AW732">
            <v>0</v>
          </cell>
          <cell r="AY732" t="str">
            <v>NB</v>
          </cell>
        </row>
        <row r="733">
          <cell r="AM733">
            <v>-562442.4299999997</v>
          </cell>
          <cell r="AP733" t="str">
            <v>Wholesale autres</v>
          </cell>
          <cell r="AQ733" t="str">
            <v>Wholesale USA</v>
          </cell>
          <cell r="AR733" t="str">
            <v>$</v>
          </cell>
          <cell r="AS733" t="str">
            <v>Oui</v>
          </cell>
          <cell r="AW733">
            <v>12</v>
          </cell>
          <cell r="AY733" t="str">
            <v>NB</v>
          </cell>
        </row>
        <row r="734">
          <cell r="AM734">
            <v>-1363168</v>
          </cell>
          <cell r="AP734">
            <v>0</v>
          </cell>
          <cell r="AQ734">
            <v>0</v>
          </cell>
          <cell r="AR734" t="str">
            <v>$</v>
          </cell>
          <cell r="AS734">
            <v>0</v>
          </cell>
          <cell r="AW734">
            <v>22</v>
          </cell>
          <cell r="AY734" t="str">
            <v>NB</v>
          </cell>
        </row>
        <row r="735">
          <cell r="AM735">
            <v>-564232</v>
          </cell>
          <cell r="AP735" t="str">
            <v>Wholesale autres</v>
          </cell>
          <cell r="AQ735" t="str">
            <v>Wholesale Canada</v>
          </cell>
          <cell r="AR735" t="str">
            <v>$</v>
          </cell>
          <cell r="AS735" t="str">
            <v>Oui</v>
          </cell>
          <cell r="AW735">
            <v>18</v>
          </cell>
          <cell r="AY735" t="str">
            <v>NB</v>
          </cell>
        </row>
        <row r="736">
          <cell r="AM736">
            <v>-53881.48000000004</v>
          </cell>
          <cell r="AP736" t="str">
            <v>Service</v>
          </cell>
          <cell r="AQ736" t="str">
            <v>M/O Client</v>
          </cell>
          <cell r="AR736" t="str">
            <v>$</v>
          </cell>
          <cell r="AS736" t="str">
            <v>Oui</v>
          </cell>
          <cell r="AW736">
            <v>210</v>
          </cell>
          <cell r="AY736" t="str">
            <v>NB</v>
          </cell>
        </row>
        <row r="737">
          <cell r="AM737">
            <v>0</v>
          </cell>
          <cell r="AP737" t="e">
            <v>#N/A</v>
          </cell>
          <cell r="AQ737" t="e">
            <v>#N/A</v>
          </cell>
          <cell r="AR737" t="str">
            <v>$</v>
          </cell>
          <cell r="AS737" t="e">
            <v>#N/A</v>
          </cell>
          <cell r="AW737">
            <v>0</v>
          </cell>
          <cell r="AY737" t="str">
            <v>NB</v>
          </cell>
        </row>
        <row r="738">
          <cell r="AM738">
            <v>0</v>
          </cell>
          <cell r="AP738" t="e">
            <v>#N/A</v>
          </cell>
          <cell r="AQ738" t="e">
            <v>#N/A</v>
          </cell>
          <cell r="AR738" t="str">
            <v>$</v>
          </cell>
          <cell r="AS738" t="e">
            <v>#N/A</v>
          </cell>
          <cell r="AW738">
            <v>0</v>
          </cell>
          <cell r="AY738" t="str">
            <v>NB</v>
          </cell>
        </row>
        <row r="739">
          <cell r="AM739">
            <v>0</v>
          </cell>
          <cell r="AP739" t="e">
            <v>#N/A</v>
          </cell>
          <cell r="AQ739" t="e">
            <v>#N/A</v>
          </cell>
          <cell r="AR739" t="str">
            <v>$</v>
          </cell>
          <cell r="AS739" t="e">
            <v>#N/A</v>
          </cell>
          <cell r="AW739">
            <v>0</v>
          </cell>
          <cell r="AY739" t="str">
            <v>NB</v>
          </cell>
        </row>
        <row r="740">
          <cell r="AM740">
            <v>-1893.9700000000012</v>
          </cell>
          <cell r="AP740" t="str">
            <v>Service</v>
          </cell>
          <cell r="AQ740" t="str">
            <v>M/O Client</v>
          </cell>
          <cell r="AR740" t="str">
            <v>$</v>
          </cell>
          <cell r="AS740" t="str">
            <v>Oui</v>
          </cell>
          <cell r="AW740">
            <v>21</v>
          </cell>
          <cell r="AY740" t="str">
            <v>NB</v>
          </cell>
        </row>
        <row r="741">
          <cell r="AM741">
            <v>0</v>
          </cell>
          <cell r="AP741" t="e">
            <v>#N/A</v>
          </cell>
          <cell r="AQ741" t="e">
            <v>#N/A</v>
          </cell>
          <cell r="AR741" t="str">
            <v>$</v>
          </cell>
          <cell r="AS741" t="e">
            <v>#N/A</v>
          </cell>
          <cell r="AW741">
            <v>0</v>
          </cell>
          <cell r="AY741" t="str">
            <v>NB</v>
          </cell>
        </row>
        <row r="742">
          <cell r="AM742">
            <v>-21330.000000000058</v>
          </cell>
          <cell r="AP742" t="str">
            <v>SAAQ</v>
          </cell>
          <cell r="AQ742" t="str">
            <v>Inspection - Véhicules Légers</v>
          </cell>
          <cell r="AR742" t="str">
            <v>$</v>
          </cell>
          <cell r="AS742" t="str">
            <v>Oui</v>
          </cell>
          <cell r="AW742">
            <v>168</v>
          </cell>
          <cell r="AY742" t="str">
            <v>NB</v>
          </cell>
        </row>
        <row r="743">
          <cell r="AM743">
            <v>0</v>
          </cell>
          <cell r="AP743" t="e">
            <v>#N/A</v>
          </cell>
          <cell r="AQ743" t="e">
            <v>#N/A</v>
          </cell>
          <cell r="AR743" t="str">
            <v>$</v>
          </cell>
          <cell r="AS743" t="e">
            <v>#N/A</v>
          </cell>
          <cell r="AW743">
            <v>0</v>
          </cell>
          <cell r="AY743" t="str">
            <v>NB</v>
          </cell>
        </row>
        <row r="744">
          <cell r="AM744">
            <v>0</v>
          </cell>
          <cell r="AP744" t="str">
            <v>SAAQ</v>
          </cell>
          <cell r="AQ744" t="str">
            <v>Inspection - Véhicules Interne</v>
          </cell>
          <cell r="AR744" t="str">
            <v>$</v>
          </cell>
          <cell r="AS744" t="str">
            <v>Oui</v>
          </cell>
          <cell r="AW744">
            <v>0</v>
          </cell>
          <cell r="AY744" t="str">
            <v>NB</v>
          </cell>
        </row>
        <row r="745">
          <cell r="AM745">
            <v>-67750</v>
          </cell>
          <cell r="AP745" t="str">
            <v>SAAQ</v>
          </cell>
          <cell r="AQ745" t="str">
            <v>Inspection - Véhicules Lourds</v>
          </cell>
          <cell r="AR745" t="str">
            <v>$</v>
          </cell>
          <cell r="AS745" t="str">
            <v>Oui</v>
          </cell>
          <cell r="AW745">
            <v>361</v>
          </cell>
          <cell r="AY745" t="str">
            <v>NB</v>
          </cell>
        </row>
        <row r="746">
          <cell r="AM746">
            <v>0</v>
          </cell>
          <cell r="AP746" t="e">
            <v>#N/A</v>
          </cell>
          <cell r="AQ746" t="e">
            <v>#N/A</v>
          </cell>
          <cell r="AR746" t="str">
            <v>$</v>
          </cell>
          <cell r="AS746" t="e">
            <v>#N/A</v>
          </cell>
          <cell r="AW746">
            <v>0</v>
          </cell>
          <cell r="AY746" t="str">
            <v>NB</v>
          </cell>
        </row>
        <row r="747">
          <cell r="AM747">
            <v>-29474.859999999986</v>
          </cell>
          <cell r="AP747" t="str">
            <v>Service</v>
          </cell>
          <cell r="AQ747" t="str">
            <v>M/O Garantie</v>
          </cell>
          <cell r="AR747" t="str">
            <v>$</v>
          </cell>
          <cell r="AS747" t="str">
            <v>Oui</v>
          </cell>
          <cell r="AW747">
            <v>211</v>
          </cell>
          <cell r="AY747" t="str">
            <v>NB</v>
          </cell>
        </row>
        <row r="748">
          <cell r="AM748">
            <v>-46164.19</v>
          </cell>
          <cell r="AP748" t="str">
            <v>Service</v>
          </cell>
          <cell r="AQ748" t="str">
            <v>M/O Interne</v>
          </cell>
          <cell r="AR748" t="str">
            <v>$</v>
          </cell>
          <cell r="AS748" t="str">
            <v>Oui</v>
          </cell>
          <cell r="AW748">
            <v>300</v>
          </cell>
          <cell r="AY748" t="str">
            <v>NB</v>
          </cell>
        </row>
        <row r="749">
          <cell r="AM749">
            <v>0</v>
          </cell>
          <cell r="AP749" t="e">
            <v>#N/A</v>
          </cell>
          <cell r="AQ749" t="e">
            <v>#N/A</v>
          </cell>
          <cell r="AR749" t="str">
            <v>$</v>
          </cell>
          <cell r="AS749" t="e">
            <v>#N/A</v>
          </cell>
          <cell r="AW749">
            <v>2</v>
          </cell>
          <cell r="AY749" t="str">
            <v>NB</v>
          </cell>
        </row>
        <row r="750">
          <cell r="AM750">
            <v>0</v>
          </cell>
          <cell r="AP750" t="str">
            <v>SAAQ</v>
          </cell>
          <cell r="AQ750" t="str">
            <v>Inspection - Véhicules Interne</v>
          </cell>
          <cell r="AR750" t="str">
            <v>$</v>
          </cell>
          <cell r="AS750" t="str">
            <v>Oui</v>
          </cell>
          <cell r="AW750">
            <v>0</v>
          </cell>
          <cell r="AY750" t="str">
            <v>NB</v>
          </cell>
        </row>
        <row r="751">
          <cell r="AM751">
            <v>-20475.089999999997</v>
          </cell>
          <cell r="AP751" t="str">
            <v>Service</v>
          </cell>
          <cell r="AQ751" t="str">
            <v>M/O Interne</v>
          </cell>
          <cell r="AR751" t="str">
            <v>$</v>
          </cell>
          <cell r="AS751" t="str">
            <v>Oui</v>
          </cell>
          <cell r="AW751">
            <v>130</v>
          </cell>
          <cell r="AY751" t="str">
            <v>NB</v>
          </cell>
        </row>
        <row r="752">
          <cell r="AM752">
            <v>0</v>
          </cell>
          <cell r="AP752" t="e">
            <v>#N/A</v>
          </cell>
          <cell r="AQ752" t="e">
            <v>#N/A</v>
          </cell>
          <cell r="AR752" t="str">
            <v>$</v>
          </cell>
          <cell r="AS752" t="e">
            <v>#N/A</v>
          </cell>
          <cell r="AW752">
            <v>0</v>
          </cell>
          <cell r="AY752" t="str">
            <v>NB</v>
          </cell>
        </row>
        <row r="753">
          <cell r="AM753">
            <v>0</v>
          </cell>
          <cell r="AP753">
            <v>0</v>
          </cell>
          <cell r="AQ753">
            <v>0</v>
          </cell>
          <cell r="AR753" t="str">
            <v>$</v>
          </cell>
          <cell r="AS753">
            <v>0</v>
          </cell>
          <cell r="AW753">
            <v>0</v>
          </cell>
          <cell r="AY753" t="str">
            <v>NB</v>
          </cell>
        </row>
        <row r="754">
          <cell r="AM754">
            <v>0</v>
          </cell>
          <cell r="AP754" t="e">
            <v>#N/A</v>
          </cell>
          <cell r="AQ754" t="e">
            <v>#N/A</v>
          </cell>
          <cell r="AR754" t="str">
            <v>$</v>
          </cell>
          <cell r="AS754" t="e">
            <v>#N/A</v>
          </cell>
          <cell r="AW754">
            <v>0</v>
          </cell>
          <cell r="AY754" t="str">
            <v>NB</v>
          </cell>
        </row>
        <row r="755">
          <cell r="AM755">
            <v>-10386.459999999992</v>
          </cell>
          <cell r="AP755" t="str">
            <v>Service</v>
          </cell>
          <cell r="AQ755" t="str">
            <v>Sous-traitement</v>
          </cell>
          <cell r="AR755" t="str">
            <v>$</v>
          </cell>
          <cell r="AS755" t="str">
            <v>Oui</v>
          </cell>
          <cell r="AW755">
            <v>32</v>
          </cell>
          <cell r="AY755" t="str">
            <v>NB</v>
          </cell>
        </row>
        <row r="756">
          <cell r="AM756">
            <v>0</v>
          </cell>
          <cell r="AP756" t="str">
            <v>SAAQ</v>
          </cell>
          <cell r="AQ756" t="str">
            <v>Inspection - Véhicules Interne</v>
          </cell>
          <cell r="AR756" t="str">
            <v>$</v>
          </cell>
          <cell r="AS756" t="str">
            <v>Oui</v>
          </cell>
          <cell r="AW756">
            <v>0</v>
          </cell>
          <cell r="AY756" t="str">
            <v>NB</v>
          </cell>
        </row>
        <row r="757">
          <cell r="AM757">
            <v>0</v>
          </cell>
          <cell r="AP757" t="e">
            <v>#N/A</v>
          </cell>
          <cell r="AQ757" t="e">
            <v>#N/A</v>
          </cell>
          <cell r="AR757" t="str">
            <v>$</v>
          </cell>
          <cell r="AS757" t="e">
            <v>#N/A</v>
          </cell>
          <cell r="AW757">
            <v>0</v>
          </cell>
          <cell r="AY757" t="str">
            <v>NB</v>
          </cell>
        </row>
        <row r="758">
          <cell r="AM758">
            <v>-59844.549999999988</v>
          </cell>
          <cell r="AP758" t="str">
            <v>Pièces</v>
          </cell>
          <cell r="AQ758" t="str">
            <v>Pièces Ro Clients</v>
          </cell>
          <cell r="AR758" t="str">
            <v>$</v>
          </cell>
          <cell r="AS758" t="str">
            <v>Oui</v>
          </cell>
          <cell r="AW758">
            <v>164</v>
          </cell>
          <cell r="AY758" t="str">
            <v>NB</v>
          </cell>
        </row>
        <row r="759">
          <cell r="AM759">
            <v>0</v>
          </cell>
          <cell r="AP759" t="str">
            <v>Pièces</v>
          </cell>
          <cell r="AQ759" t="str">
            <v>Pièces Ro Clients</v>
          </cell>
          <cell r="AR759" t="str">
            <v>$</v>
          </cell>
          <cell r="AS759" t="str">
            <v>Oui</v>
          </cell>
          <cell r="AW759">
            <v>0</v>
          </cell>
          <cell r="AY759" t="str">
            <v>NB</v>
          </cell>
        </row>
        <row r="760">
          <cell r="AM760">
            <v>0</v>
          </cell>
          <cell r="AP760">
            <v>0</v>
          </cell>
          <cell r="AQ760">
            <v>0</v>
          </cell>
          <cell r="AR760" t="str">
            <v>$</v>
          </cell>
          <cell r="AS760">
            <v>0</v>
          </cell>
          <cell r="AW760">
            <v>0</v>
          </cell>
          <cell r="AY760" t="str">
            <v>NB</v>
          </cell>
        </row>
        <row r="761">
          <cell r="AM761">
            <v>0</v>
          </cell>
          <cell r="AP761">
            <v>0</v>
          </cell>
          <cell r="AQ761">
            <v>0</v>
          </cell>
          <cell r="AR761" t="str">
            <v>$</v>
          </cell>
          <cell r="AS761">
            <v>0</v>
          </cell>
          <cell r="AW761">
            <v>0</v>
          </cell>
          <cell r="AY761" t="str">
            <v>NB</v>
          </cell>
        </row>
        <row r="762">
          <cell r="AM762">
            <v>0</v>
          </cell>
          <cell r="AP762">
            <v>0</v>
          </cell>
          <cell r="AQ762">
            <v>0</v>
          </cell>
          <cell r="AR762" t="str">
            <v>$</v>
          </cell>
          <cell r="AS762">
            <v>0</v>
          </cell>
          <cell r="AW762">
            <v>0</v>
          </cell>
          <cell r="AY762" t="str">
            <v>NB</v>
          </cell>
        </row>
        <row r="763">
          <cell r="AM763">
            <v>0</v>
          </cell>
          <cell r="AP763" t="e">
            <v>#N/A</v>
          </cell>
          <cell r="AQ763" t="e">
            <v>#N/A</v>
          </cell>
          <cell r="AR763" t="str">
            <v>$</v>
          </cell>
          <cell r="AS763" t="e">
            <v>#N/A</v>
          </cell>
          <cell r="AW763">
            <v>0</v>
          </cell>
          <cell r="AY763" t="str">
            <v>NB</v>
          </cell>
        </row>
        <row r="764">
          <cell r="AM764">
            <v>-3497.09</v>
          </cell>
          <cell r="AP764" t="str">
            <v>Service</v>
          </cell>
          <cell r="AQ764" t="str">
            <v>Sous-traitement</v>
          </cell>
          <cell r="AR764" t="str">
            <v>$</v>
          </cell>
          <cell r="AS764" t="str">
            <v>Oui</v>
          </cell>
          <cell r="AW764">
            <v>301</v>
          </cell>
          <cell r="AY764" t="str">
            <v>NB</v>
          </cell>
        </row>
        <row r="765">
          <cell r="AM765">
            <v>-20483.900000000001</v>
          </cell>
          <cell r="AP765" t="str">
            <v>Carrosserie</v>
          </cell>
          <cell r="AQ765" t="str">
            <v>Carrosserie Clients</v>
          </cell>
          <cell r="AR765" t="str">
            <v>$</v>
          </cell>
          <cell r="AS765" t="str">
            <v>Oui</v>
          </cell>
          <cell r="AW765">
            <v>35</v>
          </cell>
          <cell r="AY765" t="str">
            <v>NB</v>
          </cell>
        </row>
        <row r="766">
          <cell r="AM766">
            <v>-6684.1299999999974</v>
          </cell>
          <cell r="AP766" t="str">
            <v>Carrosserie</v>
          </cell>
          <cell r="AQ766" t="str">
            <v>Carrosserie Concessions</v>
          </cell>
          <cell r="AR766" t="str">
            <v>$</v>
          </cell>
          <cell r="AS766" t="str">
            <v>Oui</v>
          </cell>
          <cell r="AW766">
            <v>15</v>
          </cell>
          <cell r="AY766" t="str">
            <v>NB</v>
          </cell>
        </row>
        <row r="767">
          <cell r="AM767">
            <v>-41634.109999999986</v>
          </cell>
          <cell r="AP767" t="str">
            <v>Carrosserie</v>
          </cell>
          <cell r="AQ767" t="str">
            <v>Carrosserie Clients</v>
          </cell>
          <cell r="AR767" t="str">
            <v>$</v>
          </cell>
          <cell r="AS767" t="str">
            <v>Oui</v>
          </cell>
          <cell r="AW767">
            <v>48</v>
          </cell>
          <cell r="AY767" t="str">
            <v>NB</v>
          </cell>
        </row>
        <row r="768">
          <cell r="AM768">
            <v>-15228.61</v>
          </cell>
          <cell r="AP768" t="str">
            <v>Carrosserie</v>
          </cell>
          <cell r="AQ768" t="str">
            <v>Carrosserie Concessions</v>
          </cell>
          <cell r="AR768" t="str">
            <v>$</v>
          </cell>
          <cell r="AS768" t="str">
            <v>Oui</v>
          </cell>
          <cell r="AW768">
            <v>13</v>
          </cell>
          <cell r="AY768" t="str">
            <v>NB</v>
          </cell>
        </row>
        <row r="769">
          <cell r="AM769">
            <v>-1249.0599999999995</v>
          </cell>
          <cell r="AP769" t="str">
            <v>Carrosserie</v>
          </cell>
          <cell r="AQ769" t="str">
            <v>Carrosserie Clients</v>
          </cell>
          <cell r="AR769" t="str">
            <v>$</v>
          </cell>
          <cell r="AS769" t="str">
            <v>Oui</v>
          </cell>
          <cell r="AW769">
            <v>8</v>
          </cell>
          <cell r="AY769" t="str">
            <v>NB</v>
          </cell>
        </row>
        <row r="770">
          <cell r="AM770">
            <v>0</v>
          </cell>
          <cell r="AP770" t="str">
            <v>Carrosserie</v>
          </cell>
          <cell r="AQ770" t="str">
            <v>Carrosserie Concessions</v>
          </cell>
          <cell r="AR770" t="str">
            <v>$</v>
          </cell>
          <cell r="AS770" t="str">
            <v>Oui</v>
          </cell>
          <cell r="AW770">
            <v>0</v>
          </cell>
          <cell r="AY770" t="str">
            <v>NB</v>
          </cell>
        </row>
        <row r="771">
          <cell r="AM771">
            <v>1981.6000000000004</v>
          </cell>
          <cell r="AP771" t="str">
            <v>Carrosserie</v>
          </cell>
          <cell r="AQ771" t="str">
            <v>Carrosserie Concessions</v>
          </cell>
          <cell r="AR771" t="str">
            <v>$</v>
          </cell>
          <cell r="AS771" t="str">
            <v>Oui</v>
          </cell>
          <cell r="AW771">
            <v>-1</v>
          </cell>
          <cell r="AY771" t="str">
            <v>NB</v>
          </cell>
        </row>
        <row r="772">
          <cell r="AM772">
            <v>0</v>
          </cell>
          <cell r="AP772" t="str">
            <v>Carrosserie</v>
          </cell>
          <cell r="AQ772" t="str">
            <v>Carrosserie Interne</v>
          </cell>
          <cell r="AR772" t="str">
            <v>$</v>
          </cell>
          <cell r="AS772" t="str">
            <v>Oui</v>
          </cell>
          <cell r="AW772">
            <v>0</v>
          </cell>
          <cell r="AY772" t="str">
            <v>NB</v>
          </cell>
        </row>
        <row r="773">
          <cell r="AM773">
            <v>-2493</v>
          </cell>
          <cell r="AP773" t="str">
            <v>Carrosserie</v>
          </cell>
          <cell r="AQ773" t="str">
            <v>Carrosserie Interne</v>
          </cell>
          <cell r="AR773" t="str">
            <v>$</v>
          </cell>
          <cell r="AS773" t="str">
            <v>Oui</v>
          </cell>
          <cell r="AW773">
            <v>13</v>
          </cell>
          <cell r="AY773" t="str">
            <v>NB</v>
          </cell>
        </row>
        <row r="774">
          <cell r="AM774">
            <v>-1252</v>
          </cell>
          <cell r="AP774" t="str">
            <v>Carrosserie</v>
          </cell>
          <cell r="AQ774" t="str">
            <v>Carrosserie Interne</v>
          </cell>
          <cell r="AR774" t="str">
            <v>$</v>
          </cell>
          <cell r="AS774" t="str">
            <v>Oui</v>
          </cell>
          <cell r="AW774">
            <v>6</v>
          </cell>
          <cell r="AY774" t="str">
            <v>NB</v>
          </cell>
        </row>
        <row r="775">
          <cell r="AM775">
            <v>-792</v>
          </cell>
          <cell r="AP775" t="str">
            <v>Carrosserie</v>
          </cell>
          <cell r="AQ775" t="str">
            <v>Carrosserie Interne</v>
          </cell>
          <cell r="AR775" t="str">
            <v>$</v>
          </cell>
          <cell r="AS775" t="str">
            <v>Oui</v>
          </cell>
          <cell r="AW775">
            <v>1</v>
          </cell>
          <cell r="AY775" t="str">
            <v>NB</v>
          </cell>
        </row>
        <row r="776">
          <cell r="AM776">
            <v>0</v>
          </cell>
          <cell r="AP776" t="str">
            <v>Carrosserie</v>
          </cell>
          <cell r="AQ776" t="str">
            <v>Ajustement M/O Carrosserie</v>
          </cell>
          <cell r="AR776" t="str">
            <v>$</v>
          </cell>
          <cell r="AS776" t="str">
            <v>Oui</v>
          </cell>
          <cell r="AW776">
            <v>0</v>
          </cell>
          <cell r="AY776" t="str">
            <v>NB</v>
          </cell>
        </row>
        <row r="777">
          <cell r="AM777">
            <v>-60811.610000000044</v>
          </cell>
          <cell r="AP777" t="str">
            <v>Carrosserie</v>
          </cell>
          <cell r="AQ777" t="str">
            <v>Carrosserie Clients</v>
          </cell>
          <cell r="AR777" t="str">
            <v>$</v>
          </cell>
          <cell r="AS777" t="str">
            <v>Oui</v>
          </cell>
          <cell r="AW777">
            <v>38</v>
          </cell>
          <cell r="AY777" t="str">
            <v>NB</v>
          </cell>
        </row>
        <row r="778">
          <cell r="AM778">
            <v>-4386.6099999999997</v>
          </cell>
          <cell r="AP778" t="str">
            <v>Carrosserie</v>
          </cell>
          <cell r="AQ778" t="str">
            <v>Carrosserie Interne</v>
          </cell>
          <cell r="AR778" t="str">
            <v>$</v>
          </cell>
          <cell r="AS778" t="str">
            <v>Oui</v>
          </cell>
          <cell r="AW778">
            <v>5</v>
          </cell>
          <cell r="AY778" t="str">
            <v>NB</v>
          </cell>
        </row>
        <row r="779">
          <cell r="AM779">
            <v>-823.00000000000091</v>
          </cell>
          <cell r="AP779" t="str">
            <v>Carrosserie</v>
          </cell>
          <cell r="AQ779" t="str">
            <v>Carrosserie Concessions</v>
          </cell>
          <cell r="AR779" t="str">
            <v>$</v>
          </cell>
          <cell r="AS779" t="str">
            <v>Oui</v>
          </cell>
          <cell r="AW779">
            <v>3</v>
          </cell>
          <cell r="AY779" t="str">
            <v>NB</v>
          </cell>
        </row>
        <row r="780">
          <cell r="AM780">
            <v>0</v>
          </cell>
          <cell r="AP780" t="str">
            <v>Carrosserie</v>
          </cell>
          <cell r="AQ780" t="str">
            <v>Carrosserie Clients</v>
          </cell>
          <cell r="AR780" t="str">
            <v>$</v>
          </cell>
          <cell r="AS780" t="str">
            <v>Oui</v>
          </cell>
          <cell r="AW780">
            <v>0</v>
          </cell>
          <cell r="AY780" t="str">
            <v>NB</v>
          </cell>
        </row>
        <row r="781">
          <cell r="AM781">
            <v>0</v>
          </cell>
          <cell r="AP781" t="str">
            <v>Carrosserie</v>
          </cell>
          <cell r="AQ781" t="str">
            <v>Carrosserie Interne</v>
          </cell>
          <cell r="AR781" t="str">
            <v>$</v>
          </cell>
          <cell r="AS781" t="str">
            <v>Oui</v>
          </cell>
          <cell r="AW781">
            <v>0</v>
          </cell>
          <cell r="AY781" t="str">
            <v>NB</v>
          </cell>
        </row>
        <row r="782">
          <cell r="AM782">
            <v>0</v>
          </cell>
          <cell r="AP782" t="str">
            <v>Carrosserie</v>
          </cell>
          <cell r="AQ782" t="str">
            <v>Carrosserie Concessions</v>
          </cell>
          <cell r="AR782" t="str">
            <v>$</v>
          </cell>
          <cell r="AS782" t="str">
            <v>Oui</v>
          </cell>
          <cell r="AW782">
            <v>0</v>
          </cell>
          <cell r="AY782" t="str">
            <v>NB</v>
          </cell>
        </row>
        <row r="783">
          <cell r="AM783">
            <v>0</v>
          </cell>
          <cell r="AP783" t="str">
            <v>Carrosserie</v>
          </cell>
          <cell r="AQ783" t="str">
            <v>Carrosserie Clients</v>
          </cell>
          <cell r="AR783" t="str">
            <v>$</v>
          </cell>
          <cell r="AS783" t="str">
            <v>Oui</v>
          </cell>
          <cell r="AW783">
            <v>0</v>
          </cell>
          <cell r="AY783" t="str">
            <v>NB</v>
          </cell>
        </row>
        <row r="784">
          <cell r="AM784">
            <v>0</v>
          </cell>
          <cell r="AP784">
            <v>0</v>
          </cell>
          <cell r="AQ784">
            <v>0</v>
          </cell>
          <cell r="AR784" t="str">
            <v>$</v>
          </cell>
          <cell r="AS784">
            <v>0</v>
          </cell>
          <cell r="AW784">
            <v>0</v>
          </cell>
          <cell r="AY784" t="str">
            <v>NB</v>
          </cell>
        </row>
        <row r="785">
          <cell r="AM785">
            <v>0</v>
          </cell>
          <cell r="AP785">
            <v>0</v>
          </cell>
          <cell r="AQ785">
            <v>0</v>
          </cell>
          <cell r="AR785" t="str">
            <v>$</v>
          </cell>
          <cell r="AS785">
            <v>0</v>
          </cell>
          <cell r="AW785">
            <v>0</v>
          </cell>
          <cell r="AY785" t="str">
            <v>NB</v>
          </cell>
        </row>
        <row r="786">
          <cell r="AM786">
            <v>0</v>
          </cell>
          <cell r="AP786" t="str">
            <v>Pièces</v>
          </cell>
          <cell r="AQ786" t="str">
            <v>Pièces Ro Carrosserie</v>
          </cell>
          <cell r="AR786" t="str">
            <v>$</v>
          </cell>
          <cell r="AS786" t="str">
            <v>Oui</v>
          </cell>
          <cell r="AW786">
            <v>0</v>
          </cell>
          <cell r="AY786" t="str">
            <v>NB</v>
          </cell>
        </row>
        <row r="787">
          <cell r="AM787">
            <v>0</v>
          </cell>
          <cell r="AP787">
            <v>0</v>
          </cell>
          <cell r="AQ787">
            <v>0</v>
          </cell>
          <cell r="AR787" t="str">
            <v>$</v>
          </cell>
          <cell r="AS787">
            <v>0</v>
          </cell>
          <cell r="AW787">
            <v>0</v>
          </cell>
          <cell r="AY787" t="str">
            <v>NB</v>
          </cell>
        </row>
        <row r="788">
          <cell r="AM788">
            <v>0</v>
          </cell>
          <cell r="AP788">
            <v>0</v>
          </cell>
          <cell r="AQ788">
            <v>0</v>
          </cell>
          <cell r="AR788" t="str">
            <v>$</v>
          </cell>
          <cell r="AS788">
            <v>0</v>
          </cell>
          <cell r="AW788">
            <v>0</v>
          </cell>
          <cell r="AY788" t="str">
            <v>NB</v>
          </cell>
        </row>
        <row r="789">
          <cell r="AM789">
            <v>-18305.380000000005</v>
          </cell>
          <cell r="AP789" t="str">
            <v>Carrosserie</v>
          </cell>
          <cell r="AQ789" t="str">
            <v>Carrosserie Clients</v>
          </cell>
          <cell r="AR789" t="str">
            <v>$</v>
          </cell>
          <cell r="AS789" t="str">
            <v>Oui</v>
          </cell>
          <cell r="AW789">
            <v>39</v>
          </cell>
          <cell r="AY789" t="str">
            <v>NB</v>
          </cell>
        </row>
        <row r="790">
          <cell r="AM790">
            <v>-1151.96</v>
          </cell>
          <cell r="AP790" t="str">
            <v>Carrosserie</v>
          </cell>
          <cell r="AQ790" t="str">
            <v>Carrosserie Interne</v>
          </cell>
          <cell r="AR790" t="str">
            <v>$</v>
          </cell>
          <cell r="AS790" t="str">
            <v>Oui</v>
          </cell>
          <cell r="AW790">
            <v>9</v>
          </cell>
          <cell r="AY790" t="str">
            <v>NB</v>
          </cell>
        </row>
        <row r="791">
          <cell r="AM791">
            <v>-4549.0800000000017</v>
          </cell>
          <cell r="AP791" t="str">
            <v>Carrosserie</v>
          </cell>
          <cell r="AQ791" t="str">
            <v>Carrosserie Concessions</v>
          </cell>
          <cell r="AR791" t="str">
            <v>$</v>
          </cell>
          <cell r="AS791" t="str">
            <v>Oui</v>
          </cell>
          <cell r="AW791">
            <v>17</v>
          </cell>
          <cell r="AY791" t="str">
            <v>NB</v>
          </cell>
        </row>
        <row r="792">
          <cell r="AM792">
            <v>-10109.61</v>
          </cell>
          <cell r="AP792" t="str">
            <v>Carrosserie</v>
          </cell>
          <cell r="AQ792" t="str">
            <v>Carrosserie Clients</v>
          </cell>
          <cell r="AR792" t="str">
            <v>$</v>
          </cell>
          <cell r="AS792" t="str">
            <v>Oui</v>
          </cell>
          <cell r="AW792">
            <v>48</v>
          </cell>
          <cell r="AY792" t="str">
            <v>NB</v>
          </cell>
        </row>
        <row r="793">
          <cell r="AM793">
            <v>-576.88000000000011</v>
          </cell>
          <cell r="AP793" t="str">
            <v>Carrosserie</v>
          </cell>
          <cell r="AQ793" t="str">
            <v>Carrosserie Interne</v>
          </cell>
          <cell r="AR793" t="str">
            <v>$</v>
          </cell>
          <cell r="AS793" t="str">
            <v>Oui</v>
          </cell>
          <cell r="AW793">
            <v>9</v>
          </cell>
          <cell r="AY793" t="str">
            <v>NB</v>
          </cell>
        </row>
        <row r="794">
          <cell r="AM794">
            <v>-1980.5100000000002</v>
          </cell>
          <cell r="AP794" t="str">
            <v>Carrosserie</v>
          </cell>
          <cell r="AQ794" t="str">
            <v>Carrosserie Concessions</v>
          </cell>
          <cell r="AR794" t="str">
            <v>$</v>
          </cell>
          <cell r="AS794" t="str">
            <v>Oui</v>
          </cell>
          <cell r="AW794">
            <v>14</v>
          </cell>
          <cell r="AY794" t="str">
            <v>NB</v>
          </cell>
        </row>
        <row r="795">
          <cell r="AM795">
            <v>-41863.679999999993</v>
          </cell>
          <cell r="AP795" t="str">
            <v>Pièces</v>
          </cell>
          <cell r="AQ795" t="str">
            <v>P/A Garantie</v>
          </cell>
          <cell r="AR795" t="str">
            <v>$</v>
          </cell>
          <cell r="AS795" t="str">
            <v>Oui</v>
          </cell>
          <cell r="AW795">
            <v>127</v>
          </cell>
          <cell r="AY795" t="str">
            <v>NB</v>
          </cell>
        </row>
        <row r="796">
          <cell r="AM796">
            <v>0</v>
          </cell>
          <cell r="AP796" t="str">
            <v>Pièces</v>
          </cell>
          <cell r="AQ796" t="str">
            <v>P/A Garantie</v>
          </cell>
          <cell r="AR796" t="str">
            <v>$</v>
          </cell>
          <cell r="AS796" t="str">
            <v>Oui</v>
          </cell>
          <cell r="AW796">
            <v>0</v>
          </cell>
          <cell r="AY796" t="str">
            <v>NB</v>
          </cell>
        </row>
        <row r="797">
          <cell r="AM797">
            <v>-40502.950000000012</v>
          </cell>
          <cell r="AP797" t="str">
            <v>Pièces</v>
          </cell>
          <cell r="AQ797" t="str">
            <v>Ventes Internes</v>
          </cell>
          <cell r="AR797" t="str">
            <v>$</v>
          </cell>
          <cell r="AS797" t="str">
            <v>Oui</v>
          </cell>
          <cell r="AW797">
            <v>156</v>
          </cell>
          <cell r="AY797" t="str">
            <v>NB</v>
          </cell>
        </row>
        <row r="798">
          <cell r="AM798">
            <v>0</v>
          </cell>
          <cell r="AP798" t="str">
            <v>Pièces</v>
          </cell>
          <cell r="AQ798" t="str">
            <v>Ventes Internes</v>
          </cell>
          <cell r="AR798" t="str">
            <v>$</v>
          </cell>
          <cell r="AS798" t="str">
            <v>Oui</v>
          </cell>
          <cell r="AW798">
            <v>0</v>
          </cell>
          <cell r="AY798" t="str">
            <v>NB</v>
          </cell>
        </row>
        <row r="799">
          <cell r="AM799">
            <v>-31930.489999999991</v>
          </cell>
          <cell r="AP799" t="str">
            <v>Pièces</v>
          </cell>
          <cell r="AQ799" t="str">
            <v>Ventes Détails</v>
          </cell>
          <cell r="AR799" t="str">
            <v>$</v>
          </cell>
          <cell r="AS799" t="str">
            <v>Oui</v>
          </cell>
          <cell r="AW799">
            <v>179</v>
          </cell>
          <cell r="AY799" t="str">
            <v>NB</v>
          </cell>
        </row>
        <row r="800">
          <cell r="AM800">
            <v>-147838.78000000003</v>
          </cell>
          <cell r="AP800" t="str">
            <v>Pièces</v>
          </cell>
          <cell r="AQ800" t="str">
            <v>Ventes de Gros</v>
          </cell>
          <cell r="AR800" t="str">
            <v>$</v>
          </cell>
          <cell r="AS800" t="str">
            <v>Oui</v>
          </cell>
          <cell r="AW800">
            <v>366</v>
          </cell>
          <cell r="AY800" t="str">
            <v>NB</v>
          </cell>
        </row>
        <row r="801">
          <cell r="AM801">
            <v>0</v>
          </cell>
          <cell r="AP801">
            <v>0</v>
          </cell>
          <cell r="AQ801">
            <v>0</v>
          </cell>
          <cell r="AR801" t="str">
            <v>$</v>
          </cell>
          <cell r="AS801">
            <v>0</v>
          </cell>
          <cell r="AW801">
            <v>0</v>
          </cell>
          <cell r="AY801" t="str">
            <v>NB</v>
          </cell>
        </row>
        <row r="802">
          <cell r="AM802">
            <v>0</v>
          </cell>
          <cell r="AP802">
            <v>0</v>
          </cell>
          <cell r="AQ802">
            <v>0</v>
          </cell>
          <cell r="AR802" t="str">
            <v>$</v>
          </cell>
          <cell r="AS802">
            <v>0</v>
          </cell>
          <cell r="AW802">
            <v>0</v>
          </cell>
          <cell r="AY802" t="str">
            <v>NB</v>
          </cell>
        </row>
        <row r="803">
          <cell r="AM803">
            <v>-39663.960000000021</v>
          </cell>
          <cell r="AP803" t="str">
            <v>Pièces</v>
          </cell>
          <cell r="AQ803" t="str">
            <v>Ventes Pneus</v>
          </cell>
          <cell r="AR803" t="str">
            <v>$</v>
          </cell>
          <cell r="AS803" t="str">
            <v>Oui</v>
          </cell>
          <cell r="AW803">
            <v>42</v>
          </cell>
          <cell r="AY803" t="str">
            <v>NB</v>
          </cell>
        </row>
        <row r="804">
          <cell r="AM804">
            <v>-13668.600000000006</v>
          </cell>
          <cell r="AP804" t="str">
            <v>Pièces</v>
          </cell>
          <cell r="AQ804" t="str">
            <v>Huiles et Graisse</v>
          </cell>
          <cell r="AR804" t="str">
            <v>$</v>
          </cell>
          <cell r="AS804" t="str">
            <v>Oui</v>
          </cell>
          <cell r="AW804">
            <v>162</v>
          </cell>
          <cell r="AY804" t="str">
            <v>NB</v>
          </cell>
        </row>
        <row r="805">
          <cell r="AM805">
            <v>0</v>
          </cell>
          <cell r="AP805" t="str">
            <v>Service</v>
          </cell>
          <cell r="AQ805" t="str">
            <v>Frais véhicules de cie</v>
          </cell>
          <cell r="AR805" t="str">
            <v>$</v>
          </cell>
          <cell r="AS805">
            <v>0</v>
          </cell>
          <cell r="AW805">
            <v>0</v>
          </cell>
          <cell r="AY805" t="str">
            <v>NB</v>
          </cell>
        </row>
        <row r="806">
          <cell r="AM806">
            <v>1379.4499999999998</v>
          </cell>
          <cell r="AP806" t="str">
            <v>Carrosserie</v>
          </cell>
          <cell r="AQ806" t="str">
            <v>Frais véhicules de cie</v>
          </cell>
          <cell r="AR806" t="str">
            <v>$</v>
          </cell>
          <cell r="AS806">
            <v>0</v>
          </cell>
          <cell r="AW806">
            <v>-4</v>
          </cell>
          <cell r="AY806" t="str">
            <v>NB</v>
          </cell>
        </row>
        <row r="807">
          <cell r="AM807">
            <v>0</v>
          </cell>
          <cell r="AP807" t="e">
            <v>#N/A</v>
          </cell>
          <cell r="AQ807" t="e">
            <v>#N/A</v>
          </cell>
          <cell r="AR807" t="str">
            <v>$</v>
          </cell>
          <cell r="AS807" t="e">
            <v>#N/A</v>
          </cell>
          <cell r="AW807">
            <v>0</v>
          </cell>
          <cell r="AY807" t="str">
            <v>NB</v>
          </cell>
        </row>
        <row r="808">
          <cell r="AM808">
            <v>0</v>
          </cell>
          <cell r="AP808" t="e">
            <v>#N/A</v>
          </cell>
          <cell r="AQ808" t="e">
            <v>#N/A</v>
          </cell>
          <cell r="AR808" t="str">
            <v>$</v>
          </cell>
          <cell r="AS808" t="e">
            <v>#N/A</v>
          </cell>
          <cell r="AW808">
            <v>0</v>
          </cell>
          <cell r="AY808" t="str">
            <v>NB</v>
          </cell>
        </row>
        <row r="809">
          <cell r="AM809">
            <v>0</v>
          </cell>
          <cell r="AP809" t="e">
            <v>#N/A</v>
          </cell>
          <cell r="AQ809" t="e">
            <v>#N/A</v>
          </cell>
          <cell r="AR809" t="str">
            <v>$</v>
          </cell>
          <cell r="AS809" t="e">
            <v>#N/A</v>
          </cell>
          <cell r="AW809">
            <v>0</v>
          </cell>
          <cell r="AY809" t="str">
            <v>NB</v>
          </cell>
        </row>
        <row r="810">
          <cell r="AM810">
            <v>0</v>
          </cell>
          <cell r="AP810" t="e">
            <v>#N/A</v>
          </cell>
          <cell r="AQ810" t="e">
            <v>#N/A</v>
          </cell>
          <cell r="AR810" t="str">
            <v>$</v>
          </cell>
          <cell r="AS810" t="e">
            <v>#N/A</v>
          </cell>
          <cell r="AW810">
            <v>0</v>
          </cell>
          <cell r="AY810" t="str">
            <v>NB</v>
          </cell>
        </row>
        <row r="811">
          <cell r="AM811">
            <v>0</v>
          </cell>
          <cell r="AP811" t="e">
            <v>#N/A</v>
          </cell>
          <cell r="AQ811" t="e">
            <v>#N/A</v>
          </cell>
          <cell r="AR811" t="str">
            <v>$</v>
          </cell>
          <cell r="AS811" t="e">
            <v>#N/A</v>
          </cell>
          <cell r="AW811">
            <v>0</v>
          </cell>
          <cell r="AY811" t="str">
            <v>NB</v>
          </cell>
        </row>
        <row r="812">
          <cell r="AM812">
            <v>0</v>
          </cell>
          <cell r="AP812" t="e">
            <v>#N/A</v>
          </cell>
          <cell r="AQ812" t="e">
            <v>#N/A</v>
          </cell>
          <cell r="AR812" t="str">
            <v>$</v>
          </cell>
          <cell r="AS812" t="e">
            <v>#N/A</v>
          </cell>
          <cell r="AW812">
            <v>0</v>
          </cell>
          <cell r="AY812" t="str">
            <v>NB</v>
          </cell>
        </row>
        <row r="813">
          <cell r="AM813">
            <v>0</v>
          </cell>
          <cell r="AP813" t="e">
            <v>#N/A</v>
          </cell>
          <cell r="AQ813" t="e">
            <v>#N/A</v>
          </cell>
          <cell r="AR813" t="str">
            <v>$</v>
          </cell>
          <cell r="AS813" t="e">
            <v>#N/A</v>
          </cell>
          <cell r="AW813">
            <v>0</v>
          </cell>
          <cell r="AY813" t="str">
            <v>NB</v>
          </cell>
        </row>
        <row r="814">
          <cell r="AM814">
            <v>0</v>
          </cell>
          <cell r="AP814" t="e">
            <v>#N/A</v>
          </cell>
          <cell r="AQ814" t="e">
            <v>#N/A</v>
          </cell>
          <cell r="AR814" t="str">
            <v>$</v>
          </cell>
          <cell r="AS814" t="e">
            <v>#N/A</v>
          </cell>
          <cell r="AW814">
            <v>0</v>
          </cell>
          <cell r="AY814" t="str">
            <v>NB</v>
          </cell>
        </row>
        <row r="815">
          <cell r="AM815">
            <v>0</v>
          </cell>
          <cell r="AP815" t="e">
            <v>#N/A</v>
          </cell>
          <cell r="AQ815" t="e">
            <v>#N/A</v>
          </cell>
          <cell r="AR815" t="str">
            <v>$</v>
          </cell>
          <cell r="AS815" t="e">
            <v>#N/A</v>
          </cell>
          <cell r="AW815">
            <v>0</v>
          </cell>
          <cell r="AY815" t="str">
            <v>NB</v>
          </cell>
        </row>
        <row r="816">
          <cell r="AM816">
            <v>0</v>
          </cell>
          <cell r="AP816" t="e">
            <v>#N/A</v>
          </cell>
          <cell r="AQ816" t="e">
            <v>#N/A</v>
          </cell>
          <cell r="AR816" t="str">
            <v>$</v>
          </cell>
          <cell r="AS816" t="e">
            <v>#N/A</v>
          </cell>
          <cell r="AW816">
            <v>0</v>
          </cell>
          <cell r="AY816" t="str">
            <v>NB</v>
          </cell>
        </row>
        <row r="817">
          <cell r="AM817">
            <v>0</v>
          </cell>
          <cell r="AP817" t="e">
            <v>#N/A</v>
          </cell>
          <cell r="AQ817" t="e">
            <v>#N/A</v>
          </cell>
          <cell r="AR817" t="str">
            <v>$</v>
          </cell>
          <cell r="AS817" t="e">
            <v>#N/A</v>
          </cell>
          <cell r="AW817">
            <v>0</v>
          </cell>
          <cell r="AY817" t="str">
            <v>NB</v>
          </cell>
        </row>
        <row r="818">
          <cell r="AM818">
            <v>0</v>
          </cell>
          <cell r="AP818" t="e">
            <v>#N/A</v>
          </cell>
          <cell r="AQ818" t="e">
            <v>#N/A</v>
          </cell>
          <cell r="AR818" t="str">
            <v>$</v>
          </cell>
          <cell r="AS818" t="e">
            <v>#N/A</v>
          </cell>
          <cell r="AW818">
            <v>0</v>
          </cell>
          <cell r="AY818" t="str">
            <v>NB</v>
          </cell>
        </row>
        <row r="819">
          <cell r="AM819">
            <v>0</v>
          </cell>
          <cell r="AP819">
            <v>0</v>
          </cell>
          <cell r="AQ819">
            <v>0</v>
          </cell>
          <cell r="AR819" t="str">
            <v>$</v>
          </cell>
          <cell r="AS819">
            <v>0</v>
          </cell>
          <cell r="AW819">
            <v>0</v>
          </cell>
          <cell r="AY819" t="str">
            <v>NB</v>
          </cell>
        </row>
        <row r="820">
          <cell r="AM820">
            <v>0</v>
          </cell>
          <cell r="AP820" t="e">
            <v>#N/A</v>
          </cell>
          <cell r="AQ820" t="e">
            <v>#N/A</v>
          </cell>
          <cell r="AR820" t="str">
            <v>$</v>
          </cell>
          <cell r="AS820" t="e">
            <v>#N/A</v>
          </cell>
          <cell r="AW820">
            <v>0</v>
          </cell>
          <cell r="AY820" t="str">
            <v>NB</v>
          </cell>
        </row>
        <row r="821">
          <cell r="AM821">
            <v>0</v>
          </cell>
          <cell r="AP821" t="e">
            <v>#N/A</v>
          </cell>
          <cell r="AQ821" t="e">
            <v>#N/A</v>
          </cell>
          <cell r="AR821" t="str">
            <v>$</v>
          </cell>
          <cell r="AS821" t="e">
            <v>#N/A</v>
          </cell>
          <cell r="AW821">
            <v>0</v>
          </cell>
          <cell r="AY821" t="str">
            <v>NB</v>
          </cell>
        </row>
        <row r="822">
          <cell r="AM822">
            <v>0</v>
          </cell>
          <cell r="AP822">
            <v>0</v>
          </cell>
          <cell r="AQ822">
            <v>0</v>
          </cell>
          <cell r="AR822" t="str">
            <v>$</v>
          </cell>
          <cell r="AS822">
            <v>0</v>
          </cell>
          <cell r="AW822">
            <v>0</v>
          </cell>
          <cell r="AY822" t="str">
            <v>NB</v>
          </cell>
        </row>
        <row r="823">
          <cell r="AM823">
            <v>0</v>
          </cell>
          <cell r="AP823" t="e">
            <v>#N/A</v>
          </cell>
          <cell r="AQ823" t="e">
            <v>#N/A</v>
          </cell>
          <cell r="AR823" t="str">
            <v>$</v>
          </cell>
          <cell r="AS823" t="e">
            <v>#N/A</v>
          </cell>
          <cell r="AW823">
            <v>0</v>
          </cell>
          <cell r="AY823" t="str">
            <v>NB</v>
          </cell>
        </row>
        <row r="824">
          <cell r="AM824">
            <v>0</v>
          </cell>
          <cell r="AP824" t="e">
            <v>#N/A</v>
          </cell>
          <cell r="AQ824" t="e">
            <v>#N/A</v>
          </cell>
          <cell r="AR824" t="str">
            <v>$</v>
          </cell>
          <cell r="AS824" t="e">
            <v>#N/A</v>
          </cell>
          <cell r="AW824">
            <v>0</v>
          </cell>
          <cell r="AY824" t="str">
            <v>NB</v>
          </cell>
        </row>
        <row r="825">
          <cell r="AM825">
            <v>0</v>
          </cell>
          <cell r="AP825" t="e">
            <v>#N/A</v>
          </cell>
          <cell r="AQ825" t="e">
            <v>#N/A</v>
          </cell>
          <cell r="AR825" t="str">
            <v>$</v>
          </cell>
          <cell r="AS825" t="e">
            <v>#N/A</v>
          </cell>
          <cell r="AW825">
            <v>0</v>
          </cell>
          <cell r="AY825" t="str">
            <v>NB</v>
          </cell>
        </row>
        <row r="826">
          <cell r="AM826">
            <v>0</v>
          </cell>
          <cell r="AP826" t="e">
            <v>#N/A</v>
          </cell>
          <cell r="AQ826" t="e">
            <v>#N/A</v>
          </cell>
          <cell r="AR826" t="str">
            <v>$</v>
          </cell>
          <cell r="AS826" t="e">
            <v>#N/A</v>
          </cell>
          <cell r="AW826">
            <v>0</v>
          </cell>
          <cell r="AY826" t="str">
            <v>NB</v>
          </cell>
        </row>
        <row r="827">
          <cell r="AM827">
            <v>0</v>
          </cell>
          <cell r="AP827" t="e">
            <v>#N/A</v>
          </cell>
          <cell r="AQ827" t="e">
            <v>#N/A</v>
          </cell>
          <cell r="AR827" t="str">
            <v>$</v>
          </cell>
          <cell r="AS827" t="e">
            <v>#N/A</v>
          </cell>
          <cell r="AW827">
            <v>0</v>
          </cell>
          <cell r="AY827" t="str">
            <v>NB</v>
          </cell>
        </row>
        <row r="828">
          <cell r="AM828">
            <v>0</v>
          </cell>
          <cell r="AP828" t="e">
            <v>#N/A</v>
          </cell>
          <cell r="AQ828" t="e">
            <v>#N/A</v>
          </cell>
          <cell r="AR828" t="str">
            <v>$</v>
          </cell>
          <cell r="AS828" t="e">
            <v>#N/A</v>
          </cell>
          <cell r="AW828">
            <v>0</v>
          </cell>
          <cell r="AY828" t="str">
            <v>NB</v>
          </cell>
        </row>
        <row r="829">
          <cell r="AM829">
            <v>0</v>
          </cell>
          <cell r="AP829" t="e">
            <v>#N/A</v>
          </cell>
          <cell r="AQ829" t="e">
            <v>#N/A</v>
          </cell>
          <cell r="AR829" t="str">
            <v>$</v>
          </cell>
          <cell r="AS829" t="e">
            <v>#N/A</v>
          </cell>
          <cell r="AW829">
            <v>0</v>
          </cell>
          <cell r="AY829" t="str">
            <v>NB</v>
          </cell>
        </row>
        <row r="830">
          <cell r="AM830">
            <v>0</v>
          </cell>
          <cell r="AP830" t="e">
            <v>#N/A</v>
          </cell>
          <cell r="AQ830" t="e">
            <v>#N/A</v>
          </cell>
          <cell r="AR830" t="str">
            <v>$</v>
          </cell>
          <cell r="AS830" t="e">
            <v>#N/A</v>
          </cell>
          <cell r="AW830">
            <v>0</v>
          </cell>
          <cell r="AY830" t="str">
            <v>NB</v>
          </cell>
        </row>
        <row r="831">
          <cell r="AM831">
            <v>0</v>
          </cell>
          <cell r="AP831" t="e">
            <v>#N/A</v>
          </cell>
          <cell r="AQ831" t="e">
            <v>#N/A</v>
          </cell>
          <cell r="AR831" t="str">
            <v>$</v>
          </cell>
          <cell r="AS831" t="e">
            <v>#N/A</v>
          </cell>
          <cell r="AW831">
            <v>0</v>
          </cell>
          <cell r="AY831" t="str">
            <v>NB</v>
          </cell>
        </row>
        <row r="832">
          <cell r="AM832">
            <v>0</v>
          </cell>
          <cell r="AP832" t="str">
            <v>Véhicules neufs</v>
          </cell>
          <cell r="AQ832" t="str">
            <v>Autos détail</v>
          </cell>
          <cell r="AR832" t="str">
            <v>$</v>
          </cell>
          <cell r="AS832">
            <v>0</v>
          </cell>
          <cell r="AW832">
            <v>0</v>
          </cell>
          <cell r="AY832" t="str">
            <v>NB</v>
          </cell>
        </row>
        <row r="833">
          <cell r="AM833">
            <v>0</v>
          </cell>
          <cell r="AP833" t="str">
            <v>Véhicules neufs</v>
          </cell>
          <cell r="AQ833" t="str">
            <v>Autos détail</v>
          </cell>
          <cell r="AR833" t="str">
            <v>$</v>
          </cell>
          <cell r="AS833">
            <v>0</v>
          </cell>
          <cell r="AW833">
            <v>0</v>
          </cell>
          <cell r="AY833" t="str">
            <v>NB</v>
          </cell>
        </row>
        <row r="834">
          <cell r="AM834">
            <v>0</v>
          </cell>
          <cell r="AP834" t="str">
            <v>Véhicules neufs</v>
          </cell>
          <cell r="AQ834" t="str">
            <v>Autos détail</v>
          </cell>
          <cell r="AR834" t="str">
            <v>$</v>
          </cell>
          <cell r="AS834">
            <v>0</v>
          </cell>
          <cell r="AW834">
            <v>0</v>
          </cell>
          <cell r="AY834" t="str">
            <v>NB</v>
          </cell>
        </row>
        <row r="835">
          <cell r="AM835">
            <v>0</v>
          </cell>
          <cell r="AP835" t="str">
            <v>Véhicules neufs</v>
          </cell>
          <cell r="AQ835" t="str">
            <v>Autos détail</v>
          </cell>
          <cell r="AR835" t="str">
            <v>$</v>
          </cell>
          <cell r="AS835">
            <v>0</v>
          </cell>
          <cell r="AW835">
            <v>0</v>
          </cell>
          <cell r="AY835" t="str">
            <v>NB</v>
          </cell>
        </row>
        <row r="836">
          <cell r="AM836">
            <v>0</v>
          </cell>
          <cell r="AP836" t="e">
            <v>#N/A</v>
          </cell>
          <cell r="AQ836" t="e">
            <v>#N/A</v>
          </cell>
          <cell r="AR836" t="str">
            <v>$</v>
          </cell>
          <cell r="AS836" t="e">
            <v>#N/A</v>
          </cell>
          <cell r="AW836">
            <v>0</v>
          </cell>
          <cell r="AY836" t="str">
            <v>NB</v>
          </cell>
        </row>
        <row r="837">
          <cell r="AM837">
            <v>0</v>
          </cell>
          <cell r="AP837" t="e">
            <v>#N/A</v>
          </cell>
          <cell r="AQ837" t="e">
            <v>#N/A</v>
          </cell>
          <cell r="AR837" t="str">
            <v>$</v>
          </cell>
          <cell r="AS837" t="e">
            <v>#N/A</v>
          </cell>
          <cell r="AW837">
            <v>0</v>
          </cell>
          <cell r="AY837" t="str">
            <v>NB</v>
          </cell>
        </row>
        <row r="838">
          <cell r="AM838">
            <v>0</v>
          </cell>
          <cell r="AP838" t="e">
            <v>#N/A</v>
          </cell>
          <cell r="AQ838" t="e">
            <v>#N/A</v>
          </cell>
          <cell r="AR838" t="str">
            <v>$</v>
          </cell>
          <cell r="AS838" t="e">
            <v>#N/A</v>
          </cell>
          <cell r="AW838">
            <v>0</v>
          </cell>
          <cell r="AY838" t="str">
            <v>NB</v>
          </cell>
        </row>
        <row r="839">
          <cell r="AM839">
            <v>0</v>
          </cell>
          <cell r="AP839" t="e">
            <v>#N/A</v>
          </cell>
          <cell r="AQ839" t="e">
            <v>#N/A</v>
          </cell>
          <cell r="AR839" t="str">
            <v>$</v>
          </cell>
          <cell r="AS839" t="e">
            <v>#N/A</v>
          </cell>
          <cell r="AW839">
            <v>0</v>
          </cell>
          <cell r="AY839" t="str">
            <v>NB</v>
          </cell>
        </row>
        <row r="840">
          <cell r="AM840">
            <v>0</v>
          </cell>
          <cell r="AP840" t="str">
            <v>Véhicules neufs</v>
          </cell>
          <cell r="AQ840" t="str">
            <v>Autos détail</v>
          </cell>
          <cell r="AR840" t="str">
            <v>$</v>
          </cell>
          <cell r="AS840">
            <v>0</v>
          </cell>
          <cell r="AW840">
            <v>0</v>
          </cell>
          <cell r="AY840" t="str">
            <v>NB</v>
          </cell>
        </row>
        <row r="841">
          <cell r="AM841">
            <v>0</v>
          </cell>
          <cell r="AP841" t="str">
            <v>Véhicules neufs</v>
          </cell>
          <cell r="AQ841" t="str">
            <v>Autos détail</v>
          </cell>
          <cell r="AR841" t="str">
            <v>$</v>
          </cell>
          <cell r="AS841">
            <v>0</v>
          </cell>
          <cell r="AW841">
            <v>0</v>
          </cell>
          <cell r="AY841" t="str">
            <v>NB</v>
          </cell>
        </row>
        <row r="842">
          <cell r="AM842">
            <v>0</v>
          </cell>
          <cell r="AP842" t="e">
            <v>#N/A</v>
          </cell>
          <cell r="AQ842" t="e">
            <v>#N/A</v>
          </cell>
          <cell r="AR842" t="str">
            <v>$</v>
          </cell>
          <cell r="AS842" t="e">
            <v>#N/A</v>
          </cell>
          <cell r="AW842">
            <v>0</v>
          </cell>
          <cell r="AY842" t="str">
            <v>NB</v>
          </cell>
        </row>
        <row r="843">
          <cell r="AM843">
            <v>0</v>
          </cell>
          <cell r="AP843" t="str">
            <v>Véhicules neufs</v>
          </cell>
          <cell r="AQ843" t="str">
            <v>Autos détail</v>
          </cell>
          <cell r="AR843" t="str">
            <v>$</v>
          </cell>
          <cell r="AS843">
            <v>0</v>
          </cell>
          <cell r="AW843">
            <v>0</v>
          </cell>
          <cell r="AY843" t="str">
            <v>NB</v>
          </cell>
        </row>
        <row r="844">
          <cell r="AM844">
            <v>147677</v>
          </cell>
          <cell r="AP844" t="str">
            <v>Véhicules neufs</v>
          </cell>
          <cell r="AQ844" t="str">
            <v>Autos détail</v>
          </cell>
          <cell r="AR844" t="str">
            <v>$</v>
          </cell>
          <cell r="AS844">
            <v>0</v>
          </cell>
          <cell r="AW844">
            <v>0</v>
          </cell>
          <cell r="AY844" t="str">
            <v>NB</v>
          </cell>
        </row>
        <row r="845">
          <cell r="AM845">
            <v>0</v>
          </cell>
          <cell r="AP845" t="e">
            <v>#N/A</v>
          </cell>
          <cell r="AQ845" t="e">
            <v>#N/A</v>
          </cell>
          <cell r="AR845" t="str">
            <v>$</v>
          </cell>
          <cell r="AS845" t="e">
            <v>#N/A</v>
          </cell>
          <cell r="AW845">
            <v>0</v>
          </cell>
          <cell r="AY845" t="str">
            <v>NB</v>
          </cell>
        </row>
        <row r="846">
          <cell r="AM846">
            <v>0</v>
          </cell>
          <cell r="AP846" t="e">
            <v>#N/A</v>
          </cell>
          <cell r="AQ846" t="e">
            <v>#N/A</v>
          </cell>
          <cell r="AR846" t="str">
            <v>$</v>
          </cell>
          <cell r="AS846" t="e">
            <v>#N/A</v>
          </cell>
          <cell r="AW846">
            <v>0</v>
          </cell>
          <cell r="AY846" t="str">
            <v>NB</v>
          </cell>
        </row>
        <row r="847">
          <cell r="AM847">
            <v>172949.04</v>
          </cell>
          <cell r="AP847" t="str">
            <v>Véhicules neufs</v>
          </cell>
          <cell r="AQ847" t="str">
            <v>Camions electriques</v>
          </cell>
          <cell r="AR847" t="str">
            <v>$</v>
          </cell>
          <cell r="AS847">
            <v>0</v>
          </cell>
          <cell r="AW847">
            <v>0</v>
          </cell>
          <cell r="AY847" t="str">
            <v>NB</v>
          </cell>
        </row>
        <row r="848">
          <cell r="AM848">
            <v>0</v>
          </cell>
          <cell r="AP848" t="e">
            <v>#N/A</v>
          </cell>
          <cell r="AQ848" t="e">
            <v>#N/A</v>
          </cell>
          <cell r="AR848" t="str">
            <v>$</v>
          </cell>
          <cell r="AS848" t="e">
            <v>#N/A</v>
          </cell>
          <cell r="AW848">
            <v>0</v>
          </cell>
          <cell r="AY848" t="str">
            <v>NB</v>
          </cell>
        </row>
        <row r="849">
          <cell r="AM849">
            <v>0</v>
          </cell>
          <cell r="AP849" t="e">
            <v>#N/A</v>
          </cell>
          <cell r="AQ849" t="e">
            <v>#N/A</v>
          </cell>
          <cell r="AR849" t="str">
            <v>$</v>
          </cell>
          <cell r="AS849" t="e">
            <v>#N/A</v>
          </cell>
          <cell r="AW849">
            <v>0</v>
          </cell>
          <cell r="AY849" t="str">
            <v>NB</v>
          </cell>
        </row>
        <row r="850">
          <cell r="AM850">
            <v>0</v>
          </cell>
          <cell r="AP850" t="e">
            <v>#N/A</v>
          </cell>
          <cell r="AQ850" t="e">
            <v>#N/A</v>
          </cell>
          <cell r="AR850" t="str">
            <v>$</v>
          </cell>
          <cell r="AS850" t="e">
            <v>#N/A</v>
          </cell>
          <cell r="AW850">
            <v>0</v>
          </cell>
          <cell r="AY850" t="str">
            <v>NB</v>
          </cell>
        </row>
        <row r="851">
          <cell r="AM851">
            <v>0</v>
          </cell>
          <cell r="AP851" t="str">
            <v>Véhicules neufs</v>
          </cell>
          <cell r="AQ851" t="str">
            <v>Autos détail</v>
          </cell>
          <cell r="AR851" t="str">
            <v>$</v>
          </cell>
          <cell r="AS851">
            <v>0</v>
          </cell>
          <cell r="AW851">
            <v>0</v>
          </cell>
          <cell r="AY851" t="str">
            <v>NB</v>
          </cell>
        </row>
        <row r="852">
          <cell r="AM852">
            <v>0</v>
          </cell>
          <cell r="AP852" t="e">
            <v>#N/A</v>
          </cell>
          <cell r="AQ852" t="e">
            <v>#N/A</v>
          </cell>
          <cell r="AR852" t="str">
            <v>$</v>
          </cell>
          <cell r="AS852" t="e">
            <v>#N/A</v>
          </cell>
          <cell r="AW852">
            <v>0</v>
          </cell>
          <cell r="AY852" t="str">
            <v>NB</v>
          </cell>
        </row>
        <row r="853">
          <cell r="AM853">
            <v>0</v>
          </cell>
          <cell r="AP853" t="str">
            <v>Véhicules neufs</v>
          </cell>
          <cell r="AQ853" t="str">
            <v>Autos détail</v>
          </cell>
          <cell r="AR853" t="str">
            <v>$</v>
          </cell>
          <cell r="AS853">
            <v>0</v>
          </cell>
          <cell r="AW853">
            <v>0</v>
          </cell>
          <cell r="AY853" t="str">
            <v>NB</v>
          </cell>
        </row>
        <row r="854">
          <cell r="AM854">
            <v>0</v>
          </cell>
          <cell r="AP854" t="str">
            <v>Véhicules neufs</v>
          </cell>
          <cell r="AQ854" t="str">
            <v>Autos détail</v>
          </cell>
          <cell r="AR854" t="str">
            <v>$</v>
          </cell>
          <cell r="AS854">
            <v>0</v>
          </cell>
          <cell r="AW854">
            <v>0</v>
          </cell>
          <cell r="AY854" t="str">
            <v>NB</v>
          </cell>
        </row>
        <row r="855">
          <cell r="AM855">
            <v>0</v>
          </cell>
          <cell r="AP855">
            <v>0</v>
          </cell>
          <cell r="AQ855">
            <v>0</v>
          </cell>
          <cell r="AR855" t="str">
            <v>$</v>
          </cell>
          <cell r="AS855">
            <v>0</v>
          </cell>
          <cell r="AW855">
            <v>0</v>
          </cell>
          <cell r="AY855" t="str">
            <v>NB</v>
          </cell>
        </row>
        <row r="856">
          <cell r="AM856">
            <v>0</v>
          </cell>
          <cell r="AP856" t="e">
            <v>#N/A</v>
          </cell>
          <cell r="AQ856" t="e">
            <v>#N/A</v>
          </cell>
          <cell r="AR856" t="str">
            <v>$</v>
          </cell>
          <cell r="AS856" t="e">
            <v>#N/A</v>
          </cell>
          <cell r="AW856">
            <v>0</v>
          </cell>
          <cell r="AY856" t="str">
            <v>NB</v>
          </cell>
        </row>
        <row r="857">
          <cell r="AM857">
            <v>0</v>
          </cell>
          <cell r="AP857" t="e">
            <v>#N/A</v>
          </cell>
          <cell r="AQ857" t="e">
            <v>#N/A</v>
          </cell>
          <cell r="AR857" t="str">
            <v>$</v>
          </cell>
          <cell r="AS857" t="e">
            <v>#N/A</v>
          </cell>
          <cell r="AW857">
            <v>0</v>
          </cell>
          <cell r="AY857" t="str">
            <v>NB</v>
          </cell>
        </row>
        <row r="858">
          <cell r="AM858">
            <v>0</v>
          </cell>
          <cell r="AP858">
            <v>0</v>
          </cell>
          <cell r="AQ858">
            <v>0</v>
          </cell>
          <cell r="AR858" t="str">
            <v>$</v>
          </cell>
          <cell r="AS858">
            <v>0</v>
          </cell>
          <cell r="AW858">
            <v>0</v>
          </cell>
          <cell r="AY858" t="str">
            <v>NB</v>
          </cell>
        </row>
        <row r="859">
          <cell r="AM859">
            <v>0</v>
          </cell>
          <cell r="AP859" t="e">
            <v>#N/A</v>
          </cell>
          <cell r="AQ859" t="e">
            <v>#N/A</v>
          </cell>
          <cell r="AR859" t="str">
            <v>$</v>
          </cell>
          <cell r="AS859" t="e">
            <v>#N/A</v>
          </cell>
          <cell r="AW859">
            <v>0</v>
          </cell>
          <cell r="AY859" t="str">
            <v>NB</v>
          </cell>
        </row>
        <row r="860">
          <cell r="AM860">
            <v>0</v>
          </cell>
          <cell r="AP860" t="e">
            <v>#N/A</v>
          </cell>
          <cell r="AQ860" t="e">
            <v>#N/A</v>
          </cell>
          <cell r="AR860" t="str">
            <v>$</v>
          </cell>
          <cell r="AS860" t="e">
            <v>#N/A</v>
          </cell>
          <cell r="AW860">
            <v>0</v>
          </cell>
          <cell r="AY860" t="str">
            <v>NB</v>
          </cell>
        </row>
        <row r="861">
          <cell r="AM861">
            <v>0</v>
          </cell>
          <cell r="AP861" t="e">
            <v>#N/A</v>
          </cell>
          <cell r="AQ861" t="e">
            <v>#N/A</v>
          </cell>
          <cell r="AR861" t="str">
            <v>$</v>
          </cell>
          <cell r="AS861" t="e">
            <v>#N/A</v>
          </cell>
          <cell r="AW861">
            <v>0</v>
          </cell>
          <cell r="AY861" t="str">
            <v>NB</v>
          </cell>
        </row>
        <row r="862">
          <cell r="AM862">
            <v>0</v>
          </cell>
          <cell r="AP862" t="e">
            <v>#N/A</v>
          </cell>
          <cell r="AQ862" t="e">
            <v>#N/A</v>
          </cell>
          <cell r="AR862" t="str">
            <v>$</v>
          </cell>
          <cell r="AS862" t="e">
            <v>#N/A</v>
          </cell>
          <cell r="AW862">
            <v>0</v>
          </cell>
          <cell r="AY862" t="str">
            <v>NB</v>
          </cell>
        </row>
        <row r="863">
          <cell r="AM863">
            <v>0</v>
          </cell>
          <cell r="AP863" t="e">
            <v>#N/A</v>
          </cell>
          <cell r="AQ863" t="e">
            <v>#N/A</v>
          </cell>
          <cell r="AR863" t="str">
            <v>$</v>
          </cell>
          <cell r="AS863" t="e">
            <v>#N/A</v>
          </cell>
          <cell r="AW863">
            <v>0</v>
          </cell>
          <cell r="AY863" t="str">
            <v>NB</v>
          </cell>
        </row>
        <row r="864">
          <cell r="AM864">
            <v>0</v>
          </cell>
          <cell r="AP864" t="e">
            <v>#N/A</v>
          </cell>
          <cell r="AQ864" t="e">
            <v>#N/A</v>
          </cell>
          <cell r="AR864" t="str">
            <v>$</v>
          </cell>
          <cell r="AS864" t="e">
            <v>#N/A</v>
          </cell>
          <cell r="AW864">
            <v>0</v>
          </cell>
          <cell r="AY864" t="str">
            <v>NB</v>
          </cell>
        </row>
        <row r="865">
          <cell r="AM865">
            <v>0</v>
          </cell>
          <cell r="AP865" t="str">
            <v>Véhicules neufs</v>
          </cell>
          <cell r="AQ865" t="str">
            <v>Camions détail</v>
          </cell>
          <cell r="AR865" t="str">
            <v>$</v>
          </cell>
          <cell r="AS865">
            <v>0</v>
          </cell>
          <cell r="AW865">
            <v>0</v>
          </cell>
          <cell r="AY865" t="str">
            <v>NB</v>
          </cell>
        </row>
        <row r="866">
          <cell r="AM866">
            <v>1332030.3199999998</v>
          </cell>
          <cell r="AP866" t="str">
            <v>Véhicules neufs</v>
          </cell>
          <cell r="AQ866" t="str">
            <v>Camions electriques</v>
          </cell>
          <cell r="AR866" t="str">
            <v>$</v>
          </cell>
          <cell r="AS866">
            <v>0</v>
          </cell>
          <cell r="AW866">
            <v>0</v>
          </cell>
          <cell r="AY866" t="str">
            <v>NB</v>
          </cell>
        </row>
        <row r="867">
          <cell r="AM867">
            <v>0</v>
          </cell>
          <cell r="AP867" t="e">
            <v>#N/A</v>
          </cell>
          <cell r="AQ867" t="e">
            <v>#N/A</v>
          </cell>
          <cell r="AR867" t="str">
            <v>$</v>
          </cell>
          <cell r="AS867" t="e">
            <v>#N/A</v>
          </cell>
          <cell r="AW867">
            <v>0</v>
          </cell>
          <cell r="AY867" t="str">
            <v>NB</v>
          </cell>
        </row>
        <row r="868">
          <cell r="AM868">
            <v>0</v>
          </cell>
          <cell r="AP868" t="str">
            <v>Véhicules neufs</v>
          </cell>
          <cell r="AQ868" t="str">
            <v>Camions détail</v>
          </cell>
          <cell r="AR868" t="str">
            <v>$</v>
          </cell>
          <cell r="AS868">
            <v>0</v>
          </cell>
          <cell r="AW868">
            <v>0</v>
          </cell>
          <cell r="AY868" t="str">
            <v>NB</v>
          </cell>
        </row>
        <row r="869">
          <cell r="AM869">
            <v>0</v>
          </cell>
          <cell r="AP869" t="str">
            <v>Véhicules neufs</v>
          </cell>
          <cell r="AQ869" t="str">
            <v>Camions electriques</v>
          </cell>
          <cell r="AR869" t="str">
            <v>$</v>
          </cell>
          <cell r="AS869">
            <v>0</v>
          </cell>
          <cell r="AW869">
            <v>0</v>
          </cell>
          <cell r="AY869" t="str">
            <v>NB</v>
          </cell>
        </row>
        <row r="870">
          <cell r="AM870">
            <v>0</v>
          </cell>
          <cell r="AP870" t="e">
            <v>#N/A</v>
          </cell>
          <cell r="AQ870" t="e">
            <v>#N/A</v>
          </cell>
          <cell r="AR870" t="str">
            <v>$</v>
          </cell>
          <cell r="AS870" t="e">
            <v>#N/A</v>
          </cell>
          <cell r="AW870">
            <v>0</v>
          </cell>
          <cell r="AY870" t="str">
            <v>NB</v>
          </cell>
        </row>
        <row r="871">
          <cell r="AM871">
            <v>0</v>
          </cell>
          <cell r="AP871" t="e">
            <v>#N/A</v>
          </cell>
          <cell r="AQ871" t="e">
            <v>#N/A</v>
          </cell>
          <cell r="AR871" t="str">
            <v>$</v>
          </cell>
          <cell r="AS871" t="e">
            <v>#N/A</v>
          </cell>
          <cell r="AW871">
            <v>0</v>
          </cell>
          <cell r="AY871" t="str">
            <v>NB</v>
          </cell>
        </row>
        <row r="872">
          <cell r="AM872">
            <v>0</v>
          </cell>
          <cell r="AP872" t="str">
            <v>Véhicules neufs</v>
          </cell>
          <cell r="AQ872" t="str">
            <v>Camions détail</v>
          </cell>
          <cell r="AR872" t="str">
            <v>$</v>
          </cell>
          <cell r="AS872">
            <v>0</v>
          </cell>
          <cell r="AW872">
            <v>0</v>
          </cell>
          <cell r="AY872" t="str">
            <v>NB</v>
          </cell>
        </row>
        <row r="873">
          <cell r="AM873">
            <v>119821.76000000001</v>
          </cell>
          <cell r="AP873" t="str">
            <v>Véhicules neufs</v>
          </cell>
          <cell r="AQ873" t="str">
            <v>Camions détail</v>
          </cell>
          <cell r="AR873" t="str">
            <v>$</v>
          </cell>
          <cell r="AS873">
            <v>0</v>
          </cell>
          <cell r="AW873">
            <v>0</v>
          </cell>
          <cell r="AY873" t="str">
            <v>NB</v>
          </cell>
        </row>
        <row r="874">
          <cell r="AM874">
            <v>0</v>
          </cell>
          <cell r="AP874" t="str">
            <v>Véhicules neufs</v>
          </cell>
          <cell r="AQ874" t="str">
            <v>Camions détail</v>
          </cell>
          <cell r="AR874" t="str">
            <v>$</v>
          </cell>
          <cell r="AS874">
            <v>0</v>
          </cell>
          <cell r="AW874">
            <v>0</v>
          </cell>
          <cell r="AY874" t="str">
            <v>NB</v>
          </cell>
        </row>
        <row r="875">
          <cell r="AM875">
            <v>101285.52999999997</v>
          </cell>
          <cell r="AP875" t="str">
            <v>Véhicules neufs</v>
          </cell>
          <cell r="AQ875" t="str">
            <v>Camions détail</v>
          </cell>
          <cell r="AR875" t="str">
            <v>$</v>
          </cell>
          <cell r="AS875">
            <v>0</v>
          </cell>
          <cell r="AW875">
            <v>0</v>
          </cell>
          <cell r="AY875" t="str">
            <v>NB</v>
          </cell>
        </row>
        <row r="876">
          <cell r="AM876">
            <v>0</v>
          </cell>
          <cell r="AP876" t="e">
            <v>#N/A</v>
          </cell>
          <cell r="AQ876" t="e">
            <v>#N/A</v>
          </cell>
          <cell r="AR876" t="str">
            <v>$</v>
          </cell>
          <cell r="AS876" t="e">
            <v>#N/A</v>
          </cell>
          <cell r="AW876">
            <v>0</v>
          </cell>
          <cell r="AY876" t="str">
            <v>NB</v>
          </cell>
        </row>
        <row r="877">
          <cell r="AM877">
            <v>189000.84000000008</v>
          </cell>
          <cell r="AP877" t="str">
            <v>Véhicules neufs</v>
          </cell>
          <cell r="AQ877" t="str">
            <v>Camions détail</v>
          </cell>
          <cell r="AR877" t="str">
            <v>$</v>
          </cell>
          <cell r="AS877">
            <v>0</v>
          </cell>
          <cell r="AW877">
            <v>0</v>
          </cell>
          <cell r="AY877" t="str">
            <v>NB</v>
          </cell>
        </row>
        <row r="878">
          <cell r="AM878">
            <v>0</v>
          </cell>
          <cell r="AP878" t="str">
            <v>Véhicules neufs</v>
          </cell>
          <cell r="AQ878" t="str">
            <v>Camions détail</v>
          </cell>
          <cell r="AR878" t="str">
            <v>$</v>
          </cell>
          <cell r="AS878">
            <v>0</v>
          </cell>
          <cell r="AW878">
            <v>0</v>
          </cell>
          <cell r="AY878" t="str">
            <v>NB</v>
          </cell>
        </row>
        <row r="879">
          <cell r="AM879">
            <v>107549.04999999999</v>
          </cell>
          <cell r="AP879" t="str">
            <v>Véhicules neufs</v>
          </cell>
          <cell r="AQ879" t="str">
            <v>Camions détail</v>
          </cell>
          <cell r="AR879" t="str">
            <v>$</v>
          </cell>
          <cell r="AS879">
            <v>0</v>
          </cell>
          <cell r="AW879">
            <v>0</v>
          </cell>
          <cell r="AY879" t="str">
            <v>NB</v>
          </cell>
        </row>
        <row r="880">
          <cell r="AM880">
            <v>0</v>
          </cell>
          <cell r="AP880" t="e">
            <v>#N/A</v>
          </cell>
          <cell r="AQ880" t="e">
            <v>#N/A</v>
          </cell>
          <cell r="AR880" t="str">
            <v>$</v>
          </cell>
          <cell r="AS880" t="e">
            <v>#N/A</v>
          </cell>
          <cell r="AW880">
            <v>0</v>
          </cell>
          <cell r="AY880" t="str">
            <v>NB</v>
          </cell>
        </row>
        <row r="881">
          <cell r="AM881">
            <v>125454.62</v>
          </cell>
          <cell r="AP881" t="str">
            <v>Véhicules neufs</v>
          </cell>
          <cell r="AQ881" t="str">
            <v>Camions détail</v>
          </cell>
          <cell r="AR881" t="str">
            <v>$</v>
          </cell>
          <cell r="AS881">
            <v>0</v>
          </cell>
          <cell r="AW881">
            <v>0</v>
          </cell>
          <cell r="AY881" t="str">
            <v>NB</v>
          </cell>
        </row>
        <row r="882">
          <cell r="AM882">
            <v>0</v>
          </cell>
          <cell r="AP882" t="str">
            <v>Véhicules neufs</v>
          </cell>
          <cell r="AQ882" t="str">
            <v>Camions détail</v>
          </cell>
          <cell r="AR882" t="str">
            <v>$</v>
          </cell>
          <cell r="AS882">
            <v>0</v>
          </cell>
          <cell r="AW882">
            <v>0</v>
          </cell>
          <cell r="AY882" t="str">
            <v>NB</v>
          </cell>
        </row>
        <row r="883">
          <cell r="AM883">
            <v>409282.81999999983</v>
          </cell>
          <cell r="AP883" t="str">
            <v>Véhicules neufs</v>
          </cell>
          <cell r="AQ883" t="str">
            <v>Camions détail</v>
          </cell>
          <cell r="AR883" t="str">
            <v>$</v>
          </cell>
          <cell r="AS883">
            <v>0</v>
          </cell>
          <cell r="AW883">
            <v>0</v>
          </cell>
          <cell r="AY883" t="str">
            <v>NB</v>
          </cell>
        </row>
        <row r="884">
          <cell r="AM884">
            <v>91032.600000000035</v>
          </cell>
          <cell r="AP884" t="str">
            <v>Véhicules neufs</v>
          </cell>
          <cell r="AQ884" t="str">
            <v>Camions electriques</v>
          </cell>
          <cell r="AR884" t="str">
            <v>$</v>
          </cell>
          <cell r="AS884">
            <v>0</v>
          </cell>
          <cell r="AW884">
            <v>0</v>
          </cell>
          <cell r="AY884" t="str">
            <v>NB</v>
          </cell>
        </row>
        <row r="885">
          <cell r="AM885">
            <v>114266.01000000001</v>
          </cell>
          <cell r="AP885" t="str">
            <v>Véhicules neufs</v>
          </cell>
          <cell r="AQ885" t="str">
            <v>Camions détail</v>
          </cell>
          <cell r="AR885" t="str">
            <v>$</v>
          </cell>
          <cell r="AS885">
            <v>0</v>
          </cell>
          <cell r="AW885">
            <v>0</v>
          </cell>
          <cell r="AY885" t="str">
            <v>NB</v>
          </cell>
        </row>
        <row r="886">
          <cell r="AM886">
            <v>0</v>
          </cell>
          <cell r="AP886" t="e">
            <v>#N/A</v>
          </cell>
          <cell r="AQ886" t="e">
            <v>#N/A</v>
          </cell>
          <cell r="AR886" t="str">
            <v>$</v>
          </cell>
          <cell r="AS886" t="e">
            <v>#N/A</v>
          </cell>
          <cell r="AW886">
            <v>0</v>
          </cell>
          <cell r="AY886" t="str">
            <v>NB</v>
          </cell>
        </row>
        <row r="887">
          <cell r="AM887">
            <v>0</v>
          </cell>
          <cell r="AP887" t="str">
            <v>Véhicules neufs</v>
          </cell>
          <cell r="AQ887" t="str">
            <v>Camions détail</v>
          </cell>
          <cell r="AR887" t="str">
            <v>$</v>
          </cell>
          <cell r="AS887">
            <v>0</v>
          </cell>
          <cell r="AW887">
            <v>0</v>
          </cell>
          <cell r="AY887" t="str">
            <v>NB</v>
          </cell>
        </row>
        <row r="888">
          <cell r="AM888">
            <v>374733.36000000034</v>
          </cell>
          <cell r="AP888" t="str">
            <v>Véhicules neufs</v>
          </cell>
          <cell r="AQ888" t="str">
            <v>Camions détail</v>
          </cell>
          <cell r="AR888" t="str">
            <v>$</v>
          </cell>
          <cell r="AS888">
            <v>0</v>
          </cell>
          <cell r="AW888">
            <v>0</v>
          </cell>
          <cell r="AY888" t="str">
            <v>NB</v>
          </cell>
        </row>
        <row r="889">
          <cell r="AM889">
            <v>0</v>
          </cell>
          <cell r="AP889" t="str">
            <v>Véhicules neufs</v>
          </cell>
          <cell r="AQ889" t="str">
            <v>Camions electriques</v>
          </cell>
          <cell r="AR889" t="str">
            <v>$</v>
          </cell>
          <cell r="AS889">
            <v>0</v>
          </cell>
          <cell r="AW889">
            <v>0</v>
          </cell>
          <cell r="AY889" t="str">
            <v>NB</v>
          </cell>
        </row>
        <row r="890">
          <cell r="AM890">
            <v>0</v>
          </cell>
          <cell r="AP890" t="e">
            <v>#N/A</v>
          </cell>
          <cell r="AQ890" t="e">
            <v>#N/A</v>
          </cell>
          <cell r="AR890" t="str">
            <v>$</v>
          </cell>
          <cell r="AS890" t="e">
            <v>#N/A</v>
          </cell>
          <cell r="AW890">
            <v>0</v>
          </cell>
          <cell r="AY890" t="str">
            <v>NB</v>
          </cell>
        </row>
        <row r="891">
          <cell r="AM891">
            <v>0</v>
          </cell>
          <cell r="AP891" t="str">
            <v>Véhicules neufs</v>
          </cell>
          <cell r="AQ891" t="str">
            <v>Camions détail</v>
          </cell>
          <cell r="AR891" t="str">
            <v>$</v>
          </cell>
          <cell r="AS891">
            <v>0</v>
          </cell>
          <cell r="AW891">
            <v>0</v>
          </cell>
          <cell r="AY891" t="str">
            <v>NB</v>
          </cell>
        </row>
        <row r="892">
          <cell r="AM892">
            <v>0</v>
          </cell>
          <cell r="AP892" t="str">
            <v>Véhicules neufs</v>
          </cell>
          <cell r="AQ892" t="str">
            <v>Camions détail</v>
          </cell>
          <cell r="AR892" t="str">
            <v>$</v>
          </cell>
          <cell r="AS892">
            <v>0</v>
          </cell>
          <cell r="AW892">
            <v>0</v>
          </cell>
          <cell r="AY892" t="str">
            <v>NB</v>
          </cell>
        </row>
        <row r="893">
          <cell r="AM893">
            <v>0</v>
          </cell>
          <cell r="AP893" t="str">
            <v>Véhicules neufs</v>
          </cell>
          <cell r="AQ893" t="str">
            <v>Camions détail</v>
          </cell>
          <cell r="AR893" t="str">
            <v>$</v>
          </cell>
          <cell r="AS893">
            <v>0</v>
          </cell>
          <cell r="AW893">
            <v>0</v>
          </cell>
          <cell r="AY893" t="str">
            <v>NB</v>
          </cell>
        </row>
        <row r="894">
          <cell r="AM894">
            <v>0</v>
          </cell>
          <cell r="AP894" t="str">
            <v>Véhicules neufs</v>
          </cell>
          <cell r="AQ894" t="str">
            <v>Camions détail</v>
          </cell>
          <cell r="AR894" t="str">
            <v>$</v>
          </cell>
          <cell r="AS894">
            <v>0</v>
          </cell>
          <cell r="AW894">
            <v>0</v>
          </cell>
          <cell r="AY894" t="str">
            <v>NB</v>
          </cell>
        </row>
        <row r="895">
          <cell r="AM895">
            <v>59638.140000000014</v>
          </cell>
          <cell r="AP895" t="str">
            <v>Véhicules neufs</v>
          </cell>
          <cell r="AQ895" t="str">
            <v>Camions electriques</v>
          </cell>
          <cell r="AR895" t="str">
            <v>$</v>
          </cell>
          <cell r="AS895">
            <v>0</v>
          </cell>
          <cell r="AW895">
            <v>0</v>
          </cell>
          <cell r="AY895" t="str">
            <v>NB</v>
          </cell>
        </row>
        <row r="896">
          <cell r="AM896">
            <v>0</v>
          </cell>
          <cell r="AP896" t="e">
            <v>#N/A</v>
          </cell>
          <cell r="AQ896" t="e">
            <v>#N/A</v>
          </cell>
          <cell r="AR896" t="str">
            <v>$</v>
          </cell>
          <cell r="AS896" t="e">
            <v>#N/A</v>
          </cell>
          <cell r="AW896">
            <v>0</v>
          </cell>
          <cell r="AY896" t="str">
            <v>NB</v>
          </cell>
        </row>
        <row r="897">
          <cell r="AM897">
            <v>0</v>
          </cell>
          <cell r="AP897" t="str">
            <v>Véhicules neufs</v>
          </cell>
          <cell r="AQ897" t="str">
            <v>Camions détail</v>
          </cell>
          <cell r="AR897" t="str">
            <v>$</v>
          </cell>
          <cell r="AS897">
            <v>0</v>
          </cell>
          <cell r="AW897">
            <v>0</v>
          </cell>
          <cell r="AY897" t="str">
            <v>NB</v>
          </cell>
        </row>
        <row r="898">
          <cell r="AM898">
            <v>491891.60000000009</v>
          </cell>
          <cell r="AP898" t="str">
            <v>Véhicules neufs</v>
          </cell>
          <cell r="AQ898" t="str">
            <v>Camions electriques</v>
          </cell>
          <cell r="AR898" t="str">
            <v>$</v>
          </cell>
          <cell r="AS898">
            <v>0</v>
          </cell>
          <cell r="AW898">
            <v>0</v>
          </cell>
          <cell r="AY898" t="str">
            <v>NB</v>
          </cell>
        </row>
        <row r="899">
          <cell r="AM899">
            <v>0</v>
          </cell>
          <cell r="AP899" t="e">
            <v>#N/A</v>
          </cell>
          <cell r="AQ899" t="e">
            <v>#N/A</v>
          </cell>
          <cell r="AR899" t="str">
            <v>$</v>
          </cell>
          <cell r="AS899" t="e">
            <v>#N/A</v>
          </cell>
          <cell r="AW899">
            <v>0</v>
          </cell>
          <cell r="AY899" t="str">
            <v>NB</v>
          </cell>
        </row>
        <row r="900">
          <cell r="AM900">
            <v>0</v>
          </cell>
          <cell r="AP900" t="str">
            <v>Véhicules neufs</v>
          </cell>
          <cell r="AQ900" t="str">
            <v>Camions détail</v>
          </cell>
          <cell r="AR900" t="str">
            <v>$</v>
          </cell>
          <cell r="AS900">
            <v>0</v>
          </cell>
          <cell r="AW900">
            <v>0</v>
          </cell>
          <cell r="AY900" t="str">
            <v>NB</v>
          </cell>
        </row>
        <row r="901">
          <cell r="AM901">
            <v>130146.48999999999</v>
          </cell>
          <cell r="AP901" t="str">
            <v>Véhicules neufs</v>
          </cell>
          <cell r="AQ901" t="str">
            <v>Camions electriques</v>
          </cell>
          <cell r="AR901" t="str">
            <v>$</v>
          </cell>
          <cell r="AS901">
            <v>0</v>
          </cell>
          <cell r="AW901">
            <v>0</v>
          </cell>
          <cell r="AY901" t="str">
            <v>NB</v>
          </cell>
        </row>
        <row r="902">
          <cell r="AM902">
            <v>0</v>
          </cell>
          <cell r="AP902" t="e">
            <v>#N/A</v>
          </cell>
          <cell r="AQ902" t="e">
            <v>#N/A</v>
          </cell>
          <cell r="AR902" t="str">
            <v>$</v>
          </cell>
          <cell r="AS902" t="e">
            <v>#N/A</v>
          </cell>
          <cell r="AW902">
            <v>0</v>
          </cell>
          <cell r="AY902" t="str">
            <v>NB</v>
          </cell>
        </row>
        <row r="903">
          <cell r="AM903">
            <v>78435.079999999987</v>
          </cell>
          <cell r="AP903" t="str">
            <v>Véhicules neufs</v>
          </cell>
          <cell r="AQ903" t="str">
            <v>Camions détail</v>
          </cell>
          <cell r="AR903" t="str">
            <v>$</v>
          </cell>
          <cell r="AS903">
            <v>0</v>
          </cell>
          <cell r="AW903">
            <v>0</v>
          </cell>
          <cell r="AY903" t="str">
            <v>NB</v>
          </cell>
        </row>
        <row r="904">
          <cell r="AM904">
            <v>71573</v>
          </cell>
          <cell r="AP904" t="str">
            <v>Véhicules neufs</v>
          </cell>
          <cell r="AQ904" t="str">
            <v>Camions détail</v>
          </cell>
          <cell r="AR904" t="str">
            <v>$</v>
          </cell>
          <cell r="AS904">
            <v>0</v>
          </cell>
          <cell r="AW904">
            <v>0</v>
          </cell>
          <cell r="AY904" t="str">
            <v>NB</v>
          </cell>
        </row>
        <row r="905">
          <cell r="AM905">
            <v>0</v>
          </cell>
          <cell r="AP905" t="e">
            <v>#N/A</v>
          </cell>
          <cell r="AQ905" t="e">
            <v>#N/A</v>
          </cell>
          <cell r="AR905" t="str">
            <v>$</v>
          </cell>
          <cell r="AS905" t="e">
            <v>#N/A</v>
          </cell>
          <cell r="AW905">
            <v>0</v>
          </cell>
          <cell r="AY905" t="str">
            <v>NB</v>
          </cell>
        </row>
        <row r="906">
          <cell r="AM906">
            <v>0</v>
          </cell>
          <cell r="AP906" t="e">
            <v>#N/A</v>
          </cell>
          <cell r="AQ906" t="e">
            <v>#N/A</v>
          </cell>
          <cell r="AR906" t="str">
            <v>$</v>
          </cell>
          <cell r="AS906" t="e">
            <v>#N/A</v>
          </cell>
          <cell r="AW906">
            <v>0</v>
          </cell>
          <cell r="AY906" t="str">
            <v>NB</v>
          </cell>
        </row>
        <row r="907">
          <cell r="AM907">
            <v>3087664.4799999967</v>
          </cell>
          <cell r="AP907" t="str">
            <v>Véhicules neufs</v>
          </cell>
          <cell r="AQ907" t="str">
            <v>Flottes</v>
          </cell>
          <cell r="AR907" t="str">
            <v>$</v>
          </cell>
          <cell r="AS907">
            <v>0</v>
          </cell>
          <cell r="AW907">
            <v>0</v>
          </cell>
          <cell r="AY907" t="str">
            <v>NB</v>
          </cell>
        </row>
        <row r="908">
          <cell r="AM908">
            <v>0</v>
          </cell>
          <cell r="AP908" t="str">
            <v>Véhicules neufs</v>
          </cell>
          <cell r="AQ908" t="str">
            <v>Flottes</v>
          </cell>
          <cell r="AR908" t="str">
            <v>$</v>
          </cell>
          <cell r="AS908">
            <v>0</v>
          </cell>
          <cell r="AW908">
            <v>0</v>
          </cell>
          <cell r="AY908" t="str">
            <v>NB</v>
          </cell>
        </row>
        <row r="909">
          <cell r="AM909">
            <v>0</v>
          </cell>
          <cell r="AP909" t="e">
            <v>#N/A</v>
          </cell>
          <cell r="AQ909" t="e">
            <v>#N/A</v>
          </cell>
          <cell r="AR909" t="str">
            <v>$</v>
          </cell>
          <cell r="AS909" t="e">
            <v>#N/A</v>
          </cell>
          <cell r="AW909">
            <v>0</v>
          </cell>
          <cell r="AY909" t="str">
            <v>NB</v>
          </cell>
        </row>
        <row r="910">
          <cell r="AM910">
            <v>47993.130000000005</v>
          </cell>
          <cell r="AP910" t="str">
            <v>Véhicules neufs</v>
          </cell>
          <cell r="AQ910" t="str">
            <v>Rev. Protections</v>
          </cell>
          <cell r="AR910" t="str">
            <v>$</v>
          </cell>
          <cell r="AS910">
            <v>0</v>
          </cell>
          <cell r="AW910">
            <v>0</v>
          </cell>
          <cell r="AY910" t="str">
            <v>NB</v>
          </cell>
        </row>
        <row r="911">
          <cell r="AM911">
            <v>0</v>
          </cell>
          <cell r="AP911" t="e">
            <v>#N/A</v>
          </cell>
          <cell r="AQ911" t="e">
            <v>#N/A</v>
          </cell>
          <cell r="AR911" t="str">
            <v>$</v>
          </cell>
          <cell r="AS911" t="e">
            <v>#N/A</v>
          </cell>
          <cell r="AW911">
            <v>0</v>
          </cell>
          <cell r="AY911" t="str">
            <v>NB</v>
          </cell>
        </row>
        <row r="912">
          <cell r="AM912">
            <v>0</v>
          </cell>
          <cell r="AP912" t="e">
            <v>#N/A</v>
          </cell>
          <cell r="AQ912" t="e">
            <v>#N/A</v>
          </cell>
          <cell r="AR912" t="str">
            <v>$</v>
          </cell>
          <cell r="AS912" t="e">
            <v>#N/A</v>
          </cell>
          <cell r="AW912">
            <v>0</v>
          </cell>
          <cell r="AY912" t="str">
            <v>NB</v>
          </cell>
        </row>
        <row r="913">
          <cell r="AM913">
            <v>0</v>
          </cell>
          <cell r="AP913" t="e">
            <v>#N/A</v>
          </cell>
          <cell r="AQ913" t="e">
            <v>#N/A</v>
          </cell>
          <cell r="AR913" t="str">
            <v>$</v>
          </cell>
          <cell r="AS913" t="e">
            <v>#N/A</v>
          </cell>
          <cell r="AW913">
            <v>0</v>
          </cell>
          <cell r="AY913" t="str">
            <v>NB</v>
          </cell>
        </row>
        <row r="914">
          <cell r="AM914">
            <v>0</v>
          </cell>
          <cell r="AP914" t="e">
            <v>#N/A</v>
          </cell>
          <cell r="AQ914" t="e">
            <v>#N/A</v>
          </cell>
          <cell r="AR914" t="str">
            <v>$</v>
          </cell>
          <cell r="AS914" t="e">
            <v>#N/A</v>
          </cell>
          <cell r="AW914">
            <v>0</v>
          </cell>
          <cell r="AY914" t="str">
            <v>NB</v>
          </cell>
        </row>
        <row r="915">
          <cell r="AM915">
            <v>0</v>
          </cell>
          <cell r="AP915" t="e">
            <v>#N/A</v>
          </cell>
          <cell r="AQ915" t="e">
            <v>#N/A</v>
          </cell>
          <cell r="AR915" t="str">
            <v>$</v>
          </cell>
          <cell r="AS915" t="e">
            <v>#N/A</v>
          </cell>
          <cell r="AW915">
            <v>0</v>
          </cell>
          <cell r="AY915" t="str">
            <v>NB</v>
          </cell>
        </row>
        <row r="916">
          <cell r="AM916">
            <v>0</v>
          </cell>
          <cell r="AP916" t="e">
            <v>#N/A</v>
          </cell>
          <cell r="AQ916" t="e">
            <v>#N/A</v>
          </cell>
          <cell r="AR916" t="str">
            <v>$</v>
          </cell>
          <cell r="AS916" t="e">
            <v>#N/A</v>
          </cell>
          <cell r="AW916">
            <v>0</v>
          </cell>
          <cell r="AY916" t="str">
            <v>NB</v>
          </cell>
        </row>
        <row r="917">
          <cell r="AM917">
            <v>0</v>
          </cell>
          <cell r="AP917" t="str">
            <v>Véhicules neufs</v>
          </cell>
          <cell r="AQ917" t="str">
            <v>Rev. Protections</v>
          </cell>
          <cell r="AR917" t="str">
            <v>$</v>
          </cell>
          <cell r="AS917">
            <v>0</v>
          </cell>
          <cell r="AW917">
            <v>0</v>
          </cell>
          <cell r="AY917" t="str">
            <v>NB</v>
          </cell>
        </row>
        <row r="918">
          <cell r="AM918">
            <v>0</v>
          </cell>
          <cell r="AP918" t="e">
            <v>#N/A</v>
          </cell>
          <cell r="AQ918" t="e">
            <v>#N/A</v>
          </cell>
          <cell r="AR918" t="str">
            <v>$</v>
          </cell>
          <cell r="AS918" t="e">
            <v>#N/A</v>
          </cell>
          <cell r="AW918">
            <v>0</v>
          </cell>
          <cell r="AY918" t="str">
            <v>NB</v>
          </cell>
        </row>
        <row r="919">
          <cell r="AM919">
            <v>0</v>
          </cell>
          <cell r="AP919" t="e">
            <v>#N/A</v>
          </cell>
          <cell r="AQ919" t="e">
            <v>#N/A</v>
          </cell>
          <cell r="AR919" t="str">
            <v>$</v>
          </cell>
          <cell r="AS919" t="e">
            <v>#N/A</v>
          </cell>
          <cell r="AW919">
            <v>0</v>
          </cell>
          <cell r="AY919" t="str">
            <v>NB</v>
          </cell>
        </row>
        <row r="920">
          <cell r="AM920">
            <v>0</v>
          </cell>
          <cell r="AP920" t="e">
            <v>#N/A</v>
          </cell>
          <cell r="AQ920" t="e">
            <v>#N/A</v>
          </cell>
          <cell r="AR920" t="str">
            <v>$</v>
          </cell>
          <cell r="AS920" t="e">
            <v>#N/A</v>
          </cell>
          <cell r="AW920">
            <v>0</v>
          </cell>
          <cell r="AY920" t="str">
            <v>NB</v>
          </cell>
        </row>
        <row r="921">
          <cell r="AM921">
            <v>0</v>
          </cell>
          <cell r="AP921" t="e">
            <v>#N/A</v>
          </cell>
          <cell r="AQ921" t="e">
            <v>#N/A</v>
          </cell>
          <cell r="AR921" t="str">
            <v>$</v>
          </cell>
          <cell r="AS921" t="e">
            <v>#N/A</v>
          </cell>
          <cell r="AW921">
            <v>0</v>
          </cell>
          <cell r="AY921" t="str">
            <v>NB</v>
          </cell>
        </row>
        <row r="922">
          <cell r="AM922">
            <v>0</v>
          </cell>
          <cell r="AP922" t="e">
            <v>#N/A</v>
          </cell>
          <cell r="AQ922" t="e">
            <v>#N/A</v>
          </cell>
          <cell r="AR922" t="str">
            <v>$</v>
          </cell>
          <cell r="AS922" t="e">
            <v>#N/A</v>
          </cell>
          <cell r="AW922">
            <v>0</v>
          </cell>
          <cell r="AY922" t="str">
            <v>NB</v>
          </cell>
        </row>
        <row r="923">
          <cell r="AM923">
            <v>375</v>
          </cell>
          <cell r="AP923" t="str">
            <v>Véhicules neufs</v>
          </cell>
          <cell r="AQ923" t="str">
            <v>Rev. Autres</v>
          </cell>
          <cell r="AR923" t="str">
            <v>$</v>
          </cell>
          <cell r="AS923">
            <v>0</v>
          </cell>
          <cell r="AW923">
            <v>0</v>
          </cell>
          <cell r="AY923" t="str">
            <v>NB</v>
          </cell>
        </row>
        <row r="924">
          <cell r="AM924">
            <v>120</v>
          </cell>
          <cell r="AP924" t="str">
            <v>Véhicules neufs</v>
          </cell>
          <cell r="AQ924" t="str">
            <v>Rev. Autres</v>
          </cell>
          <cell r="AR924" t="str">
            <v>$</v>
          </cell>
          <cell r="AS924">
            <v>0</v>
          </cell>
          <cell r="AW924">
            <v>0</v>
          </cell>
          <cell r="AY924" t="str">
            <v>NB</v>
          </cell>
        </row>
        <row r="925">
          <cell r="AM925">
            <v>1337.7000000000007</v>
          </cell>
          <cell r="AP925" t="str">
            <v>Véhicules neufs</v>
          </cell>
          <cell r="AQ925" t="str">
            <v>Rev. Protections</v>
          </cell>
          <cell r="AR925" t="str">
            <v>$</v>
          </cell>
          <cell r="AS925">
            <v>0</v>
          </cell>
          <cell r="AW925">
            <v>0</v>
          </cell>
          <cell r="AY925" t="str">
            <v>NB</v>
          </cell>
        </row>
        <row r="926">
          <cell r="AM926">
            <v>0</v>
          </cell>
          <cell r="AP926" t="str">
            <v>Véhicules neufs</v>
          </cell>
          <cell r="AQ926" t="str">
            <v>Rev. Autres</v>
          </cell>
          <cell r="AR926" t="str">
            <v>$</v>
          </cell>
          <cell r="AS926">
            <v>0</v>
          </cell>
          <cell r="AW926">
            <v>0</v>
          </cell>
          <cell r="AY926" t="str">
            <v>NB</v>
          </cell>
        </row>
        <row r="927">
          <cell r="AM927">
            <v>0</v>
          </cell>
          <cell r="AP927" t="str">
            <v>Véhicules usagés</v>
          </cell>
          <cell r="AQ927" t="str">
            <v>Certifié</v>
          </cell>
          <cell r="AR927" t="str">
            <v>$</v>
          </cell>
          <cell r="AS927">
            <v>0</v>
          </cell>
          <cell r="AW927">
            <v>0</v>
          </cell>
          <cell r="AY927" t="str">
            <v>NB</v>
          </cell>
        </row>
        <row r="928">
          <cell r="AM928">
            <v>66822.089999999967</v>
          </cell>
          <cell r="AP928" t="str">
            <v>Véhicules usagés</v>
          </cell>
          <cell r="AQ928" t="str">
            <v>Non Certifié</v>
          </cell>
          <cell r="AR928" t="str">
            <v>$</v>
          </cell>
          <cell r="AS928">
            <v>0</v>
          </cell>
          <cell r="AW928">
            <v>0</v>
          </cell>
          <cell r="AY928" t="str">
            <v>NB</v>
          </cell>
        </row>
        <row r="929">
          <cell r="AM929">
            <v>0</v>
          </cell>
          <cell r="AP929" t="str">
            <v>Véhicules usagés</v>
          </cell>
          <cell r="AQ929" t="str">
            <v>Autres Marques</v>
          </cell>
          <cell r="AR929" t="str">
            <v>$</v>
          </cell>
          <cell r="AS929">
            <v>0</v>
          </cell>
          <cell r="AW929">
            <v>0</v>
          </cell>
          <cell r="AY929" t="str">
            <v>NB</v>
          </cell>
        </row>
        <row r="930">
          <cell r="AM930">
            <v>0</v>
          </cell>
          <cell r="AP930">
            <v>0</v>
          </cell>
          <cell r="AQ930">
            <v>0</v>
          </cell>
          <cell r="AR930" t="str">
            <v>$</v>
          </cell>
          <cell r="AS930">
            <v>0</v>
          </cell>
          <cell r="AW930">
            <v>0</v>
          </cell>
          <cell r="AY930" t="str">
            <v>NB</v>
          </cell>
        </row>
        <row r="931">
          <cell r="AM931">
            <v>0</v>
          </cell>
          <cell r="AP931" t="str">
            <v>Véhicules usagés</v>
          </cell>
          <cell r="AQ931" t="str">
            <v>Certifié</v>
          </cell>
          <cell r="AR931" t="str">
            <v>$</v>
          </cell>
          <cell r="AS931">
            <v>0</v>
          </cell>
          <cell r="AW931">
            <v>0</v>
          </cell>
          <cell r="AY931" t="str">
            <v>NB</v>
          </cell>
        </row>
        <row r="932">
          <cell r="AM932">
            <v>0</v>
          </cell>
          <cell r="AP932">
            <v>0</v>
          </cell>
          <cell r="AQ932">
            <v>0</v>
          </cell>
          <cell r="AR932" t="str">
            <v>$</v>
          </cell>
          <cell r="AS932">
            <v>0</v>
          </cell>
          <cell r="AW932">
            <v>0</v>
          </cell>
          <cell r="AY932" t="str">
            <v>NB</v>
          </cell>
        </row>
        <row r="933">
          <cell r="AM933">
            <v>0</v>
          </cell>
          <cell r="AP933">
            <v>0</v>
          </cell>
          <cell r="AQ933">
            <v>0</v>
          </cell>
          <cell r="AR933" t="str">
            <v>$</v>
          </cell>
          <cell r="AS933">
            <v>0</v>
          </cell>
          <cell r="AW933">
            <v>0</v>
          </cell>
          <cell r="AY933" t="str">
            <v>NB</v>
          </cell>
        </row>
        <row r="934">
          <cell r="AM934">
            <v>0</v>
          </cell>
          <cell r="AP934">
            <v>0</v>
          </cell>
          <cell r="AQ934">
            <v>0</v>
          </cell>
          <cell r="AR934" t="str">
            <v>$</v>
          </cell>
          <cell r="AS934">
            <v>0</v>
          </cell>
          <cell r="AW934">
            <v>0</v>
          </cell>
          <cell r="AY934" t="str">
            <v>NB</v>
          </cell>
        </row>
        <row r="935">
          <cell r="AM935">
            <v>164575</v>
          </cell>
          <cell r="AP935" t="str">
            <v>Véhicules usagés</v>
          </cell>
          <cell r="AQ935" t="str">
            <v>Ventes au Gros</v>
          </cell>
          <cell r="AR935" t="str">
            <v>$</v>
          </cell>
          <cell r="AS935">
            <v>0</v>
          </cell>
          <cell r="AW935">
            <v>0</v>
          </cell>
          <cell r="AY935" t="str">
            <v>NB</v>
          </cell>
        </row>
        <row r="936">
          <cell r="AM936">
            <v>0</v>
          </cell>
          <cell r="AP936">
            <v>0</v>
          </cell>
          <cell r="AQ936">
            <v>0</v>
          </cell>
          <cell r="AR936" t="str">
            <v>$</v>
          </cell>
          <cell r="AS936">
            <v>0</v>
          </cell>
          <cell r="AW936">
            <v>0</v>
          </cell>
          <cell r="AY936" t="str">
            <v>NB</v>
          </cell>
        </row>
        <row r="937">
          <cell r="AM937">
            <v>0</v>
          </cell>
          <cell r="AP937" t="str">
            <v>Véhicules usagés</v>
          </cell>
          <cell r="AQ937" t="str">
            <v>Ventes au Gros</v>
          </cell>
          <cell r="AR937" t="str">
            <v>$</v>
          </cell>
          <cell r="AS937" t="str">
            <v>Oui</v>
          </cell>
          <cell r="AW937">
            <v>0</v>
          </cell>
          <cell r="AY937" t="str">
            <v>NB</v>
          </cell>
        </row>
        <row r="938">
          <cell r="AM938">
            <v>499160.00999999978</v>
          </cell>
          <cell r="AP938" t="str">
            <v>Véhicules usagés</v>
          </cell>
          <cell r="AQ938" t="str">
            <v>Non Certifié</v>
          </cell>
          <cell r="AR938" t="str">
            <v>$</v>
          </cell>
          <cell r="AS938">
            <v>0</v>
          </cell>
          <cell r="AW938">
            <v>0</v>
          </cell>
          <cell r="AY938" t="str">
            <v>NB</v>
          </cell>
        </row>
        <row r="939">
          <cell r="AM939">
            <v>0</v>
          </cell>
          <cell r="AP939" t="str">
            <v>Véhicules usagés</v>
          </cell>
          <cell r="AQ939" t="str">
            <v>Autres Marques</v>
          </cell>
          <cell r="AR939" t="str">
            <v>$</v>
          </cell>
          <cell r="AS939">
            <v>0</v>
          </cell>
          <cell r="AW939">
            <v>0</v>
          </cell>
          <cell r="AY939" t="str">
            <v>NB</v>
          </cell>
        </row>
        <row r="940">
          <cell r="AM940">
            <v>0</v>
          </cell>
          <cell r="AP940" t="str">
            <v>Véhicules usagés</v>
          </cell>
          <cell r="AQ940" t="str">
            <v>Rachat bail</v>
          </cell>
          <cell r="AR940" t="str">
            <v>$</v>
          </cell>
          <cell r="AS940">
            <v>0</v>
          </cell>
          <cell r="AW940">
            <v>0</v>
          </cell>
          <cell r="AY940" t="str">
            <v>NB</v>
          </cell>
        </row>
        <row r="941">
          <cell r="AM941">
            <v>0</v>
          </cell>
          <cell r="AP941" t="e">
            <v>#N/A</v>
          </cell>
          <cell r="AQ941" t="e">
            <v>#N/A</v>
          </cell>
          <cell r="AR941" t="str">
            <v>$</v>
          </cell>
          <cell r="AS941" t="e">
            <v>#N/A</v>
          </cell>
          <cell r="AW941">
            <v>0</v>
          </cell>
          <cell r="AY941" t="str">
            <v>NB</v>
          </cell>
        </row>
        <row r="942">
          <cell r="AM942">
            <v>0</v>
          </cell>
          <cell r="AP942">
            <v>0</v>
          </cell>
          <cell r="AQ942">
            <v>0</v>
          </cell>
          <cell r="AR942" t="str">
            <v>$</v>
          </cell>
          <cell r="AS942">
            <v>0</v>
          </cell>
          <cell r="AW942">
            <v>0</v>
          </cell>
          <cell r="AY942" t="str">
            <v>NB</v>
          </cell>
        </row>
        <row r="943">
          <cell r="AM943">
            <v>0</v>
          </cell>
          <cell r="AP943">
            <v>0</v>
          </cell>
          <cell r="AQ943">
            <v>0</v>
          </cell>
          <cell r="AR943" t="str">
            <v>$</v>
          </cell>
          <cell r="AS943">
            <v>0</v>
          </cell>
          <cell r="AW943">
            <v>0</v>
          </cell>
          <cell r="AY943" t="str">
            <v>NB</v>
          </cell>
        </row>
        <row r="944">
          <cell r="AM944">
            <v>0</v>
          </cell>
          <cell r="AP944">
            <v>0</v>
          </cell>
          <cell r="AQ944">
            <v>0</v>
          </cell>
          <cell r="AR944" t="str">
            <v>$</v>
          </cell>
          <cell r="AS944">
            <v>0</v>
          </cell>
          <cell r="AW944">
            <v>0</v>
          </cell>
          <cell r="AY944" t="str">
            <v>NB</v>
          </cell>
        </row>
        <row r="945">
          <cell r="AM945">
            <v>633649.70000000019</v>
          </cell>
          <cell r="AP945" t="str">
            <v>Véhicules usagés</v>
          </cell>
          <cell r="AQ945" t="str">
            <v>Ventes au Gros</v>
          </cell>
          <cell r="AR945" t="str">
            <v>$</v>
          </cell>
          <cell r="AS945">
            <v>0</v>
          </cell>
          <cell r="AW945">
            <v>0</v>
          </cell>
          <cell r="AY945" t="str">
            <v>NB</v>
          </cell>
        </row>
        <row r="946">
          <cell r="AM946">
            <v>372500</v>
          </cell>
          <cell r="AP946" t="str">
            <v>Wholesale autres</v>
          </cell>
          <cell r="AQ946" t="str">
            <v>Wholesale Luxueux</v>
          </cell>
          <cell r="AR946" t="str">
            <v>$</v>
          </cell>
          <cell r="AS946">
            <v>0</v>
          </cell>
          <cell r="AW946">
            <v>0</v>
          </cell>
          <cell r="AY946" t="str">
            <v>NB</v>
          </cell>
        </row>
        <row r="947">
          <cell r="AM947">
            <v>0</v>
          </cell>
          <cell r="AP947" t="str">
            <v>Wholesale autres</v>
          </cell>
          <cell r="AQ947" t="str">
            <v>Wholesale Luxueux</v>
          </cell>
          <cell r="AR947" t="str">
            <v>$</v>
          </cell>
          <cell r="AS947">
            <v>0</v>
          </cell>
          <cell r="AW947">
            <v>0</v>
          </cell>
          <cell r="AY947" t="str">
            <v>NB</v>
          </cell>
        </row>
        <row r="948">
          <cell r="AM948">
            <v>0</v>
          </cell>
          <cell r="AP948">
            <v>0</v>
          </cell>
          <cell r="AQ948">
            <v>0</v>
          </cell>
          <cell r="AR948" t="str">
            <v>$</v>
          </cell>
          <cell r="AS948">
            <v>0</v>
          </cell>
          <cell r="AW948">
            <v>0</v>
          </cell>
          <cell r="AY948" t="str">
            <v>NB</v>
          </cell>
        </row>
        <row r="949">
          <cell r="AM949">
            <v>0</v>
          </cell>
          <cell r="AP949" t="e">
            <v>#N/A</v>
          </cell>
          <cell r="AQ949" t="e">
            <v>#N/A</v>
          </cell>
          <cell r="AR949" t="str">
            <v>$</v>
          </cell>
          <cell r="AS949" t="e">
            <v>#N/A</v>
          </cell>
          <cell r="AW949">
            <v>0</v>
          </cell>
          <cell r="AY949" t="str">
            <v>NB</v>
          </cell>
        </row>
        <row r="950">
          <cell r="AM950">
            <v>0</v>
          </cell>
          <cell r="AP950" t="e">
            <v>#N/A</v>
          </cell>
          <cell r="AQ950" t="e">
            <v>#N/A</v>
          </cell>
          <cell r="AR950" t="str">
            <v>$</v>
          </cell>
          <cell r="AS950" t="e">
            <v>#N/A</v>
          </cell>
          <cell r="AW950">
            <v>0</v>
          </cell>
          <cell r="AY950" t="str">
            <v>NB</v>
          </cell>
        </row>
        <row r="951">
          <cell r="AM951">
            <v>959</v>
          </cell>
          <cell r="AP951" t="str">
            <v>Véhicules usagés</v>
          </cell>
          <cell r="AQ951" t="str">
            <v>Rev. Protections</v>
          </cell>
          <cell r="AR951" t="str">
            <v>$</v>
          </cell>
          <cell r="AS951">
            <v>0</v>
          </cell>
          <cell r="AW951">
            <v>0</v>
          </cell>
          <cell r="AY951" t="str">
            <v>NB</v>
          </cell>
        </row>
        <row r="952">
          <cell r="AM952">
            <v>0</v>
          </cell>
          <cell r="AP952" t="str">
            <v>Véhicules usagés</v>
          </cell>
          <cell r="AQ952" t="str">
            <v>Rev. Protections</v>
          </cell>
          <cell r="AR952" t="str">
            <v>$</v>
          </cell>
          <cell r="AS952">
            <v>0</v>
          </cell>
          <cell r="AW952">
            <v>0</v>
          </cell>
          <cell r="AY952" t="str">
            <v>NB</v>
          </cell>
        </row>
        <row r="953">
          <cell r="AM953">
            <v>0</v>
          </cell>
          <cell r="AP953" t="e">
            <v>#N/A</v>
          </cell>
          <cell r="AQ953" t="e">
            <v>#N/A</v>
          </cell>
          <cell r="AR953" t="str">
            <v>$</v>
          </cell>
          <cell r="AS953" t="e">
            <v>#N/A</v>
          </cell>
          <cell r="AW953">
            <v>0</v>
          </cell>
          <cell r="AY953" t="str">
            <v>NB</v>
          </cell>
        </row>
        <row r="954">
          <cell r="AM954">
            <v>0</v>
          </cell>
          <cell r="AP954" t="str">
            <v>Véhicules usagés</v>
          </cell>
          <cell r="AQ954" t="str">
            <v>Rev. Protections</v>
          </cell>
          <cell r="AR954" t="str">
            <v>$</v>
          </cell>
          <cell r="AS954">
            <v>0</v>
          </cell>
          <cell r="AW954">
            <v>0</v>
          </cell>
          <cell r="AY954" t="str">
            <v>NB</v>
          </cell>
        </row>
        <row r="955">
          <cell r="AM955">
            <v>0</v>
          </cell>
          <cell r="AP955" t="e">
            <v>#N/A</v>
          </cell>
          <cell r="AQ955" t="e">
            <v>#N/A</v>
          </cell>
          <cell r="AR955" t="str">
            <v>$</v>
          </cell>
          <cell r="AS955" t="e">
            <v>#N/A</v>
          </cell>
          <cell r="AW955">
            <v>0</v>
          </cell>
          <cell r="AY955" t="str">
            <v>NB</v>
          </cell>
        </row>
        <row r="956">
          <cell r="AM956">
            <v>0</v>
          </cell>
          <cell r="AP956" t="e">
            <v>#N/A</v>
          </cell>
          <cell r="AQ956" t="e">
            <v>#N/A</v>
          </cell>
          <cell r="AR956" t="str">
            <v>$</v>
          </cell>
          <cell r="AS956" t="e">
            <v>#N/A</v>
          </cell>
          <cell r="AW956">
            <v>0</v>
          </cell>
          <cell r="AY956" t="str">
            <v>NB</v>
          </cell>
        </row>
        <row r="957">
          <cell r="AM957">
            <v>0</v>
          </cell>
          <cell r="AP957" t="e">
            <v>#N/A</v>
          </cell>
          <cell r="AQ957" t="e">
            <v>#N/A</v>
          </cell>
          <cell r="AR957" t="str">
            <v>$</v>
          </cell>
          <cell r="AS957" t="e">
            <v>#N/A</v>
          </cell>
          <cell r="AW957">
            <v>0</v>
          </cell>
          <cell r="AY957" t="str">
            <v>NB</v>
          </cell>
        </row>
        <row r="958">
          <cell r="AM958">
            <v>0</v>
          </cell>
          <cell r="AP958" t="e">
            <v>#N/A</v>
          </cell>
          <cell r="AQ958" t="e">
            <v>#N/A</v>
          </cell>
          <cell r="AR958" t="str">
            <v>$</v>
          </cell>
          <cell r="AS958" t="e">
            <v>#N/A</v>
          </cell>
          <cell r="AW958">
            <v>0</v>
          </cell>
          <cell r="AY958" t="str">
            <v>NB</v>
          </cell>
        </row>
        <row r="959">
          <cell r="AM959">
            <v>0</v>
          </cell>
          <cell r="AP959" t="e">
            <v>#N/A</v>
          </cell>
          <cell r="AQ959" t="e">
            <v>#N/A</v>
          </cell>
          <cell r="AR959" t="str">
            <v>$</v>
          </cell>
          <cell r="AS959" t="e">
            <v>#N/A</v>
          </cell>
          <cell r="AW959">
            <v>0</v>
          </cell>
          <cell r="AY959" t="str">
            <v>NB</v>
          </cell>
        </row>
        <row r="960">
          <cell r="AM960">
            <v>0</v>
          </cell>
          <cell r="AP960" t="str">
            <v>Véhicules usagés</v>
          </cell>
          <cell r="AQ960" t="str">
            <v>Rev. Protections</v>
          </cell>
          <cell r="AR960" t="str">
            <v>$</v>
          </cell>
          <cell r="AS960">
            <v>0</v>
          </cell>
          <cell r="AW960">
            <v>0</v>
          </cell>
          <cell r="AY960" t="str">
            <v>NB</v>
          </cell>
        </row>
        <row r="961">
          <cell r="AM961">
            <v>0</v>
          </cell>
          <cell r="AP961" t="e">
            <v>#N/A</v>
          </cell>
          <cell r="AQ961" t="e">
            <v>#N/A</v>
          </cell>
          <cell r="AR961" t="str">
            <v>$</v>
          </cell>
          <cell r="AS961" t="e">
            <v>#N/A</v>
          </cell>
          <cell r="AW961">
            <v>0</v>
          </cell>
          <cell r="AY961" t="str">
            <v>NB</v>
          </cell>
        </row>
        <row r="962">
          <cell r="AM962">
            <v>0</v>
          </cell>
          <cell r="AP962" t="e">
            <v>#N/A</v>
          </cell>
          <cell r="AQ962" t="e">
            <v>#N/A</v>
          </cell>
          <cell r="AR962" t="str">
            <v>$</v>
          </cell>
          <cell r="AS962" t="e">
            <v>#N/A</v>
          </cell>
          <cell r="AW962">
            <v>0</v>
          </cell>
          <cell r="AY962" t="str">
            <v>NB</v>
          </cell>
        </row>
        <row r="963">
          <cell r="AM963">
            <v>0</v>
          </cell>
          <cell r="AP963" t="e">
            <v>#N/A</v>
          </cell>
          <cell r="AQ963" t="e">
            <v>#N/A</v>
          </cell>
          <cell r="AR963" t="str">
            <v>$</v>
          </cell>
          <cell r="AS963" t="e">
            <v>#N/A</v>
          </cell>
          <cell r="AW963">
            <v>0</v>
          </cell>
          <cell r="AY963" t="str">
            <v>NB</v>
          </cell>
        </row>
        <row r="964">
          <cell r="AM964">
            <v>0</v>
          </cell>
          <cell r="AP964" t="e">
            <v>#N/A</v>
          </cell>
          <cell r="AQ964" t="e">
            <v>#N/A</v>
          </cell>
          <cell r="AR964" t="str">
            <v>$</v>
          </cell>
          <cell r="AS964" t="e">
            <v>#N/A</v>
          </cell>
          <cell r="AW964">
            <v>0</v>
          </cell>
          <cell r="AY964" t="str">
            <v>NB</v>
          </cell>
        </row>
        <row r="965">
          <cell r="AM965">
            <v>0</v>
          </cell>
          <cell r="AP965" t="str">
            <v>Véhicules usagés</v>
          </cell>
          <cell r="AQ965" t="str">
            <v>Rev. Protections</v>
          </cell>
          <cell r="AR965" t="str">
            <v>$</v>
          </cell>
          <cell r="AS965">
            <v>0</v>
          </cell>
          <cell r="AW965">
            <v>0</v>
          </cell>
          <cell r="AY965" t="str">
            <v>NB</v>
          </cell>
        </row>
        <row r="966">
          <cell r="AM966">
            <v>0</v>
          </cell>
          <cell r="AP966" t="str">
            <v>Wholesale autres</v>
          </cell>
          <cell r="AQ966" t="str">
            <v>Wholesale USA</v>
          </cell>
          <cell r="AR966" t="str">
            <v>$</v>
          </cell>
          <cell r="AS966">
            <v>0</v>
          </cell>
          <cell r="AW966">
            <v>0</v>
          </cell>
          <cell r="AY966" t="str">
            <v>NB</v>
          </cell>
        </row>
        <row r="967">
          <cell r="AM967">
            <v>0</v>
          </cell>
          <cell r="AP967" t="str">
            <v>Wholesale autres</v>
          </cell>
          <cell r="AQ967" t="str">
            <v>Wholesale USA</v>
          </cell>
          <cell r="AR967" t="str">
            <v>$</v>
          </cell>
          <cell r="AS967">
            <v>0</v>
          </cell>
          <cell r="AW967">
            <v>0</v>
          </cell>
          <cell r="AY967" t="str">
            <v>NB</v>
          </cell>
        </row>
        <row r="968">
          <cell r="AM968">
            <v>629918.42000000179</v>
          </cell>
          <cell r="AP968" t="str">
            <v>Wholesale autres</v>
          </cell>
          <cell r="AQ968" t="str">
            <v>Wholesale USA</v>
          </cell>
          <cell r="AR968" t="str">
            <v>$</v>
          </cell>
          <cell r="AS968">
            <v>0</v>
          </cell>
          <cell r="AW968">
            <v>0</v>
          </cell>
          <cell r="AY968" t="str">
            <v>NB</v>
          </cell>
        </row>
        <row r="969">
          <cell r="AM969">
            <v>1363168</v>
          </cell>
          <cell r="AP969">
            <v>0</v>
          </cell>
          <cell r="AQ969">
            <v>0</v>
          </cell>
          <cell r="AR969" t="str">
            <v>$</v>
          </cell>
          <cell r="AS969">
            <v>0</v>
          </cell>
          <cell r="AW969">
            <v>0</v>
          </cell>
          <cell r="AY969" t="str">
            <v>NB</v>
          </cell>
        </row>
        <row r="970">
          <cell r="AM970">
            <v>544599.83000000007</v>
          </cell>
          <cell r="AP970" t="str">
            <v>Wholesale autres</v>
          </cell>
          <cell r="AQ970" t="str">
            <v>Wholesale Canada</v>
          </cell>
          <cell r="AR970" t="str">
            <v>$</v>
          </cell>
          <cell r="AS970">
            <v>0</v>
          </cell>
          <cell r="AW970">
            <v>0</v>
          </cell>
          <cell r="AY970" t="str">
            <v>NB</v>
          </cell>
        </row>
        <row r="971">
          <cell r="AM971">
            <v>15367.679999999993</v>
          </cell>
          <cell r="AP971" t="str">
            <v>Service</v>
          </cell>
          <cell r="AQ971" t="str">
            <v>M/O Client</v>
          </cell>
          <cell r="AR971" t="str">
            <v>$</v>
          </cell>
          <cell r="AS971">
            <v>0</v>
          </cell>
          <cell r="AW971">
            <v>0</v>
          </cell>
          <cell r="AY971" t="str">
            <v>NB</v>
          </cell>
        </row>
        <row r="972">
          <cell r="AM972">
            <v>218.32999999999998</v>
          </cell>
          <cell r="AP972" t="str">
            <v>Service</v>
          </cell>
          <cell r="AQ972" t="str">
            <v>M/O Client</v>
          </cell>
          <cell r="AR972" t="str">
            <v>$</v>
          </cell>
          <cell r="AS972">
            <v>0</v>
          </cell>
          <cell r="AW972">
            <v>0</v>
          </cell>
          <cell r="AY972" t="str">
            <v>NB</v>
          </cell>
        </row>
        <row r="973">
          <cell r="AM973">
            <v>0</v>
          </cell>
          <cell r="AP973" t="str">
            <v>Service</v>
          </cell>
          <cell r="AQ973" t="str">
            <v>M/O Garantie</v>
          </cell>
          <cell r="AR973" t="str">
            <v>$</v>
          </cell>
          <cell r="AS973">
            <v>0</v>
          </cell>
          <cell r="AW973">
            <v>0</v>
          </cell>
          <cell r="AY973" t="str">
            <v>NB</v>
          </cell>
        </row>
        <row r="974">
          <cell r="AM974">
            <v>0</v>
          </cell>
          <cell r="AP974" t="e">
            <v>#N/A</v>
          </cell>
          <cell r="AQ974" t="e">
            <v>#N/A</v>
          </cell>
          <cell r="AR974" t="str">
            <v>$</v>
          </cell>
          <cell r="AS974" t="e">
            <v>#N/A</v>
          </cell>
          <cell r="AW974">
            <v>0</v>
          </cell>
          <cell r="AY974" t="str">
            <v>NB</v>
          </cell>
        </row>
        <row r="975">
          <cell r="AM975">
            <v>588.31999999999971</v>
          </cell>
          <cell r="AP975" t="str">
            <v>Service</v>
          </cell>
          <cell r="AQ975" t="str">
            <v>M/O Client</v>
          </cell>
          <cell r="AR975" t="str">
            <v>$</v>
          </cell>
          <cell r="AS975">
            <v>0</v>
          </cell>
          <cell r="AW975">
            <v>0</v>
          </cell>
          <cell r="AY975" t="str">
            <v>NB</v>
          </cell>
        </row>
        <row r="976">
          <cell r="AM976">
            <v>0</v>
          </cell>
          <cell r="AP976" t="e">
            <v>#N/A</v>
          </cell>
          <cell r="AQ976" t="e">
            <v>#N/A</v>
          </cell>
          <cell r="AR976" t="str">
            <v>$</v>
          </cell>
          <cell r="AS976" t="e">
            <v>#N/A</v>
          </cell>
          <cell r="AW976">
            <v>0</v>
          </cell>
          <cell r="AY976" t="str">
            <v>NB</v>
          </cell>
        </row>
        <row r="977">
          <cell r="AM977">
            <v>5943.4499999999971</v>
          </cell>
          <cell r="AP977" t="str">
            <v>SAAQ</v>
          </cell>
          <cell r="AQ977" t="str">
            <v>Inspection - Véhicules Légers</v>
          </cell>
          <cell r="AR977" t="str">
            <v>$</v>
          </cell>
          <cell r="AS977">
            <v>0</v>
          </cell>
          <cell r="AW977">
            <v>0</v>
          </cell>
          <cell r="AY977" t="str">
            <v>NB</v>
          </cell>
        </row>
        <row r="978">
          <cell r="AM978">
            <v>0</v>
          </cell>
          <cell r="AP978" t="e">
            <v>#N/A</v>
          </cell>
          <cell r="AQ978" t="e">
            <v>#N/A</v>
          </cell>
          <cell r="AR978" t="str">
            <v>$</v>
          </cell>
          <cell r="AS978" t="e">
            <v>#N/A</v>
          </cell>
          <cell r="AW978">
            <v>0</v>
          </cell>
          <cell r="AY978" t="str">
            <v>NB</v>
          </cell>
        </row>
        <row r="979">
          <cell r="AM979">
            <v>0</v>
          </cell>
          <cell r="AP979" t="str">
            <v>SAAQ</v>
          </cell>
          <cell r="AQ979" t="str">
            <v>Inspection - Véhicules Interne</v>
          </cell>
          <cell r="AR979" t="str">
            <v>$</v>
          </cell>
          <cell r="AS979">
            <v>0</v>
          </cell>
          <cell r="AW979">
            <v>0</v>
          </cell>
          <cell r="AY979" t="str">
            <v>NB</v>
          </cell>
        </row>
        <row r="980">
          <cell r="AM980">
            <v>15055.849999999999</v>
          </cell>
          <cell r="AP980" t="str">
            <v>SAAQ</v>
          </cell>
          <cell r="AQ980" t="str">
            <v>Inspection - Véhicules Lourds</v>
          </cell>
          <cell r="AR980" t="str">
            <v>$</v>
          </cell>
          <cell r="AS980">
            <v>0</v>
          </cell>
          <cell r="AW980">
            <v>0</v>
          </cell>
          <cell r="AY980" t="str">
            <v>NB</v>
          </cell>
        </row>
        <row r="981">
          <cell r="AM981">
            <v>0</v>
          </cell>
          <cell r="AP981" t="e">
            <v>#N/A</v>
          </cell>
          <cell r="AQ981" t="e">
            <v>#N/A</v>
          </cell>
          <cell r="AR981" t="str">
            <v>$</v>
          </cell>
          <cell r="AS981" t="e">
            <v>#N/A</v>
          </cell>
          <cell r="AW981">
            <v>0</v>
          </cell>
          <cell r="AY981" t="str">
            <v>NB</v>
          </cell>
        </row>
        <row r="982">
          <cell r="AM982">
            <v>12282.619999999995</v>
          </cell>
          <cell r="AP982" t="str">
            <v>Service</v>
          </cell>
          <cell r="AQ982" t="str">
            <v>M/O Garantie</v>
          </cell>
          <cell r="AR982" t="str">
            <v>$</v>
          </cell>
          <cell r="AS982">
            <v>0</v>
          </cell>
          <cell r="AW982">
            <v>0</v>
          </cell>
          <cell r="AY982" t="str">
            <v>NB</v>
          </cell>
        </row>
        <row r="983">
          <cell r="AM983">
            <v>16185.490000000005</v>
          </cell>
          <cell r="AP983" t="str">
            <v>Service</v>
          </cell>
          <cell r="AQ983" t="str">
            <v>M/O Interne</v>
          </cell>
          <cell r="AR983" t="str">
            <v>$</v>
          </cell>
          <cell r="AS983">
            <v>0</v>
          </cell>
          <cell r="AW983">
            <v>0</v>
          </cell>
          <cell r="AY983" t="str">
            <v>NB</v>
          </cell>
        </row>
        <row r="984">
          <cell r="AM984">
            <v>0</v>
          </cell>
          <cell r="AP984" t="e">
            <v>#N/A</v>
          </cell>
          <cell r="AQ984" t="e">
            <v>#N/A</v>
          </cell>
          <cell r="AR984" t="str">
            <v>$</v>
          </cell>
          <cell r="AS984" t="e">
            <v>#N/A</v>
          </cell>
          <cell r="AW984">
            <v>0</v>
          </cell>
          <cell r="AY984" t="str">
            <v>NB</v>
          </cell>
        </row>
        <row r="985">
          <cell r="AM985">
            <v>0</v>
          </cell>
          <cell r="AP985" t="str">
            <v>SAAQ</v>
          </cell>
          <cell r="AQ985" t="str">
            <v>Inspection - Véhicules Interne</v>
          </cell>
          <cell r="AR985" t="str">
            <v>$</v>
          </cell>
          <cell r="AS985">
            <v>0</v>
          </cell>
          <cell r="AW985">
            <v>0</v>
          </cell>
          <cell r="AY985" t="str">
            <v>NB</v>
          </cell>
        </row>
        <row r="986">
          <cell r="AM986">
            <v>3367.5899999999965</v>
          </cell>
          <cell r="AP986" t="str">
            <v>Service</v>
          </cell>
          <cell r="AQ986" t="str">
            <v>M/O Interne</v>
          </cell>
          <cell r="AR986" t="str">
            <v>$</v>
          </cell>
          <cell r="AS986">
            <v>0</v>
          </cell>
          <cell r="AW986">
            <v>0</v>
          </cell>
          <cell r="AY986" t="str">
            <v>NB</v>
          </cell>
        </row>
        <row r="987">
          <cell r="AM987">
            <v>0</v>
          </cell>
          <cell r="AP987" t="e">
            <v>#N/A</v>
          </cell>
          <cell r="AQ987" t="e">
            <v>#N/A</v>
          </cell>
          <cell r="AR987" t="str">
            <v>$</v>
          </cell>
          <cell r="AS987" t="e">
            <v>#N/A</v>
          </cell>
          <cell r="AW987">
            <v>0</v>
          </cell>
          <cell r="AY987" t="str">
            <v>NB</v>
          </cell>
        </row>
        <row r="988">
          <cell r="AM988">
            <v>349.41999999999825</v>
          </cell>
          <cell r="AP988" t="str">
            <v>Service</v>
          </cell>
          <cell r="AQ988" t="str">
            <v>Ajustement M/O</v>
          </cell>
          <cell r="AR988" t="str">
            <v>$</v>
          </cell>
          <cell r="AS988">
            <v>0</v>
          </cell>
          <cell r="AW988">
            <v>0</v>
          </cell>
          <cell r="AY988" t="str">
            <v>NB</v>
          </cell>
        </row>
        <row r="989">
          <cell r="AM989">
            <v>-669.09999999999991</v>
          </cell>
          <cell r="AP989" t="str">
            <v>SAAQ</v>
          </cell>
          <cell r="AQ989" t="str">
            <v>Ajustement M/O SAAQ</v>
          </cell>
          <cell r="AR989" t="str">
            <v>$</v>
          </cell>
          <cell r="AS989">
            <v>0</v>
          </cell>
          <cell r="AW989">
            <v>0</v>
          </cell>
          <cell r="AY989" t="str">
            <v>NB</v>
          </cell>
        </row>
        <row r="990">
          <cell r="AM990">
            <v>7357.4600000000064</v>
          </cell>
          <cell r="AP990" t="str">
            <v>Service</v>
          </cell>
          <cell r="AQ990" t="str">
            <v>Sous-traitement</v>
          </cell>
          <cell r="AR990" t="str">
            <v>$</v>
          </cell>
          <cell r="AS990">
            <v>0</v>
          </cell>
          <cell r="AW990">
            <v>0</v>
          </cell>
          <cell r="AY990" t="str">
            <v>NB</v>
          </cell>
        </row>
        <row r="991">
          <cell r="AM991">
            <v>0</v>
          </cell>
          <cell r="AP991" t="str">
            <v>SAAQ</v>
          </cell>
          <cell r="AQ991" t="str">
            <v>Inspection - Véhicules Interne</v>
          </cell>
          <cell r="AR991" t="str">
            <v>$</v>
          </cell>
          <cell r="AS991">
            <v>0</v>
          </cell>
          <cell r="AW991">
            <v>0</v>
          </cell>
          <cell r="AY991" t="str">
            <v>NB</v>
          </cell>
        </row>
        <row r="992">
          <cell r="AM992">
            <v>0</v>
          </cell>
          <cell r="AP992" t="e">
            <v>#N/A</v>
          </cell>
          <cell r="AQ992" t="e">
            <v>#N/A</v>
          </cell>
          <cell r="AR992" t="str">
            <v>$</v>
          </cell>
          <cell r="AS992" t="e">
            <v>#N/A</v>
          </cell>
          <cell r="AW992">
            <v>0</v>
          </cell>
          <cell r="AY992" t="str">
            <v>NB</v>
          </cell>
        </row>
        <row r="993">
          <cell r="AM993">
            <v>39239.670000000042</v>
          </cell>
          <cell r="AP993" t="str">
            <v>Pièces</v>
          </cell>
          <cell r="AQ993" t="str">
            <v>Pièces Ro Clients</v>
          </cell>
          <cell r="AR993" t="str">
            <v>$</v>
          </cell>
          <cell r="AS993">
            <v>0</v>
          </cell>
          <cell r="AW993">
            <v>0</v>
          </cell>
          <cell r="AY993" t="str">
            <v>NB</v>
          </cell>
        </row>
        <row r="994">
          <cell r="AM994">
            <v>0</v>
          </cell>
          <cell r="AP994" t="str">
            <v>Pièces</v>
          </cell>
          <cell r="AQ994" t="str">
            <v>Pièces Ro Clients</v>
          </cell>
          <cell r="AR994" t="str">
            <v>$</v>
          </cell>
          <cell r="AS994">
            <v>0</v>
          </cell>
          <cell r="AW994">
            <v>0</v>
          </cell>
          <cell r="AY994" t="str">
            <v>NB</v>
          </cell>
        </row>
        <row r="995">
          <cell r="AM995">
            <v>0</v>
          </cell>
          <cell r="AP995">
            <v>0</v>
          </cell>
          <cell r="AQ995">
            <v>0</v>
          </cell>
          <cell r="AR995" t="str">
            <v>$</v>
          </cell>
          <cell r="AS995">
            <v>0</v>
          </cell>
          <cell r="AW995">
            <v>0</v>
          </cell>
          <cell r="AY995" t="str">
            <v>NB</v>
          </cell>
        </row>
        <row r="996">
          <cell r="AM996">
            <v>0</v>
          </cell>
          <cell r="AP996">
            <v>0</v>
          </cell>
          <cell r="AQ996">
            <v>0</v>
          </cell>
          <cell r="AR996" t="str">
            <v>$</v>
          </cell>
          <cell r="AS996">
            <v>0</v>
          </cell>
          <cell r="AW996">
            <v>0</v>
          </cell>
          <cell r="AY996" t="str">
            <v>NB</v>
          </cell>
        </row>
        <row r="997">
          <cell r="AM997">
            <v>0</v>
          </cell>
          <cell r="AP997">
            <v>0</v>
          </cell>
          <cell r="AQ997">
            <v>0</v>
          </cell>
          <cell r="AR997" t="str">
            <v>$</v>
          </cell>
          <cell r="AS997">
            <v>0</v>
          </cell>
          <cell r="AW997">
            <v>0</v>
          </cell>
          <cell r="AY997" t="str">
            <v>NB</v>
          </cell>
        </row>
        <row r="998">
          <cell r="AM998">
            <v>0</v>
          </cell>
          <cell r="AP998" t="e">
            <v>#N/A</v>
          </cell>
          <cell r="AQ998" t="e">
            <v>#N/A</v>
          </cell>
          <cell r="AR998" t="str">
            <v>$</v>
          </cell>
          <cell r="AS998" t="e">
            <v>#N/A</v>
          </cell>
          <cell r="AW998">
            <v>0</v>
          </cell>
          <cell r="AY998" t="str">
            <v>NB</v>
          </cell>
        </row>
        <row r="999">
          <cell r="AM999">
            <v>2825.4100000000017</v>
          </cell>
          <cell r="AP999" t="str">
            <v>Service</v>
          </cell>
          <cell r="AQ999" t="str">
            <v>Sous-traitement</v>
          </cell>
          <cell r="AR999" t="str">
            <v>$</v>
          </cell>
          <cell r="AS999">
            <v>0</v>
          </cell>
          <cell r="AW999">
            <v>0</v>
          </cell>
          <cell r="AY999" t="str">
            <v>NB</v>
          </cell>
        </row>
        <row r="1000">
          <cell r="AM1000">
            <v>2845.1699999999992</v>
          </cell>
          <cell r="AP1000" t="str">
            <v>Carrosserie</v>
          </cell>
          <cell r="AQ1000" t="str">
            <v>Carrosserie Clients</v>
          </cell>
          <cell r="AR1000" t="str">
            <v>$</v>
          </cell>
          <cell r="AS1000">
            <v>0</v>
          </cell>
          <cell r="AW1000">
            <v>0</v>
          </cell>
          <cell r="AY1000" t="str">
            <v>NB</v>
          </cell>
        </row>
        <row r="1001">
          <cell r="AM1001">
            <v>1610.1800000000012</v>
          </cell>
          <cell r="AP1001" t="str">
            <v>Carrosserie</v>
          </cell>
          <cell r="AQ1001" t="str">
            <v>Carrosserie Concessions</v>
          </cell>
          <cell r="AR1001" t="str">
            <v>$</v>
          </cell>
          <cell r="AS1001">
            <v>0</v>
          </cell>
          <cell r="AW1001">
            <v>0</v>
          </cell>
          <cell r="AY1001" t="str">
            <v>NB</v>
          </cell>
        </row>
        <row r="1002">
          <cell r="AM1002">
            <v>12335.029999999999</v>
          </cell>
          <cell r="AP1002" t="str">
            <v>Carrosserie</v>
          </cell>
          <cell r="AQ1002" t="str">
            <v>Carrosserie Clients</v>
          </cell>
          <cell r="AR1002" t="str">
            <v>$</v>
          </cell>
          <cell r="AS1002">
            <v>0</v>
          </cell>
          <cell r="AW1002">
            <v>0</v>
          </cell>
          <cell r="AY1002" t="str">
            <v>NB</v>
          </cell>
        </row>
        <row r="1003">
          <cell r="AM1003">
            <v>4548.7000000000007</v>
          </cell>
          <cell r="AP1003" t="str">
            <v>Carrosserie</v>
          </cell>
          <cell r="AQ1003" t="str">
            <v>Carrosserie Concessions</v>
          </cell>
          <cell r="AR1003" t="str">
            <v>$</v>
          </cell>
          <cell r="AS1003">
            <v>0</v>
          </cell>
          <cell r="AW1003">
            <v>0</v>
          </cell>
          <cell r="AY1003" t="str">
            <v>NB</v>
          </cell>
        </row>
        <row r="1004">
          <cell r="AM1004">
            <v>408.29000000000019</v>
          </cell>
          <cell r="AP1004" t="str">
            <v>Carrosserie</v>
          </cell>
          <cell r="AQ1004" t="str">
            <v>Carrosserie Clients</v>
          </cell>
          <cell r="AR1004" t="str">
            <v>$</v>
          </cell>
          <cell r="AS1004">
            <v>0</v>
          </cell>
          <cell r="AW1004">
            <v>0</v>
          </cell>
          <cell r="AY1004" t="str">
            <v>NB</v>
          </cell>
        </row>
        <row r="1005">
          <cell r="AM1005">
            <v>0</v>
          </cell>
          <cell r="AP1005" t="str">
            <v>Carrosserie</v>
          </cell>
          <cell r="AQ1005" t="str">
            <v>Carrosserie Concessions</v>
          </cell>
          <cell r="AR1005" t="str">
            <v>$</v>
          </cell>
          <cell r="AS1005">
            <v>0</v>
          </cell>
          <cell r="AW1005">
            <v>0</v>
          </cell>
          <cell r="AY1005" t="str">
            <v>NB</v>
          </cell>
        </row>
        <row r="1006">
          <cell r="AM1006">
            <v>0</v>
          </cell>
          <cell r="AP1006" t="str">
            <v>Carrosserie</v>
          </cell>
          <cell r="AQ1006" t="str">
            <v>Carrosserie Concessions</v>
          </cell>
          <cell r="AR1006" t="str">
            <v>$</v>
          </cell>
          <cell r="AS1006">
            <v>0</v>
          </cell>
          <cell r="AW1006">
            <v>0</v>
          </cell>
          <cell r="AY1006" t="str">
            <v>NB</v>
          </cell>
        </row>
        <row r="1007">
          <cell r="AM1007">
            <v>0</v>
          </cell>
          <cell r="AP1007" t="str">
            <v>Carrosserie</v>
          </cell>
          <cell r="AQ1007" t="str">
            <v>Carrosserie Interne</v>
          </cell>
          <cell r="AR1007" t="str">
            <v>$</v>
          </cell>
          <cell r="AS1007">
            <v>0</v>
          </cell>
          <cell r="AW1007">
            <v>0</v>
          </cell>
          <cell r="AY1007" t="str">
            <v>NB</v>
          </cell>
        </row>
        <row r="1008">
          <cell r="AM1008">
            <v>2045.4599999999991</v>
          </cell>
          <cell r="AP1008" t="str">
            <v>Carrosserie</v>
          </cell>
          <cell r="AQ1008" t="str">
            <v>Carrosserie Interne</v>
          </cell>
          <cell r="AR1008" t="str">
            <v>$</v>
          </cell>
          <cell r="AS1008">
            <v>0</v>
          </cell>
          <cell r="AW1008">
            <v>0</v>
          </cell>
          <cell r="AY1008" t="str">
            <v>NB</v>
          </cell>
        </row>
        <row r="1009">
          <cell r="AM1009">
            <v>475.57999999999993</v>
          </cell>
          <cell r="AP1009" t="str">
            <v>Carrosserie</v>
          </cell>
          <cell r="AQ1009" t="str">
            <v>Carrosserie Interne</v>
          </cell>
          <cell r="AR1009" t="str">
            <v>$</v>
          </cell>
          <cell r="AS1009">
            <v>0</v>
          </cell>
          <cell r="AW1009">
            <v>0</v>
          </cell>
          <cell r="AY1009" t="str">
            <v>NB</v>
          </cell>
        </row>
        <row r="1010">
          <cell r="AM1010">
            <v>750.23</v>
          </cell>
          <cell r="AP1010" t="str">
            <v>Carrosserie</v>
          </cell>
          <cell r="AQ1010" t="str">
            <v>Carrosserie Interne</v>
          </cell>
          <cell r="AR1010" t="str">
            <v>$</v>
          </cell>
          <cell r="AS1010">
            <v>0</v>
          </cell>
          <cell r="AW1010">
            <v>0</v>
          </cell>
          <cell r="AY1010" t="str">
            <v>NB</v>
          </cell>
        </row>
        <row r="1011">
          <cell r="AM1011">
            <v>697.14000000000306</v>
          </cell>
          <cell r="AP1011" t="str">
            <v>Carrosserie</v>
          </cell>
          <cell r="AQ1011" t="str">
            <v>Ajustement M/O Carrosserie</v>
          </cell>
          <cell r="AR1011" t="str">
            <v>$</v>
          </cell>
          <cell r="AS1011">
            <v>0</v>
          </cell>
          <cell r="AW1011">
            <v>0</v>
          </cell>
          <cell r="AY1011" t="str">
            <v>NB</v>
          </cell>
        </row>
        <row r="1012">
          <cell r="AM1012">
            <v>49912.740000000049</v>
          </cell>
          <cell r="AP1012" t="str">
            <v>Carrosserie</v>
          </cell>
          <cell r="AQ1012" t="str">
            <v>Carrosserie Clients</v>
          </cell>
          <cell r="AR1012" t="str">
            <v>$</v>
          </cell>
          <cell r="AS1012">
            <v>0</v>
          </cell>
          <cell r="AW1012">
            <v>0</v>
          </cell>
          <cell r="AY1012" t="str">
            <v>NB</v>
          </cell>
        </row>
        <row r="1013">
          <cell r="AM1013">
            <v>0</v>
          </cell>
          <cell r="AP1013" t="str">
            <v>Carrosserie</v>
          </cell>
          <cell r="AQ1013" t="str">
            <v>Carrosserie Interne</v>
          </cell>
          <cell r="AR1013" t="str">
            <v>$</v>
          </cell>
          <cell r="AS1013">
            <v>0</v>
          </cell>
          <cell r="AW1013">
            <v>0</v>
          </cell>
          <cell r="AY1013" t="str">
            <v>NB</v>
          </cell>
        </row>
        <row r="1014">
          <cell r="AM1014">
            <v>830</v>
          </cell>
          <cell r="AP1014" t="str">
            <v>Carrosserie</v>
          </cell>
          <cell r="AQ1014" t="str">
            <v>Carrosserie Concessions</v>
          </cell>
          <cell r="AR1014" t="str">
            <v>$</v>
          </cell>
          <cell r="AS1014">
            <v>0</v>
          </cell>
          <cell r="AW1014">
            <v>0</v>
          </cell>
          <cell r="AY1014" t="str">
            <v>NB</v>
          </cell>
        </row>
        <row r="1015">
          <cell r="AM1015">
            <v>0</v>
          </cell>
          <cell r="AP1015" t="str">
            <v>Carrosserie</v>
          </cell>
          <cell r="AQ1015" t="str">
            <v>Carrosserie Clients</v>
          </cell>
          <cell r="AR1015" t="str">
            <v>$</v>
          </cell>
          <cell r="AS1015">
            <v>0</v>
          </cell>
          <cell r="AW1015">
            <v>0</v>
          </cell>
          <cell r="AY1015" t="str">
            <v>NB</v>
          </cell>
        </row>
        <row r="1016">
          <cell r="AM1016">
            <v>0</v>
          </cell>
          <cell r="AP1016" t="str">
            <v>Carrosserie</v>
          </cell>
          <cell r="AQ1016" t="str">
            <v>Carrosserie Interne</v>
          </cell>
          <cell r="AR1016" t="str">
            <v>$</v>
          </cell>
          <cell r="AS1016">
            <v>0</v>
          </cell>
          <cell r="AW1016">
            <v>0</v>
          </cell>
          <cell r="AY1016" t="str">
            <v>NB</v>
          </cell>
        </row>
        <row r="1017">
          <cell r="AM1017">
            <v>0</v>
          </cell>
          <cell r="AP1017" t="str">
            <v>Carrosserie</v>
          </cell>
          <cell r="AQ1017" t="str">
            <v>Carrosserie Concessions</v>
          </cell>
          <cell r="AR1017" t="str">
            <v>$</v>
          </cell>
          <cell r="AS1017">
            <v>0</v>
          </cell>
          <cell r="AW1017">
            <v>0</v>
          </cell>
          <cell r="AY1017" t="str">
            <v>NB</v>
          </cell>
        </row>
        <row r="1018">
          <cell r="AM1018">
            <v>0</v>
          </cell>
          <cell r="AP1018" t="str">
            <v>Carrosserie</v>
          </cell>
          <cell r="AQ1018" t="str">
            <v>Carrosserie Clients</v>
          </cell>
          <cell r="AR1018" t="str">
            <v>$</v>
          </cell>
          <cell r="AS1018">
            <v>0</v>
          </cell>
          <cell r="AW1018">
            <v>0</v>
          </cell>
          <cell r="AY1018" t="str">
            <v>NB</v>
          </cell>
        </row>
        <row r="1019">
          <cell r="AM1019">
            <v>0</v>
          </cell>
          <cell r="AP1019">
            <v>0</v>
          </cell>
          <cell r="AQ1019">
            <v>0</v>
          </cell>
          <cell r="AR1019" t="str">
            <v>$</v>
          </cell>
          <cell r="AS1019">
            <v>0</v>
          </cell>
          <cell r="AW1019">
            <v>0</v>
          </cell>
          <cell r="AY1019" t="str">
            <v>NB</v>
          </cell>
        </row>
        <row r="1020">
          <cell r="AM1020">
            <v>0</v>
          </cell>
          <cell r="AP1020">
            <v>0</v>
          </cell>
          <cell r="AQ1020">
            <v>0</v>
          </cell>
          <cell r="AR1020" t="str">
            <v>$</v>
          </cell>
          <cell r="AS1020">
            <v>0</v>
          </cell>
          <cell r="AW1020">
            <v>0</v>
          </cell>
          <cell r="AY1020" t="str">
            <v>NB</v>
          </cell>
        </row>
        <row r="1021">
          <cell r="AM1021">
            <v>0</v>
          </cell>
          <cell r="AP1021" t="str">
            <v>Pièces</v>
          </cell>
          <cell r="AQ1021" t="str">
            <v>Pièces Ro Carrosserie</v>
          </cell>
          <cell r="AR1021" t="str">
            <v>$</v>
          </cell>
          <cell r="AS1021">
            <v>0</v>
          </cell>
          <cell r="AW1021">
            <v>0</v>
          </cell>
          <cell r="AY1021" t="str">
            <v>NB</v>
          </cell>
        </row>
        <row r="1022">
          <cell r="AM1022">
            <v>0</v>
          </cell>
          <cell r="AP1022">
            <v>0</v>
          </cell>
          <cell r="AQ1022">
            <v>0</v>
          </cell>
          <cell r="AR1022" t="str">
            <v>$</v>
          </cell>
          <cell r="AS1022">
            <v>0</v>
          </cell>
          <cell r="AW1022">
            <v>0</v>
          </cell>
          <cell r="AY1022" t="str">
            <v>NB</v>
          </cell>
        </row>
        <row r="1023">
          <cell r="AM1023">
            <v>0</v>
          </cell>
          <cell r="AP1023" t="e">
            <v>#N/A</v>
          </cell>
          <cell r="AQ1023" t="e">
            <v>#N/A</v>
          </cell>
          <cell r="AR1023" t="str">
            <v>$</v>
          </cell>
          <cell r="AS1023" t="e">
            <v>#N/A</v>
          </cell>
          <cell r="AW1023">
            <v>0</v>
          </cell>
          <cell r="AY1023" t="str">
            <v>NB</v>
          </cell>
        </row>
        <row r="1024">
          <cell r="AM1024">
            <v>10587.990000000005</v>
          </cell>
          <cell r="AP1024" t="str">
            <v>Carrosserie</v>
          </cell>
          <cell r="AQ1024" t="str">
            <v>Carrosserie Clients</v>
          </cell>
          <cell r="AR1024" t="str">
            <v>$</v>
          </cell>
          <cell r="AS1024">
            <v>0</v>
          </cell>
          <cell r="AW1024">
            <v>0</v>
          </cell>
          <cell r="AY1024" t="str">
            <v>NB</v>
          </cell>
        </row>
        <row r="1025">
          <cell r="AM1025">
            <v>582.98</v>
          </cell>
          <cell r="AP1025" t="str">
            <v>Carrosserie</v>
          </cell>
          <cell r="AQ1025" t="str">
            <v>Carrosserie Interne</v>
          </cell>
          <cell r="AR1025" t="str">
            <v>$</v>
          </cell>
          <cell r="AS1025">
            <v>0</v>
          </cell>
          <cell r="AW1025">
            <v>0</v>
          </cell>
          <cell r="AY1025" t="str">
            <v>NB</v>
          </cell>
        </row>
        <row r="1026">
          <cell r="AM1026">
            <v>3166.3599999999969</v>
          </cell>
          <cell r="AP1026" t="str">
            <v>Carrosserie</v>
          </cell>
          <cell r="AQ1026" t="str">
            <v>Carrosserie Concessions</v>
          </cell>
          <cell r="AR1026" t="str">
            <v>$</v>
          </cell>
          <cell r="AS1026">
            <v>0</v>
          </cell>
          <cell r="AW1026">
            <v>0</v>
          </cell>
          <cell r="AY1026" t="str">
            <v>NB</v>
          </cell>
        </row>
        <row r="1027">
          <cell r="AM1027">
            <v>8415.5099999999984</v>
          </cell>
          <cell r="AP1027" t="str">
            <v>Carrosserie</v>
          </cell>
          <cell r="AQ1027" t="str">
            <v>Carrosserie Clients</v>
          </cell>
          <cell r="AR1027" t="str">
            <v>$</v>
          </cell>
          <cell r="AS1027">
            <v>0</v>
          </cell>
          <cell r="AW1027">
            <v>0</v>
          </cell>
          <cell r="AY1027" t="str">
            <v>NB</v>
          </cell>
        </row>
        <row r="1028">
          <cell r="AM1028">
            <v>293.3900000000001</v>
          </cell>
          <cell r="AP1028" t="str">
            <v>Carrosserie</v>
          </cell>
          <cell r="AQ1028" t="str">
            <v>Carrosserie Interne</v>
          </cell>
          <cell r="AR1028" t="str">
            <v>$</v>
          </cell>
          <cell r="AS1028">
            <v>0</v>
          </cell>
          <cell r="AW1028">
            <v>0</v>
          </cell>
          <cell r="AY1028" t="str">
            <v>NB</v>
          </cell>
        </row>
        <row r="1029">
          <cell r="AM1029">
            <v>1634.0500000000002</v>
          </cell>
          <cell r="AP1029" t="str">
            <v>Carrosserie</v>
          </cell>
          <cell r="AQ1029" t="str">
            <v>Carrosserie Concessions</v>
          </cell>
          <cell r="AR1029" t="str">
            <v>$</v>
          </cell>
          <cell r="AS1029">
            <v>0</v>
          </cell>
          <cell r="AW1029">
            <v>0</v>
          </cell>
          <cell r="AY1029" t="str">
            <v>NB</v>
          </cell>
        </row>
        <row r="1030">
          <cell r="AM1030">
            <v>29830.760000000009</v>
          </cell>
          <cell r="AP1030" t="str">
            <v>Pièces</v>
          </cell>
          <cell r="AQ1030" t="str">
            <v>P/A Garantie</v>
          </cell>
          <cell r="AR1030" t="str">
            <v>$</v>
          </cell>
          <cell r="AS1030">
            <v>0</v>
          </cell>
          <cell r="AW1030">
            <v>0</v>
          </cell>
          <cell r="AY1030" t="str">
            <v>NB</v>
          </cell>
        </row>
        <row r="1031">
          <cell r="AM1031">
            <v>0</v>
          </cell>
          <cell r="AP1031" t="str">
            <v>Pièces</v>
          </cell>
          <cell r="AQ1031" t="str">
            <v>P/A Garantie</v>
          </cell>
          <cell r="AR1031" t="str">
            <v>$</v>
          </cell>
          <cell r="AS1031">
            <v>0</v>
          </cell>
          <cell r="AW1031">
            <v>0</v>
          </cell>
          <cell r="AY1031" t="str">
            <v>NB</v>
          </cell>
        </row>
        <row r="1032">
          <cell r="AM1032">
            <v>29066.200000000012</v>
          </cell>
          <cell r="AP1032" t="str">
            <v>Pièces</v>
          </cell>
          <cell r="AQ1032" t="str">
            <v>Ventes Internes</v>
          </cell>
          <cell r="AR1032" t="str">
            <v>$</v>
          </cell>
          <cell r="AS1032">
            <v>0</v>
          </cell>
          <cell r="AW1032">
            <v>0</v>
          </cell>
          <cell r="AY1032" t="str">
            <v>NB</v>
          </cell>
        </row>
        <row r="1033">
          <cell r="AM1033">
            <v>0</v>
          </cell>
          <cell r="AP1033" t="str">
            <v>Pièces</v>
          </cell>
          <cell r="AQ1033" t="str">
            <v>Ventes Internes</v>
          </cell>
          <cell r="AR1033" t="str">
            <v>$</v>
          </cell>
          <cell r="AS1033">
            <v>0</v>
          </cell>
          <cell r="AW1033">
            <v>0</v>
          </cell>
          <cell r="AY1033" t="str">
            <v>NB</v>
          </cell>
        </row>
        <row r="1034">
          <cell r="AM1034">
            <v>24353.550000000017</v>
          </cell>
          <cell r="AP1034" t="str">
            <v>Pièces</v>
          </cell>
          <cell r="AQ1034" t="str">
            <v>Ventes Détails</v>
          </cell>
          <cell r="AR1034" t="str">
            <v>$</v>
          </cell>
          <cell r="AS1034">
            <v>0</v>
          </cell>
          <cell r="AW1034">
            <v>0</v>
          </cell>
          <cell r="AY1034" t="str">
            <v>NB</v>
          </cell>
        </row>
        <row r="1035">
          <cell r="AM1035">
            <v>118231.21999999997</v>
          </cell>
          <cell r="AP1035" t="str">
            <v>Pièces</v>
          </cell>
          <cell r="AQ1035" t="str">
            <v>Ventes de Gros</v>
          </cell>
          <cell r="AR1035" t="str">
            <v>$</v>
          </cell>
          <cell r="AS1035">
            <v>0</v>
          </cell>
          <cell r="AW1035">
            <v>0</v>
          </cell>
          <cell r="AY1035" t="str">
            <v>NB</v>
          </cell>
        </row>
        <row r="1036">
          <cell r="AM1036">
            <v>-4588.9700000000012</v>
          </cell>
          <cell r="AP1036" t="str">
            <v>Pièces</v>
          </cell>
          <cell r="AQ1036" t="str">
            <v>Escomptes</v>
          </cell>
          <cell r="AR1036" t="str">
            <v>$</v>
          </cell>
          <cell r="AS1036">
            <v>0</v>
          </cell>
          <cell r="AW1036">
            <v>0</v>
          </cell>
          <cell r="AY1036" t="str">
            <v>NB</v>
          </cell>
        </row>
        <row r="1037">
          <cell r="AM1037">
            <v>-3276.6499999999996</v>
          </cell>
          <cell r="AP1037" t="str">
            <v>Pièces</v>
          </cell>
          <cell r="AQ1037" t="str">
            <v>Rectif. Inventaire</v>
          </cell>
          <cell r="AR1037" t="str">
            <v>$</v>
          </cell>
          <cell r="AS1037">
            <v>0</v>
          </cell>
          <cell r="AW1037">
            <v>0</v>
          </cell>
          <cell r="AY1037" t="str">
            <v>NB</v>
          </cell>
        </row>
        <row r="1038">
          <cell r="AM1038">
            <v>36240.320000000007</v>
          </cell>
          <cell r="AP1038" t="str">
            <v>Pièces</v>
          </cell>
          <cell r="AQ1038" t="str">
            <v>Ventes Pneus</v>
          </cell>
          <cell r="AR1038" t="str">
            <v>$</v>
          </cell>
          <cell r="AS1038">
            <v>0</v>
          </cell>
          <cell r="AW1038">
            <v>0</v>
          </cell>
          <cell r="AY1038" t="str">
            <v>NB</v>
          </cell>
        </row>
        <row r="1039">
          <cell r="AM1039">
            <v>10423.550000000003</v>
          </cell>
          <cell r="AP1039" t="str">
            <v>Pièces</v>
          </cell>
          <cell r="AQ1039" t="str">
            <v>Huiles et Graisse</v>
          </cell>
          <cell r="AR1039" t="str">
            <v>$</v>
          </cell>
          <cell r="AS1039">
            <v>0</v>
          </cell>
          <cell r="AW1039">
            <v>0</v>
          </cell>
          <cell r="AY1039" t="str">
            <v>NB</v>
          </cell>
        </row>
        <row r="1040">
          <cell r="AM1040">
            <v>0</v>
          </cell>
          <cell r="AP1040" t="e">
            <v>#N/A</v>
          </cell>
          <cell r="AQ1040" t="e">
            <v>#N/A</v>
          </cell>
          <cell r="AR1040" t="str">
            <v>$</v>
          </cell>
          <cell r="AS1040" t="e">
            <v>#N/A</v>
          </cell>
          <cell r="AW1040">
            <v>0</v>
          </cell>
          <cell r="AY1040" t="str">
            <v>NB</v>
          </cell>
        </row>
        <row r="1041">
          <cell r="AM1041">
            <v>0</v>
          </cell>
          <cell r="AP1041" t="e">
            <v>#N/A</v>
          </cell>
          <cell r="AQ1041" t="e">
            <v>#N/A</v>
          </cell>
          <cell r="AR1041" t="str">
            <v>$</v>
          </cell>
          <cell r="AS1041" t="e">
            <v>#N/A</v>
          </cell>
          <cell r="AW1041">
            <v>0</v>
          </cell>
          <cell r="AY1041" t="str">
            <v>NB</v>
          </cell>
        </row>
        <row r="1042">
          <cell r="AM1042">
            <v>0</v>
          </cell>
          <cell r="AP1042" t="e">
            <v>#N/A</v>
          </cell>
          <cell r="AQ1042" t="e">
            <v>#N/A</v>
          </cell>
          <cell r="AR1042" t="str">
            <v>$</v>
          </cell>
          <cell r="AS1042" t="e">
            <v>#N/A</v>
          </cell>
          <cell r="AW1042">
            <v>0</v>
          </cell>
          <cell r="AY1042" t="str">
            <v>NB</v>
          </cell>
        </row>
        <row r="1043">
          <cell r="AM1043">
            <v>0</v>
          </cell>
          <cell r="AP1043" t="e">
            <v>#N/A</v>
          </cell>
          <cell r="AQ1043" t="e">
            <v>#N/A</v>
          </cell>
          <cell r="AR1043" t="str">
            <v>$</v>
          </cell>
          <cell r="AS1043" t="e">
            <v>#N/A</v>
          </cell>
          <cell r="AW1043">
            <v>0</v>
          </cell>
          <cell r="AY1043" t="str">
            <v>NB</v>
          </cell>
        </row>
        <row r="1044">
          <cell r="AM1044">
            <v>0</v>
          </cell>
          <cell r="AP1044" t="e">
            <v>#N/A</v>
          </cell>
          <cell r="AQ1044" t="e">
            <v>#N/A</v>
          </cell>
          <cell r="AR1044" t="str">
            <v>$</v>
          </cell>
          <cell r="AS1044" t="e">
            <v>#N/A</v>
          </cell>
          <cell r="AW1044">
            <v>0</v>
          </cell>
          <cell r="AY1044" t="str">
            <v>NB</v>
          </cell>
        </row>
        <row r="1045">
          <cell r="AM1045">
            <v>0</v>
          </cell>
          <cell r="AP1045" t="e">
            <v>#N/A</v>
          </cell>
          <cell r="AQ1045" t="e">
            <v>#N/A</v>
          </cell>
          <cell r="AR1045" t="str">
            <v>$</v>
          </cell>
          <cell r="AS1045" t="e">
            <v>#N/A</v>
          </cell>
          <cell r="AW1045">
            <v>0</v>
          </cell>
          <cell r="AY1045" t="str">
            <v>NB</v>
          </cell>
        </row>
        <row r="1046">
          <cell r="AM1046">
            <v>0</v>
          </cell>
          <cell r="AP1046" t="e">
            <v>#N/A</v>
          </cell>
          <cell r="AQ1046" t="e">
            <v>#N/A</v>
          </cell>
          <cell r="AR1046" t="str">
            <v>$</v>
          </cell>
          <cell r="AS1046" t="e">
            <v>#N/A</v>
          </cell>
          <cell r="AW1046">
            <v>0</v>
          </cell>
          <cell r="AY1046" t="str">
            <v>NB</v>
          </cell>
        </row>
        <row r="1047">
          <cell r="AM1047">
            <v>0</v>
          </cell>
          <cell r="AP1047" t="e">
            <v>#N/A</v>
          </cell>
          <cell r="AQ1047" t="e">
            <v>#N/A</v>
          </cell>
          <cell r="AR1047" t="str">
            <v>$</v>
          </cell>
          <cell r="AS1047" t="e">
            <v>#N/A</v>
          </cell>
          <cell r="AW1047">
            <v>0</v>
          </cell>
          <cell r="AY1047" t="str">
            <v>NB</v>
          </cell>
        </row>
        <row r="1048">
          <cell r="AM1048">
            <v>0</v>
          </cell>
          <cell r="AP1048" t="e">
            <v>#N/A</v>
          </cell>
          <cell r="AQ1048" t="e">
            <v>#N/A</v>
          </cell>
          <cell r="AR1048" t="str">
            <v>$</v>
          </cell>
          <cell r="AS1048" t="e">
            <v>#N/A</v>
          </cell>
          <cell r="AW1048">
            <v>0</v>
          </cell>
          <cell r="AY1048" t="str">
            <v>NB</v>
          </cell>
        </row>
        <row r="1049">
          <cell r="AM1049">
            <v>0</v>
          </cell>
          <cell r="AP1049" t="e">
            <v>#N/A</v>
          </cell>
          <cell r="AQ1049" t="e">
            <v>#N/A</v>
          </cell>
          <cell r="AR1049" t="str">
            <v>$</v>
          </cell>
          <cell r="AS1049" t="e">
            <v>#N/A</v>
          </cell>
          <cell r="AW1049">
            <v>0</v>
          </cell>
          <cell r="AY1049" t="str">
            <v>NB</v>
          </cell>
        </row>
        <row r="1050">
          <cell r="AM1050">
            <v>0</v>
          </cell>
          <cell r="AP1050" t="e">
            <v>#N/A</v>
          </cell>
          <cell r="AQ1050" t="e">
            <v>#N/A</v>
          </cell>
          <cell r="AR1050" t="str">
            <v>$</v>
          </cell>
          <cell r="AS1050" t="e">
            <v>#N/A</v>
          </cell>
          <cell r="AW1050">
            <v>0</v>
          </cell>
          <cell r="AY1050" t="str">
            <v>NB</v>
          </cell>
        </row>
        <row r="1051">
          <cell r="AM1051">
            <v>0</v>
          </cell>
          <cell r="AP1051" t="e">
            <v>#N/A</v>
          </cell>
          <cell r="AQ1051" t="e">
            <v>#N/A</v>
          </cell>
          <cell r="AR1051" t="str">
            <v>$</v>
          </cell>
          <cell r="AS1051" t="e">
            <v>#N/A</v>
          </cell>
          <cell r="AW1051">
            <v>0</v>
          </cell>
          <cell r="AY1051" t="str">
            <v>NB</v>
          </cell>
        </row>
        <row r="1052">
          <cell r="AM1052">
            <v>0</v>
          </cell>
          <cell r="AP1052" t="e">
            <v>#N/A</v>
          </cell>
          <cell r="AQ1052" t="e">
            <v>#N/A</v>
          </cell>
          <cell r="AR1052" t="str">
            <v>$</v>
          </cell>
          <cell r="AS1052" t="e">
            <v>#N/A</v>
          </cell>
          <cell r="AW1052">
            <v>0</v>
          </cell>
          <cell r="AY1052" t="str">
            <v>NB</v>
          </cell>
        </row>
        <row r="1053">
          <cell r="AM1053">
            <v>0</v>
          </cell>
          <cell r="AP1053" t="e">
            <v>#N/A</v>
          </cell>
          <cell r="AQ1053" t="e">
            <v>#N/A</v>
          </cell>
          <cell r="AR1053" t="str">
            <v>$</v>
          </cell>
          <cell r="AS1053" t="e">
            <v>#N/A</v>
          </cell>
          <cell r="AW1053">
            <v>0</v>
          </cell>
          <cell r="AY1053" t="str">
            <v>NB</v>
          </cell>
        </row>
        <row r="1054">
          <cell r="AM1054">
            <v>0</v>
          </cell>
          <cell r="AP1054" t="e">
            <v>#N/A</v>
          </cell>
          <cell r="AQ1054" t="e">
            <v>#N/A</v>
          </cell>
          <cell r="AR1054" t="str">
            <v>$</v>
          </cell>
          <cell r="AS1054" t="e">
            <v>#N/A</v>
          </cell>
          <cell r="AW1054">
            <v>0</v>
          </cell>
          <cell r="AY1054" t="str">
            <v>NB</v>
          </cell>
        </row>
        <row r="1055">
          <cell r="AM1055">
            <v>0</v>
          </cell>
          <cell r="AP1055" t="e">
            <v>#N/A</v>
          </cell>
          <cell r="AQ1055" t="e">
            <v>#N/A</v>
          </cell>
          <cell r="AR1055" t="str">
            <v>$</v>
          </cell>
          <cell r="AS1055" t="e">
            <v>#N/A</v>
          </cell>
          <cell r="AW1055">
            <v>0</v>
          </cell>
          <cell r="AY1055" t="str">
            <v>NB</v>
          </cell>
        </row>
        <row r="1056">
          <cell r="AM1056">
            <v>0</v>
          </cell>
          <cell r="AP1056" t="e">
            <v>#N/A</v>
          </cell>
          <cell r="AQ1056" t="e">
            <v>#N/A</v>
          </cell>
          <cell r="AR1056" t="str">
            <v>$</v>
          </cell>
          <cell r="AS1056" t="e">
            <v>#N/A</v>
          </cell>
          <cell r="AW1056">
            <v>0</v>
          </cell>
          <cell r="AY1056" t="str">
            <v>NB</v>
          </cell>
        </row>
        <row r="1057">
          <cell r="AM1057">
            <v>0</v>
          </cell>
          <cell r="AP1057">
            <v>0</v>
          </cell>
          <cell r="AQ1057">
            <v>0</v>
          </cell>
          <cell r="AR1057" t="str">
            <v>$</v>
          </cell>
          <cell r="AS1057">
            <v>0</v>
          </cell>
          <cell r="AW1057">
            <v>0</v>
          </cell>
          <cell r="AY1057" t="str">
            <v>NB</v>
          </cell>
        </row>
        <row r="1058">
          <cell r="AM1058">
            <v>0</v>
          </cell>
          <cell r="AP1058" t="e">
            <v>#N/A</v>
          </cell>
          <cell r="AQ1058" t="e">
            <v>#N/A</v>
          </cell>
          <cell r="AR1058" t="str">
            <v>$</v>
          </cell>
          <cell r="AS1058" t="e">
            <v>#N/A</v>
          </cell>
          <cell r="AW1058">
            <v>0</v>
          </cell>
          <cell r="AY1058" t="str">
            <v>NB</v>
          </cell>
        </row>
        <row r="1059">
          <cell r="AM1059">
            <v>0</v>
          </cell>
          <cell r="AP1059">
            <v>0</v>
          </cell>
          <cell r="AQ1059">
            <v>0</v>
          </cell>
          <cell r="AR1059" t="str">
            <v>$</v>
          </cell>
          <cell r="AS1059">
            <v>0</v>
          </cell>
          <cell r="AW1059">
            <v>0</v>
          </cell>
          <cell r="AY1059" t="str">
            <v>NB</v>
          </cell>
        </row>
        <row r="1060">
          <cell r="AM1060">
            <v>0</v>
          </cell>
          <cell r="AP1060" t="e">
            <v>#N/A</v>
          </cell>
          <cell r="AQ1060" t="e">
            <v>#N/A</v>
          </cell>
          <cell r="AR1060" t="str">
            <v>$</v>
          </cell>
          <cell r="AS1060" t="e">
            <v>#N/A</v>
          </cell>
          <cell r="AW1060">
            <v>0</v>
          </cell>
          <cell r="AY1060" t="str">
            <v>NB</v>
          </cell>
        </row>
        <row r="1061">
          <cell r="AM1061">
            <v>0</v>
          </cell>
          <cell r="AP1061">
            <v>0</v>
          </cell>
          <cell r="AQ1061">
            <v>0</v>
          </cell>
          <cell r="AR1061" t="str">
            <v>$</v>
          </cell>
          <cell r="AS1061">
            <v>0</v>
          </cell>
          <cell r="AW1061">
            <v>0</v>
          </cell>
          <cell r="AY1061" t="str">
            <v>NB</v>
          </cell>
        </row>
        <row r="1062">
          <cell r="AM1062">
            <v>0</v>
          </cell>
          <cell r="AP1062" t="e">
            <v>#N/A</v>
          </cell>
          <cell r="AQ1062" t="e">
            <v>#N/A</v>
          </cell>
          <cell r="AR1062" t="str">
            <v>$</v>
          </cell>
          <cell r="AS1062" t="e">
            <v>#N/A</v>
          </cell>
          <cell r="AW1062">
            <v>0</v>
          </cell>
          <cell r="AY1062" t="str">
            <v>NB</v>
          </cell>
        </row>
        <row r="1063">
          <cell r="AM1063">
            <v>0</v>
          </cell>
          <cell r="AP1063" t="e">
            <v>#N/A</v>
          </cell>
          <cell r="AQ1063" t="e">
            <v>#N/A</v>
          </cell>
          <cell r="AR1063" t="str">
            <v>$</v>
          </cell>
          <cell r="AS1063" t="e">
            <v>#N/A</v>
          </cell>
          <cell r="AW1063">
            <v>0</v>
          </cell>
          <cell r="AY1063" t="str">
            <v>NB</v>
          </cell>
        </row>
        <row r="1064">
          <cell r="AM1064">
            <v>0</v>
          </cell>
          <cell r="AP1064" t="e">
            <v>#N/A</v>
          </cell>
          <cell r="AQ1064" t="e">
            <v>#N/A</v>
          </cell>
          <cell r="AR1064" t="str">
            <v>$</v>
          </cell>
          <cell r="AS1064" t="e">
            <v>#N/A</v>
          </cell>
          <cell r="AW1064">
            <v>0</v>
          </cell>
          <cell r="AY1064" t="str">
            <v>NB</v>
          </cell>
        </row>
        <row r="1065">
          <cell r="AM1065">
            <v>0</v>
          </cell>
          <cell r="AP1065">
            <v>0</v>
          </cell>
          <cell r="AQ1065">
            <v>0</v>
          </cell>
          <cell r="AR1065" t="str">
            <v>$</v>
          </cell>
          <cell r="AS1065">
            <v>0</v>
          </cell>
          <cell r="AW1065">
            <v>0</v>
          </cell>
          <cell r="AY1065" t="str">
            <v>NB</v>
          </cell>
        </row>
        <row r="1066">
          <cell r="AM1066">
            <v>0</v>
          </cell>
          <cell r="AP1066" t="e">
            <v>#N/A</v>
          </cell>
          <cell r="AQ1066" t="e">
            <v>#N/A</v>
          </cell>
          <cell r="AR1066" t="str">
            <v>$</v>
          </cell>
          <cell r="AS1066" t="e">
            <v>#N/A</v>
          </cell>
          <cell r="AW1066">
            <v>0</v>
          </cell>
          <cell r="AY1066" t="str">
            <v>NB</v>
          </cell>
        </row>
        <row r="1067">
          <cell r="AM1067">
            <v>0</v>
          </cell>
          <cell r="AP1067" t="e">
            <v>#N/A</v>
          </cell>
          <cell r="AQ1067" t="e">
            <v>#N/A</v>
          </cell>
          <cell r="AR1067" t="str">
            <v>$</v>
          </cell>
          <cell r="AS1067" t="e">
            <v>#N/A</v>
          </cell>
          <cell r="AW1067">
            <v>0</v>
          </cell>
          <cell r="AY1067" t="str">
            <v>NB</v>
          </cell>
        </row>
        <row r="1068">
          <cell r="AM1068">
            <v>0</v>
          </cell>
          <cell r="AP1068">
            <v>0</v>
          </cell>
          <cell r="AQ1068">
            <v>0</v>
          </cell>
          <cell r="AR1068" t="str">
            <v>$</v>
          </cell>
          <cell r="AS1068">
            <v>0</v>
          </cell>
          <cell r="AW1068">
            <v>0</v>
          </cell>
          <cell r="AY1068" t="str">
            <v>NB</v>
          </cell>
        </row>
        <row r="1069">
          <cell r="AM1069">
            <v>0</v>
          </cell>
          <cell r="AP1069" t="e">
            <v>#N/A</v>
          </cell>
          <cell r="AQ1069" t="e">
            <v>#N/A</v>
          </cell>
          <cell r="AR1069" t="str">
            <v>$</v>
          </cell>
          <cell r="AS1069" t="e">
            <v>#N/A</v>
          </cell>
          <cell r="AW1069">
            <v>0</v>
          </cell>
          <cell r="AY1069" t="str">
            <v>NB</v>
          </cell>
        </row>
        <row r="1070">
          <cell r="AM1070">
            <v>0</v>
          </cell>
          <cell r="AP1070" t="e">
            <v>#N/A</v>
          </cell>
          <cell r="AQ1070" t="e">
            <v>#N/A</v>
          </cell>
          <cell r="AR1070" t="str">
            <v>$</v>
          </cell>
          <cell r="AS1070" t="e">
            <v>#N/A</v>
          </cell>
          <cell r="AW1070">
            <v>0</v>
          </cell>
          <cell r="AY1070" t="str">
            <v>NB</v>
          </cell>
        </row>
        <row r="1071">
          <cell r="AM1071">
            <v>0</v>
          </cell>
          <cell r="AP1071" t="e">
            <v>#N/A</v>
          </cell>
          <cell r="AQ1071" t="e">
            <v>#N/A</v>
          </cell>
          <cell r="AR1071" t="str">
            <v>$</v>
          </cell>
          <cell r="AS1071" t="e">
            <v>#N/A</v>
          </cell>
          <cell r="AW1071">
            <v>0</v>
          </cell>
          <cell r="AY1071" t="str">
            <v>NB</v>
          </cell>
        </row>
        <row r="1072">
          <cell r="AM1072">
            <v>0</v>
          </cell>
          <cell r="AP1072" t="e">
            <v>#N/A</v>
          </cell>
          <cell r="AQ1072" t="e">
            <v>#N/A</v>
          </cell>
          <cell r="AR1072" t="str">
            <v>$</v>
          </cell>
          <cell r="AS1072" t="e">
            <v>#N/A</v>
          </cell>
          <cell r="AW1072">
            <v>0</v>
          </cell>
          <cell r="AY1072" t="str">
            <v>NB</v>
          </cell>
        </row>
        <row r="1073">
          <cell r="AM1073">
            <v>0</v>
          </cell>
          <cell r="AP1073" t="e">
            <v>#N/A</v>
          </cell>
          <cell r="AQ1073" t="e">
            <v>#N/A</v>
          </cell>
          <cell r="AR1073" t="str">
            <v>$</v>
          </cell>
          <cell r="AS1073" t="e">
            <v>#N/A</v>
          </cell>
          <cell r="AW1073">
            <v>0</v>
          </cell>
          <cell r="AY1073" t="str">
            <v>NB</v>
          </cell>
        </row>
        <row r="1074">
          <cell r="AM1074">
            <v>1329.1800000000003</v>
          </cell>
          <cell r="AP1074" t="str">
            <v>Véhicules neufs</v>
          </cell>
          <cell r="AQ1074" t="str">
            <v>Rev. Finances</v>
          </cell>
          <cell r="AR1074" t="str">
            <v>$</v>
          </cell>
          <cell r="AS1074" t="str">
            <v>Oui</v>
          </cell>
          <cell r="AW1074">
            <v>0</v>
          </cell>
          <cell r="AY1074" t="str">
            <v>NB</v>
          </cell>
        </row>
        <row r="1075">
          <cell r="AM1075">
            <v>0</v>
          </cell>
          <cell r="AP1075" t="e">
            <v>#N/A</v>
          </cell>
          <cell r="AQ1075" t="e">
            <v>#N/A</v>
          </cell>
          <cell r="AR1075" t="str">
            <v>$</v>
          </cell>
          <cell r="AS1075" t="e">
            <v>#N/A</v>
          </cell>
          <cell r="AW1075">
            <v>0</v>
          </cell>
          <cell r="AY1075" t="str">
            <v>NB</v>
          </cell>
        </row>
        <row r="1076">
          <cell r="AM1076">
            <v>-1494.3100000000013</v>
          </cell>
          <cell r="AP1076" t="str">
            <v>Véhicules neufs</v>
          </cell>
          <cell r="AQ1076" t="str">
            <v>Rev. Protections</v>
          </cell>
          <cell r="AR1076" t="str">
            <v>$</v>
          </cell>
          <cell r="AS1076" t="str">
            <v>Oui</v>
          </cell>
          <cell r="AW1076">
            <v>3</v>
          </cell>
          <cell r="AY1076" t="str">
            <v>NB</v>
          </cell>
        </row>
        <row r="1077">
          <cell r="AM1077">
            <v>0</v>
          </cell>
          <cell r="AP1077" t="e">
            <v>#N/A</v>
          </cell>
          <cell r="AQ1077" t="e">
            <v>#N/A</v>
          </cell>
          <cell r="AR1077" t="str">
            <v>$</v>
          </cell>
          <cell r="AS1077" t="e">
            <v>#N/A</v>
          </cell>
          <cell r="AW1077">
            <v>0</v>
          </cell>
          <cell r="AY1077" t="str">
            <v>NB</v>
          </cell>
        </row>
        <row r="1078">
          <cell r="AM1078">
            <v>-4680.1399999999994</v>
          </cell>
          <cell r="AP1078" t="str">
            <v>Véhicules usagés</v>
          </cell>
          <cell r="AQ1078" t="str">
            <v>Rev. Finances</v>
          </cell>
          <cell r="AR1078" t="str">
            <v>$</v>
          </cell>
          <cell r="AS1078" t="str">
            <v>Oui</v>
          </cell>
          <cell r="AW1078">
            <v>4</v>
          </cell>
          <cell r="AY1078" t="str">
            <v>NB</v>
          </cell>
        </row>
        <row r="1079">
          <cell r="AM1079">
            <v>0</v>
          </cell>
          <cell r="AP1079" t="e">
            <v>#N/A</v>
          </cell>
          <cell r="AQ1079" t="e">
            <v>#N/A</v>
          </cell>
          <cell r="AR1079" t="str">
            <v>$</v>
          </cell>
          <cell r="AS1079" t="e">
            <v>#N/A</v>
          </cell>
          <cell r="AW1079">
            <v>0</v>
          </cell>
          <cell r="AY1079" t="str">
            <v>NB</v>
          </cell>
        </row>
        <row r="1080">
          <cell r="AM1080">
            <v>0</v>
          </cell>
          <cell r="AP1080" t="str">
            <v>Véhicules usagés</v>
          </cell>
          <cell r="AQ1080" t="str">
            <v>Rev. Protections</v>
          </cell>
          <cell r="AR1080" t="str">
            <v>$</v>
          </cell>
          <cell r="AS1080" t="str">
            <v>Oui</v>
          </cell>
          <cell r="AW1080">
            <v>0</v>
          </cell>
          <cell r="AY1080" t="str">
            <v>NB</v>
          </cell>
        </row>
        <row r="1081">
          <cell r="AM1081">
            <v>0</v>
          </cell>
          <cell r="AP1081" t="e">
            <v>#N/A</v>
          </cell>
          <cell r="AQ1081" t="e">
            <v>#N/A</v>
          </cell>
          <cell r="AR1081" t="str">
            <v>$</v>
          </cell>
          <cell r="AS1081" t="e">
            <v>#N/A</v>
          </cell>
          <cell r="AW1081">
            <v>0</v>
          </cell>
          <cell r="AY1081" t="str">
            <v>NB</v>
          </cell>
        </row>
        <row r="1082">
          <cell r="AM1082">
            <v>0</v>
          </cell>
          <cell r="AP1082" t="e">
            <v>#N/A</v>
          </cell>
          <cell r="AQ1082" t="e">
            <v>#N/A</v>
          </cell>
          <cell r="AR1082" t="str">
            <v>$</v>
          </cell>
          <cell r="AS1082" t="e">
            <v>#N/A</v>
          </cell>
          <cell r="AW1082">
            <v>0</v>
          </cell>
          <cell r="AY1082" t="str">
            <v>NB</v>
          </cell>
        </row>
        <row r="1083">
          <cell r="AM1083">
            <v>0</v>
          </cell>
          <cell r="AP1083" t="e">
            <v>#N/A</v>
          </cell>
          <cell r="AQ1083" t="e">
            <v>#N/A</v>
          </cell>
          <cell r="AR1083" t="str">
            <v>$</v>
          </cell>
          <cell r="AS1083" t="e">
            <v>#N/A</v>
          </cell>
          <cell r="AW1083">
            <v>0</v>
          </cell>
          <cell r="AY1083" t="str">
            <v>NB</v>
          </cell>
        </row>
        <row r="1084">
          <cell r="AM1084">
            <v>0</v>
          </cell>
          <cell r="AP1084" t="e">
            <v>#N/A</v>
          </cell>
          <cell r="AQ1084" t="e">
            <v>#N/A</v>
          </cell>
          <cell r="AR1084" t="str">
            <v>$</v>
          </cell>
          <cell r="AS1084" t="e">
            <v>#N/A</v>
          </cell>
          <cell r="AW1084">
            <v>0</v>
          </cell>
          <cell r="AY1084" t="str">
            <v>NB</v>
          </cell>
        </row>
        <row r="1085">
          <cell r="AM1085">
            <v>0</v>
          </cell>
          <cell r="AP1085" t="e">
            <v>#N/A</v>
          </cell>
          <cell r="AQ1085" t="e">
            <v>#N/A</v>
          </cell>
          <cell r="AR1085" t="str">
            <v>$</v>
          </cell>
          <cell r="AS1085" t="e">
            <v>#N/A</v>
          </cell>
          <cell r="AW1085">
            <v>0</v>
          </cell>
          <cell r="AY1085" t="str">
            <v>NB</v>
          </cell>
        </row>
        <row r="1086">
          <cell r="AM1086">
            <v>0</v>
          </cell>
          <cell r="AP1086" t="e">
            <v>#N/A</v>
          </cell>
          <cell r="AQ1086" t="e">
            <v>#N/A</v>
          </cell>
          <cell r="AR1086" t="str">
            <v>$</v>
          </cell>
          <cell r="AS1086" t="e">
            <v>#N/A</v>
          </cell>
          <cell r="AW1086">
            <v>0</v>
          </cell>
          <cell r="AY1086" t="str">
            <v>NB</v>
          </cell>
        </row>
        <row r="1087">
          <cell r="AM1087">
            <v>0</v>
          </cell>
          <cell r="AP1087" t="e">
            <v>#N/A</v>
          </cell>
          <cell r="AQ1087" t="e">
            <v>#N/A</v>
          </cell>
          <cell r="AR1087" t="str">
            <v>$</v>
          </cell>
          <cell r="AS1087" t="e">
            <v>#N/A</v>
          </cell>
          <cell r="AW1087">
            <v>0</v>
          </cell>
          <cell r="AY1087" t="str">
            <v>NB</v>
          </cell>
        </row>
        <row r="1088">
          <cell r="AM1088">
            <v>0</v>
          </cell>
          <cell r="AP1088" t="e">
            <v>#N/A</v>
          </cell>
          <cell r="AQ1088" t="e">
            <v>#N/A</v>
          </cell>
          <cell r="AR1088" t="str">
            <v>$</v>
          </cell>
          <cell r="AS1088" t="e">
            <v>#N/A</v>
          </cell>
          <cell r="AW1088">
            <v>0</v>
          </cell>
          <cell r="AY1088" t="str">
            <v>NB</v>
          </cell>
        </row>
        <row r="1089">
          <cell r="AM1089">
            <v>0</v>
          </cell>
          <cell r="AP1089" t="e">
            <v>#N/A</v>
          </cell>
          <cell r="AQ1089" t="e">
            <v>#N/A</v>
          </cell>
          <cell r="AR1089" t="str">
            <v>$</v>
          </cell>
          <cell r="AS1089" t="e">
            <v>#N/A</v>
          </cell>
          <cell r="AW1089">
            <v>0</v>
          </cell>
          <cell r="AY1089" t="str">
            <v>NB</v>
          </cell>
        </row>
        <row r="1090">
          <cell r="AM1090">
            <v>0</v>
          </cell>
          <cell r="AP1090">
            <v>0</v>
          </cell>
          <cell r="AQ1090">
            <v>0</v>
          </cell>
          <cell r="AR1090" t="str">
            <v>$</v>
          </cell>
          <cell r="AS1090">
            <v>0</v>
          </cell>
          <cell r="AW1090">
            <v>0</v>
          </cell>
          <cell r="AY1090" t="str">
            <v>NB</v>
          </cell>
        </row>
        <row r="1091">
          <cell r="AM1091">
            <v>0</v>
          </cell>
          <cell r="AP1091" t="e">
            <v>#N/A</v>
          </cell>
          <cell r="AQ1091" t="e">
            <v>#N/A</v>
          </cell>
          <cell r="AR1091" t="str">
            <v>$</v>
          </cell>
          <cell r="AS1091" t="e">
            <v>#N/A</v>
          </cell>
          <cell r="AW1091">
            <v>0</v>
          </cell>
          <cell r="AY1091" t="str">
            <v>NB</v>
          </cell>
        </row>
        <row r="1092">
          <cell r="AM1092">
            <v>0</v>
          </cell>
          <cell r="AP1092">
            <v>0</v>
          </cell>
          <cell r="AQ1092">
            <v>0</v>
          </cell>
          <cell r="AR1092" t="str">
            <v>$</v>
          </cell>
          <cell r="AS1092">
            <v>0</v>
          </cell>
          <cell r="AW1092">
            <v>0</v>
          </cell>
          <cell r="AY1092" t="str">
            <v>NB</v>
          </cell>
        </row>
        <row r="1093">
          <cell r="AM1093">
            <v>0</v>
          </cell>
          <cell r="AP1093" t="e">
            <v>#N/A</v>
          </cell>
          <cell r="AQ1093" t="e">
            <v>#N/A</v>
          </cell>
          <cell r="AR1093" t="str">
            <v>$</v>
          </cell>
          <cell r="AS1093" t="e">
            <v>#N/A</v>
          </cell>
          <cell r="AW1093">
            <v>0</v>
          </cell>
          <cell r="AY1093" t="str">
            <v>NB</v>
          </cell>
        </row>
        <row r="1094">
          <cell r="AM1094">
            <v>14134.039999999994</v>
          </cell>
          <cell r="AP1094" t="str">
            <v>Véhicules neufs</v>
          </cell>
          <cell r="AQ1094" t="str">
            <v>Comm. F&amp;I</v>
          </cell>
          <cell r="AR1094" t="str">
            <v>$</v>
          </cell>
          <cell r="AS1094">
            <v>0</v>
          </cell>
          <cell r="AW1094">
            <v>0</v>
          </cell>
          <cell r="AY1094" t="str">
            <v>NB</v>
          </cell>
        </row>
        <row r="1095">
          <cell r="AM1095">
            <v>0</v>
          </cell>
          <cell r="AP1095" t="e">
            <v>#N/A</v>
          </cell>
          <cell r="AQ1095" t="e">
            <v>#N/A</v>
          </cell>
          <cell r="AR1095" t="str">
            <v>$</v>
          </cell>
          <cell r="AS1095" t="e">
            <v>#N/A</v>
          </cell>
          <cell r="AW1095">
            <v>0</v>
          </cell>
          <cell r="AY1095" t="str">
            <v>NB</v>
          </cell>
        </row>
        <row r="1096">
          <cell r="AM1096">
            <v>2538.5999999999985</v>
          </cell>
          <cell r="AP1096" t="str">
            <v>Véhicules usagés</v>
          </cell>
          <cell r="AQ1096" t="str">
            <v>Comm. F&amp;I</v>
          </cell>
          <cell r="AR1096" t="str">
            <v>$</v>
          </cell>
          <cell r="AS1096">
            <v>0</v>
          </cell>
          <cell r="AW1096">
            <v>0</v>
          </cell>
          <cell r="AY1096" t="str">
            <v>NB</v>
          </cell>
        </row>
        <row r="1097">
          <cell r="AM1097">
            <v>0</v>
          </cell>
          <cell r="AP1097" t="e">
            <v>#N/A</v>
          </cell>
          <cell r="AQ1097" t="e">
            <v>#N/A</v>
          </cell>
          <cell r="AR1097" t="str">
            <v>$</v>
          </cell>
          <cell r="AS1097" t="e">
            <v>#N/A</v>
          </cell>
          <cell r="AW1097">
            <v>0</v>
          </cell>
          <cell r="AY1097" t="str">
            <v>NB</v>
          </cell>
        </row>
        <row r="1098">
          <cell r="AM1098">
            <v>0</v>
          </cell>
          <cell r="AP1098" t="e">
            <v>#N/A</v>
          </cell>
          <cell r="AQ1098" t="e">
            <v>#N/A</v>
          </cell>
          <cell r="AR1098" t="str">
            <v>$</v>
          </cell>
          <cell r="AS1098" t="e">
            <v>#N/A</v>
          </cell>
          <cell r="AW1098">
            <v>0</v>
          </cell>
          <cell r="AY1098" t="str">
            <v>NB</v>
          </cell>
        </row>
        <row r="1099">
          <cell r="AM1099">
            <v>0</v>
          </cell>
          <cell r="AP1099" t="e">
            <v>#N/A</v>
          </cell>
          <cell r="AQ1099" t="e">
            <v>#N/A</v>
          </cell>
          <cell r="AR1099" t="str">
            <v>$</v>
          </cell>
          <cell r="AS1099" t="e">
            <v>#N/A</v>
          </cell>
          <cell r="AW1099">
            <v>0</v>
          </cell>
          <cell r="AY1099" t="str">
            <v>NB</v>
          </cell>
        </row>
        <row r="1100">
          <cell r="AM1100">
            <v>0</v>
          </cell>
          <cell r="AP1100">
            <v>0</v>
          </cell>
          <cell r="AQ1100">
            <v>0</v>
          </cell>
          <cell r="AR1100" t="str">
            <v>$</v>
          </cell>
          <cell r="AS1100">
            <v>0</v>
          </cell>
          <cell r="AW1100">
            <v>0</v>
          </cell>
          <cell r="AY1100" t="str">
            <v>NB</v>
          </cell>
        </row>
        <row r="1101">
          <cell r="AM1101">
            <v>0</v>
          </cell>
          <cell r="AP1101" t="e">
            <v>#N/A</v>
          </cell>
          <cell r="AQ1101" t="e">
            <v>#N/A</v>
          </cell>
          <cell r="AR1101" t="str">
            <v>$</v>
          </cell>
          <cell r="AS1101" t="e">
            <v>#N/A</v>
          </cell>
          <cell r="AW1101">
            <v>0</v>
          </cell>
          <cell r="AY1101" t="str">
            <v>NB</v>
          </cell>
        </row>
        <row r="1102">
          <cell r="AM1102">
            <v>0</v>
          </cell>
          <cell r="AP1102" t="e">
            <v>#N/A</v>
          </cell>
          <cell r="AQ1102" t="e">
            <v>#N/A</v>
          </cell>
          <cell r="AR1102" t="str">
            <v>$</v>
          </cell>
          <cell r="AS1102" t="e">
            <v>#N/A</v>
          </cell>
          <cell r="AW1102">
            <v>0</v>
          </cell>
          <cell r="AY1102" t="str">
            <v>NB</v>
          </cell>
        </row>
        <row r="1103">
          <cell r="AM1103">
            <v>-8946.8000000000029</v>
          </cell>
          <cell r="AP1103" t="str">
            <v>TOTAL DES REVENUS ET DÉPENSES</v>
          </cell>
          <cell r="AQ1103" t="str">
            <v>Revenus autres</v>
          </cell>
          <cell r="AR1103" t="str">
            <v>$</v>
          </cell>
          <cell r="AS1103">
            <v>0</v>
          </cell>
          <cell r="AW1103">
            <v>-6</v>
          </cell>
          <cell r="AY1103" t="str">
            <v>NB</v>
          </cell>
        </row>
        <row r="1104">
          <cell r="AM1104">
            <v>0</v>
          </cell>
          <cell r="AP1104" t="e">
            <v>#N/A</v>
          </cell>
          <cell r="AQ1104" t="e">
            <v>#N/A</v>
          </cell>
          <cell r="AR1104" t="str">
            <v>$</v>
          </cell>
          <cell r="AS1104" t="e">
            <v>#N/A</v>
          </cell>
          <cell r="AW1104">
            <v>0</v>
          </cell>
          <cell r="AY1104" t="str">
            <v>NB</v>
          </cell>
        </row>
        <row r="1105">
          <cell r="AM1105">
            <v>-9563.86</v>
          </cell>
          <cell r="AP1105" t="str">
            <v>Véhicules neufs</v>
          </cell>
          <cell r="AQ1105" t="str">
            <v>Crédit Boni TD</v>
          </cell>
          <cell r="AR1105" t="str">
            <v>$</v>
          </cell>
          <cell r="AS1105">
            <v>0</v>
          </cell>
          <cell r="AW1105">
            <v>1</v>
          </cell>
          <cell r="AY1105" t="str">
            <v>NB</v>
          </cell>
        </row>
        <row r="1106">
          <cell r="AM1106">
            <v>-1145.8900000000067</v>
          </cell>
          <cell r="AP1106" t="str">
            <v>Véhicules usagés</v>
          </cell>
          <cell r="AQ1106" t="str">
            <v>Crédit Boni TD</v>
          </cell>
          <cell r="AR1106" t="str">
            <v>$</v>
          </cell>
          <cell r="AS1106">
            <v>0</v>
          </cell>
          <cell r="AW1106">
            <v>1</v>
          </cell>
          <cell r="AY1106" t="str">
            <v>NB</v>
          </cell>
        </row>
        <row r="1107">
          <cell r="AM1107">
            <v>-926.85000000000036</v>
          </cell>
          <cell r="AP1107" t="str">
            <v>Wholesale autres</v>
          </cell>
          <cell r="AQ1107" t="str">
            <v>Crédit Boni TD</v>
          </cell>
          <cell r="AR1107" t="str">
            <v>$</v>
          </cell>
          <cell r="AS1107">
            <v>0</v>
          </cell>
          <cell r="AW1107">
            <v>1</v>
          </cell>
          <cell r="AY1107" t="str">
            <v>NB</v>
          </cell>
        </row>
        <row r="1108">
          <cell r="AM1108">
            <v>-12800.5</v>
          </cell>
          <cell r="AP1108" t="str">
            <v>TOTAL DES REVENUS ET DÉPENSES</v>
          </cell>
          <cell r="AQ1108" t="str">
            <v>Intérêts sur prêt</v>
          </cell>
          <cell r="AR1108" t="str">
            <v>$</v>
          </cell>
          <cell r="AS1108">
            <v>0</v>
          </cell>
          <cell r="AW1108">
            <v>2</v>
          </cell>
          <cell r="AY1108" t="str">
            <v>NB</v>
          </cell>
        </row>
        <row r="1109">
          <cell r="AM1109">
            <v>0</v>
          </cell>
          <cell r="AP1109" t="str">
            <v>TOTAL DES REVENUS ET DÉPENSES</v>
          </cell>
          <cell r="AQ1109" t="str">
            <v>Revenus d'intérêts Floor plan</v>
          </cell>
          <cell r="AR1109" t="str">
            <v>$</v>
          </cell>
          <cell r="AS1109">
            <v>0</v>
          </cell>
          <cell r="AW1109">
            <v>0</v>
          </cell>
          <cell r="AY1109" t="str">
            <v>NB</v>
          </cell>
        </row>
        <row r="1110">
          <cell r="AM1110">
            <v>-178.07</v>
          </cell>
          <cell r="AP1110" t="str">
            <v>TOTAL DES REVENUS ET DÉPENSES</v>
          </cell>
          <cell r="AQ1110" t="str">
            <v>Intérêts sur marge</v>
          </cell>
          <cell r="AR1110" t="str">
            <v>$</v>
          </cell>
          <cell r="AS1110">
            <v>0</v>
          </cell>
          <cell r="AW1110">
            <v>2</v>
          </cell>
          <cell r="AY1110" t="str">
            <v>NB</v>
          </cell>
        </row>
        <row r="1111">
          <cell r="AM1111">
            <v>-45385.709999999992</v>
          </cell>
          <cell r="AP1111" t="str">
            <v>Véhicules neufs</v>
          </cell>
          <cell r="AQ1111" t="str">
            <v>Programme Excellence</v>
          </cell>
          <cell r="AR1111" t="str">
            <v>$</v>
          </cell>
          <cell r="AS1111">
            <v>0</v>
          </cell>
          <cell r="AW1111">
            <v>19</v>
          </cell>
          <cell r="AY1111" t="str">
            <v>NB</v>
          </cell>
        </row>
        <row r="1112">
          <cell r="AM1112">
            <v>0</v>
          </cell>
          <cell r="AP1112" t="e">
            <v>#N/A</v>
          </cell>
          <cell r="AQ1112" t="e">
            <v>#N/A</v>
          </cell>
          <cell r="AR1112" t="str">
            <v>$</v>
          </cell>
          <cell r="AS1112" t="e">
            <v>#N/A</v>
          </cell>
          <cell r="AW1112">
            <v>0</v>
          </cell>
          <cell r="AY1112" t="str">
            <v>NB</v>
          </cell>
        </row>
        <row r="1113">
          <cell r="AM1113">
            <v>0</v>
          </cell>
          <cell r="AP1113" t="e">
            <v>#N/A</v>
          </cell>
          <cell r="AQ1113" t="e">
            <v>#N/A</v>
          </cell>
          <cell r="AR1113" t="str">
            <v>$</v>
          </cell>
          <cell r="AS1113" t="e">
            <v>#N/A</v>
          </cell>
          <cell r="AW1113">
            <v>0</v>
          </cell>
          <cell r="AY1113" t="str">
            <v>NB</v>
          </cell>
        </row>
        <row r="1114">
          <cell r="AM1114">
            <v>1316.7799999999988</v>
          </cell>
          <cell r="AP1114" t="str">
            <v>TOTAL DES REVENUS ET DÉPENSES</v>
          </cell>
          <cell r="AQ1114" t="str">
            <v>Revenus autres</v>
          </cell>
          <cell r="AR1114" t="str">
            <v>$</v>
          </cell>
          <cell r="AS1114">
            <v>0</v>
          </cell>
          <cell r="AW1114">
            <v>0</v>
          </cell>
          <cell r="AY1114" t="str">
            <v>NB</v>
          </cell>
        </row>
        <row r="1115">
          <cell r="AM1115">
            <v>20687.709999999992</v>
          </cell>
          <cell r="AP1115" t="str">
            <v>TOTAL DES REVENUS ET DÉPENSES</v>
          </cell>
          <cell r="AQ1115" t="str">
            <v>Intérêts sur prêt</v>
          </cell>
          <cell r="AR1115" t="str">
            <v>$</v>
          </cell>
          <cell r="AS1115">
            <v>0</v>
          </cell>
          <cell r="AW1115">
            <v>0</v>
          </cell>
          <cell r="AY1115" t="str">
            <v>NB</v>
          </cell>
        </row>
        <row r="1116">
          <cell r="AM1116">
            <v>0</v>
          </cell>
          <cell r="AP1116" t="str">
            <v>TOTAL DES REVENUS ET DÉPENSES</v>
          </cell>
          <cell r="AQ1116" t="str">
            <v>Revenus autres</v>
          </cell>
          <cell r="AR1116" t="str">
            <v>$</v>
          </cell>
          <cell r="AS1116">
            <v>0</v>
          </cell>
          <cell r="AW1116">
            <v>0</v>
          </cell>
          <cell r="AY1116" t="str">
            <v>NB</v>
          </cell>
        </row>
        <row r="1117">
          <cell r="AM1117">
            <v>0</v>
          </cell>
          <cell r="AP1117" t="e">
            <v>#N/A</v>
          </cell>
          <cell r="AQ1117" t="e">
            <v>#N/A</v>
          </cell>
          <cell r="AR1117" t="str">
            <v>$</v>
          </cell>
          <cell r="AS1117" t="e">
            <v>#N/A</v>
          </cell>
          <cell r="AW1117">
            <v>0</v>
          </cell>
          <cell r="AY1117" t="str">
            <v>NB</v>
          </cell>
        </row>
        <row r="1118">
          <cell r="AM1118">
            <v>0</v>
          </cell>
          <cell r="AP1118" t="str">
            <v>Wholesale autres</v>
          </cell>
          <cell r="AQ1118" t="str">
            <v>Frais de livraison</v>
          </cell>
          <cell r="AR1118" t="str">
            <v>$</v>
          </cell>
          <cell r="AS1118">
            <v>0</v>
          </cell>
          <cell r="AW1118">
            <v>0</v>
          </cell>
          <cell r="AY1118" t="str">
            <v>NB</v>
          </cell>
        </row>
      </sheetData>
      <sheetData sheetId="14"/>
      <sheetData sheetId="15">
        <row r="2">
          <cell r="AM2" t="str">
            <v>Solde courant</v>
          </cell>
          <cell r="AP2" t="str">
            <v>Debits</v>
          </cell>
          <cell r="AQ2" t="str">
            <v>Classification</v>
          </cell>
          <cell r="AR2" t="str">
            <v>$ / NB</v>
          </cell>
          <cell r="AS2" t="str">
            <v>Ventes</v>
          </cell>
          <cell r="AW2" t="str">
            <v>Solde courant</v>
          </cell>
          <cell r="AY2" t="str">
            <v>$ / NB</v>
          </cell>
        </row>
        <row r="3">
          <cell r="AM3">
            <v>61855.409999999974</v>
          </cell>
          <cell r="AP3" t="str">
            <v>Véhicules neufs</v>
          </cell>
          <cell r="AQ3" t="str">
            <v>Comm. vendeurs</v>
          </cell>
          <cell r="AR3" t="str">
            <v>$</v>
          </cell>
          <cell r="AS3">
            <v>0</v>
          </cell>
          <cell r="AW3">
            <v>0</v>
          </cell>
          <cell r="AY3" t="str">
            <v>NB</v>
          </cell>
        </row>
        <row r="4">
          <cell r="AM4">
            <v>22985.690000000002</v>
          </cell>
          <cell r="AP4" t="str">
            <v>Véhicules usagés</v>
          </cell>
          <cell r="AQ4" t="str">
            <v>Comm. vendeurs</v>
          </cell>
          <cell r="AR4" t="str">
            <v>$</v>
          </cell>
          <cell r="AS4">
            <v>0</v>
          </cell>
          <cell r="AW4">
            <v>0</v>
          </cell>
          <cell r="AY4" t="str">
            <v>NB</v>
          </cell>
        </row>
        <row r="5">
          <cell r="AM5">
            <v>0</v>
          </cell>
          <cell r="AP5" t="str">
            <v>Wholesale autres</v>
          </cell>
          <cell r="AQ5" t="str">
            <v>Comm. vendeurs</v>
          </cell>
          <cell r="AR5" t="str">
            <v>$</v>
          </cell>
          <cell r="AS5">
            <v>0</v>
          </cell>
          <cell r="AW5">
            <v>0</v>
          </cell>
          <cell r="AY5" t="str">
            <v>NB</v>
          </cell>
        </row>
        <row r="6">
          <cell r="AM6">
            <v>-2141.6999999999971</v>
          </cell>
          <cell r="AP6" t="str">
            <v>Véhicules neufs</v>
          </cell>
          <cell r="AQ6" t="str">
            <v>Frais de livraison</v>
          </cell>
          <cell r="AR6" t="str">
            <v>$</v>
          </cell>
          <cell r="AS6">
            <v>0</v>
          </cell>
          <cell r="AW6">
            <v>0</v>
          </cell>
          <cell r="AY6" t="str">
            <v>NB</v>
          </cell>
        </row>
        <row r="7">
          <cell r="AM7">
            <v>-5568.7800000000007</v>
          </cell>
          <cell r="AP7" t="str">
            <v>Véhicules usagés</v>
          </cell>
          <cell r="AQ7" t="str">
            <v>Frais de livraison</v>
          </cell>
          <cell r="AR7" t="str">
            <v>$</v>
          </cell>
          <cell r="AS7">
            <v>0</v>
          </cell>
          <cell r="AW7">
            <v>0</v>
          </cell>
          <cell r="AY7" t="str">
            <v>NB</v>
          </cell>
        </row>
        <row r="8">
          <cell r="AM8">
            <v>2205.46</v>
          </cell>
          <cell r="AP8" t="str">
            <v>Wholesale autres</v>
          </cell>
          <cell r="AQ8" t="str">
            <v>Frais de livraison</v>
          </cell>
          <cell r="AR8" t="str">
            <v>$</v>
          </cell>
          <cell r="AS8">
            <v>0</v>
          </cell>
          <cell r="AW8">
            <v>0</v>
          </cell>
          <cell r="AY8" t="str">
            <v>NB</v>
          </cell>
        </row>
        <row r="9">
          <cell r="AM9">
            <v>343.28999999999996</v>
          </cell>
          <cell r="AP9" t="str">
            <v>Véhicules neufs</v>
          </cell>
          <cell r="AQ9" t="str">
            <v>Service gratuit 1</v>
          </cell>
          <cell r="AR9" t="str">
            <v>$</v>
          </cell>
          <cell r="AS9">
            <v>0</v>
          </cell>
          <cell r="AW9">
            <v>0</v>
          </cell>
          <cell r="AY9" t="str">
            <v>NB</v>
          </cell>
        </row>
        <row r="10">
          <cell r="AM10">
            <v>128.73000000000002</v>
          </cell>
          <cell r="AP10" t="str">
            <v>Véhicules usagés</v>
          </cell>
          <cell r="AQ10" t="str">
            <v>Service gratuit 1</v>
          </cell>
          <cell r="AR10" t="str">
            <v>$</v>
          </cell>
          <cell r="AS10">
            <v>0</v>
          </cell>
          <cell r="AW10">
            <v>0</v>
          </cell>
          <cell r="AY10" t="str">
            <v>NB</v>
          </cell>
        </row>
        <row r="11">
          <cell r="AM11">
            <v>0</v>
          </cell>
          <cell r="AP11" t="str">
            <v>Wholesale autres</v>
          </cell>
          <cell r="AQ11" t="str">
            <v>Service gratuit 1</v>
          </cell>
          <cell r="AR11" t="str">
            <v>$</v>
          </cell>
          <cell r="AS11">
            <v>0</v>
          </cell>
          <cell r="AW11">
            <v>0</v>
          </cell>
          <cell r="AY11" t="str">
            <v>NB</v>
          </cell>
        </row>
        <row r="12">
          <cell r="AM12">
            <v>0</v>
          </cell>
          <cell r="AP12" t="e">
            <v>#N/A</v>
          </cell>
          <cell r="AQ12" t="e">
            <v>#N/A</v>
          </cell>
          <cell r="AR12" t="str">
            <v>$</v>
          </cell>
          <cell r="AS12" t="e">
            <v>#N/A</v>
          </cell>
          <cell r="AW12">
            <v>0</v>
          </cell>
          <cell r="AY12" t="str">
            <v>NB</v>
          </cell>
        </row>
        <row r="13">
          <cell r="AM13">
            <v>756.65999999998894</v>
          </cell>
          <cell r="AP13" t="str">
            <v>Véhicules neufs</v>
          </cell>
          <cell r="AQ13" t="str">
            <v>Salaires propriétaire</v>
          </cell>
          <cell r="AR13" t="str">
            <v>$</v>
          </cell>
          <cell r="AS13">
            <v>0</v>
          </cell>
          <cell r="AW13">
            <v>0</v>
          </cell>
          <cell r="AY13" t="str">
            <v>NB</v>
          </cell>
        </row>
        <row r="14">
          <cell r="AM14">
            <v>504.43000000000029</v>
          </cell>
          <cell r="AP14" t="str">
            <v>Véhicules usagés</v>
          </cell>
          <cell r="AQ14" t="str">
            <v>Salaires propriétaire</v>
          </cell>
          <cell r="AR14" t="str">
            <v>$</v>
          </cell>
          <cell r="AS14">
            <v>0</v>
          </cell>
          <cell r="AW14">
            <v>0</v>
          </cell>
          <cell r="AY14" t="str">
            <v>NB</v>
          </cell>
        </row>
        <row r="15">
          <cell r="AM15">
            <v>756.65999999998894</v>
          </cell>
          <cell r="AP15" t="str">
            <v>Service</v>
          </cell>
          <cell r="AQ15" t="str">
            <v>Salaires propriétaire</v>
          </cell>
          <cell r="AR15" t="str">
            <v>$</v>
          </cell>
          <cell r="AS15">
            <v>0</v>
          </cell>
          <cell r="AW15">
            <v>0</v>
          </cell>
          <cell r="AY15" t="str">
            <v>NB</v>
          </cell>
        </row>
        <row r="16">
          <cell r="AM16">
            <v>252.22000000000116</v>
          </cell>
          <cell r="AP16" t="str">
            <v>Carrosserie</v>
          </cell>
          <cell r="AQ16" t="str">
            <v>Salaires propriétaire</v>
          </cell>
          <cell r="AR16" t="str">
            <v>$</v>
          </cell>
          <cell r="AS16">
            <v>0</v>
          </cell>
          <cell r="AW16">
            <v>0</v>
          </cell>
          <cell r="AY16" t="str">
            <v>NB</v>
          </cell>
        </row>
        <row r="17">
          <cell r="AM17">
            <v>252.21000000000276</v>
          </cell>
          <cell r="AP17" t="str">
            <v>Pièces</v>
          </cell>
          <cell r="AQ17" t="str">
            <v>Salaires propriétaire</v>
          </cell>
          <cell r="AR17" t="str">
            <v>$</v>
          </cell>
          <cell r="AS17">
            <v>0</v>
          </cell>
          <cell r="AW17">
            <v>0</v>
          </cell>
          <cell r="AY17" t="str">
            <v>NB</v>
          </cell>
        </row>
        <row r="18">
          <cell r="AM18">
            <v>0</v>
          </cell>
          <cell r="AP18" t="e">
            <v>#N/A</v>
          </cell>
          <cell r="AQ18" t="e">
            <v>#N/A</v>
          </cell>
          <cell r="AR18" t="str">
            <v>$</v>
          </cell>
          <cell r="AS18" t="e">
            <v>#N/A</v>
          </cell>
          <cell r="AW18">
            <v>0</v>
          </cell>
          <cell r="AY18" t="str">
            <v>NB</v>
          </cell>
        </row>
        <row r="19">
          <cell r="AM19">
            <v>3195.3999999999942</v>
          </cell>
          <cell r="AP19" t="str">
            <v>Véhicules neufs</v>
          </cell>
          <cell r="AQ19" t="str">
            <v>Salaires cadres</v>
          </cell>
          <cell r="AR19" t="str">
            <v>$</v>
          </cell>
          <cell r="AS19">
            <v>0</v>
          </cell>
          <cell r="AW19">
            <v>0</v>
          </cell>
          <cell r="AY19" t="str">
            <v>NB</v>
          </cell>
        </row>
        <row r="20">
          <cell r="AM20">
            <v>8566.4900000000052</v>
          </cell>
          <cell r="AP20" t="str">
            <v>Véhicules usagés</v>
          </cell>
          <cell r="AQ20" t="str">
            <v>Salaires cadres</v>
          </cell>
          <cell r="AR20" t="str">
            <v>$</v>
          </cell>
          <cell r="AS20">
            <v>0</v>
          </cell>
          <cell r="AW20">
            <v>0</v>
          </cell>
          <cell r="AY20" t="str">
            <v>NB</v>
          </cell>
        </row>
        <row r="21">
          <cell r="AM21">
            <v>1000</v>
          </cell>
          <cell r="AP21" t="str">
            <v>Wholesale autres</v>
          </cell>
          <cell r="AQ21" t="str">
            <v>Salaires cadres</v>
          </cell>
          <cell r="AR21" t="str">
            <v>$</v>
          </cell>
          <cell r="AS21">
            <v>0</v>
          </cell>
          <cell r="AW21">
            <v>0</v>
          </cell>
          <cell r="AY21" t="str">
            <v>NB</v>
          </cell>
        </row>
        <row r="22">
          <cell r="AM22">
            <v>15276.050000000003</v>
          </cell>
          <cell r="AP22" t="str">
            <v>Service</v>
          </cell>
          <cell r="AQ22" t="str">
            <v>Salaires cadres</v>
          </cell>
          <cell r="AR22" t="str">
            <v>$</v>
          </cell>
          <cell r="AS22">
            <v>0</v>
          </cell>
          <cell r="AW22">
            <v>0</v>
          </cell>
          <cell r="AY22" t="str">
            <v>NB</v>
          </cell>
        </row>
        <row r="23">
          <cell r="AM23">
            <v>20900.510000000009</v>
          </cell>
          <cell r="AP23" t="str">
            <v>Carrosserie</v>
          </cell>
          <cell r="AQ23" t="str">
            <v>Salaires cadres</v>
          </cell>
          <cell r="AR23" t="str">
            <v>$</v>
          </cell>
          <cell r="AS23">
            <v>0</v>
          </cell>
          <cell r="AW23">
            <v>0</v>
          </cell>
          <cell r="AY23" t="str">
            <v>NB</v>
          </cell>
        </row>
        <row r="24">
          <cell r="AM24">
            <v>-3302.119999999999</v>
          </cell>
          <cell r="AP24" t="str">
            <v>Pièces</v>
          </cell>
          <cell r="AQ24" t="str">
            <v>Salaires cadres</v>
          </cell>
          <cell r="AR24" t="str">
            <v>$</v>
          </cell>
          <cell r="AS24">
            <v>0</v>
          </cell>
          <cell r="AW24">
            <v>0</v>
          </cell>
          <cell r="AY24" t="str">
            <v>NB</v>
          </cell>
        </row>
        <row r="25">
          <cell r="AM25">
            <v>0</v>
          </cell>
          <cell r="AP25" t="e">
            <v>#N/A</v>
          </cell>
          <cell r="AQ25" t="e">
            <v>#N/A</v>
          </cell>
          <cell r="AR25" t="str">
            <v>$</v>
          </cell>
          <cell r="AS25" t="e">
            <v>#N/A</v>
          </cell>
          <cell r="AW25">
            <v>0</v>
          </cell>
          <cell r="AY25" t="str">
            <v>NB</v>
          </cell>
        </row>
        <row r="26">
          <cell r="AM26">
            <v>33101.899999999994</v>
          </cell>
          <cell r="AP26" t="str">
            <v>Véhicules neufs</v>
          </cell>
          <cell r="AQ26" t="str">
            <v>Salaires commis</v>
          </cell>
          <cell r="AR26" t="str">
            <v>$</v>
          </cell>
          <cell r="AS26">
            <v>0</v>
          </cell>
          <cell r="AW26">
            <v>0</v>
          </cell>
          <cell r="AY26" t="str">
            <v>NB</v>
          </cell>
        </row>
        <row r="27">
          <cell r="AM27">
            <v>14083.079999999994</v>
          </cell>
          <cell r="AP27" t="str">
            <v>Véhicules usagés</v>
          </cell>
          <cell r="AQ27" t="str">
            <v>Salaires commis</v>
          </cell>
          <cell r="AR27" t="str">
            <v>$</v>
          </cell>
          <cell r="AS27">
            <v>0</v>
          </cell>
          <cell r="AW27">
            <v>0</v>
          </cell>
          <cell r="AY27" t="str">
            <v>NB</v>
          </cell>
        </row>
        <row r="28">
          <cell r="AM28">
            <v>13845.399999999994</v>
          </cell>
          <cell r="AP28" t="str">
            <v>Wholesale autres</v>
          </cell>
          <cell r="AQ28" t="str">
            <v>Salaires commis</v>
          </cell>
          <cell r="AR28" t="str">
            <v>$</v>
          </cell>
          <cell r="AS28">
            <v>0</v>
          </cell>
          <cell r="AW28">
            <v>0</v>
          </cell>
          <cell r="AY28" t="str">
            <v>NB</v>
          </cell>
        </row>
        <row r="29">
          <cell r="AM29">
            <v>27639.72</v>
          </cell>
          <cell r="AP29" t="str">
            <v>Service</v>
          </cell>
          <cell r="AQ29" t="str">
            <v>Salaires commis</v>
          </cell>
          <cell r="AR29" t="str">
            <v>$</v>
          </cell>
          <cell r="AS29">
            <v>0</v>
          </cell>
          <cell r="AW29">
            <v>0</v>
          </cell>
          <cell r="AY29" t="str">
            <v>NB</v>
          </cell>
        </row>
        <row r="30">
          <cell r="AM30">
            <v>6227.1900000000023</v>
          </cell>
          <cell r="AP30" t="str">
            <v>Carrosserie</v>
          </cell>
          <cell r="AQ30" t="str">
            <v>Salaires commis</v>
          </cell>
          <cell r="AR30" t="str">
            <v>$</v>
          </cell>
          <cell r="AS30">
            <v>0</v>
          </cell>
          <cell r="AW30">
            <v>0</v>
          </cell>
          <cell r="AY30" t="str">
            <v>NB</v>
          </cell>
        </row>
        <row r="31">
          <cell r="AM31">
            <v>3258.5399999999972</v>
          </cell>
          <cell r="AP31" t="str">
            <v>Pièces</v>
          </cell>
          <cell r="AQ31" t="str">
            <v>Salaires commis</v>
          </cell>
          <cell r="AR31" t="str">
            <v>$</v>
          </cell>
          <cell r="AS31">
            <v>0</v>
          </cell>
          <cell r="AW31">
            <v>0</v>
          </cell>
          <cell r="AY31" t="str">
            <v>NB</v>
          </cell>
        </row>
        <row r="32">
          <cell r="AM32">
            <v>0</v>
          </cell>
          <cell r="AP32" t="e">
            <v>#N/A</v>
          </cell>
          <cell r="AQ32" t="e">
            <v>#N/A</v>
          </cell>
          <cell r="AR32" t="str">
            <v>$</v>
          </cell>
          <cell r="AS32" t="e">
            <v>#N/A</v>
          </cell>
          <cell r="AW32">
            <v>0</v>
          </cell>
          <cell r="AY32" t="str">
            <v>NB</v>
          </cell>
        </row>
        <row r="33">
          <cell r="AM33">
            <v>4615.0499999999993</v>
          </cell>
          <cell r="AP33" t="str">
            <v>Véhicules neufs</v>
          </cell>
          <cell r="AQ33" t="str">
            <v>Salaires autres</v>
          </cell>
          <cell r="AR33" t="str">
            <v>$</v>
          </cell>
          <cell r="AS33">
            <v>0</v>
          </cell>
          <cell r="AW33">
            <v>0</v>
          </cell>
          <cell r="AY33" t="str">
            <v>NB</v>
          </cell>
        </row>
        <row r="34">
          <cell r="AM34">
            <v>1534.6799999999985</v>
          </cell>
          <cell r="AP34" t="str">
            <v>Véhicules usagés</v>
          </cell>
          <cell r="AQ34" t="str">
            <v>Salaires autres</v>
          </cell>
          <cell r="AR34" t="str">
            <v>$</v>
          </cell>
          <cell r="AS34">
            <v>0</v>
          </cell>
          <cell r="AW34">
            <v>0</v>
          </cell>
          <cell r="AY34" t="str">
            <v>NB</v>
          </cell>
        </row>
        <row r="35">
          <cell r="AM35">
            <v>46957.5</v>
          </cell>
          <cell r="AP35" t="str">
            <v>Wholesale autres</v>
          </cell>
          <cell r="AQ35" t="str">
            <v>Salaires autres</v>
          </cell>
          <cell r="AR35" t="str">
            <v>$</v>
          </cell>
          <cell r="AS35">
            <v>0</v>
          </cell>
          <cell r="AW35">
            <v>0</v>
          </cell>
          <cell r="AY35" t="str">
            <v>NB</v>
          </cell>
        </row>
        <row r="36">
          <cell r="AM36">
            <v>19414.080000000016</v>
          </cell>
          <cell r="AP36" t="str">
            <v>Service</v>
          </cell>
          <cell r="AQ36" t="str">
            <v>Salaires autres</v>
          </cell>
          <cell r="AR36" t="str">
            <v>$</v>
          </cell>
          <cell r="AS36">
            <v>0</v>
          </cell>
          <cell r="AW36">
            <v>0</v>
          </cell>
          <cell r="AY36" t="str">
            <v>NB</v>
          </cell>
        </row>
        <row r="37">
          <cell r="AM37">
            <v>0</v>
          </cell>
          <cell r="AP37" t="str">
            <v>Carrosserie</v>
          </cell>
          <cell r="AQ37" t="str">
            <v>Salaires autres</v>
          </cell>
          <cell r="AR37" t="str">
            <v>$</v>
          </cell>
          <cell r="AS37">
            <v>0</v>
          </cell>
          <cell r="AW37">
            <v>0</v>
          </cell>
          <cell r="AY37" t="str">
            <v>NB</v>
          </cell>
        </row>
        <row r="38">
          <cell r="AM38">
            <v>21239.360000000015</v>
          </cell>
          <cell r="AP38" t="str">
            <v>Pièces</v>
          </cell>
          <cell r="AQ38" t="str">
            <v>Salaires autres</v>
          </cell>
          <cell r="AR38" t="str">
            <v>$</v>
          </cell>
          <cell r="AS38">
            <v>0</v>
          </cell>
          <cell r="AW38">
            <v>0</v>
          </cell>
          <cell r="AY38" t="str">
            <v>NB</v>
          </cell>
        </row>
        <row r="39">
          <cell r="AM39">
            <v>0</v>
          </cell>
          <cell r="AP39" t="e">
            <v>#N/A</v>
          </cell>
          <cell r="AQ39" t="e">
            <v>#N/A</v>
          </cell>
          <cell r="AR39" t="str">
            <v>$</v>
          </cell>
          <cell r="AS39" t="e">
            <v>#N/A</v>
          </cell>
          <cell r="AW39">
            <v>0</v>
          </cell>
          <cell r="AY39" t="str">
            <v>NB</v>
          </cell>
        </row>
        <row r="40">
          <cell r="AM40">
            <v>13387.36</v>
          </cell>
          <cell r="AP40" t="str">
            <v>Véhicules neufs</v>
          </cell>
          <cell r="AQ40" t="str">
            <v>Salaires en absences</v>
          </cell>
          <cell r="AR40" t="str">
            <v>$</v>
          </cell>
          <cell r="AS40">
            <v>0</v>
          </cell>
          <cell r="AW40">
            <v>0</v>
          </cell>
          <cell r="AY40" t="str">
            <v>NB</v>
          </cell>
        </row>
        <row r="41">
          <cell r="AM41">
            <v>1439.1000000000004</v>
          </cell>
          <cell r="AP41" t="str">
            <v>Véhicules usagés</v>
          </cell>
          <cell r="AQ41" t="str">
            <v>Salaires en absences</v>
          </cell>
          <cell r="AR41" t="str">
            <v>$</v>
          </cell>
          <cell r="AS41">
            <v>0</v>
          </cell>
          <cell r="AW41">
            <v>0</v>
          </cell>
          <cell r="AY41" t="str">
            <v>NB</v>
          </cell>
        </row>
        <row r="42">
          <cell r="AM42">
            <v>2708.369999999999</v>
          </cell>
          <cell r="AP42" t="str">
            <v>Wholesale autres</v>
          </cell>
          <cell r="AQ42" t="str">
            <v>Salaires en absences</v>
          </cell>
          <cell r="AR42" t="str">
            <v>$</v>
          </cell>
          <cell r="AS42">
            <v>0</v>
          </cell>
          <cell r="AW42">
            <v>0</v>
          </cell>
          <cell r="AY42" t="str">
            <v>NB</v>
          </cell>
        </row>
        <row r="43">
          <cell r="AM43">
            <v>15591.599999999991</v>
          </cell>
          <cell r="AP43" t="str">
            <v>Service</v>
          </cell>
          <cell r="AQ43" t="str">
            <v>Salaires en absences</v>
          </cell>
          <cell r="AR43" t="str">
            <v>$</v>
          </cell>
          <cell r="AS43">
            <v>0</v>
          </cell>
          <cell r="AW43">
            <v>0</v>
          </cell>
          <cell r="AY43" t="str">
            <v>NB</v>
          </cell>
        </row>
        <row r="44">
          <cell r="AM44">
            <v>4524.4200000000019</v>
          </cell>
          <cell r="AP44" t="str">
            <v>Carrosserie</v>
          </cell>
          <cell r="AQ44" t="str">
            <v>Salaires en absences</v>
          </cell>
          <cell r="AR44" t="str">
            <v>$</v>
          </cell>
          <cell r="AS44">
            <v>0</v>
          </cell>
          <cell r="AW44">
            <v>0</v>
          </cell>
          <cell r="AY44" t="str">
            <v>NB</v>
          </cell>
        </row>
        <row r="45">
          <cell r="AM45">
            <v>2683.9300000000003</v>
          </cell>
          <cell r="AP45" t="str">
            <v>Pièces</v>
          </cell>
          <cell r="AQ45" t="str">
            <v>Salaires en absences</v>
          </cell>
          <cell r="AR45" t="str">
            <v>$</v>
          </cell>
          <cell r="AS45">
            <v>0</v>
          </cell>
          <cell r="AW45">
            <v>0</v>
          </cell>
          <cell r="AY45" t="str">
            <v>NB</v>
          </cell>
        </row>
        <row r="46">
          <cell r="AM46">
            <v>0</v>
          </cell>
          <cell r="AP46" t="e">
            <v>#N/A</v>
          </cell>
          <cell r="AQ46" t="e">
            <v>#N/A</v>
          </cell>
          <cell r="AR46" t="str">
            <v>$</v>
          </cell>
          <cell r="AS46" t="e">
            <v>#N/A</v>
          </cell>
          <cell r="AW46">
            <v>0</v>
          </cell>
          <cell r="AY46" t="str">
            <v>NB</v>
          </cell>
        </row>
        <row r="47">
          <cell r="AM47">
            <v>14720.75</v>
          </cell>
          <cell r="AP47" t="str">
            <v>Véhicules neufs</v>
          </cell>
          <cell r="AQ47" t="str">
            <v>Déduction à la source</v>
          </cell>
          <cell r="AR47" t="str">
            <v>$</v>
          </cell>
          <cell r="AS47">
            <v>0</v>
          </cell>
          <cell r="AW47">
            <v>0</v>
          </cell>
          <cell r="AY47" t="str">
            <v>NB</v>
          </cell>
        </row>
        <row r="48">
          <cell r="AM48">
            <v>1792.9300000000003</v>
          </cell>
          <cell r="AP48" t="str">
            <v>Véhicules usagés</v>
          </cell>
          <cell r="AQ48" t="str">
            <v>Déduction à la source</v>
          </cell>
          <cell r="AR48" t="str">
            <v>$</v>
          </cell>
          <cell r="AS48">
            <v>0</v>
          </cell>
          <cell r="AW48">
            <v>0</v>
          </cell>
          <cell r="AY48" t="str">
            <v>NB</v>
          </cell>
        </row>
        <row r="49">
          <cell r="AM49">
            <v>3245.260000000002</v>
          </cell>
          <cell r="AP49" t="str">
            <v>Wholesale autres</v>
          </cell>
          <cell r="AQ49" t="str">
            <v>Déduction à la source</v>
          </cell>
          <cell r="AR49" t="str">
            <v>$</v>
          </cell>
          <cell r="AS49">
            <v>0</v>
          </cell>
          <cell r="AW49">
            <v>0</v>
          </cell>
          <cell r="AY49" t="str">
            <v>NB</v>
          </cell>
        </row>
        <row r="50">
          <cell r="AM50">
            <v>15459.040000000008</v>
          </cell>
          <cell r="AP50" t="str">
            <v>Service</v>
          </cell>
          <cell r="AQ50" t="str">
            <v>Déduction à la source</v>
          </cell>
          <cell r="AR50" t="str">
            <v>$</v>
          </cell>
          <cell r="AS50">
            <v>0</v>
          </cell>
          <cell r="AW50">
            <v>0</v>
          </cell>
          <cell r="AY50" t="str">
            <v>NB</v>
          </cell>
        </row>
        <row r="51">
          <cell r="AM51">
            <v>5123.9100000000035</v>
          </cell>
          <cell r="AP51" t="str">
            <v>Carrosserie</v>
          </cell>
          <cell r="AQ51" t="str">
            <v>Déduction à la source</v>
          </cell>
          <cell r="AR51" t="str">
            <v>$</v>
          </cell>
          <cell r="AS51">
            <v>0</v>
          </cell>
          <cell r="AW51">
            <v>0</v>
          </cell>
          <cell r="AY51" t="str">
            <v>NB</v>
          </cell>
        </row>
        <row r="52">
          <cell r="AM52">
            <v>2841.1700000000019</v>
          </cell>
          <cell r="AP52" t="str">
            <v>Pièces</v>
          </cell>
          <cell r="AQ52" t="str">
            <v>Déduction à la source</v>
          </cell>
          <cell r="AR52" t="str">
            <v>$</v>
          </cell>
          <cell r="AS52">
            <v>0</v>
          </cell>
          <cell r="AW52">
            <v>0</v>
          </cell>
          <cell r="AY52" t="str">
            <v>NB</v>
          </cell>
        </row>
        <row r="53">
          <cell r="AM53">
            <v>0</v>
          </cell>
          <cell r="AP53" t="e">
            <v>#N/A</v>
          </cell>
          <cell r="AQ53" t="e">
            <v>#N/A</v>
          </cell>
          <cell r="AR53" t="str">
            <v>$</v>
          </cell>
          <cell r="AS53" t="e">
            <v>#N/A</v>
          </cell>
          <cell r="AW53">
            <v>0</v>
          </cell>
          <cell r="AY53" t="str">
            <v>NB</v>
          </cell>
        </row>
        <row r="54">
          <cell r="AM54">
            <v>4541.75</v>
          </cell>
          <cell r="AP54" t="str">
            <v>Véhicules neufs</v>
          </cell>
          <cell r="AQ54" t="str">
            <v>Bénéfices marginaux</v>
          </cell>
          <cell r="AR54" t="str">
            <v>$</v>
          </cell>
          <cell r="AS54">
            <v>0</v>
          </cell>
          <cell r="AW54">
            <v>0</v>
          </cell>
          <cell r="AY54" t="str">
            <v>NB</v>
          </cell>
        </row>
        <row r="55">
          <cell r="AM55">
            <v>3430.5800000000017</v>
          </cell>
          <cell r="AP55" t="str">
            <v>Véhicules usagés</v>
          </cell>
          <cell r="AQ55" t="str">
            <v>Bénéfices marginaux</v>
          </cell>
          <cell r="AR55" t="str">
            <v>$</v>
          </cell>
          <cell r="AS55">
            <v>0</v>
          </cell>
          <cell r="AW55">
            <v>0</v>
          </cell>
          <cell r="AY55" t="str">
            <v>NB</v>
          </cell>
        </row>
        <row r="56">
          <cell r="AM56">
            <v>311.31999999999971</v>
          </cell>
          <cell r="AP56" t="str">
            <v>Wholesale autres</v>
          </cell>
          <cell r="AQ56" t="str">
            <v>Bénéfices marginaux</v>
          </cell>
          <cell r="AR56" t="str">
            <v>$</v>
          </cell>
          <cell r="AS56">
            <v>0</v>
          </cell>
          <cell r="AW56">
            <v>0</v>
          </cell>
          <cell r="AY56" t="str">
            <v>NB</v>
          </cell>
        </row>
        <row r="57">
          <cell r="AM57">
            <v>9372.8700000000099</v>
          </cell>
          <cell r="AP57" t="str">
            <v>Service</v>
          </cell>
          <cell r="AQ57" t="str">
            <v>Bénéfices marginaux</v>
          </cell>
          <cell r="AR57" t="str">
            <v>$</v>
          </cell>
          <cell r="AS57">
            <v>0</v>
          </cell>
          <cell r="AW57">
            <v>0</v>
          </cell>
          <cell r="AY57" t="str">
            <v>NB</v>
          </cell>
        </row>
        <row r="58">
          <cell r="AM58">
            <v>2673.9199999999983</v>
          </cell>
          <cell r="AP58" t="str">
            <v>Carrosserie</v>
          </cell>
          <cell r="AQ58" t="str">
            <v>Bénéfices marginaux</v>
          </cell>
          <cell r="AR58" t="str">
            <v>$</v>
          </cell>
          <cell r="AS58">
            <v>0</v>
          </cell>
          <cell r="AW58">
            <v>0</v>
          </cell>
          <cell r="AY58" t="str">
            <v>NB</v>
          </cell>
        </row>
        <row r="59">
          <cell r="AM59">
            <v>1458.3100000000013</v>
          </cell>
          <cell r="AP59" t="str">
            <v>Pièces</v>
          </cell>
          <cell r="AQ59" t="str">
            <v>Bénéfices marginaux</v>
          </cell>
          <cell r="AR59" t="str">
            <v>$</v>
          </cell>
          <cell r="AS59">
            <v>0</v>
          </cell>
          <cell r="AW59">
            <v>0</v>
          </cell>
          <cell r="AY59" t="str">
            <v>NB</v>
          </cell>
        </row>
        <row r="60">
          <cell r="AM60">
            <v>0</v>
          </cell>
          <cell r="AP60" t="e">
            <v>#N/A</v>
          </cell>
          <cell r="AQ60" t="e">
            <v>#N/A</v>
          </cell>
          <cell r="AR60" t="str">
            <v>$</v>
          </cell>
          <cell r="AS60" t="e">
            <v>#N/A</v>
          </cell>
          <cell r="AW60">
            <v>0</v>
          </cell>
          <cell r="AY60" t="str">
            <v>NB</v>
          </cell>
        </row>
        <row r="61">
          <cell r="AM61">
            <v>0</v>
          </cell>
          <cell r="AP61" t="e">
            <v>#N/A</v>
          </cell>
          <cell r="AQ61" t="e">
            <v>#N/A</v>
          </cell>
          <cell r="AR61" t="str">
            <v>$</v>
          </cell>
          <cell r="AS61" t="e">
            <v>#N/A</v>
          </cell>
          <cell r="AW61">
            <v>0</v>
          </cell>
          <cell r="AY61" t="str">
            <v>NB</v>
          </cell>
        </row>
        <row r="62">
          <cell r="AM62">
            <v>0.15999999999996817</v>
          </cell>
          <cell r="AP62" t="str">
            <v>Véhicules neufs</v>
          </cell>
          <cell r="AQ62" t="str">
            <v>Csst</v>
          </cell>
          <cell r="AR62" t="str">
            <v>$</v>
          </cell>
          <cell r="AS62">
            <v>0</v>
          </cell>
          <cell r="AW62">
            <v>0</v>
          </cell>
          <cell r="AY62" t="str">
            <v>NB</v>
          </cell>
        </row>
        <row r="63">
          <cell r="AM63">
            <v>31.949999999999989</v>
          </cell>
          <cell r="AP63" t="str">
            <v>Véhicules usagés</v>
          </cell>
          <cell r="AQ63" t="str">
            <v>Csst</v>
          </cell>
          <cell r="AR63" t="str">
            <v>$</v>
          </cell>
          <cell r="AS63">
            <v>0</v>
          </cell>
          <cell r="AW63">
            <v>0</v>
          </cell>
          <cell r="AY63" t="str">
            <v>NB</v>
          </cell>
        </row>
        <row r="64">
          <cell r="AM64">
            <v>0</v>
          </cell>
          <cell r="AP64" t="str">
            <v>Wholesale autres</v>
          </cell>
          <cell r="AQ64" t="str">
            <v>Csst</v>
          </cell>
          <cell r="AR64" t="str">
            <v>$</v>
          </cell>
          <cell r="AS64">
            <v>0</v>
          </cell>
          <cell r="AW64">
            <v>0</v>
          </cell>
          <cell r="AY64" t="str">
            <v>NB</v>
          </cell>
        </row>
        <row r="65">
          <cell r="AM65">
            <v>819.26999999999862</v>
          </cell>
          <cell r="AP65" t="str">
            <v>Service</v>
          </cell>
          <cell r="AQ65" t="str">
            <v>Csst</v>
          </cell>
          <cell r="AR65" t="str">
            <v>$</v>
          </cell>
          <cell r="AS65">
            <v>0</v>
          </cell>
          <cell r="AW65">
            <v>0</v>
          </cell>
          <cell r="AY65" t="str">
            <v>NB</v>
          </cell>
        </row>
        <row r="66">
          <cell r="AM66">
            <v>46.259999999999991</v>
          </cell>
          <cell r="AP66" t="str">
            <v>Carrosserie</v>
          </cell>
          <cell r="AQ66" t="str">
            <v>Csst</v>
          </cell>
          <cell r="AR66" t="str">
            <v>$</v>
          </cell>
          <cell r="AS66">
            <v>0</v>
          </cell>
          <cell r="AW66">
            <v>0</v>
          </cell>
          <cell r="AY66" t="str">
            <v>NB</v>
          </cell>
        </row>
        <row r="67">
          <cell r="AM67">
            <v>183.27999999999997</v>
          </cell>
          <cell r="AP67" t="str">
            <v>Pièces</v>
          </cell>
          <cell r="AQ67" t="str">
            <v>Csst</v>
          </cell>
          <cell r="AR67" t="str">
            <v>$</v>
          </cell>
          <cell r="AS67">
            <v>0</v>
          </cell>
          <cell r="AW67">
            <v>0</v>
          </cell>
          <cell r="AY67" t="str">
            <v>NB</v>
          </cell>
        </row>
        <row r="68">
          <cell r="AM68">
            <v>0</v>
          </cell>
          <cell r="AP68" t="str">
            <v>SAAQ</v>
          </cell>
          <cell r="AQ68" t="str">
            <v>Csst</v>
          </cell>
          <cell r="AR68" t="str">
            <v>$</v>
          </cell>
          <cell r="AS68">
            <v>0</v>
          </cell>
          <cell r="AW68">
            <v>0</v>
          </cell>
          <cell r="AY68" t="str">
            <v>NB</v>
          </cell>
        </row>
        <row r="69">
          <cell r="AM69">
            <v>0</v>
          </cell>
          <cell r="AP69" t="e">
            <v>#N/A</v>
          </cell>
          <cell r="AQ69" t="e">
            <v>#N/A</v>
          </cell>
          <cell r="AR69" t="str">
            <v>$</v>
          </cell>
          <cell r="AS69" t="e">
            <v>#N/A</v>
          </cell>
          <cell r="AW69">
            <v>0</v>
          </cell>
          <cell r="AY69" t="str">
            <v>NB</v>
          </cell>
        </row>
        <row r="70">
          <cell r="AM70">
            <v>0</v>
          </cell>
          <cell r="AP70" t="e">
            <v>#N/A</v>
          </cell>
          <cell r="AQ70" t="e">
            <v>#N/A</v>
          </cell>
          <cell r="AR70" t="str">
            <v>$</v>
          </cell>
          <cell r="AS70" t="e">
            <v>#N/A</v>
          </cell>
          <cell r="AW70">
            <v>0</v>
          </cell>
          <cell r="AY70" t="str">
            <v>NB</v>
          </cell>
        </row>
        <row r="71">
          <cell r="AM71">
            <v>1214.46</v>
          </cell>
          <cell r="AP71" t="str">
            <v>Véhicules neufs</v>
          </cell>
          <cell r="AQ71" t="str">
            <v>Frais postaux</v>
          </cell>
          <cell r="AR71" t="str">
            <v>$</v>
          </cell>
          <cell r="AS71">
            <v>0</v>
          </cell>
          <cell r="AW71">
            <v>0</v>
          </cell>
          <cell r="AY71" t="str">
            <v>NB</v>
          </cell>
        </row>
        <row r="72">
          <cell r="AM72">
            <v>1586.2599999999993</v>
          </cell>
          <cell r="AP72" t="str">
            <v>Véhicules usagés</v>
          </cell>
          <cell r="AQ72" t="str">
            <v>Frais postaux</v>
          </cell>
          <cell r="AR72" t="str">
            <v>$</v>
          </cell>
          <cell r="AS72">
            <v>0</v>
          </cell>
          <cell r="AW72">
            <v>0</v>
          </cell>
          <cell r="AY72" t="str">
            <v>NB</v>
          </cell>
        </row>
        <row r="73">
          <cell r="AM73">
            <v>672.31999999999971</v>
          </cell>
          <cell r="AP73" t="str">
            <v>Wholesale autres</v>
          </cell>
          <cell r="AQ73" t="str">
            <v>Frais postaux</v>
          </cell>
          <cell r="AR73" t="str">
            <v>$</v>
          </cell>
          <cell r="AS73">
            <v>0</v>
          </cell>
          <cell r="AW73">
            <v>0</v>
          </cell>
          <cell r="AY73" t="str">
            <v>NB</v>
          </cell>
        </row>
        <row r="74">
          <cell r="AM74">
            <v>1251.0200000000004</v>
          </cell>
          <cell r="AP74" t="str">
            <v>Service</v>
          </cell>
          <cell r="AQ74" t="str">
            <v>Frais postaux</v>
          </cell>
          <cell r="AR74" t="str">
            <v>$</v>
          </cell>
          <cell r="AS74">
            <v>0</v>
          </cell>
          <cell r="AW74">
            <v>0</v>
          </cell>
          <cell r="AY74" t="str">
            <v>NB</v>
          </cell>
        </row>
        <row r="75">
          <cell r="AM75">
            <v>261.45000000000027</v>
          </cell>
          <cell r="AP75" t="str">
            <v>Carrosserie</v>
          </cell>
          <cell r="AQ75" t="str">
            <v>Frais postaux</v>
          </cell>
          <cell r="AR75" t="str">
            <v>$</v>
          </cell>
          <cell r="AS75">
            <v>0</v>
          </cell>
          <cell r="AW75">
            <v>0</v>
          </cell>
          <cell r="AY75" t="str">
            <v>NB</v>
          </cell>
        </row>
        <row r="76">
          <cell r="AM76">
            <v>661.85999999999967</v>
          </cell>
          <cell r="AP76" t="str">
            <v>Pièces</v>
          </cell>
          <cell r="AQ76" t="str">
            <v>Frais postaux</v>
          </cell>
          <cell r="AR76" t="str">
            <v>$</v>
          </cell>
          <cell r="AS76">
            <v>0</v>
          </cell>
          <cell r="AW76">
            <v>0</v>
          </cell>
          <cell r="AY76" t="str">
            <v>NB</v>
          </cell>
        </row>
        <row r="77">
          <cell r="AM77">
            <v>0</v>
          </cell>
          <cell r="AP77" t="e">
            <v>#N/A</v>
          </cell>
          <cell r="AQ77" t="e">
            <v>#N/A</v>
          </cell>
          <cell r="AR77" t="str">
            <v>$</v>
          </cell>
          <cell r="AS77" t="e">
            <v>#N/A</v>
          </cell>
          <cell r="AW77">
            <v>0</v>
          </cell>
          <cell r="AY77" t="str">
            <v>NB</v>
          </cell>
        </row>
        <row r="78">
          <cell r="AM78">
            <v>9251.3499999999913</v>
          </cell>
          <cell r="AP78" t="str">
            <v>Véhicules neufs</v>
          </cell>
          <cell r="AQ78" t="str">
            <v>Frais véhicules de cie</v>
          </cell>
          <cell r="AR78" t="str">
            <v>$</v>
          </cell>
          <cell r="AS78">
            <v>0</v>
          </cell>
          <cell r="AW78">
            <v>0</v>
          </cell>
          <cell r="AY78" t="str">
            <v>NB</v>
          </cell>
        </row>
        <row r="79">
          <cell r="AM79">
            <v>3988.6800000000021</v>
          </cell>
          <cell r="AP79" t="str">
            <v>Véhicules usagés</v>
          </cell>
          <cell r="AQ79" t="str">
            <v>Frais véhicules de cie</v>
          </cell>
          <cell r="AR79" t="str">
            <v>$</v>
          </cell>
          <cell r="AS79">
            <v>0</v>
          </cell>
          <cell r="AW79">
            <v>0</v>
          </cell>
          <cell r="AY79" t="str">
            <v>NB</v>
          </cell>
        </row>
        <row r="80">
          <cell r="AM80">
            <v>0</v>
          </cell>
          <cell r="AP80" t="str">
            <v>Wholesale autres</v>
          </cell>
          <cell r="AQ80" t="str">
            <v>Frais véhicules de cie</v>
          </cell>
          <cell r="AR80" t="str">
            <v>$</v>
          </cell>
          <cell r="AS80">
            <v>0</v>
          </cell>
          <cell r="AW80">
            <v>0</v>
          </cell>
          <cell r="AY80" t="str">
            <v>NB</v>
          </cell>
        </row>
        <row r="81">
          <cell r="AM81">
            <v>-5174.93</v>
          </cell>
          <cell r="AP81" t="str">
            <v>Service</v>
          </cell>
          <cell r="AQ81" t="str">
            <v>Frais véhicules de cie</v>
          </cell>
          <cell r="AR81" t="str">
            <v>$</v>
          </cell>
          <cell r="AS81">
            <v>0</v>
          </cell>
          <cell r="AW81">
            <v>0</v>
          </cell>
          <cell r="AY81" t="str">
            <v>NB</v>
          </cell>
        </row>
        <row r="82">
          <cell r="AM82">
            <v>1041.1599999999999</v>
          </cell>
          <cell r="AP82" t="str">
            <v>Carrosserie</v>
          </cell>
          <cell r="AQ82" t="str">
            <v>Frais véhicules de cie</v>
          </cell>
          <cell r="AR82" t="str">
            <v>$</v>
          </cell>
          <cell r="AS82">
            <v>0</v>
          </cell>
          <cell r="AW82">
            <v>0</v>
          </cell>
          <cell r="AY82" t="str">
            <v>NB</v>
          </cell>
        </row>
        <row r="83">
          <cell r="AM83">
            <v>2929.9399999999987</v>
          </cell>
          <cell r="AP83" t="str">
            <v>Pièces</v>
          </cell>
          <cell r="AQ83" t="str">
            <v>Frais véhicules de cie</v>
          </cell>
          <cell r="AR83" t="str">
            <v>$</v>
          </cell>
          <cell r="AS83">
            <v>0</v>
          </cell>
          <cell r="AW83">
            <v>0</v>
          </cell>
          <cell r="AY83" t="str">
            <v>NB</v>
          </cell>
        </row>
        <row r="84">
          <cell r="AM84">
            <v>0</v>
          </cell>
          <cell r="AP84" t="e">
            <v>#N/A</v>
          </cell>
          <cell r="AQ84" t="e">
            <v>#N/A</v>
          </cell>
          <cell r="AR84" t="str">
            <v>$</v>
          </cell>
          <cell r="AS84" t="e">
            <v>#N/A</v>
          </cell>
          <cell r="AW84">
            <v>0</v>
          </cell>
          <cell r="AY84" t="str">
            <v>NB</v>
          </cell>
        </row>
        <row r="85">
          <cell r="AM85">
            <v>0</v>
          </cell>
          <cell r="AP85">
            <v>0</v>
          </cell>
          <cell r="AQ85">
            <v>0</v>
          </cell>
          <cell r="AR85" t="str">
            <v>$</v>
          </cell>
          <cell r="AS85">
            <v>0</v>
          </cell>
          <cell r="AW85">
            <v>0</v>
          </cell>
          <cell r="AY85" t="str">
            <v>NB</v>
          </cell>
        </row>
        <row r="86">
          <cell r="AM86">
            <v>0</v>
          </cell>
          <cell r="AP86">
            <v>0</v>
          </cell>
          <cell r="AQ86">
            <v>0</v>
          </cell>
          <cell r="AR86" t="str">
            <v>$</v>
          </cell>
          <cell r="AS86">
            <v>0</v>
          </cell>
          <cell r="AW86">
            <v>0</v>
          </cell>
          <cell r="AY86" t="str">
            <v>NB</v>
          </cell>
        </row>
        <row r="87">
          <cell r="AM87">
            <v>0</v>
          </cell>
          <cell r="AP87">
            <v>0</v>
          </cell>
          <cell r="AQ87">
            <v>0</v>
          </cell>
          <cell r="AR87" t="str">
            <v>$</v>
          </cell>
          <cell r="AS87">
            <v>0</v>
          </cell>
          <cell r="AW87">
            <v>0</v>
          </cell>
          <cell r="AY87" t="str">
            <v>NB</v>
          </cell>
        </row>
        <row r="88">
          <cell r="AM88">
            <v>0</v>
          </cell>
          <cell r="AP88" t="str">
            <v>Véhicules neufs</v>
          </cell>
          <cell r="AQ88" t="str">
            <v>Divers</v>
          </cell>
          <cell r="AR88" t="str">
            <v>$</v>
          </cell>
          <cell r="AS88">
            <v>0</v>
          </cell>
          <cell r="AW88">
            <v>0</v>
          </cell>
          <cell r="AY88" t="str">
            <v>NB</v>
          </cell>
        </row>
        <row r="89">
          <cell r="AM89">
            <v>0</v>
          </cell>
          <cell r="AP89" t="str">
            <v>Véhicules usagés</v>
          </cell>
          <cell r="AQ89" t="str">
            <v>Divers</v>
          </cell>
          <cell r="AR89" t="str">
            <v>$</v>
          </cell>
          <cell r="AS89">
            <v>0</v>
          </cell>
          <cell r="AW89">
            <v>0</v>
          </cell>
          <cell r="AY89" t="str">
            <v>NB</v>
          </cell>
        </row>
        <row r="90">
          <cell r="AM90">
            <v>0</v>
          </cell>
          <cell r="AP90" t="str">
            <v>Service</v>
          </cell>
          <cell r="AQ90" t="str">
            <v>Divers</v>
          </cell>
          <cell r="AR90" t="str">
            <v>$</v>
          </cell>
          <cell r="AS90">
            <v>0</v>
          </cell>
          <cell r="AW90">
            <v>0</v>
          </cell>
          <cell r="AY90" t="str">
            <v>NB</v>
          </cell>
        </row>
        <row r="91">
          <cell r="AM91">
            <v>0</v>
          </cell>
          <cell r="AP91" t="str">
            <v>Pièces</v>
          </cell>
          <cell r="AQ91" t="str">
            <v>Divers</v>
          </cell>
          <cell r="AR91" t="str">
            <v>$</v>
          </cell>
          <cell r="AS91">
            <v>0</v>
          </cell>
          <cell r="AW91">
            <v>0</v>
          </cell>
          <cell r="AY91" t="str">
            <v>NB</v>
          </cell>
        </row>
        <row r="92">
          <cell r="AM92">
            <v>0</v>
          </cell>
          <cell r="AP92" t="e">
            <v>#N/A</v>
          </cell>
          <cell r="AQ92" t="e">
            <v>#N/A</v>
          </cell>
          <cell r="AR92" t="str">
            <v>$</v>
          </cell>
          <cell r="AS92" t="e">
            <v>#N/A</v>
          </cell>
          <cell r="AW92">
            <v>0</v>
          </cell>
          <cell r="AY92" t="str">
            <v>NB</v>
          </cell>
        </row>
        <row r="93">
          <cell r="AM93">
            <v>385.63000000000011</v>
          </cell>
          <cell r="AP93" t="str">
            <v>Véhicules neufs</v>
          </cell>
          <cell r="AQ93" t="str">
            <v>Frais bancaires</v>
          </cell>
          <cell r="AR93" t="str">
            <v>$</v>
          </cell>
          <cell r="AS93">
            <v>0</v>
          </cell>
          <cell r="AW93">
            <v>0</v>
          </cell>
          <cell r="AY93" t="str">
            <v>NB</v>
          </cell>
        </row>
        <row r="94">
          <cell r="AM94">
            <v>251.75</v>
          </cell>
          <cell r="AP94" t="str">
            <v>Véhicules usagés</v>
          </cell>
          <cell r="AQ94" t="str">
            <v>Frais bancaires</v>
          </cell>
          <cell r="AR94" t="str">
            <v>$</v>
          </cell>
          <cell r="AS94">
            <v>0</v>
          </cell>
          <cell r="AW94">
            <v>0</v>
          </cell>
          <cell r="AY94" t="str">
            <v>NB</v>
          </cell>
        </row>
        <row r="95">
          <cell r="AM95">
            <v>0</v>
          </cell>
          <cell r="AP95" t="str">
            <v>Wholesale autres</v>
          </cell>
          <cell r="AQ95" t="str">
            <v>Frais bancaires</v>
          </cell>
          <cell r="AR95" t="str">
            <v>$</v>
          </cell>
          <cell r="AS95">
            <v>0</v>
          </cell>
          <cell r="AW95">
            <v>0</v>
          </cell>
          <cell r="AY95" t="str">
            <v>NB</v>
          </cell>
        </row>
        <row r="96">
          <cell r="AM96">
            <v>392.92999999999984</v>
          </cell>
          <cell r="AP96" t="str">
            <v>Service</v>
          </cell>
          <cell r="AQ96" t="str">
            <v>Frais bancaires</v>
          </cell>
          <cell r="AR96" t="str">
            <v>$</v>
          </cell>
          <cell r="AS96">
            <v>0</v>
          </cell>
          <cell r="AW96">
            <v>0</v>
          </cell>
          <cell r="AY96" t="str">
            <v>NB</v>
          </cell>
        </row>
        <row r="97">
          <cell r="AM97">
            <v>125.88</v>
          </cell>
          <cell r="AP97" t="str">
            <v>Carrosserie</v>
          </cell>
          <cell r="AQ97" t="str">
            <v>Frais bancaires</v>
          </cell>
          <cell r="AR97" t="str">
            <v>$</v>
          </cell>
          <cell r="AS97">
            <v>0</v>
          </cell>
          <cell r="AW97">
            <v>0</v>
          </cell>
          <cell r="AY97" t="str">
            <v>NB</v>
          </cell>
        </row>
        <row r="98">
          <cell r="AM98">
            <v>125.85000000000002</v>
          </cell>
          <cell r="AP98" t="str">
            <v>Pièces</v>
          </cell>
          <cell r="AQ98" t="str">
            <v>Frais bancaires</v>
          </cell>
          <cell r="AR98" t="str">
            <v>$</v>
          </cell>
          <cell r="AS98">
            <v>0</v>
          </cell>
          <cell r="AW98">
            <v>0</v>
          </cell>
          <cell r="AY98" t="str">
            <v>NB</v>
          </cell>
        </row>
        <row r="99">
          <cell r="AM99">
            <v>0</v>
          </cell>
          <cell r="AP99" t="e">
            <v>#N/A</v>
          </cell>
          <cell r="AQ99" t="e">
            <v>#N/A</v>
          </cell>
          <cell r="AR99" t="str">
            <v>$</v>
          </cell>
          <cell r="AS99" t="e">
            <v>#N/A</v>
          </cell>
          <cell r="AW99">
            <v>0</v>
          </cell>
          <cell r="AY99" t="str">
            <v>NB</v>
          </cell>
        </row>
        <row r="100">
          <cell r="AM100">
            <v>2766.0299999999988</v>
          </cell>
          <cell r="AP100" t="str">
            <v>Véhicules neufs</v>
          </cell>
          <cell r="AQ100" t="str">
            <v>Papeterie</v>
          </cell>
          <cell r="AR100" t="str">
            <v>$</v>
          </cell>
          <cell r="AS100">
            <v>0</v>
          </cell>
          <cell r="AW100">
            <v>0</v>
          </cell>
          <cell r="AY100" t="str">
            <v>NB</v>
          </cell>
        </row>
        <row r="101">
          <cell r="AM101">
            <v>240.25</v>
          </cell>
          <cell r="AP101" t="str">
            <v>Véhicules usagés</v>
          </cell>
          <cell r="AQ101" t="str">
            <v>Papeterie</v>
          </cell>
          <cell r="AR101" t="str">
            <v>$</v>
          </cell>
          <cell r="AS101">
            <v>0</v>
          </cell>
          <cell r="AW101">
            <v>0</v>
          </cell>
          <cell r="AY101" t="str">
            <v>NB</v>
          </cell>
        </row>
        <row r="102">
          <cell r="AM102">
            <v>0</v>
          </cell>
          <cell r="AP102" t="str">
            <v>Wholesale autres</v>
          </cell>
          <cell r="AQ102" t="str">
            <v>Papeterie</v>
          </cell>
          <cell r="AR102" t="str">
            <v>$</v>
          </cell>
          <cell r="AS102">
            <v>0</v>
          </cell>
          <cell r="AW102">
            <v>0</v>
          </cell>
          <cell r="AY102" t="str">
            <v>NB</v>
          </cell>
        </row>
        <row r="103">
          <cell r="AM103">
            <v>407.72999999999956</v>
          </cell>
          <cell r="AP103" t="str">
            <v>Service</v>
          </cell>
          <cell r="AQ103" t="str">
            <v>Papeterie</v>
          </cell>
          <cell r="AR103" t="str">
            <v>$</v>
          </cell>
          <cell r="AS103">
            <v>0</v>
          </cell>
          <cell r="AW103">
            <v>0</v>
          </cell>
          <cell r="AY103" t="str">
            <v>NB</v>
          </cell>
        </row>
        <row r="104">
          <cell r="AM104">
            <v>692.51000000000022</v>
          </cell>
          <cell r="AP104" t="str">
            <v>Carrosserie</v>
          </cell>
          <cell r="AQ104" t="str">
            <v>Papeterie</v>
          </cell>
          <cell r="AR104" t="str">
            <v>$</v>
          </cell>
          <cell r="AS104">
            <v>0</v>
          </cell>
          <cell r="AW104">
            <v>0</v>
          </cell>
          <cell r="AY104" t="str">
            <v>NB</v>
          </cell>
        </row>
        <row r="105">
          <cell r="AM105">
            <v>120.09999999999945</v>
          </cell>
          <cell r="AP105" t="str">
            <v>Pièces</v>
          </cell>
          <cell r="AQ105" t="str">
            <v>Papeterie</v>
          </cell>
          <cell r="AR105" t="str">
            <v>$</v>
          </cell>
          <cell r="AS105">
            <v>0</v>
          </cell>
          <cell r="AW105">
            <v>0</v>
          </cell>
          <cell r="AY105" t="str">
            <v>NB</v>
          </cell>
        </row>
        <row r="106">
          <cell r="AM106">
            <v>0</v>
          </cell>
          <cell r="AP106" t="e">
            <v>#N/A</v>
          </cell>
          <cell r="AQ106" t="e">
            <v>#N/A</v>
          </cell>
          <cell r="AR106" t="str">
            <v>$</v>
          </cell>
          <cell r="AS106" t="e">
            <v>#N/A</v>
          </cell>
          <cell r="AW106">
            <v>0</v>
          </cell>
          <cell r="AY106" t="str">
            <v>NB</v>
          </cell>
        </row>
        <row r="107">
          <cell r="AM107">
            <v>255.26999999999953</v>
          </cell>
          <cell r="AP107" t="str">
            <v>Véhicules neufs</v>
          </cell>
          <cell r="AQ107" t="str">
            <v>Fournitures autres</v>
          </cell>
          <cell r="AR107" t="str">
            <v>$</v>
          </cell>
          <cell r="AS107">
            <v>0</v>
          </cell>
          <cell r="AW107">
            <v>0</v>
          </cell>
          <cell r="AY107" t="str">
            <v>NB</v>
          </cell>
        </row>
        <row r="108">
          <cell r="AM108">
            <v>104.11999999999989</v>
          </cell>
          <cell r="AP108" t="str">
            <v>Véhicules usagés</v>
          </cell>
          <cell r="AQ108" t="str">
            <v>Fournitures autres</v>
          </cell>
          <cell r="AR108" t="str">
            <v>$</v>
          </cell>
          <cell r="AS108">
            <v>0</v>
          </cell>
          <cell r="AW108">
            <v>0</v>
          </cell>
          <cell r="AY108" t="str">
            <v>NB</v>
          </cell>
        </row>
        <row r="109">
          <cell r="AM109">
            <v>0</v>
          </cell>
          <cell r="AP109" t="str">
            <v>Wholesale autres</v>
          </cell>
          <cell r="AQ109" t="str">
            <v>Fournitures autres</v>
          </cell>
          <cell r="AR109" t="str">
            <v>$</v>
          </cell>
          <cell r="AS109">
            <v>0</v>
          </cell>
          <cell r="AW109">
            <v>0</v>
          </cell>
          <cell r="AY109" t="str">
            <v>NB</v>
          </cell>
        </row>
        <row r="110">
          <cell r="AM110">
            <v>6001.4699999999975</v>
          </cell>
          <cell r="AP110" t="str">
            <v>Service</v>
          </cell>
          <cell r="AQ110" t="str">
            <v>Fournitures autres</v>
          </cell>
          <cell r="AR110" t="str">
            <v>$</v>
          </cell>
          <cell r="AS110">
            <v>0</v>
          </cell>
          <cell r="AW110">
            <v>0</v>
          </cell>
          <cell r="AY110" t="str">
            <v>NB</v>
          </cell>
        </row>
        <row r="111">
          <cell r="AM111">
            <v>9024.4500000000007</v>
          </cell>
          <cell r="AP111" t="str">
            <v>Carrosserie</v>
          </cell>
          <cell r="AQ111" t="str">
            <v>Fournitures autres</v>
          </cell>
          <cell r="AR111" t="str">
            <v>$</v>
          </cell>
          <cell r="AS111">
            <v>0</v>
          </cell>
          <cell r="AW111">
            <v>0</v>
          </cell>
          <cell r="AY111" t="str">
            <v>NB</v>
          </cell>
        </row>
        <row r="112">
          <cell r="AM112">
            <v>53.519999999999982</v>
          </cell>
          <cell r="AP112" t="str">
            <v>Pièces</v>
          </cell>
          <cell r="AQ112" t="str">
            <v>Fournitures autres</v>
          </cell>
          <cell r="AR112" t="str">
            <v>$</v>
          </cell>
          <cell r="AS112">
            <v>0</v>
          </cell>
          <cell r="AW112">
            <v>0</v>
          </cell>
          <cell r="AY112" t="str">
            <v>NB</v>
          </cell>
        </row>
        <row r="113">
          <cell r="AM113">
            <v>0</v>
          </cell>
          <cell r="AP113" t="str">
            <v>Service</v>
          </cell>
          <cell r="AQ113" t="str">
            <v>Fournitures autres</v>
          </cell>
          <cell r="AR113" t="str">
            <v>$</v>
          </cell>
          <cell r="AS113">
            <v>0</v>
          </cell>
          <cell r="AW113">
            <v>0</v>
          </cell>
          <cell r="AY113" t="str">
            <v>NB</v>
          </cell>
        </row>
        <row r="114">
          <cell r="AM114">
            <v>0</v>
          </cell>
          <cell r="AP114" t="e">
            <v>#N/A</v>
          </cell>
          <cell r="AQ114" t="e">
            <v>#N/A</v>
          </cell>
          <cell r="AR114" t="str">
            <v>$</v>
          </cell>
          <cell r="AS114" t="e">
            <v>#N/A</v>
          </cell>
          <cell r="AW114">
            <v>0</v>
          </cell>
          <cell r="AY114" t="str">
            <v>NB</v>
          </cell>
        </row>
        <row r="115">
          <cell r="AM115">
            <v>1580.6800000000003</v>
          </cell>
          <cell r="AP115" t="str">
            <v>Véhicules neufs</v>
          </cell>
          <cell r="AQ115" t="str">
            <v>Publicité 1</v>
          </cell>
          <cell r="AR115" t="str">
            <v>$</v>
          </cell>
          <cell r="AS115">
            <v>0</v>
          </cell>
          <cell r="AW115">
            <v>0</v>
          </cell>
          <cell r="AY115" t="str">
            <v>NB</v>
          </cell>
        </row>
        <row r="116">
          <cell r="AM116">
            <v>19.799999999999983</v>
          </cell>
          <cell r="AP116" t="str">
            <v>Véhicules usagés</v>
          </cell>
          <cell r="AQ116" t="str">
            <v>Publicité 1</v>
          </cell>
          <cell r="AR116" t="str">
            <v>$</v>
          </cell>
          <cell r="AS116">
            <v>0</v>
          </cell>
          <cell r="AW116">
            <v>0</v>
          </cell>
          <cell r="AY116" t="str">
            <v>NB</v>
          </cell>
        </row>
        <row r="117">
          <cell r="AM117">
            <v>0</v>
          </cell>
          <cell r="AP117" t="str">
            <v>Wholesale autres</v>
          </cell>
          <cell r="AQ117" t="str">
            <v>Publicité 1</v>
          </cell>
          <cell r="AR117" t="str">
            <v>$</v>
          </cell>
          <cell r="AS117">
            <v>0</v>
          </cell>
          <cell r="AW117">
            <v>0</v>
          </cell>
          <cell r="AY117" t="str">
            <v>NB</v>
          </cell>
        </row>
        <row r="118">
          <cell r="AM118">
            <v>1521.2800000000007</v>
          </cell>
          <cell r="AP118" t="str">
            <v>Service</v>
          </cell>
          <cell r="AQ118" t="str">
            <v>Publicité 2</v>
          </cell>
          <cell r="AR118" t="str">
            <v>$</v>
          </cell>
          <cell r="AS118">
            <v>0</v>
          </cell>
          <cell r="AW118">
            <v>0</v>
          </cell>
          <cell r="AY118" t="str">
            <v>NB</v>
          </cell>
        </row>
        <row r="119">
          <cell r="AM119">
            <v>4.9499999999999957</v>
          </cell>
          <cell r="AP119" t="str">
            <v>Carrosserie</v>
          </cell>
          <cell r="AQ119" t="str">
            <v>Publicité 2</v>
          </cell>
          <cell r="AR119" t="str">
            <v>$</v>
          </cell>
          <cell r="AS119">
            <v>0</v>
          </cell>
          <cell r="AW119">
            <v>0</v>
          </cell>
          <cell r="AY119" t="str">
            <v>NB</v>
          </cell>
        </row>
        <row r="120">
          <cell r="AM120">
            <v>1521.2899999999991</v>
          </cell>
          <cell r="AP120" t="str">
            <v>Pièces</v>
          </cell>
          <cell r="AQ120" t="str">
            <v>Publicité 2</v>
          </cell>
          <cell r="AR120" t="str">
            <v>$</v>
          </cell>
          <cell r="AS120">
            <v>0</v>
          </cell>
          <cell r="AW120">
            <v>0</v>
          </cell>
          <cell r="AY120" t="str">
            <v>NB</v>
          </cell>
        </row>
        <row r="121">
          <cell r="AM121">
            <v>-116156</v>
          </cell>
          <cell r="AP121" t="str">
            <v>Véhicules neufs</v>
          </cell>
          <cell r="AQ121" t="str">
            <v>Publicité 1</v>
          </cell>
          <cell r="AR121" t="str">
            <v>$</v>
          </cell>
          <cell r="AS121">
            <v>0</v>
          </cell>
          <cell r="AW121">
            <v>0</v>
          </cell>
          <cell r="AY121" t="str">
            <v>NB</v>
          </cell>
        </row>
        <row r="122">
          <cell r="AM122">
            <v>0</v>
          </cell>
          <cell r="AP122" t="str">
            <v>Véhicules usagés</v>
          </cell>
          <cell r="AQ122" t="str">
            <v>Publicité 1</v>
          </cell>
          <cell r="AR122" t="str">
            <v>$</v>
          </cell>
          <cell r="AS122">
            <v>0</v>
          </cell>
          <cell r="AW122">
            <v>0</v>
          </cell>
          <cell r="AY122" t="str">
            <v>NB</v>
          </cell>
        </row>
        <row r="123">
          <cell r="AM123">
            <v>0</v>
          </cell>
          <cell r="AP123" t="str">
            <v>Service</v>
          </cell>
          <cell r="AQ123" t="str">
            <v>Publicité 2</v>
          </cell>
          <cell r="AR123" t="str">
            <v>$</v>
          </cell>
          <cell r="AS123">
            <v>0</v>
          </cell>
          <cell r="AW123">
            <v>0</v>
          </cell>
          <cell r="AY123" t="str">
            <v>NB</v>
          </cell>
        </row>
        <row r="124">
          <cell r="AM124">
            <v>0</v>
          </cell>
          <cell r="AP124" t="str">
            <v>Carrosserie</v>
          </cell>
          <cell r="AQ124" t="str">
            <v>Publicité 2</v>
          </cell>
          <cell r="AR124" t="str">
            <v>$</v>
          </cell>
          <cell r="AS124">
            <v>0</v>
          </cell>
          <cell r="AW124">
            <v>0</v>
          </cell>
          <cell r="AY124" t="str">
            <v>NB</v>
          </cell>
        </row>
        <row r="125">
          <cell r="AM125">
            <v>0</v>
          </cell>
          <cell r="AP125" t="str">
            <v>Pièces</v>
          </cell>
          <cell r="AQ125" t="str">
            <v>Publicité 2</v>
          </cell>
          <cell r="AR125" t="str">
            <v>$</v>
          </cell>
          <cell r="AS125">
            <v>0</v>
          </cell>
          <cell r="AW125">
            <v>0</v>
          </cell>
          <cell r="AY125" t="str">
            <v>NB</v>
          </cell>
        </row>
        <row r="126">
          <cell r="AM126">
            <v>0</v>
          </cell>
          <cell r="AP126" t="str">
            <v>SAAQ</v>
          </cell>
          <cell r="AQ126" t="str">
            <v>Publicité 2</v>
          </cell>
          <cell r="AR126" t="str">
            <v>$</v>
          </cell>
          <cell r="AS126">
            <v>0</v>
          </cell>
          <cell r="AW126">
            <v>0</v>
          </cell>
          <cell r="AY126" t="str">
            <v>NB</v>
          </cell>
        </row>
        <row r="127">
          <cell r="AM127">
            <v>0</v>
          </cell>
          <cell r="AP127" t="e">
            <v>#N/A</v>
          </cell>
          <cell r="AQ127" t="e">
            <v>#N/A</v>
          </cell>
          <cell r="AR127" t="str">
            <v>$</v>
          </cell>
          <cell r="AS127" t="e">
            <v>#N/A</v>
          </cell>
          <cell r="AW127">
            <v>0</v>
          </cell>
          <cell r="AY127" t="str">
            <v>NB</v>
          </cell>
        </row>
        <row r="128">
          <cell r="AM128">
            <v>0</v>
          </cell>
          <cell r="AP128" t="e">
            <v>#N/A</v>
          </cell>
          <cell r="AQ128" t="e">
            <v>#N/A</v>
          </cell>
          <cell r="AR128" t="str">
            <v>$</v>
          </cell>
          <cell r="AS128" t="e">
            <v>#N/A</v>
          </cell>
          <cell r="AW128">
            <v>0</v>
          </cell>
          <cell r="AY128" t="str">
            <v>NB</v>
          </cell>
        </row>
        <row r="129">
          <cell r="AM129">
            <v>15552.229999999996</v>
          </cell>
          <cell r="AP129" t="str">
            <v>Véhicules neufs</v>
          </cell>
          <cell r="AQ129" t="str">
            <v>Publicité 1</v>
          </cell>
          <cell r="AR129" t="str">
            <v>$</v>
          </cell>
          <cell r="AS129">
            <v>0</v>
          </cell>
          <cell r="AW129">
            <v>0</v>
          </cell>
          <cell r="AY129" t="str">
            <v>NB</v>
          </cell>
        </row>
        <row r="130">
          <cell r="AM130">
            <v>8860.14</v>
          </cell>
          <cell r="AP130" t="str">
            <v>Véhicules usagés</v>
          </cell>
          <cell r="AQ130" t="str">
            <v>Publicité 1</v>
          </cell>
          <cell r="AR130" t="str">
            <v>$</v>
          </cell>
          <cell r="AS130">
            <v>0</v>
          </cell>
          <cell r="AW130">
            <v>0</v>
          </cell>
          <cell r="AY130" t="str">
            <v>NB</v>
          </cell>
        </row>
        <row r="131">
          <cell r="AM131">
            <v>0</v>
          </cell>
          <cell r="AP131" t="str">
            <v>Wholesale autres</v>
          </cell>
          <cell r="AQ131" t="str">
            <v>Publicité 1</v>
          </cell>
          <cell r="AR131" t="str">
            <v>$</v>
          </cell>
          <cell r="AS131">
            <v>0</v>
          </cell>
          <cell r="AW131">
            <v>0</v>
          </cell>
          <cell r="AY131" t="str">
            <v>NB</v>
          </cell>
        </row>
        <row r="132">
          <cell r="AM132">
            <v>1109.9099999999999</v>
          </cell>
          <cell r="AP132" t="str">
            <v>Service</v>
          </cell>
          <cell r="AQ132" t="str">
            <v>Publicité 2</v>
          </cell>
          <cell r="AR132" t="str">
            <v>$</v>
          </cell>
          <cell r="AS132">
            <v>0</v>
          </cell>
          <cell r="AW132">
            <v>0</v>
          </cell>
          <cell r="AY132" t="str">
            <v>NB</v>
          </cell>
        </row>
        <row r="133">
          <cell r="AM133">
            <v>1261.1399999999999</v>
          </cell>
          <cell r="AP133" t="str">
            <v>Carrosserie</v>
          </cell>
          <cell r="AQ133" t="str">
            <v>Publicité 2</v>
          </cell>
          <cell r="AR133" t="str">
            <v>$</v>
          </cell>
          <cell r="AS133">
            <v>0</v>
          </cell>
          <cell r="AW133">
            <v>0</v>
          </cell>
          <cell r="AY133" t="str">
            <v>NB</v>
          </cell>
        </row>
        <row r="134">
          <cell r="AM134">
            <v>253.13999999999987</v>
          </cell>
          <cell r="AP134" t="str">
            <v>Pièces</v>
          </cell>
          <cell r="AQ134" t="str">
            <v>Publicité 2</v>
          </cell>
          <cell r="AR134" t="str">
            <v>$</v>
          </cell>
          <cell r="AS134">
            <v>0</v>
          </cell>
          <cell r="AW134">
            <v>0</v>
          </cell>
          <cell r="AY134" t="str">
            <v>NB</v>
          </cell>
        </row>
        <row r="135">
          <cell r="AM135">
            <v>0</v>
          </cell>
          <cell r="AP135" t="e">
            <v>#N/A</v>
          </cell>
          <cell r="AQ135" t="e">
            <v>#N/A</v>
          </cell>
          <cell r="AR135" t="str">
            <v>$</v>
          </cell>
          <cell r="AS135" t="e">
            <v>#N/A</v>
          </cell>
          <cell r="AW135">
            <v>0</v>
          </cell>
          <cell r="AY135" t="str">
            <v>NB</v>
          </cell>
        </row>
        <row r="136">
          <cell r="AM136">
            <v>0</v>
          </cell>
          <cell r="AP136" t="str">
            <v>Véhicules neufs</v>
          </cell>
          <cell r="AQ136" t="str">
            <v>Publicité 1</v>
          </cell>
          <cell r="AR136" t="str">
            <v>$</v>
          </cell>
          <cell r="AS136">
            <v>0</v>
          </cell>
          <cell r="AW136">
            <v>0</v>
          </cell>
          <cell r="AY136" t="str">
            <v>NB</v>
          </cell>
        </row>
        <row r="137">
          <cell r="AM137">
            <v>0</v>
          </cell>
          <cell r="AP137" t="str">
            <v>Véhicules usagés</v>
          </cell>
          <cell r="AQ137" t="str">
            <v>Publicité 1</v>
          </cell>
          <cell r="AR137" t="str">
            <v>$</v>
          </cell>
          <cell r="AS137">
            <v>0</v>
          </cell>
          <cell r="AW137">
            <v>0</v>
          </cell>
          <cell r="AY137" t="str">
            <v>NB</v>
          </cell>
        </row>
        <row r="138">
          <cell r="AM138">
            <v>0</v>
          </cell>
          <cell r="AP138" t="str">
            <v>Service</v>
          </cell>
          <cell r="AQ138" t="str">
            <v>Publicité 2</v>
          </cell>
          <cell r="AR138" t="str">
            <v>$</v>
          </cell>
          <cell r="AS138">
            <v>0</v>
          </cell>
          <cell r="AW138">
            <v>0</v>
          </cell>
          <cell r="AY138" t="str">
            <v>NB</v>
          </cell>
        </row>
        <row r="139">
          <cell r="AM139">
            <v>0</v>
          </cell>
          <cell r="AP139" t="str">
            <v>Carrosserie</v>
          </cell>
          <cell r="AQ139" t="str">
            <v>Publicité 2</v>
          </cell>
          <cell r="AR139" t="str">
            <v>$</v>
          </cell>
          <cell r="AS139">
            <v>0</v>
          </cell>
          <cell r="AW139">
            <v>0</v>
          </cell>
          <cell r="AY139" t="str">
            <v>NB</v>
          </cell>
        </row>
        <row r="140">
          <cell r="AM140">
            <v>0</v>
          </cell>
          <cell r="AP140" t="str">
            <v>Pièces</v>
          </cell>
          <cell r="AQ140" t="str">
            <v>Publicité 2</v>
          </cell>
          <cell r="AR140" t="str">
            <v>$</v>
          </cell>
          <cell r="AS140">
            <v>0</v>
          </cell>
          <cell r="AW140">
            <v>0</v>
          </cell>
          <cell r="AY140" t="str">
            <v>NB</v>
          </cell>
        </row>
        <row r="141">
          <cell r="AM141">
            <v>5034.1200000000008</v>
          </cell>
          <cell r="AP141" t="str">
            <v>Service</v>
          </cell>
          <cell r="AQ141" t="str">
            <v>Service gratuit 2</v>
          </cell>
          <cell r="AR141" t="str">
            <v>$</v>
          </cell>
          <cell r="AS141">
            <v>0</v>
          </cell>
          <cell r="AW141">
            <v>0</v>
          </cell>
          <cell r="AY141" t="str">
            <v>NB</v>
          </cell>
        </row>
        <row r="142">
          <cell r="AM142">
            <v>821.70999999999913</v>
          </cell>
          <cell r="AP142" t="str">
            <v>Carrosserie</v>
          </cell>
          <cell r="AQ142" t="str">
            <v>Service gratuit 2</v>
          </cell>
          <cell r="AR142" t="str">
            <v>$</v>
          </cell>
          <cell r="AS142">
            <v>0</v>
          </cell>
          <cell r="AW142">
            <v>0</v>
          </cell>
          <cell r="AY142" t="str">
            <v>NB</v>
          </cell>
        </row>
        <row r="143">
          <cell r="AM143">
            <v>1040.5000000000002</v>
          </cell>
          <cell r="AP143" t="str">
            <v>Pièces</v>
          </cell>
          <cell r="AQ143" t="str">
            <v>Service gratuit 2</v>
          </cell>
          <cell r="AR143" t="str">
            <v>$</v>
          </cell>
          <cell r="AS143">
            <v>0</v>
          </cell>
          <cell r="AW143">
            <v>0</v>
          </cell>
          <cell r="AY143" t="str">
            <v>NB</v>
          </cell>
        </row>
        <row r="144">
          <cell r="AM144">
            <v>0</v>
          </cell>
          <cell r="AP144" t="e">
            <v>#N/A</v>
          </cell>
          <cell r="AQ144" t="e">
            <v>#N/A</v>
          </cell>
          <cell r="AR144" t="str">
            <v>$</v>
          </cell>
          <cell r="AS144" t="e">
            <v>#N/A</v>
          </cell>
          <cell r="AW144">
            <v>0</v>
          </cell>
          <cell r="AY144" t="str">
            <v>NB</v>
          </cell>
        </row>
        <row r="145">
          <cell r="AM145">
            <v>3035.2900000000009</v>
          </cell>
          <cell r="AP145" t="str">
            <v>Véhicules neufs</v>
          </cell>
          <cell r="AQ145" t="str">
            <v>Informatique</v>
          </cell>
          <cell r="AR145" t="str">
            <v>$</v>
          </cell>
          <cell r="AS145">
            <v>0</v>
          </cell>
          <cell r="AW145">
            <v>0</v>
          </cell>
          <cell r="AY145" t="str">
            <v>NB</v>
          </cell>
        </row>
        <row r="146">
          <cell r="AM146">
            <v>892.35999999999876</v>
          </cell>
          <cell r="AP146" t="str">
            <v>Véhicules usagés</v>
          </cell>
          <cell r="AQ146" t="str">
            <v>Informatique</v>
          </cell>
          <cell r="AR146" t="str">
            <v>$</v>
          </cell>
          <cell r="AS146">
            <v>0</v>
          </cell>
          <cell r="AW146">
            <v>0</v>
          </cell>
          <cell r="AY146" t="str">
            <v>NB</v>
          </cell>
        </row>
        <row r="147">
          <cell r="AM147">
            <v>0</v>
          </cell>
          <cell r="AP147" t="str">
            <v>Wholesale autres</v>
          </cell>
          <cell r="AQ147" t="str">
            <v>Informatique</v>
          </cell>
          <cell r="AR147" t="str">
            <v>$</v>
          </cell>
          <cell r="AS147">
            <v>0</v>
          </cell>
          <cell r="AW147">
            <v>0</v>
          </cell>
          <cell r="AY147" t="str">
            <v>NB</v>
          </cell>
        </row>
        <row r="148">
          <cell r="AM148">
            <v>3078.8999999999978</v>
          </cell>
          <cell r="AP148" t="str">
            <v>Service</v>
          </cell>
          <cell r="AQ148" t="str">
            <v>Informatique</v>
          </cell>
          <cell r="AR148" t="str">
            <v>$</v>
          </cell>
          <cell r="AS148">
            <v>0</v>
          </cell>
          <cell r="AW148">
            <v>0</v>
          </cell>
          <cell r="AY148" t="str">
            <v>NB</v>
          </cell>
        </row>
        <row r="149">
          <cell r="AM149">
            <v>2561.8899999999994</v>
          </cell>
          <cell r="AP149" t="str">
            <v>Carrosserie</v>
          </cell>
          <cell r="AQ149" t="str">
            <v>Informatique</v>
          </cell>
          <cell r="AR149" t="str">
            <v>$</v>
          </cell>
          <cell r="AS149">
            <v>0</v>
          </cell>
          <cell r="AW149">
            <v>0</v>
          </cell>
          <cell r="AY149" t="str">
            <v>NB</v>
          </cell>
        </row>
        <row r="150">
          <cell r="AM150">
            <v>1604.6599999999999</v>
          </cell>
          <cell r="AP150" t="str">
            <v>Pièces</v>
          </cell>
          <cell r="AQ150" t="str">
            <v>Informatique</v>
          </cell>
          <cell r="AR150" t="str">
            <v>$</v>
          </cell>
          <cell r="AS150">
            <v>0</v>
          </cell>
          <cell r="AW150">
            <v>0</v>
          </cell>
          <cell r="AY150" t="str">
            <v>NB</v>
          </cell>
        </row>
        <row r="151">
          <cell r="AM151">
            <v>0</v>
          </cell>
          <cell r="AP151" t="str">
            <v>SAAQ</v>
          </cell>
          <cell r="AQ151" t="str">
            <v>Informatique</v>
          </cell>
          <cell r="AR151" t="str">
            <v>$</v>
          </cell>
          <cell r="AS151">
            <v>0</v>
          </cell>
          <cell r="AW151">
            <v>0</v>
          </cell>
          <cell r="AY151" t="str">
            <v>NB</v>
          </cell>
        </row>
        <row r="152">
          <cell r="AM152">
            <v>0</v>
          </cell>
          <cell r="AP152" t="e">
            <v>#N/A</v>
          </cell>
          <cell r="AQ152" t="e">
            <v>#N/A</v>
          </cell>
          <cell r="AR152" t="str">
            <v>$</v>
          </cell>
          <cell r="AS152" t="e">
            <v>#N/A</v>
          </cell>
          <cell r="AW152">
            <v>0</v>
          </cell>
          <cell r="AY152" t="str">
            <v>NB</v>
          </cell>
        </row>
        <row r="153">
          <cell r="AM153">
            <v>0</v>
          </cell>
          <cell r="AP153" t="e">
            <v>#N/A</v>
          </cell>
          <cell r="AQ153" t="e">
            <v>#N/A</v>
          </cell>
          <cell r="AR153" t="str">
            <v>$</v>
          </cell>
          <cell r="AS153" t="e">
            <v>#N/A</v>
          </cell>
          <cell r="AW153">
            <v>0</v>
          </cell>
          <cell r="AY153" t="str">
            <v>NB</v>
          </cell>
        </row>
        <row r="154">
          <cell r="AM154">
            <v>4397.8400000000038</v>
          </cell>
          <cell r="AP154" t="str">
            <v>Véhicules neufs</v>
          </cell>
          <cell r="AQ154" t="str">
            <v>Services extérieurs</v>
          </cell>
          <cell r="AR154" t="str">
            <v>$</v>
          </cell>
          <cell r="AS154">
            <v>0</v>
          </cell>
          <cell r="AW154">
            <v>0</v>
          </cell>
          <cell r="AY154" t="str">
            <v>NB</v>
          </cell>
        </row>
        <row r="155">
          <cell r="AM155">
            <v>2832.5299999999988</v>
          </cell>
          <cell r="AP155" t="str">
            <v>Véhicules usagés</v>
          </cell>
          <cell r="AQ155" t="str">
            <v>Services extérieurs</v>
          </cell>
          <cell r="AR155" t="str">
            <v>$</v>
          </cell>
          <cell r="AS155">
            <v>0</v>
          </cell>
          <cell r="AW155">
            <v>0</v>
          </cell>
          <cell r="AY155" t="str">
            <v>NB</v>
          </cell>
        </row>
        <row r="156">
          <cell r="AM156">
            <v>0</v>
          </cell>
          <cell r="AP156" t="str">
            <v>Wholesale autres</v>
          </cell>
          <cell r="AQ156" t="str">
            <v>Services extérieurs</v>
          </cell>
          <cell r="AR156" t="str">
            <v>$</v>
          </cell>
          <cell r="AS156">
            <v>0</v>
          </cell>
          <cell r="AW156">
            <v>0</v>
          </cell>
          <cell r="AY156" t="str">
            <v>NB</v>
          </cell>
        </row>
        <row r="157">
          <cell r="AM157">
            <v>7239.25</v>
          </cell>
          <cell r="AP157" t="str">
            <v>Service</v>
          </cell>
          <cell r="AQ157" t="str">
            <v>Services extérieurs</v>
          </cell>
          <cell r="AR157" t="str">
            <v>$</v>
          </cell>
          <cell r="AS157">
            <v>0</v>
          </cell>
          <cell r="AW157">
            <v>0</v>
          </cell>
          <cell r="AY157" t="str">
            <v>NB</v>
          </cell>
        </row>
        <row r="158">
          <cell r="AM158">
            <v>1445.5400000000009</v>
          </cell>
          <cell r="AP158" t="str">
            <v>Carrosserie</v>
          </cell>
          <cell r="AQ158" t="str">
            <v>Services extérieurs</v>
          </cell>
          <cell r="AR158" t="str">
            <v>$</v>
          </cell>
          <cell r="AS158">
            <v>0</v>
          </cell>
          <cell r="AW158">
            <v>0</v>
          </cell>
          <cell r="AY158" t="str">
            <v>NB</v>
          </cell>
        </row>
        <row r="159">
          <cell r="AM159">
            <v>1001.5299999999988</v>
          </cell>
          <cell r="AP159" t="str">
            <v>Pièces</v>
          </cell>
          <cell r="AQ159" t="str">
            <v>Services extérieurs</v>
          </cell>
          <cell r="AR159" t="str">
            <v>$</v>
          </cell>
          <cell r="AS159">
            <v>0</v>
          </cell>
          <cell r="AW159">
            <v>0</v>
          </cell>
          <cell r="AY159" t="str">
            <v>NB</v>
          </cell>
        </row>
        <row r="160">
          <cell r="AM160">
            <v>0</v>
          </cell>
          <cell r="AP160" t="str">
            <v>SAAQ</v>
          </cell>
          <cell r="AQ160" t="str">
            <v>Services extérieurs</v>
          </cell>
          <cell r="AR160" t="str">
            <v>$</v>
          </cell>
          <cell r="AS160">
            <v>0</v>
          </cell>
          <cell r="AW160">
            <v>0</v>
          </cell>
          <cell r="AY160" t="str">
            <v>NB</v>
          </cell>
        </row>
        <row r="161">
          <cell r="AM161">
            <v>0</v>
          </cell>
          <cell r="AP161" t="e">
            <v>#N/A</v>
          </cell>
          <cell r="AQ161" t="e">
            <v>#N/A</v>
          </cell>
          <cell r="AR161" t="str">
            <v>$</v>
          </cell>
          <cell r="AS161" t="e">
            <v>#N/A</v>
          </cell>
          <cell r="AW161">
            <v>0</v>
          </cell>
          <cell r="AY161" t="str">
            <v>NB</v>
          </cell>
        </row>
        <row r="162">
          <cell r="AM162">
            <v>0</v>
          </cell>
          <cell r="AP162" t="e">
            <v>#N/A</v>
          </cell>
          <cell r="AQ162" t="e">
            <v>#N/A</v>
          </cell>
          <cell r="AR162" t="str">
            <v>$</v>
          </cell>
          <cell r="AS162" t="e">
            <v>#N/A</v>
          </cell>
          <cell r="AW162">
            <v>0</v>
          </cell>
          <cell r="AY162" t="str">
            <v>NB</v>
          </cell>
        </row>
        <row r="163">
          <cell r="AM163">
            <v>1787.62</v>
          </cell>
          <cell r="AP163" t="str">
            <v>Véhicules neufs</v>
          </cell>
          <cell r="AQ163" t="str">
            <v>Frais de déplacement</v>
          </cell>
          <cell r="AR163" t="str">
            <v>$</v>
          </cell>
          <cell r="AS163">
            <v>0</v>
          </cell>
          <cell r="AW163">
            <v>0</v>
          </cell>
          <cell r="AY163" t="str">
            <v>NB</v>
          </cell>
        </row>
        <row r="164">
          <cell r="AM164">
            <v>9911.91</v>
          </cell>
          <cell r="AP164" t="str">
            <v>Véhicules neufs</v>
          </cell>
          <cell r="AQ164" t="str">
            <v>Frais de déplacement</v>
          </cell>
          <cell r="AR164" t="str">
            <v>$</v>
          </cell>
          <cell r="AS164">
            <v>0</v>
          </cell>
          <cell r="AW164">
            <v>0</v>
          </cell>
          <cell r="AY164" t="str">
            <v>NB</v>
          </cell>
        </row>
        <row r="165">
          <cell r="AM165">
            <v>0</v>
          </cell>
          <cell r="AP165" t="str">
            <v>Véhicules neufs</v>
          </cell>
          <cell r="AQ165" t="str">
            <v>Frais de déplacement</v>
          </cell>
          <cell r="AR165" t="str">
            <v>$</v>
          </cell>
          <cell r="AS165">
            <v>0</v>
          </cell>
          <cell r="AW165">
            <v>0</v>
          </cell>
          <cell r="AY165" t="str">
            <v>NB</v>
          </cell>
        </row>
        <row r="166">
          <cell r="AM166">
            <v>6479.02</v>
          </cell>
          <cell r="AP166" t="str">
            <v>Véhicules usagés</v>
          </cell>
          <cell r="AQ166" t="str">
            <v>Frais de déplacement</v>
          </cell>
          <cell r="AR166" t="str">
            <v>$</v>
          </cell>
          <cell r="AS166">
            <v>0</v>
          </cell>
          <cell r="AW166">
            <v>0</v>
          </cell>
          <cell r="AY166" t="str">
            <v>NB</v>
          </cell>
        </row>
        <row r="167">
          <cell r="AM167">
            <v>0</v>
          </cell>
          <cell r="AP167" t="str">
            <v>Véhicules usagés</v>
          </cell>
          <cell r="AQ167" t="str">
            <v>Frais de déplacement</v>
          </cell>
          <cell r="AR167" t="str">
            <v>$</v>
          </cell>
          <cell r="AS167">
            <v>0</v>
          </cell>
          <cell r="AW167">
            <v>0</v>
          </cell>
          <cell r="AY167" t="str">
            <v>NB</v>
          </cell>
        </row>
        <row r="168">
          <cell r="AM168">
            <v>0</v>
          </cell>
          <cell r="AP168" t="str">
            <v>Wholesale autres</v>
          </cell>
          <cell r="AQ168" t="str">
            <v>Frais de déplacement</v>
          </cell>
          <cell r="AR168" t="str">
            <v>$</v>
          </cell>
          <cell r="AS168">
            <v>0</v>
          </cell>
          <cell r="AW168">
            <v>0</v>
          </cell>
          <cell r="AY168" t="str">
            <v>NB</v>
          </cell>
        </row>
        <row r="169">
          <cell r="AM169">
            <v>0</v>
          </cell>
          <cell r="AP169" t="str">
            <v>Wholesale autres</v>
          </cell>
          <cell r="AQ169" t="str">
            <v>Frais de déplacement</v>
          </cell>
          <cell r="AR169" t="str">
            <v>$</v>
          </cell>
          <cell r="AS169">
            <v>0</v>
          </cell>
          <cell r="AW169">
            <v>0</v>
          </cell>
          <cell r="AY169" t="str">
            <v>NB</v>
          </cell>
        </row>
        <row r="170">
          <cell r="AM170">
            <v>9718.5099999999984</v>
          </cell>
          <cell r="AP170" t="str">
            <v>Service</v>
          </cell>
          <cell r="AQ170" t="str">
            <v>Frais de déplacement</v>
          </cell>
          <cell r="AR170" t="str">
            <v>$</v>
          </cell>
          <cell r="AS170">
            <v>0</v>
          </cell>
          <cell r="AW170">
            <v>0</v>
          </cell>
          <cell r="AY170" t="str">
            <v>NB</v>
          </cell>
        </row>
        <row r="171">
          <cell r="AM171">
            <v>62</v>
          </cell>
          <cell r="AP171" t="str">
            <v>Service</v>
          </cell>
          <cell r="AQ171" t="str">
            <v>Frais de déplacement</v>
          </cell>
          <cell r="AR171" t="str">
            <v>$</v>
          </cell>
          <cell r="AS171">
            <v>0</v>
          </cell>
          <cell r="AW171">
            <v>0</v>
          </cell>
          <cell r="AY171" t="str">
            <v>NB</v>
          </cell>
        </row>
        <row r="172">
          <cell r="AM172">
            <v>3239.5099999999993</v>
          </cell>
          <cell r="AP172" t="str">
            <v>Carrosserie</v>
          </cell>
          <cell r="AQ172" t="str">
            <v>Frais de déplacement</v>
          </cell>
          <cell r="AR172" t="str">
            <v>$</v>
          </cell>
          <cell r="AS172">
            <v>0</v>
          </cell>
          <cell r="AW172">
            <v>0</v>
          </cell>
          <cell r="AY172" t="str">
            <v>NB</v>
          </cell>
        </row>
        <row r="173">
          <cell r="AM173">
            <v>0</v>
          </cell>
          <cell r="AP173" t="str">
            <v>Carrosserie</v>
          </cell>
          <cell r="AQ173" t="str">
            <v>Frais de déplacement</v>
          </cell>
          <cell r="AR173" t="str">
            <v>$</v>
          </cell>
          <cell r="AS173">
            <v>0</v>
          </cell>
          <cell r="AW173">
            <v>0</v>
          </cell>
          <cell r="AY173" t="str">
            <v>NB</v>
          </cell>
        </row>
        <row r="174">
          <cell r="AM174">
            <v>3239.5000000000009</v>
          </cell>
          <cell r="AP174" t="str">
            <v>Pièces</v>
          </cell>
          <cell r="AQ174" t="str">
            <v>Frais de déplacement</v>
          </cell>
          <cell r="AR174" t="str">
            <v>$</v>
          </cell>
          <cell r="AS174">
            <v>0</v>
          </cell>
          <cell r="AW174">
            <v>0</v>
          </cell>
          <cell r="AY174" t="str">
            <v>NB</v>
          </cell>
        </row>
        <row r="175">
          <cell r="AM175">
            <v>0</v>
          </cell>
          <cell r="AP175" t="str">
            <v>Pièces</v>
          </cell>
          <cell r="AQ175" t="str">
            <v>Frais de déplacement</v>
          </cell>
          <cell r="AR175" t="str">
            <v>$</v>
          </cell>
          <cell r="AS175">
            <v>0</v>
          </cell>
          <cell r="AW175">
            <v>0</v>
          </cell>
          <cell r="AY175" t="str">
            <v>NB</v>
          </cell>
        </row>
        <row r="176">
          <cell r="AM176">
            <v>0</v>
          </cell>
          <cell r="AP176" t="e">
            <v>#N/A</v>
          </cell>
          <cell r="AQ176" t="e">
            <v>#N/A</v>
          </cell>
          <cell r="AR176" t="str">
            <v>$</v>
          </cell>
          <cell r="AS176" t="e">
            <v>#N/A</v>
          </cell>
          <cell r="AW176">
            <v>0</v>
          </cell>
          <cell r="AY176" t="str">
            <v>NB</v>
          </cell>
        </row>
        <row r="177">
          <cell r="AM177">
            <v>1775.1599999999999</v>
          </cell>
          <cell r="AP177" t="str">
            <v>Véhicules neufs</v>
          </cell>
          <cell r="AQ177" t="str">
            <v>Divers</v>
          </cell>
          <cell r="AR177" t="str">
            <v>$</v>
          </cell>
          <cell r="AS177">
            <v>0</v>
          </cell>
          <cell r="AW177">
            <v>0</v>
          </cell>
          <cell r="AY177" t="str">
            <v>NB</v>
          </cell>
        </row>
        <row r="178">
          <cell r="AM178">
            <v>1195.7299999999996</v>
          </cell>
          <cell r="AP178" t="str">
            <v>Véhicules usagés</v>
          </cell>
          <cell r="AQ178" t="str">
            <v>Divers</v>
          </cell>
          <cell r="AR178" t="str">
            <v>$</v>
          </cell>
          <cell r="AS178">
            <v>0</v>
          </cell>
          <cell r="AW178">
            <v>0</v>
          </cell>
          <cell r="AY178" t="str">
            <v>NB</v>
          </cell>
        </row>
        <row r="179">
          <cell r="AM179">
            <v>621</v>
          </cell>
          <cell r="AP179" t="str">
            <v>Service</v>
          </cell>
          <cell r="AQ179" t="str">
            <v>Divers</v>
          </cell>
          <cell r="AR179" t="str">
            <v>$</v>
          </cell>
          <cell r="AS179">
            <v>0</v>
          </cell>
          <cell r="AW179">
            <v>0</v>
          </cell>
          <cell r="AY179" t="str">
            <v>NB</v>
          </cell>
        </row>
        <row r="180">
          <cell r="AM180">
            <v>1149.4899999999998</v>
          </cell>
          <cell r="AP180" t="str">
            <v>Carrosserie</v>
          </cell>
          <cell r="AQ180" t="str">
            <v>Divers</v>
          </cell>
          <cell r="AR180" t="str">
            <v>$</v>
          </cell>
          <cell r="AS180">
            <v>0</v>
          </cell>
          <cell r="AW180">
            <v>0</v>
          </cell>
          <cell r="AY180" t="str">
            <v>NB</v>
          </cell>
        </row>
        <row r="181">
          <cell r="AM181">
            <v>177.36999999999989</v>
          </cell>
          <cell r="AP181" t="str">
            <v>Pièces</v>
          </cell>
          <cell r="AQ181" t="str">
            <v>Divers</v>
          </cell>
          <cell r="AR181" t="str">
            <v>$</v>
          </cell>
          <cell r="AS181">
            <v>0</v>
          </cell>
          <cell r="AW181">
            <v>0</v>
          </cell>
          <cell r="AY181" t="str">
            <v>NB</v>
          </cell>
        </row>
        <row r="182">
          <cell r="AM182">
            <v>0</v>
          </cell>
          <cell r="AP182" t="e">
            <v>#N/A</v>
          </cell>
          <cell r="AQ182" t="e">
            <v>#N/A</v>
          </cell>
          <cell r="AR182" t="str">
            <v>$</v>
          </cell>
          <cell r="AS182" t="e">
            <v>#N/A</v>
          </cell>
          <cell r="AW182">
            <v>0</v>
          </cell>
          <cell r="AY182" t="str">
            <v>NB</v>
          </cell>
        </row>
        <row r="183">
          <cell r="AM183">
            <v>3000</v>
          </cell>
          <cell r="AP183" t="str">
            <v>Véhicules neufs</v>
          </cell>
          <cell r="AQ183" t="str">
            <v>Honoraires</v>
          </cell>
          <cell r="AR183" t="str">
            <v>$</v>
          </cell>
          <cell r="AS183">
            <v>0</v>
          </cell>
          <cell r="AW183">
            <v>0</v>
          </cell>
          <cell r="AY183" t="str">
            <v>NB</v>
          </cell>
        </row>
        <row r="184">
          <cell r="AM184">
            <v>1999.9999999999995</v>
          </cell>
          <cell r="AP184" t="str">
            <v>Véhicules usagés</v>
          </cell>
          <cell r="AQ184" t="str">
            <v>Honoraires</v>
          </cell>
          <cell r="AR184" t="str">
            <v>$</v>
          </cell>
          <cell r="AS184">
            <v>0</v>
          </cell>
          <cell r="AW184">
            <v>0</v>
          </cell>
          <cell r="AY184" t="str">
            <v>NB</v>
          </cell>
        </row>
        <row r="185">
          <cell r="AM185">
            <v>0</v>
          </cell>
          <cell r="AP185" t="str">
            <v>Wholesale autres</v>
          </cell>
          <cell r="AQ185" t="str">
            <v>Honoraires</v>
          </cell>
          <cell r="AR185" t="str">
            <v>$</v>
          </cell>
          <cell r="AS185">
            <v>0</v>
          </cell>
          <cell r="AW185">
            <v>0</v>
          </cell>
          <cell r="AY185" t="str">
            <v>NB</v>
          </cell>
        </row>
        <row r="186">
          <cell r="AM186">
            <v>3443.4799999999996</v>
          </cell>
          <cell r="AP186" t="str">
            <v>Service</v>
          </cell>
          <cell r="AQ186" t="str">
            <v>Honoraires</v>
          </cell>
          <cell r="AR186" t="str">
            <v>$</v>
          </cell>
          <cell r="AS186">
            <v>0</v>
          </cell>
          <cell r="AW186">
            <v>0</v>
          </cell>
          <cell r="AY186" t="str">
            <v>NB</v>
          </cell>
        </row>
        <row r="187">
          <cell r="AM187">
            <v>1278.48</v>
          </cell>
          <cell r="AP187" t="str">
            <v>Carrosserie</v>
          </cell>
          <cell r="AQ187" t="str">
            <v>Honoraires</v>
          </cell>
          <cell r="AR187" t="str">
            <v>$</v>
          </cell>
          <cell r="AS187">
            <v>0</v>
          </cell>
          <cell r="AW187">
            <v>0</v>
          </cell>
          <cell r="AY187" t="str">
            <v>NB</v>
          </cell>
        </row>
        <row r="188">
          <cell r="AM188">
            <v>1139.24</v>
          </cell>
          <cell r="AP188" t="str">
            <v>Pièces</v>
          </cell>
          <cell r="AQ188" t="str">
            <v>Honoraires</v>
          </cell>
          <cell r="AR188" t="str">
            <v>$</v>
          </cell>
          <cell r="AS188">
            <v>0</v>
          </cell>
          <cell r="AW188">
            <v>0</v>
          </cell>
          <cell r="AY188" t="str">
            <v>NB</v>
          </cell>
        </row>
        <row r="189">
          <cell r="AM189">
            <v>0</v>
          </cell>
          <cell r="AP189" t="e">
            <v>#N/A</v>
          </cell>
          <cell r="AQ189" t="e">
            <v>#N/A</v>
          </cell>
          <cell r="AR189" t="str">
            <v>$</v>
          </cell>
          <cell r="AS189" t="e">
            <v>#N/A</v>
          </cell>
          <cell r="AW189">
            <v>0</v>
          </cell>
          <cell r="AY189" t="str">
            <v>NB</v>
          </cell>
        </row>
        <row r="190">
          <cell r="AM190">
            <v>157.96999999999935</v>
          </cell>
          <cell r="AP190" t="str">
            <v>Véhicules neufs</v>
          </cell>
          <cell r="AQ190" t="str">
            <v>Téléphone</v>
          </cell>
          <cell r="AR190" t="str">
            <v>$</v>
          </cell>
          <cell r="AS190">
            <v>0</v>
          </cell>
          <cell r="AW190">
            <v>0</v>
          </cell>
          <cell r="AY190" t="str">
            <v>NB</v>
          </cell>
        </row>
        <row r="191">
          <cell r="AM191">
            <v>105.3100000000004</v>
          </cell>
          <cell r="AP191" t="str">
            <v>Véhicules usagés</v>
          </cell>
          <cell r="AQ191" t="str">
            <v>Téléphone</v>
          </cell>
          <cell r="AR191" t="str">
            <v>$</v>
          </cell>
          <cell r="AS191">
            <v>0</v>
          </cell>
          <cell r="AW191">
            <v>0</v>
          </cell>
          <cell r="AY191" t="str">
            <v>NB</v>
          </cell>
        </row>
        <row r="192">
          <cell r="AM192">
            <v>0</v>
          </cell>
          <cell r="AP192" t="str">
            <v>Wholesale autres</v>
          </cell>
          <cell r="AQ192" t="str">
            <v>Téléphone</v>
          </cell>
          <cell r="AR192" t="str">
            <v>$</v>
          </cell>
          <cell r="AS192">
            <v>0</v>
          </cell>
          <cell r="AW192">
            <v>0</v>
          </cell>
          <cell r="AY192" t="str">
            <v>NB</v>
          </cell>
        </row>
        <row r="193">
          <cell r="AM193">
            <v>212.97000000000116</v>
          </cell>
          <cell r="AP193" t="str">
            <v>Service</v>
          </cell>
          <cell r="AQ193" t="str">
            <v>Téléphone</v>
          </cell>
          <cell r="AR193" t="str">
            <v>$</v>
          </cell>
          <cell r="AS193">
            <v>0</v>
          </cell>
          <cell r="AW193">
            <v>0</v>
          </cell>
          <cell r="AY193" t="str">
            <v>NB</v>
          </cell>
        </row>
        <row r="194">
          <cell r="AM194">
            <v>52.659999999999854</v>
          </cell>
          <cell r="AP194" t="str">
            <v>Carrosserie</v>
          </cell>
          <cell r="AQ194" t="str">
            <v>Téléphone</v>
          </cell>
          <cell r="AR194" t="str">
            <v>$</v>
          </cell>
          <cell r="AS194">
            <v>0</v>
          </cell>
          <cell r="AW194">
            <v>0</v>
          </cell>
          <cell r="AY194" t="str">
            <v>NB</v>
          </cell>
        </row>
        <row r="195">
          <cell r="AM195">
            <v>52.639999999999873</v>
          </cell>
          <cell r="AP195" t="str">
            <v>Pièces</v>
          </cell>
          <cell r="AQ195" t="str">
            <v>Téléphone</v>
          </cell>
          <cell r="AR195" t="str">
            <v>$</v>
          </cell>
          <cell r="AS195">
            <v>0</v>
          </cell>
          <cell r="AW195">
            <v>0</v>
          </cell>
          <cell r="AY195" t="str">
            <v>NB</v>
          </cell>
        </row>
        <row r="196">
          <cell r="AM196">
            <v>0</v>
          </cell>
          <cell r="AP196" t="e">
            <v>#N/A</v>
          </cell>
          <cell r="AQ196" t="e">
            <v>#N/A</v>
          </cell>
          <cell r="AR196" t="str">
            <v>$</v>
          </cell>
          <cell r="AS196" t="e">
            <v>#N/A</v>
          </cell>
          <cell r="AW196">
            <v>0</v>
          </cell>
          <cell r="AY196" t="str">
            <v>NB</v>
          </cell>
        </row>
        <row r="197">
          <cell r="AM197">
            <v>965</v>
          </cell>
          <cell r="AP197" t="str">
            <v>Véhicules neufs</v>
          </cell>
          <cell r="AQ197" t="str">
            <v>Formation</v>
          </cell>
          <cell r="AR197" t="str">
            <v>$</v>
          </cell>
          <cell r="AS197">
            <v>0</v>
          </cell>
          <cell r="AW197">
            <v>0</v>
          </cell>
          <cell r="AY197" t="str">
            <v>NB</v>
          </cell>
        </row>
        <row r="198">
          <cell r="AM198">
            <v>0</v>
          </cell>
          <cell r="AP198" t="str">
            <v>Véhicules usagés</v>
          </cell>
          <cell r="AQ198" t="str">
            <v>Formation</v>
          </cell>
          <cell r="AR198" t="str">
            <v>$</v>
          </cell>
          <cell r="AS198">
            <v>0</v>
          </cell>
          <cell r="AW198">
            <v>0</v>
          </cell>
          <cell r="AY198" t="str">
            <v>NB</v>
          </cell>
        </row>
        <row r="199">
          <cell r="AM199">
            <v>0</v>
          </cell>
          <cell r="AP199" t="str">
            <v>Wholesale autres</v>
          </cell>
          <cell r="AQ199" t="str">
            <v>Formation</v>
          </cell>
          <cell r="AR199" t="str">
            <v>$</v>
          </cell>
          <cell r="AS199">
            <v>0</v>
          </cell>
          <cell r="AW199">
            <v>0</v>
          </cell>
          <cell r="AY199" t="str">
            <v>NB</v>
          </cell>
        </row>
        <row r="200">
          <cell r="AM200">
            <v>4903.760000000002</v>
          </cell>
          <cell r="AP200" t="str">
            <v>Service</v>
          </cell>
          <cell r="AQ200" t="str">
            <v>Formation</v>
          </cell>
          <cell r="AR200" t="str">
            <v>$</v>
          </cell>
          <cell r="AS200">
            <v>0</v>
          </cell>
          <cell r="AW200">
            <v>0</v>
          </cell>
          <cell r="AY200" t="str">
            <v>NB</v>
          </cell>
        </row>
        <row r="201">
          <cell r="AM201">
            <v>1692</v>
          </cell>
          <cell r="AP201" t="str">
            <v>Carrosserie</v>
          </cell>
          <cell r="AQ201" t="str">
            <v>Formation</v>
          </cell>
          <cell r="AR201" t="str">
            <v>$</v>
          </cell>
          <cell r="AS201">
            <v>0</v>
          </cell>
          <cell r="AW201">
            <v>0</v>
          </cell>
          <cell r="AY201" t="str">
            <v>NB</v>
          </cell>
        </row>
        <row r="202">
          <cell r="AM202">
            <v>325</v>
          </cell>
          <cell r="AP202" t="str">
            <v>Pièces</v>
          </cell>
          <cell r="AQ202" t="str">
            <v>Formation</v>
          </cell>
          <cell r="AR202" t="str">
            <v>$</v>
          </cell>
          <cell r="AS202">
            <v>0</v>
          </cell>
          <cell r="AW202">
            <v>0</v>
          </cell>
          <cell r="AY202" t="str">
            <v>NB</v>
          </cell>
        </row>
        <row r="203">
          <cell r="AM203">
            <v>0</v>
          </cell>
          <cell r="AP203">
            <v>0</v>
          </cell>
          <cell r="AQ203">
            <v>0</v>
          </cell>
          <cell r="AR203" t="str">
            <v>$</v>
          </cell>
          <cell r="AS203">
            <v>0</v>
          </cell>
          <cell r="AW203">
            <v>0</v>
          </cell>
          <cell r="AY203" t="str">
            <v>NB</v>
          </cell>
        </row>
        <row r="204">
          <cell r="AM204">
            <v>43576.689999999944</v>
          </cell>
          <cell r="AP204" t="str">
            <v>Véhicules neufs</v>
          </cell>
          <cell r="AQ204" t="str">
            <v>Intérêt de gros</v>
          </cell>
          <cell r="AR204" t="str">
            <v>$</v>
          </cell>
          <cell r="AS204">
            <v>0</v>
          </cell>
          <cell r="AW204">
            <v>0</v>
          </cell>
          <cell r="AY204" t="str">
            <v>NB</v>
          </cell>
        </row>
        <row r="205">
          <cell r="AM205">
            <v>12994.140000000014</v>
          </cell>
          <cell r="AP205" t="str">
            <v>Véhicules usagés</v>
          </cell>
          <cell r="AQ205" t="str">
            <v>Intérêt de gros</v>
          </cell>
          <cell r="AR205" t="str">
            <v>$</v>
          </cell>
          <cell r="AS205">
            <v>0</v>
          </cell>
          <cell r="AW205">
            <v>0</v>
          </cell>
          <cell r="AY205" t="str">
            <v>NB</v>
          </cell>
        </row>
        <row r="206">
          <cell r="AM206">
            <v>1662.609999999986</v>
          </cell>
          <cell r="AP206" t="str">
            <v>Wholesale autres</v>
          </cell>
          <cell r="AQ206" t="str">
            <v>Intérêt de gros</v>
          </cell>
          <cell r="AR206" t="str">
            <v>$</v>
          </cell>
          <cell r="AS206">
            <v>0</v>
          </cell>
          <cell r="AW206">
            <v>0</v>
          </cell>
          <cell r="AY206" t="str">
            <v>NB</v>
          </cell>
        </row>
        <row r="207">
          <cell r="AM207">
            <v>0</v>
          </cell>
          <cell r="AP207" t="str">
            <v>Service</v>
          </cell>
          <cell r="AQ207" t="str">
            <v>Divers</v>
          </cell>
          <cell r="AR207" t="str">
            <v>$</v>
          </cell>
          <cell r="AS207">
            <v>0</v>
          </cell>
          <cell r="AW207">
            <v>0</v>
          </cell>
          <cell r="AY207" t="str">
            <v>NB</v>
          </cell>
        </row>
        <row r="208">
          <cell r="AM208">
            <v>0</v>
          </cell>
          <cell r="AP208" t="e">
            <v>#N/A</v>
          </cell>
          <cell r="AQ208" t="e">
            <v>#N/A</v>
          </cell>
          <cell r="AR208" t="str">
            <v>$</v>
          </cell>
          <cell r="AS208" t="e">
            <v>#N/A</v>
          </cell>
          <cell r="AW208">
            <v>0</v>
          </cell>
          <cell r="AY208" t="str">
            <v>NB</v>
          </cell>
        </row>
        <row r="209">
          <cell r="AM209">
            <v>0</v>
          </cell>
          <cell r="AP209" t="e">
            <v>#N/A</v>
          </cell>
          <cell r="AQ209" t="e">
            <v>#N/A</v>
          </cell>
          <cell r="AR209" t="str">
            <v>$</v>
          </cell>
          <cell r="AS209" t="e">
            <v>#N/A</v>
          </cell>
          <cell r="AW209">
            <v>0</v>
          </cell>
          <cell r="AY209" t="str">
            <v>NB</v>
          </cell>
        </row>
        <row r="210">
          <cell r="AM210">
            <v>2854.1900000000005</v>
          </cell>
          <cell r="AP210" t="str">
            <v>Véhicules neufs</v>
          </cell>
          <cell r="AQ210" t="str">
            <v>Divers</v>
          </cell>
          <cell r="AR210" t="str">
            <v>$</v>
          </cell>
          <cell r="AS210">
            <v>0</v>
          </cell>
          <cell r="AW210">
            <v>0</v>
          </cell>
          <cell r="AY210" t="str">
            <v>NB</v>
          </cell>
        </row>
        <row r="211">
          <cell r="AM211">
            <v>1902.7700000000004</v>
          </cell>
          <cell r="AP211" t="str">
            <v>Véhicules usagés</v>
          </cell>
          <cell r="AQ211" t="str">
            <v>Divers</v>
          </cell>
          <cell r="AR211" t="str">
            <v>$</v>
          </cell>
          <cell r="AS211">
            <v>0</v>
          </cell>
          <cell r="AW211">
            <v>0</v>
          </cell>
          <cell r="AY211" t="str">
            <v>NB</v>
          </cell>
        </row>
        <row r="212">
          <cell r="AM212">
            <v>0</v>
          </cell>
          <cell r="AP212" t="str">
            <v>Wholesale autres</v>
          </cell>
          <cell r="AQ212" t="str">
            <v>Divers</v>
          </cell>
          <cell r="AR212" t="str">
            <v>$</v>
          </cell>
          <cell r="AS212">
            <v>0</v>
          </cell>
          <cell r="AW212">
            <v>0</v>
          </cell>
          <cell r="AY212" t="str">
            <v>NB</v>
          </cell>
        </row>
        <row r="213">
          <cell r="AM213">
            <v>2679.29</v>
          </cell>
          <cell r="AP213" t="str">
            <v>Service</v>
          </cell>
          <cell r="AQ213" t="str">
            <v>Divers</v>
          </cell>
          <cell r="AR213" t="str">
            <v>$</v>
          </cell>
          <cell r="AS213">
            <v>0</v>
          </cell>
          <cell r="AW213">
            <v>0</v>
          </cell>
          <cell r="AY213" t="str">
            <v>NB</v>
          </cell>
        </row>
        <row r="214">
          <cell r="AM214">
            <v>951.39000000000033</v>
          </cell>
          <cell r="AP214" t="str">
            <v>Carrosserie</v>
          </cell>
          <cell r="AQ214" t="str">
            <v>Divers</v>
          </cell>
          <cell r="AR214" t="str">
            <v>$</v>
          </cell>
          <cell r="AS214">
            <v>0</v>
          </cell>
          <cell r="AW214">
            <v>0</v>
          </cell>
          <cell r="AY214" t="str">
            <v>NB</v>
          </cell>
        </row>
        <row r="215">
          <cell r="AM215">
            <v>951.39999999999964</v>
          </cell>
          <cell r="AP215" t="str">
            <v>Pièces</v>
          </cell>
          <cell r="AQ215" t="str">
            <v>Divers</v>
          </cell>
          <cell r="AR215" t="str">
            <v>$</v>
          </cell>
          <cell r="AS215">
            <v>0</v>
          </cell>
          <cell r="AW215">
            <v>0</v>
          </cell>
          <cell r="AY215" t="str">
            <v>NB</v>
          </cell>
        </row>
        <row r="216">
          <cell r="AM216">
            <v>0</v>
          </cell>
          <cell r="AP216" t="str">
            <v>SAAQ</v>
          </cell>
          <cell r="AQ216" t="str">
            <v>Divers</v>
          </cell>
          <cell r="AR216" t="str">
            <v>$</v>
          </cell>
          <cell r="AS216">
            <v>0</v>
          </cell>
          <cell r="AW216">
            <v>0</v>
          </cell>
          <cell r="AY216" t="str">
            <v>NB</v>
          </cell>
        </row>
        <row r="217">
          <cell r="AM217">
            <v>0</v>
          </cell>
          <cell r="AP217">
            <v>0</v>
          </cell>
          <cell r="AQ217">
            <v>0</v>
          </cell>
          <cell r="AR217" t="str">
            <v>$</v>
          </cell>
          <cell r="AS217">
            <v>0</v>
          </cell>
          <cell r="AW217">
            <v>0</v>
          </cell>
          <cell r="AY217" t="str">
            <v>NB</v>
          </cell>
        </row>
        <row r="218">
          <cell r="AM218">
            <v>0</v>
          </cell>
          <cell r="AP218" t="e">
            <v>#N/A</v>
          </cell>
          <cell r="AQ218" t="e">
            <v>#N/A</v>
          </cell>
          <cell r="AR218" t="str">
            <v>$</v>
          </cell>
          <cell r="AS218" t="e">
            <v>#N/A</v>
          </cell>
          <cell r="AW218">
            <v>0</v>
          </cell>
          <cell r="AY218" t="str">
            <v>NB</v>
          </cell>
        </row>
        <row r="219">
          <cell r="AM219">
            <v>-220606.84000000008</v>
          </cell>
          <cell r="AP219" t="str">
            <v>Véhicules neufs</v>
          </cell>
          <cell r="AQ219" t="str">
            <v>Crédit Intérêts Floor Plan</v>
          </cell>
          <cell r="AR219" t="str">
            <v>$</v>
          </cell>
          <cell r="AS219">
            <v>0</v>
          </cell>
          <cell r="AW219">
            <v>0</v>
          </cell>
          <cell r="AY219" t="str">
            <v>NB</v>
          </cell>
        </row>
        <row r="220">
          <cell r="AM220">
            <v>0</v>
          </cell>
          <cell r="AP220" t="str">
            <v>Véhicules usagés</v>
          </cell>
          <cell r="AQ220" t="str">
            <v>Crédit Intérêts Floor Plan</v>
          </cell>
          <cell r="AR220" t="str">
            <v>$</v>
          </cell>
          <cell r="AS220">
            <v>0</v>
          </cell>
          <cell r="AW220">
            <v>0</v>
          </cell>
          <cell r="AY220" t="str">
            <v>NB</v>
          </cell>
        </row>
        <row r="221">
          <cell r="AM221">
            <v>0</v>
          </cell>
          <cell r="AP221" t="str">
            <v>Wholesale autres</v>
          </cell>
          <cell r="AQ221" t="str">
            <v>Crédit Intérêts Floor Plan</v>
          </cell>
          <cell r="AR221" t="str">
            <v>$</v>
          </cell>
          <cell r="AS221">
            <v>0</v>
          </cell>
          <cell r="AW221">
            <v>0</v>
          </cell>
          <cell r="AY221" t="str">
            <v>NB</v>
          </cell>
        </row>
        <row r="222">
          <cell r="AM222">
            <v>0</v>
          </cell>
          <cell r="AP222" t="e">
            <v>#N/A</v>
          </cell>
          <cell r="AQ222" t="e">
            <v>#N/A</v>
          </cell>
          <cell r="AR222" t="str">
            <v>$</v>
          </cell>
          <cell r="AS222" t="e">
            <v>#N/A</v>
          </cell>
          <cell r="AW222">
            <v>0</v>
          </cell>
          <cell r="AY222" t="str">
            <v>NB</v>
          </cell>
        </row>
        <row r="223">
          <cell r="AM223">
            <v>0</v>
          </cell>
          <cell r="AP223" t="str">
            <v>Véhicules neufs</v>
          </cell>
          <cell r="AQ223" t="str">
            <v>Divers</v>
          </cell>
          <cell r="AR223" t="str">
            <v>$</v>
          </cell>
          <cell r="AS223">
            <v>0</v>
          </cell>
          <cell r="AW223">
            <v>0</v>
          </cell>
          <cell r="AY223" t="str">
            <v>NB</v>
          </cell>
        </row>
        <row r="224">
          <cell r="AM224">
            <v>0</v>
          </cell>
          <cell r="AP224" t="str">
            <v>Véhicules usagés</v>
          </cell>
          <cell r="AQ224" t="str">
            <v>Divers</v>
          </cell>
          <cell r="AR224" t="str">
            <v>$</v>
          </cell>
          <cell r="AS224">
            <v>0</v>
          </cell>
          <cell r="AW224">
            <v>0</v>
          </cell>
          <cell r="AY224" t="str">
            <v>NB</v>
          </cell>
        </row>
        <row r="225">
          <cell r="AM225">
            <v>0</v>
          </cell>
          <cell r="AP225" t="str">
            <v>Service</v>
          </cell>
          <cell r="AQ225" t="str">
            <v>Divers</v>
          </cell>
          <cell r="AR225" t="str">
            <v>$</v>
          </cell>
          <cell r="AS225">
            <v>0</v>
          </cell>
          <cell r="AW225">
            <v>0</v>
          </cell>
          <cell r="AY225" t="str">
            <v>NB</v>
          </cell>
        </row>
        <row r="226">
          <cell r="AM226">
            <v>0</v>
          </cell>
          <cell r="AP226" t="str">
            <v>Carrosserie</v>
          </cell>
          <cell r="AQ226" t="str">
            <v>Divers</v>
          </cell>
          <cell r="AR226" t="str">
            <v>$</v>
          </cell>
          <cell r="AS226">
            <v>0</v>
          </cell>
          <cell r="AW226">
            <v>0</v>
          </cell>
          <cell r="AY226" t="str">
            <v>NB</v>
          </cell>
        </row>
        <row r="227">
          <cell r="AM227">
            <v>0</v>
          </cell>
          <cell r="AP227" t="str">
            <v>Pièces</v>
          </cell>
          <cell r="AQ227" t="str">
            <v>Divers</v>
          </cell>
          <cell r="AR227" t="str">
            <v>$</v>
          </cell>
          <cell r="AS227">
            <v>0</v>
          </cell>
          <cell r="AW227">
            <v>0</v>
          </cell>
          <cell r="AY227" t="str">
            <v>NB</v>
          </cell>
        </row>
        <row r="228">
          <cell r="AM228">
            <v>0</v>
          </cell>
          <cell r="AP228" t="e">
            <v>#N/A</v>
          </cell>
          <cell r="AQ228" t="e">
            <v>#N/A</v>
          </cell>
          <cell r="AR228" t="str">
            <v>$</v>
          </cell>
          <cell r="AS228" t="e">
            <v>#N/A</v>
          </cell>
          <cell r="AW228">
            <v>0</v>
          </cell>
          <cell r="AY228" t="str">
            <v>NB</v>
          </cell>
        </row>
        <row r="229">
          <cell r="AM229">
            <v>21000</v>
          </cell>
          <cell r="AP229" t="str">
            <v>Véhicules neufs</v>
          </cell>
          <cell r="AQ229" t="str">
            <v>Loyer</v>
          </cell>
          <cell r="AR229" t="str">
            <v>$</v>
          </cell>
          <cell r="AS229">
            <v>0</v>
          </cell>
          <cell r="AW229">
            <v>0</v>
          </cell>
          <cell r="AY229" t="str">
            <v>NB</v>
          </cell>
        </row>
        <row r="230">
          <cell r="AM230">
            <v>14000</v>
          </cell>
          <cell r="AP230" t="str">
            <v>Véhicules usagés</v>
          </cell>
          <cell r="AQ230" t="str">
            <v>Loyer</v>
          </cell>
          <cell r="AR230" t="str">
            <v>$</v>
          </cell>
          <cell r="AS230">
            <v>0</v>
          </cell>
          <cell r="AW230">
            <v>0</v>
          </cell>
          <cell r="AY230" t="str">
            <v>NB</v>
          </cell>
        </row>
        <row r="231">
          <cell r="AM231">
            <v>0</v>
          </cell>
          <cell r="AP231" t="str">
            <v>Wholesale autres</v>
          </cell>
          <cell r="AQ231" t="str">
            <v>Loyer</v>
          </cell>
          <cell r="AR231" t="str">
            <v>$</v>
          </cell>
          <cell r="AS231">
            <v>0</v>
          </cell>
          <cell r="AW231">
            <v>0</v>
          </cell>
          <cell r="AY231" t="str">
            <v>NB</v>
          </cell>
        </row>
        <row r="232">
          <cell r="AM232">
            <v>21000</v>
          </cell>
          <cell r="AP232" t="str">
            <v>Service</v>
          </cell>
          <cell r="AQ232" t="str">
            <v>Loyer</v>
          </cell>
          <cell r="AR232" t="str">
            <v>$</v>
          </cell>
          <cell r="AS232">
            <v>0</v>
          </cell>
          <cell r="AW232">
            <v>0</v>
          </cell>
          <cell r="AY232" t="str">
            <v>NB</v>
          </cell>
        </row>
        <row r="233">
          <cell r="AM233">
            <v>7000</v>
          </cell>
          <cell r="AP233" t="str">
            <v>Carrosserie</v>
          </cell>
          <cell r="AQ233" t="str">
            <v>Loyer</v>
          </cell>
          <cell r="AR233" t="str">
            <v>$</v>
          </cell>
          <cell r="AS233">
            <v>0</v>
          </cell>
          <cell r="AW233">
            <v>0</v>
          </cell>
          <cell r="AY233" t="str">
            <v>NB</v>
          </cell>
        </row>
        <row r="234">
          <cell r="AM234">
            <v>7000</v>
          </cell>
          <cell r="AP234" t="str">
            <v>Pièces</v>
          </cell>
          <cell r="AQ234" t="str">
            <v>Loyer</v>
          </cell>
          <cell r="AR234" t="str">
            <v>$</v>
          </cell>
          <cell r="AS234">
            <v>0</v>
          </cell>
          <cell r="AW234">
            <v>0</v>
          </cell>
          <cell r="AY234" t="str">
            <v>NB</v>
          </cell>
        </row>
        <row r="235">
          <cell r="AM235">
            <v>0</v>
          </cell>
          <cell r="AP235" t="e">
            <v>#N/A</v>
          </cell>
          <cell r="AQ235" t="e">
            <v>#N/A</v>
          </cell>
          <cell r="AR235" t="str">
            <v>$</v>
          </cell>
          <cell r="AS235" t="e">
            <v>#N/A</v>
          </cell>
          <cell r="AW235">
            <v>0</v>
          </cell>
          <cell r="AY235" t="str">
            <v>NB</v>
          </cell>
        </row>
        <row r="236">
          <cell r="AM236">
            <v>3015</v>
          </cell>
          <cell r="AP236" t="str">
            <v>Véhicules neufs</v>
          </cell>
          <cell r="AQ236" t="str">
            <v>Loyer</v>
          </cell>
          <cell r="AR236" t="str">
            <v>$</v>
          </cell>
          <cell r="AS236">
            <v>0</v>
          </cell>
          <cell r="AW236">
            <v>0</v>
          </cell>
          <cell r="AY236" t="str">
            <v>NB</v>
          </cell>
        </row>
        <row r="237">
          <cell r="AM237">
            <v>2010.0000000000073</v>
          </cell>
          <cell r="AP237" t="str">
            <v>Véhicules usagés</v>
          </cell>
          <cell r="AQ237" t="str">
            <v>Loyer</v>
          </cell>
          <cell r="AR237" t="str">
            <v>$</v>
          </cell>
          <cell r="AS237">
            <v>0</v>
          </cell>
          <cell r="AW237">
            <v>0</v>
          </cell>
          <cell r="AY237" t="str">
            <v>NB</v>
          </cell>
        </row>
        <row r="238">
          <cell r="AM238">
            <v>0</v>
          </cell>
          <cell r="AP238" t="str">
            <v>Wholesale autres</v>
          </cell>
          <cell r="AQ238" t="str">
            <v>Loyer</v>
          </cell>
          <cell r="AR238" t="str">
            <v>$</v>
          </cell>
          <cell r="AS238">
            <v>0</v>
          </cell>
          <cell r="AW238">
            <v>0</v>
          </cell>
          <cell r="AY238" t="str">
            <v>NB</v>
          </cell>
        </row>
        <row r="239">
          <cell r="AM239">
            <v>3015</v>
          </cell>
          <cell r="AP239" t="str">
            <v>Service</v>
          </cell>
          <cell r="AQ239" t="str">
            <v>Loyer</v>
          </cell>
          <cell r="AR239" t="str">
            <v>$</v>
          </cell>
          <cell r="AS239">
            <v>0</v>
          </cell>
          <cell r="AW239">
            <v>0</v>
          </cell>
          <cell r="AY239" t="str">
            <v>NB</v>
          </cell>
        </row>
        <row r="240">
          <cell r="AM240">
            <v>1005</v>
          </cell>
          <cell r="AP240" t="str">
            <v>Carrosserie</v>
          </cell>
          <cell r="AQ240" t="str">
            <v>Loyer</v>
          </cell>
          <cell r="AR240" t="str">
            <v>$</v>
          </cell>
          <cell r="AS240">
            <v>0</v>
          </cell>
          <cell r="AW240">
            <v>0</v>
          </cell>
          <cell r="AY240" t="str">
            <v>NB</v>
          </cell>
        </row>
        <row r="241">
          <cell r="AM241">
            <v>1004.989999999998</v>
          </cell>
          <cell r="AP241" t="str">
            <v>Pièces</v>
          </cell>
          <cell r="AQ241" t="str">
            <v>Loyer</v>
          </cell>
          <cell r="AR241" t="str">
            <v>$</v>
          </cell>
          <cell r="AS241">
            <v>0</v>
          </cell>
          <cell r="AW241">
            <v>0</v>
          </cell>
          <cell r="AY241" t="str">
            <v>NB</v>
          </cell>
        </row>
        <row r="242">
          <cell r="AM242">
            <v>0</v>
          </cell>
          <cell r="AP242" t="e">
            <v>#N/A</v>
          </cell>
          <cell r="AQ242" t="e">
            <v>#N/A</v>
          </cell>
          <cell r="AR242" t="str">
            <v>$</v>
          </cell>
          <cell r="AS242" t="e">
            <v>#N/A</v>
          </cell>
          <cell r="AW242">
            <v>0</v>
          </cell>
          <cell r="AY242" t="str">
            <v>NB</v>
          </cell>
        </row>
        <row r="243">
          <cell r="AM243">
            <v>4302.34</v>
          </cell>
          <cell r="AP243" t="str">
            <v>Véhicules neufs</v>
          </cell>
          <cell r="AQ243" t="str">
            <v>Services extérieurs</v>
          </cell>
          <cell r="AR243" t="str">
            <v>$</v>
          </cell>
          <cell r="AS243">
            <v>0</v>
          </cell>
          <cell r="AW243">
            <v>0</v>
          </cell>
          <cell r="AY243" t="str">
            <v>NB</v>
          </cell>
        </row>
        <row r="244">
          <cell r="AM244">
            <v>2868.2300000000014</v>
          </cell>
          <cell r="AP244" t="str">
            <v>Véhicules usagés</v>
          </cell>
          <cell r="AQ244" t="str">
            <v>Services extérieurs</v>
          </cell>
          <cell r="AR244" t="str">
            <v>$</v>
          </cell>
          <cell r="AS244">
            <v>0</v>
          </cell>
          <cell r="AW244">
            <v>0</v>
          </cell>
          <cell r="AY244" t="str">
            <v>NB</v>
          </cell>
        </row>
        <row r="245">
          <cell r="AM245">
            <v>0</v>
          </cell>
          <cell r="AP245" t="str">
            <v>Wholesale autres</v>
          </cell>
          <cell r="AQ245" t="str">
            <v>Services extérieurs</v>
          </cell>
          <cell r="AR245" t="str">
            <v>$</v>
          </cell>
          <cell r="AS245">
            <v>0</v>
          </cell>
          <cell r="AW245">
            <v>0</v>
          </cell>
          <cell r="AY245" t="str">
            <v>NB</v>
          </cell>
        </row>
        <row r="246">
          <cell r="AM246">
            <v>6726.1000000000022</v>
          </cell>
          <cell r="AP246" t="str">
            <v>Service</v>
          </cell>
          <cell r="AQ246" t="str">
            <v>Services extérieurs</v>
          </cell>
          <cell r="AR246" t="str">
            <v>$</v>
          </cell>
          <cell r="AS246">
            <v>0</v>
          </cell>
          <cell r="AW246">
            <v>0</v>
          </cell>
          <cell r="AY246" t="str">
            <v>NB</v>
          </cell>
        </row>
        <row r="247">
          <cell r="AM247">
            <v>1644.6499999999996</v>
          </cell>
          <cell r="AP247" t="str">
            <v>Carrosserie</v>
          </cell>
          <cell r="AQ247" t="str">
            <v>Services extérieurs</v>
          </cell>
          <cell r="AR247" t="str">
            <v>$</v>
          </cell>
          <cell r="AS247">
            <v>0</v>
          </cell>
          <cell r="AW247">
            <v>0</v>
          </cell>
          <cell r="AY247" t="str">
            <v>NB</v>
          </cell>
        </row>
        <row r="248">
          <cell r="AM248">
            <v>1434.0600000000004</v>
          </cell>
          <cell r="AP248" t="str">
            <v>Pièces</v>
          </cell>
          <cell r="AQ248" t="str">
            <v>Services extérieurs</v>
          </cell>
          <cell r="AR248" t="str">
            <v>$</v>
          </cell>
          <cell r="AS248">
            <v>0</v>
          </cell>
          <cell r="AW248">
            <v>0</v>
          </cell>
          <cell r="AY248" t="str">
            <v>NB</v>
          </cell>
        </row>
        <row r="249">
          <cell r="AM249">
            <v>0</v>
          </cell>
          <cell r="AP249" t="e">
            <v>#N/A</v>
          </cell>
          <cell r="AQ249" t="e">
            <v>#N/A</v>
          </cell>
          <cell r="AR249" t="str">
            <v>$</v>
          </cell>
          <cell r="AS249" t="e">
            <v>#N/A</v>
          </cell>
          <cell r="AW249">
            <v>0</v>
          </cell>
          <cell r="AY249" t="str">
            <v>NB</v>
          </cell>
        </row>
        <row r="250">
          <cell r="AM250">
            <v>41.920000000000016</v>
          </cell>
          <cell r="AP250" t="str">
            <v>Véhicules neufs</v>
          </cell>
          <cell r="AQ250" t="str">
            <v>Amortissement</v>
          </cell>
          <cell r="AR250" t="str">
            <v>$</v>
          </cell>
          <cell r="AS250">
            <v>0</v>
          </cell>
          <cell r="AW250">
            <v>0</v>
          </cell>
          <cell r="AY250" t="str">
            <v>NB</v>
          </cell>
        </row>
        <row r="251">
          <cell r="AM251">
            <v>27.950000000000017</v>
          </cell>
          <cell r="AP251" t="str">
            <v>Véhicules usagés</v>
          </cell>
          <cell r="AQ251" t="str">
            <v>Amortissement</v>
          </cell>
          <cell r="AR251" t="str">
            <v>$</v>
          </cell>
          <cell r="AS251">
            <v>0</v>
          </cell>
          <cell r="AW251">
            <v>0</v>
          </cell>
          <cell r="AY251" t="str">
            <v>NB</v>
          </cell>
        </row>
        <row r="252">
          <cell r="AM252">
            <v>41.920000000000016</v>
          </cell>
          <cell r="AP252" t="str">
            <v>Service</v>
          </cell>
          <cell r="AQ252" t="str">
            <v>Amortissement</v>
          </cell>
          <cell r="AR252" t="str">
            <v>$</v>
          </cell>
          <cell r="AS252">
            <v>0</v>
          </cell>
          <cell r="AW252">
            <v>0</v>
          </cell>
          <cell r="AY252" t="str">
            <v>NB</v>
          </cell>
        </row>
        <row r="253">
          <cell r="AM253">
            <v>13.969999999999999</v>
          </cell>
          <cell r="AP253" t="str">
            <v>Carrosserie</v>
          </cell>
          <cell r="AQ253" t="str">
            <v>Amortissement</v>
          </cell>
          <cell r="AR253" t="str">
            <v>$</v>
          </cell>
          <cell r="AS253">
            <v>0</v>
          </cell>
          <cell r="AW253">
            <v>0</v>
          </cell>
          <cell r="AY253" t="str">
            <v>NB</v>
          </cell>
        </row>
        <row r="254">
          <cell r="AM254">
            <v>13.969999999999999</v>
          </cell>
          <cell r="AP254" t="str">
            <v>Pièces</v>
          </cell>
          <cell r="AQ254" t="str">
            <v>Amortissement</v>
          </cell>
          <cell r="AR254" t="str">
            <v>$</v>
          </cell>
          <cell r="AS254">
            <v>0</v>
          </cell>
          <cell r="AW254">
            <v>0</v>
          </cell>
          <cell r="AY254" t="str">
            <v>NB</v>
          </cell>
        </row>
        <row r="255">
          <cell r="AM255">
            <v>0</v>
          </cell>
          <cell r="AP255" t="e">
            <v>#N/A</v>
          </cell>
          <cell r="AQ255" t="e">
            <v>#N/A</v>
          </cell>
          <cell r="AR255" t="str">
            <v>$</v>
          </cell>
          <cell r="AS255" t="e">
            <v>#N/A</v>
          </cell>
          <cell r="AW255">
            <v>0</v>
          </cell>
          <cell r="AY255" t="str">
            <v>NB</v>
          </cell>
        </row>
        <row r="256">
          <cell r="AM256">
            <v>3671.3999999999978</v>
          </cell>
          <cell r="AP256" t="str">
            <v>Véhicules neufs</v>
          </cell>
          <cell r="AQ256" t="str">
            <v>Taxes foncières</v>
          </cell>
          <cell r="AR256" t="str">
            <v>$</v>
          </cell>
          <cell r="AS256">
            <v>0</v>
          </cell>
          <cell r="AW256">
            <v>0</v>
          </cell>
          <cell r="AY256" t="str">
            <v>NB</v>
          </cell>
        </row>
        <row r="257">
          <cell r="AM257">
            <v>2447.6000000000022</v>
          </cell>
          <cell r="AP257" t="str">
            <v>Véhicules usagés</v>
          </cell>
          <cell r="AQ257" t="str">
            <v>Taxes foncières</v>
          </cell>
          <cell r="AR257" t="str">
            <v>$</v>
          </cell>
          <cell r="AS257">
            <v>0</v>
          </cell>
          <cell r="AW257">
            <v>0</v>
          </cell>
          <cell r="AY257" t="str">
            <v>NB</v>
          </cell>
        </row>
        <row r="258">
          <cell r="AM258">
            <v>3671.3999999999978</v>
          </cell>
          <cell r="AP258" t="str">
            <v>Service</v>
          </cell>
          <cell r="AQ258" t="str">
            <v>Taxes foncières</v>
          </cell>
          <cell r="AR258" t="str">
            <v>$</v>
          </cell>
          <cell r="AS258">
            <v>0</v>
          </cell>
          <cell r="AW258">
            <v>0</v>
          </cell>
          <cell r="AY258" t="str">
            <v>NB</v>
          </cell>
        </row>
        <row r="259">
          <cell r="AM259">
            <v>1223.8000000000011</v>
          </cell>
          <cell r="AP259" t="str">
            <v>Carrosserie</v>
          </cell>
          <cell r="AQ259" t="str">
            <v>Taxes foncières</v>
          </cell>
          <cell r="AR259" t="str">
            <v>$</v>
          </cell>
          <cell r="AS259">
            <v>0</v>
          </cell>
          <cell r="AW259">
            <v>0</v>
          </cell>
          <cell r="AY259" t="str">
            <v>NB</v>
          </cell>
        </row>
        <row r="260">
          <cell r="AM260">
            <v>1223.8000000000011</v>
          </cell>
          <cell r="AP260" t="str">
            <v>Pièces</v>
          </cell>
          <cell r="AQ260" t="str">
            <v>Taxes foncières</v>
          </cell>
          <cell r="AR260" t="str">
            <v>$</v>
          </cell>
          <cell r="AS260">
            <v>0</v>
          </cell>
          <cell r="AW260">
            <v>0</v>
          </cell>
          <cell r="AY260" t="str">
            <v>NB</v>
          </cell>
        </row>
        <row r="261">
          <cell r="AM261">
            <v>0</v>
          </cell>
          <cell r="AP261" t="e">
            <v>#N/A</v>
          </cell>
          <cell r="AQ261" t="e">
            <v>#N/A</v>
          </cell>
          <cell r="AR261" t="str">
            <v>$</v>
          </cell>
          <cell r="AS261" t="e">
            <v>#N/A</v>
          </cell>
          <cell r="AW261">
            <v>0</v>
          </cell>
          <cell r="AY261" t="str">
            <v>NB</v>
          </cell>
        </row>
        <row r="262">
          <cell r="AM262">
            <v>3922.0800000000017</v>
          </cell>
          <cell r="AP262" t="str">
            <v>Véhicules neufs</v>
          </cell>
          <cell r="AQ262" t="str">
            <v>Assurances</v>
          </cell>
          <cell r="AR262" t="str">
            <v>$</v>
          </cell>
          <cell r="AS262">
            <v>0</v>
          </cell>
          <cell r="AW262">
            <v>0</v>
          </cell>
          <cell r="AY262" t="str">
            <v>NB</v>
          </cell>
        </row>
        <row r="263">
          <cell r="AM263">
            <v>2614.7200000000012</v>
          </cell>
          <cell r="AP263" t="str">
            <v>Véhicules usagés</v>
          </cell>
          <cell r="AQ263" t="str">
            <v>Assurances</v>
          </cell>
          <cell r="AR263" t="str">
            <v>$</v>
          </cell>
          <cell r="AS263">
            <v>0</v>
          </cell>
          <cell r="AW263">
            <v>0</v>
          </cell>
          <cell r="AY263" t="str">
            <v>NB</v>
          </cell>
        </row>
        <row r="264">
          <cell r="AM264">
            <v>3922.0800000000017</v>
          </cell>
          <cell r="AP264" t="str">
            <v>Service</v>
          </cell>
          <cell r="AQ264" t="str">
            <v>Assurances</v>
          </cell>
          <cell r="AR264" t="str">
            <v>$</v>
          </cell>
          <cell r="AS264">
            <v>0</v>
          </cell>
          <cell r="AW264">
            <v>0</v>
          </cell>
          <cell r="AY264" t="str">
            <v>NB</v>
          </cell>
        </row>
        <row r="265">
          <cell r="AM265">
            <v>1307.3600000000006</v>
          </cell>
          <cell r="AP265" t="str">
            <v>Carrosserie</v>
          </cell>
          <cell r="AQ265" t="str">
            <v>Assurances</v>
          </cell>
          <cell r="AR265" t="str">
            <v>$</v>
          </cell>
          <cell r="AS265">
            <v>0</v>
          </cell>
          <cell r="AW265">
            <v>0</v>
          </cell>
          <cell r="AY265" t="str">
            <v>NB</v>
          </cell>
        </row>
        <row r="266">
          <cell r="AM266">
            <v>1307.3700000000008</v>
          </cell>
          <cell r="AP266" t="str">
            <v>Pièces</v>
          </cell>
          <cell r="AQ266" t="str">
            <v>Assurances</v>
          </cell>
          <cell r="AR266" t="str">
            <v>$</v>
          </cell>
          <cell r="AS266">
            <v>0</v>
          </cell>
          <cell r="AW266">
            <v>0</v>
          </cell>
          <cell r="AY266" t="str">
            <v>NB</v>
          </cell>
        </row>
        <row r="267">
          <cell r="AM267">
            <v>0</v>
          </cell>
          <cell r="AP267" t="e">
            <v>#N/A</v>
          </cell>
          <cell r="AQ267" t="e">
            <v>#N/A</v>
          </cell>
          <cell r="AR267" t="str">
            <v>$</v>
          </cell>
          <cell r="AS267" t="e">
            <v>#N/A</v>
          </cell>
          <cell r="AW267">
            <v>0</v>
          </cell>
          <cell r="AY267" t="str">
            <v>NB</v>
          </cell>
        </row>
        <row r="268">
          <cell r="AM268">
            <v>2777.0099999999984</v>
          </cell>
          <cell r="AP268" t="str">
            <v>Véhicules neufs</v>
          </cell>
          <cell r="AQ268" t="str">
            <v>Chauffage, éclairage</v>
          </cell>
          <cell r="AR268" t="str">
            <v>$</v>
          </cell>
          <cell r="AS268">
            <v>0</v>
          </cell>
          <cell r="AW268">
            <v>0</v>
          </cell>
          <cell r="AY268" t="str">
            <v>NB</v>
          </cell>
        </row>
        <row r="269">
          <cell r="AM269">
            <v>1144.4700000000003</v>
          </cell>
          <cell r="AP269" t="str">
            <v>Véhicules usagés</v>
          </cell>
          <cell r="AQ269" t="str">
            <v>Chauffage, éclairage</v>
          </cell>
          <cell r="AR269" t="str">
            <v>$</v>
          </cell>
          <cell r="AS269">
            <v>0</v>
          </cell>
          <cell r="AW269">
            <v>0</v>
          </cell>
          <cell r="AY269" t="str">
            <v>NB</v>
          </cell>
        </row>
        <row r="270">
          <cell r="AM270">
            <v>2546.1399999999994</v>
          </cell>
          <cell r="AP270" t="str">
            <v>Service</v>
          </cell>
          <cell r="AQ270" t="str">
            <v>Chauffage, éclairage</v>
          </cell>
          <cell r="AR270" t="str">
            <v>$</v>
          </cell>
          <cell r="AS270">
            <v>0</v>
          </cell>
          <cell r="AW270">
            <v>0</v>
          </cell>
          <cell r="AY270" t="str">
            <v>NB</v>
          </cell>
        </row>
        <row r="271">
          <cell r="AM271">
            <v>2130.4799999999996</v>
          </cell>
          <cell r="AP271" t="str">
            <v>Carrosserie</v>
          </cell>
          <cell r="AQ271" t="str">
            <v>Chauffage, éclairage</v>
          </cell>
          <cell r="AR271" t="str">
            <v>$</v>
          </cell>
          <cell r="AS271">
            <v>0</v>
          </cell>
          <cell r="AW271">
            <v>0</v>
          </cell>
          <cell r="AY271" t="str">
            <v>NB</v>
          </cell>
        </row>
        <row r="272">
          <cell r="AM272">
            <v>1338.6000000000004</v>
          </cell>
          <cell r="AP272" t="str">
            <v>Pièces</v>
          </cell>
          <cell r="AQ272" t="str">
            <v>Chauffage, éclairage</v>
          </cell>
          <cell r="AR272" t="str">
            <v>$</v>
          </cell>
          <cell r="AS272">
            <v>0</v>
          </cell>
          <cell r="AW272">
            <v>0</v>
          </cell>
          <cell r="AY272" t="str">
            <v>NB</v>
          </cell>
        </row>
        <row r="273">
          <cell r="AM273">
            <v>0</v>
          </cell>
          <cell r="AP273" t="e">
            <v>#N/A</v>
          </cell>
          <cell r="AQ273" t="e">
            <v>#N/A</v>
          </cell>
          <cell r="AR273" t="str">
            <v>$</v>
          </cell>
          <cell r="AS273" t="e">
            <v>#N/A</v>
          </cell>
          <cell r="AW273">
            <v>0</v>
          </cell>
          <cell r="AY273" t="str">
            <v>NB</v>
          </cell>
        </row>
        <row r="274">
          <cell r="AM274">
            <v>0</v>
          </cell>
          <cell r="AP274">
            <v>0</v>
          </cell>
          <cell r="AQ274">
            <v>0</v>
          </cell>
          <cell r="AR274" t="str">
            <v>$</v>
          </cell>
          <cell r="AS274">
            <v>0</v>
          </cell>
          <cell r="AW274">
            <v>0</v>
          </cell>
          <cell r="AY274" t="str">
            <v>NB</v>
          </cell>
        </row>
        <row r="275">
          <cell r="AM275">
            <v>0</v>
          </cell>
          <cell r="AP275">
            <v>0</v>
          </cell>
          <cell r="AQ275">
            <v>0</v>
          </cell>
          <cell r="AR275" t="str">
            <v>$</v>
          </cell>
          <cell r="AS275">
            <v>0</v>
          </cell>
          <cell r="AW275">
            <v>0</v>
          </cell>
          <cell r="AY275" t="str">
            <v>NB</v>
          </cell>
        </row>
        <row r="276">
          <cell r="AM276">
            <v>0</v>
          </cell>
          <cell r="AP276">
            <v>0</v>
          </cell>
          <cell r="AQ276">
            <v>0</v>
          </cell>
          <cell r="AR276" t="str">
            <v>$</v>
          </cell>
          <cell r="AS276">
            <v>0</v>
          </cell>
          <cell r="AW276">
            <v>0</v>
          </cell>
          <cell r="AY276" t="str">
            <v>NB</v>
          </cell>
        </row>
        <row r="277">
          <cell r="AM277">
            <v>0</v>
          </cell>
          <cell r="AP277">
            <v>0</v>
          </cell>
          <cell r="AQ277">
            <v>0</v>
          </cell>
          <cell r="AR277" t="str">
            <v>$</v>
          </cell>
          <cell r="AS277">
            <v>0</v>
          </cell>
          <cell r="AW277">
            <v>0</v>
          </cell>
          <cell r="AY277" t="str">
            <v>NB</v>
          </cell>
        </row>
        <row r="278">
          <cell r="AM278">
            <v>0</v>
          </cell>
          <cell r="AP278">
            <v>0</v>
          </cell>
          <cell r="AQ278">
            <v>0</v>
          </cell>
          <cell r="AR278" t="str">
            <v>$</v>
          </cell>
          <cell r="AS278">
            <v>0</v>
          </cell>
          <cell r="AW278">
            <v>0</v>
          </cell>
          <cell r="AY278" t="str">
            <v>NB</v>
          </cell>
        </row>
        <row r="279">
          <cell r="AM279">
            <v>0</v>
          </cell>
          <cell r="AP279" t="e">
            <v>#N/A</v>
          </cell>
          <cell r="AQ279" t="e">
            <v>#N/A</v>
          </cell>
          <cell r="AR279" t="str">
            <v>$</v>
          </cell>
          <cell r="AS279" t="e">
            <v>#N/A</v>
          </cell>
          <cell r="AW279">
            <v>0</v>
          </cell>
          <cell r="AY279" t="str">
            <v>NB</v>
          </cell>
        </row>
        <row r="280">
          <cell r="AM280">
            <v>3000</v>
          </cell>
          <cell r="AP280" t="str">
            <v>Véhicules neufs</v>
          </cell>
          <cell r="AQ280" t="str">
            <v>Taxes d`affaires</v>
          </cell>
          <cell r="AR280" t="str">
            <v>$</v>
          </cell>
          <cell r="AS280">
            <v>0</v>
          </cell>
          <cell r="AW280">
            <v>0</v>
          </cell>
          <cell r="AY280" t="str">
            <v>NB</v>
          </cell>
        </row>
        <row r="281">
          <cell r="AM281">
            <v>2000</v>
          </cell>
          <cell r="AP281" t="str">
            <v>Véhicules usagés</v>
          </cell>
          <cell r="AQ281" t="str">
            <v>Taxes d`affaires</v>
          </cell>
          <cell r="AR281" t="str">
            <v>$</v>
          </cell>
          <cell r="AS281">
            <v>0</v>
          </cell>
          <cell r="AW281">
            <v>0</v>
          </cell>
          <cell r="AY281" t="str">
            <v>NB</v>
          </cell>
        </row>
        <row r="282">
          <cell r="AM282">
            <v>0</v>
          </cell>
          <cell r="AP282" t="str">
            <v>Wholesale autres</v>
          </cell>
          <cell r="AQ282" t="str">
            <v>Taxes d`affaires</v>
          </cell>
          <cell r="AR282" t="str">
            <v>$</v>
          </cell>
          <cell r="AS282">
            <v>0</v>
          </cell>
          <cell r="AW282">
            <v>0</v>
          </cell>
          <cell r="AY282" t="str">
            <v>NB</v>
          </cell>
        </row>
        <row r="283">
          <cell r="AM283">
            <v>3000</v>
          </cell>
          <cell r="AP283" t="str">
            <v>Service</v>
          </cell>
          <cell r="AQ283" t="str">
            <v>Taxes d`affaires</v>
          </cell>
          <cell r="AR283" t="str">
            <v>$</v>
          </cell>
          <cell r="AS283">
            <v>0</v>
          </cell>
          <cell r="AW283">
            <v>0</v>
          </cell>
          <cell r="AY283" t="str">
            <v>NB</v>
          </cell>
        </row>
        <row r="284">
          <cell r="AM284">
            <v>1000</v>
          </cell>
          <cell r="AP284" t="str">
            <v>Carrosserie</v>
          </cell>
          <cell r="AQ284" t="str">
            <v>Taxes d`affaires</v>
          </cell>
          <cell r="AR284" t="str">
            <v>$</v>
          </cell>
          <cell r="AS284">
            <v>0</v>
          </cell>
          <cell r="AW284">
            <v>0</v>
          </cell>
          <cell r="AY284" t="str">
            <v>NB</v>
          </cell>
        </row>
        <row r="285">
          <cell r="AM285">
            <v>1000</v>
          </cell>
          <cell r="AP285" t="str">
            <v>Pièces</v>
          </cell>
          <cell r="AQ285" t="str">
            <v>Taxes d`affaires</v>
          </cell>
          <cell r="AR285" t="str">
            <v>$</v>
          </cell>
          <cell r="AS285">
            <v>0</v>
          </cell>
          <cell r="AW285">
            <v>0</v>
          </cell>
          <cell r="AY285" t="str">
            <v>NB</v>
          </cell>
        </row>
        <row r="286">
          <cell r="AM286">
            <v>0</v>
          </cell>
          <cell r="AP286" t="e">
            <v>#N/A</v>
          </cell>
          <cell r="AQ286" t="e">
            <v>#N/A</v>
          </cell>
          <cell r="AR286" t="str">
            <v>$</v>
          </cell>
          <cell r="AS286" t="e">
            <v>#N/A</v>
          </cell>
          <cell r="AW286">
            <v>0</v>
          </cell>
          <cell r="AY286" t="str">
            <v>NB</v>
          </cell>
        </row>
        <row r="287">
          <cell r="AM287">
            <v>726.32999999999993</v>
          </cell>
          <cell r="AP287" t="str">
            <v>Véhicules neufs</v>
          </cell>
          <cell r="AQ287" t="str">
            <v>Réparation équipement</v>
          </cell>
          <cell r="AR287" t="str">
            <v>$</v>
          </cell>
          <cell r="AS287">
            <v>0</v>
          </cell>
          <cell r="AW287">
            <v>0</v>
          </cell>
          <cell r="AY287" t="str">
            <v>NB</v>
          </cell>
        </row>
        <row r="288">
          <cell r="AM288">
            <v>0</v>
          </cell>
          <cell r="AP288" t="str">
            <v>Véhicules usagés</v>
          </cell>
          <cell r="AQ288" t="str">
            <v>Réparation équipement</v>
          </cell>
          <cell r="AR288" t="str">
            <v>$</v>
          </cell>
          <cell r="AS288">
            <v>0</v>
          </cell>
          <cell r="AW288">
            <v>0</v>
          </cell>
          <cell r="AY288" t="str">
            <v>NB</v>
          </cell>
        </row>
        <row r="289">
          <cell r="AM289">
            <v>8333.9500000000044</v>
          </cell>
          <cell r="AP289" t="str">
            <v>Service</v>
          </cell>
          <cell r="AQ289" t="str">
            <v>Réparation équipement</v>
          </cell>
          <cell r="AR289" t="str">
            <v>$</v>
          </cell>
          <cell r="AS289">
            <v>0</v>
          </cell>
          <cell r="AW289">
            <v>0</v>
          </cell>
          <cell r="AY289" t="str">
            <v>NB</v>
          </cell>
        </row>
        <row r="290">
          <cell r="AM290">
            <v>2391.75</v>
          </cell>
          <cell r="AP290" t="str">
            <v>Carrosserie</v>
          </cell>
          <cell r="AQ290" t="str">
            <v>Réparation équipement</v>
          </cell>
          <cell r="AR290" t="str">
            <v>$</v>
          </cell>
          <cell r="AS290">
            <v>0</v>
          </cell>
          <cell r="AW290">
            <v>0</v>
          </cell>
          <cell r="AY290" t="str">
            <v>NB</v>
          </cell>
        </row>
        <row r="291">
          <cell r="AM291">
            <v>235.74</v>
          </cell>
          <cell r="AP291" t="str">
            <v>Pièces</v>
          </cell>
          <cell r="AQ291" t="str">
            <v>Réparation équipement</v>
          </cell>
          <cell r="AR291" t="str">
            <v>$</v>
          </cell>
          <cell r="AS291">
            <v>0</v>
          </cell>
          <cell r="AW291">
            <v>0</v>
          </cell>
          <cell r="AY291" t="str">
            <v>NB</v>
          </cell>
        </row>
        <row r="292">
          <cell r="AM292">
            <v>0</v>
          </cell>
          <cell r="AP292" t="e">
            <v>#N/A</v>
          </cell>
          <cell r="AQ292" t="e">
            <v>#N/A</v>
          </cell>
          <cell r="AR292" t="str">
            <v>$</v>
          </cell>
          <cell r="AS292" t="e">
            <v>#N/A</v>
          </cell>
          <cell r="AW292">
            <v>0</v>
          </cell>
          <cell r="AY292" t="str">
            <v>NB</v>
          </cell>
        </row>
        <row r="293">
          <cell r="AM293">
            <v>3193.9500000000007</v>
          </cell>
          <cell r="AP293" t="str">
            <v>Véhicules neufs</v>
          </cell>
          <cell r="AQ293" t="str">
            <v>Amortissement</v>
          </cell>
          <cell r="AR293" t="str">
            <v>$</v>
          </cell>
          <cell r="AS293">
            <v>0</v>
          </cell>
          <cell r="AW293">
            <v>0</v>
          </cell>
          <cell r="AY293" t="str">
            <v>NB</v>
          </cell>
        </row>
        <row r="294">
          <cell r="AM294">
            <v>2129.3000000000029</v>
          </cell>
          <cell r="AP294" t="str">
            <v>Véhicules usagés</v>
          </cell>
          <cell r="AQ294" t="str">
            <v>Amortissement</v>
          </cell>
          <cell r="AR294" t="str">
            <v>$</v>
          </cell>
          <cell r="AS294">
            <v>0</v>
          </cell>
          <cell r="AW294">
            <v>0</v>
          </cell>
          <cell r="AY294" t="str">
            <v>NB</v>
          </cell>
        </row>
        <row r="295">
          <cell r="AM295">
            <v>3193.9500000000007</v>
          </cell>
          <cell r="AP295" t="str">
            <v>Service</v>
          </cell>
          <cell r="AQ295" t="str">
            <v>Amortissement</v>
          </cell>
          <cell r="AR295" t="str">
            <v>$</v>
          </cell>
          <cell r="AS295">
            <v>0</v>
          </cell>
          <cell r="AW295">
            <v>0</v>
          </cell>
          <cell r="AY295" t="str">
            <v>NB</v>
          </cell>
        </row>
        <row r="296">
          <cell r="AM296">
            <v>1064.6499999999996</v>
          </cell>
          <cell r="AP296" t="str">
            <v>Carrosserie</v>
          </cell>
          <cell r="AQ296" t="str">
            <v>Amortissement</v>
          </cell>
          <cell r="AR296" t="str">
            <v>$</v>
          </cell>
          <cell r="AS296">
            <v>0</v>
          </cell>
          <cell r="AW296">
            <v>0</v>
          </cell>
          <cell r="AY296" t="str">
            <v>NB</v>
          </cell>
        </row>
        <row r="297">
          <cell r="AM297">
            <v>1064.6499999999996</v>
          </cell>
          <cell r="AP297" t="str">
            <v>Pièces</v>
          </cell>
          <cell r="AQ297" t="str">
            <v>Amortissement</v>
          </cell>
          <cell r="AR297" t="str">
            <v>$</v>
          </cell>
          <cell r="AS297">
            <v>0</v>
          </cell>
          <cell r="AW297">
            <v>0</v>
          </cell>
          <cell r="AY297" t="str">
            <v>NB</v>
          </cell>
        </row>
        <row r="298">
          <cell r="AM298">
            <v>0</v>
          </cell>
          <cell r="AP298" t="e">
            <v>#N/A</v>
          </cell>
          <cell r="AQ298" t="e">
            <v>#N/A</v>
          </cell>
          <cell r="AR298" t="str">
            <v>$</v>
          </cell>
          <cell r="AS298" t="e">
            <v>#N/A</v>
          </cell>
          <cell r="AW298">
            <v>0</v>
          </cell>
          <cell r="AY298" t="str">
            <v>NB</v>
          </cell>
        </row>
        <row r="299">
          <cell r="AM299">
            <v>59.980000000000075</v>
          </cell>
          <cell r="AP299" t="str">
            <v>Véhicules neufs</v>
          </cell>
          <cell r="AQ299" t="str">
            <v>Location équipement</v>
          </cell>
          <cell r="AR299" t="str">
            <v>$</v>
          </cell>
          <cell r="AS299">
            <v>0</v>
          </cell>
          <cell r="AW299">
            <v>0</v>
          </cell>
          <cell r="AY299" t="str">
            <v>NB</v>
          </cell>
        </row>
        <row r="300">
          <cell r="AM300">
            <v>37.490000000000009</v>
          </cell>
          <cell r="AP300" t="str">
            <v>Véhicules usagés</v>
          </cell>
          <cell r="AQ300" t="str">
            <v>Location équipement</v>
          </cell>
          <cell r="AR300" t="str">
            <v>$</v>
          </cell>
          <cell r="AS300">
            <v>0</v>
          </cell>
          <cell r="AW300">
            <v>0</v>
          </cell>
          <cell r="AY300" t="str">
            <v>NB</v>
          </cell>
        </row>
        <row r="301">
          <cell r="AM301">
            <v>1270.6900000000005</v>
          </cell>
          <cell r="AP301" t="str">
            <v>Service</v>
          </cell>
          <cell r="AQ301" t="str">
            <v>Location équipement</v>
          </cell>
          <cell r="AR301" t="str">
            <v>$</v>
          </cell>
          <cell r="AS301">
            <v>0</v>
          </cell>
          <cell r="AW301">
            <v>0</v>
          </cell>
          <cell r="AY301" t="str">
            <v>NB</v>
          </cell>
        </row>
        <row r="302">
          <cell r="AM302">
            <v>571.1</v>
          </cell>
          <cell r="AP302" t="str">
            <v>Carrosserie</v>
          </cell>
          <cell r="AQ302" t="str">
            <v>Location équipement</v>
          </cell>
          <cell r="AR302" t="str">
            <v>$</v>
          </cell>
          <cell r="AS302">
            <v>0</v>
          </cell>
          <cell r="AW302">
            <v>0</v>
          </cell>
          <cell r="AY302" t="str">
            <v>NB</v>
          </cell>
        </row>
        <row r="303">
          <cell r="AM303">
            <v>14.990000000000009</v>
          </cell>
          <cell r="AP303" t="str">
            <v>Pièces</v>
          </cell>
          <cell r="AQ303" t="str">
            <v>Location équipement</v>
          </cell>
          <cell r="AR303" t="str">
            <v>$</v>
          </cell>
          <cell r="AS303">
            <v>0</v>
          </cell>
          <cell r="AW303">
            <v>0</v>
          </cell>
          <cell r="AY303" t="str">
            <v>NB</v>
          </cell>
        </row>
        <row r="304">
          <cell r="AM304">
            <v>0</v>
          </cell>
          <cell r="AP304" t="e">
            <v>#N/A</v>
          </cell>
          <cell r="AQ304" t="e">
            <v>#N/A</v>
          </cell>
          <cell r="AR304" t="str">
            <v>$</v>
          </cell>
          <cell r="AS304" t="e">
            <v>#N/A</v>
          </cell>
          <cell r="AW304">
            <v>0</v>
          </cell>
          <cell r="AY304" t="str">
            <v>NB</v>
          </cell>
        </row>
        <row r="305">
          <cell r="AM305">
            <v>0</v>
          </cell>
          <cell r="AP305" t="e">
            <v>#N/A</v>
          </cell>
          <cell r="AQ305" t="e">
            <v>#N/A</v>
          </cell>
          <cell r="AR305" t="str">
            <v>$</v>
          </cell>
          <cell r="AS305" t="e">
            <v>#N/A</v>
          </cell>
          <cell r="AW305">
            <v>0</v>
          </cell>
          <cell r="AY305" t="str">
            <v>NB</v>
          </cell>
        </row>
        <row r="306">
          <cell r="AM306">
            <v>0</v>
          </cell>
          <cell r="AP306">
            <v>0</v>
          </cell>
          <cell r="AQ306">
            <v>0</v>
          </cell>
          <cell r="AR306" t="str">
            <v>$</v>
          </cell>
          <cell r="AS306">
            <v>0</v>
          </cell>
          <cell r="AW306">
            <v>0</v>
          </cell>
          <cell r="AY306" t="str">
            <v>NB</v>
          </cell>
        </row>
        <row r="307">
          <cell r="AM307">
            <v>0</v>
          </cell>
          <cell r="AP307" t="str">
            <v>Bilan</v>
          </cell>
          <cell r="AQ307" t="str">
            <v>Encaisse</v>
          </cell>
          <cell r="AR307" t="str">
            <v>$</v>
          </cell>
          <cell r="AS307">
            <v>0</v>
          </cell>
          <cell r="AW307">
            <v>0</v>
          </cell>
          <cell r="AY307" t="str">
            <v>NB</v>
          </cell>
        </row>
        <row r="308">
          <cell r="AM308">
            <v>-3.0000000000000002E-2</v>
          </cell>
          <cell r="AP308" t="str">
            <v>Bilan</v>
          </cell>
          <cell r="AQ308" t="str">
            <v>Salaires à Payer</v>
          </cell>
          <cell r="AR308" t="str">
            <v>$</v>
          </cell>
          <cell r="AS308">
            <v>0</v>
          </cell>
          <cell r="AW308">
            <v>0</v>
          </cell>
          <cell r="AY308" t="str">
            <v>NB</v>
          </cell>
        </row>
        <row r="309">
          <cell r="AM309">
            <v>0</v>
          </cell>
          <cell r="AP309" t="str">
            <v>Bilan</v>
          </cell>
          <cell r="AQ309" t="str">
            <v>Encaisse</v>
          </cell>
          <cell r="AR309" t="str">
            <v>$</v>
          </cell>
          <cell r="AS309">
            <v>0</v>
          </cell>
          <cell r="AW309">
            <v>0</v>
          </cell>
          <cell r="AY309" t="str">
            <v>NB</v>
          </cell>
        </row>
        <row r="310">
          <cell r="AM310">
            <v>0</v>
          </cell>
          <cell r="AP310" t="e">
            <v>#N/A</v>
          </cell>
          <cell r="AQ310" t="e">
            <v>#N/A</v>
          </cell>
          <cell r="AR310" t="str">
            <v>$</v>
          </cell>
          <cell r="AS310" t="e">
            <v>#N/A</v>
          </cell>
          <cell r="AW310">
            <v>0</v>
          </cell>
          <cell r="AY310" t="str">
            <v>NB</v>
          </cell>
        </row>
        <row r="311">
          <cell r="AM311">
            <v>1797824.3200000003</v>
          </cell>
          <cell r="AP311" t="str">
            <v>Bilan</v>
          </cell>
          <cell r="AQ311" t="str">
            <v>Encaisse</v>
          </cell>
          <cell r="AR311" t="str">
            <v>$</v>
          </cell>
          <cell r="AS311">
            <v>0</v>
          </cell>
          <cell r="AW311">
            <v>0</v>
          </cell>
          <cell r="AY311" t="str">
            <v>NB</v>
          </cell>
        </row>
        <row r="312">
          <cell r="AM312">
            <v>0</v>
          </cell>
          <cell r="AP312" t="e">
            <v>#N/A</v>
          </cell>
          <cell r="AQ312" t="e">
            <v>#N/A</v>
          </cell>
          <cell r="AR312" t="str">
            <v>$</v>
          </cell>
          <cell r="AS312" t="e">
            <v>#N/A</v>
          </cell>
          <cell r="AW312">
            <v>0</v>
          </cell>
          <cell r="AY312" t="str">
            <v>NB</v>
          </cell>
        </row>
        <row r="313">
          <cell r="AM313">
            <v>0</v>
          </cell>
          <cell r="AP313">
            <v>0</v>
          </cell>
          <cell r="AQ313">
            <v>0</v>
          </cell>
          <cell r="AR313" t="str">
            <v>$</v>
          </cell>
          <cell r="AS313">
            <v>0</v>
          </cell>
          <cell r="AW313">
            <v>0</v>
          </cell>
          <cell r="AY313" t="str">
            <v>NB</v>
          </cell>
        </row>
        <row r="314">
          <cell r="AM314">
            <v>0</v>
          </cell>
          <cell r="AP314" t="e">
            <v>#N/A</v>
          </cell>
          <cell r="AQ314" t="e">
            <v>#N/A</v>
          </cell>
          <cell r="AR314" t="str">
            <v>$</v>
          </cell>
          <cell r="AS314" t="e">
            <v>#N/A</v>
          </cell>
          <cell r="AW314">
            <v>0</v>
          </cell>
          <cell r="AY314" t="str">
            <v>NB</v>
          </cell>
        </row>
        <row r="315">
          <cell r="AM315">
            <v>0</v>
          </cell>
          <cell r="AP315" t="str">
            <v>Bilan</v>
          </cell>
          <cell r="AQ315" t="str">
            <v>Encaisse</v>
          </cell>
          <cell r="AR315" t="str">
            <v>$</v>
          </cell>
          <cell r="AS315">
            <v>0</v>
          </cell>
          <cell r="AW315">
            <v>0</v>
          </cell>
          <cell r="AY315" t="str">
            <v>NB</v>
          </cell>
        </row>
        <row r="316">
          <cell r="AM316">
            <v>0</v>
          </cell>
          <cell r="AP316" t="e">
            <v>#N/A</v>
          </cell>
          <cell r="AQ316" t="e">
            <v>#N/A</v>
          </cell>
          <cell r="AR316" t="str">
            <v>$</v>
          </cell>
          <cell r="AS316" t="e">
            <v>#N/A</v>
          </cell>
          <cell r="AW316">
            <v>0</v>
          </cell>
          <cell r="AY316" t="str">
            <v>NB</v>
          </cell>
        </row>
        <row r="317">
          <cell r="AM317">
            <v>0</v>
          </cell>
          <cell r="AP317">
            <v>0</v>
          </cell>
          <cell r="AQ317">
            <v>0</v>
          </cell>
          <cell r="AR317" t="str">
            <v>$</v>
          </cell>
          <cell r="AS317">
            <v>0</v>
          </cell>
          <cell r="AW317">
            <v>0</v>
          </cell>
          <cell r="AY317" t="str">
            <v>NB</v>
          </cell>
        </row>
        <row r="318">
          <cell r="AM318">
            <v>-688531.47999999986</v>
          </cell>
          <cell r="AP318" t="str">
            <v>Bilan</v>
          </cell>
          <cell r="AQ318" t="str">
            <v>Recevables Contrats en Transit</v>
          </cell>
          <cell r="AR318" t="str">
            <v>$</v>
          </cell>
          <cell r="AS318">
            <v>0</v>
          </cell>
          <cell r="AW318">
            <v>0</v>
          </cell>
          <cell r="AY318" t="str">
            <v>NB</v>
          </cell>
        </row>
        <row r="319">
          <cell r="AM319">
            <v>0</v>
          </cell>
          <cell r="AP319" t="e">
            <v>#N/A</v>
          </cell>
          <cell r="AQ319" t="e">
            <v>#N/A</v>
          </cell>
          <cell r="AR319" t="str">
            <v>$</v>
          </cell>
          <cell r="AS319" t="e">
            <v>#N/A</v>
          </cell>
          <cell r="AW319">
            <v>0</v>
          </cell>
          <cell r="AY319" t="str">
            <v>NB</v>
          </cell>
        </row>
        <row r="320">
          <cell r="AM320">
            <v>0</v>
          </cell>
          <cell r="AP320" t="e">
            <v>#N/A</v>
          </cell>
          <cell r="AQ320" t="e">
            <v>#N/A</v>
          </cell>
          <cell r="AR320" t="str">
            <v>$</v>
          </cell>
          <cell r="AS320" t="e">
            <v>#N/A</v>
          </cell>
          <cell r="AW320">
            <v>0</v>
          </cell>
          <cell r="AY320" t="str">
            <v>NB</v>
          </cell>
        </row>
        <row r="321">
          <cell r="AM321">
            <v>75521.679999999993</v>
          </cell>
          <cell r="AP321" t="str">
            <v>Bilan</v>
          </cell>
          <cell r="AQ321" t="str">
            <v>Recevables Véhicules</v>
          </cell>
          <cell r="AR321" t="str">
            <v>$</v>
          </cell>
          <cell r="AS321">
            <v>0</v>
          </cell>
          <cell r="AW321">
            <v>0</v>
          </cell>
          <cell r="AY321" t="str">
            <v>NB</v>
          </cell>
        </row>
        <row r="322">
          <cell r="AM322">
            <v>0</v>
          </cell>
          <cell r="AP322">
            <v>0</v>
          </cell>
          <cell r="AQ322">
            <v>0</v>
          </cell>
          <cell r="AR322" t="str">
            <v>$</v>
          </cell>
          <cell r="AS322">
            <v>0</v>
          </cell>
          <cell r="AW322">
            <v>0</v>
          </cell>
          <cell r="AY322" t="str">
            <v>NB</v>
          </cell>
        </row>
        <row r="323">
          <cell r="AM323">
            <v>19158.260000000009</v>
          </cell>
          <cell r="AP323" t="str">
            <v>Bilan</v>
          </cell>
          <cell r="AQ323" t="str">
            <v>Recevables Pièces et Service</v>
          </cell>
          <cell r="AR323" t="str">
            <v>$</v>
          </cell>
          <cell r="AS323">
            <v>0</v>
          </cell>
          <cell r="AW323">
            <v>0</v>
          </cell>
          <cell r="AY323" t="str">
            <v>NB</v>
          </cell>
        </row>
        <row r="324">
          <cell r="AM324">
            <v>149389.32999999999</v>
          </cell>
          <cell r="AP324" t="str">
            <v>Bilan</v>
          </cell>
          <cell r="AQ324" t="str">
            <v>Recevables Véhicules</v>
          </cell>
          <cell r="AR324" t="str">
            <v>$</v>
          </cell>
          <cell r="AS324">
            <v>0</v>
          </cell>
          <cell r="AW324">
            <v>0</v>
          </cell>
          <cell r="AY324" t="str">
            <v>NB</v>
          </cell>
        </row>
        <row r="325">
          <cell r="AM325">
            <v>-68451.899999999994</v>
          </cell>
          <cell r="AP325" t="str">
            <v>Bilan</v>
          </cell>
          <cell r="AQ325" t="str">
            <v>Recevables Carrosserie</v>
          </cell>
          <cell r="AR325" t="str">
            <v>$</v>
          </cell>
          <cell r="AS325">
            <v>0</v>
          </cell>
          <cell r="AW325">
            <v>0</v>
          </cell>
          <cell r="AY325" t="str">
            <v>NB</v>
          </cell>
        </row>
        <row r="326">
          <cell r="AM326">
            <v>0</v>
          </cell>
          <cell r="AP326" t="str">
            <v>Bilan</v>
          </cell>
          <cell r="AQ326" t="str">
            <v>Recevables Véhicules</v>
          </cell>
          <cell r="AR326" t="str">
            <v>$</v>
          </cell>
          <cell r="AS326">
            <v>0</v>
          </cell>
          <cell r="AW326">
            <v>0</v>
          </cell>
          <cell r="AY326" t="str">
            <v>NB</v>
          </cell>
        </row>
        <row r="327">
          <cell r="AM327">
            <v>52331.039999999994</v>
          </cell>
          <cell r="AP327" t="str">
            <v>Bilan</v>
          </cell>
          <cell r="AQ327" t="str">
            <v>Taxes de Vente à Payer</v>
          </cell>
          <cell r="AR327" t="str">
            <v>$</v>
          </cell>
          <cell r="AS327">
            <v>0</v>
          </cell>
          <cell r="AW327">
            <v>0</v>
          </cell>
          <cell r="AY327" t="str">
            <v>NB</v>
          </cell>
        </row>
        <row r="328">
          <cell r="AM328">
            <v>373412.20999999996</v>
          </cell>
          <cell r="AP328" t="str">
            <v>Bilan</v>
          </cell>
          <cell r="AQ328" t="str">
            <v>Taxes de Vente à Payer</v>
          </cell>
          <cell r="AR328" t="str">
            <v>$</v>
          </cell>
          <cell r="AS328">
            <v>0</v>
          </cell>
          <cell r="AW328">
            <v>0</v>
          </cell>
          <cell r="AY328" t="str">
            <v>NB</v>
          </cell>
        </row>
        <row r="329">
          <cell r="AM329">
            <v>5635.6100000000006</v>
          </cell>
          <cell r="AP329" t="str">
            <v>Bilan</v>
          </cell>
          <cell r="AQ329" t="str">
            <v>Recevables Autres</v>
          </cell>
          <cell r="AR329" t="str">
            <v>$</v>
          </cell>
          <cell r="AS329">
            <v>0</v>
          </cell>
          <cell r="AW329">
            <v>0</v>
          </cell>
          <cell r="AY329" t="str">
            <v>NB</v>
          </cell>
        </row>
        <row r="330">
          <cell r="AM330">
            <v>305224.5</v>
          </cell>
          <cell r="AP330" t="str">
            <v>Bilan</v>
          </cell>
          <cell r="AQ330" t="str">
            <v>Recevables Véhicules</v>
          </cell>
          <cell r="AR330" t="str">
            <v>$</v>
          </cell>
          <cell r="AS330">
            <v>0</v>
          </cell>
          <cell r="AW330">
            <v>0</v>
          </cell>
          <cell r="AY330" t="str">
            <v>NB</v>
          </cell>
        </row>
        <row r="331">
          <cell r="AM331">
            <v>381400.75</v>
          </cell>
          <cell r="AP331" t="str">
            <v>Bilan</v>
          </cell>
          <cell r="AQ331" t="str">
            <v>Recevables Véhicules</v>
          </cell>
          <cell r="AR331" t="str">
            <v>$</v>
          </cell>
          <cell r="AS331">
            <v>0</v>
          </cell>
          <cell r="AW331">
            <v>0</v>
          </cell>
          <cell r="AY331" t="str">
            <v>NB</v>
          </cell>
        </row>
        <row r="332">
          <cell r="AM332">
            <v>0</v>
          </cell>
          <cell r="AP332" t="e">
            <v>#N/A</v>
          </cell>
          <cell r="AQ332" t="e">
            <v>#N/A</v>
          </cell>
          <cell r="AR332" t="str">
            <v>$</v>
          </cell>
          <cell r="AS332" t="e">
            <v>#N/A</v>
          </cell>
          <cell r="AW332">
            <v>0</v>
          </cell>
          <cell r="AY332" t="str">
            <v>NB</v>
          </cell>
        </row>
        <row r="333">
          <cell r="AM333">
            <v>-30448.239999999991</v>
          </cell>
          <cell r="AP333" t="str">
            <v>Bilan</v>
          </cell>
          <cell r="AQ333" t="str">
            <v>Recevables Véhicules</v>
          </cell>
          <cell r="AR333" t="str">
            <v>$</v>
          </cell>
          <cell r="AS333">
            <v>0</v>
          </cell>
          <cell r="AW333">
            <v>0</v>
          </cell>
          <cell r="AY333" t="str">
            <v>NB</v>
          </cell>
        </row>
        <row r="334">
          <cell r="AM334">
            <v>-274191.69</v>
          </cell>
          <cell r="AP334" t="str">
            <v>Bilan</v>
          </cell>
          <cell r="AQ334" t="str">
            <v>Recevables Véhicules</v>
          </cell>
          <cell r="AR334" t="str">
            <v>$</v>
          </cell>
          <cell r="AS334">
            <v>0</v>
          </cell>
          <cell r="AW334">
            <v>0</v>
          </cell>
          <cell r="AY334" t="str">
            <v>NB</v>
          </cell>
        </row>
        <row r="335">
          <cell r="AM335">
            <v>0</v>
          </cell>
          <cell r="AP335" t="e">
            <v>#N/A</v>
          </cell>
          <cell r="AQ335" t="e">
            <v>#N/A</v>
          </cell>
          <cell r="AR335" t="str">
            <v>$</v>
          </cell>
          <cell r="AS335" t="e">
            <v>#N/A</v>
          </cell>
          <cell r="AW335">
            <v>0</v>
          </cell>
          <cell r="AY335" t="str">
            <v>NB</v>
          </cell>
        </row>
        <row r="336">
          <cell r="AM336">
            <v>0</v>
          </cell>
          <cell r="AP336" t="str">
            <v>Bilan</v>
          </cell>
          <cell r="AQ336" t="str">
            <v>Recevables Véhicules</v>
          </cell>
          <cell r="AR336" t="str">
            <v>$</v>
          </cell>
          <cell r="AS336">
            <v>0</v>
          </cell>
          <cell r="AW336">
            <v>0</v>
          </cell>
          <cell r="AY336" t="str">
            <v>NB</v>
          </cell>
        </row>
        <row r="337">
          <cell r="AM337">
            <v>288180.92000000004</v>
          </cell>
          <cell r="AP337" t="str">
            <v>Bilan</v>
          </cell>
          <cell r="AQ337" t="str">
            <v>Recevables Véhicules</v>
          </cell>
          <cell r="AR337" t="str">
            <v>$</v>
          </cell>
          <cell r="AS337">
            <v>0</v>
          </cell>
          <cell r="AW337">
            <v>0</v>
          </cell>
          <cell r="AY337" t="str">
            <v>NB</v>
          </cell>
        </row>
        <row r="338">
          <cell r="AM338">
            <v>0</v>
          </cell>
          <cell r="AP338" t="str">
            <v>Bilan</v>
          </cell>
          <cell r="AQ338" t="str">
            <v>Recevables Véhicules</v>
          </cell>
          <cell r="AR338" t="str">
            <v>$</v>
          </cell>
          <cell r="AS338">
            <v>0</v>
          </cell>
          <cell r="AW338">
            <v>0</v>
          </cell>
          <cell r="AY338" t="str">
            <v>NB</v>
          </cell>
        </row>
        <row r="339">
          <cell r="AM339">
            <v>0</v>
          </cell>
          <cell r="AP339" t="str">
            <v>Bilan</v>
          </cell>
          <cell r="AQ339" t="str">
            <v>Recevables Véhicules</v>
          </cell>
          <cell r="AR339" t="str">
            <v>$</v>
          </cell>
          <cell r="AS339">
            <v>0</v>
          </cell>
          <cell r="AW339">
            <v>0</v>
          </cell>
          <cell r="AY339" t="str">
            <v>NB</v>
          </cell>
        </row>
        <row r="340">
          <cell r="AM340">
            <v>0</v>
          </cell>
          <cell r="AP340" t="e">
            <v>#N/A</v>
          </cell>
          <cell r="AQ340" t="e">
            <v>#N/A</v>
          </cell>
          <cell r="AR340" t="str">
            <v>$</v>
          </cell>
          <cell r="AS340" t="e">
            <v>#N/A</v>
          </cell>
          <cell r="AW340">
            <v>0</v>
          </cell>
          <cell r="AY340" t="str">
            <v>NB</v>
          </cell>
        </row>
        <row r="341">
          <cell r="AM341">
            <v>0</v>
          </cell>
          <cell r="AP341" t="e">
            <v>#N/A</v>
          </cell>
          <cell r="AQ341" t="e">
            <v>#N/A</v>
          </cell>
          <cell r="AR341" t="str">
            <v>$</v>
          </cell>
          <cell r="AS341" t="e">
            <v>#N/A</v>
          </cell>
          <cell r="AW341">
            <v>0</v>
          </cell>
          <cell r="AY341" t="str">
            <v>NB</v>
          </cell>
        </row>
        <row r="342">
          <cell r="AM342">
            <v>66501.23</v>
          </cell>
          <cell r="AP342" t="str">
            <v>Bilan</v>
          </cell>
          <cell r="AQ342" t="str">
            <v>Recevables Intercos</v>
          </cell>
          <cell r="AR342" t="str">
            <v>$</v>
          </cell>
          <cell r="AS342">
            <v>0</v>
          </cell>
          <cell r="AW342">
            <v>0</v>
          </cell>
          <cell r="AY342" t="str">
            <v>NB</v>
          </cell>
        </row>
        <row r="343">
          <cell r="AM343">
            <v>0</v>
          </cell>
          <cell r="AP343" t="str">
            <v>Bilan</v>
          </cell>
          <cell r="AQ343" t="str">
            <v>Recevables Intercos</v>
          </cell>
          <cell r="AR343" t="str">
            <v>$</v>
          </cell>
          <cell r="AS343">
            <v>0</v>
          </cell>
          <cell r="AW343">
            <v>0</v>
          </cell>
          <cell r="AY343" t="str">
            <v>NB</v>
          </cell>
        </row>
        <row r="344">
          <cell r="AM344">
            <v>253507.12</v>
          </cell>
          <cell r="AP344" t="str">
            <v>Bilan</v>
          </cell>
          <cell r="AQ344" t="str">
            <v>Recevables Intercos</v>
          </cell>
          <cell r="AR344" t="str">
            <v>$</v>
          </cell>
          <cell r="AS344">
            <v>0</v>
          </cell>
          <cell r="AW344">
            <v>0</v>
          </cell>
          <cell r="AY344" t="str">
            <v>NB</v>
          </cell>
        </row>
        <row r="345">
          <cell r="AM345">
            <v>0</v>
          </cell>
          <cell r="AP345" t="str">
            <v>Bilan</v>
          </cell>
          <cell r="AQ345" t="str">
            <v>Recevables Intercos</v>
          </cell>
          <cell r="AR345" t="str">
            <v>$</v>
          </cell>
          <cell r="AS345">
            <v>0</v>
          </cell>
          <cell r="AW345">
            <v>0</v>
          </cell>
          <cell r="AY345" t="str">
            <v>NB</v>
          </cell>
        </row>
        <row r="346">
          <cell r="AM346">
            <v>0</v>
          </cell>
          <cell r="AP346" t="str">
            <v>Bilan</v>
          </cell>
          <cell r="AQ346" t="str">
            <v>Recevables Véhicules</v>
          </cell>
          <cell r="AR346" t="str">
            <v>$</v>
          </cell>
          <cell r="AS346">
            <v>0</v>
          </cell>
          <cell r="AW346">
            <v>0</v>
          </cell>
          <cell r="AY346" t="str">
            <v>NB</v>
          </cell>
        </row>
        <row r="347">
          <cell r="AM347">
            <v>120776.36</v>
          </cell>
          <cell r="AP347" t="str">
            <v>Bilan</v>
          </cell>
          <cell r="AQ347" t="str">
            <v>Recevables Véhicules</v>
          </cell>
          <cell r="AR347" t="str">
            <v>$</v>
          </cell>
          <cell r="AS347">
            <v>0</v>
          </cell>
          <cell r="AW347">
            <v>0</v>
          </cell>
          <cell r="AY347" t="str">
            <v>NB</v>
          </cell>
        </row>
        <row r="348">
          <cell r="AM348">
            <v>-441.57000000000698</v>
          </cell>
          <cell r="AP348" t="str">
            <v>Bilan</v>
          </cell>
          <cell r="AQ348" t="str">
            <v>Recevables Véhicules</v>
          </cell>
          <cell r="AR348" t="str">
            <v>$</v>
          </cell>
          <cell r="AS348">
            <v>0</v>
          </cell>
          <cell r="AW348">
            <v>0</v>
          </cell>
          <cell r="AY348" t="str">
            <v>NB</v>
          </cell>
        </row>
        <row r="349">
          <cell r="AM349">
            <v>0</v>
          </cell>
          <cell r="AP349" t="str">
            <v>Bilan</v>
          </cell>
          <cell r="AQ349" t="str">
            <v>Recevables Véhicules</v>
          </cell>
          <cell r="AR349" t="str">
            <v>$</v>
          </cell>
          <cell r="AS349">
            <v>0</v>
          </cell>
          <cell r="AW349">
            <v>0</v>
          </cell>
          <cell r="AY349" t="str">
            <v>NB</v>
          </cell>
        </row>
        <row r="350">
          <cell r="AM350">
            <v>-53807.73</v>
          </cell>
          <cell r="AP350">
            <v>0</v>
          </cell>
          <cell r="AQ350">
            <v>0</v>
          </cell>
          <cell r="AR350" t="str">
            <v>$</v>
          </cell>
          <cell r="AS350">
            <v>0</v>
          </cell>
          <cell r="AW350">
            <v>0</v>
          </cell>
          <cell r="AY350" t="str">
            <v>NB</v>
          </cell>
        </row>
        <row r="351">
          <cell r="AM351">
            <v>1045139.73</v>
          </cell>
          <cell r="AP351" t="str">
            <v>Bilan</v>
          </cell>
          <cell r="AQ351" t="str">
            <v>Recevables Véhicules</v>
          </cell>
          <cell r="AR351" t="str">
            <v>$</v>
          </cell>
          <cell r="AS351">
            <v>0</v>
          </cell>
          <cell r="AW351">
            <v>0</v>
          </cell>
          <cell r="AY351" t="str">
            <v>NB</v>
          </cell>
        </row>
        <row r="352">
          <cell r="AM352">
            <v>-918465.24000000011</v>
          </cell>
          <cell r="AP352" t="str">
            <v>Bilan</v>
          </cell>
          <cell r="AQ352" t="str">
            <v>Recevables Intercos</v>
          </cell>
          <cell r="AR352" t="str">
            <v>$</v>
          </cell>
          <cell r="AS352">
            <v>0</v>
          </cell>
          <cell r="AW352">
            <v>0</v>
          </cell>
          <cell r="AY352" t="str">
            <v>NB</v>
          </cell>
        </row>
        <row r="353">
          <cell r="AM353">
            <v>0</v>
          </cell>
          <cell r="AP353" t="str">
            <v>Bilan</v>
          </cell>
          <cell r="AQ353" t="str">
            <v>Recevables Intercos</v>
          </cell>
          <cell r="AR353" t="str">
            <v>$</v>
          </cell>
          <cell r="AS353">
            <v>0</v>
          </cell>
          <cell r="AW353">
            <v>0</v>
          </cell>
          <cell r="AY353" t="str">
            <v>NB</v>
          </cell>
        </row>
        <row r="354">
          <cell r="AM354">
            <v>-1102.4000000000015</v>
          </cell>
          <cell r="AP354" t="str">
            <v>Bilan</v>
          </cell>
          <cell r="AQ354" t="str">
            <v>Recevables Véhicules</v>
          </cell>
          <cell r="AR354" t="str">
            <v>$</v>
          </cell>
          <cell r="AS354">
            <v>0</v>
          </cell>
          <cell r="AW354">
            <v>0</v>
          </cell>
          <cell r="AY354" t="str">
            <v>NB</v>
          </cell>
        </row>
        <row r="355">
          <cell r="AM355">
            <v>0</v>
          </cell>
          <cell r="AP355" t="str">
            <v>Bilan</v>
          </cell>
          <cell r="AQ355" t="str">
            <v>Recevables Intercos</v>
          </cell>
          <cell r="AR355" t="str">
            <v>$</v>
          </cell>
          <cell r="AS355">
            <v>0</v>
          </cell>
          <cell r="AW355">
            <v>0</v>
          </cell>
          <cell r="AY355" t="str">
            <v>NB</v>
          </cell>
        </row>
        <row r="356">
          <cell r="AM356">
            <v>0</v>
          </cell>
          <cell r="AP356" t="str">
            <v>Bilan</v>
          </cell>
          <cell r="AQ356" t="str">
            <v>Recevables Intercos</v>
          </cell>
          <cell r="AR356" t="str">
            <v>$</v>
          </cell>
          <cell r="AS356">
            <v>0</v>
          </cell>
          <cell r="AW356">
            <v>0</v>
          </cell>
          <cell r="AY356" t="str">
            <v>NB</v>
          </cell>
        </row>
        <row r="357">
          <cell r="AM357">
            <v>-41234.75</v>
          </cell>
          <cell r="AP357" t="str">
            <v>Bilan</v>
          </cell>
          <cell r="AQ357" t="str">
            <v>Recevables Intercos</v>
          </cell>
          <cell r="AR357" t="str">
            <v>$</v>
          </cell>
          <cell r="AS357">
            <v>0</v>
          </cell>
          <cell r="AW357">
            <v>0</v>
          </cell>
          <cell r="AY357" t="str">
            <v>NB</v>
          </cell>
        </row>
        <row r="358">
          <cell r="AM358">
            <v>0</v>
          </cell>
          <cell r="AP358" t="str">
            <v>Bilan</v>
          </cell>
          <cell r="AQ358" t="str">
            <v>Recevables Intercos</v>
          </cell>
          <cell r="AR358" t="str">
            <v>$</v>
          </cell>
          <cell r="AS358">
            <v>0</v>
          </cell>
          <cell r="AW358">
            <v>0</v>
          </cell>
          <cell r="AY358" t="str">
            <v>NB</v>
          </cell>
        </row>
        <row r="359">
          <cell r="AM359">
            <v>0</v>
          </cell>
          <cell r="AP359">
            <v>0</v>
          </cell>
          <cell r="AQ359">
            <v>0</v>
          </cell>
          <cell r="AR359" t="str">
            <v>$</v>
          </cell>
          <cell r="AS359">
            <v>0</v>
          </cell>
          <cell r="AW359">
            <v>0</v>
          </cell>
          <cell r="AY359" t="str">
            <v>NB</v>
          </cell>
        </row>
        <row r="360">
          <cell r="AM360">
            <v>0</v>
          </cell>
          <cell r="AP360" t="str">
            <v>Bilan</v>
          </cell>
          <cell r="AQ360" t="str">
            <v>Recevables Intercos</v>
          </cell>
          <cell r="AR360" t="str">
            <v>$</v>
          </cell>
          <cell r="AS360">
            <v>0</v>
          </cell>
          <cell r="AW360">
            <v>0</v>
          </cell>
          <cell r="AY360" t="str">
            <v>NB</v>
          </cell>
        </row>
        <row r="361">
          <cell r="AM361">
            <v>0</v>
          </cell>
          <cell r="AP361" t="e">
            <v>#N/A</v>
          </cell>
          <cell r="AQ361" t="e">
            <v>#N/A</v>
          </cell>
          <cell r="AR361" t="str">
            <v>$</v>
          </cell>
          <cell r="AS361" t="e">
            <v>#N/A</v>
          </cell>
          <cell r="AW361">
            <v>0</v>
          </cell>
          <cell r="AY361" t="str">
            <v>NB</v>
          </cell>
        </row>
        <row r="362">
          <cell r="AM362">
            <v>0</v>
          </cell>
          <cell r="AP362">
            <v>0</v>
          </cell>
          <cell r="AQ362">
            <v>0</v>
          </cell>
          <cell r="AR362" t="str">
            <v>$</v>
          </cell>
          <cell r="AS362">
            <v>0</v>
          </cell>
          <cell r="AW362">
            <v>0</v>
          </cell>
          <cell r="AY362" t="str">
            <v>NB</v>
          </cell>
        </row>
        <row r="363">
          <cell r="AM363">
            <v>1609703.1399999997</v>
          </cell>
          <cell r="AP363" t="str">
            <v>Bilan</v>
          </cell>
          <cell r="AQ363" t="str">
            <v>Recevables Intercos</v>
          </cell>
          <cell r="AR363" t="str">
            <v>$</v>
          </cell>
          <cell r="AS363">
            <v>0</v>
          </cell>
          <cell r="AW363">
            <v>0</v>
          </cell>
          <cell r="AY363" t="str">
            <v>NB</v>
          </cell>
        </row>
        <row r="364">
          <cell r="AM364">
            <v>0</v>
          </cell>
          <cell r="AP364" t="str">
            <v>Bilan</v>
          </cell>
          <cell r="AQ364" t="str">
            <v>Recevables Véhicules</v>
          </cell>
          <cell r="AR364" t="str">
            <v>$</v>
          </cell>
          <cell r="AS364">
            <v>0</v>
          </cell>
          <cell r="AW364">
            <v>0</v>
          </cell>
          <cell r="AY364" t="str">
            <v>NB</v>
          </cell>
        </row>
        <row r="365">
          <cell r="AM365">
            <v>0</v>
          </cell>
          <cell r="AP365" t="str">
            <v>Bilan</v>
          </cell>
          <cell r="AQ365" t="str">
            <v>Recevables Véhicules</v>
          </cell>
          <cell r="AR365" t="str">
            <v>$</v>
          </cell>
          <cell r="AS365">
            <v>0</v>
          </cell>
          <cell r="AW365">
            <v>0</v>
          </cell>
          <cell r="AY365" t="str">
            <v>NB</v>
          </cell>
        </row>
        <row r="366">
          <cell r="AM366">
            <v>0</v>
          </cell>
          <cell r="AP366" t="e">
            <v>#N/A</v>
          </cell>
          <cell r="AQ366" t="e">
            <v>#N/A</v>
          </cell>
          <cell r="AR366" t="str">
            <v>$</v>
          </cell>
          <cell r="AS366" t="e">
            <v>#N/A</v>
          </cell>
          <cell r="AW366">
            <v>0</v>
          </cell>
          <cell r="AY366" t="str">
            <v>NB</v>
          </cell>
        </row>
        <row r="367">
          <cell r="AM367">
            <v>0</v>
          </cell>
          <cell r="AP367" t="str">
            <v>Bilan</v>
          </cell>
          <cell r="AQ367" t="str">
            <v>Encaisse</v>
          </cell>
          <cell r="AR367" t="str">
            <v>$</v>
          </cell>
          <cell r="AS367">
            <v>0</v>
          </cell>
          <cell r="AW367">
            <v>0</v>
          </cell>
          <cell r="AY367" t="str">
            <v>NB</v>
          </cell>
        </row>
        <row r="368">
          <cell r="AM368">
            <v>-9.07</v>
          </cell>
          <cell r="AP368" t="str">
            <v>Bilan</v>
          </cell>
          <cell r="AQ368" t="str">
            <v>Encaisse</v>
          </cell>
          <cell r="AR368" t="str">
            <v>$</v>
          </cell>
          <cell r="AS368">
            <v>0</v>
          </cell>
          <cell r="AW368">
            <v>0</v>
          </cell>
          <cell r="AY368" t="str">
            <v>NB</v>
          </cell>
        </row>
        <row r="369">
          <cell r="AM369">
            <v>0</v>
          </cell>
          <cell r="AP369" t="str">
            <v>Bilan</v>
          </cell>
          <cell r="AQ369" t="str">
            <v>Encaisse</v>
          </cell>
          <cell r="AR369" t="str">
            <v>$</v>
          </cell>
          <cell r="AS369">
            <v>0</v>
          </cell>
          <cell r="AW369">
            <v>0</v>
          </cell>
          <cell r="AY369" t="str">
            <v>NB</v>
          </cell>
        </row>
        <row r="370">
          <cell r="AM370">
            <v>347.8</v>
          </cell>
          <cell r="AP370" t="str">
            <v>Bilan</v>
          </cell>
          <cell r="AQ370" t="str">
            <v>Encaisse</v>
          </cell>
          <cell r="AR370" t="str">
            <v>$</v>
          </cell>
          <cell r="AS370">
            <v>0</v>
          </cell>
          <cell r="AW370">
            <v>0</v>
          </cell>
          <cell r="AY370" t="str">
            <v>NB</v>
          </cell>
        </row>
        <row r="371">
          <cell r="AM371">
            <v>0</v>
          </cell>
          <cell r="AP371" t="str">
            <v>Bilan</v>
          </cell>
          <cell r="AQ371" t="str">
            <v>Encaisse</v>
          </cell>
          <cell r="AR371" t="str">
            <v>$</v>
          </cell>
          <cell r="AS371">
            <v>0</v>
          </cell>
          <cell r="AW371">
            <v>0</v>
          </cell>
          <cell r="AY371" t="str">
            <v>NB</v>
          </cell>
        </row>
        <row r="372">
          <cell r="AM372">
            <v>0</v>
          </cell>
          <cell r="AP372" t="str">
            <v>Bilan</v>
          </cell>
          <cell r="AQ372" t="str">
            <v>Encaisse</v>
          </cell>
          <cell r="AR372" t="str">
            <v>$</v>
          </cell>
          <cell r="AS372">
            <v>0</v>
          </cell>
          <cell r="AW372">
            <v>0</v>
          </cell>
          <cell r="AY372" t="str">
            <v>NB</v>
          </cell>
        </row>
        <row r="373">
          <cell r="AM373">
            <v>0</v>
          </cell>
          <cell r="AP373" t="e">
            <v>#N/A</v>
          </cell>
          <cell r="AQ373" t="e">
            <v>#N/A</v>
          </cell>
          <cell r="AR373" t="str">
            <v>$</v>
          </cell>
          <cell r="AS373" t="e">
            <v>#N/A</v>
          </cell>
          <cell r="AW373">
            <v>0</v>
          </cell>
          <cell r="AY373" t="str">
            <v>NB</v>
          </cell>
        </row>
        <row r="374">
          <cell r="AM374">
            <v>359125</v>
          </cell>
          <cell r="AP374" t="str">
            <v>Bilan</v>
          </cell>
          <cell r="AQ374" t="str">
            <v>Inventaire Véhicules Neufs</v>
          </cell>
          <cell r="AR374" t="str">
            <v>$</v>
          </cell>
          <cell r="AS374">
            <v>0</v>
          </cell>
          <cell r="AW374">
            <v>0</v>
          </cell>
          <cell r="AY374" t="str">
            <v>NB</v>
          </cell>
        </row>
        <row r="375">
          <cell r="AM375">
            <v>0</v>
          </cell>
          <cell r="AP375" t="e">
            <v>#N/A</v>
          </cell>
          <cell r="AQ375" t="e">
            <v>#N/A</v>
          </cell>
          <cell r="AR375" t="str">
            <v>$</v>
          </cell>
          <cell r="AS375" t="e">
            <v>#N/A</v>
          </cell>
          <cell r="AW375">
            <v>0</v>
          </cell>
          <cell r="AY375" t="str">
            <v>NB</v>
          </cell>
        </row>
        <row r="376">
          <cell r="AM376">
            <v>4210675.2400000021</v>
          </cell>
          <cell r="AP376" t="str">
            <v>Bilan</v>
          </cell>
          <cell r="AQ376" t="str">
            <v>Inventaire Véhicules Neufs</v>
          </cell>
          <cell r="AR376" t="str">
            <v>$</v>
          </cell>
          <cell r="AS376">
            <v>0</v>
          </cell>
          <cell r="AW376">
            <v>0</v>
          </cell>
          <cell r="AY376" t="str">
            <v>NB</v>
          </cell>
        </row>
        <row r="377">
          <cell r="AM377">
            <v>-132563.35999999999</v>
          </cell>
          <cell r="AP377" t="str">
            <v>Bilan</v>
          </cell>
          <cell r="AQ377" t="str">
            <v>Inventaire Véhicules Usagés</v>
          </cell>
          <cell r="AR377" t="str">
            <v>$</v>
          </cell>
          <cell r="AS377">
            <v>0</v>
          </cell>
          <cell r="AW377">
            <v>0</v>
          </cell>
          <cell r="AY377" t="str">
            <v>NB</v>
          </cell>
        </row>
        <row r="378">
          <cell r="AM378">
            <v>0</v>
          </cell>
          <cell r="AP378" t="e">
            <v>#N/A</v>
          </cell>
          <cell r="AQ378" t="e">
            <v>#N/A</v>
          </cell>
          <cell r="AR378" t="str">
            <v>$</v>
          </cell>
          <cell r="AS378" t="e">
            <v>#N/A</v>
          </cell>
          <cell r="AW378">
            <v>0</v>
          </cell>
          <cell r="AY378" t="str">
            <v>NB</v>
          </cell>
        </row>
        <row r="379">
          <cell r="AM379">
            <v>-7378.2900000000373</v>
          </cell>
          <cell r="AP379" t="str">
            <v>Bilan</v>
          </cell>
          <cell r="AQ379" t="str">
            <v>Inventaire Véhicules Usagés</v>
          </cell>
          <cell r="AR379" t="str">
            <v>$</v>
          </cell>
          <cell r="AS379">
            <v>0</v>
          </cell>
          <cell r="AW379">
            <v>0</v>
          </cell>
          <cell r="AY379" t="str">
            <v>NB</v>
          </cell>
        </row>
        <row r="380">
          <cell r="AM380">
            <v>-681009.76</v>
          </cell>
          <cell r="AP380" t="str">
            <v>Bilan</v>
          </cell>
          <cell r="AQ380" t="str">
            <v>Inventaire Véhicules Usagés</v>
          </cell>
          <cell r="AR380" t="str">
            <v>$</v>
          </cell>
          <cell r="AS380">
            <v>0</v>
          </cell>
          <cell r="AW380">
            <v>0</v>
          </cell>
          <cell r="AY380" t="str">
            <v>NB</v>
          </cell>
        </row>
        <row r="381">
          <cell r="AM381">
            <v>0</v>
          </cell>
          <cell r="AP381" t="e">
            <v>#N/A</v>
          </cell>
          <cell r="AQ381" t="e">
            <v>#N/A</v>
          </cell>
          <cell r="AR381" t="str">
            <v>$</v>
          </cell>
          <cell r="AS381" t="e">
            <v>#N/A</v>
          </cell>
          <cell r="AW381">
            <v>0</v>
          </cell>
          <cell r="AY381" t="str">
            <v>NB</v>
          </cell>
        </row>
        <row r="382">
          <cell r="AM382">
            <v>-36661.340000000026</v>
          </cell>
          <cell r="AP382" t="str">
            <v>Bilan</v>
          </cell>
          <cell r="AQ382" t="str">
            <v>Inventaire Pièces, Pneus, Huile</v>
          </cell>
          <cell r="AR382" t="str">
            <v>$</v>
          </cell>
          <cell r="AS382">
            <v>0</v>
          </cell>
          <cell r="AW382">
            <v>0</v>
          </cell>
          <cell r="AY382" t="str">
            <v>NB</v>
          </cell>
        </row>
        <row r="383">
          <cell r="AM383">
            <v>125342.29999999999</v>
          </cell>
          <cell r="AP383" t="str">
            <v>Bilan</v>
          </cell>
          <cell r="AQ383" t="str">
            <v>Inventaire Pièces, Pneus, Huile</v>
          </cell>
          <cell r="AR383" t="str">
            <v>$</v>
          </cell>
          <cell r="AS383">
            <v>0</v>
          </cell>
          <cell r="AW383">
            <v>0</v>
          </cell>
          <cell r="AY383" t="str">
            <v>NB</v>
          </cell>
        </row>
        <row r="384">
          <cell r="AM384">
            <v>0</v>
          </cell>
          <cell r="AP384" t="e">
            <v>#N/A</v>
          </cell>
          <cell r="AQ384" t="e">
            <v>#N/A</v>
          </cell>
          <cell r="AR384" t="str">
            <v>$</v>
          </cell>
          <cell r="AS384" t="e">
            <v>#N/A</v>
          </cell>
          <cell r="AW384">
            <v>0</v>
          </cell>
          <cell r="AY384" t="str">
            <v>NB</v>
          </cell>
        </row>
        <row r="385">
          <cell r="AM385">
            <v>-1164.56</v>
          </cell>
          <cell r="AP385" t="str">
            <v>Bilan</v>
          </cell>
          <cell r="AQ385" t="str">
            <v>Inventaire Pièces, Pneus, Huile</v>
          </cell>
          <cell r="AR385" t="str">
            <v>$</v>
          </cell>
          <cell r="AS385">
            <v>0</v>
          </cell>
          <cell r="AW385">
            <v>0</v>
          </cell>
          <cell r="AY385" t="str">
            <v>NB</v>
          </cell>
        </row>
        <row r="386">
          <cell r="AM386">
            <v>11438.39</v>
          </cell>
          <cell r="AP386" t="str">
            <v>Bilan</v>
          </cell>
          <cell r="AQ386" t="str">
            <v>Inventaire Pièces, Pneus, Huile</v>
          </cell>
          <cell r="AR386" t="str">
            <v>$</v>
          </cell>
          <cell r="AS386">
            <v>0</v>
          </cell>
          <cell r="AW386">
            <v>0</v>
          </cell>
          <cell r="AY386" t="str">
            <v>NB</v>
          </cell>
        </row>
        <row r="387">
          <cell r="AM387">
            <v>582.84999999999991</v>
          </cell>
          <cell r="AP387" t="str">
            <v>Bilan</v>
          </cell>
          <cell r="AQ387" t="str">
            <v>Sous-Traitance</v>
          </cell>
          <cell r="AR387" t="str">
            <v>$</v>
          </cell>
          <cell r="AS387">
            <v>0</v>
          </cell>
          <cell r="AW387">
            <v>0</v>
          </cell>
          <cell r="AY387" t="str">
            <v>NB</v>
          </cell>
        </row>
        <row r="388">
          <cell r="AM388">
            <v>15111.470000000001</v>
          </cell>
          <cell r="AP388" t="str">
            <v>Bilan</v>
          </cell>
          <cell r="AQ388" t="str">
            <v>Sous-Traitance</v>
          </cell>
          <cell r="AR388" t="str">
            <v>$</v>
          </cell>
          <cell r="AS388">
            <v>0</v>
          </cell>
          <cell r="AW388">
            <v>0</v>
          </cell>
          <cell r="AY388" t="str">
            <v>NB</v>
          </cell>
        </row>
        <row r="389">
          <cell r="AM389">
            <v>-5671.6699999999992</v>
          </cell>
          <cell r="AP389" t="str">
            <v>Bilan</v>
          </cell>
          <cell r="AQ389" t="str">
            <v>Travaux en Cours</v>
          </cell>
          <cell r="AR389" t="str">
            <v>$</v>
          </cell>
          <cell r="AS389">
            <v>0</v>
          </cell>
          <cell r="AW389">
            <v>0</v>
          </cell>
          <cell r="AY389" t="str">
            <v>NB</v>
          </cell>
        </row>
        <row r="390">
          <cell r="AM390">
            <v>-1657.2399999999998</v>
          </cell>
          <cell r="AP390" t="str">
            <v>Bilan</v>
          </cell>
          <cell r="AQ390" t="str">
            <v>Travaux en Cours</v>
          </cell>
          <cell r="AR390" t="str">
            <v>$</v>
          </cell>
          <cell r="AS390">
            <v>0</v>
          </cell>
          <cell r="AW390">
            <v>0</v>
          </cell>
          <cell r="AY390" t="str">
            <v>NB</v>
          </cell>
        </row>
        <row r="391">
          <cell r="AM391">
            <v>18000</v>
          </cell>
          <cell r="AP391" t="str">
            <v>Bilan</v>
          </cell>
          <cell r="AQ391" t="str">
            <v>Recevables Autres</v>
          </cell>
          <cell r="AR391" t="str">
            <v>$</v>
          </cell>
          <cell r="AS391">
            <v>0</v>
          </cell>
          <cell r="AW391">
            <v>0</v>
          </cell>
          <cell r="AY391" t="str">
            <v>NB</v>
          </cell>
        </row>
        <row r="392">
          <cell r="AM392">
            <v>0</v>
          </cell>
          <cell r="AP392" t="e">
            <v>#N/A</v>
          </cell>
          <cell r="AQ392" t="e">
            <v>#N/A</v>
          </cell>
          <cell r="AR392" t="str">
            <v>$</v>
          </cell>
          <cell r="AS392" t="e">
            <v>#N/A</v>
          </cell>
          <cell r="AW392">
            <v>0</v>
          </cell>
          <cell r="AY392" t="str">
            <v>NB</v>
          </cell>
        </row>
        <row r="393">
          <cell r="AM393">
            <v>0</v>
          </cell>
          <cell r="AP393">
            <v>0</v>
          </cell>
          <cell r="AQ393">
            <v>0</v>
          </cell>
          <cell r="AR393" t="str">
            <v>$</v>
          </cell>
          <cell r="AS393">
            <v>0</v>
          </cell>
          <cell r="AW393">
            <v>0</v>
          </cell>
          <cell r="AY393" t="str">
            <v>NB</v>
          </cell>
        </row>
        <row r="394">
          <cell r="AM394">
            <v>0</v>
          </cell>
          <cell r="AP394" t="str">
            <v>Bilan</v>
          </cell>
          <cell r="AQ394" t="str">
            <v>Encaisse</v>
          </cell>
          <cell r="AR394" t="str">
            <v>$</v>
          </cell>
          <cell r="AS394">
            <v>0</v>
          </cell>
          <cell r="AW394">
            <v>0</v>
          </cell>
          <cell r="AY394" t="str">
            <v>NB</v>
          </cell>
        </row>
        <row r="395">
          <cell r="AM395">
            <v>-9217.4</v>
          </cell>
          <cell r="AP395" t="str">
            <v>Bilan</v>
          </cell>
          <cell r="AQ395" t="str">
            <v>Recevables Manufacturier</v>
          </cell>
          <cell r="AR395" t="str">
            <v>$</v>
          </cell>
          <cell r="AS395">
            <v>0</v>
          </cell>
          <cell r="AW395">
            <v>0</v>
          </cell>
          <cell r="AY395" t="str">
            <v>NB</v>
          </cell>
        </row>
        <row r="396">
          <cell r="AM396">
            <v>-106074.90000000002</v>
          </cell>
          <cell r="AP396" t="str">
            <v>Bilan</v>
          </cell>
          <cell r="AQ396" t="str">
            <v>Recevables Manufacturier</v>
          </cell>
          <cell r="AR396" t="str">
            <v>$</v>
          </cell>
          <cell r="AS396">
            <v>0</v>
          </cell>
          <cell r="AW396">
            <v>0</v>
          </cell>
          <cell r="AY396" t="str">
            <v>NB</v>
          </cell>
        </row>
        <row r="397">
          <cell r="AM397">
            <v>35618.94</v>
          </cell>
          <cell r="AP397" t="str">
            <v>Bilan</v>
          </cell>
          <cell r="AQ397" t="str">
            <v>Recevables Manufacturier</v>
          </cell>
          <cell r="AR397" t="str">
            <v>$</v>
          </cell>
          <cell r="AS397">
            <v>0</v>
          </cell>
          <cell r="AW397">
            <v>0</v>
          </cell>
          <cell r="AY397" t="str">
            <v>NB</v>
          </cell>
        </row>
        <row r="398">
          <cell r="AM398">
            <v>-2224.2000000000007</v>
          </cell>
          <cell r="AP398" t="str">
            <v>Bilan</v>
          </cell>
          <cell r="AQ398" t="str">
            <v>Frais Payés d'Avance</v>
          </cell>
          <cell r="AR398" t="str">
            <v>$</v>
          </cell>
          <cell r="AS398">
            <v>0</v>
          </cell>
          <cell r="AW398">
            <v>0</v>
          </cell>
          <cell r="AY398" t="str">
            <v>NB</v>
          </cell>
        </row>
        <row r="399">
          <cell r="AM399">
            <v>6998.1400000000012</v>
          </cell>
          <cell r="AP399" t="str">
            <v>Bilan</v>
          </cell>
          <cell r="AQ399" t="str">
            <v>Recevables Garantie Manufacturier</v>
          </cell>
          <cell r="AR399" t="str">
            <v>$</v>
          </cell>
          <cell r="AS399">
            <v>0</v>
          </cell>
          <cell r="AW399">
            <v>0</v>
          </cell>
          <cell r="AY399" t="str">
            <v>NB</v>
          </cell>
        </row>
        <row r="400">
          <cell r="AM400">
            <v>0</v>
          </cell>
          <cell r="AP400" t="e">
            <v>#N/A</v>
          </cell>
          <cell r="AQ400" t="e">
            <v>#N/A</v>
          </cell>
          <cell r="AR400" t="str">
            <v>$</v>
          </cell>
          <cell r="AS400" t="e">
            <v>#N/A</v>
          </cell>
          <cell r="AW400">
            <v>0</v>
          </cell>
          <cell r="AY400" t="str">
            <v>NB</v>
          </cell>
        </row>
        <row r="401">
          <cell r="AM401">
            <v>0</v>
          </cell>
          <cell r="AP401" t="e">
            <v>#N/A</v>
          </cell>
          <cell r="AQ401" t="e">
            <v>#N/A</v>
          </cell>
          <cell r="AR401" t="str">
            <v>$</v>
          </cell>
          <cell r="AS401" t="e">
            <v>#N/A</v>
          </cell>
          <cell r="AW401">
            <v>0</v>
          </cell>
          <cell r="AY401" t="str">
            <v>NB</v>
          </cell>
        </row>
        <row r="402">
          <cell r="AM402">
            <v>0</v>
          </cell>
          <cell r="AP402" t="e">
            <v>#N/A</v>
          </cell>
          <cell r="AQ402" t="e">
            <v>#N/A</v>
          </cell>
          <cell r="AR402" t="str">
            <v>$</v>
          </cell>
          <cell r="AS402" t="e">
            <v>#N/A</v>
          </cell>
          <cell r="AW402">
            <v>0</v>
          </cell>
          <cell r="AY402" t="str">
            <v>NB</v>
          </cell>
        </row>
        <row r="403">
          <cell r="AM403">
            <v>743533.33000000007</v>
          </cell>
          <cell r="AP403" t="str">
            <v>Bilan</v>
          </cell>
          <cell r="AQ403" t="str">
            <v>Recevables Autres</v>
          </cell>
          <cell r="AR403" t="str">
            <v>$</v>
          </cell>
          <cell r="AS403">
            <v>0</v>
          </cell>
          <cell r="AW403">
            <v>0</v>
          </cell>
          <cell r="AY403" t="str">
            <v>NB</v>
          </cell>
        </row>
        <row r="404">
          <cell r="AM404">
            <v>77249.97</v>
          </cell>
          <cell r="AP404" t="str">
            <v>Bilan</v>
          </cell>
          <cell r="AQ404" t="str">
            <v>Frais Payés d'Avance</v>
          </cell>
          <cell r="AR404" t="str">
            <v>$</v>
          </cell>
          <cell r="AS404">
            <v>0</v>
          </cell>
          <cell r="AW404">
            <v>0</v>
          </cell>
          <cell r="AY404" t="str">
            <v>NB</v>
          </cell>
        </row>
        <row r="405">
          <cell r="AM405">
            <v>-13073.61</v>
          </cell>
          <cell r="AP405" t="str">
            <v>Bilan</v>
          </cell>
          <cell r="AQ405" t="str">
            <v>Frais Payés d'Avance</v>
          </cell>
          <cell r="AR405" t="str">
            <v>$</v>
          </cell>
          <cell r="AS405">
            <v>0</v>
          </cell>
          <cell r="AW405">
            <v>0</v>
          </cell>
          <cell r="AY405" t="str">
            <v>NB</v>
          </cell>
        </row>
        <row r="406">
          <cell r="AM406">
            <v>-2188780.09</v>
          </cell>
          <cell r="AP406" t="str">
            <v>Bilan</v>
          </cell>
          <cell r="AQ406" t="str">
            <v>Frais Payés d'Avance</v>
          </cell>
          <cell r="AR406" t="str">
            <v>$</v>
          </cell>
          <cell r="AS406">
            <v>0</v>
          </cell>
          <cell r="AW406">
            <v>0</v>
          </cell>
          <cell r="AY406" t="str">
            <v>NB</v>
          </cell>
        </row>
        <row r="407">
          <cell r="AM407">
            <v>0</v>
          </cell>
          <cell r="AP407" t="e">
            <v>#N/A</v>
          </cell>
          <cell r="AQ407" t="e">
            <v>#N/A</v>
          </cell>
          <cell r="AR407" t="str">
            <v>$</v>
          </cell>
          <cell r="AS407" t="e">
            <v>#N/A</v>
          </cell>
          <cell r="AW407">
            <v>0</v>
          </cell>
          <cell r="AY407" t="str">
            <v>NB</v>
          </cell>
        </row>
        <row r="408">
          <cell r="AM408">
            <v>0</v>
          </cell>
          <cell r="AP408" t="e">
            <v>#N/A</v>
          </cell>
          <cell r="AQ408" t="e">
            <v>#N/A</v>
          </cell>
          <cell r="AR408" t="str">
            <v>$</v>
          </cell>
          <cell r="AS408" t="e">
            <v>#N/A</v>
          </cell>
          <cell r="AW408">
            <v>0</v>
          </cell>
          <cell r="AY408" t="str">
            <v>NB</v>
          </cell>
        </row>
        <row r="409">
          <cell r="AM409">
            <v>0</v>
          </cell>
          <cell r="AP409">
            <v>0</v>
          </cell>
          <cell r="AQ409">
            <v>0</v>
          </cell>
          <cell r="AR409" t="str">
            <v>$</v>
          </cell>
          <cell r="AS409">
            <v>0</v>
          </cell>
          <cell r="AW409">
            <v>0</v>
          </cell>
          <cell r="AY409" t="str">
            <v>NB</v>
          </cell>
        </row>
        <row r="410">
          <cell r="AM410">
            <v>50661.35999999987</v>
          </cell>
          <cell r="AP410" t="str">
            <v>Bilan</v>
          </cell>
          <cell r="AQ410" t="str">
            <v>Équipements Service</v>
          </cell>
          <cell r="AR410" t="str">
            <v>$</v>
          </cell>
          <cell r="AS410">
            <v>0</v>
          </cell>
          <cell r="AW410">
            <v>0</v>
          </cell>
          <cell r="AY410" t="str">
            <v>NB</v>
          </cell>
        </row>
        <row r="411">
          <cell r="AM411">
            <v>0</v>
          </cell>
          <cell r="AP411" t="str">
            <v>Bilan</v>
          </cell>
          <cell r="AQ411" t="str">
            <v>Équipements Service</v>
          </cell>
          <cell r="AR411" t="str">
            <v>$</v>
          </cell>
          <cell r="AS411">
            <v>0</v>
          </cell>
          <cell r="AW411">
            <v>0</v>
          </cell>
          <cell r="AY411" t="str">
            <v>NB</v>
          </cell>
        </row>
        <row r="412">
          <cell r="AM412">
            <v>7500</v>
          </cell>
          <cell r="AP412" t="str">
            <v>Bilan</v>
          </cell>
          <cell r="AQ412" t="str">
            <v>Mobilier</v>
          </cell>
          <cell r="AR412" t="str">
            <v>$</v>
          </cell>
          <cell r="AS412">
            <v>0</v>
          </cell>
          <cell r="AW412">
            <v>0</v>
          </cell>
          <cell r="AY412" t="str">
            <v>NB</v>
          </cell>
        </row>
        <row r="413">
          <cell r="AM413">
            <v>0</v>
          </cell>
          <cell r="AP413" t="str">
            <v>Bilan</v>
          </cell>
          <cell r="AQ413" t="str">
            <v>Équipements Service</v>
          </cell>
          <cell r="AR413" t="str">
            <v>$</v>
          </cell>
          <cell r="AS413">
            <v>0</v>
          </cell>
          <cell r="AW413">
            <v>0</v>
          </cell>
          <cell r="AY413" t="str">
            <v>NB</v>
          </cell>
        </row>
        <row r="414">
          <cell r="AM414">
            <v>0</v>
          </cell>
          <cell r="AP414" t="str">
            <v>Bilan</v>
          </cell>
          <cell r="AQ414" t="str">
            <v>Améliorations Locatives</v>
          </cell>
          <cell r="AR414" t="str">
            <v>$</v>
          </cell>
          <cell r="AS414">
            <v>0</v>
          </cell>
          <cell r="AW414">
            <v>0</v>
          </cell>
          <cell r="AY414" t="str">
            <v>NB</v>
          </cell>
        </row>
        <row r="415">
          <cell r="AM415">
            <v>2049</v>
          </cell>
          <cell r="AP415" t="str">
            <v>Bilan</v>
          </cell>
          <cell r="AQ415" t="str">
            <v>Équipements Informatique</v>
          </cell>
          <cell r="AR415" t="str">
            <v>$</v>
          </cell>
          <cell r="AS415">
            <v>0</v>
          </cell>
          <cell r="AW415">
            <v>0</v>
          </cell>
          <cell r="AY415" t="str">
            <v>NB</v>
          </cell>
        </row>
        <row r="416">
          <cell r="AM416">
            <v>0</v>
          </cell>
          <cell r="AP416" t="str">
            <v>Bilan</v>
          </cell>
          <cell r="AQ416" t="str">
            <v>Enseigne</v>
          </cell>
          <cell r="AR416" t="str">
            <v>$</v>
          </cell>
          <cell r="AS416">
            <v>0</v>
          </cell>
          <cell r="AW416">
            <v>0</v>
          </cell>
          <cell r="AY416" t="str">
            <v>NB</v>
          </cell>
        </row>
        <row r="417">
          <cell r="AM417">
            <v>0</v>
          </cell>
          <cell r="AP417">
            <v>0</v>
          </cell>
          <cell r="AQ417">
            <v>0</v>
          </cell>
          <cell r="AR417" t="str">
            <v>$</v>
          </cell>
          <cell r="AS417">
            <v>0</v>
          </cell>
          <cell r="AW417">
            <v>0</v>
          </cell>
          <cell r="AY417" t="str">
            <v>NB</v>
          </cell>
        </row>
        <row r="418">
          <cell r="AM418">
            <v>0</v>
          </cell>
          <cell r="AP418" t="str">
            <v>Bilan</v>
          </cell>
          <cell r="AQ418" t="str">
            <v>Avances à Recevoir Long Terme</v>
          </cell>
          <cell r="AR418" t="str">
            <v>$</v>
          </cell>
          <cell r="AS418">
            <v>0</v>
          </cell>
          <cell r="AW418">
            <v>0</v>
          </cell>
          <cell r="AY418" t="str">
            <v>NB</v>
          </cell>
        </row>
        <row r="419">
          <cell r="AM419">
            <v>-2000000</v>
          </cell>
          <cell r="AP419" t="str">
            <v>Bilan</v>
          </cell>
          <cell r="AQ419" t="str">
            <v>Encaisse</v>
          </cell>
          <cell r="AR419" t="str">
            <v>$</v>
          </cell>
          <cell r="AS419">
            <v>0</v>
          </cell>
          <cell r="AW419">
            <v>0</v>
          </cell>
          <cell r="AY419" t="str">
            <v>NB</v>
          </cell>
        </row>
        <row r="420">
          <cell r="AM420">
            <v>0</v>
          </cell>
          <cell r="AP420" t="str">
            <v>Bilan</v>
          </cell>
          <cell r="AQ420" t="str">
            <v>Avances à Recevoir Long Terme</v>
          </cell>
          <cell r="AR420" t="str">
            <v>$</v>
          </cell>
          <cell r="AS420">
            <v>0</v>
          </cell>
          <cell r="AW420">
            <v>0</v>
          </cell>
          <cell r="AY420" t="str">
            <v>NB</v>
          </cell>
        </row>
        <row r="421">
          <cell r="AM421">
            <v>0</v>
          </cell>
          <cell r="AP421" t="str">
            <v>Bilan</v>
          </cell>
          <cell r="AQ421" t="str">
            <v>Avances à Recevoir Long Terme</v>
          </cell>
          <cell r="AR421" t="str">
            <v>$</v>
          </cell>
          <cell r="AS421">
            <v>0</v>
          </cell>
          <cell r="AW421">
            <v>0</v>
          </cell>
          <cell r="AY421" t="str">
            <v>NB</v>
          </cell>
        </row>
        <row r="422">
          <cell r="AM422">
            <v>-1464992.7400000002</v>
          </cell>
          <cell r="AP422" t="str">
            <v>Bilan</v>
          </cell>
          <cell r="AQ422" t="str">
            <v>Comptes à Payer Fournisseurs</v>
          </cell>
          <cell r="AR422" t="str">
            <v>$</v>
          </cell>
          <cell r="AS422">
            <v>0</v>
          </cell>
          <cell r="AW422">
            <v>0</v>
          </cell>
          <cell r="AY422" t="str">
            <v>NB</v>
          </cell>
        </row>
        <row r="423">
          <cell r="AM423">
            <v>0</v>
          </cell>
          <cell r="AP423" t="e">
            <v>#N/A</v>
          </cell>
          <cell r="AQ423" t="e">
            <v>#N/A</v>
          </cell>
          <cell r="AR423" t="str">
            <v>$</v>
          </cell>
          <cell r="AS423" t="e">
            <v>#N/A</v>
          </cell>
          <cell r="AW423">
            <v>0</v>
          </cell>
          <cell r="AY423" t="str">
            <v>NB</v>
          </cell>
        </row>
        <row r="424">
          <cell r="AM424">
            <v>0</v>
          </cell>
          <cell r="AP424" t="str">
            <v>Bilan</v>
          </cell>
          <cell r="AQ424" t="str">
            <v>Autres Comptes à Payer</v>
          </cell>
          <cell r="AR424" t="str">
            <v>$</v>
          </cell>
          <cell r="AS424">
            <v>0</v>
          </cell>
          <cell r="AW424">
            <v>0</v>
          </cell>
          <cell r="AY424" t="str">
            <v>NB</v>
          </cell>
        </row>
        <row r="425">
          <cell r="AM425">
            <v>-3366.2199999999993</v>
          </cell>
          <cell r="AP425" t="str">
            <v>Bilan</v>
          </cell>
          <cell r="AQ425" t="str">
            <v>Autres Comptes à Payer</v>
          </cell>
          <cell r="AR425" t="str">
            <v>$</v>
          </cell>
          <cell r="AS425">
            <v>0</v>
          </cell>
          <cell r="AW425">
            <v>0</v>
          </cell>
          <cell r="AY425" t="str">
            <v>NB</v>
          </cell>
        </row>
        <row r="426">
          <cell r="AM426">
            <v>382.5</v>
          </cell>
          <cell r="AP426" t="str">
            <v>Bilan</v>
          </cell>
          <cell r="AQ426" t="str">
            <v>Taxes de Vente à Payer</v>
          </cell>
          <cell r="AR426" t="str">
            <v>$</v>
          </cell>
          <cell r="AS426">
            <v>0</v>
          </cell>
          <cell r="AW426">
            <v>0</v>
          </cell>
          <cell r="AY426" t="str">
            <v>NB</v>
          </cell>
        </row>
        <row r="427">
          <cell r="AM427">
            <v>0</v>
          </cell>
          <cell r="AP427" t="str">
            <v>Bilan</v>
          </cell>
          <cell r="AQ427" t="str">
            <v>Payables Intercos</v>
          </cell>
          <cell r="AR427" t="str">
            <v>$</v>
          </cell>
          <cell r="AS427">
            <v>0</v>
          </cell>
          <cell r="AW427">
            <v>0</v>
          </cell>
          <cell r="AY427" t="str">
            <v>NB</v>
          </cell>
        </row>
        <row r="428">
          <cell r="AM428">
            <v>0</v>
          </cell>
          <cell r="AP428" t="str">
            <v>Bilan</v>
          </cell>
          <cell r="AQ428" t="str">
            <v>Payables Intercos</v>
          </cell>
          <cell r="AR428" t="str">
            <v>$</v>
          </cell>
          <cell r="AS428">
            <v>0</v>
          </cell>
          <cell r="AW428">
            <v>0</v>
          </cell>
          <cell r="AY428" t="str">
            <v>NB</v>
          </cell>
        </row>
        <row r="429">
          <cell r="AM429">
            <v>0</v>
          </cell>
          <cell r="AP429" t="str">
            <v>Bilan</v>
          </cell>
          <cell r="AQ429" t="str">
            <v>Payables Intercos</v>
          </cell>
          <cell r="AR429" t="str">
            <v>$</v>
          </cell>
          <cell r="AS429">
            <v>0</v>
          </cell>
          <cell r="AW429">
            <v>0</v>
          </cell>
          <cell r="AY429" t="str">
            <v>NB</v>
          </cell>
        </row>
        <row r="430">
          <cell r="AM430">
            <v>0</v>
          </cell>
          <cell r="AP430" t="str">
            <v>Bilan</v>
          </cell>
          <cell r="AQ430" t="str">
            <v>Payables Intercos</v>
          </cell>
          <cell r="AR430" t="str">
            <v>$</v>
          </cell>
          <cell r="AS430">
            <v>0</v>
          </cell>
          <cell r="AW430">
            <v>0</v>
          </cell>
          <cell r="AY430" t="str">
            <v>NB</v>
          </cell>
        </row>
        <row r="431">
          <cell r="AM431">
            <v>0</v>
          </cell>
          <cell r="AP431">
            <v>0</v>
          </cell>
          <cell r="AQ431">
            <v>0</v>
          </cell>
          <cell r="AR431" t="str">
            <v>$</v>
          </cell>
          <cell r="AS431">
            <v>0</v>
          </cell>
          <cell r="AW431">
            <v>0</v>
          </cell>
          <cell r="AY431" t="str">
            <v>NB</v>
          </cell>
        </row>
        <row r="432">
          <cell r="AM432">
            <v>-1150</v>
          </cell>
          <cell r="AP432" t="str">
            <v>Bilan</v>
          </cell>
          <cell r="AQ432" t="str">
            <v>Autres Courus</v>
          </cell>
          <cell r="AR432" t="str">
            <v>$</v>
          </cell>
          <cell r="AS432">
            <v>0</v>
          </cell>
          <cell r="AW432">
            <v>0</v>
          </cell>
          <cell r="AY432" t="str">
            <v>NB</v>
          </cell>
        </row>
        <row r="433">
          <cell r="AM433">
            <v>-51354.31</v>
          </cell>
          <cell r="AP433" t="str">
            <v>Bilan</v>
          </cell>
          <cell r="AQ433" t="str">
            <v>Autres Courus</v>
          </cell>
          <cell r="AR433" t="str">
            <v>$</v>
          </cell>
          <cell r="AS433">
            <v>0</v>
          </cell>
          <cell r="AW433">
            <v>0</v>
          </cell>
          <cell r="AY433" t="str">
            <v>NB</v>
          </cell>
        </row>
        <row r="434">
          <cell r="AM434">
            <v>142281.70000000001</v>
          </cell>
          <cell r="AP434" t="str">
            <v>Bilan</v>
          </cell>
          <cell r="AQ434" t="str">
            <v>Autres Courus</v>
          </cell>
          <cell r="AR434" t="str">
            <v>$</v>
          </cell>
          <cell r="AS434">
            <v>0</v>
          </cell>
          <cell r="AW434">
            <v>0</v>
          </cell>
          <cell r="AY434" t="str">
            <v>NB</v>
          </cell>
        </row>
        <row r="435">
          <cell r="AM435">
            <v>0</v>
          </cell>
          <cell r="AP435" t="str">
            <v>Bilan</v>
          </cell>
          <cell r="AQ435" t="str">
            <v>Payables Intercos</v>
          </cell>
          <cell r="AR435" t="str">
            <v>$</v>
          </cell>
          <cell r="AS435">
            <v>0</v>
          </cell>
          <cell r="AW435">
            <v>0</v>
          </cell>
          <cell r="AY435" t="str">
            <v>NB</v>
          </cell>
        </row>
        <row r="436">
          <cell r="AM436">
            <v>2350000</v>
          </cell>
          <cell r="AP436" t="str">
            <v>Bilan</v>
          </cell>
          <cell r="AQ436" t="str">
            <v>Payables Intercos</v>
          </cell>
          <cell r="AR436" t="str">
            <v>$</v>
          </cell>
          <cell r="AS436">
            <v>0</v>
          </cell>
          <cell r="AW436">
            <v>0</v>
          </cell>
          <cell r="AY436" t="str">
            <v>NB</v>
          </cell>
        </row>
        <row r="437">
          <cell r="AM437">
            <v>0</v>
          </cell>
          <cell r="AP437" t="str">
            <v>Bilan</v>
          </cell>
          <cell r="AQ437" t="str">
            <v>Payables Intercos</v>
          </cell>
          <cell r="AR437" t="str">
            <v>$</v>
          </cell>
          <cell r="AS437">
            <v>0</v>
          </cell>
          <cell r="AW437">
            <v>0</v>
          </cell>
          <cell r="AY437" t="str">
            <v>NB</v>
          </cell>
        </row>
        <row r="438">
          <cell r="AM438">
            <v>0</v>
          </cell>
          <cell r="AP438" t="e">
            <v>#N/A</v>
          </cell>
          <cell r="AQ438" t="e">
            <v>#N/A</v>
          </cell>
          <cell r="AR438" t="str">
            <v>$</v>
          </cell>
          <cell r="AS438" t="e">
            <v>#N/A</v>
          </cell>
          <cell r="AW438">
            <v>0</v>
          </cell>
          <cell r="AY438" t="str">
            <v>NB</v>
          </cell>
        </row>
        <row r="439">
          <cell r="AM439">
            <v>0</v>
          </cell>
          <cell r="AP439" t="e">
            <v>#N/A</v>
          </cell>
          <cell r="AQ439" t="e">
            <v>#N/A</v>
          </cell>
          <cell r="AR439" t="str">
            <v>$</v>
          </cell>
          <cell r="AS439" t="e">
            <v>#N/A</v>
          </cell>
          <cell r="AW439">
            <v>0</v>
          </cell>
          <cell r="AY439" t="str">
            <v>NB</v>
          </cell>
        </row>
        <row r="440">
          <cell r="AM440">
            <v>-6012428.129999999</v>
          </cell>
          <cell r="AP440" t="str">
            <v>Bilan</v>
          </cell>
          <cell r="AQ440" t="str">
            <v>Effet à Payer Véhicules Neufs</v>
          </cell>
          <cell r="AR440" t="str">
            <v>$</v>
          </cell>
          <cell r="AS440">
            <v>0</v>
          </cell>
          <cell r="AW440">
            <v>0</v>
          </cell>
          <cell r="AY440" t="str">
            <v>NB</v>
          </cell>
        </row>
        <row r="441">
          <cell r="AM441">
            <v>616592.98</v>
          </cell>
          <cell r="AP441" t="str">
            <v>Bilan</v>
          </cell>
          <cell r="AQ441" t="str">
            <v>Effet à Payer Véhicules Usagés</v>
          </cell>
          <cell r="AR441" t="str">
            <v>$</v>
          </cell>
          <cell r="AS441">
            <v>0</v>
          </cell>
          <cell r="AW441">
            <v>0</v>
          </cell>
          <cell r="AY441" t="str">
            <v>NB</v>
          </cell>
        </row>
        <row r="442">
          <cell r="AM442">
            <v>0</v>
          </cell>
          <cell r="AP442" t="e">
            <v>#N/A</v>
          </cell>
          <cell r="AQ442" t="e">
            <v>#N/A</v>
          </cell>
          <cell r="AR442" t="str">
            <v>$</v>
          </cell>
          <cell r="AS442" t="e">
            <v>#N/A</v>
          </cell>
          <cell r="AW442">
            <v>0</v>
          </cell>
          <cell r="AY442" t="str">
            <v>NB</v>
          </cell>
        </row>
        <row r="443">
          <cell r="AM443">
            <v>0</v>
          </cell>
          <cell r="AP443">
            <v>0</v>
          </cell>
          <cell r="AQ443">
            <v>0</v>
          </cell>
          <cell r="AR443" t="str">
            <v>$</v>
          </cell>
          <cell r="AS443">
            <v>0</v>
          </cell>
          <cell r="AW443">
            <v>0</v>
          </cell>
          <cell r="AY443" t="str">
            <v>NB</v>
          </cell>
        </row>
        <row r="444">
          <cell r="AM444">
            <v>0</v>
          </cell>
          <cell r="AP444" t="e">
            <v>#N/A</v>
          </cell>
          <cell r="AQ444" t="e">
            <v>#N/A</v>
          </cell>
          <cell r="AR444" t="str">
            <v>$</v>
          </cell>
          <cell r="AS444" t="e">
            <v>#N/A</v>
          </cell>
          <cell r="AW444">
            <v>0</v>
          </cell>
          <cell r="AY444" t="str">
            <v>NB</v>
          </cell>
        </row>
        <row r="445">
          <cell r="AM445">
            <v>0</v>
          </cell>
          <cell r="AP445">
            <v>0</v>
          </cell>
          <cell r="AQ445">
            <v>0</v>
          </cell>
          <cell r="AR445" t="str">
            <v>$</v>
          </cell>
          <cell r="AS445">
            <v>0</v>
          </cell>
          <cell r="AW445">
            <v>0</v>
          </cell>
          <cell r="AY445" t="str">
            <v>NB</v>
          </cell>
        </row>
        <row r="446">
          <cell r="AM446">
            <v>2328.4899999999998</v>
          </cell>
          <cell r="AP446" t="str">
            <v>Bilan</v>
          </cell>
          <cell r="AQ446" t="str">
            <v>DAS à Payer</v>
          </cell>
          <cell r="AR446" t="str">
            <v>$</v>
          </cell>
          <cell r="AS446">
            <v>0</v>
          </cell>
          <cell r="AW446">
            <v>0</v>
          </cell>
          <cell r="AY446" t="str">
            <v>NB</v>
          </cell>
        </row>
        <row r="447">
          <cell r="AM447">
            <v>-36290.94</v>
          </cell>
          <cell r="AP447" t="str">
            <v>Bilan</v>
          </cell>
          <cell r="AQ447" t="str">
            <v>Salaires à Payer</v>
          </cell>
          <cell r="AR447" t="str">
            <v>$</v>
          </cell>
          <cell r="AS447">
            <v>0</v>
          </cell>
          <cell r="AW447">
            <v>0</v>
          </cell>
          <cell r="AY447" t="str">
            <v>NB</v>
          </cell>
        </row>
        <row r="448">
          <cell r="AM448">
            <v>-43761.020000000019</v>
          </cell>
          <cell r="AP448" t="str">
            <v>Bilan</v>
          </cell>
          <cell r="AQ448" t="str">
            <v>Salaires à Payer</v>
          </cell>
          <cell r="AR448" t="str">
            <v>$</v>
          </cell>
          <cell r="AS448">
            <v>0</v>
          </cell>
          <cell r="AW448">
            <v>0</v>
          </cell>
          <cell r="AY448" t="str">
            <v>NB</v>
          </cell>
        </row>
        <row r="449">
          <cell r="AM449">
            <v>0</v>
          </cell>
          <cell r="AP449">
            <v>0</v>
          </cell>
          <cell r="AQ449">
            <v>0</v>
          </cell>
          <cell r="AR449" t="str">
            <v>$</v>
          </cell>
          <cell r="AS449">
            <v>0</v>
          </cell>
          <cell r="AW449">
            <v>0</v>
          </cell>
          <cell r="AY449" t="str">
            <v>NB</v>
          </cell>
        </row>
        <row r="450">
          <cell r="AM450">
            <v>0</v>
          </cell>
          <cell r="AP450" t="e">
            <v>#N/A</v>
          </cell>
          <cell r="AQ450" t="e">
            <v>#N/A</v>
          </cell>
          <cell r="AR450" t="str">
            <v>$</v>
          </cell>
          <cell r="AS450" t="e">
            <v>#N/A</v>
          </cell>
          <cell r="AW450">
            <v>0</v>
          </cell>
          <cell r="AY450" t="str">
            <v>NB</v>
          </cell>
        </row>
        <row r="451">
          <cell r="AM451">
            <v>0</v>
          </cell>
          <cell r="AP451">
            <v>0</v>
          </cell>
          <cell r="AQ451">
            <v>0</v>
          </cell>
          <cell r="AR451" t="str">
            <v>$</v>
          </cell>
          <cell r="AS451">
            <v>0</v>
          </cell>
          <cell r="AW451">
            <v>0</v>
          </cell>
          <cell r="AY451" t="str">
            <v>NB</v>
          </cell>
        </row>
        <row r="452">
          <cell r="AM452">
            <v>0</v>
          </cell>
          <cell r="AP452" t="e">
            <v>#N/A</v>
          </cell>
          <cell r="AQ452" t="e">
            <v>#N/A</v>
          </cell>
          <cell r="AR452" t="str">
            <v>$</v>
          </cell>
          <cell r="AS452" t="e">
            <v>#N/A</v>
          </cell>
          <cell r="AW452">
            <v>0</v>
          </cell>
          <cell r="AY452" t="str">
            <v>NB</v>
          </cell>
        </row>
        <row r="453">
          <cell r="AM453">
            <v>28063</v>
          </cell>
          <cell r="AP453" t="str">
            <v>Bilan</v>
          </cell>
          <cell r="AQ453" t="str">
            <v>Frais Payés d'Avance</v>
          </cell>
          <cell r="AR453" t="str">
            <v>$</v>
          </cell>
          <cell r="AS453">
            <v>0</v>
          </cell>
          <cell r="AW453">
            <v>0</v>
          </cell>
          <cell r="AY453" t="str">
            <v>NB</v>
          </cell>
        </row>
        <row r="454">
          <cell r="AM454">
            <v>0</v>
          </cell>
          <cell r="AP454">
            <v>0</v>
          </cell>
          <cell r="AQ454">
            <v>0</v>
          </cell>
          <cell r="AR454" t="str">
            <v>$</v>
          </cell>
          <cell r="AS454">
            <v>0</v>
          </cell>
          <cell r="AW454">
            <v>0</v>
          </cell>
          <cell r="AY454" t="str">
            <v>NB</v>
          </cell>
        </row>
        <row r="455">
          <cell r="AM455">
            <v>0</v>
          </cell>
          <cell r="AP455" t="str">
            <v>Bilan</v>
          </cell>
          <cell r="AQ455" t="str">
            <v>Frais Payés d'Avance</v>
          </cell>
          <cell r="AR455" t="str">
            <v>$</v>
          </cell>
          <cell r="AS455">
            <v>0</v>
          </cell>
          <cell r="AW455">
            <v>0</v>
          </cell>
          <cell r="AY455" t="str">
            <v>NB</v>
          </cell>
        </row>
        <row r="456">
          <cell r="AM456">
            <v>0</v>
          </cell>
          <cell r="AP456">
            <v>0</v>
          </cell>
          <cell r="AQ456">
            <v>0</v>
          </cell>
          <cell r="AR456" t="str">
            <v>$</v>
          </cell>
          <cell r="AS456">
            <v>0</v>
          </cell>
          <cell r="AW456">
            <v>0</v>
          </cell>
          <cell r="AY456" t="str">
            <v>NB</v>
          </cell>
        </row>
        <row r="457">
          <cell r="AM457">
            <v>0</v>
          </cell>
          <cell r="AP457" t="e">
            <v>#N/A</v>
          </cell>
          <cell r="AQ457" t="e">
            <v>#N/A</v>
          </cell>
          <cell r="AR457" t="str">
            <v>$</v>
          </cell>
          <cell r="AS457" t="e">
            <v>#N/A</v>
          </cell>
          <cell r="AW457">
            <v>0</v>
          </cell>
          <cell r="AY457" t="str">
            <v>NB</v>
          </cell>
        </row>
        <row r="458">
          <cell r="AM458">
            <v>0</v>
          </cell>
          <cell r="AP458">
            <v>0</v>
          </cell>
          <cell r="AQ458">
            <v>0</v>
          </cell>
          <cell r="AR458" t="str">
            <v>$</v>
          </cell>
          <cell r="AS458">
            <v>0</v>
          </cell>
          <cell r="AW458">
            <v>0</v>
          </cell>
          <cell r="AY458" t="str">
            <v>NB</v>
          </cell>
        </row>
        <row r="459">
          <cell r="AM459">
            <v>0</v>
          </cell>
          <cell r="AP459">
            <v>0</v>
          </cell>
          <cell r="AQ459">
            <v>0</v>
          </cell>
          <cell r="AR459" t="str">
            <v>$</v>
          </cell>
          <cell r="AS459">
            <v>0</v>
          </cell>
          <cell r="AW459">
            <v>0</v>
          </cell>
          <cell r="AY459" t="str">
            <v>NB</v>
          </cell>
        </row>
        <row r="460">
          <cell r="AM460">
            <v>0</v>
          </cell>
          <cell r="AP460">
            <v>0</v>
          </cell>
          <cell r="AQ460">
            <v>0</v>
          </cell>
          <cell r="AR460" t="str">
            <v>$</v>
          </cell>
          <cell r="AS460">
            <v>0</v>
          </cell>
          <cell r="AW460">
            <v>0</v>
          </cell>
          <cell r="AY460" t="str">
            <v>NB</v>
          </cell>
        </row>
        <row r="461">
          <cell r="AM461">
            <v>-196.57999999999993</v>
          </cell>
          <cell r="AP461" t="str">
            <v>Bilan</v>
          </cell>
          <cell r="AQ461" t="str">
            <v>DAS à Payer</v>
          </cell>
          <cell r="AR461" t="str">
            <v>$</v>
          </cell>
          <cell r="AS461">
            <v>0</v>
          </cell>
          <cell r="AW461">
            <v>0</v>
          </cell>
          <cell r="AY461" t="str">
            <v>NB</v>
          </cell>
        </row>
        <row r="462">
          <cell r="AM462">
            <v>-27720.58</v>
          </cell>
          <cell r="AP462" t="str">
            <v>Bilan</v>
          </cell>
          <cell r="AQ462" t="str">
            <v>Taxes de Vente à Payer</v>
          </cell>
          <cell r="AR462" t="str">
            <v>$</v>
          </cell>
          <cell r="AS462">
            <v>0</v>
          </cell>
          <cell r="AW462">
            <v>0</v>
          </cell>
          <cell r="AY462" t="str">
            <v>NB</v>
          </cell>
        </row>
        <row r="463">
          <cell r="AM463">
            <v>-92266.089999999967</v>
          </cell>
          <cell r="AP463" t="str">
            <v>Bilan</v>
          </cell>
          <cell r="AQ463" t="str">
            <v>Taxes de Vente à Payer</v>
          </cell>
          <cell r="AR463" t="str">
            <v>$</v>
          </cell>
          <cell r="AS463">
            <v>0</v>
          </cell>
          <cell r="AW463">
            <v>0</v>
          </cell>
          <cell r="AY463" t="str">
            <v>NB</v>
          </cell>
        </row>
        <row r="464">
          <cell r="AM464">
            <v>-68.490000000000009</v>
          </cell>
          <cell r="AP464" t="str">
            <v>Bilan</v>
          </cell>
          <cell r="AQ464" t="str">
            <v>Taxes de Vente à Payer</v>
          </cell>
          <cell r="AR464" t="str">
            <v>$</v>
          </cell>
          <cell r="AS464">
            <v>0</v>
          </cell>
          <cell r="AW464">
            <v>0</v>
          </cell>
          <cell r="AY464" t="str">
            <v>NB</v>
          </cell>
        </row>
        <row r="465">
          <cell r="AM465">
            <v>-4980.2</v>
          </cell>
          <cell r="AP465" t="str">
            <v>Bilan</v>
          </cell>
          <cell r="AQ465" t="str">
            <v>Taxes de Vente à Payer</v>
          </cell>
          <cell r="AR465" t="str">
            <v>$</v>
          </cell>
          <cell r="AS465">
            <v>0</v>
          </cell>
          <cell r="AW465">
            <v>0</v>
          </cell>
          <cell r="AY465" t="str">
            <v>NB</v>
          </cell>
        </row>
        <row r="466">
          <cell r="AM466">
            <v>0</v>
          </cell>
          <cell r="AP466" t="str">
            <v>Bilan</v>
          </cell>
          <cell r="AQ466" t="str">
            <v>Impôts à payer</v>
          </cell>
          <cell r="AR466" t="str">
            <v>$</v>
          </cell>
          <cell r="AS466">
            <v>0</v>
          </cell>
          <cell r="AW466">
            <v>0</v>
          </cell>
          <cell r="AY466" t="str">
            <v>NB</v>
          </cell>
        </row>
        <row r="467">
          <cell r="AM467">
            <v>7580.1699999999983</v>
          </cell>
          <cell r="AP467" t="str">
            <v>Bilan</v>
          </cell>
          <cell r="AQ467" t="str">
            <v>Salaires à Payer</v>
          </cell>
          <cell r="AR467" t="str">
            <v>$</v>
          </cell>
          <cell r="AS467">
            <v>0</v>
          </cell>
          <cell r="AW467">
            <v>0</v>
          </cell>
          <cell r="AY467" t="str">
            <v>NB</v>
          </cell>
        </row>
        <row r="468">
          <cell r="AM468">
            <v>10556.810000000001</v>
          </cell>
          <cell r="AP468" t="str">
            <v>Bilan</v>
          </cell>
          <cell r="AQ468" t="str">
            <v>Autres Courus</v>
          </cell>
          <cell r="AR468" t="str">
            <v>$</v>
          </cell>
          <cell r="AS468">
            <v>0</v>
          </cell>
          <cell r="AW468">
            <v>0</v>
          </cell>
          <cell r="AY468" t="str">
            <v>NB</v>
          </cell>
        </row>
        <row r="469">
          <cell r="AM469">
            <v>0</v>
          </cell>
          <cell r="AP469" t="str">
            <v>Bilan</v>
          </cell>
          <cell r="AQ469" t="str">
            <v>Autres Courus</v>
          </cell>
          <cell r="AR469" t="str">
            <v>$</v>
          </cell>
          <cell r="AS469">
            <v>0</v>
          </cell>
          <cell r="AW469">
            <v>0</v>
          </cell>
          <cell r="AY469" t="str">
            <v>NB</v>
          </cell>
        </row>
        <row r="470">
          <cell r="AM470">
            <v>5360.9400000000023</v>
          </cell>
          <cell r="AP470" t="str">
            <v>Bilan</v>
          </cell>
          <cell r="AQ470" t="str">
            <v>Salaires à Payer</v>
          </cell>
          <cell r="AR470" t="str">
            <v>$</v>
          </cell>
          <cell r="AS470">
            <v>0</v>
          </cell>
          <cell r="AW470">
            <v>0</v>
          </cell>
          <cell r="AY470" t="str">
            <v>NB</v>
          </cell>
        </row>
        <row r="471">
          <cell r="AM471">
            <v>-3525</v>
          </cell>
          <cell r="AP471" t="str">
            <v>Bilan</v>
          </cell>
          <cell r="AQ471" t="str">
            <v>Autres Courus</v>
          </cell>
          <cell r="AR471" t="str">
            <v>$</v>
          </cell>
          <cell r="AS471">
            <v>0</v>
          </cell>
          <cell r="AW471">
            <v>0</v>
          </cell>
          <cell r="AY471" t="str">
            <v>NB</v>
          </cell>
        </row>
        <row r="472">
          <cell r="AM472">
            <v>65966.27</v>
          </cell>
          <cell r="AP472" t="str">
            <v>Bilan</v>
          </cell>
          <cell r="AQ472" t="str">
            <v>Autres Courus</v>
          </cell>
          <cell r="AR472" t="str">
            <v>$</v>
          </cell>
          <cell r="AS472">
            <v>0</v>
          </cell>
          <cell r="AW472">
            <v>0</v>
          </cell>
          <cell r="AY472" t="str">
            <v>NB</v>
          </cell>
        </row>
        <row r="473">
          <cell r="AM473">
            <v>556</v>
          </cell>
          <cell r="AP473" t="str">
            <v>Bilan</v>
          </cell>
          <cell r="AQ473" t="str">
            <v>Autres Courus</v>
          </cell>
          <cell r="AR473" t="str">
            <v>$</v>
          </cell>
          <cell r="AS473">
            <v>0</v>
          </cell>
          <cell r="AW473">
            <v>0</v>
          </cell>
          <cell r="AY473" t="str">
            <v>NB</v>
          </cell>
        </row>
        <row r="474">
          <cell r="AM474">
            <v>-8266.32</v>
          </cell>
          <cell r="AP474" t="str">
            <v>Bilan</v>
          </cell>
          <cell r="AQ474" t="str">
            <v>Autres Courus</v>
          </cell>
          <cell r="AR474" t="str">
            <v>$</v>
          </cell>
          <cell r="AS474">
            <v>0</v>
          </cell>
          <cell r="AW474">
            <v>0</v>
          </cell>
          <cell r="AY474" t="str">
            <v>NB</v>
          </cell>
        </row>
        <row r="475">
          <cell r="AM475">
            <v>21489.32</v>
          </cell>
          <cell r="AP475" t="str">
            <v>Bilan</v>
          </cell>
          <cell r="AQ475" t="str">
            <v>Autres Comptes à Payer</v>
          </cell>
          <cell r="AR475" t="str">
            <v>$</v>
          </cell>
          <cell r="AS475">
            <v>0</v>
          </cell>
          <cell r="AW475">
            <v>0</v>
          </cell>
          <cell r="AY475" t="str">
            <v>NB</v>
          </cell>
        </row>
        <row r="476">
          <cell r="AM476">
            <v>0</v>
          </cell>
          <cell r="AP476">
            <v>0</v>
          </cell>
          <cell r="AQ476">
            <v>0</v>
          </cell>
          <cell r="AR476" t="str">
            <v>$</v>
          </cell>
          <cell r="AS476">
            <v>0</v>
          </cell>
          <cell r="AW476">
            <v>0</v>
          </cell>
          <cell r="AY476" t="str">
            <v>NB</v>
          </cell>
        </row>
        <row r="477">
          <cell r="AM477">
            <v>-200</v>
          </cell>
          <cell r="AP477" t="str">
            <v>Bilan</v>
          </cell>
          <cell r="AQ477" t="str">
            <v>Autres Courus</v>
          </cell>
          <cell r="AR477" t="str">
            <v>$</v>
          </cell>
          <cell r="AS477">
            <v>0</v>
          </cell>
          <cell r="AW477">
            <v>0</v>
          </cell>
          <cell r="AY477" t="str">
            <v>NB</v>
          </cell>
        </row>
        <row r="478">
          <cell r="AM478">
            <v>35359.699999999997</v>
          </cell>
          <cell r="AP478" t="str">
            <v>Bilan</v>
          </cell>
          <cell r="AQ478" t="str">
            <v>Autres Courus</v>
          </cell>
          <cell r="AR478" t="str">
            <v>$</v>
          </cell>
          <cell r="AS478">
            <v>0</v>
          </cell>
          <cell r="AW478">
            <v>0</v>
          </cell>
          <cell r="AY478" t="str">
            <v>NB</v>
          </cell>
        </row>
        <row r="479">
          <cell r="AM479">
            <v>58900</v>
          </cell>
          <cell r="AP479" t="str">
            <v>Bilan</v>
          </cell>
          <cell r="AQ479" t="str">
            <v>Autres Courus</v>
          </cell>
          <cell r="AR479" t="str">
            <v>$</v>
          </cell>
          <cell r="AS479">
            <v>0</v>
          </cell>
          <cell r="AW479">
            <v>0</v>
          </cell>
          <cell r="AY479" t="str">
            <v>NB</v>
          </cell>
        </row>
        <row r="480">
          <cell r="AM480">
            <v>-300</v>
          </cell>
          <cell r="AP480" t="str">
            <v>Bilan</v>
          </cell>
          <cell r="AQ480" t="str">
            <v>Autres Courus</v>
          </cell>
          <cell r="AR480" t="str">
            <v>$</v>
          </cell>
          <cell r="AS480">
            <v>0</v>
          </cell>
          <cell r="AW480">
            <v>0</v>
          </cell>
          <cell r="AY480" t="str">
            <v>NB</v>
          </cell>
        </row>
        <row r="481">
          <cell r="AM481">
            <v>0</v>
          </cell>
          <cell r="AP481" t="str">
            <v>Bilan</v>
          </cell>
          <cell r="AQ481" t="str">
            <v>Autres Courus</v>
          </cell>
          <cell r="AR481" t="str">
            <v>$</v>
          </cell>
          <cell r="AS481">
            <v>0</v>
          </cell>
          <cell r="AW481">
            <v>0</v>
          </cell>
          <cell r="AY481" t="str">
            <v>NB</v>
          </cell>
        </row>
        <row r="482">
          <cell r="AM482">
            <v>-250</v>
          </cell>
          <cell r="AP482" t="str">
            <v>Bilan</v>
          </cell>
          <cell r="AQ482" t="str">
            <v>Autres Courus</v>
          </cell>
          <cell r="AR482" t="str">
            <v>$</v>
          </cell>
          <cell r="AS482">
            <v>0</v>
          </cell>
          <cell r="AW482">
            <v>0</v>
          </cell>
          <cell r="AY482" t="str">
            <v>NB</v>
          </cell>
        </row>
        <row r="483">
          <cell r="AM483">
            <v>0</v>
          </cell>
          <cell r="AP483" t="e">
            <v>#N/A</v>
          </cell>
          <cell r="AQ483" t="e">
            <v>#N/A</v>
          </cell>
          <cell r="AR483" t="str">
            <v>$</v>
          </cell>
          <cell r="AS483" t="e">
            <v>#N/A</v>
          </cell>
          <cell r="AW483">
            <v>0</v>
          </cell>
          <cell r="AY483" t="str">
            <v>NB</v>
          </cell>
        </row>
        <row r="484">
          <cell r="AM484">
            <v>0</v>
          </cell>
          <cell r="AP484" t="str">
            <v>Bilan</v>
          </cell>
          <cell r="AQ484" t="str">
            <v>Impôts Futurs à payer</v>
          </cell>
          <cell r="AR484" t="str">
            <v>$</v>
          </cell>
          <cell r="AS484">
            <v>0</v>
          </cell>
          <cell r="AW484">
            <v>0</v>
          </cell>
          <cell r="AY484" t="str">
            <v>NB</v>
          </cell>
        </row>
        <row r="485">
          <cell r="AM485">
            <v>0</v>
          </cell>
          <cell r="AP485" t="str">
            <v>Bilan</v>
          </cell>
          <cell r="AQ485" t="str">
            <v>Marge de crédit</v>
          </cell>
          <cell r="AR485" t="str">
            <v>$</v>
          </cell>
          <cell r="AS485">
            <v>0</v>
          </cell>
          <cell r="AW485">
            <v>0</v>
          </cell>
          <cell r="AY485" t="str">
            <v>NB</v>
          </cell>
        </row>
        <row r="486">
          <cell r="AM486">
            <v>0</v>
          </cell>
          <cell r="AP486" t="str">
            <v>Bilan</v>
          </cell>
          <cell r="AQ486" t="str">
            <v>Frais Payés d'Avance</v>
          </cell>
          <cell r="AR486" t="str">
            <v>$</v>
          </cell>
          <cell r="AS486">
            <v>0</v>
          </cell>
          <cell r="AW486">
            <v>0</v>
          </cell>
          <cell r="AY486" t="str">
            <v>NB</v>
          </cell>
        </row>
        <row r="487">
          <cell r="AM487">
            <v>0</v>
          </cell>
          <cell r="AP487">
            <v>0</v>
          </cell>
          <cell r="AQ487">
            <v>0</v>
          </cell>
          <cell r="AR487" t="str">
            <v>$</v>
          </cell>
          <cell r="AS487">
            <v>0</v>
          </cell>
          <cell r="AW487">
            <v>0</v>
          </cell>
          <cell r="AY487" t="str">
            <v>NB</v>
          </cell>
        </row>
        <row r="488">
          <cell r="AM488">
            <v>-5029.8600000001024</v>
          </cell>
          <cell r="AP488" t="str">
            <v>Bilan</v>
          </cell>
          <cell r="AQ488" t="str">
            <v>Équipements Service</v>
          </cell>
          <cell r="AR488" t="str">
            <v>$</v>
          </cell>
          <cell r="AS488">
            <v>0</v>
          </cell>
          <cell r="AW488">
            <v>0</v>
          </cell>
          <cell r="AY488" t="str">
            <v>NB</v>
          </cell>
        </row>
        <row r="489">
          <cell r="AM489">
            <v>-94.360000000000014</v>
          </cell>
          <cell r="AP489" t="str">
            <v>Bilan</v>
          </cell>
          <cell r="AQ489" t="str">
            <v>Équipements Service</v>
          </cell>
          <cell r="AR489" t="str">
            <v>$</v>
          </cell>
          <cell r="AS489">
            <v>0</v>
          </cell>
          <cell r="AW489">
            <v>0</v>
          </cell>
          <cell r="AY489" t="str">
            <v>NB</v>
          </cell>
        </row>
        <row r="490">
          <cell r="AM490">
            <v>-824.96000000002095</v>
          </cell>
          <cell r="AP490" t="str">
            <v>Bilan</v>
          </cell>
          <cell r="AQ490" t="str">
            <v>Mobilier</v>
          </cell>
          <cell r="AR490" t="str">
            <v>$</v>
          </cell>
          <cell r="AS490">
            <v>0</v>
          </cell>
          <cell r="AW490">
            <v>0</v>
          </cell>
          <cell r="AY490" t="str">
            <v>NB</v>
          </cell>
        </row>
        <row r="491">
          <cell r="AM491">
            <v>-1739.3600000000006</v>
          </cell>
          <cell r="AP491" t="str">
            <v>Bilan</v>
          </cell>
          <cell r="AQ491" t="str">
            <v>Équipements Service</v>
          </cell>
          <cell r="AR491" t="str">
            <v>$</v>
          </cell>
          <cell r="AS491">
            <v>0</v>
          </cell>
          <cell r="AW491">
            <v>0</v>
          </cell>
          <cell r="AY491" t="str">
            <v>NB</v>
          </cell>
        </row>
        <row r="492">
          <cell r="AM492">
            <v>-2190.1400000000067</v>
          </cell>
          <cell r="AP492" t="str">
            <v>Bilan</v>
          </cell>
          <cell r="AQ492" t="str">
            <v>Améliorations Locatives</v>
          </cell>
          <cell r="AR492" t="str">
            <v>$</v>
          </cell>
          <cell r="AS492">
            <v>0</v>
          </cell>
          <cell r="AW492">
            <v>0</v>
          </cell>
          <cell r="AY492" t="str">
            <v>NB</v>
          </cell>
        </row>
        <row r="493">
          <cell r="AM493">
            <v>-767.82000000000698</v>
          </cell>
          <cell r="AP493" t="str">
            <v>Bilan</v>
          </cell>
          <cell r="AQ493" t="str">
            <v>Équipements Informatique</v>
          </cell>
          <cell r="AR493" t="str">
            <v>$</v>
          </cell>
          <cell r="AS493">
            <v>0</v>
          </cell>
          <cell r="AW493">
            <v>0</v>
          </cell>
          <cell r="AY493" t="str">
            <v>NB</v>
          </cell>
        </row>
        <row r="494">
          <cell r="AM494">
            <v>-139.72999999999593</v>
          </cell>
          <cell r="AP494" t="str">
            <v>Bilan</v>
          </cell>
          <cell r="AQ494" t="str">
            <v>Enseigne</v>
          </cell>
          <cell r="AR494" t="str">
            <v>$</v>
          </cell>
          <cell r="AS494">
            <v>0</v>
          </cell>
          <cell r="AW494">
            <v>0</v>
          </cell>
          <cell r="AY494" t="str">
            <v>NB</v>
          </cell>
        </row>
        <row r="495">
          <cell r="AM495">
            <v>0</v>
          </cell>
          <cell r="AP495">
            <v>0</v>
          </cell>
          <cell r="AQ495">
            <v>0</v>
          </cell>
          <cell r="AR495" t="str">
            <v>$</v>
          </cell>
          <cell r="AS495">
            <v>0</v>
          </cell>
          <cell r="AW495">
            <v>0</v>
          </cell>
          <cell r="AY495" t="str">
            <v>NB</v>
          </cell>
        </row>
        <row r="496">
          <cell r="AM496">
            <v>0</v>
          </cell>
          <cell r="AP496" t="str">
            <v>Bilan</v>
          </cell>
          <cell r="AQ496" t="str">
            <v>Capital Actions</v>
          </cell>
          <cell r="AR496" t="str">
            <v>$</v>
          </cell>
          <cell r="AS496">
            <v>0</v>
          </cell>
          <cell r="AW496">
            <v>0</v>
          </cell>
          <cell r="AY496" t="str">
            <v>NB</v>
          </cell>
        </row>
        <row r="497">
          <cell r="AM497">
            <v>0</v>
          </cell>
          <cell r="AP497" t="str">
            <v>Bilan</v>
          </cell>
          <cell r="AQ497" t="str">
            <v>Capital Actions</v>
          </cell>
          <cell r="AR497" t="str">
            <v>$</v>
          </cell>
          <cell r="AS497">
            <v>0</v>
          </cell>
          <cell r="AW497">
            <v>0</v>
          </cell>
          <cell r="AY497" t="str">
            <v>NB</v>
          </cell>
        </row>
        <row r="498">
          <cell r="AM498">
            <v>0</v>
          </cell>
          <cell r="AP498" t="str">
            <v>Bilan</v>
          </cell>
          <cell r="AQ498" t="str">
            <v>Capital Actions</v>
          </cell>
          <cell r="AR498" t="str">
            <v>$</v>
          </cell>
          <cell r="AS498">
            <v>0</v>
          </cell>
          <cell r="AW498">
            <v>0</v>
          </cell>
          <cell r="AY498" t="str">
            <v>NB</v>
          </cell>
        </row>
        <row r="499">
          <cell r="AM499">
            <v>0</v>
          </cell>
          <cell r="AP499" t="str">
            <v>Bilan</v>
          </cell>
          <cell r="AQ499" t="str">
            <v>Capital Actions</v>
          </cell>
          <cell r="AR499" t="str">
            <v>$</v>
          </cell>
          <cell r="AS499">
            <v>0</v>
          </cell>
          <cell r="AW499">
            <v>0</v>
          </cell>
          <cell r="AY499" t="str">
            <v>NB</v>
          </cell>
        </row>
        <row r="500">
          <cell r="AM500">
            <v>0</v>
          </cell>
          <cell r="AP500" t="str">
            <v>Bilan</v>
          </cell>
          <cell r="AQ500" t="str">
            <v>Capital Actions</v>
          </cell>
          <cell r="AR500" t="str">
            <v>$</v>
          </cell>
          <cell r="AS500">
            <v>0</v>
          </cell>
          <cell r="AW500">
            <v>0</v>
          </cell>
          <cell r="AY500" t="str">
            <v>NB</v>
          </cell>
        </row>
        <row r="501">
          <cell r="AM501">
            <v>0</v>
          </cell>
          <cell r="AP501" t="str">
            <v>Bilan</v>
          </cell>
          <cell r="AQ501" t="str">
            <v>Capital Actions</v>
          </cell>
          <cell r="AR501" t="str">
            <v>$</v>
          </cell>
          <cell r="AS501">
            <v>0</v>
          </cell>
          <cell r="AW501">
            <v>0</v>
          </cell>
          <cell r="AY501" t="str">
            <v>NB</v>
          </cell>
        </row>
        <row r="502">
          <cell r="AM502">
            <v>0</v>
          </cell>
          <cell r="AP502" t="str">
            <v>Bilan</v>
          </cell>
          <cell r="AQ502" t="str">
            <v>Capital Actions</v>
          </cell>
          <cell r="AR502" t="str">
            <v>$</v>
          </cell>
          <cell r="AS502">
            <v>0</v>
          </cell>
          <cell r="AW502">
            <v>0</v>
          </cell>
          <cell r="AY502" t="str">
            <v>NB</v>
          </cell>
        </row>
        <row r="503">
          <cell r="AM503">
            <v>0</v>
          </cell>
          <cell r="AP503" t="str">
            <v>Bilan</v>
          </cell>
          <cell r="AQ503" t="str">
            <v>Bénéfices non répartis</v>
          </cell>
          <cell r="AR503" t="str">
            <v>$</v>
          </cell>
          <cell r="AS503">
            <v>0</v>
          </cell>
          <cell r="AW503">
            <v>0</v>
          </cell>
          <cell r="AY503" t="str">
            <v>NB</v>
          </cell>
        </row>
        <row r="504">
          <cell r="AM504">
            <v>0</v>
          </cell>
          <cell r="AP504">
            <v>0</v>
          </cell>
          <cell r="AQ504">
            <v>0</v>
          </cell>
          <cell r="AR504" t="str">
            <v>$</v>
          </cell>
          <cell r="AS504">
            <v>0</v>
          </cell>
          <cell r="AW504">
            <v>0</v>
          </cell>
          <cell r="AY504" t="str">
            <v>NB</v>
          </cell>
        </row>
        <row r="505">
          <cell r="AM505">
            <v>0</v>
          </cell>
          <cell r="AP505" t="e">
            <v>#N/A</v>
          </cell>
          <cell r="AQ505" t="e">
            <v>#N/A</v>
          </cell>
          <cell r="AR505" t="str">
            <v>$</v>
          </cell>
          <cell r="AS505" t="e">
            <v>#N/A</v>
          </cell>
          <cell r="AW505">
            <v>0</v>
          </cell>
          <cell r="AY505" t="str">
            <v>NB</v>
          </cell>
        </row>
        <row r="506">
          <cell r="AM506">
            <v>0</v>
          </cell>
          <cell r="AP506" t="str">
            <v>Véhicules neufs</v>
          </cell>
          <cell r="AQ506" t="str">
            <v>Autos détail</v>
          </cell>
          <cell r="AR506" t="str">
            <v>$</v>
          </cell>
          <cell r="AS506" t="str">
            <v>Oui</v>
          </cell>
          <cell r="AW506">
            <v>0</v>
          </cell>
          <cell r="AY506" t="str">
            <v>NB</v>
          </cell>
        </row>
        <row r="507">
          <cell r="AM507">
            <v>0</v>
          </cell>
          <cell r="AP507" t="str">
            <v>Véhicules neufs</v>
          </cell>
          <cell r="AQ507" t="str">
            <v>Autos détail</v>
          </cell>
          <cell r="AR507" t="str">
            <v>$</v>
          </cell>
          <cell r="AS507" t="str">
            <v>Oui</v>
          </cell>
          <cell r="AW507">
            <v>0</v>
          </cell>
          <cell r="AY507" t="str">
            <v>NB</v>
          </cell>
        </row>
        <row r="508">
          <cell r="AM508">
            <v>0</v>
          </cell>
          <cell r="AP508" t="str">
            <v>Véhicules neufs</v>
          </cell>
          <cell r="AQ508" t="str">
            <v>Autos détail</v>
          </cell>
          <cell r="AR508" t="str">
            <v>$</v>
          </cell>
          <cell r="AS508" t="str">
            <v>Oui</v>
          </cell>
          <cell r="AW508">
            <v>0</v>
          </cell>
          <cell r="AY508" t="str">
            <v>NB</v>
          </cell>
        </row>
        <row r="509">
          <cell r="AM509">
            <v>0</v>
          </cell>
          <cell r="AP509" t="str">
            <v>Véhicules neufs</v>
          </cell>
          <cell r="AQ509" t="str">
            <v>Autos détail</v>
          </cell>
          <cell r="AR509" t="str">
            <v>$</v>
          </cell>
          <cell r="AS509" t="str">
            <v>Oui</v>
          </cell>
          <cell r="AW509">
            <v>0</v>
          </cell>
          <cell r="AY509" t="str">
            <v>NB</v>
          </cell>
        </row>
        <row r="510">
          <cell r="AM510">
            <v>0</v>
          </cell>
          <cell r="AP510" t="e">
            <v>#N/A</v>
          </cell>
          <cell r="AQ510" t="e">
            <v>#N/A</v>
          </cell>
          <cell r="AR510" t="str">
            <v>$</v>
          </cell>
          <cell r="AS510" t="e">
            <v>#N/A</v>
          </cell>
          <cell r="AW510">
            <v>0</v>
          </cell>
          <cell r="AY510" t="str">
            <v>NB</v>
          </cell>
        </row>
        <row r="511">
          <cell r="AM511">
            <v>0</v>
          </cell>
          <cell r="AP511" t="e">
            <v>#N/A</v>
          </cell>
          <cell r="AQ511" t="e">
            <v>#N/A</v>
          </cell>
          <cell r="AR511" t="str">
            <v>$</v>
          </cell>
          <cell r="AS511" t="e">
            <v>#N/A</v>
          </cell>
          <cell r="AW511">
            <v>0</v>
          </cell>
          <cell r="AY511" t="str">
            <v>NB</v>
          </cell>
        </row>
        <row r="512">
          <cell r="AM512">
            <v>0</v>
          </cell>
          <cell r="AP512" t="e">
            <v>#N/A</v>
          </cell>
          <cell r="AQ512" t="e">
            <v>#N/A</v>
          </cell>
          <cell r="AR512" t="str">
            <v>$</v>
          </cell>
          <cell r="AS512" t="e">
            <v>#N/A</v>
          </cell>
          <cell r="AW512">
            <v>0</v>
          </cell>
          <cell r="AY512" t="str">
            <v>NB</v>
          </cell>
        </row>
        <row r="513">
          <cell r="AM513">
            <v>0</v>
          </cell>
          <cell r="AP513" t="str">
            <v>Véhicules neufs</v>
          </cell>
          <cell r="AQ513" t="str">
            <v>Autos détail</v>
          </cell>
          <cell r="AR513" t="str">
            <v>$</v>
          </cell>
          <cell r="AS513" t="str">
            <v>Oui</v>
          </cell>
          <cell r="AW513">
            <v>0</v>
          </cell>
          <cell r="AY513" t="str">
            <v>NB</v>
          </cell>
        </row>
        <row r="514">
          <cell r="AM514">
            <v>0</v>
          </cell>
          <cell r="AP514" t="str">
            <v>Véhicules neufs</v>
          </cell>
          <cell r="AQ514" t="str">
            <v>Autos détail</v>
          </cell>
          <cell r="AR514" t="str">
            <v>$</v>
          </cell>
          <cell r="AS514" t="str">
            <v>Oui</v>
          </cell>
          <cell r="AW514">
            <v>0</v>
          </cell>
          <cell r="AY514" t="str">
            <v>NB</v>
          </cell>
        </row>
        <row r="515">
          <cell r="AM515">
            <v>0</v>
          </cell>
          <cell r="AP515" t="e">
            <v>#N/A</v>
          </cell>
          <cell r="AQ515" t="e">
            <v>#N/A</v>
          </cell>
          <cell r="AR515" t="str">
            <v>$</v>
          </cell>
          <cell r="AS515" t="e">
            <v>#N/A</v>
          </cell>
          <cell r="AW515">
            <v>0</v>
          </cell>
          <cell r="AY515" t="str">
            <v>NB</v>
          </cell>
        </row>
        <row r="516">
          <cell r="AM516">
            <v>0</v>
          </cell>
          <cell r="AP516" t="str">
            <v>Véhicules neufs</v>
          </cell>
          <cell r="AQ516" t="str">
            <v>Autos détail</v>
          </cell>
          <cell r="AR516" t="str">
            <v>$</v>
          </cell>
          <cell r="AS516" t="str">
            <v>Oui</v>
          </cell>
          <cell r="AW516">
            <v>0</v>
          </cell>
          <cell r="AY516" t="str">
            <v>NB</v>
          </cell>
        </row>
        <row r="517">
          <cell r="AM517">
            <v>0</v>
          </cell>
          <cell r="AP517" t="str">
            <v>Véhicules neufs</v>
          </cell>
          <cell r="AQ517" t="str">
            <v>Autos détail</v>
          </cell>
          <cell r="AR517" t="str">
            <v>$</v>
          </cell>
          <cell r="AS517" t="str">
            <v>Oui</v>
          </cell>
          <cell r="AW517">
            <v>0</v>
          </cell>
          <cell r="AY517" t="str">
            <v>NB</v>
          </cell>
        </row>
        <row r="518">
          <cell r="AM518">
            <v>0</v>
          </cell>
          <cell r="AP518" t="e">
            <v>#N/A</v>
          </cell>
          <cell r="AQ518" t="e">
            <v>#N/A</v>
          </cell>
          <cell r="AR518" t="str">
            <v>$</v>
          </cell>
          <cell r="AS518" t="e">
            <v>#N/A</v>
          </cell>
          <cell r="AW518">
            <v>0</v>
          </cell>
          <cell r="AY518" t="str">
            <v>NB</v>
          </cell>
        </row>
        <row r="519">
          <cell r="AM519">
            <v>0</v>
          </cell>
          <cell r="AP519" t="e">
            <v>#N/A</v>
          </cell>
          <cell r="AQ519" t="e">
            <v>#N/A</v>
          </cell>
          <cell r="AR519" t="str">
            <v>$</v>
          </cell>
          <cell r="AS519" t="e">
            <v>#N/A</v>
          </cell>
          <cell r="AW519">
            <v>0</v>
          </cell>
          <cell r="AY519" t="str">
            <v>NB</v>
          </cell>
        </row>
        <row r="520">
          <cell r="AM520">
            <v>0</v>
          </cell>
          <cell r="AP520" t="str">
            <v>Véhicules neufs</v>
          </cell>
          <cell r="AQ520" t="str">
            <v>Camions electriques</v>
          </cell>
          <cell r="AR520" t="str">
            <v>$</v>
          </cell>
          <cell r="AS520" t="str">
            <v>Oui</v>
          </cell>
          <cell r="AW520">
            <v>0</v>
          </cell>
          <cell r="AY520" t="str">
            <v>NB</v>
          </cell>
        </row>
        <row r="521">
          <cell r="AM521">
            <v>0</v>
          </cell>
          <cell r="AP521" t="e">
            <v>#N/A</v>
          </cell>
          <cell r="AQ521" t="e">
            <v>#N/A</v>
          </cell>
          <cell r="AR521" t="str">
            <v>$</v>
          </cell>
          <cell r="AS521" t="e">
            <v>#N/A</v>
          </cell>
          <cell r="AW521">
            <v>0</v>
          </cell>
          <cell r="AY521" t="str">
            <v>NB</v>
          </cell>
        </row>
        <row r="522">
          <cell r="AM522">
            <v>0</v>
          </cell>
          <cell r="AP522" t="e">
            <v>#N/A</v>
          </cell>
          <cell r="AQ522" t="e">
            <v>#N/A</v>
          </cell>
          <cell r="AR522" t="str">
            <v>$</v>
          </cell>
          <cell r="AS522" t="e">
            <v>#N/A</v>
          </cell>
          <cell r="AW522">
            <v>0</v>
          </cell>
          <cell r="AY522" t="str">
            <v>NB</v>
          </cell>
        </row>
        <row r="523">
          <cell r="AM523">
            <v>0</v>
          </cell>
          <cell r="AP523" t="e">
            <v>#N/A</v>
          </cell>
          <cell r="AQ523" t="e">
            <v>#N/A</v>
          </cell>
          <cell r="AR523" t="str">
            <v>$</v>
          </cell>
          <cell r="AS523" t="e">
            <v>#N/A</v>
          </cell>
          <cell r="AW523">
            <v>0</v>
          </cell>
          <cell r="AY523" t="str">
            <v>NB</v>
          </cell>
        </row>
        <row r="524">
          <cell r="AM524">
            <v>0</v>
          </cell>
          <cell r="AP524" t="str">
            <v>Véhicules neufs</v>
          </cell>
          <cell r="AQ524" t="str">
            <v>Autos détail</v>
          </cell>
          <cell r="AR524" t="str">
            <v>$</v>
          </cell>
          <cell r="AS524" t="str">
            <v>Oui</v>
          </cell>
          <cell r="AW524">
            <v>0</v>
          </cell>
          <cell r="AY524" t="str">
            <v>NB</v>
          </cell>
        </row>
        <row r="525">
          <cell r="AM525">
            <v>0</v>
          </cell>
          <cell r="AP525" t="e">
            <v>#N/A</v>
          </cell>
          <cell r="AQ525" t="e">
            <v>#N/A</v>
          </cell>
          <cell r="AR525" t="str">
            <v>$</v>
          </cell>
          <cell r="AS525" t="e">
            <v>#N/A</v>
          </cell>
          <cell r="AW525">
            <v>0</v>
          </cell>
          <cell r="AY525" t="str">
            <v>NB</v>
          </cell>
        </row>
        <row r="526">
          <cell r="AM526">
            <v>0</v>
          </cell>
          <cell r="AP526" t="str">
            <v>Véhicules neufs</v>
          </cell>
          <cell r="AQ526" t="str">
            <v>Autos détail</v>
          </cell>
          <cell r="AR526" t="str">
            <v>$</v>
          </cell>
          <cell r="AS526" t="str">
            <v>Oui</v>
          </cell>
          <cell r="AW526">
            <v>0</v>
          </cell>
          <cell r="AY526" t="str">
            <v>NB</v>
          </cell>
        </row>
        <row r="527">
          <cell r="AM527">
            <v>0</v>
          </cell>
          <cell r="AP527" t="str">
            <v>Véhicules neufs</v>
          </cell>
          <cell r="AQ527" t="str">
            <v>Autos détail</v>
          </cell>
          <cell r="AR527" t="str">
            <v>$</v>
          </cell>
          <cell r="AS527" t="str">
            <v>Oui</v>
          </cell>
          <cell r="AW527">
            <v>0</v>
          </cell>
          <cell r="AY527" t="str">
            <v>NB</v>
          </cell>
        </row>
        <row r="528">
          <cell r="AM528">
            <v>0</v>
          </cell>
          <cell r="AP528">
            <v>0</v>
          </cell>
          <cell r="AQ528">
            <v>0</v>
          </cell>
          <cell r="AR528" t="str">
            <v>$</v>
          </cell>
          <cell r="AS528">
            <v>0</v>
          </cell>
          <cell r="AW528">
            <v>0</v>
          </cell>
          <cell r="AY528" t="str">
            <v>NB</v>
          </cell>
        </row>
        <row r="529">
          <cell r="AM529">
            <v>0</v>
          </cell>
          <cell r="AP529" t="e">
            <v>#N/A</v>
          </cell>
          <cell r="AQ529" t="e">
            <v>#N/A</v>
          </cell>
          <cell r="AR529" t="str">
            <v>$</v>
          </cell>
          <cell r="AS529" t="e">
            <v>#N/A</v>
          </cell>
          <cell r="AW529">
            <v>0</v>
          </cell>
          <cell r="AY529" t="str">
            <v>NB</v>
          </cell>
        </row>
        <row r="530">
          <cell r="AM530">
            <v>0</v>
          </cell>
          <cell r="AP530" t="e">
            <v>#N/A</v>
          </cell>
          <cell r="AQ530" t="e">
            <v>#N/A</v>
          </cell>
          <cell r="AR530" t="str">
            <v>$</v>
          </cell>
          <cell r="AS530" t="e">
            <v>#N/A</v>
          </cell>
          <cell r="AW530">
            <v>0</v>
          </cell>
          <cell r="AY530" t="str">
            <v>NB</v>
          </cell>
        </row>
        <row r="531">
          <cell r="AM531">
            <v>0</v>
          </cell>
          <cell r="AP531">
            <v>0</v>
          </cell>
          <cell r="AQ531">
            <v>0</v>
          </cell>
          <cell r="AR531" t="str">
            <v>$</v>
          </cell>
          <cell r="AS531">
            <v>0</v>
          </cell>
          <cell r="AW531">
            <v>73</v>
          </cell>
          <cell r="AY531" t="str">
            <v>NB</v>
          </cell>
        </row>
        <row r="532">
          <cell r="AM532">
            <v>0</v>
          </cell>
          <cell r="AP532" t="e">
            <v>#N/A</v>
          </cell>
          <cell r="AQ532" t="e">
            <v>#N/A</v>
          </cell>
          <cell r="AR532" t="str">
            <v>$</v>
          </cell>
          <cell r="AS532" t="e">
            <v>#N/A</v>
          </cell>
          <cell r="AW532">
            <v>0</v>
          </cell>
          <cell r="AY532" t="str">
            <v>NB</v>
          </cell>
        </row>
        <row r="533">
          <cell r="AM533">
            <v>0</v>
          </cell>
          <cell r="AP533" t="e">
            <v>#N/A</v>
          </cell>
          <cell r="AQ533" t="e">
            <v>#N/A</v>
          </cell>
          <cell r="AR533" t="str">
            <v>$</v>
          </cell>
          <cell r="AS533" t="e">
            <v>#N/A</v>
          </cell>
          <cell r="AW533">
            <v>0</v>
          </cell>
          <cell r="AY533" t="str">
            <v>NB</v>
          </cell>
        </row>
        <row r="534">
          <cell r="AM534">
            <v>0</v>
          </cell>
          <cell r="AP534" t="e">
            <v>#N/A</v>
          </cell>
          <cell r="AQ534" t="e">
            <v>#N/A</v>
          </cell>
          <cell r="AR534" t="str">
            <v>$</v>
          </cell>
          <cell r="AS534" t="e">
            <v>#N/A</v>
          </cell>
          <cell r="AW534">
            <v>0</v>
          </cell>
          <cell r="AY534" t="str">
            <v>NB</v>
          </cell>
        </row>
        <row r="535">
          <cell r="AM535">
            <v>0</v>
          </cell>
          <cell r="AP535" t="e">
            <v>#N/A</v>
          </cell>
          <cell r="AQ535" t="e">
            <v>#N/A</v>
          </cell>
          <cell r="AR535" t="str">
            <v>$</v>
          </cell>
          <cell r="AS535" t="e">
            <v>#N/A</v>
          </cell>
          <cell r="AW535">
            <v>0</v>
          </cell>
          <cell r="AY535" t="str">
            <v>NB</v>
          </cell>
        </row>
        <row r="536">
          <cell r="AM536">
            <v>0</v>
          </cell>
          <cell r="AP536" t="e">
            <v>#N/A</v>
          </cell>
          <cell r="AQ536" t="e">
            <v>#N/A</v>
          </cell>
          <cell r="AR536" t="str">
            <v>$</v>
          </cell>
          <cell r="AS536" t="e">
            <v>#N/A</v>
          </cell>
          <cell r="AW536">
            <v>0</v>
          </cell>
          <cell r="AY536" t="str">
            <v>NB</v>
          </cell>
        </row>
        <row r="537">
          <cell r="AM537">
            <v>0</v>
          </cell>
          <cell r="AP537" t="e">
            <v>#N/A</v>
          </cell>
          <cell r="AQ537" t="e">
            <v>#N/A</v>
          </cell>
          <cell r="AR537" t="str">
            <v>$</v>
          </cell>
          <cell r="AS537" t="e">
            <v>#N/A</v>
          </cell>
          <cell r="AW537">
            <v>0</v>
          </cell>
          <cell r="AY537" t="str">
            <v>NB</v>
          </cell>
        </row>
        <row r="538">
          <cell r="AM538">
            <v>-91669.090000000084</v>
          </cell>
          <cell r="AP538" t="str">
            <v>Véhicules neufs</v>
          </cell>
          <cell r="AQ538" t="str">
            <v>Camions détail</v>
          </cell>
          <cell r="AR538" t="str">
            <v>$</v>
          </cell>
          <cell r="AS538" t="str">
            <v>Oui</v>
          </cell>
          <cell r="AW538">
            <v>2</v>
          </cell>
          <cell r="AY538" t="str">
            <v>NB</v>
          </cell>
        </row>
        <row r="539">
          <cell r="AM539">
            <v>0</v>
          </cell>
          <cell r="AP539" t="str">
            <v>Véhicules neufs</v>
          </cell>
          <cell r="AQ539" t="str">
            <v>Camions electriques</v>
          </cell>
          <cell r="AR539" t="str">
            <v>$</v>
          </cell>
          <cell r="AS539" t="str">
            <v>Oui</v>
          </cell>
          <cell r="AW539">
            <v>0</v>
          </cell>
          <cell r="AY539" t="str">
            <v>NB</v>
          </cell>
        </row>
        <row r="540">
          <cell r="AM540">
            <v>0</v>
          </cell>
          <cell r="AP540" t="e">
            <v>#N/A</v>
          </cell>
          <cell r="AQ540" t="e">
            <v>#N/A</v>
          </cell>
          <cell r="AR540" t="str">
            <v>$</v>
          </cell>
          <cell r="AS540" t="e">
            <v>#N/A</v>
          </cell>
          <cell r="AW540">
            <v>0</v>
          </cell>
          <cell r="AY540" t="str">
            <v>NB</v>
          </cell>
        </row>
        <row r="541">
          <cell r="AM541">
            <v>0</v>
          </cell>
          <cell r="AP541" t="str">
            <v>Véhicules neufs</v>
          </cell>
          <cell r="AQ541" t="str">
            <v>Camions détail</v>
          </cell>
          <cell r="AR541" t="str">
            <v>$</v>
          </cell>
          <cell r="AS541" t="str">
            <v>Oui</v>
          </cell>
          <cell r="AW541">
            <v>0</v>
          </cell>
          <cell r="AY541" t="str">
            <v>NB</v>
          </cell>
        </row>
        <row r="542">
          <cell r="AM542">
            <v>0</v>
          </cell>
          <cell r="AP542" t="str">
            <v>Véhicules neufs</v>
          </cell>
          <cell r="AQ542" t="str">
            <v>Camions electriques</v>
          </cell>
          <cell r="AR542" t="str">
            <v>$</v>
          </cell>
          <cell r="AS542" t="str">
            <v>Oui</v>
          </cell>
          <cell r="AW542">
            <v>0</v>
          </cell>
          <cell r="AY542" t="str">
            <v>NB</v>
          </cell>
        </row>
        <row r="543">
          <cell r="AM543">
            <v>0</v>
          </cell>
          <cell r="AP543" t="e">
            <v>#N/A</v>
          </cell>
          <cell r="AQ543" t="e">
            <v>#N/A</v>
          </cell>
          <cell r="AR543" t="str">
            <v>$</v>
          </cell>
          <cell r="AS543" t="e">
            <v>#N/A</v>
          </cell>
          <cell r="AW543">
            <v>0</v>
          </cell>
          <cell r="AY543" t="str">
            <v>NB</v>
          </cell>
        </row>
        <row r="544">
          <cell r="AM544">
            <v>0</v>
          </cell>
          <cell r="AP544" t="e">
            <v>#N/A</v>
          </cell>
          <cell r="AQ544" t="e">
            <v>#N/A</v>
          </cell>
          <cell r="AR544" t="str">
            <v>$</v>
          </cell>
          <cell r="AS544" t="e">
            <v>#N/A</v>
          </cell>
          <cell r="AW544">
            <v>0</v>
          </cell>
          <cell r="AY544" t="str">
            <v>NB</v>
          </cell>
        </row>
        <row r="545">
          <cell r="AM545">
            <v>-55397</v>
          </cell>
          <cell r="AP545" t="str">
            <v>Véhicules neufs</v>
          </cell>
          <cell r="AQ545" t="str">
            <v>Camions détail</v>
          </cell>
          <cell r="AR545" t="str">
            <v>$</v>
          </cell>
          <cell r="AS545" t="str">
            <v>Oui</v>
          </cell>
          <cell r="AW545">
            <v>1</v>
          </cell>
          <cell r="AY545" t="str">
            <v>NB</v>
          </cell>
        </row>
        <row r="546">
          <cell r="AM546">
            <v>-65708.150000000023</v>
          </cell>
          <cell r="AP546" t="str">
            <v>Véhicules neufs</v>
          </cell>
          <cell r="AQ546" t="str">
            <v>Camions détail</v>
          </cell>
          <cell r="AR546" t="str">
            <v>$</v>
          </cell>
          <cell r="AS546" t="str">
            <v>Oui</v>
          </cell>
          <cell r="AW546">
            <v>1</v>
          </cell>
          <cell r="AY546" t="str">
            <v>NB</v>
          </cell>
        </row>
        <row r="547">
          <cell r="AM547">
            <v>-51715.5</v>
          </cell>
          <cell r="AP547" t="str">
            <v>Véhicules neufs</v>
          </cell>
          <cell r="AQ547" t="str">
            <v>Camions détail</v>
          </cell>
          <cell r="AR547" t="str">
            <v>$</v>
          </cell>
          <cell r="AS547" t="str">
            <v>Oui</v>
          </cell>
          <cell r="AW547">
            <v>1</v>
          </cell>
          <cell r="AY547" t="str">
            <v>NB</v>
          </cell>
        </row>
        <row r="548">
          <cell r="AM548">
            <v>-31198.999999999942</v>
          </cell>
          <cell r="AP548" t="str">
            <v>Véhicules neufs</v>
          </cell>
          <cell r="AQ548" t="str">
            <v>Camions détail</v>
          </cell>
          <cell r="AR548" t="str">
            <v>$</v>
          </cell>
          <cell r="AS548" t="str">
            <v>Oui</v>
          </cell>
          <cell r="AW548">
            <v>1</v>
          </cell>
          <cell r="AY548" t="str">
            <v>NB</v>
          </cell>
        </row>
        <row r="549">
          <cell r="AM549">
            <v>0</v>
          </cell>
          <cell r="AP549" t="e">
            <v>#N/A</v>
          </cell>
          <cell r="AQ549" t="e">
            <v>#N/A</v>
          </cell>
          <cell r="AR549" t="str">
            <v>$</v>
          </cell>
          <cell r="AS549" t="e">
            <v>#N/A</v>
          </cell>
          <cell r="AW549">
            <v>0</v>
          </cell>
          <cell r="AY549" t="str">
            <v>NB</v>
          </cell>
        </row>
        <row r="550">
          <cell r="AM550">
            <v>-61942.999999999971</v>
          </cell>
          <cell r="AP550" t="str">
            <v>Véhicules neufs</v>
          </cell>
          <cell r="AQ550" t="str">
            <v>Camions détail</v>
          </cell>
          <cell r="AR550" t="str">
            <v>$</v>
          </cell>
          <cell r="AS550" t="str">
            <v>Oui</v>
          </cell>
          <cell r="AW550">
            <v>1</v>
          </cell>
          <cell r="AY550" t="str">
            <v>NB</v>
          </cell>
        </row>
        <row r="551">
          <cell r="AM551">
            <v>0</v>
          </cell>
          <cell r="AP551" t="str">
            <v>Véhicules neufs</v>
          </cell>
          <cell r="AQ551" t="str">
            <v>Camions détail</v>
          </cell>
          <cell r="AR551" t="str">
            <v>$</v>
          </cell>
          <cell r="AS551" t="str">
            <v>Oui</v>
          </cell>
          <cell r="AW551">
            <v>0</v>
          </cell>
          <cell r="AY551" t="str">
            <v>NB</v>
          </cell>
        </row>
        <row r="552">
          <cell r="AM552">
            <v>0</v>
          </cell>
          <cell r="AP552" t="str">
            <v>Véhicules neufs</v>
          </cell>
          <cell r="AQ552" t="str">
            <v>Camions détail</v>
          </cell>
          <cell r="AR552" t="str">
            <v>$</v>
          </cell>
          <cell r="AS552" t="str">
            <v>Oui</v>
          </cell>
          <cell r="AW552">
            <v>0</v>
          </cell>
          <cell r="AY552" t="str">
            <v>NB</v>
          </cell>
        </row>
        <row r="553">
          <cell r="AM553">
            <v>0</v>
          </cell>
          <cell r="AP553" t="e">
            <v>#N/A</v>
          </cell>
          <cell r="AQ553" t="e">
            <v>#N/A</v>
          </cell>
          <cell r="AR553" t="str">
            <v>$</v>
          </cell>
          <cell r="AS553" t="e">
            <v>#N/A</v>
          </cell>
          <cell r="AW553">
            <v>0</v>
          </cell>
          <cell r="AY553" t="str">
            <v>NB</v>
          </cell>
        </row>
        <row r="554">
          <cell r="AM554">
            <v>-255128</v>
          </cell>
          <cell r="AP554" t="str">
            <v>Véhicules neufs</v>
          </cell>
          <cell r="AQ554" t="str">
            <v>Camions détail</v>
          </cell>
          <cell r="AR554" t="str">
            <v>$</v>
          </cell>
          <cell r="AS554" t="str">
            <v>Oui</v>
          </cell>
          <cell r="AW554">
            <v>8</v>
          </cell>
          <cell r="AY554" t="str">
            <v>NB</v>
          </cell>
        </row>
        <row r="555">
          <cell r="AM555">
            <v>-81485.5</v>
          </cell>
          <cell r="AP555" t="str">
            <v>Véhicules neufs</v>
          </cell>
          <cell r="AQ555" t="str">
            <v>Camions détail</v>
          </cell>
          <cell r="AR555" t="str">
            <v>$</v>
          </cell>
          <cell r="AS555" t="str">
            <v>Oui</v>
          </cell>
          <cell r="AW555">
            <v>1</v>
          </cell>
          <cell r="AY555" t="str">
            <v>NB</v>
          </cell>
        </row>
        <row r="556">
          <cell r="AM556">
            <v>-516223.04000000004</v>
          </cell>
          <cell r="AP556" t="str">
            <v>Véhicules neufs</v>
          </cell>
          <cell r="AQ556" t="str">
            <v>Camions détail</v>
          </cell>
          <cell r="AR556" t="str">
            <v>$</v>
          </cell>
          <cell r="AS556" t="str">
            <v>Oui</v>
          </cell>
          <cell r="AW556">
            <v>7</v>
          </cell>
          <cell r="AY556" t="str">
            <v>NB</v>
          </cell>
        </row>
        <row r="557">
          <cell r="AM557">
            <v>-218447</v>
          </cell>
          <cell r="AP557" t="str">
            <v>Véhicules neufs</v>
          </cell>
          <cell r="AQ557" t="str">
            <v>Camions electriques</v>
          </cell>
          <cell r="AR557" t="str">
            <v>$</v>
          </cell>
          <cell r="AS557" t="str">
            <v>Oui</v>
          </cell>
          <cell r="AW557">
            <v>2</v>
          </cell>
          <cell r="AY557" t="str">
            <v>NB</v>
          </cell>
        </row>
        <row r="558">
          <cell r="AM558">
            <v>-223236.84000000008</v>
          </cell>
          <cell r="AP558" t="str">
            <v>Véhicules neufs</v>
          </cell>
          <cell r="AQ558" t="str">
            <v>Camions détail</v>
          </cell>
          <cell r="AR558" t="str">
            <v>$</v>
          </cell>
          <cell r="AS558" t="str">
            <v>Oui</v>
          </cell>
          <cell r="AW558">
            <v>2</v>
          </cell>
          <cell r="AY558" t="str">
            <v>NB</v>
          </cell>
        </row>
        <row r="559">
          <cell r="AM559">
            <v>0</v>
          </cell>
          <cell r="AP559" t="e">
            <v>#N/A</v>
          </cell>
          <cell r="AQ559" t="e">
            <v>#N/A</v>
          </cell>
          <cell r="AR559" t="str">
            <v>$</v>
          </cell>
          <cell r="AS559" t="e">
            <v>#N/A</v>
          </cell>
          <cell r="AW559">
            <v>0</v>
          </cell>
          <cell r="AY559" t="str">
            <v>NB</v>
          </cell>
        </row>
        <row r="560">
          <cell r="AM560">
            <v>0</v>
          </cell>
          <cell r="AP560" t="str">
            <v>Véhicules neufs</v>
          </cell>
          <cell r="AQ560" t="str">
            <v>Camions détail</v>
          </cell>
          <cell r="AR560" t="str">
            <v>$</v>
          </cell>
          <cell r="AS560" t="str">
            <v>Oui</v>
          </cell>
          <cell r="AW560">
            <v>0</v>
          </cell>
          <cell r="AY560" t="str">
            <v>NB</v>
          </cell>
        </row>
        <row r="561">
          <cell r="AM561">
            <v>-338061.33000000007</v>
          </cell>
          <cell r="AP561" t="str">
            <v>Véhicules neufs</v>
          </cell>
          <cell r="AQ561" t="str">
            <v>Camions détail</v>
          </cell>
          <cell r="AR561" t="str">
            <v>$</v>
          </cell>
          <cell r="AS561" t="str">
            <v>Oui</v>
          </cell>
          <cell r="AW561">
            <v>4</v>
          </cell>
          <cell r="AY561" t="str">
            <v>NB</v>
          </cell>
        </row>
        <row r="562">
          <cell r="AM562">
            <v>-100119</v>
          </cell>
          <cell r="AP562" t="str">
            <v>Véhicules neufs</v>
          </cell>
          <cell r="AQ562" t="str">
            <v>Camions electriques</v>
          </cell>
          <cell r="AR562" t="str">
            <v>$</v>
          </cell>
          <cell r="AS562" t="str">
            <v>Oui</v>
          </cell>
          <cell r="AW562">
            <v>1</v>
          </cell>
          <cell r="AY562" t="str">
            <v>NB</v>
          </cell>
        </row>
        <row r="563">
          <cell r="AM563">
            <v>0</v>
          </cell>
          <cell r="AP563" t="e">
            <v>#N/A</v>
          </cell>
          <cell r="AQ563" t="e">
            <v>#N/A</v>
          </cell>
          <cell r="AR563" t="str">
            <v>$</v>
          </cell>
          <cell r="AS563" t="e">
            <v>#N/A</v>
          </cell>
          <cell r="AW563">
            <v>0</v>
          </cell>
          <cell r="AY563" t="str">
            <v>NB</v>
          </cell>
        </row>
        <row r="564">
          <cell r="AM564">
            <v>0</v>
          </cell>
          <cell r="AP564" t="str">
            <v>Véhicules neufs</v>
          </cell>
          <cell r="AQ564" t="str">
            <v>Camions détail</v>
          </cell>
          <cell r="AR564" t="str">
            <v>$</v>
          </cell>
          <cell r="AS564" t="str">
            <v>Oui</v>
          </cell>
          <cell r="AW564">
            <v>0</v>
          </cell>
          <cell r="AY564" t="str">
            <v>NB</v>
          </cell>
        </row>
        <row r="565">
          <cell r="AM565">
            <v>-458386.08999999985</v>
          </cell>
          <cell r="AP565" t="str">
            <v>Véhicules neufs</v>
          </cell>
          <cell r="AQ565" t="str">
            <v>Camions détail</v>
          </cell>
          <cell r="AR565" t="str">
            <v>$</v>
          </cell>
          <cell r="AS565" t="str">
            <v>Oui</v>
          </cell>
          <cell r="AW565">
            <v>4</v>
          </cell>
          <cell r="AY565" t="str">
            <v>NB</v>
          </cell>
        </row>
        <row r="566">
          <cell r="AM566">
            <v>0</v>
          </cell>
          <cell r="AP566" t="str">
            <v>Véhicules neufs</v>
          </cell>
          <cell r="AQ566" t="str">
            <v>Camions détail</v>
          </cell>
          <cell r="AR566" t="str">
            <v>$</v>
          </cell>
          <cell r="AS566" t="str">
            <v>Oui</v>
          </cell>
          <cell r="AW566">
            <v>0</v>
          </cell>
          <cell r="AY566" t="str">
            <v>NB</v>
          </cell>
        </row>
        <row r="567">
          <cell r="AM567">
            <v>0</v>
          </cell>
          <cell r="AP567" t="str">
            <v>Véhicules neufs</v>
          </cell>
          <cell r="AQ567" t="str">
            <v>Camions détail</v>
          </cell>
          <cell r="AR567" t="str">
            <v>$</v>
          </cell>
          <cell r="AS567" t="str">
            <v>Oui</v>
          </cell>
          <cell r="AW567">
            <v>0</v>
          </cell>
          <cell r="AY567" t="str">
            <v>NB</v>
          </cell>
        </row>
        <row r="568">
          <cell r="AM568">
            <v>-61618.01999999996</v>
          </cell>
          <cell r="AP568" t="str">
            <v>Véhicules neufs</v>
          </cell>
          <cell r="AQ568" t="str">
            <v>Camions electriques</v>
          </cell>
          <cell r="AR568" t="str">
            <v>$</v>
          </cell>
          <cell r="AS568" t="str">
            <v>Oui</v>
          </cell>
          <cell r="AW568">
            <v>1</v>
          </cell>
          <cell r="AY568" t="str">
            <v>NB</v>
          </cell>
        </row>
        <row r="569">
          <cell r="AM569">
            <v>0</v>
          </cell>
          <cell r="AP569" t="e">
            <v>#N/A</v>
          </cell>
          <cell r="AQ569" t="e">
            <v>#N/A</v>
          </cell>
          <cell r="AR569" t="str">
            <v>$</v>
          </cell>
          <cell r="AS569" t="e">
            <v>#N/A</v>
          </cell>
          <cell r="AW569">
            <v>0</v>
          </cell>
          <cell r="AY569" t="str">
            <v>NB</v>
          </cell>
        </row>
        <row r="570">
          <cell r="AM570">
            <v>-181860.34000000003</v>
          </cell>
          <cell r="AP570" t="str">
            <v>Véhicules neufs</v>
          </cell>
          <cell r="AQ570" t="str">
            <v>Camions détail</v>
          </cell>
          <cell r="AR570" t="str">
            <v>$</v>
          </cell>
          <cell r="AS570" t="str">
            <v>Oui</v>
          </cell>
          <cell r="AW570">
            <v>4</v>
          </cell>
          <cell r="AY570" t="str">
            <v>NB</v>
          </cell>
        </row>
        <row r="571">
          <cell r="AM571">
            <v>-1097587.6799999997</v>
          </cell>
          <cell r="AP571" t="str">
            <v>Véhicules neufs</v>
          </cell>
          <cell r="AQ571" t="str">
            <v>Camions electriques</v>
          </cell>
          <cell r="AR571" t="str">
            <v>$</v>
          </cell>
          <cell r="AS571" t="str">
            <v>Oui</v>
          </cell>
          <cell r="AW571">
            <v>20</v>
          </cell>
          <cell r="AY571" t="str">
            <v>NB</v>
          </cell>
        </row>
        <row r="572">
          <cell r="AM572">
            <v>0</v>
          </cell>
          <cell r="AP572" t="e">
            <v>#N/A</v>
          </cell>
          <cell r="AQ572" t="e">
            <v>#N/A</v>
          </cell>
          <cell r="AR572" t="str">
            <v>$</v>
          </cell>
          <cell r="AS572" t="e">
            <v>#N/A</v>
          </cell>
          <cell r="AW572">
            <v>0</v>
          </cell>
          <cell r="AY572" t="str">
            <v>NB</v>
          </cell>
        </row>
        <row r="573">
          <cell r="AM573">
            <v>0</v>
          </cell>
          <cell r="AP573" t="str">
            <v>Véhicules neufs</v>
          </cell>
          <cell r="AQ573" t="str">
            <v>Camions détail</v>
          </cell>
          <cell r="AR573" t="str">
            <v>$</v>
          </cell>
          <cell r="AS573" t="str">
            <v>Oui</v>
          </cell>
          <cell r="AW573">
            <v>0</v>
          </cell>
          <cell r="AY573" t="str">
            <v>NB</v>
          </cell>
        </row>
        <row r="574">
          <cell r="AM574">
            <v>0</v>
          </cell>
          <cell r="AP574" t="str">
            <v>Véhicules neufs</v>
          </cell>
          <cell r="AQ574" t="str">
            <v>Camions electriques</v>
          </cell>
          <cell r="AR574" t="str">
            <v>$</v>
          </cell>
          <cell r="AS574" t="str">
            <v>Oui</v>
          </cell>
          <cell r="AW574">
            <v>0</v>
          </cell>
          <cell r="AY574" t="str">
            <v>NB</v>
          </cell>
        </row>
        <row r="575">
          <cell r="AM575">
            <v>0</v>
          </cell>
          <cell r="AP575" t="e">
            <v>#N/A</v>
          </cell>
          <cell r="AQ575" t="e">
            <v>#N/A</v>
          </cell>
          <cell r="AR575" t="str">
            <v>$</v>
          </cell>
          <cell r="AS575" t="e">
            <v>#N/A</v>
          </cell>
          <cell r="AW575">
            <v>0</v>
          </cell>
          <cell r="AY575" t="str">
            <v>NB</v>
          </cell>
        </row>
        <row r="576">
          <cell r="AM576">
            <v>-39477.5</v>
          </cell>
          <cell r="AP576" t="str">
            <v>Véhicules neufs</v>
          </cell>
          <cell r="AQ576" t="str">
            <v>Camions détail</v>
          </cell>
          <cell r="AR576" t="str">
            <v>$</v>
          </cell>
          <cell r="AS576" t="str">
            <v>Oui</v>
          </cell>
          <cell r="AW576">
            <v>1</v>
          </cell>
          <cell r="AY576" t="str">
            <v>NB</v>
          </cell>
        </row>
        <row r="577">
          <cell r="AM577">
            <v>0</v>
          </cell>
          <cell r="AP577" t="str">
            <v>Véhicules neufs</v>
          </cell>
          <cell r="AQ577" t="str">
            <v>Camions détail</v>
          </cell>
          <cell r="AR577" t="str">
            <v>$</v>
          </cell>
          <cell r="AS577" t="str">
            <v>Oui</v>
          </cell>
          <cell r="AW577">
            <v>0</v>
          </cell>
          <cell r="AY577" t="str">
            <v>NB</v>
          </cell>
        </row>
        <row r="578">
          <cell r="AM578">
            <v>0</v>
          </cell>
          <cell r="AP578" t="e">
            <v>#N/A</v>
          </cell>
          <cell r="AQ578" t="e">
            <v>#N/A</v>
          </cell>
          <cell r="AR578" t="str">
            <v>$</v>
          </cell>
          <cell r="AS578" t="e">
            <v>#N/A</v>
          </cell>
          <cell r="AW578">
            <v>0</v>
          </cell>
          <cell r="AY578" t="str">
            <v>NB</v>
          </cell>
        </row>
        <row r="579">
          <cell r="AM579">
            <v>0</v>
          </cell>
          <cell r="AP579" t="e">
            <v>#N/A</v>
          </cell>
          <cell r="AQ579" t="e">
            <v>#N/A</v>
          </cell>
          <cell r="AR579" t="str">
            <v>$</v>
          </cell>
          <cell r="AS579" t="e">
            <v>#N/A</v>
          </cell>
          <cell r="AW579">
            <v>0</v>
          </cell>
          <cell r="AY579" t="str">
            <v>NB</v>
          </cell>
        </row>
        <row r="580">
          <cell r="AM580">
            <v>-4881896.3800000101</v>
          </cell>
          <cell r="AP580" t="str">
            <v>Véhicules neufs</v>
          </cell>
          <cell r="AQ580" t="str">
            <v>Flottes</v>
          </cell>
          <cell r="AR580" t="str">
            <v>$</v>
          </cell>
          <cell r="AS580" t="str">
            <v>Oui</v>
          </cell>
          <cell r="AW580">
            <v>82</v>
          </cell>
          <cell r="AY580" t="str">
            <v>NB</v>
          </cell>
        </row>
        <row r="581">
          <cell r="AM581">
            <v>0</v>
          </cell>
          <cell r="AP581" t="str">
            <v>Véhicules neufs</v>
          </cell>
          <cell r="AQ581" t="str">
            <v>Flottes</v>
          </cell>
          <cell r="AR581" t="str">
            <v>$</v>
          </cell>
          <cell r="AS581" t="str">
            <v>Oui</v>
          </cell>
          <cell r="AW581">
            <v>0</v>
          </cell>
          <cell r="AY581" t="str">
            <v>NB</v>
          </cell>
        </row>
        <row r="582">
          <cell r="AM582">
            <v>-82992</v>
          </cell>
          <cell r="AP582" t="str">
            <v>Véhicules neufs</v>
          </cell>
          <cell r="AQ582" t="str">
            <v>Rev. Protections</v>
          </cell>
          <cell r="AR582" t="str">
            <v>$</v>
          </cell>
          <cell r="AS582" t="str">
            <v>Oui</v>
          </cell>
          <cell r="AW582">
            <v>30</v>
          </cell>
          <cell r="AY582" t="str">
            <v>NB</v>
          </cell>
        </row>
        <row r="583">
          <cell r="AM583">
            <v>0</v>
          </cell>
          <cell r="AP583" t="str">
            <v>Véhicules neufs</v>
          </cell>
          <cell r="AQ583" t="str">
            <v>Rev. Protections</v>
          </cell>
          <cell r="AR583" t="str">
            <v>$</v>
          </cell>
          <cell r="AS583" t="str">
            <v>Oui</v>
          </cell>
          <cell r="AW583">
            <v>0</v>
          </cell>
          <cell r="AY583" t="str">
            <v>NB</v>
          </cell>
        </row>
        <row r="584">
          <cell r="AM584">
            <v>0</v>
          </cell>
          <cell r="AP584" t="str">
            <v>Véhicules neufs</v>
          </cell>
          <cell r="AQ584" t="str">
            <v>Rev. Autres</v>
          </cell>
          <cell r="AR584" t="str">
            <v>$</v>
          </cell>
          <cell r="AS584" t="str">
            <v>Oui</v>
          </cell>
          <cell r="AW584">
            <v>0</v>
          </cell>
          <cell r="AY584" t="str">
            <v>NB</v>
          </cell>
        </row>
        <row r="585">
          <cell r="AM585">
            <v>-7930</v>
          </cell>
          <cell r="AP585" t="str">
            <v>Véhicules neufs</v>
          </cell>
          <cell r="AQ585" t="str">
            <v>Rev. Autres</v>
          </cell>
          <cell r="AR585" t="str">
            <v>$</v>
          </cell>
          <cell r="AS585" t="str">
            <v>Oui</v>
          </cell>
          <cell r="AW585">
            <v>7</v>
          </cell>
          <cell r="AY585" t="str">
            <v>NB</v>
          </cell>
        </row>
        <row r="586">
          <cell r="AM586">
            <v>-14656</v>
          </cell>
          <cell r="AP586" t="str">
            <v>Véhicules neufs</v>
          </cell>
          <cell r="AQ586" t="str">
            <v>Rev. Protections</v>
          </cell>
          <cell r="AR586" t="str">
            <v>$</v>
          </cell>
          <cell r="AS586" t="str">
            <v>Oui</v>
          </cell>
          <cell r="AW586">
            <v>5</v>
          </cell>
          <cell r="AY586" t="str">
            <v>NB</v>
          </cell>
        </row>
        <row r="587">
          <cell r="AM587">
            <v>-2757</v>
          </cell>
          <cell r="AP587" t="str">
            <v>Véhicules neufs</v>
          </cell>
          <cell r="AQ587" t="str">
            <v>Rev. Autres</v>
          </cell>
          <cell r="AR587" t="str">
            <v>$</v>
          </cell>
          <cell r="AS587" t="str">
            <v>Oui</v>
          </cell>
          <cell r="AW587">
            <v>6</v>
          </cell>
          <cell r="AY587" t="str">
            <v>NB</v>
          </cell>
        </row>
        <row r="588">
          <cell r="AM588">
            <v>0</v>
          </cell>
          <cell r="AP588" t="str">
            <v>Véhicules usagés</v>
          </cell>
          <cell r="AQ588" t="str">
            <v>Certifié</v>
          </cell>
          <cell r="AR588" t="str">
            <v>$</v>
          </cell>
          <cell r="AS588" t="str">
            <v>Oui</v>
          </cell>
          <cell r="AW588">
            <v>0</v>
          </cell>
          <cell r="AY588" t="str">
            <v>NB</v>
          </cell>
        </row>
        <row r="589">
          <cell r="AM589">
            <v>-76998</v>
          </cell>
          <cell r="AP589" t="str">
            <v>Véhicules usagés</v>
          </cell>
          <cell r="AQ589" t="str">
            <v>Non Certifié</v>
          </cell>
          <cell r="AR589" t="str">
            <v>$</v>
          </cell>
          <cell r="AS589" t="str">
            <v>Oui</v>
          </cell>
          <cell r="AW589">
            <v>2</v>
          </cell>
          <cell r="AY589" t="str">
            <v>NB</v>
          </cell>
        </row>
        <row r="590">
          <cell r="AM590">
            <v>0</v>
          </cell>
          <cell r="AP590" t="e">
            <v>#N/A</v>
          </cell>
          <cell r="AQ590" t="e">
            <v>#N/A</v>
          </cell>
          <cell r="AR590" t="str">
            <v>$</v>
          </cell>
          <cell r="AS590" t="e">
            <v>#N/A</v>
          </cell>
          <cell r="AW590">
            <v>0</v>
          </cell>
          <cell r="AY590" t="str">
            <v>NB</v>
          </cell>
        </row>
        <row r="591">
          <cell r="AM591">
            <v>0</v>
          </cell>
          <cell r="AP591">
            <v>0</v>
          </cell>
          <cell r="AQ591">
            <v>0</v>
          </cell>
          <cell r="AR591" t="str">
            <v>$</v>
          </cell>
          <cell r="AS591">
            <v>0</v>
          </cell>
          <cell r="AW591">
            <v>0</v>
          </cell>
          <cell r="AY591" t="str">
            <v>NB</v>
          </cell>
        </row>
        <row r="592">
          <cell r="AM592">
            <v>0</v>
          </cell>
          <cell r="AP592">
            <v>0</v>
          </cell>
          <cell r="AQ592">
            <v>0</v>
          </cell>
          <cell r="AR592" t="str">
            <v>$</v>
          </cell>
          <cell r="AS592">
            <v>0</v>
          </cell>
          <cell r="AW592">
            <v>0</v>
          </cell>
          <cell r="AY592" t="str">
            <v>NB</v>
          </cell>
        </row>
        <row r="593">
          <cell r="AM593">
            <v>0</v>
          </cell>
          <cell r="AP593">
            <v>0</v>
          </cell>
          <cell r="AQ593">
            <v>0</v>
          </cell>
          <cell r="AR593" t="str">
            <v>$</v>
          </cell>
          <cell r="AS593">
            <v>0</v>
          </cell>
          <cell r="AW593">
            <v>0</v>
          </cell>
          <cell r="AY593" t="str">
            <v>NB</v>
          </cell>
        </row>
        <row r="594">
          <cell r="AM594">
            <v>-243675.44999999995</v>
          </cell>
          <cell r="AP594" t="str">
            <v>Véhicules usagés</v>
          </cell>
          <cell r="AQ594" t="str">
            <v>Ventes au Gros</v>
          </cell>
          <cell r="AR594" t="str">
            <v>$</v>
          </cell>
          <cell r="AS594" t="str">
            <v>Oui</v>
          </cell>
          <cell r="AW594">
            <v>18</v>
          </cell>
          <cell r="AY594" t="str">
            <v>NB</v>
          </cell>
        </row>
        <row r="595">
          <cell r="AM595">
            <v>0</v>
          </cell>
          <cell r="AP595">
            <v>0</v>
          </cell>
          <cell r="AQ595">
            <v>0</v>
          </cell>
          <cell r="AR595" t="str">
            <v>$</v>
          </cell>
          <cell r="AS595">
            <v>0</v>
          </cell>
          <cell r="AW595">
            <v>0</v>
          </cell>
          <cell r="AY595" t="str">
            <v>NB</v>
          </cell>
        </row>
        <row r="596">
          <cell r="AM596">
            <v>0</v>
          </cell>
          <cell r="AP596" t="str">
            <v>Véhicules usagés</v>
          </cell>
          <cell r="AQ596" t="str">
            <v>Ventes au Gros</v>
          </cell>
          <cell r="AR596" t="str">
            <v>$</v>
          </cell>
          <cell r="AS596" t="str">
            <v>Oui</v>
          </cell>
          <cell r="AW596">
            <v>0</v>
          </cell>
          <cell r="AY596" t="str">
            <v>NB</v>
          </cell>
        </row>
        <row r="597">
          <cell r="AM597">
            <v>-443568.97</v>
          </cell>
          <cell r="AP597" t="str">
            <v>Véhicules usagés</v>
          </cell>
          <cell r="AQ597" t="str">
            <v>Non Certifié</v>
          </cell>
          <cell r="AR597" t="str">
            <v>$</v>
          </cell>
          <cell r="AS597" t="str">
            <v>Oui</v>
          </cell>
          <cell r="AW597">
            <v>12</v>
          </cell>
          <cell r="AY597" t="str">
            <v>NB</v>
          </cell>
        </row>
        <row r="598">
          <cell r="AM598">
            <v>0</v>
          </cell>
          <cell r="AP598" t="e">
            <v>#N/A</v>
          </cell>
          <cell r="AQ598" t="e">
            <v>#N/A</v>
          </cell>
          <cell r="AR598" t="str">
            <v>$</v>
          </cell>
          <cell r="AS598" t="e">
            <v>#N/A</v>
          </cell>
          <cell r="AW598">
            <v>0</v>
          </cell>
          <cell r="AY598" t="str">
            <v>NB</v>
          </cell>
        </row>
        <row r="599">
          <cell r="AM599">
            <v>0</v>
          </cell>
          <cell r="AP599">
            <v>0</v>
          </cell>
          <cell r="AQ599">
            <v>0</v>
          </cell>
          <cell r="AR599" t="str">
            <v>$</v>
          </cell>
          <cell r="AS599">
            <v>0</v>
          </cell>
          <cell r="AW599">
            <v>0</v>
          </cell>
          <cell r="AY599" t="str">
            <v>NB</v>
          </cell>
        </row>
        <row r="600">
          <cell r="AM600">
            <v>0</v>
          </cell>
          <cell r="AP600">
            <v>0</v>
          </cell>
          <cell r="AQ600">
            <v>0</v>
          </cell>
          <cell r="AR600" t="str">
            <v>$</v>
          </cell>
          <cell r="AS600">
            <v>0</v>
          </cell>
          <cell r="AW600">
            <v>0</v>
          </cell>
          <cell r="AY600" t="str">
            <v>NB</v>
          </cell>
        </row>
        <row r="601">
          <cell r="AM601">
            <v>0</v>
          </cell>
          <cell r="AP601">
            <v>0</v>
          </cell>
          <cell r="AQ601">
            <v>0</v>
          </cell>
          <cell r="AR601" t="str">
            <v>$</v>
          </cell>
          <cell r="AS601">
            <v>0</v>
          </cell>
          <cell r="AW601">
            <v>0</v>
          </cell>
          <cell r="AY601" t="str">
            <v>NB</v>
          </cell>
        </row>
        <row r="602">
          <cell r="AM602">
            <v>-2007191.3300000019</v>
          </cell>
          <cell r="AP602" t="str">
            <v>Véhicules usagés</v>
          </cell>
          <cell r="AQ602" t="str">
            <v>Ventes au Gros</v>
          </cell>
          <cell r="AR602" t="str">
            <v>$</v>
          </cell>
          <cell r="AS602" t="str">
            <v>Oui</v>
          </cell>
          <cell r="AW602">
            <v>47</v>
          </cell>
          <cell r="AY602" t="str">
            <v>NB</v>
          </cell>
        </row>
        <row r="603">
          <cell r="AM603">
            <v>-3297000</v>
          </cell>
          <cell r="AP603" t="str">
            <v>Wholesale autres</v>
          </cell>
          <cell r="AQ603" t="str">
            <v>Wholesale Luxueux</v>
          </cell>
          <cell r="AR603" t="str">
            <v>$</v>
          </cell>
          <cell r="AS603" t="str">
            <v>Oui</v>
          </cell>
          <cell r="AW603">
            <v>21</v>
          </cell>
          <cell r="AY603" t="str">
            <v>NB</v>
          </cell>
        </row>
        <row r="604">
          <cell r="AM604">
            <v>0</v>
          </cell>
          <cell r="AP604">
            <v>0</v>
          </cell>
          <cell r="AQ604">
            <v>0</v>
          </cell>
          <cell r="AR604" t="str">
            <v>$</v>
          </cell>
          <cell r="AS604">
            <v>0</v>
          </cell>
          <cell r="AW604">
            <v>0</v>
          </cell>
          <cell r="AY604" t="str">
            <v>NB</v>
          </cell>
        </row>
        <row r="605">
          <cell r="AM605">
            <v>-22003</v>
          </cell>
          <cell r="AP605" t="str">
            <v>Véhicules usagés</v>
          </cell>
          <cell r="AQ605" t="str">
            <v>Rev. Protections</v>
          </cell>
          <cell r="AR605" t="str">
            <v>$</v>
          </cell>
          <cell r="AS605" t="str">
            <v>Oui</v>
          </cell>
          <cell r="AW605">
            <v>7</v>
          </cell>
          <cell r="AY605" t="str">
            <v>NB</v>
          </cell>
        </row>
        <row r="606">
          <cell r="AM606">
            <v>0</v>
          </cell>
          <cell r="AP606" t="str">
            <v>Véhicules usagés</v>
          </cell>
          <cell r="AQ606" t="str">
            <v>Rev. Protections</v>
          </cell>
          <cell r="AR606" t="str">
            <v>$</v>
          </cell>
          <cell r="AS606" t="str">
            <v>Oui</v>
          </cell>
          <cell r="AW606">
            <v>0</v>
          </cell>
          <cell r="AY606" t="str">
            <v>NB</v>
          </cell>
        </row>
        <row r="607">
          <cell r="AM607">
            <v>0</v>
          </cell>
          <cell r="AP607" t="str">
            <v>Véhicules usagés</v>
          </cell>
          <cell r="AQ607" t="str">
            <v>Rev. Protections</v>
          </cell>
          <cell r="AR607" t="str">
            <v>$</v>
          </cell>
          <cell r="AS607" t="str">
            <v>Oui</v>
          </cell>
          <cell r="AW607">
            <v>0</v>
          </cell>
          <cell r="AY607" t="str">
            <v>NB</v>
          </cell>
        </row>
        <row r="608">
          <cell r="AM608">
            <v>0</v>
          </cell>
          <cell r="AP608" t="str">
            <v>Wholesale autres</v>
          </cell>
          <cell r="AQ608" t="str">
            <v>Wholesale USA</v>
          </cell>
          <cell r="AR608" t="str">
            <v>$</v>
          </cell>
          <cell r="AS608" t="str">
            <v>Oui</v>
          </cell>
          <cell r="AW608">
            <v>0</v>
          </cell>
          <cell r="AY608" t="str">
            <v>NB</v>
          </cell>
        </row>
        <row r="609">
          <cell r="AM609">
            <v>0</v>
          </cell>
          <cell r="AP609" t="str">
            <v>Wholesale autres</v>
          </cell>
          <cell r="AQ609" t="str">
            <v>Wholesale USA</v>
          </cell>
          <cell r="AR609" t="str">
            <v>$</v>
          </cell>
          <cell r="AS609" t="str">
            <v>Oui</v>
          </cell>
          <cell r="AW609">
            <v>0</v>
          </cell>
          <cell r="AY609" t="str">
            <v>NB</v>
          </cell>
        </row>
        <row r="610">
          <cell r="AM610">
            <v>-543991.42000000179</v>
          </cell>
          <cell r="AP610" t="str">
            <v>Wholesale autres</v>
          </cell>
          <cell r="AQ610" t="str">
            <v>Wholesale USA</v>
          </cell>
          <cell r="AR610" t="str">
            <v>$</v>
          </cell>
          <cell r="AS610" t="str">
            <v>Oui</v>
          </cell>
          <cell r="AW610">
            <v>10</v>
          </cell>
          <cell r="AY610" t="str">
            <v>NB</v>
          </cell>
        </row>
        <row r="611">
          <cell r="AM611">
            <v>-70472.190000000061</v>
          </cell>
          <cell r="AP611" t="str">
            <v>Service</v>
          </cell>
          <cell r="AQ611" t="str">
            <v>M/O Client</v>
          </cell>
          <cell r="AR611" t="str">
            <v>$</v>
          </cell>
          <cell r="AS611" t="str">
            <v>Oui</v>
          </cell>
          <cell r="AW611">
            <v>193</v>
          </cell>
          <cell r="AY611" t="str">
            <v>NB</v>
          </cell>
        </row>
        <row r="612">
          <cell r="AM612">
            <v>0</v>
          </cell>
          <cell r="AP612" t="e">
            <v>#N/A</v>
          </cell>
          <cell r="AQ612" t="e">
            <v>#N/A</v>
          </cell>
          <cell r="AR612" t="str">
            <v>$</v>
          </cell>
          <cell r="AS612" t="e">
            <v>#N/A</v>
          </cell>
          <cell r="AW612">
            <v>0</v>
          </cell>
          <cell r="AY612" t="str">
            <v>NB</v>
          </cell>
        </row>
        <row r="613">
          <cell r="AM613">
            <v>0</v>
          </cell>
          <cell r="AP613" t="e">
            <v>#N/A</v>
          </cell>
          <cell r="AQ613" t="e">
            <v>#N/A</v>
          </cell>
          <cell r="AR613" t="str">
            <v>$</v>
          </cell>
          <cell r="AS613" t="e">
            <v>#N/A</v>
          </cell>
          <cell r="AW613">
            <v>0</v>
          </cell>
          <cell r="AY613" t="str">
            <v>NB</v>
          </cell>
        </row>
        <row r="614">
          <cell r="AM614">
            <v>-3082.9600000000064</v>
          </cell>
          <cell r="AP614" t="str">
            <v>Service</v>
          </cell>
          <cell r="AQ614" t="str">
            <v>M/O Client</v>
          </cell>
          <cell r="AR614" t="str">
            <v>$</v>
          </cell>
          <cell r="AS614" t="str">
            <v>Oui</v>
          </cell>
          <cell r="AW614">
            <v>16</v>
          </cell>
          <cell r="AY614" t="str">
            <v>NB</v>
          </cell>
        </row>
        <row r="615">
          <cell r="AM615">
            <v>-71453.400000000023</v>
          </cell>
          <cell r="AP615" t="str">
            <v>SAAQ</v>
          </cell>
          <cell r="AQ615" t="str">
            <v>Inspection - Véhicules Légers</v>
          </cell>
          <cell r="AR615" t="str">
            <v>$</v>
          </cell>
          <cell r="AS615" t="str">
            <v>Oui</v>
          </cell>
          <cell r="AW615">
            <v>470</v>
          </cell>
          <cell r="AY615" t="str">
            <v>NB</v>
          </cell>
        </row>
        <row r="616">
          <cell r="AM616">
            <v>0</v>
          </cell>
          <cell r="AP616" t="str">
            <v>SAAQ</v>
          </cell>
          <cell r="AQ616" t="str">
            <v>Inspection - Véhicules Interne</v>
          </cell>
          <cell r="AR616" t="str">
            <v>$</v>
          </cell>
          <cell r="AS616" t="str">
            <v>Oui</v>
          </cell>
          <cell r="AW616">
            <v>0</v>
          </cell>
          <cell r="AY616" t="str">
            <v>NB</v>
          </cell>
        </row>
        <row r="617">
          <cell r="AM617">
            <v>0</v>
          </cell>
          <cell r="AP617" t="str">
            <v>SAAQ</v>
          </cell>
          <cell r="AQ617" t="str">
            <v>Inspection - Véhicules Lourds</v>
          </cell>
          <cell r="AR617" t="str">
            <v>$</v>
          </cell>
          <cell r="AS617" t="str">
            <v>Oui</v>
          </cell>
          <cell r="AW617">
            <v>0</v>
          </cell>
          <cell r="AY617" t="str">
            <v>NB</v>
          </cell>
        </row>
        <row r="618">
          <cell r="AM618">
            <v>-54748.200000000012</v>
          </cell>
          <cell r="AP618" t="str">
            <v>Service</v>
          </cell>
          <cell r="AQ618" t="str">
            <v>M/O Garantie</v>
          </cell>
          <cell r="AR618" t="str">
            <v>$</v>
          </cell>
          <cell r="AS618" t="str">
            <v>Oui</v>
          </cell>
          <cell r="AW618">
            <v>328</v>
          </cell>
          <cell r="AY618" t="str">
            <v>NB</v>
          </cell>
        </row>
        <row r="619">
          <cell r="AM619">
            <v>-40921.909999999974</v>
          </cell>
          <cell r="AP619" t="str">
            <v>Service</v>
          </cell>
          <cell r="AQ619" t="str">
            <v>M/O Interne</v>
          </cell>
          <cell r="AR619" t="str">
            <v>$</v>
          </cell>
          <cell r="AS619" t="str">
            <v>Oui</v>
          </cell>
          <cell r="AW619">
            <v>331</v>
          </cell>
          <cell r="AY619" t="str">
            <v>NB</v>
          </cell>
        </row>
        <row r="620">
          <cell r="AM620">
            <v>-950</v>
          </cell>
          <cell r="AP620" t="str">
            <v>SAAQ</v>
          </cell>
          <cell r="AQ620" t="str">
            <v>Inspection - Véhicules Interne</v>
          </cell>
          <cell r="AR620" t="str">
            <v>$</v>
          </cell>
          <cell r="AS620" t="str">
            <v>Oui</v>
          </cell>
          <cell r="AW620">
            <v>8</v>
          </cell>
          <cell r="AY620" t="str">
            <v>NB</v>
          </cell>
        </row>
        <row r="621">
          <cell r="AM621">
            <v>-27654.309999999998</v>
          </cell>
          <cell r="AP621" t="str">
            <v>Service</v>
          </cell>
          <cell r="AQ621" t="str">
            <v>M/O Interne</v>
          </cell>
          <cell r="AR621" t="str">
            <v>$</v>
          </cell>
          <cell r="AS621" t="str">
            <v>Oui</v>
          </cell>
          <cell r="AW621">
            <v>186</v>
          </cell>
          <cell r="AY621" t="str">
            <v>NB</v>
          </cell>
        </row>
        <row r="622">
          <cell r="AM622">
            <v>0</v>
          </cell>
          <cell r="AP622" t="e">
            <v>#N/A</v>
          </cell>
          <cell r="AQ622" t="e">
            <v>#N/A</v>
          </cell>
          <cell r="AR622" t="str">
            <v>$</v>
          </cell>
          <cell r="AS622" t="e">
            <v>#N/A</v>
          </cell>
          <cell r="AW622">
            <v>0</v>
          </cell>
          <cell r="AY622" t="str">
            <v>NB</v>
          </cell>
        </row>
        <row r="623">
          <cell r="AM623">
            <v>0</v>
          </cell>
          <cell r="AP623">
            <v>0</v>
          </cell>
          <cell r="AQ623">
            <v>0</v>
          </cell>
          <cell r="AR623" t="str">
            <v>$</v>
          </cell>
          <cell r="AS623">
            <v>0</v>
          </cell>
          <cell r="AW623">
            <v>0</v>
          </cell>
          <cell r="AY623" t="str">
            <v>NB</v>
          </cell>
        </row>
        <row r="624">
          <cell r="AM624">
            <v>-17156.449999999983</v>
          </cell>
          <cell r="AP624" t="str">
            <v>Service</v>
          </cell>
          <cell r="AQ624" t="str">
            <v>Sous-traitement</v>
          </cell>
          <cell r="AR624" t="str">
            <v>$</v>
          </cell>
          <cell r="AS624" t="str">
            <v>Oui</v>
          </cell>
          <cell r="AW624">
            <v>44</v>
          </cell>
          <cell r="AY624" t="str">
            <v>NB</v>
          </cell>
        </row>
        <row r="625">
          <cell r="AM625">
            <v>0</v>
          </cell>
          <cell r="AP625" t="str">
            <v>SAAQ</v>
          </cell>
          <cell r="AQ625" t="str">
            <v>Inspection - Véhicules Interne</v>
          </cell>
          <cell r="AR625" t="str">
            <v>$</v>
          </cell>
          <cell r="AS625" t="str">
            <v>Oui</v>
          </cell>
          <cell r="AW625">
            <v>0</v>
          </cell>
          <cell r="AY625" t="str">
            <v>NB</v>
          </cell>
        </row>
        <row r="626">
          <cell r="AM626">
            <v>0</v>
          </cell>
          <cell r="AP626" t="e">
            <v>#N/A</v>
          </cell>
          <cell r="AQ626" t="e">
            <v>#N/A</v>
          </cell>
          <cell r="AR626" t="str">
            <v>$</v>
          </cell>
          <cell r="AS626" t="e">
            <v>#N/A</v>
          </cell>
          <cell r="AW626">
            <v>0</v>
          </cell>
          <cell r="AY626" t="str">
            <v>NB</v>
          </cell>
        </row>
        <row r="627">
          <cell r="AM627">
            <v>-54282.650000000023</v>
          </cell>
          <cell r="AP627" t="str">
            <v>Pièces</v>
          </cell>
          <cell r="AQ627" t="str">
            <v>Pièces Ro Clients</v>
          </cell>
          <cell r="AR627" t="str">
            <v>$</v>
          </cell>
          <cell r="AS627" t="str">
            <v>Oui</v>
          </cell>
          <cell r="AW627">
            <v>177</v>
          </cell>
          <cell r="AY627" t="str">
            <v>NB</v>
          </cell>
        </row>
        <row r="628">
          <cell r="AM628">
            <v>0</v>
          </cell>
          <cell r="AP628" t="str">
            <v>Pièces</v>
          </cell>
          <cell r="AQ628" t="str">
            <v>Pièces Ro Clients</v>
          </cell>
          <cell r="AR628" t="str">
            <v>$</v>
          </cell>
          <cell r="AS628" t="str">
            <v>Oui</v>
          </cell>
          <cell r="AW628">
            <v>0</v>
          </cell>
          <cell r="AY628" t="str">
            <v>NB</v>
          </cell>
        </row>
        <row r="629">
          <cell r="AM629">
            <v>0</v>
          </cell>
          <cell r="AP629">
            <v>0</v>
          </cell>
          <cell r="AQ629">
            <v>0</v>
          </cell>
          <cell r="AR629" t="str">
            <v>$</v>
          </cell>
          <cell r="AS629">
            <v>0</v>
          </cell>
          <cell r="AW629">
            <v>0</v>
          </cell>
          <cell r="AY629" t="str">
            <v>NB</v>
          </cell>
        </row>
        <row r="630">
          <cell r="AM630">
            <v>0</v>
          </cell>
          <cell r="AP630">
            <v>0</v>
          </cell>
          <cell r="AQ630">
            <v>0</v>
          </cell>
          <cell r="AR630" t="str">
            <v>$</v>
          </cell>
          <cell r="AS630">
            <v>0</v>
          </cell>
          <cell r="AW630">
            <v>0</v>
          </cell>
          <cell r="AY630" t="str">
            <v>NB</v>
          </cell>
        </row>
        <row r="631">
          <cell r="AM631">
            <v>0</v>
          </cell>
          <cell r="AP631">
            <v>0</v>
          </cell>
          <cell r="AQ631">
            <v>0</v>
          </cell>
          <cell r="AR631" t="str">
            <v>$</v>
          </cell>
          <cell r="AS631">
            <v>0</v>
          </cell>
          <cell r="AW631">
            <v>0</v>
          </cell>
          <cell r="AY631" t="str">
            <v>NB</v>
          </cell>
        </row>
        <row r="632">
          <cell r="AM632">
            <v>0</v>
          </cell>
          <cell r="AP632" t="e">
            <v>#N/A</v>
          </cell>
          <cell r="AQ632" t="e">
            <v>#N/A</v>
          </cell>
          <cell r="AR632" t="str">
            <v>$</v>
          </cell>
          <cell r="AS632" t="e">
            <v>#N/A</v>
          </cell>
          <cell r="AW632">
            <v>0</v>
          </cell>
          <cell r="AY632" t="str">
            <v>NB</v>
          </cell>
        </row>
        <row r="633">
          <cell r="AM633">
            <v>-3036.6499999999978</v>
          </cell>
          <cell r="AP633" t="str">
            <v>Service</v>
          </cell>
          <cell r="AQ633" t="str">
            <v>Sous-traitement</v>
          </cell>
          <cell r="AR633" t="str">
            <v>$</v>
          </cell>
          <cell r="AS633" t="str">
            <v>Oui</v>
          </cell>
          <cell r="AW633">
            <v>284</v>
          </cell>
          <cell r="AY633" t="str">
            <v>NB</v>
          </cell>
        </row>
        <row r="634">
          <cell r="AM634">
            <v>0</v>
          </cell>
          <cell r="AP634" t="str">
            <v>Carrosserie</v>
          </cell>
          <cell r="AQ634" t="str">
            <v>Carrosserie Clients</v>
          </cell>
          <cell r="AR634" t="str">
            <v>$</v>
          </cell>
          <cell r="AS634" t="str">
            <v>Oui</v>
          </cell>
          <cell r="AW634">
            <v>0</v>
          </cell>
          <cell r="AY634" t="str">
            <v>NB</v>
          </cell>
        </row>
        <row r="635">
          <cell r="AM635">
            <v>-54442.399999999965</v>
          </cell>
          <cell r="AP635" t="str">
            <v>Carrosserie</v>
          </cell>
          <cell r="AQ635" t="str">
            <v>Carrosserie Clients</v>
          </cell>
          <cell r="AR635" t="str">
            <v>$</v>
          </cell>
          <cell r="AS635" t="str">
            <v>Oui</v>
          </cell>
          <cell r="AW635">
            <v>43</v>
          </cell>
          <cell r="AY635" t="str">
            <v>NB</v>
          </cell>
        </row>
        <row r="636">
          <cell r="AM636">
            <v>0</v>
          </cell>
          <cell r="AP636" t="str">
            <v>Carrosserie</v>
          </cell>
          <cell r="AQ636" t="str">
            <v>Carrosserie Interne</v>
          </cell>
          <cell r="AR636" t="str">
            <v>$</v>
          </cell>
          <cell r="AS636" t="str">
            <v>Oui</v>
          </cell>
          <cell r="AW636">
            <v>0</v>
          </cell>
          <cell r="AY636" t="str">
            <v>NB</v>
          </cell>
        </row>
        <row r="637">
          <cell r="AM637">
            <v>-9764.260000000002</v>
          </cell>
          <cell r="AP637" t="str">
            <v>Carrosserie</v>
          </cell>
          <cell r="AQ637" t="str">
            <v>Carrosserie Interne</v>
          </cell>
          <cell r="AR637" t="str">
            <v>$</v>
          </cell>
          <cell r="AS637" t="str">
            <v>Oui</v>
          </cell>
          <cell r="AW637">
            <v>13</v>
          </cell>
          <cell r="AY637" t="str">
            <v>NB</v>
          </cell>
        </row>
        <row r="638">
          <cell r="AM638">
            <v>0</v>
          </cell>
          <cell r="AP638" t="str">
            <v>Carrosserie</v>
          </cell>
          <cell r="AQ638" t="str">
            <v>Ajustement M/O Carrosserie</v>
          </cell>
          <cell r="AR638" t="str">
            <v>$</v>
          </cell>
          <cell r="AS638" t="str">
            <v>Oui</v>
          </cell>
          <cell r="AW638">
            <v>0</v>
          </cell>
          <cell r="AY638" t="str">
            <v>NB</v>
          </cell>
        </row>
        <row r="639">
          <cell r="AM639">
            <v>-87065.469999999972</v>
          </cell>
          <cell r="AP639" t="str">
            <v>Carrosserie</v>
          </cell>
          <cell r="AQ639" t="str">
            <v>Carrosserie Clients</v>
          </cell>
          <cell r="AR639" t="str">
            <v>$</v>
          </cell>
          <cell r="AS639" t="str">
            <v>Oui</v>
          </cell>
          <cell r="AW639">
            <v>44</v>
          </cell>
          <cell r="AY639" t="str">
            <v>NB</v>
          </cell>
        </row>
        <row r="640">
          <cell r="AM640">
            <v>0</v>
          </cell>
          <cell r="AP640" t="str">
            <v>Pièces</v>
          </cell>
          <cell r="AQ640" t="str">
            <v>Pièces Ro Carrosserie</v>
          </cell>
          <cell r="AR640" t="str">
            <v>$</v>
          </cell>
          <cell r="AS640" t="str">
            <v>Oui</v>
          </cell>
          <cell r="AW640">
            <v>0</v>
          </cell>
          <cell r="AY640" t="str">
            <v>NB</v>
          </cell>
        </row>
        <row r="641">
          <cell r="AM641">
            <v>0</v>
          </cell>
          <cell r="AP641">
            <v>0</v>
          </cell>
          <cell r="AQ641">
            <v>0</v>
          </cell>
          <cell r="AR641" t="str">
            <v>$</v>
          </cell>
          <cell r="AS641">
            <v>0</v>
          </cell>
          <cell r="AW641">
            <v>0</v>
          </cell>
          <cell r="AY641" t="str">
            <v>NB</v>
          </cell>
        </row>
        <row r="642">
          <cell r="AM642">
            <v>0</v>
          </cell>
          <cell r="AP642">
            <v>0</v>
          </cell>
          <cell r="AQ642">
            <v>0</v>
          </cell>
          <cell r="AR642" t="str">
            <v>$</v>
          </cell>
          <cell r="AS642">
            <v>0</v>
          </cell>
          <cell r="AW642">
            <v>0</v>
          </cell>
          <cell r="AY642" t="str">
            <v>NB</v>
          </cell>
        </row>
        <row r="643">
          <cell r="AM643">
            <v>-21348.910000000003</v>
          </cell>
          <cell r="AP643" t="str">
            <v>Carrosserie</v>
          </cell>
          <cell r="AQ643" t="str">
            <v>Carrosserie Clients</v>
          </cell>
          <cell r="AR643" t="str">
            <v>$</v>
          </cell>
          <cell r="AS643" t="str">
            <v>Oui</v>
          </cell>
          <cell r="AW643">
            <v>51</v>
          </cell>
          <cell r="AY643" t="str">
            <v>NB</v>
          </cell>
        </row>
        <row r="644">
          <cell r="AM644">
            <v>-74831.27999999997</v>
          </cell>
          <cell r="AP644" t="str">
            <v>Pièces</v>
          </cell>
          <cell r="AQ644" t="str">
            <v>P/A Garantie</v>
          </cell>
          <cell r="AR644" t="str">
            <v>$</v>
          </cell>
          <cell r="AS644" t="str">
            <v>Oui</v>
          </cell>
          <cell r="AW644">
            <v>223</v>
          </cell>
          <cell r="AY644" t="str">
            <v>NB</v>
          </cell>
        </row>
        <row r="645">
          <cell r="AM645">
            <v>0</v>
          </cell>
          <cell r="AP645" t="str">
            <v>Pièces</v>
          </cell>
          <cell r="AQ645" t="str">
            <v>P/A Garantie</v>
          </cell>
          <cell r="AR645" t="str">
            <v>$</v>
          </cell>
          <cell r="AS645" t="str">
            <v>Oui</v>
          </cell>
          <cell r="AW645">
            <v>0</v>
          </cell>
          <cell r="AY645" t="str">
            <v>NB</v>
          </cell>
        </row>
        <row r="646">
          <cell r="AM646">
            <v>-46742.559999999998</v>
          </cell>
          <cell r="AP646" t="str">
            <v>Pièces</v>
          </cell>
          <cell r="AQ646" t="str">
            <v>Ventes Internes</v>
          </cell>
          <cell r="AR646" t="str">
            <v>$</v>
          </cell>
          <cell r="AS646" t="str">
            <v>Oui</v>
          </cell>
          <cell r="AW646">
            <v>176</v>
          </cell>
          <cell r="AY646" t="str">
            <v>NB</v>
          </cell>
        </row>
        <row r="647">
          <cell r="AM647">
            <v>0</v>
          </cell>
          <cell r="AP647" t="str">
            <v>Pièces</v>
          </cell>
          <cell r="AQ647" t="str">
            <v>Ventes Internes</v>
          </cell>
          <cell r="AR647" t="str">
            <v>$</v>
          </cell>
          <cell r="AS647" t="str">
            <v>Oui</v>
          </cell>
          <cell r="AW647">
            <v>0</v>
          </cell>
          <cell r="AY647" t="str">
            <v>NB</v>
          </cell>
        </row>
        <row r="648">
          <cell r="AM648">
            <v>-29061.130000000005</v>
          </cell>
          <cell r="AP648" t="str">
            <v>Pièces</v>
          </cell>
          <cell r="AQ648" t="str">
            <v>Ventes Détails</v>
          </cell>
          <cell r="AR648" t="str">
            <v>$</v>
          </cell>
          <cell r="AS648" t="str">
            <v>Oui</v>
          </cell>
          <cell r="AW648">
            <v>155</v>
          </cell>
          <cell r="AY648" t="str">
            <v>NB</v>
          </cell>
        </row>
        <row r="649">
          <cell r="AM649">
            <v>-193176.41999999993</v>
          </cell>
          <cell r="AP649" t="str">
            <v>Pièces</v>
          </cell>
          <cell r="AQ649" t="str">
            <v>Ventes de Gros</v>
          </cell>
          <cell r="AR649" t="str">
            <v>$</v>
          </cell>
          <cell r="AS649" t="str">
            <v>Oui</v>
          </cell>
          <cell r="AW649">
            <v>406</v>
          </cell>
          <cell r="AY649" t="str">
            <v>NB</v>
          </cell>
        </row>
        <row r="650">
          <cell r="AM650">
            <v>0</v>
          </cell>
          <cell r="AP650">
            <v>0</v>
          </cell>
          <cell r="AQ650">
            <v>0</v>
          </cell>
          <cell r="AR650" t="str">
            <v>$</v>
          </cell>
          <cell r="AS650">
            <v>0</v>
          </cell>
          <cell r="AW650">
            <v>0</v>
          </cell>
          <cell r="AY650" t="str">
            <v>NB</v>
          </cell>
        </row>
        <row r="651">
          <cell r="AM651">
            <v>0</v>
          </cell>
          <cell r="AP651">
            <v>0</v>
          </cell>
          <cell r="AQ651">
            <v>0</v>
          </cell>
          <cell r="AR651" t="str">
            <v>$</v>
          </cell>
          <cell r="AS651">
            <v>0</v>
          </cell>
          <cell r="AW651">
            <v>0</v>
          </cell>
          <cell r="AY651" t="str">
            <v>NB</v>
          </cell>
        </row>
        <row r="652">
          <cell r="AM652">
            <v>-20398.25</v>
          </cell>
          <cell r="AP652" t="str">
            <v>Pièces</v>
          </cell>
          <cell r="AQ652" t="str">
            <v>Ventes Pneus</v>
          </cell>
          <cell r="AR652" t="str">
            <v>$</v>
          </cell>
          <cell r="AS652" t="str">
            <v>Oui</v>
          </cell>
          <cell r="AW652">
            <v>26</v>
          </cell>
          <cell r="AY652" t="str">
            <v>NB</v>
          </cell>
        </row>
        <row r="653">
          <cell r="AM653">
            <v>-12049.909999999996</v>
          </cell>
          <cell r="AP653" t="str">
            <v>Pièces</v>
          </cell>
          <cell r="AQ653" t="str">
            <v>Huiles et Graisse</v>
          </cell>
          <cell r="AR653" t="str">
            <v>$</v>
          </cell>
          <cell r="AS653" t="str">
            <v>Oui</v>
          </cell>
          <cell r="AW653">
            <v>166</v>
          </cell>
          <cell r="AY653" t="str">
            <v>NB</v>
          </cell>
        </row>
        <row r="654">
          <cell r="AM654">
            <v>0</v>
          </cell>
          <cell r="AP654" t="str">
            <v>Service</v>
          </cell>
          <cell r="AQ654" t="str">
            <v>Frais véhicules de cie</v>
          </cell>
          <cell r="AR654" t="str">
            <v>$</v>
          </cell>
          <cell r="AS654">
            <v>0</v>
          </cell>
          <cell r="AW654">
            <v>0</v>
          </cell>
          <cell r="AY654" t="str">
            <v>NB</v>
          </cell>
        </row>
        <row r="655">
          <cell r="AM655">
            <v>0</v>
          </cell>
          <cell r="AP655" t="str">
            <v>Carrosserie</v>
          </cell>
          <cell r="AQ655" t="str">
            <v>Frais véhicules de cie</v>
          </cell>
          <cell r="AR655" t="str">
            <v>$</v>
          </cell>
          <cell r="AS655">
            <v>0</v>
          </cell>
          <cell r="AW655">
            <v>0</v>
          </cell>
          <cell r="AY655" t="str">
            <v>NB</v>
          </cell>
        </row>
        <row r="656">
          <cell r="AM656">
            <v>0</v>
          </cell>
          <cell r="AP656" t="e">
            <v>#N/A</v>
          </cell>
          <cell r="AQ656" t="e">
            <v>#N/A</v>
          </cell>
          <cell r="AR656" t="str">
            <v>$</v>
          </cell>
          <cell r="AS656" t="e">
            <v>#N/A</v>
          </cell>
          <cell r="AW656">
            <v>0</v>
          </cell>
          <cell r="AY656" t="str">
            <v>NB</v>
          </cell>
        </row>
        <row r="657">
          <cell r="AM657">
            <v>0</v>
          </cell>
          <cell r="AP657" t="e">
            <v>#N/A</v>
          </cell>
          <cell r="AQ657" t="e">
            <v>#N/A</v>
          </cell>
          <cell r="AR657" t="str">
            <v>$</v>
          </cell>
          <cell r="AS657" t="e">
            <v>#N/A</v>
          </cell>
          <cell r="AW657">
            <v>0</v>
          </cell>
          <cell r="AY657" t="str">
            <v>NB</v>
          </cell>
        </row>
        <row r="658">
          <cell r="AM658">
            <v>0</v>
          </cell>
          <cell r="AP658" t="e">
            <v>#N/A</v>
          </cell>
          <cell r="AQ658" t="e">
            <v>#N/A</v>
          </cell>
          <cell r="AR658" t="str">
            <v>$</v>
          </cell>
          <cell r="AS658" t="e">
            <v>#N/A</v>
          </cell>
          <cell r="AW658">
            <v>0</v>
          </cell>
          <cell r="AY658" t="str">
            <v>NB</v>
          </cell>
        </row>
        <row r="659">
          <cell r="AM659">
            <v>0</v>
          </cell>
          <cell r="AP659" t="e">
            <v>#N/A</v>
          </cell>
          <cell r="AQ659" t="e">
            <v>#N/A</v>
          </cell>
          <cell r="AR659" t="str">
            <v>$</v>
          </cell>
          <cell r="AS659" t="e">
            <v>#N/A</v>
          </cell>
          <cell r="AW659">
            <v>0</v>
          </cell>
          <cell r="AY659" t="str">
            <v>NB</v>
          </cell>
        </row>
        <row r="660">
          <cell r="AM660">
            <v>0</v>
          </cell>
          <cell r="AP660" t="e">
            <v>#N/A</v>
          </cell>
          <cell r="AQ660" t="e">
            <v>#N/A</v>
          </cell>
          <cell r="AR660" t="str">
            <v>$</v>
          </cell>
          <cell r="AS660" t="e">
            <v>#N/A</v>
          </cell>
          <cell r="AW660">
            <v>0</v>
          </cell>
          <cell r="AY660" t="str">
            <v>NB</v>
          </cell>
        </row>
        <row r="661">
          <cell r="AM661">
            <v>0</v>
          </cell>
          <cell r="AP661" t="e">
            <v>#N/A</v>
          </cell>
          <cell r="AQ661" t="e">
            <v>#N/A</v>
          </cell>
          <cell r="AR661" t="str">
            <v>$</v>
          </cell>
          <cell r="AS661" t="e">
            <v>#N/A</v>
          </cell>
          <cell r="AW661">
            <v>0</v>
          </cell>
          <cell r="AY661" t="str">
            <v>NB</v>
          </cell>
        </row>
        <row r="662">
          <cell r="AM662">
            <v>0</v>
          </cell>
          <cell r="AP662" t="e">
            <v>#N/A</v>
          </cell>
          <cell r="AQ662" t="e">
            <v>#N/A</v>
          </cell>
          <cell r="AR662" t="str">
            <v>$</v>
          </cell>
          <cell r="AS662" t="e">
            <v>#N/A</v>
          </cell>
          <cell r="AW662">
            <v>0</v>
          </cell>
          <cell r="AY662" t="str">
            <v>NB</v>
          </cell>
        </row>
        <row r="663">
          <cell r="AM663">
            <v>0</v>
          </cell>
          <cell r="AP663" t="e">
            <v>#N/A</v>
          </cell>
          <cell r="AQ663" t="e">
            <v>#N/A</v>
          </cell>
          <cell r="AR663" t="str">
            <v>$</v>
          </cell>
          <cell r="AS663" t="e">
            <v>#N/A</v>
          </cell>
          <cell r="AW663">
            <v>0</v>
          </cell>
          <cell r="AY663" t="str">
            <v>NB</v>
          </cell>
        </row>
        <row r="664">
          <cell r="AM664">
            <v>0</v>
          </cell>
          <cell r="AP664" t="e">
            <v>#N/A</v>
          </cell>
          <cell r="AQ664" t="e">
            <v>#N/A</v>
          </cell>
          <cell r="AR664" t="str">
            <v>$</v>
          </cell>
          <cell r="AS664" t="e">
            <v>#N/A</v>
          </cell>
          <cell r="AW664">
            <v>0</v>
          </cell>
          <cell r="AY664" t="str">
            <v>NB</v>
          </cell>
        </row>
        <row r="665">
          <cell r="AM665">
            <v>0</v>
          </cell>
          <cell r="AP665" t="e">
            <v>#N/A</v>
          </cell>
          <cell r="AQ665" t="e">
            <v>#N/A</v>
          </cell>
          <cell r="AR665" t="str">
            <v>$</v>
          </cell>
          <cell r="AS665" t="e">
            <v>#N/A</v>
          </cell>
          <cell r="AW665">
            <v>0</v>
          </cell>
          <cell r="AY665" t="str">
            <v>NB</v>
          </cell>
        </row>
        <row r="666">
          <cell r="AM666">
            <v>0</v>
          </cell>
          <cell r="AP666" t="e">
            <v>#N/A</v>
          </cell>
          <cell r="AQ666" t="e">
            <v>#N/A</v>
          </cell>
          <cell r="AR666" t="str">
            <v>$</v>
          </cell>
          <cell r="AS666" t="e">
            <v>#N/A</v>
          </cell>
          <cell r="AW666">
            <v>0</v>
          </cell>
          <cell r="AY666" t="str">
            <v>NB</v>
          </cell>
        </row>
        <row r="667">
          <cell r="AM667">
            <v>0</v>
          </cell>
          <cell r="AP667" t="e">
            <v>#N/A</v>
          </cell>
          <cell r="AQ667" t="e">
            <v>#N/A</v>
          </cell>
          <cell r="AR667" t="str">
            <v>$</v>
          </cell>
          <cell r="AS667" t="e">
            <v>#N/A</v>
          </cell>
          <cell r="AW667">
            <v>0</v>
          </cell>
          <cell r="AY667" t="str">
            <v>NB</v>
          </cell>
        </row>
        <row r="668">
          <cell r="AM668">
            <v>0</v>
          </cell>
          <cell r="AP668">
            <v>0</v>
          </cell>
          <cell r="AQ668">
            <v>0</v>
          </cell>
          <cell r="AR668" t="str">
            <v>$</v>
          </cell>
          <cell r="AS668">
            <v>0</v>
          </cell>
          <cell r="AW668">
            <v>0</v>
          </cell>
          <cell r="AY668" t="str">
            <v>NB</v>
          </cell>
        </row>
        <row r="669">
          <cell r="AM669">
            <v>0</v>
          </cell>
          <cell r="AP669" t="e">
            <v>#N/A</v>
          </cell>
          <cell r="AQ669" t="e">
            <v>#N/A</v>
          </cell>
          <cell r="AR669" t="str">
            <v>$</v>
          </cell>
          <cell r="AS669" t="e">
            <v>#N/A</v>
          </cell>
          <cell r="AW669">
            <v>0</v>
          </cell>
          <cell r="AY669" t="str">
            <v>NB</v>
          </cell>
        </row>
        <row r="670">
          <cell r="AM670">
            <v>0</v>
          </cell>
          <cell r="AP670" t="e">
            <v>#N/A</v>
          </cell>
          <cell r="AQ670" t="e">
            <v>#N/A</v>
          </cell>
          <cell r="AR670" t="str">
            <v>$</v>
          </cell>
          <cell r="AS670" t="e">
            <v>#N/A</v>
          </cell>
          <cell r="AW670">
            <v>0</v>
          </cell>
          <cell r="AY670" t="str">
            <v>NB</v>
          </cell>
        </row>
        <row r="671">
          <cell r="AM671">
            <v>0</v>
          </cell>
          <cell r="AP671">
            <v>0</v>
          </cell>
          <cell r="AQ671">
            <v>0</v>
          </cell>
          <cell r="AR671" t="str">
            <v>$</v>
          </cell>
          <cell r="AS671">
            <v>0</v>
          </cell>
          <cell r="AW671">
            <v>0</v>
          </cell>
          <cell r="AY671" t="str">
            <v>NB</v>
          </cell>
        </row>
        <row r="672">
          <cell r="AM672">
            <v>0</v>
          </cell>
          <cell r="AP672" t="e">
            <v>#N/A</v>
          </cell>
          <cell r="AQ672" t="e">
            <v>#N/A</v>
          </cell>
          <cell r="AR672" t="str">
            <v>$</v>
          </cell>
          <cell r="AS672" t="e">
            <v>#N/A</v>
          </cell>
          <cell r="AW672">
            <v>0</v>
          </cell>
          <cell r="AY672" t="str">
            <v>NB</v>
          </cell>
        </row>
        <row r="673">
          <cell r="AM673">
            <v>0</v>
          </cell>
          <cell r="AP673" t="e">
            <v>#N/A</v>
          </cell>
          <cell r="AQ673" t="e">
            <v>#N/A</v>
          </cell>
          <cell r="AR673" t="str">
            <v>$</v>
          </cell>
          <cell r="AS673" t="e">
            <v>#N/A</v>
          </cell>
          <cell r="AW673">
            <v>0</v>
          </cell>
          <cell r="AY673" t="str">
            <v>NB</v>
          </cell>
        </row>
        <row r="674">
          <cell r="AM674">
            <v>0</v>
          </cell>
          <cell r="AP674" t="e">
            <v>#N/A</v>
          </cell>
          <cell r="AQ674" t="e">
            <v>#N/A</v>
          </cell>
          <cell r="AR674" t="str">
            <v>$</v>
          </cell>
          <cell r="AS674" t="e">
            <v>#N/A</v>
          </cell>
          <cell r="AW674">
            <v>0</v>
          </cell>
          <cell r="AY674" t="str">
            <v>NB</v>
          </cell>
        </row>
        <row r="675">
          <cell r="AM675">
            <v>0</v>
          </cell>
          <cell r="AP675" t="e">
            <v>#N/A</v>
          </cell>
          <cell r="AQ675" t="e">
            <v>#N/A</v>
          </cell>
          <cell r="AR675" t="str">
            <v>$</v>
          </cell>
          <cell r="AS675" t="e">
            <v>#N/A</v>
          </cell>
          <cell r="AW675">
            <v>0</v>
          </cell>
          <cell r="AY675" t="str">
            <v>NB</v>
          </cell>
        </row>
        <row r="676">
          <cell r="AM676">
            <v>0</v>
          </cell>
          <cell r="AP676" t="e">
            <v>#N/A</v>
          </cell>
          <cell r="AQ676" t="e">
            <v>#N/A</v>
          </cell>
          <cell r="AR676" t="str">
            <v>$</v>
          </cell>
          <cell r="AS676" t="e">
            <v>#N/A</v>
          </cell>
          <cell r="AW676">
            <v>0</v>
          </cell>
          <cell r="AY676" t="str">
            <v>NB</v>
          </cell>
        </row>
        <row r="677">
          <cell r="AM677">
            <v>0</v>
          </cell>
          <cell r="AP677" t="e">
            <v>#N/A</v>
          </cell>
          <cell r="AQ677" t="e">
            <v>#N/A</v>
          </cell>
          <cell r="AR677" t="str">
            <v>$</v>
          </cell>
          <cell r="AS677" t="e">
            <v>#N/A</v>
          </cell>
          <cell r="AW677">
            <v>0</v>
          </cell>
          <cell r="AY677" t="str">
            <v>NB</v>
          </cell>
        </row>
        <row r="678">
          <cell r="AM678">
            <v>0</v>
          </cell>
          <cell r="AP678" t="e">
            <v>#N/A</v>
          </cell>
          <cell r="AQ678" t="e">
            <v>#N/A</v>
          </cell>
          <cell r="AR678" t="str">
            <v>$</v>
          </cell>
          <cell r="AS678" t="e">
            <v>#N/A</v>
          </cell>
          <cell r="AW678">
            <v>0</v>
          </cell>
          <cell r="AY678" t="str">
            <v>NB</v>
          </cell>
        </row>
        <row r="679">
          <cell r="AM679">
            <v>0</v>
          </cell>
          <cell r="AP679" t="e">
            <v>#N/A</v>
          </cell>
          <cell r="AQ679" t="e">
            <v>#N/A</v>
          </cell>
          <cell r="AR679" t="str">
            <v>$</v>
          </cell>
          <cell r="AS679" t="e">
            <v>#N/A</v>
          </cell>
          <cell r="AW679">
            <v>0</v>
          </cell>
          <cell r="AY679" t="str">
            <v>NB</v>
          </cell>
        </row>
        <row r="680">
          <cell r="AM680">
            <v>0</v>
          </cell>
          <cell r="AP680" t="e">
            <v>#N/A</v>
          </cell>
          <cell r="AQ680" t="e">
            <v>#N/A</v>
          </cell>
          <cell r="AR680" t="str">
            <v>$</v>
          </cell>
          <cell r="AS680" t="e">
            <v>#N/A</v>
          </cell>
          <cell r="AW680">
            <v>0</v>
          </cell>
          <cell r="AY680" t="str">
            <v>NB</v>
          </cell>
        </row>
        <row r="681">
          <cell r="AM681">
            <v>0</v>
          </cell>
          <cell r="AP681" t="str">
            <v>Véhicules neufs</v>
          </cell>
          <cell r="AQ681" t="str">
            <v>Autos détail</v>
          </cell>
          <cell r="AR681" t="str">
            <v>$</v>
          </cell>
          <cell r="AS681">
            <v>0</v>
          </cell>
          <cell r="AW681">
            <v>0</v>
          </cell>
          <cell r="AY681" t="str">
            <v>NB</v>
          </cell>
        </row>
        <row r="682">
          <cell r="AM682">
            <v>0</v>
          </cell>
          <cell r="AP682" t="str">
            <v>Véhicules neufs</v>
          </cell>
          <cell r="AQ682" t="str">
            <v>Autos détail</v>
          </cell>
          <cell r="AR682" t="str">
            <v>$</v>
          </cell>
          <cell r="AS682">
            <v>0</v>
          </cell>
          <cell r="AW682">
            <v>0</v>
          </cell>
          <cell r="AY682" t="str">
            <v>NB</v>
          </cell>
        </row>
        <row r="683">
          <cell r="AM683">
            <v>0</v>
          </cell>
          <cell r="AP683" t="str">
            <v>Véhicules neufs</v>
          </cell>
          <cell r="AQ683" t="str">
            <v>Autos détail</v>
          </cell>
          <cell r="AR683" t="str">
            <v>$</v>
          </cell>
          <cell r="AS683">
            <v>0</v>
          </cell>
          <cell r="AW683">
            <v>0</v>
          </cell>
          <cell r="AY683" t="str">
            <v>NB</v>
          </cell>
        </row>
        <row r="684">
          <cell r="AM684">
            <v>0</v>
          </cell>
          <cell r="AP684" t="str">
            <v>Véhicules neufs</v>
          </cell>
          <cell r="AQ684" t="str">
            <v>Autos détail</v>
          </cell>
          <cell r="AR684" t="str">
            <v>$</v>
          </cell>
          <cell r="AS684">
            <v>0</v>
          </cell>
          <cell r="AW684">
            <v>0</v>
          </cell>
          <cell r="AY684" t="str">
            <v>NB</v>
          </cell>
        </row>
        <row r="685">
          <cell r="AM685">
            <v>0</v>
          </cell>
          <cell r="AP685" t="e">
            <v>#N/A</v>
          </cell>
          <cell r="AQ685" t="e">
            <v>#N/A</v>
          </cell>
          <cell r="AR685" t="str">
            <v>$</v>
          </cell>
          <cell r="AS685" t="e">
            <v>#N/A</v>
          </cell>
          <cell r="AW685">
            <v>0</v>
          </cell>
          <cell r="AY685" t="str">
            <v>NB</v>
          </cell>
        </row>
        <row r="686">
          <cell r="AM686">
            <v>0</v>
          </cell>
          <cell r="AP686" t="e">
            <v>#N/A</v>
          </cell>
          <cell r="AQ686" t="e">
            <v>#N/A</v>
          </cell>
          <cell r="AR686" t="str">
            <v>$</v>
          </cell>
          <cell r="AS686" t="e">
            <v>#N/A</v>
          </cell>
          <cell r="AW686">
            <v>0</v>
          </cell>
          <cell r="AY686" t="str">
            <v>NB</v>
          </cell>
        </row>
        <row r="687">
          <cell r="AM687">
            <v>0</v>
          </cell>
          <cell r="AP687" t="e">
            <v>#N/A</v>
          </cell>
          <cell r="AQ687" t="e">
            <v>#N/A</v>
          </cell>
          <cell r="AR687" t="str">
            <v>$</v>
          </cell>
          <cell r="AS687" t="e">
            <v>#N/A</v>
          </cell>
          <cell r="AW687">
            <v>0</v>
          </cell>
          <cell r="AY687" t="str">
            <v>NB</v>
          </cell>
        </row>
        <row r="688">
          <cell r="AM688">
            <v>0</v>
          </cell>
          <cell r="AP688" t="e">
            <v>#N/A</v>
          </cell>
          <cell r="AQ688" t="e">
            <v>#N/A</v>
          </cell>
          <cell r="AR688" t="str">
            <v>$</v>
          </cell>
          <cell r="AS688" t="e">
            <v>#N/A</v>
          </cell>
          <cell r="AW688">
            <v>0</v>
          </cell>
          <cell r="AY688" t="str">
            <v>NB</v>
          </cell>
        </row>
        <row r="689">
          <cell r="AM689">
            <v>0</v>
          </cell>
          <cell r="AP689" t="str">
            <v>Véhicules neufs</v>
          </cell>
          <cell r="AQ689" t="str">
            <v>Autos détail</v>
          </cell>
          <cell r="AR689" t="str">
            <v>$</v>
          </cell>
          <cell r="AS689">
            <v>0</v>
          </cell>
          <cell r="AW689">
            <v>0</v>
          </cell>
          <cell r="AY689" t="str">
            <v>NB</v>
          </cell>
        </row>
        <row r="690">
          <cell r="AM690">
            <v>0</v>
          </cell>
          <cell r="AP690" t="str">
            <v>Véhicules neufs</v>
          </cell>
          <cell r="AQ690" t="str">
            <v>Autos détail</v>
          </cell>
          <cell r="AR690" t="str">
            <v>$</v>
          </cell>
          <cell r="AS690">
            <v>0</v>
          </cell>
          <cell r="AW690">
            <v>0</v>
          </cell>
          <cell r="AY690" t="str">
            <v>NB</v>
          </cell>
        </row>
        <row r="691">
          <cell r="AM691">
            <v>0</v>
          </cell>
          <cell r="AP691" t="e">
            <v>#N/A</v>
          </cell>
          <cell r="AQ691" t="e">
            <v>#N/A</v>
          </cell>
          <cell r="AR691" t="str">
            <v>$</v>
          </cell>
          <cell r="AS691" t="e">
            <v>#N/A</v>
          </cell>
          <cell r="AW691">
            <v>0</v>
          </cell>
          <cell r="AY691" t="str">
            <v>NB</v>
          </cell>
        </row>
        <row r="692">
          <cell r="AM692">
            <v>0</v>
          </cell>
          <cell r="AP692" t="str">
            <v>Véhicules neufs</v>
          </cell>
          <cell r="AQ692" t="str">
            <v>Autos détail</v>
          </cell>
          <cell r="AR692" t="str">
            <v>$</v>
          </cell>
          <cell r="AS692">
            <v>0</v>
          </cell>
          <cell r="AW692">
            <v>0</v>
          </cell>
          <cell r="AY692" t="str">
            <v>NB</v>
          </cell>
        </row>
        <row r="693">
          <cell r="AM693">
            <v>0</v>
          </cell>
          <cell r="AP693" t="str">
            <v>Véhicules neufs</v>
          </cell>
          <cell r="AQ693" t="str">
            <v>Autos détail</v>
          </cell>
          <cell r="AR693" t="str">
            <v>$</v>
          </cell>
          <cell r="AS693">
            <v>0</v>
          </cell>
          <cell r="AW693">
            <v>0</v>
          </cell>
          <cell r="AY693" t="str">
            <v>NB</v>
          </cell>
        </row>
        <row r="694">
          <cell r="AM694">
            <v>0</v>
          </cell>
          <cell r="AP694" t="e">
            <v>#N/A</v>
          </cell>
          <cell r="AQ694" t="e">
            <v>#N/A</v>
          </cell>
          <cell r="AR694" t="str">
            <v>$</v>
          </cell>
          <cell r="AS694" t="e">
            <v>#N/A</v>
          </cell>
          <cell r="AW694">
            <v>0</v>
          </cell>
          <cell r="AY694" t="str">
            <v>NB</v>
          </cell>
        </row>
        <row r="695">
          <cell r="AM695">
            <v>0</v>
          </cell>
          <cell r="AP695" t="e">
            <v>#N/A</v>
          </cell>
          <cell r="AQ695" t="e">
            <v>#N/A</v>
          </cell>
          <cell r="AR695" t="str">
            <v>$</v>
          </cell>
          <cell r="AS695" t="e">
            <v>#N/A</v>
          </cell>
          <cell r="AW695">
            <v>0</v>
          </cell>
          <cell r="AY695" t="str">
            <v>NB</v>
          </cell>
        </row>
        <row r="696">
          <cell r="AM696">
            <v>0</v>
          </cell>
          <cell r="AP696" t="str">
            <v>Véhicules neufs</v>
          </cell>
          <cell r="AQ696" t="str">
            <v>Camions electriques</v>
          </cell>
          <cell r="AR696" t="str">
            <v>$</v>
          </cell>
          <cell r="AS696">
            <v>0</v>
          </cell>
          <cell r="AW696">
            <v>0</v>
          </cell>
          <cell r="AY696" t="str">
            <v>NB</v>
          </cell>
        </row>
        <row r="697">
          <cell r="AM697">
            <v>0</v>
          </cell>
          <cell r="AP697" t="e">
            <v>#N/A</v>
          </cell>
          <cell r="AQ697" t="e">
            <v>#N/A</v>
          </cell>
          <cell r="AR697" t="str">
            <v>$</v>
          </cell>
          <cell r="AS697" t="e">
            <v>#N/A</v>
          </cell>
          <cell r="AW697">
            <v>0</v>
          </cell>
          <cell r="AY697" t="str">
            <v>NB</v>
          </cell>
        </row>
        <row r="698">
          <cell r="AM698">
            <v>0</v>
          </cell>
          <cell r="AP698" t="e">
            <v>#N/A</v>
          </cell>
          <cell r="AQ698" t="e">
            <v>#N/A</v>
          </cell>
          <cell r="AR698" t="str">
            <v>$</v>
          </cell>
          <cell r="AS698" t="e">
            <v>#N/A</v>
          </cell>
          <cell r="AW698">
            <v>0</v>
          </cell>
          <cell r="AY698" t="str">
            <v>NB</v>
          </cell>
        </row>
        <row r="699">
          <cell r="AM699">
            <v>0</v>
          </cell>
          <cell r="AP699" t="e">
            <v>#N/A</v>
          </cell>
          <cell r="AQ699" t="e">
            <v>#N/A</v>
          </cell>
          <cell r="AR699" t="str">
            <v>$</v>
          </cell>
          <cell r="AS699" t="e">
            <v>#N/A</v>
          </cell>
          <cell r="AW699">
            <v>0</v>
          </cell>
          <cell r="AY699" t="str">
            <v>NB</v>
          </cell>
        </row>
        <row r="700">
          <cell r="AM700">
            <v>0</v>
          </cell>
          <cell r="AP700" t="str">
            <v>Véhicules neufs</v>
          </cell>
          <cell r="AQ700" t="str">
            <v>Autos détail</v>
          </cell>
          <cell r="AR700" t="str">
            <v>$</v>
          </cell>
          <cell r="AS700">
            <v>0</v>
          </cell>
          <cell r="AW700">
            <v>0</v>
          </cell>
          <cell r="AY700" t="str">
            <v>NB</v>
          </cell>
        </row>
        <row r="701">
          <cell r="AM701">
            <v>0</v>
          </cell>
          <cell r="AP701" t="e">
            <v>#N/A</v>
          </cell>
          <cell r="AQ701" t="e">
            <v>#N/A</v>
          </cell>
          <cell r="AR701" t="str">
            <v>$</v>
          </cell>
          <cell r="AS701" t="e">
            <v>#N/A</v>
          </cell>
          <cell r="AW701">
            <v>0</v>
          </cell>
          <cell r="AY701" t="str">
            <v>NB</v>
          </cell>
        </row>
        <row r="702">
          <cell r="AM702">
            <v>0</v>
          </cell>
          <cell r="AP702" t="str">
            <v>Véhicules neufs</v>
          </cell>
          <cell r="AQ702" t="str">
            <v>Autos détail</v>
          </cell>
          <cell r="AR702" t="str">
            <v>$</v>
          </cell>
          <cell r="AS702">
            <v>0</v>
          </cell>
          <cell r="AW702">
            <v>0</v>
          </cell>
          <cell r="AY702" t="str">
            <v>NB</v>
          </cell>
        </row>
        <row r="703">
          <cell r="AM703">
            <v>0</v>
          </cell>
          <cell r="AP703" t="str">
            <v>Véhicules neufs</v>
          </cell>
          <cell r="AQ703" t="str">
            <v>Autos détail</v>
          </cell>
          <cell r="AR703" t="str">
            <v>$</v>
          </cell>
          <cell r="AS703">
            <v>0</v>
          </cell>
          <cell r="AW703">
            <v>0</v>
          </cell>
          <cell r="AY703" t="str">
            <v>NB</v>
          </cell>
        </row>
        <row r="704">
          <cell r="AM704">
            <v>0</v>
          </cell>
          <cell r="AP704">
            <v>0</v>
          </cell>
          <cell r="AQ704">
            <v>0</v>
          </cell>
          <cell r="AR704" t="str">
            <v>$</v>
          </cell>
          <cell r="AS704">
            <v>0</v>
          </cell>
          <cell r="AW704">
            <v>0</v>
          </cell>
          <cell r="AY704" t="str">
            <v>NB</v>
          </cell>
        </row>
        <row r="705">
          <cell r="AM705">
            <v>0</v>
          </cell>
          <cell r="AP705" t="e">
            <v>#N/A</v>
          </cell>
          <cell r="AQ705" t="e">
            <v>#N/A</v>
          </cell>
          <cell r="AR705" t="str">
            <v>$</v>
          </cell>
          <cell r="AS705" t="e">
            <v>#N/A</v>
          </cell>
          <cell r="AW705">
            <v>0</v>
          </cell>
          <cell r="AY705" t="str">
            <v>NB</v>
          </cell>
        </row>
        <row r="706">
          <cell r="AM706">
            <v>0</v>
          </cell>
          <cell r="AP706" t="e">
            <v>#N/A</v>
          </cell>
          <cell r="AQ706" t="e">
            <v>#N/A</v>
          </cell>
          <cell r="AR706" t="str">
            <v>$</v>
          </cell>
          <cell r="AS706" t="e">
            <v>#N/A</v>
          </cell>
          <cell r="AW706">
            <v>0</v>
          </cell>
          <cell r="AY706" t="str">
            <v>NB</v>
          </cell>
        </row>
        <row r="707">
          <cell r="AM707">
            <v>0</v>
          </cell>
          <cell r="AP707">
            <v>0</v>
          </cell>
          <cell r="AQ707">
            <v>0</v>
          </cell>
          <cell r="AR707" t="str">
            <v>$</v>
          </cell>
          <cell r="AS707">
            <v>0</v>
          </cell>
          <cell r="AW707">
            <v>0</v>
          </cell>
          <cell r="AY707" t="str">
            <v>NB</v>
          </cell>
        </row>
        <row r="708">
          <cell r="AM708">
            <v>0</v>
          </cell>
          <cell r="AP708" t="e">
            <v>#N/A</v>
          </cell>
          <cell r="AQ708" t="e">
            <v>#N/A</v>
          </cell>
          <cell r="AR708" t="str">
            <v>$</v>
          </cell>
          <cell r="AS708" t="e">
            <v>#N/A</v>
          </cell>
          <cell r="AW708">
            <v>0</v>
          </cell>
          <cell r="AY708" t="str">
            <v>NB</v>
          </cell>
        </row>
        <row r="709">
          <cell r="AM709">
            <v>0</v>
          </cell>
          <cell r="AP709" t="e">
            <v>#N/A</v>
          </cell>
          <cell r="AQ709" t="e">
            <v>#N/A</v>
          </cell>
          <cell r="AR709" t="str">
            <v>$</v>
          </cell>
          <cell r="AS709" t="e">
            <v>#N/A</v>
          </cell>
          <cell r="AW709">
            <v>0</v>
          </cell>
          <cell r="AY709" t="str">
            <v>NB</v>
          </cell>
        </row>
        <row r="710">
          <cell r="AM710">
            <v>0</v>
          </cell>
          <cell r="AP710" t="e">
            <v>#N/A</v>
          </cell>
          <cell r="AQ710" t="e">
            <v>#N/A</v>
          </cell>
          <cell r="AR710" t="str">
            <v>$</v>
          </cell>
          <cell r="AS710" t="e">
            <v>#N/A</v>
          </cell>
          <cell r="AW710">
            <v>0</v>
          </cell>
          <cell r="AY710" t="str">
            <v>NB</v>
          </cell>
        </row>
        <row r="711">
          <cell r="AM711">
            <v>0</v>
          </cell>
          <cell r="AP711" t="e">
            <v>#N/A</v>
          </cell>
          <cell r="AQ711" t="e">
            <v>#N/A</v>
          </cell>
          <cell r="AR711" t="str">
            <v>$</v>
          </cell>
          <cell r="AS711" t="e">
            <v>#N/A</v>
          </cell>
          <cell r="AW711">
            <v>0</v>
          </cell>
          <cell r="AY711" t="str">
            <v>NB</v>
          </cell>
        </row>
        <row r="712">
          <cell r="AM712">
            <v>0</v>
          </cell>
          <cell r="AP712" t="e">
            <v>#N/A</v>
          </cell>
          <cell r="AQ712" t="e">
            <v>#N/A</v>
          </cell>
          <cell r="AR712" t="str">
            <v>$</v>
          </cell>
          <cell r="AS712" t="e">
            <v>#N/A</v>
          </cell>
          <cell r="AW712">
            <v>0</v>
          </cell>
          <cell r="AY712" t="str">
            <v>NB</v>
          </cell>
        </row>
        <row r="713">
          <cell r="AM713">
            <v>0</v>
          </cell>
          <cell r="AP713" t="e">
            <v>#N/A</v>
          </cell>
          <cell r="AQ713" t="e">
            <v>#N/A</v>
          </cell>
          <cell r="AR713" t="str">
            <v>$</v>
          </cell>
          <cell r="AS713" t="e">
            <v>#N/A</v>
          </cell>
          <cell r="AW713">
            <v>0</v>
          </cell>
          <cell r="AY713" t="str">
            <v>NB</v>
          </cell>
        </row>
        <row r="714">
          <cell r="AM714">
            <v>90839.559999999939</v>
          </cell>
          <cell r="AP714" t="str">
            <v>Véhicules neufs</v>
          </cell>
          <cell r="AQ714" t="str">
            <v>Camions détail</v>
          </cell>
          <cell r="AR714" t="str">
            <v>$</v>
          </cell>
          <cell r="AS714">
            <v>0</v>
          </cell>
          <cell r="AW714">
            <v>0</v>
          </cell>
          <cell r="AY714" t="str">
            <v>NB</v>
          </cell>
        </row>
        <row r="715">
          <cell r="AM715">
            <v>0</v>
          </cell>
          <cell r="AP715" t="str">
            <v>Véhicules neufs</v>
          </cell>
          <cell r="AQ715" t="str">
            <v>Camions electriques</v>
          </cell>
          <cell r="AR715" t="str">
            <v>$</v>
          </cell>
          <cell r="AS715">
            <v>0</v>
          </cell>
          <cell r="AW715">
            <v>0</v>
          </cell>
          <cell r="AY715" t="str">
            <v>NB</v>
          </cell>
        </row>
        <row r="716">
          <cell r="AM716">
            <v>0</v>
          </cell>
          <cell r="AP716" t="e">
            <v>#N/A</v>
          </cell>
          <cell r="AQ716" t="e">
            <v>#N/A</v>
          </cell>
          <cell r="AR716" t="str">
            <v>$</v>
          </cell>
          <cell r="AS716" t="e">
            <v>#N/A</v>
          </cell>
          <cell r="AW716">
            <v>0</v>
          </cell>
          <cell r="AY716" t="str">
            <v>NB</v>
          </cell>
        </row>
        <row r="717">
          <cell r="AM717">
            <v>0</v>
          </cell>
          <cell r="AP717" t="str">
            <v>Véhicules neufs</v>
          </cell>
          <cell r="AQ717" t="str">
            <v>Camions détail</v>
          </cell>
          <cell r="AR717" t="str">
            <v>$</v>
          </cell>
          <cell r="AS717">
            <v>0</v>
          </cell>
          <cell r="AW717">
            <v>0</v>
          </cell>
          <cell r="AY717" t="str">
            <v>NB</v>
          </cell>
        </row>
        <row r="718">
          <cell r="AM718">
            <v>0</v>
          </cell>
          <cell r="AP718" t="str">
            <v>Véhicules neufs</v>
          </cell>
          <cell r="AQ718" t="str">
            <v>Camions electriques</v>
          </cell>
          <cell r="AR718" t="str">
            <v>$</v>
          </cell>
          <cell r="AS718">
            <v>0</v>
          </cell>
          <cell r="AW718">
            <v>0</v>
          </cell>
          <cell r="AY718" t="str">
            <v>NB</v>
          </cell>
        </row>
        <row r="719">
          <cell r="AM719">
            <v>0</v>
          </cell>
          <cell r="AP719" t="e">
            <v>#N/A</v>
          </cell>
          <cell r="AQ719" t="e">
            <v>#N/A</v>
          </cell>
          <cell r="AR719" t="str">
            <v>$</v>
          </cell>
          <cell r="AS719" t="e">
            <v>#N/A</v>
          </cell>
          <cell r="AW719">
            <v>0</v>
          </cell>
          <cell r="AY719" t="str">
            <v>NB</v>
          </cell>
        </row>
        <row r="720">
          <cell r="AM720">
            <v>0</v>
          </cell>
          <cell r="AP720" t="e">
            <v>#N/A</v>
          </cell>
          <cell r="AQ720" t="e">
            <v>#N/A</v>
          </cell>
          <cell r="AR720" t="str">
            <v>$</v>
          </cell>
          <cell r="AS720" t="e">
            <v>#N/A</v>
          </cell>
          <cell r="AW720">
            <v>0</v>
          </cell>
          <cell r="AY720" t="str">
            <v>NB</v>
          </cell>
        </row>
        <row r="721">
          <cell r="AM721">
            <v>52350.94</v>
          </cell>
          <cell r="AP721" t="str">
            <v>Véhicules neufs</v>
          </cell>
          <cell r="AQ721" t="str">
            <v>Camions détail</v>
          </cell>
          <cell r="AR721" t="str">
            <v>$</v>
          </cell>
          <cell r="AS721">
            <v>0</v>
          </cell>
          <cell r="AW721">
            <v>0</v>
          </cell>
          <cell r="AY721" t="str">
            <v>NB</v>
          </cell>
        </row>
        <row r="722">
          <cell r="AM722">
            <v>60073.160000000033</v>
          </cell>
          <cell r="AP722" t="str">
            <v>Véhicules neufs</v>
          </cell>
          <cell r="AQ722" t="str">
            <v>Camions détail</v>
          </cell>
          <cell r="AR722" t="str">
            <v>$</v>
          </cell>
          <cell r="AS722">
            <v>0</v>
          </cell>
          <cell r="AW722">
            <v>0</v>
          </cell>
          <cell r="AY722" t="str">
            <v>NB</v>
          </cell>
        </row>
        <row r="723">
          <cell r="AM723">
            <v>49716.900000000023</v>
          </cell>
          <cell r="AP723" t="str">
            <v>Véhicules neufs</v>
          </cell>
          <cell r="AQ723" t="str">
            <v>Camions détail</v>
          </cell>
          <cell r="AR723" t="str">
            <v>$</v>
          </cell>
          <cell r="AS723">
            <v>0</v>
          </cell>
          <cell r="AW723">
            <v>0</v>
          </cell>
          <cell r="AY723" t="str">
            <v>NB</v>
          </cell>
        </row>
        <row r="724">
          <cell r="AM724">
            <v>30460.5</v>
          </cell>
          <cell r="AP724" t="str">
            <v>Véhicules neufs</v>
          </cell>
          <cell r="AQ724" t="str">
            <v>Camions détail</v>
          </cell>
          <cell r="AR724" t="str">
            <v>$</v>
          </cell>
          <cell r="AS724">
            <v>0</v>
          </cell>
          <cell r="AW724">
            <v>0</v>
          </cell>
          <cell r="AY724" t="str">
            <v>NB</v>
          </cell>
        </row>
        <row r="725">
          <cell r="AM725">
            <v>0</v>
          </cell>
          <cell r="AP725" t="e">
            <v>#N/A</v>
          </cell>
          <cell r="AQ725" t="e">
            <v>#N/A</v>
          </cell>
          <cell r="AR725" t="str">
            <v>$</v>
          </cell>
          <cell r="AS725" t="e">
            <v>#N/A</v>
          </cell>
          <cell r="AW725">
            <v>0</v>
          </cell>
          <cell r="AY725" t="str">
            <v>NB</v>
          </cell>
        </row>
        <row r="726">
          <cell r="AM726">
            <v>58738</v>
          </cell>
          <cell r="AP726" t="str">
            <v>Véhicules neufs</v>
          </cell>
          <cell r="AQ726" t="str">
            <v>Camions détail</v>
          </cell>
          <cell r="AR726" t="str">
            <v>$</v>
          </cell>
          <cell r="AS726">
            <v>0</v>
          </cell>
          <cell r="AW726">
            <v>0</v>
          </cell>
          <cell r="AY726" t="str">
            <v>NB</v>
          </cell>
        </row>
        <row r="727">
          <cell r="AM727">
            <v>0</v>
          </cell>
          <cell r="AP727" t="str">
            <v>Véhicules neufs</v>
          </cell>
          <cell r="AQ727" t="str">
            <v>Camions détail</v>
          </cell>
          <cell r="AR727" t="str">
            <v>$</v>
          </cell>
          <cell r="AS727">
            <v>0</v>
          </cell>
          <cell r="AW727">
            <v>0</v>
          </cell>
          <cell r="AY727" t="str">
            <v>NB</v>
          </cell>
        </row>
        <row r="728">
          <cell r="AM728">
            <v>0</v>
          </cell>
          <cell r="AP728" t="str">
            <v>Véhicules neufs</v>
          </cell>
          <cell r="AQ728" t="str">
            <v>Camions détail</v>
          </cell>
          <cell r="AR728" t="str">
            <v>$</v>
          </cell>
          <cell r="AS728">
            <v>0</v>
          </cell>
          <cell r="AW728">
            <v>0</v>
          </cell>
          <cell r="AY728" t="str">
            <v>NB</v>
          </cell>
        </row>
        <row r="729">
          <cell r="AM729">
            <v>0</v>
          </cell>
          <cell r="AP729" t="e">
            <v>#N/A</v>
          </cell>
          <cell r="AQ729" t="e">
            <v>#N/A</v>
          </cell>
          <cell r="AR729" t="str">
            <v>$</v>
          </cell>
          <cell r="AS729" t="e">
            <v>#N/A</v>
          </cell>
          <cell r="AW729">
            <v>0</v>
          </cell>
          <cell r="AY729" t="str">
            <v>NB</v>
          </cell>
        </row>
        <row r="730">
          <cell r="AM730">
            <v>248668.64</v>
          </cell>
          <cell r="AP730" t="str">
            <v>Véhicules neufs</v>
          </cell>
          <cell r="AQ730" t="str">
            <v>Camions détail</v>
          </cell>
          <cell r="AR730" t="str">
            <v>$</v>
          </cell>
          <cell r="AS730">
            <v>0</v>
          </cell>
          <cell r="AW730">
            <v>0</v>
          </cell>
          <cell r="AY730" t="str">
            <v>NB</v>
          </cell>
        </row>
        <row r="731">
          <cell r="AM731">
            <v>77485.5</v>
          </cell>
          <cell r="AP731" t="str">
            <v>Véhicules neufs</v>
          </cell>
          <cell r="AQ731" t="str">
            <v>Camions détail</v>
          </cell>
          <cell r="AR731" t="str">
            <v>$</v>
          </cell>
          <cell r="AS731">
            <v>0</v>
          </cell>
          <cell r="AW731">
            <v>0</v>
          </cell>
          <cell r="AY731" t="str">
            <v>NB</v>
          </cell>
        </row>
        <row r="732">
          <cell r="AM732">
            <v>494246.45999999996</v>
          </cell>
          <cell r="AP732" t="str">
            <v>Véhicules neufs</v>
          </cell>
          <cell r="AQ732" t="str">
            <v>Camions détail</v>
          </cell>
          <cell r="AR732" t="str">
            <v>$</v>
          </cell>
          <cell r="AS732">
            <v>0</v>
          </cell>
          <cell r="AW732">
            <v>0</v>
          </cell>
          <cell r="AY732" t="str">
            <v>NB</v>
          </cell>
        </row>
        <row r="733">
          <cell r="AM733">
            <v>209442.10000000003</v>
          </cell>
          <cell r="AP733" t="str">
            <v>Véhicules neufs</v>
          </cell>
          <cell r="AQ733" t="str">
            <v>Camions electriques</v>
          </cell>
          <cell r="AR733" t="str">
            <v>$</v>
          </cell>
          <cell r="AS733">
            <v>0</v>
          </cell>
          <cell r="AW733">
            <v>0</v>
          </cell>
          <cell r="AY733" t="str">
            <v>NB</v>
          </cell>
        </row>
        <row r="734">
          <cell r="AM734">
            <v>211453.22999999998</v>
          </cell>
          <cell r="AP734" t="str">
            <v>Véhicules neufs</v>
          </cell>
          <cell r="AQ734" t="str">
            <v>Camions détail</v>
          </cell>
          <cell r="AR734" t="str">
            <v>$</v>
          </cell>
          <cell r="AS734">
            <v>0</v>
          </cell>
          <cell r="AW734">
            <v>0</v>
          </cell>
          <cell r="AY734" t="str">
            <v>NB</v>
          </cell>
        </row>
        <row r="735">
          <cell r="AM735">
            <v>0</v>
          </cell>
          <cell r="AP735" t="e">
            <v>#N/A</v>
          </cell>
          <cell r="AQ735" t="e">
            <v>#N/A</v>
          </cell>
          <cell r="AR735" t="str">
            <v>$</v>
          </cell>
          <cell r="AS735" t="e">
            <v>#N/A</v>
          </cell>
          <cell r="AW735">
            <v>0</v>
          </cell>
          <cell r="AY735" t="str">
            <v>NB</v>
          </cell>
        </row>
        <row r="736">
          <cell r="AM736">
            <v>0</v>
          </cell>
          <cell r="AP736" t="str">
            <v>Véhicules neufs</v>
          </cell>
          <cell r="AQ736" t="str">
            <v>Camions détail</v>
          </cell>
          <cell r="AR736" t="str">
            <v>$</v>
          </cell>
          <cell r="AS736">
            <v>0</v>
          </cell>
          <cell r="AW736">
            <v>0</v>
          </cell>
          <cell r="AY736" t="str">
            <v>NB</v>
          </cell>
        </row>
        <row r="737">
          <cell r="AM737">
            <v>321458.76999999955</v>
          </cell>
          <cell r="AP737" t="str">
            <v>Véhicules neufs</v>
          </cell>
          <cell r="AQ737" t="str">
            <v>Camions détail</v>
          </cell>
          <cell r="AR737" t="str">
            <v>$</v>
          </cell>
          <cell r="AS737">
            <v>0</v>
          </cell>
          <cell r="AW737">
            <v>0</v>
          </cell>
          <cell r="AY737" t="str">
            <v>NB</v>
          </cell>
        </row>
        <row r="738">
          <cell r="AM738">
            <v>96046.050000000047</v>
          </cell>
          <cell r="AP738" t="str">
            <v>Véhicules neufs</v>
          </cell>
          <cell r="AQ738" t="str">
            <v>Camions electriques</v>
          </cell>
          <cell r="AR738" t="str">
            <v>$</v>
          </cell>
          <cell r="AS738">
            <v>0</v>
          </cell>
          <cell r="AW738">
            <v>0</v>
          </cell>
          <cell r="AY738" t="str">
            <v>NB</v>
          </cell>
        </row>
        <row r="739">
          <cell r="AM739">
            <v>0</v>
          </cell>
          <cell r="AP739" t="e">
            <v>#N/A</v>
          </cell>
          <cell r="AQ739" t="e">
            <v>#N/A</v>
          </cell>
          <cell r="AR739" t="str">
            <v>$</v>
          </cell>
          <cell r="AS739" t="e">
            <v>#N/A</v>
          </cell>
          <cell r="AW739">
            <v>0</v>
          </cell>
          <cell r="AY739" t="str">
            <v>NB</v>
          </cell>
        </row>
        <row r="740">
          <cell r="AM740">
            <v>0</v>
          </cell>
          <cell r="AP740" t="str">
            <v>Véhicules neufs</v>
          </cell>
          <cell r="AQ740" t="str">
            <v>Camions détail</v>
          </cell>
          <cell r="AR740" t="str">
            <v>$</v>
          </cell>
          <cell r="AS740">
            <v>0</v>
          </cell>
          <cell r="AW740">
            <v>0</v>
          </cell>
          <cell r="AY740" t="str">
            <v>NB</v>
          </cell>
        </row>
        <row r="741">
          <cell r="AM741">
            <v>434443.12000000011</v>
          </cell>
          <cell r="AP741" t="str">
            <v>Véhicules neufs</v>
          </cell>
          <cell r="AQ741" t="str">
            <v>Camions détail</v>
          </cell>
          <cell r="AR741" t="str">
            <v>$</v>
          </cell>
          <cell r="AS741">
            <v>0</v>
          </cell>
          <cell r="AW741">
            <v>0</v>
          </cell>
          <cell r="AY741" t="str">
            <v>NB</v>
          </cell>
        </row>
        <row r="742">
          <cell r="AM742">
            <v>0</v>
          </cell>
          <cell r="AP742" t="str">
            <v>Véhicules neufs</v>
          </cell>
          <cell r="AQ742" t="str">
            <v>Camions détail</v>
          </cell>
          <cell r="AR742" t="str">
            <v>$</v>
          </cell>
          <cell r="AS742">
            <v>0</v>
          </cell>
          <cell r="AW742">
            <v>0</v>
          </cell>
          <cell r="AY742" t="str">
            <v>NB</v>
          </cell>
        </row>
        <row r="743">
          <cell r="AM743">
            <v>0</v>
          </cell>
          <cell r="AP743" t="str">
            <v>Véhicules neufs</v>
          </cell>
          <cell r="AQ743" t="str">
            <v>Camions détail</v>
          </cell>
          <cell r="AR743" t="str">
            <v>$</v>
          </cell>
          <cell r="AS743">
            <v>0</v>
          </cell>
          <cell r="AW743">
            <v>0</v>
          </cell>
          <cell r="AY743" t="str">
            <v>NB</v>
          </cell>
        </row>
        <row r="744">
          <cell r="AM744">
            <v>61214.52999999997</v>
          </cell>
          <cell r="AP744" t="str">
            <v>Véhicules neufs</v>
          </cell>
          <cell r="AQ744" t="str">
            <v>Camions electriques</v>
          </cell>
          <cell r="AR744" t="str">
            <v>$</v>
          </cell>
          <cell r="AS744">
            <v>0</v>
          </cell>
          <cell r="AW744">
            <v>0</v>
          </cell>
          <cell r="AY744" t="str">
            <v>NB</v>
          </cell>
        </row>
        <row r="745">
          <cell r="AM745">
            <v>0</v>
          </cell>
          <cell r="AP745" t="e">
            <v>#N/A</v>
          </cell>
          <cell r="AQ745" t="e">
            <v>#N/A</v>
          </cell>
          <cell r="AR745" t="str">
            <v>$</v>
          </cell>
          <cell r="AS745" t="e">
            <v>#N/A</v>
          </cell>
          <cell r="AW745">
            <v>0</v>
          </cell>
          <cell r="AY745" t="str">
            <v>NB</v>
          </cell>
        </row>
        <row r="746">
          <cell r="AM746">
            <v>174614.71000000002</v>
          </cell>
          <cell r="AP746" t="str">
            <v>Véhicules neufs</v>
          </cell>
          <cell r="AQ746" t="str">
            <v>Camions détail</v>
          </cell>
          <cell r="AR746" t="str">
            <v>$</v>
          </cell>
          <cell r="AS746">
            <v>0</v>
          </cell>
          <cell r="AW746">
            <v>0</v>
          </cell>
          <cell r="AY746" t="str">
            <v>NB</v>
          </cell>
        </row>
        <row r="747">
          <cell r="AM747">
            <v>1075018.6200000001</v>
          </cell>
          <cell r="AP747" t="str">
            <v>Véhicules neufs</v>
          </cell>
          <cell r="AQ747" t="str">
            <v>Camions electriques</v>
          </cell>
          <cell r="AR747" t="str">
            <v>$</v>
          </cell>
          <cell r="AS747">
            <v>0</v>
          </cell>
          <cell r="AW747">
            <v>0</v>
          </cell>
          <cell r="AY747" t="str">
            <v>NB</v>
          </cell>
        </row>
        <row r="748">
          <cell r="AM748">
            <v>0</v>
          </cell>
          <cell r="AP748" t="e">
            <v>#N/A</v>
          </cell>
          <cell r="AQ748" t="e">
            <v>#N/A</v>
          </cell>
          <cell r="AR748" t="str">
            <v>$</v>
          </cell>
          <cell r="AS748" t="e">
            <v>#N/A</v>
          </cell>
          <cell r="AW748">
            <v>0</v>
          </cell>
          <cell r="AY748" t="str">
            <v>NB</v>
          </cell>
        </row>
        <row r="749">
          <cell r="AM749">
            <v>0</v>
          </cell>
          <cell r="AP749" t="str">
            <v>Véhicules neufs</v>
          </cell>
          <cell r="AQ749" t="str">
            <v>Camions détail</v>
          </cell>
          <cell r="AR749" t="str">
            <v>$</v>
          </cell>
          <cell r="AS749">
            <v>0</v>
          </cell>
          <cell r="AW749">
            <v>0</v>
          </cell>
          <cell r="AY749" t="str">
            <v>NB</v>
          </cell>
        </row>
        <row r="750">
          <cell r="AM750">
            <v>0</v>
          </cell>
          <cell r="AP750" t="str">
            <v>Véhicules neufs</v>
          </cell>
          <cell r="AQ750" t="str">
            <v>Camions electriques</v>
          </cell>
          <cell r="AR750" t="str">
            <v>$</v>
          </cell>
          <cell r="AS750">
            <v>0</v>
          </cell>
          <cell r="AW750">
            <v>0</v>
          </cell>
          <cell r="AY750" t="str">
            <v>NB</v>
          </cell>
        </row>
        <row r="751">
          <cell r="AM751">
            <v>0</v>
          </cell>
          <cell r="AP751" t="e">
            <v>#N/A</v>
          </cell>
          <cell r="AQ751" t="e">
            <v>#N/A</v>
          </cell>
          <cell r="AR751" t="str">
            <v>$</v>
          </cell>
          <cell r="AS751" t="e">
            <v>#N/A</v>
          </cell>
          <cell r="AW751">
            <v>0</v>
          </cell>
          <cell r="AY751" t="str">
            <v>NB</v>
          </cell>
        </row>
        <row r="752">
          <cell r="AM752">
            <v>37314.44</v>
          </cell>
          <cell r="AP752" t="str">
            <v>Véhicules neufs</v>
          </cell>
          <cell r="AQ752" t="str">
            <v>Camions détail</v>
          </cell>
          <cell r="AR752" t="str">
            <v>$</v>
          </cell>
          <cell r="AS752">
            <v>0</v>
          </cell>
          <cell r="AW752">
            <v>0</v>
          </cell>
          <cell r="AY752" t="str">
            <v>NB</v>
          </cell>
        </row>
        <row r="753">
          <cell r="AM753">
            <v>0</v>
          </cell>
          <cell r="AP753" t="str">
            <v>Véhicules neufs</v>
          </cell>
          <cell r="AQ753" t="str">
            <v>Camions détail</v>
          </cell>
          <cell r="AR753" t="str">
            <v>$</v>
          </cell>
          <cell r="AS753">
            <v>0</v>
          </cell>
          <cell r="AW753">
            <v>0</v>
          </cell>
          <cell r="AY753" t="str">
            <v>NB</v>
          </cell>
        </row>
        <row r="754">
          <cell r="AM754">
            <v>0</v>
          </cell>
          <cell r="AP754" t="e">
            <v>#N/A</v>
          </cell>
          <cell r="AQ754" t="e">
            <v>#N/A</v>
          </cell>
          <cell r="AR754" t="str">
            <v>$</v>
          </cell>
          <cell r="AS754" t="e">
            <v>#N/A</v>
          </cell>
          <cell r="AW754">
            <v>0</v>
          </cell>
          <cell r="AY754" t="str">
            <v>NB</v>
          </cell>
        </row>
        <row r="755">
          <cell r="AM755">
            <v>0</v>
          </cell>
          <cell r="AP755" t="e">
            <v>#N/A</v>
          </cell>
          <cell r="AQ755" t="e">
            <v>#N/A</v>
          </cell>
          <cell r="AR755" t="str">
            <v>$</v>
          </cell>
          <cell r="AS755" t="e">
            <v>#N/A</v>
          </cell>
          <cell r="AW755">
            <v>0</v>
          </cell>
          <cell r="AY755" t="str">
            <v>NB</v>
          </cell>
        </row>
        <row r="756">
          <cell r="AM756">
            <v>4826990.9399999976</v>
          </cell>
          <cell r="AP756" t="str">
            <v>Véhicules neufs</v>
          </cell>
          <cell r="AQ756" t="str">
            <v>Flottes</v>
          </cell>
          <cell r="AR756" t="str">
            <v>$</v>
          </cell>
          <cell r="AS756">
            <v>0</v>
          </cell>
          <cell r="AW756">
            <v>0</v>
          </cell>
          <cell r="AY756" t="str">
            <v>NB</v>
          </cell>
        </row>
        <row r="757">
          <cell r="AM757">
            <v>0</v>
          </cell>
          <cell r="AP757" t="str">
            <v>Véhicules neufs</v>
          </cell>
          <cell r="AQ757" t="str">
            <v>Flottes</v>
          </cell>
          <cell r="AR757" t="str">
            <v>$</v>
          </cell>
          <cell r="AS757">
            <v>0</v>
          </cell>
          <cell r="AW757">
            <v>0</v>
          </cell>
          <cell r="AY757" t="str">
            <v>NB</v>
          </cell>
        </row>
        <row r="758">
          <cell r="AM758">
            <v>43754.200000000012</v>
          </cell>
          <cell r="AP758" t="str">
            <v>Véhicules neufs</v>
          </cell>
          <cell r="AQ758" t="str">
            <v>Rev. Protections</v>
          </cell>
          <cell r="AR758" t="str">
            <v>$</v>
          </cell>
          <cell r="AS758">
            <v>0</v>
          </cell>
          <cell r="AW758">
            <v>0</v>
          </cell>
          <cell r="AY758" t="str">
            <v>NB</v>
          </cell>
        </row>
        <row r="759">
          <cell r="AM759">
            <v>0</v>
          </cell>
          <cell r="AP759" t="str">
            <v>Véhicules neufs</v>
          </cell>
          <cell r="AQ759" t="str">
            <v>Rev. Protections</v>
          </cell>
          <cell r="AR759" t="str">
            <v>$</v>
          </cell>
          <cell r="AS759">
            <v>0</v>
          </cell>
          <cell r="AW759">
            <v>0</v>
          </cell>
          <cell r="AY759" t="str">
            <v>NB</v>
          </cell>
        </row>
        <row r="760">
          <cell r="AM760">
            <v>0</v>
          </cell>
          <cell r="AP760" t="str">
            <v>Véhicules neufs</v>
          </cell>
          <cell r="AQ760" t="str">
            <v>Rev. Autres</v>
          </cell>
          <cell r="AR760" t="str">
            <v>$</v>
          </cell>
          <cell r="AS760">
            <v>0</v>
          </cell>
          <cell r="AW760">
            <v>0</v>
          </cell>
          <cell r="AY760" t="str">
            <v>NB</v>
          </cell>
        </row>
        <row r="761">
          <cell r="AM761">
            <v>3678.7000000000007</v>
          </cell>
          <cell r="AP761" t="str">
            <v>Véhicules neufs</v>
          </cell>
          <cell r="AQ761" t="str">
            <v>Rev. Autres</v>
          </cell>
          <cell r="AR761" t="str">
            <v>$</v>
          </cell>
          <cell r="AS761">
            <v>0</v>
          </cell>
          <cell r="AW761">
            <v>0</v>
          </cell>
          <cell r="AY761" t="str">
            <v>NB</v>
          </cell>
        </row>
        <row r="762">
          <cell r="AM762">
            <v>10259.199999999997</v>
          </cell>
          <cell r="AP762" t="str">
            <v>Véhicules neufs</v>
          </cell>
          <cell r="AQ762" t="str">
            <v>Rev. Protections</v>
          </cell>
          <cell r="AR762" t="str">
            <v>$</v>
          </cell>
          <cell r="AS762">
            <v>0</v>
          </cell>
          <cell r="AW762">
            <v>0</v>
          </cell>
          <cell r="AY762" t="str">
            <v>NB</v>
          </cell>
        </row>
        <row r="763">
          <cell r="AM763">
            <v>2571</v>
          </cell>
          <cell r="AP763" t="str">
            <v>Véhicules neufs</v>
          </cell>
          <cell r="AQ763" t="str">
            <v>Rev. Autres</v>
          </cell>
          <cell r="AR763" t="str">
            <v>$</v>
          </cell>
          <cell r="AS763">
            <v>0</v>
          </cell>
          <cell r="AW763">
            <v>0</v>
          </cell>
          <cell r="AY763" t="str">
            <v>NB</v>
          </cell>
        </row>
        <row r="764">
          <cell r="AM764">
            <v>0</v>
          </cell>
          <cell r="AP764" t="str">
            <v>Véhicules usagés</v>
          </cell>
          <cell r="AQ764" t="str">
            <v>Certifié</v>
          </cell>
          <cell r="AR764" t="str">
            <v>$</v>
          </cell>
          <cell r="AS764">
            <v>0</v>
          </cell>
          <cell r="AW764">
            <v>0</v>
          </cell>
          <cell r="AY764" t="str">
            <v>NB</v>
          </cell>
        </row>
        <row r="765">
          <cell r="AM765">
            <v>76966.589999999967</v>
          </cell>
          <cell r="AP765" t="str">
            <v>Véhicules usagés</v>
          </cell>
          <cell r="AQ765" t="str">
            <v>Non Certifié</v>
          </cell>
          <cell r="AR765" t="str">
            <v>$</v>
          </cell>
          <cell r="AS765">
            <v>0</v>
          </cell>
          <cell r="AW765">
            <v>0</v>
          </cell>
          <cell r="AY765" t="str">
            <v>NB</v>
          </cell>
        </row>
        <row r="766">
          <cell r="AM766">
            <v>0</v>
          </cell>
          <cell r="AP766" t="str">
            <v>Véhicules usagés</v>
          </cell>
          <cell r="AQ766" t="str">
            <v>Certifié</v>
          </cell>
          <cell r="AR766" t="str">
            <v>$</v>
          </cell>
          <cell r="AS766">
            <v>0</v>
          </cell>
          <cell r="AW766">
            <v>0</v>
          </cell>
          <cell r="AY766" t="str">
            <v>NB</v>
          </cell>
        </row>
        <row r="767">
          <cell r="AM767">
            <v>0</v>
          </cell>
          <cell r="AP767">
            <v>0</v>
          </cell>
          <cell r="AQ767">
            <v>0</v>
          </cell>
          <cell r="AR767" t="str">
            <v>$</v>
          </cell>
          <cell r="AS767">
            <v>0</v>
          </cell>
          <cell r="AW767">
            <v>0</v>
          </cell>
          <cell r="AY767" t="str">
            <v>NB</v>
          </cell>
        </row>
        <row r="768">
          <cell r="AM768">
            <v>0</v>
          </cell>
          <cell r="AP768">
            <v>0</v>
          </cell>
          <cell r="AQ768">
            <v>0</v>
          </cell>
          <cell r="AR768" t="str">
            <v>$</v>
          </cell>
          <cell r="AS768">
            <v>0</v>
          </cell>
          <cell r="AW768">
            <v>0</v>
          </cell>
          <cell r="AY768" t="str">
            <v>NB</v>
          </cell>
        </row>
        <row r="769">
          <cell r="AM769">
            <v>0</v>
          </cell>
          <cell r="AP769">
            <v>0</v>
          </cell>
          <cell r="AQ769">
            <v>0</v>
          </cell>
          <cell r="AR769" t="str">
            <v>$</v>
          </cell>
          <cell r="AS769">
            <v>0</v>
          </cell>
          <cell r="AW769">
            <v>0</v>
          </cell>
          <cell r="AY769" t="str">
            <v>NB</v>
          </cell>
        </row>
        <row r="770">
          <cell r="AM770">
            <v>242923.47000000009</v>
          </cell>
          <cell r="AP770" t="str">
            <v>Véhicules usagés</v>
          </cell>
          <cell r="AQ770" t="str">
            <v>Ventes au Gros</v>
          </cell>
          <cell r="AR770" t="str">
            <v>$</v>
          </cell>
          <cell r="AS770">
            <v>0</v>
          </cell>
          <cell r="AW770">
            <v>0</v>
          </cell>
          <cell r="AY770" t="str">
            <v>NB</v>
          </cell>
        </row>
        <row r="771">
          <cell r="AM771">
            <v>0</v>
          </cell>
          <cell r="AP771">
            <v>0</v>
          </cell>
          <cell r="AQ771">
            <v>0</v>
          </cell>
          <cell r="AR771" t="str">
            <v>$</v>
          </cell>
          <cell r="AS771">
            <v>0</v>
          </cell>
          <cell r="AW771">
            <v>0</v>
          </cell>
          <cell r="AY771" t="str">
            <v>NB</v>
          </cell>
        </row>
        <row r="772">
          <cell r="AM772">
            <v>0</v>
          </cell>
          <cell r="AP772" t="str">
            <v>Véhicules usagés</v>
          </cell>
          <cell r="AQ772" t="str">
            <v>Ventes au Gros</v>
          </cell>
          <cell r="AR772" t="str">
            <v>$</v>
          </cell>
          <cell r="AS772" t="str">
            <v>Oui</v>
          </cell>
          <cell r="AW772">
            <v>0</v>
          </cell>
          <cell r="AY772" t="str">
            <v>NB</v>
          </cell>
        </row>
        <row r="773">
          <cell r="AM773">
            <v>439929.18000000017</v>
          </cell>
          <cell r="AP773" t="str">
            <v>Véhicules usagés</v>
          </cell>
          <cell r="AQ773" t="str">
            <v>Non Certifié</v>
          </cell>
          <cell r="AR773" t="str">
            <v>$</v>
          </cell>
          <cell r="AS773">
            <v>0</v>
          </cell>
          <cell r="AW773">
            <v>0</v>
          </cell>
          <cell r="AY773" t="str">
            <v>NB</v>
          </cell>
        </row>
        <row r="774">
          <cell r="AM774">
            <v>0</v>
          </cell>
          <cell r="AP774" t="e">
            <v>#N/A</v>
          </cell>
          <cell r="AQ774" t="e">
            <v>#N/A</v>
          </cell>
          <cell r="AR774" t="str">
            <v>$</v>
          </cell>
          <cell r="AS774" t="e">
            <v>#N/A</v>
          </cell>
          <cell r="AW774">
            <v>0</v>
          </cell>
          <cell r="AY774" t="str">
            <v>NB</v>
          </cell>
        </row>
        <row r="775">
          <cell r="AM775">
            <v>0</v>
          </cell>
          <cell r="AP775">
            <v>0</v>
          </cell>
          <cell r="AQ775">
            <v>0</v>
          </cell>
          <cell r="AR775" t="str">
            <v>$</v>
          </cell>
          <cell r="AS775">
            <v>0</v>
          </cell>
          <cell r="AW775">
            <v>0</v>
          </cell>
          <cell r="AY775" t="str">
            <v>NB</v>
          </cell>
        </row>
        <row r="776">
          <cell r="AM776">
            <v>0</v>
          </cell>
          <cell r="AP776">
            <v>0</v>
          </cell>
          <cell r="AQ776">
            <v>0</v>
          </cell>
          <cell r="AR776" t="str">
            <v>$</v>
          </cell>
          <cell r="AS776">
            <v>0</v>
          </cell>
          <cell r="AW776">
            <v>0</v>
          </cell>
          <cell r="AY776" t="str">
            <v>NB</v>
          </cell>
        </row>
        <row r="777">
          <cell r="AM777">
            <v>0</v>
          </cell>
          <cell r="AP777">
            <v>0</v>
          </cell>
          <cell r="AQ777">
            <v>0</v>
          </cell>
          <cell r="AR777" t="str">
            <v>$</v>
          </cell>
          <cell r="AS777">
            <v>0</v>
          </cell>
          <cell r="AW777">
            <v>0</v>
          </cell>
          <cell r="AY777" t="str">
            <v>NB</v>
          </cell>
        </row>
        <row r="778">
          <cell r="AM778">
            <v>1904139.4000000004</v>
          </cell>
          <cell r="AP778" t="str">
            <v>Véhicules usagés</v>
          </cell>
          <cell r="AQ778" t="str">
            <v>Ventes au Gros</v>
          </cell>
          <cell r="AR778" t="str">
            <v>$</v>
          </cell>
          <cell r="AS778">
            <v>0</v>
          </cell>
          <cell r="AW778">
            <v>0</v>
          </cell>
          <cell r="AY778" t="str">
            <v>NB</v>
          </cell>
        </row>
        <row r="779">
          <cell r="AM779">
            <v>3225150</v>
          </cell>
          <cell r="AP779" t="str">
            <v>Wholesale autres</v>
          </cell>
          <cell r="AQ779" t="str">
            <v>Wholesale Luxueux</v>
          </cell>
          <cell r="AR779" t="str">
            <v>$</v>
          </cell>
          <cell r="AS779">
            <v>0</v>
          </cell>
          <cell r="AW779">
            <v>0</v>
          </cell>
          <cell r="AY779" t="str">
            <v>NB</v>
          </cell>
        </row>
        <row r="780">
          <cell r="AM780">
            <v>0</v>
          </cell>
          <cell r="AP780">
            <v>0</v>
          </cell>
          <cell r="AQ780">
            <v>0</v>
          </cell>
          <cell r="AR780" t="str">
            <v>$</v>
          </cell>
          <cell r="AS780">
            <v>0</v>
          </cell>
          <cell r="AW780">
            <v>0</v>
          </cell>
          <cell r="AY780" t="str">
            <v>NB</v>
          </cell>
        </row>
        <row r="781">
          <cell r="AM781">
            <v>12236</v>
          </cell>
          <cell r="AP781" t="str">
            <v>Véhicules usagés</v>
          </cell>
          <cell r="AQ781" t="str">
            <v>Rev. Protections</v>
          </cell>
          <cell r="AR781" t="str">
            <v>$</v>
          </cell>
          <cell r="AS781">
            <v>0</v>
          </cell>
          <cell r="AW781">
            <v>0</v>
          </cell>
          <cell r="AY781" t="str">
            <v>NB</v>
          </cell>
        </row>
        <row r="782">
          <cell r="AM782">
            <v>0</v>
          </cell>
          <cell r="AP782" t="str">
            <v>Véhicules usagés</v>
          </cell>
          <cell r="AQ782" t="str">
            <v>Rev. Protections</v>
          </cell>
          <cell r="AR782" t="str">
            <v>$</v>
          </cell>
          <cell r="AS782">
            <v>0</v>
          </cell>
          <cell r="AW782">
            <v>0</v>
          </cell>
          <cell r="AY782" t="str">
            <v>NB</v>
          </cell>
        </row>
        <row r="783">
          <cell r="AM783">
            <v>0</v>
          </cell>
          <cell r="AP783" t="str">
            <v>Véhicules usagés</v>
          </cell>
          <cell r="AQ783" t="str">
            <v>Rev. Protections</v>
          </cell>
          <cell r="AR783" t="str">
            <v>$</v>
          </cell>
          <cell r="AS783">
            <v>0</v>
          </cell>
          <cell r="AW783">
            <v>0</v>
          </cell>
          <cell r="AY783" t="str">
            <v>NB</v>
          </cell>
        </row>
        <row r="784">
          <cell r="AM784">
            <v>-58.089999999967404</v>
          </cell>
          <cell r="AP784" t="str">
            <v>Wholesale autres</v>
          </cell>
          <cell r="AQ784" t="str">
            <v>Wholesale USA</v>
          </cell>
          <cell r="AR784" t="str">
            <v>$</v>
          </cell>
          <cell r="AS784">
            <v>0</v>
          </cell>
          <cell r="AW784">
            <v>0</v>
          </cell>
          <cell r="AY784" t="str">
            <v>NB</v>
          </cell>
        </row>
        <row r="785">
          <cell r="AM785">
            <v>0</v>
          </cell>
          <cell r="AP785" t="str">
            <v>Wholesale autres</v>
          </cell>
          <cell r="AQ785" t="str">
            <v>Wholesale USA</v>
          </cell>
          <cell r="AR785" t="str">
            <v>$</v>
          </cell>
          <cell r="AS785">
            <v>0</v>
          </cell>
          <cell r="AW785">
            <v>0</v>
          </cell>
          <cell r="AY785" t="str">
            <v>NB</v>
          </cell>
        </row>
        <row r="786">
          <cell r="AM786">
            <v>559664.76000000164</v>
          </cell>
          <cell r="AP786" t="str">
            <v>Wholesale autres</v>
          </cell>
          <cell r="AQ786" t="str">
            <v>Wholesale USA</v>
          </cell>
          <cell r="AR786" t="str">
            <v>$</v>
          </cell>
          <cell r="AS786">
            <v>0</v>
          </cell>
          <cell r="AW786">
            <v>0</v>
          </cell>
          <cell r="AY786" t="str">
            <v>NB</v>
          </cell>
        </row>
        <row r="787">
          <cell r="AM787">
            <v>14223.630000000005</v>
          </cell>
          <cell r="AP787" t="str">
            <v>Service</v>
          </cell>
          <cell r="AQ787" t="str">
            <v>M/O Client</v>
          </cell>
          <cell r="AR787" t="str">
            <v>$</v>
          </cell>
          <cell r="AS787">
            <v>0</v>
          </cell>
          <cell r="AW787">
            <v>0</v>
          </cell>
          <cell r="AY787" t="str">
            <v>NB</v>
          </cell>
        </row>
        <row r="788">
          <cell r="AM788">
            <v>0</v>
          </cell>
          <cell r="AP788" t="str">
            <v>Service</v>
          </cell>
          <cell r="AQ788" t="str">
            <v>M/O Garantie</v>
          </cell>
          <cell r="AR788" t="str">
            <v>$</v>
          </cell>
          <cell r="AS788">
            <v>0</v>
          </cell>
          <cell r="AW788">
            <v>0</v>
          </cell>
          <cell r="AY788" t="str">
            <v>NB</v>
          </cell>
        </row>
        <row r="789">
          <cell r="AM789">
            <v>0</v>
          </cell>
          <cell r="AP789" t="e">
            <v>#N/A</v>
          </cell>
          <cell r="AQ789" t="e">
            <v>#N/A</v>
          </cell>
          <cell r="AR789" t="str">
            <v>$</v>
          </cell>
          <cell r="AS789" t="e">
            <v>#N/A</v>
          </cell>
          <cell r="AW789">
            <v>0</v>
          </cell>
          <cell r="AY789" t="str">
            <v>NB</v>
          </cell>
        </row>
        <row r="790">
          <cell r="AM790">
            <v>492.38000000000102</v>
          </cell>
          <cell r="AP790" t="str">
            <v>Service</v>
          </cell>
          <cell r="AQ790" t="str">
            <v>M/O Client</v>
          </cell>
          <cell r="AR790" t="str">
            <v>$</v>
          </cell>
          <cell r="AS790">
            <v>0</v>
          </cell>
          <cell r="AW790">
            <v>0</v>
          </cell>
          <cell r="AY790" t="str">
            <v>NB</v>
          </cell>
        </row>
        <row r="791">
          <cell r="AM791">
            <v>17556.540000000008</v>
          </cell>
          <cell r="AP791" t="str">
            <v>SAAQ</v>
          </cell>
          <cell r="AQ791" t="str">
            <v>Inspection - Véhicules Légers</v>
          </cell>
          <cell r="AR791" t="str">
            <v>$</v>
          </cell>
          <cell r="AS791">
            <v>0</v>
          </cell>
          <cell r="AW791">
            <v>0</v>
          </cell>
          <cell r="AY791" t="str">
            <v>NB</v>
          </cell>
        </row>
        <row r="792">
          <cell r="AM792">
            <v>0</v>
          </cell>
          <cell r="AP792" t="str">
            <v>SAAQ</v>
          </cell>
          <cell r="AQ792" t="str">
            <v>Inspection - Véhicules Interne</v>
          </cell>
          <cell r="AR792" t="str">
            <v>$</v>
          </cell>
          <cell r="AS792">
            <v>0</v>
          </cell>
          <cell r="AW792">
            <v>0</v>
          </cell>
          <cell r="AY792" t="str">
            <v>NB</v>
          </cell>
        </row>
        <row r="793">
          <cell r="AM793">
            <v>0</v>
          </cell>
          <cell r="AP793" t="str">
            <v>SAAQ</v>
          </cell>
          <cell r="AQ793" t="str">
            <v>Inspection - Véhicules Lourds</v>
          </cell>
          <cell r="AR793" t="str">
            <v>$</v>
          </cell>
          <cell r="AS793">
            <v>0</v>
          </cell>
          <cell r="AW793">
            <v>0</v>
          </cell>
          <cell r="AY793" t="str">
            <v>NB</v>
          </cell>
        </row>
        <row r="794">
          <cell r="AM794">
            <v>19770.439999999988</v>
          </cell>
          <cell r="AP794" t="str">
            <v>Service</v>
          </cell>
          <cell r="AQ794" t="str">
            <v>M/O Garantie</v>
          </cell>
          <cell r="AR794" t="str">
            <v>$</v>
          </cell>
          <cell r="AS794">
            <v>0</v>
          </cell>
          <cell r="AW794">
            <v>0</v>
          </cell>
          <cell r="AY794" t="str">
            <v>NB</v>
          </cell>
        </row>
        <row r="795">
          <cell r="AM795">
            <v>13182.470000000001</v>
          </cell>
          <cell r="AP795" t="str">
            <v>Service</v>
          </cell>
          <cell r="AQ795" t="str">
            <v>M/O Interne</v>
          </cell>
          <cell r="AR795" t="str">
            <v>$</v>
          </cell>
          <cell r="AS795">
            <v>0</v>
          </cell>
          <cell r="AW795">
            <v>0</v>
          </cell>
          <cell r="AY795" t="str">
            <v>NB</v>
          </cell>
        </row>
        <row r="796">
          <cell r="AM796">
            <v>212.15000000000009</v>
          </cell>
          <cell r="AP796" t="str">
            <v>SAAQ</v>
          </cell>
          <cell r="AQ796" t="str">
            <v>Inspection - Véhicules Interne</v>
          </cell>
          <cell r="AR796" t="str">
            <v>$</v>
          </cell>
          <cell r="AS796">
            <v>0</v>
          </cell>
          <cell r="AW796">
            <v>0</v>
          </cell>
          <cell r="AY796" t="str">
            <v>NB</v>
          </cell>
        </row>
        <row r="797">
          <cell r="AM797">
            <v>4224.6500000000015</v>
          </cell>
          <cell r="AP797" t="str">
            <v>Service</v>
          </cell>
          <cell r="AQ797" t="str">
            <v>M/O Interne</v>
          </cell>
          <cell r="AR797" t="str">
            <v>$</v>
          </cell>
          <cell r="AS797">
            <v>0</v>
          </cell>
          <cell r="AW797">
            <v>0</v>
          </cell>
          <cell r="AY797" t="str">
            <v>NB</v>
          </cell>
        </row>
        <row r="798">
          <cell r="AM798">
            <v>0</v>
          </cell>
          <cell r="AP798" t="e">
            <v>#N/A</v>
          </cell>
          <cell r="AQ798" t="e">
            <v>#N/A</v>
          </cell>
          <cell r="AR798" t="str">
            <v>$</v>
          </cell>
          <cell r="AS798" t="e">
            <v>#N/A</v>
          </cell>
          <cell r="AW798">
            <v>0</v>
          </cell>
          <cell r="AY798" t="str">
            <v>NB</v>
          </cell>
        </row>
        <row r="799">
          <cell r="AM799">
            <v>-1668.8900000000031</v>
          </cell>
          <cell r="AP799" t="str">
            <v>Service</v>
          </cell>
          <cell r="AQ799" t="str">
            <v>Ajustement M/O</v>
          </cell>
          <cell r="AR799" t="str">
            <v>$</v>
          </cell>
          <cell r="AS799">
            <v>0</v>
          </cell>
          <cell r="AW799">
            <v>0</v>
          </cell>
          <cell r="AY799" t="str">
            <v>NB</v>
          </cell>
        </row>
        <row r="800">
          <cell r="AM800">
            <v>14443.770000000019</v>
          </cell>
          <cell r="AP800" t="str">
            <v>Service</v>
          </cell>
          <cell r="AQ800" t="str">
            <v>Sous-traitement</v>
          </cell>
          <cell r="AR800" t="str">
            <v>$</v>
          </cell>
          <cell r="AS800">
            <v>0</v>
          </cell>
          <cell r="AW800">
            <v>0</v>
          </cell>
          <cell r="AY800" t="str">
            <v>NB</v>
          </cell>
        </row>
        <row r="801">
          <cell r="AM801">
            <v>0</v>
          </cell>
          <cell r="AP801" t="str">
            <v>SAAQ</v>
          </cell>
          <cell r="AQ801" t="str">
            <v>Inspection - Véhicules Interne</v>
          </cell>
          <cell r="AR801" t="str">
            <v>$</v>
          </cell>
          <cell r="AS801">
            <v>0</v>
          </cell>
          <cell r="AW801">
            <v>0</v>
          </cell>
          <cell r="AY801" t="str">
            <v>NB</v>
          </cell>
        </row>
        <row r="802">
          <cell r="AM802">
            <v>0</v>
          </cell>
          <cell r="AP802" t="e">
            <v>#N/A</v>
          </cell>
          <cell r="AQ802" t="e">
            <v>#N/A</v>
          </cell>
          <cell r="AR802" t="str">
            <v>$</v>
          </cell>
          <cell r="AS802" t="e">
            <v>#N/A</v>
          </cell>
          <cell r="AW802">
            <v>0</v>
          </cell>
          <cell r="AY802" t="str">
            <v>NB</v>
          </cell>
        </row>
        <row r="803">
          <cell r="AM803">
            <v>32488.729999999981</v>
          </cell>
          <cell r="AP803" t="str">
            <v>Pièces</v>
          </cell>
          <cell r="AQ803" t="str">
            <v>Pièces Ro Clients</v>
          </cell>
          <cell r="AR803" t="str">
            <v>$</v>
          </cell>
          <cell r="AS803">
            <v>0</v>
          </cell>
          <cell r="AW803">
            <v>0</v>
          </cell>
          <cell r="AY803" t="str">
            <v>NB</v>
          </cell>
        </row>
        <row r="804">
          <cell r="AM804">
            <v>0</v>
          </cell>
          <cell r="AP804" t="str">
            <v>Pièces</v>
          </cell>
          <cell r="AQ804" t="str">
            <v>Pièces Ro Clients</v>
          </cell>
          <cell r="AR804" t="str">
            <v>$</v>
          </cell>
          <cell r="AS804">
            <v>0</v>
          </cell>
          <cell r="AW804">
            <v>0</v>
          </cell>
          <cell r="AY804" t="str">
            <v>NB</v>
          </cell>
        </row>
        <row r="805">
          <cell r="AM805">
            <v>0</v>
          </cell>
          <cell r="AP805">
            <v>0</v>
          </cell>
          <cell r="AQ805">
            <v>0</v>
          </cell>
          <cell r="AR805" t="str">
            <v>$</v>
          </cell>
          <cell r="AS805">
            <v>0</v>
          </cell>
          <cell r="AW805">
            <v>0</v>
          </cell>
          <cell r="AY805" t="str">
            <v>NB</v>
          </cell>
        </row>
        <row r="806">
          <cell r="AM806">
            <v>0</v>
          </cell>
          <cell r="AP806">
            <v>0</v>
          </cell>
          <cell r="AQ806">
            <v>0</v>
          </cell>
          <cell r="AR806" t="str">
            <v>$</v>
          </cell>
          <cell r="AS806">
            <v>0</v>
          </cell>
          <cell r="AW806">
            <v>0</v>
          </cell>
          <cell r="AY806" t="str">
            <v>NB</v>
          </cell>
        </row>
        <row r="807">
          <cell r="AM807">
            <v>0</v>
          </cell>
          <cell r="AP807">
            <v>0</v>
          </cell>
          <cell r="AQ807">
            <v>0</v>
          </cell>
          <cell r="AR807" t="str">
            <v>$</v>
          </cell>
          <cell r="AS807">
            <v>0</v>
          </cell>
          <cell r="AW807">
            <v>0</v>
          </cell>
          <cell r="AY807" t="str">
            <v>NB</v>
          </cell>
        </row>
        <row r="808">
          <cell r="AM808">
            <v>0</v>
          </cell>
          <cell r="AP808" t="e">
            <v>#N/A</v>
          </cell>
          <cell r="AQ808" t="e">
            <v>#N/A</v>
          </cell>
          <cell r="AR808" t="str">
            <v>$</v>
          </cell>
          <cell r="AS808" t="e">
            <v>#N/A</v>
          </cell>
          <cell r="AW808">
            <v>0</v>
          </cell>
          <cell r="AY808" t="str">
            <v>NB</v>
          </cell>
        </row>
        <row r="809">
          <cell r="AM809">
            <v>0</v>
          </cell>
          <cell r="AP809" t="str">
            <v>Service</v>
          </cell>
          <cell r="AQ809" t="str">
            <v>Sous-traitement</v>
          </cell>
          <cell r="AR809" t="str">
            <v>$</v>
          </cell>
          <cell r="AS809">
            <v>0</v>
          </cell>
          <cell r="AW809">
            <v>0</v>
          </cell>
          <cell r="AY809" t="str">
            <v>NB</v>
          </cell>
        </row>
        <row r="810">
          <cell r="AM810">
            <v>0</v>
          </cell>
          <cell r="AP810" t="str">
            <v>Carrosserie</v>
          </cell>
          <cell r="AQ810" t="str">
            <v>Carrosserie Clients</v>
          </cell>
          <cell r="AR810" t="str">
            <v>$</v>
          </cell>
          <cell r="AS810">
            <v>0</v>
          </cell>
          <cell r="AW810">
            <v>0</v>
          </cell>
          <cell r="AY810" t="str">
            <v>NB</v>
          </cell>
        </row>
        <row r="811">
          <cell r="AM811">
            <v>20866.619999999995</v>
          </cell>
          <cell r="AP811" t="str">
            <v>Carrosserie</v>
          </cell>
          <cell r="AQ811" t="str">
            <v>Carrosserie Clients</v>
          </cell>
          <cell r="AR811" t="str">
            <v>$</v>
          </cell>
          <cell r="AS811">
            <v>0</v>
          </cell>
          <cell r="AW811">
            <v>0</v>
          </cell>
          <cell r="AY811" t="str">
            <v>NB</v>
          </cell>
        </row>
        <row r="812">
          <cell r="AM812">
            <v>0</v>
          </cell>
          <cell r="AP812" t="str">
            <v>Carrosserie</v>
          </cell>
          <cell r="AQ812" t="str">
            <v>Carrosserie Interne</v>
          </cell>
          <cell r="AR812" t="str">
            <v>$</v>
          </cell>
          <cell r="AS812">
            <v>0</v>
          </cell>
          <cell r="AW812">
            <v>0</v>
          </cell>
          <cell r="AY812" t="str">
            <v>NB</v>
          </cell>
        </row>
        <row r="813">
          <cell r="AM813">
            <v>5046.9500000000007</v>
          </cell>
          <cell r="AP813" t="str">
            <v>Carrosserie</v>
          </cell>
          <cell r="AQ813" t="str">
            <v>Carrosserie Interne</v>
          </cell>
          <cell r="AR813" t="str">
            <v>$</v>
          </cell>
          <cell r="AS813">
            <v>0</v>
          </cell>
          <cell r="AW813">
            <v>0</v>
          </cell>
          <cell r="AY813" t="str">
            <v>NB</v>
          </cell>
        </row>
        <row r="814">
          <cell r="AM814">
            <v>-1697.5900000000001</v>
          </cell>
          <cell r="AP814" t="str">
            <v>Carrosserie</v>
          </cell>
          <cell r="AQ814" t="str">
            <v>Ajustement M/O Carrosserie</v>
          </cell>
          <cell r="AR814" t="str">
            <v>$</v>
          </cell>
          <cell r="AS814">
            <v>0</v>
          </cell>
          <cell r="AW814">
            <v>0</v>
          </cell>
          <cell r="AY814" t="str">
            <v>NB</v>
          </cell>
        </row>
        <row r="815">
          <cell r="AM815">
            <v>66881.890000000014</v>
          </cell>
          <cell r="AP815" t="str">
            <v>Carrosserie</v>
          </cell>
          <cell r="AQ815" t="str">
            <v>Carrosserie Clients</v>
          </cell>
          <cell r="AR815" t="str">
            <v>$</v>
          </cell>
          <cell r="AS815">
            <v>0</v>
          </cell>
          <cell r="AW815">
            <v>0</v>
          </cell>
          <cell r="AY815" t="str">
            <v>NB</v>
          </cell>
        </row>
        <row r="816">
          <cell r="AM816">
            <v>0</v>
          </cell>
          <cell r="AP816" t="str">
            <v>Pièces</v>
          </cell>
          <cell r="AQ816" t="str">
            <v>Pièces Ro Carrosserie</v>
          </cell>
          <cell r="AR816" t="str">
            <v>$</v>
          </cell>
          <cell r="AS816">
            <v>0</v>
          </cell>
          <cell r="AW816">
            <v>0</v>
          </cell>
          <cell r="AY816" t="str">
            <v>NB</v>
          </cell>
        </row>
        <row r="817">
          <cell r="AM817">
            <v>0</v>
          </cell>
          <cell r="AP817">
            <v>0</v>
          </cell>
          <cell r="AQ817">
            <v>0</v>
          </cell>
          <cell r="AR817" t="str">
            <v>$</v>
          </cell>
          <cell r="AS817">
            <v>0</v>
          </cell>
          <cell r="AW817">
            <v>0</v>
          </cell>
          <cell r="AY817" t="str">
            <v>NB</v>
          </cell>
        </row>
        <row r="818">
          <cell r="AM818">
            <v>0</v>
          </cell>
          <cell r="AP818" t="e">
            <v>#N/A</v>
          </cell>
          <cell r="AQ818" t="e">
            <v>#N/A</v>
          </cell>
          <cell r="AR818" t="str">
            <v>$</v>
          </cell>
          <cell r="AS818" t="e">
            <v>#N/A</v>
          </cell>
          <cell r="AW818">
            <v>0</v>
          </cell>
          <cell r="AY818" t="str">
            <v>NB</v>
          </cell>
        </row>
        <row r="819">
          <cell r="AM819">
            <v>6035.4099999999962</v>
          </cell>
          <cell r="AP819" t="str">
            <v>Carrosserie</v>
          </cell>
          <cell r="AQ819" t="str">
            <v>Carrosserie Clients</v>
          </cell>
          <cell r="AR819" t="str">
            <v>$</v>
          </cell>
          <cell r="AS819">
            <v>0</v>
          </cell>
          <cell r="AW819">
            <v>0</v>
          </cell>
          <cell r="AY819" t="str">
            <v>NB</v>
          </cell>
        </row>
        <row r="820">
          <cell r="AM820">
            <v>55404.75</v>
          </cell>
          <cell r="AP820" t="str">
            <v>Pièces</v>
          </cell>
          <cell r="AQ820" t="str">
            <v>P/A Garantie</v>
          </cell>
          <cell r="AR820" t="str">
            <v>$</v>
          </cell>
          <cell r="AS820">
            <v>0</v>
          </cell>
          <cell r="AW820">
            <v>0</v>
          </cell>
          <cell r="AY820" t="str">
            <v>NB</v>
          </cell>
        </row>
        <row r="821">
          <cell r="AM821">
            <v>0</v>
          </cell>
          <cell r="AP821" t="str">
            <v>Pièces</v>
          </cell>
          <cell r="AQ821" t="str">
            <v>P/A Garantie</v>
          </cell>
          <cell r="AR821" t="str">
            <v>$</v>
          </cell>
          <cell r="AS821">
            <v>0</v>
          </cell>
          <cell r="AW821">
            <v>0</v>
          </cell>
          <cell r="AY821" t="str">
            <v>NB</v>
          </cell>
        </row>
        <row r="822">
          <cell r="AM822">
            <v>33534.599999999977</v>
          </cell>
          <cell r="AP822" t="str">
            <v>Pièces</v>
          </cell>
          <cell r="AQ822" t="str">
            <v>Ventes Internes</v>
          </cell>
          <cell r="AR822" t="str">
            <v>$</v>
          </cell>
          <cell r="AS822">
            <v>0</v>
          </cell>
          <cell r="AW822">
            <v>0</v>
          </cell>
          <cell r="AY822" t="str">
            <v>NB</v>
          </cell>
        </row>
        <row r="823">
          <cell r="AM823">
            <v>0</v>
          </cell>
          <cell r="AP823" t="str">
            <v>Pièces</v>
          </cell>
          <cell r="AQ823" t="str">
            <v>Ventes Internes</v>
          </cell>
          <cell r="AR823" t="str">
            <v>$</v>
          </cell>
          <cell r="AS823">
            <v>0</v>
          </cell>
          <cell r="AW823">
            <v>0</v>
          </cell>
          <cell r="AY823" t="str">
            <v>NB</v>
          </cell>
        </row>
        <row r="824">
          <cell r="AM824">
            <v>21127.349999999977</v>
          </cell>
          <cell r="AP824" t="str">
            <v>Pièces</v>
          </cell>
          <cell r="AQ824" t="str">
            <v>Ventes Détails</v>
          </cell>
          <cell r="AR824" t="str">
            <v>$</v>
          </cell>
          <cell r="AS824">
            <v>0</v>
          </cell>
          <cell r="AW824">
            <v>0</v>
          </cell>
          <cell r="AY824" t="str">
            <v>NB</v>
          </cell>
        </row>
        <row r="825">
          <cell r="AM825">
            <v>149529.85000000009</v>
          </cell>
          <cell r="AP825" t="str">
            <v>Pièces</v>
          </cell>
          <cell r="AQ825" t="str">
            <v>Ventes de Gros</v>
          </cell>
          <cell r="AR825" t="str">
            <v>$</v>
          </cell>
          <cell r="AS825">
            <v>0</v>
          </cell>
          <cell r="AW825">
            <v>0</v>
          </cell>
          <cell r="AY825" t="str">
            <v>NB</v>
          </cell>
        </row>
        <row r="826">
          <cell r="AM826">
            <v>-3667.8800000000047</v>
          </cell>
          <cell r="AP826" t="str">
            <v>Pièces</v>
          </cell>
          <cell r="AQ826" t="str">
            <v>Escomptes</v>
          </cell>
          <cell r="AR826" t="str">
            <v>$</v>
          </cell>
          <cell r="AS826">
            <v>0</v>
          </cell>
          <cell r="AW826">
            <v>0</v>
          </cell>
          <cell r="AY826" t="str">
            <v>NB</v>
          </cell>
        </row>
        <row r="827">
          <cell r="AM827">
            <v>-744.02999999999884</v>
          </cell>
          <cell r="AP827" t="str">
            <v>Pièces</v>
          </cell>
          <cell r="AQ827" t="str">
            <v>Rectif. Inventaire</v>
          </cell>
          <cell r="AR827" t="str">
            <v>$</v>
          </cell>
          <cell r="AS827">
            <v>0</v>
          </cell>
          <cell r="AW827">
            <v>0</v>
          </cell>
          <cell r="AY827" t="str">
            <v>NB</v>
          </cell>
        </row>
        <row r="828">
          <cell r="AM828">
            <v>18186.729999999996</v>
          </cell>
          <cell r="AP828" t="str">
            <v>Pièces</v>
          </cell>
          <cell r="AQ828" t="str">
            <v>Ventes Pneus</v>
          </cell>
          <cell r="AR828" t="str">
            <v>$</v>
          </cell>
          <cell r="AS828">
            <v>0</v>
          </cell>
          <cell r="AW828">
            <v>0</v>
          </cell>
          <cell r="AY828" t="str">
            <v>NB</v>
          </cell>
        </row>
        <row r="829">
          <cell r="AM829">
            <v>8580.0800000000017</v>
          </cell>
          <cell r="AP829" t="str">
            <v>Pièces</v>
          </cell>
          <cell r="AQ829" t="str">
            <v>Huiles et Graisse</v>
          </cell>
          <cell r="AR829" t="str">
            <v>$</v>
          </cell>
          <cell r="AS829">
            <v>0</v>
          </cell>
          <cell r="AW829">
            <v>0</v>
          </cell>
          <cell r="AY829" t="str">
            <v>NB</v>
          </cell>
        </row>
        <row r="830">
          <cell r="AM830">
            <v>0</v>
          </cell>
          <cell r="AP830" t="e">
            <v>#N/A</v>
          </cell>
          <cell r="AQ830" t="e">
            <v>#N/A</v>
          </cell>
          <cell r="AR830" t="str">
            <v>$</v>
          </cell>
          <cell r="AS830" t="e">
            <v>#N/A</v>
          </cell>
          <cell r="AW830">
            <v>0</v>
          </cell>
          <cell r="AY830" t="str">
            <v>NB</v>
          </cell>
        </row>
        <row r="831">
          <cell r="AM831">
            <v>0</v>
          </cell>
          <cell r="AP831" t="e">
            <v>#N/A</v>
          </cell>
          <cell r="AQ831" t="e">
            <v>#N/A</v>
          </cell>
          <cell r="AR831" t="str">
            <v>$</v>
          </cell>
          <cell r="AS831" t="e">
            <v>#N/A</v>
          </cell>
          <cell r="AW831">
            <v>0</v>
          </cell>
          <cell r="AY831" t="str">
            <v>NB</v>
          </cell>
        </row>
        <row r="832">
          <cell r="AM832">
            <v>0</v>
          </cell>
          <cell r="AP832" t="e">
            <v>#N/A</v>
          </cell>
          <cell r="AQ832" t="e">
            <v>#N/A</v>
          </cell>
          <cell r="AR832" t="str">
            <v>$</v>
          </cell>
          <cell r="AS832" t="e">
            <v>#N/A</v>
          </cell>
          <cell r="AW832">
            <v>0</v>
          </cell>
          <cell r="AY832" t="str">
            <v>NB</v>
          </cell>
        </row>
        <row r="833">
          <cell r="AM833">
            <v>0</v>
          </cell>
          <cell r="AP833" t="e">
            <v>#N/A</v>
          </cell>
          <cell r="AQ833" t="e">
            <v>#N/A</v>
          </cell>
          <cell r="AR833" t="str">
            <v>$</v>
          </cell>
          <cell r="AS833" t="e">
            <v>#N/A</v>
          </cell>
          <cell r="AW833">
            <v>0</v>
          </cell>
          <cell r="AY833" t="str">
            <v>NB</v>
          </cell>
        </row>
        <row r="834">
          <cell r="AM834">
            <v>0</v>
          </cell>
          <cell r="AP834" t="e">
            <v>#N/A</v>
          </cell>
          <cell r="AQ834" t="e">
            <v>#N/A</v>
          </cell>
          <cell r="AR834" t="str">
            <v>$</v>
          </cell>
          <cell r="AS834" t="e">
            <v>#N/A</v>
          </cell>
          <cell r="AW834">
            <v>0</v>
          </cell>
          <cell r="AY834" t="str">
            <v>NB</v>
          </cell>
        </row>
        <row r="835">
          <cell r="AM835">
            <v>0</v>
          </cell>
          <cell r="AP835" t="e">
            <v>#N/A</v>
          </cell>
          <cell r="AQ835" t="e">
            <v>#N/A</v>
          </cell>
          <cell r="AR835" t="str">
            <v>$</v>
          </cell>
          <cell r="AS835" t="e">
            <v>#N/A</v>
          </cell>
          <cell r="AW835">
            <v>0</v>
          </cell>
          <cell r="AY835" t="str">
            <v>NB</v>
          </cell>
        </row>
        <row r="836">
          <cell r="AM836">
            <v>0</v>
          </cell>
          <cell r="AP836" t="e">
            <v>#N/A</v>
          </cell>
          <cell r="AQ836" t="e">
            <v>#N/A</v>
          </cell>
          <cell r="AR836" t="str">
            <v>$</v>
          </cell>
          <cell r="AS836" t="e">
            <v>#N/A</v>
          </cell>
          <cell r="AW836">
            <v>0</v>
          </cell>
          <cell r="AY836" t="str">
            <v>NB</v>
          </cell>
        </row>
        <row r="837">
          <cell r="AM837">
            <v>0</v>
          </cell>
          <cell r="AP837" t="e">
            <v>#N/A</v>
          </cell>
          <cell r="AQ837" t="e">
            <v>#N/A</v>
          </cell>
          <cell r="AR837" t="str">
            <v>$</v>
          </cell>
          <cell r="AS837" t="e">
            <v>#N/A</v>
          </cell>
          <cell r="AW837">
            <v>0</v>
          </cell>
          <cell r="AY837" t="str">
            <v>NB</v>
          </cell>
        </row>
        <row r="838">
          <cell r="AM838">
            <v>0</v>
          </cell>
          <cell r="AP838" t="e">
            <v>#N/A</v>
          </cell>
          <cell r="AQ838" t="e">
            <v>#N/A</v>
          </cell>
          <cell r="AR838" t="str">
            <v>$</v>
          </cell>
          <cell r="AS838" t="e">
            <v>#N/A</v>
          </cell>
          <cell r="AW838">
            <v>0</v>
          </cell>
          <cell r="AY838" t="str">
            <v>NB</v>
          </cell>
        </row>
        <row r="839">
          <cell r="AM839">
            <v>0</v>
          </cell>
          <cell r="AP839" t="e">
            <v>#N/A</v>
          </cell>
          <cell r="AQ839" t="e">
            <v>#N/A</v>
          </cell>
          <cell r="AR839" t="str">
            <v>$</v>
          </cell>
          <cell r="AS839" t="e">
            <v>#N/A</v>
          </cell>
          <cell r="AW839">
            <v>0</v>
          </cell>
          <cell r="AY839" t="str">
            <v>NB</v>
          </cell>
        </row>
        <row r="840">
          <cell r="AM840">
            <v>0</v>
          </cell>
          <cell r="AP840" t="e">
            <v>#N/A</v>
          </cell>
          <cell r="AQ840" t="e">
            <v>#N/A</v>
          </cell>
          <cell r="AR840" t="str">
            <v>$</v>
          </cell>
          <cell r="AS840" t="e">
            <v>#N/A</v>
          </cell>
          <cell r="AW840">
            <v>0</v>
          </cell>
          <cell r="AY840" t="str">
            <v>NB</v>
          </cell>
        </row>
        <row r="841">
          <cell r="AM841">
            <v>0</v>
          </cell>
          <cell r="AP841" t="e">
            <v>#N/A</v>
          </cell>
          <cell r="AQ841" t="e">
            <v>#N/A</v>
          </cell>
          <cell r="AR841" t="str">
            <v>$</v>
          </cell>
          <cell r="AS841" t="e">
            <v>#N/A</v>
          </cell>
          <cell r="AW841">
            <v>0</v>
          </cell>
          <cell r="AY841" t="str">
            <v>NB</v>
          </cell>
        </row>
        <row r="842">
          <cell r="AM842">
            <v>0</v>
          </cell>
          <cell r="AP842" t="e">
            <v>#N/A</v>
          </cell>
          <cell r="AQ842" t="e">
            <v>#N/A</v>
          </cell>
          <cell r="AR842" t="str">
            <v>$</v>
          </cell>
          <cell r="AS842" t="e">
            <v>#N/A</v>
          </cell>
          <cell r="AW842">
            <v>0</v>
          </cell>
          <cell r="AY842" t="str">
            <v>NB</v>
          </cell>
        </row>
        <row r="843">
          <cell r="AM843">
            <v>0</v>
          </cell>
          <cell r="AP843" t="e">
            <v>#N/A</v>
          </cell>
          <cell r="AQ843" t="e">
            <v>#N/A</v>
          </cell>
          <cell r="AR843" t="str">
            <v>$</v>
          </cell>
          <cell r="AS843" t="e">
            <v>#N/A</v>
          </cell>
          <cell r="AW843">
            <v>0</v>
          </cell>
          <cell r="AY843" t="str">
            <v>NB</v>
          </cell>
        </row>
        <row r="844">
          <cell r="AM844">
            <v>0</v>
          </cell>
          <cell r="AP844" t="e">
            <v>#N/A</v>
          </cell>
          <cell r="AQ844" t="e">
            <v>#N/A</v>
          </cell>
          <cell r="AR844" t="str">
            <v>$</v>
          </cell>
          <cell r="AS844" t="e">
            <v>#N/A</v>
          </cell>
          <cell r="AW844">
            <v>0</v>
          </cell>
          <cell r="AY844" t="str">
            <v>NB</v>
          </cell>
        </row>
        <row r="845">
          <cell r="AM845">
            <v>0</v>
          </cell>
          <cell r="AP845" t="e">
            <v>#N/A</v>
          </cell>
          <cell r="AQ845" t="e">
            <v>#N/A</v>
          </cell>
          <cell r="AR845" t="str">
            <v>$</v>
          </cell>
          <cell r="AS845" t="e">
            <v>#N/A</v>
          </cell>
          <cell r="AW845">
            <v>0</v>
          </cell>
          <cell r="AY845" t="str">
            <v>NB</v>
          </cell>
        </row>
        <row r="846">
          <cell r="AM846">
            <v>0</v>
          </cell>
          <cell r="AP846" t="e">
            <v>#N/A</v>
          </cell>
          <cell r="AQ846" t="e">
            <v>#N/A</v>
          </cell>
          <cell r="AR846" t="str">
            <v>$</v>
          </cell>
          <cell r="AS846" t="e">
            <v>#N/A</v>
          </cell>
          <cell r="AW846">
            <v>0</v>
          </cell>
          <cell r="AY846" t="str">
            <v>NB</v>
          </cell>
        </row>
        <row r="847">
          <cell r="AM847">
            <v>0</v>
          </cell>
          <cell r="AP847">
            <v>0</v>
          </cell>
          <cell r="AQ847">
            <v>0</v>
          </cell>
          <cell r="AR847" t="str">
            <v>$</v>
          </cell>
          <cell r="AS847">
            <v>0</v>
          </cell>
          <cell r="AW847">
            <v>0</v>
          </cell>
          <cell r="AY847" t="str">
            <v>NB</v>
          </cell>
        </row>
        <row r="848">
          <cell r="AM848">
            <v>0</v>
          </cell>
          <cell r="AP848" t="e">
            <v>#N/A</v>
          </cell>
          <cell r="AQ848" t="e">
            <v>#N/A</v>
          </cell>
          <cell r="AR848" t="str">
            <v>$</v>
          </cell>
          <cell r="AS848" t="e">
            <v>#N/A</v>
          </cell>
          <cell r="AW848">
            <v>0</v>
          </cell>
          <cell r="AY848" t="str">
            <v>NB</v>
          </cell>
        </row>
        <row r="849">
          <cell r="AM849">
            <v>0</v>
          </cell>
          <cell r="AP849">
            <v>0</v>
          </cell>
          <cell r="AQ849">
            <v>0</v>
          </cell>
          <cell r="AR849" t="str">
            <v>$</v>
          </cell>
          <cell r="AS849">
            <v>0</v>
          </cell>
          <cell r="AW849">
            <v>0</v>
          </cell>
          <cell r="AY849" t="str">
            <v>NB</v>
          </cell>
        </row>
        <row r="850">
          <cell r="AM850">
            <v>0</v>
          </cell>
          <cell r="AP850" t="e">
            <v>#N/A</v>
          </cell>
          <cell r="AQ850" t="e">
            <v>#N/A</v>
          </cell>
          <cell r="AR850" t="str">
            <v>$</v>
          </cell>
          <cell r="AS850" t="e">
            <v>#N/A</v>
          </cell>
          <cell r="AW850">
            <v>0</v>
          </cell>
          <cell r="AY850" t="str">
            <v>NB</v>
          </cell>
        </row>
        <row r="851">
          <cell r="AM851">
            <v>0</v>
          </cell>
          <cell r="AP851">
            <v>0</v>
          </cell>
          <cell r="AQ851">
            <v>0</v>
          </cell>
          <cell r="AR851" t="str">
            <v>$</v>
          </cell>
          <cell r="AS851">
            <v>0</v>
          </cell>
          <cell r="AW851">
            <v>0</v>
          </cell>
          <cell r="AY851" t="str">
            <v>NB</v>
          </cell>
        </row>
        <row r="852">
          <cell r="AM852">
            <v>0</v>
          </cell>
          <cell r="AP852" t="e">
            <v>#N/A</v>
          </cell>
          <cell r="AQ852" t="e">
            <v>#N/A</v>
          </cell>
          <cell r="AR852" t="str">
            <v>$</v>
          </cell>
          <cell r="AS852" t="e">
            <v>#N/A</v>
          </cell>
          <cell r="AW852">
            <v>0</v>
          </cell>
          <cell r="AY852" t="str">
            <v>NB</v>
          </cell>
        </row>
        <row r="853">
          <cell r="AM853">
            <v>0</v>
          </cell>
          <cell r="AP853" t="e">
            <v>#N/A</v>
          </cell>
          <cell r="AQ853" t="e">
            <v>#N/A</v>
          </cell>
          <cell r="AR853" t="str">
            <v>$</v>
          </cell>
          <cell r="AS853" t="e">
            <v>#N/A</v>
          </cell>
          <cell r="AW853">
            <v>0</v>
          </cell>
          <cell r="AY853" t="str">
            <v>NB</v>
          </cell>
        </row>
        <row r="854">
          <cell r="AM854">
            <v>0</v>
          </cell>
          <cell r="AP854" t="e">
            <v>#N/A</v>
          </cell>
          <cell r="AQ854" t="e">
            <v>#N/A</v>
          </cell>
          <cell r="AR854" t="str">
            <v>$</v>
          </cell>
          <cell r="AS854" t="e">
            <v>#N/A</v>
          </cell>
          <cell r="AW854">
            <v>0</v>
          </cell>
          <cell r="AY854" t="str">
            <v>NB</v>
          </cell>
        </row>
        <row r="855">
          <cell r="AM855">
            <v>0</v>
          </cell>
          <cell r="AP855">
            <v>0</v>
          </cell>
          <cell r="AQ855">
            <v>0</v>
          </cell>
          <cell r="AR855" t="str">
            <v>$</v>
          </cell>
          <cell r="AS855">
            <v>0</v>
          </cell>
          <cell r="AW855">
            <v>0</v>
          </cell>
          <cell r="AY855" t="str">
            <v>NB</v>
          </cell>
        </row>
        <row r="856">
          <cell r="AM856">
            <v>0</v>
          </cell>
          <cell r="AP856" t="e">
            <v>#N/A</v>
          </cell>
          <cell r="AQ856" t="e">
            <v>#N/A</v>
          </cell>
          <cell r="AR856" t="str">
            <v>$</v>
          </cell>
          <cell r="AS856" t="e">
            <v>#N/A</v>
          </cell>
          <cell r="AW856">
            <v>0</v>
          </cell>
          <cell r="AY856" t="str">
            <v>NB</v>
          </cell>
        </row>
        <row r="857">
          <cell r="AM857">
            <v>0</v>
          </cell>
          <cell r="AP857" t="e">
            <v>#N/A</v>
          </cell>
          <cell r="AQ857" t="e">
            <v>#N/A</v>
          </cell>
          <cell r="AR857" t="str">
            <v>$</v>
          </cell>
          <cell r="AS857" t="e">
            <v>#N/A</v>
          </cell>
          <cell r="AW857">
            <v>0</v>
          </cell>
          <cell r="AY857" t="str">
            <v>NB</v>
          </cell>
        </row>
        <row r="858">
          <cell r="AM858">
            <v>0</v>
          </cell>
          <cell r="AP858">
            <v>0</v>
          </cell>
          <cell r="AQ858">
            <v>0</v>
          </cell>
          <cell r="AR858" t="str">
            <v>$</v>
          </cell>
          <cell r="AS858">
            <v>0</v>
          </cell>
          <cell r="AW858">
            <v>0</v>
          </cell>
          <cell r="AY858" t="str">
            <v>NB</v>
          </cell>
        </row>
        <row r="859">
          <cell r="AM859">
            <v>0</v>
          </cell>
          <cell r="AP859" t="e">
            <v>#N/A</v>
          </cell>
          <cell r="AQ859" t="e">
            <v>#N/A</v>
          </cell>
          <cell r="AR859" t="str">
            <v>$</v>
          </cell>
          <cell r="AS859" t="e">
            <v>#N/A</v>
          </cell>
          <cell r="AW859">
            <v>0</v>
          </cell>
          <cell r="AY859" t="str">
            <v>NB</v>
          </cell>
        </row>
        <row r="860">
          <cell r="AM860">
            <v>0</v>
          </cell>
          <cell r="AP860" t="e">
            <v>#N/A</v>
          </cell>
          <cell r="AQ860" t="e">
            <v>#N/A</v>
          </cell>
          <cell r="AR860" t="str">
            <v>$</v>
          </cell>
          <cell r="AS860" t="e">
            <v>#N/A</v>
          </cell>
          <cell r="AW860">
            <v>0</v>
          </cell>
          <cell r="AY860" t="str">
            <v>NB</v>
          </cell>
        </row>
        <row r="861">
          <cell r="AM861">
            <v>0</v>
          </cell>
          <cell r="AP861" t="e">
            <v>#N/A</v>
          </cell>
          <cell r="AQ861" t="e">
            <v>#N/A</v>
          </cell>
          <cell r="AR861" t="str">
            <v>$</v>
          </cell>
          <cell r="AS861" t="e">
            <v>#N/A</v>
          </cell>
          <cell r="AW861">
            <v>0</v>
          </cell>
          <cell r="AY861" t="str">
            <v>NB</v>
          </cell>
        </row>
        <row r="862">
          <cell r="AM862">
            <v>0</v>
          </cell>
          <cell r="AP862" t="e">
            <v>#N/A</v>
          </cell>
          <cell r="AQ862" t="e">
            <v>#N/A</v>
          </cell>
          <cell r="AR862" t="str">
            <v>$</v>
          </cell>
          <cell r="AS862" t="e">
            <v>#N/A</v>
          </cell>
          <cell r="AW862">
            <v>0</v>
          </cell>
          <cell r="AY862" t="str">
            <v>NB</v>
          </cell>
        </row>
        <row r="863">
          <cell r="AM863">
            <v>0</v>
          </cell>
          <cell r="AP863" t="e">
            <v>#N/A</v>
          </cell>
          <cell r="AQ863" t="e">
            <v>#N/A</v>
          </cell>
          <cell r="AR863" t="str">
            <v>$</v>
          </cell>
          <cell r="AS863" t="e">
            <v>#N/A</v>
          </cell>
          <cell r="AW863">
            <v>0</v>
          </cell>
          <cell r="AY863" t="str">
            <v>NB</v>
          </cell>
        </row>
        <row r="864">
          <cell r="AM864">
            <v>0</v>
          </cell>
          <cell r="AP864" t="str">
            <v>Véhicules neufs</v>
          </cell>
          <cell r="AQ864" t="str">
            <v>Rev. Finances</v>
          </cell>
          <cell r="AR864" t="str">
            <v>$</v>
          </cell>
          <cell r="AS864" t="str">
            <v>Oui</v>
          </cell>
          <cell r="AW864">
            <v>0</v>
          </cell>
          <cell r="AY864" t="str">
            <v>NB</v>
          </cell>
        </row>
        <row r="865">
          <cell r="AM865">
            <v>0</v>
          </cell>
          <cell r="AP865" t="e">
            <v>#N/A</v>
          </cell>
          <cell r="AQ865" t="e">
            <v>#N/A</v>
          </cell>
          <cell r="AR865" t="str">
            <v>$</v>
          </cell>
          <cell r="AS865" t="e">
            <v>#N/A</v>
          </cell>
          <cell r="AW865">
            <v>0</v>
          </cell>
          <cell r="AY865" t="str">
            <v>NB</v>
          </cell>
        </row>
        <row r="866">
          <cell r="AM866">
            <v>-3049.0200000000041</v>
          </cell>
          <cell r="AP866" t="str">
            <v>Véhicules neufs</v>
          </cell>
          <cell r="AQ866" t="str">
            <v>Rev. Protections</v>
          </cell>
          <cell r="AR866" t="str">
            <v>$</v>
          </cell>
          <cell r="AS866" t="str">
            <v>Oui</v>
          </cell>
          <cell r="AW866">
            <v>0</v>
          </cell>
          <cell r="AY866" t="str">
            <v>NB</v>
          </cell>
        </row>
        <row r="867">
          <cell r="AM867">
            <v>0</v>
          </cell>
          <cell r="AP867" t="e">
            <v>#N/A</v>
          </cell>
          <cell r="AQ867" t="e">
            <v>#N/A</v>
          </cell>
          <cell r="AR867" t="str">
            <v>$</v>
          </cell>
          <cell r="AS867" t="e">
            <v>#N/A</v>
          </cell>
          <cell r="AW867">
            <v>0</v>
          </cell>
          <cell r="AY867" t="str">
            <v>NB</v>
          </cell>
        </row>
        <row r="868">
          <cell r="AM868">
            <v>-4642.3899999999994</v>
          </cell>
          <cell r="AP868" t="str">
            <v>Véhicules usagés</v>
          </cell>
          <cell r="AQ868" t="str">
            <v>Rev. Finances</v>
          </cell>
          <cell r="AR868" t="str">
            <v>$</v>
          </cell>
          <cell r="AS868" t="str">
            <v>Oui</v>
          </cell>
          <cell r="AW868">
            <v>4</v>
          </cell>
          <cell r="AY868" t="str">
            <v>NB</v>
          </cell>
        </row>
        <row r="869">
          <cell r="AM869">
            <v>0</v>
          </cell>
          <cell r="AP869" t="e">
            <v>#N/A</v>
          </cell>
          <cell r="AQ869" t="e">
            <v>#N/A</v>
          </cell>
          <cell r="AR869" t="str">
            <v>$</v>
          </cell>
          <cell r="AS869" t="e">
            <v>#N/A</v>
          </cell>
          <cell r="AW869">
            <v>0</v>
          </cell>
          <cell r="AY869" t="str">
            <v>NB</v>
          </cell>
        </row>
        <row r="870">
          <cell r="AM870">
            <v>0</v>
          </cell>
          <cell r="AP870" t="str">
            <v>Véhicules usagés</v>
          </cell>
          <cell r="AQ870" t="str">
            <v>Rev. Protections</v>
          </cell>
          <cell r="AR870" t="str">
            <v>$</v>
          </cell>
          <cell r="AS870" t="str">
            <v>Oui</v>
          </cell>
          <cell r="AW870">
            <v>0</v>
          </cell>
          <cell r="AY870" t="str">
            <v>NB</v>
          </cell>
        </row>
        <row r="871">
          <cell r="AM871">
            <v>0</v>
          </cell>
          <cell r="AP871" t="e">
            <v>#N/A</v>
          </cell>
          <cell r="AQ871" t="e">
            <v>#N/A</v>
          </cell>
          <cell r="AR871" t="str">
            <v>$</v>
          </cell>
          <cell r="AS871" t="e">
            <v>#N/A</v>
          </cell>
          <cell r="AW871">
            <v>0</v>
          </cell>
          <cell r="AY871" t="str">
            <v>NB</v>
          </cell>
        </row>
        <row r="872">
          <cell r="AM872">
            <v>0</v>
          </cell>
          <cell r="AP872" t="e">
            <v>#N/A</v>
          </cell>
          <cell r="AQ872" t="e">
            <v>#N/A</v>
          </cell>
          <cell r="AR872" t="str">
            <v>$</v>
          </cell>
          <cell r="AS872" t="e">
            <v>#N/A</v>
          </cell>
          <cell r="AW872">
            <v>0</v>
          </cell>
          <cell r="AY872" t="str">
            <v>NB</v>
          </cell>
        </row>
        <row r="873">
          <cell r="AM873">
            <v>0</v>
          </cell>
          <cell r="AP873" t="e">
            <v>#N/A</v>
          </cell>
          <cell r="AQ873" t="e">
            <v>#N/A</v>
          </cell>
          <cell r="AR873" t="str">
            <v>$</v>
          </cell>
          <cell r="AS873" t="e">
            <v>#N/A</v>
          </cell>
          <cell r="AW873">
            <v>0</v>
          </cell>
          <cell r="AY873" t="str">
            <v>NB</v>
          </cell>
        </row>
        <row r="874">
          <cell r="AM874">
            <v>0</v>
          </cell>
          <cell r="AP874" t="e">
            <v>#N/A</v>
          </cell>
          <cell r="AQ874" t="e">
            <v>#N/A</v>
          </cell>
          <cell r="AR874" t="str">
            <v>$</v>
          </cell>
          <cell r="AS874" t="e">
            <v>#N/A</v>
          </cell>
          <cell r="AW874">
            <v>0</v>
          </cell>
          <cell r="AY874" t="str">
            <v>NB</v>
          </cell>
        </row>
        <row r="875">
          <cell r="AM875">
            <v>0</v>
          </cell>
          <cell r="AP875" t="e">
            <v>#N/A</v>
          </cell>
          <cell r="AQ875" t="e">
            <v>#N/A</v>
          </cell>
          <cell r="AR875" t="str">
            <v>$</v>
          </cell>
          <cell r="AS875" t="e">
            <v>#N/A</v>
          </cell>
          <cell r="AW875">
            <v>0</v>
          </cell>
          <cell r="AY875" t="str">
            <v>NB</v>
          </cell>
        </row>
        <row r="876">
          <cell r="AM876">
            <v>0</v>
          </cell>
          <cell r="AP876" t="e">
            <v>#N/A</v>
          </cell>
          <cell r="AQ876" t="e">
            <v>#N/A</v>
          </cell>
          <cell r="AR876" t="str">
            <v>$</v>
          </cell>
          <cell r="AS876" t="e">
            <v>#N/A</v>
          </cell>
          <cell r="AW876">
            <v>0</v>
          </cell>
          <cell r="AY876" t="str">
            <v>NB</v>
          </cell>
        </row>
        <row r="877">
          <cell r="AM877">
            <v>0</v>
          </cell>
          <cell r="AP877" t="e">
            <v>#N/A</v>
          </cell>
          <cell r="AQ877" t="e">
            <v>#N/A</v>
          </cell>
          <cell r="AR877" t="str">
            <v>$</v>
          </cell>
          <cell r="AS877" t="e">
            <v>#N/A</v>
          </cell>
          <cell r="AW877">
            <v>0</v>
          </cell>
          <cell r="AY877" t="str">
            <v>NB</v>
          </cell>
        </row>
        <row r="878">
          <cell r="AM878">
            <v>0</v>
          </cell>
          <cell r="AP878" t="e">
            <v>#N/A</v>
          </cell>
          <cell r="AQ878" t="e">
            <v>#N/A</v>
          </cell>
          <cell r="AR878" t="str">
            <v>$</v>
          </cell>
          <cell r="AS878" t="e">
            <v>#N/A</v>
          </cell>
          <cell r="AW878">
            <v>0</v>
          </cell>
          <cell r="AY878" t="str">
            <v>NB</v>
          </cell>
        </row>
        <row r="879">
          <cell r="AM879">
            <v>0</v>
          </cell>
          <cell r="AP879" t="e">
            <v>#N/A</v>
          </cell>
          <cell r="AQ879" t="e">
            <v>#N/A</v>
          </cell>
          <cell r="AR879" t="str">
            <v>$</v>
          </cell>
          <cell r="AS879" t="e">
            <v>#N/A</v>
          </cell>
          <cell r="AW879">
            <v>0</v>
          </cell>
          <cell r="AY879" t="str">
            <v>NB</v>
          </cell>
        </row>
        <row r="880">
          <cell r="AM880">
            <v>0</v>
          </cell>
          <cell r="AP880">
            <v>0</v>
          </cell>
          <cell r="AQ880">
            <v>0</v>
          </cell>
          <cell r="AR880" t="str">
            <v>$</v>
          </cell>
          <cell r="AS880">
            <v>0</v>
          </cell>
          <cell r="AW880">
            <v>0</v>
          </cell>
          <cell r="AY880" t="str">
            <v>NB</v>
          </cell>
        </row>
        <row r="881">
          <cell r="AM881">
            <v>0</v>
          </cell>
          <cell r="AP881" t="e">
            <v>#N/A</v>
          </cell>
          <cell r="AQ881" t="e">
            <v>#N/A</v>
          </cell>
          <cell r="AR881" t="str">
            <v>$</v>
          </cell>
          <cell r="AS881" t="e">
            <v>#N/A</v>
          </cell>
          <cell r="AW881">
            <v>0</v>
          </cell>
          <cell r="AY881" t="str">
            <v>NB</v>
          </cell>
        </row>
        <row r="882">
          <cell r="AM882">
            <v>0</v>
          </cell>
          <cell r="AP882">
            <v>0</v>
          </cell>
          <cell r="AQ882">
            <v>0</v>
          </cell>
          <cell r="AR882" t="str">
            <v>$</v>
          </cell>
          <cell r="AS882">
            <v>0</v>
          </cell>
          <cell r="AW882">
            <v>0</v>
          </cell>
          <cell r="AY882" t="str">
            <v>NB</v>
          </cell>
        </row>
        <row r="883">
          <cell r="AM883">
            <v>0</v>
          </cell>
          <cell r="AP883" t="e">
            <v>#N/A</v>
          </cell>
          <cell r="AQ883" t="e">
            <v>#N/A</v>
          </cell>
          <cell r="AR883" t="str">
            <v>$</v>
          </cell>
          <cell r="AS883" t="e">
            <v>#N/A</v>
          </cell>
          <cell r="AW883">
            <v>0</v>
          </cell>
          <cell r="AY883" t="str">
            <v>NB</v>
          </cell>
        </row>
        <row r="884">
          <cell r="AM884">
            <v>17003.090000000011</v>
          </cell>
          <cell r="AP884" t="str">
            <v>Véhicules neufs</v>
          </cell>
          <cell r="AQ884" t="str">
            <v>Comm. F&amp;I</v>
          </cell>
          <cell r="AR884" t="str">
            <v>$</v>
          </cell>
          <cell r="AS884">
            <v>0</v>
          </cell>
          <cell r="AW884">
            <v>0</v>
          </cell>
          <cell r="AY884" t="str">
            <v>NB</v>
          </cell>
        </row>
        <row r="885">
          <cell r="AM885">
            <v>0</v>
          </cell>
          <cell r="AP885" t="e">
            <v>#N/A</v>
          </cell>
          <cell r="AQ885" t="e">
            <v>#N/A</v>
          </cell>
          <cell r="AR885" t="str">
            <v>$</v>
          </cell>
          <cell r="AS885" t="e">
            <v>#N/A</v>
          </cell>
          <cell r="AW885">
            <v>0</v>
          </cell>
          <cell r="AY885" t="str">
            <v>NB</v>
          </cell>
        </row>
        <row r="886">
          <cell r="AM886">
            <v>4176.2299999999996</v>
          </cell>
          <cell r="AP886" t="str">
            <v>Véhicules usagés</v>
          </cell>
          <cell r="AQ886" t="str">
            <v>Comm. F&amp;I</v>
          </cell>
          <cell r="AR886" t="str">
            <v>$</v>
          </cell>
          <cell r="AS886">
            <v>0</v>
          </cell>
          <cell r="AW886">
            <v>0</v>
          </cell>
          <cell r="AY886" t="str">
            <v>NB</v>
          </cell>
        </row>
        <row r="887">
          <cell r="AM887">
            <v>0</v>
          </cell>
          <cell r="AP887" t="e">
            <v>#N/A</v>
          </cell>
          <cell r="AQ887" t="e">
            <v>#N/A</v>
          </cell>
          <cell r="AR887" t="str">
            <v>$</v>
          </cell>
          <cell r="AS887" t="e">
            <v>#N/A</v>
          </cell>
          <cell r="AW887">
            <v>0</v>
          </cell>
          <cell r="AY887" t="str">
            <v>NB</v>
          </cell>
        </row>
        <row r="888">
          <cell r="AM888">
            <v>0</v>
          </cell>
          <cell r="AP888" t="e">
            <v>#N/A</v>
          </cell>
          <cell r="AQ888" t="e">
            <v>#N/A</v>
          </cell>
          <cell r="AR888" t="str">
            <v>$</v>
          </cell>
          <cell r="AS888" t="e">
            <v>#N/A</v>
          </cell>
          <cell r="AW888">
            <v>0</v>
          </cell>
          <cell r="AY888" t="str">
            <v>NB</v>
          </cell>
        </row>
        <row r="889">
          <cell r="AM889">
            <v>0</v>
          </cell>
          <cell r="AP889" t="e">
            <v>#N/A</v>
          </cell>
          <cell r="AQ889" t="e">
            <v>#N/A</v>
          </cell>
          <cell r="AR889" t="str">
            <v>$</v>
          </cell>
          <cell r="AS889" t="e">
            <v>#N/A</v>
          </cell>
          <cell r="AW889">
            <v>0</v>
          </cell>
          <cell r="AY889" t="str">
            <v>NB</v>
          </cell>
        </row>
        <row r="890">
          <cell r="AM890">
            <v>0</v>
          </cell>
          <cell r="AP890">
            <v>0</v>
          </cell>
          <cell r="AQ890">
            <v>0</v>
          </cell>
          <cell r="AR890" t="str">
            <v>$</v>
          </cell>
          <cell r="AS890">
            <v>0</v>
          </cell>
          <cell r="AW890">
            <v>0</v>
          </cell>
          <cell r="AY890" t="str">
            <v>NB</v>
          </cell>
        </row>
        <row r="891">
          <cell r="AM891">
            <v>0</v>
          </cell>
          <cell r="AP891" t="e">
            <v>#N/A</v>
          </cell>
          <cell r="AQ891" t="e">
            <v>#N/A</v>
          </cell>
          <cell r="AR891" t="str">
            <v>$</v>
          </cell>
          <cell r="AS891" t="e">
            <v>#N/A</v>
          </cell>
          <cell r="AW891">
            <v>0</v>
          </cell>
          <cell r="AY891" t="str">
            <v>NB</v>
          </cell>
        </row>
        <row r="892">
          <cell r="AM892">
            <v>0</v>
          </cell>
          <cell r="AP892" t="e">
            <v>#N/A</v>
          </cell>
          <cell r="AQ892" t="e">
            <v>#N/A</v>
          </cell>
          <cell r="AR892" t="str">
            <v>$</v>
          </cell>
          <cell r="AS892" t="e">
            <v>#N/A</v>
          </cell>
          <cell r="AW892">
            <v>0</v>
          </cell>
          <cell r="AY892" t="str">
            <v>NB</v>
          </cell>
        </row>
        <row r="893">
          <cell r="AM893">
            <v>-139962.32</v>
          </cell>
          <cell r="AP893" t="str">
            <v>TOTAL DES REVENUS ET DÉPENSES</v>
          </cell>
          <cell r="AQ893" t="str">
            <v>Revenus autres</v>
          </cell>
          <cell r="AR893" t="str">
            <v>$</v>
          </cell>
          <cell r="AS893">
            <v>0</v>
          </cell>
          <cell r="AW893">
            <v>-2</v>
          </cell>
          <cell r="AY893" t="str">
            <v>NB</v>
          </cell>
        </row>
        <row r="894">
          <cell r="AM894">
            <v>-26831.50999999998</v>
          </cell>
          <cell r="AP894" t="str">
            <v>Véhicules neufs</v>
          </cell>
          <cell r="AQ894" t="str">
            <v>Programme Excellence</v>
          </cell>
          <cell r="AR894" t="str">
            <v>$</v>
          </cell>
          <cell r="AS894">
            <v>0</v>
          </cell>
          <cell r="AW894">
            <v>1</v>
          </cell>
          <cell r="AY894" t="str">
            <v>NB</v>
          </cell>
        </row>
        <row r="895">
          <cell r="AM895">
            <v>0</v>
          </cell>
          <cell r="AP895" t="e">
            <v>#N/A</v>
          </cell>
          <cell r="AQ895" t="e">
            <v>#N/A</v>
          </cell>
          <cell r="AR895" t="str">
            <v>$</v>
          </cell>
          <cell r="AS895" t="e">
            <v>#N/A</v>
          </cell>
          <cell r="AW895">
            <v>0</v>
          </cell>
          <cell r="AY895" t="str">
            <v>NB</v>
          </cell>
        </row>
        <row r="896">
          <cell r="AM896">
            <v>0</v>
          </cell>
          <cell r="AP896" t="e">
            <v>#N/A</v>
          </cell>
          <cell r="AQ896" t="e">
            <v>#N/A</v>
          </cell>
          <cell r="AR896" t="str">
            <v>$</v>
          </cell>
          <cell r="AS896" t="e">
            <v>#N/A</v>
          </cell>
          <cell r="AW896">
            <v>0</v>
          </cell>
          <cell r="AY896" t="str">
            <v>NB</v>
          </cell>
        </row>
        <row r="897">
          <cell r="AM897">
            <v>-19.440000000000055</v>
          </cell>
          <cell r="AP897" t="str">
            <v>TOTAL DES REVENUS ET DÉPENSES</v>
          </cell>
          <cell r="AQ897" t="str">
            <v>Revenus autres</v>
          </cell>
          <cell r="AR897" t="str">
            <v>$</v>
          </cell>
          <cell r="AS897">
            <v>0</v>
          </cell>
          <cell r="AW897">
            <v>0</v>
          </cell>
          <cell r="AY897" t="str">
            <v>NB</v>
          </cell>
        </row>
        <row r="898">
          <cell r="AM898">
            <v>0</v>
          </cell>
          <cell r="AP898" t="e">
            <v>#N/A</v>
          </cell>
          <cell r="AQ898" t="e">
            <v>#N/A</v>
          </cell>
          <cell r="AR898" t="str">
            <v>$</v>
          </cell>
          <cell r="AS898" t="e">
            <v>#N/A</v>
          </cell>
          <cell r="AW898">
            <v>0</v>
          </cell>
          <cell r="AY898" t="str">
            <v>NB</v>
          </cell>
        </row>
        <row r="899">
          <cell r="AM899">
            <v>0</v>
          </cell>
          <cell r="AP899" t="str">
            <v>Wholesale autres</v>
          </cell>
          <cell r="AQ899" t="str">
            <v>Frais de livraison</v>
          </cell>
          <cell r="AR899" t="str">
            <v>$</v>
          </cell>
          <cell r="AS899">
            <v>0</v>
          </cell>
          <cell r="AW899">
            <v>0</v>
          </cell>
          <cell r="AY899" t="str">
            <v>NB</v>
          </cell>
        </row>
      </sheetData>
      <sheetData sheetId="16"/>
      <sheetData sheetId="1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3:Q13"/>
  <sheetViews>
    <sheetView workbookViewId="0">
      <selection activeCell="C4" sqref="C4"/>
    </sheetView>
  </sheetViews>
  <sheetFormatPr baseColWidth="10" defaultRowHeight="13.8"/>
  <cols>
    <col min="1" max="1" width="14.8984375" customWidth="1"/>
    <col min="2" max="2" width="15.5" bestFit="1" customWidth="1"/>
    <col min="3" max="3" width="12.09765625" customWidth="1"/>
    <col min="4" max="5" width="11.09765625" customWidth="1"/>
    <col min="6" max="6" width="11.5" hidden="1" customWidth="1"/>
    <col min="7" max="7" width="12.59765625" hidden="1" customWidth="1"/>
    <col min="8" max="9" width="11" hidden="1" customWidth="1"/>
    <col min="10" max="10" width="11.5" bestFit="1" customWidth="1"/>
    <col min="11" max="11" width="11.69921875" customWidth="1"/>
    <col min="12" max="12" width="11" customWidth="1"/>
    <col min="14" max="14" width="11.5" bestFit="1" customWidth="1"/>
  </cols>
  <sheetData>
    <row r="3" spans="1:17">
      <c r="B3" t="s">
        <v>205</v>
      </c>
      <c r="C3" s="234" t="s">
        <v>505</v>
      </c>
      <c r="P3" s="235"/>
      <c r="Q3" s="236"/>
    </row>
    <row r="5" spans="1:17" s="214" customFormat="1" ht="16.5" customHeight="1"/>
    <row r="6" spans="1:17" s="214" customFormat="1" ht="16.5" customHeight="1">
      <c r="B6" s="396" t="s">
        <v>197</v>
      </c>
      <c r="C6" s="396"/>
      <c r="D6" s="396"/>
      <c r="E6" s="396"/>
      <c r="F6" s="397" t="s">
        <v>198</v>
      </c>
      <c r="G6" s="397"/>
      <c r="H6" s="397"/>
      <c r="I6" s="397"/>
      <c r="J6" s="398" t="s">
        <v>199</v>
      </c>
      <c r="K6" s="398"/>
      <c r="L6" s="398"/>
      <c r="M6" s="398"/>
      <c r="N6" s="399" t="s">
        <v>200</v>
      </c>
      <c r="O6" s="399"/>
      <c r="P6" s="399"/>
      <c r="Q6" s="399"/>
    </row>
    <row r="7" spans="1:17" s="214" customFormat="1" ht="16.5" customHeight="1">
      <c r="A7"/>
      <c r="B7" s="221" t="s">
        <v>190</v>
      </c>
      <c r="C7" s="221" t="s">
        <v>191</v>
      </c>
      <c r="D7" s="221" t="s">
        <v>192</v>
      </c>
      <c r="E7" s="221" t="s">
        <v>193</v>
      </c>
      <c r="F7" s="222" t="s">
        <v>190</v>
      </c>
      <c r="G7" s="222" t="s">
        <v>191</v>
      </c>
      <c r="H7" s="222" t="s">
        <v>192</v>
      </c>
      <c r="I7" s="222" t="s">
        <v>193</v>
      </c>
      <c r="J7" s="233" t="s">
        <v>190</v>
      </c>
      <c r="K7" s="233" t="s">
        <v>191</v>
      </c>
      <c r="L7" s="233" t="s">
        <v>192</v>
      </c>
      <c r="M7" s="233" t="s">
        <v>193</v>
      </c>
      <c r="N7" s="223" t="s">
        <v>190</v>
      </c>
      <c r="O7" s="223" t="s">
        <v>191</v>
      </c>
      <c r="P7" s="223" t="s">
        <v>192</v>
      </c>
      <c r="Q7" s="223" t="s">
        <v>193</v>
      </c>
    </row>
    <row r="8" spans="1:17" s="214" customFormat="1" ht="16.5" customHeight="1">
      <c r="A8" s="213" t="s">
        <v>196</v>
      </c>
      <c r="B8" s="224">
        <f t="shared" ref="B8:Q8" si="0">+B9-B10</f>
        <v>0</v>
      </c>
      <c r="C8" s="224">
        <f t="shared" si="0"/>
        <v>0</v>
      </c>
      <c r="D8" s="224">
        <f t="shared" si="0"/>
        <v>0</v>
      </c>
      <c r="E8" s="224" t="e">
        <f t="shared" si="0"/>
        <v>#N/A</v>
      </c>
      <c r="F8" s="224">
        <f t="shared" si="0"/>
        <v>0</v>
      </c>
      <c r="G8" s="224">
        <f t="shared" si="0"/>
        <v>0</v>
      </c>
      <c r="H8" s="224">
        <f t="shared" si="0"/>
        <v>0</v>
      </c>
      <c r="I8" s="224">
        <f t="shared" si="0"/>
        <v>0</v>
      </c>
      <c r="J8" s="229">
        <f t="shared" si="0"/>
        <v>0</v>
      </c>
      <c r="K8" s="229">
        <f t="shared" si="0"/>
        <v>0</v>
      </c>
      <c r="L8" s="229">
        <f t="shared" si="0"/>
        <v>0</v>
      </c>
      <c r="M8" s="229">
        <f t="shared" si="0"/>
        <v>0</v>
      </c>
      <c r="N8" s="224">
        <f t="shared" si="0"/>
        <v>0</v>
      </c>
      <c r="O8" s="224">
        <f t="shared" si="0"/>
        <v>0</v>
      </c>
      <c r="P8" s="224">
        <f t="shared" si="0"/>
        <v>0</v>
      </c>
      <c r="Q8" s="224">
        <f t="shared" si="0"/>
        <v>0</v>
      </c>
    </row>
    <row r="9" spans="1:17" s="214" customFormat="1" ht="16.5" customHeight="1">
      <c r="A9" s="215" t="s">
        <v>194</v>
      </c>
      <c r="B9" s="217">
        <f>+Conso!$Z$406</f>
        <v>0</v>
      </c>
      <c r="C9" s="217">
        <f>+Conso!$Z$407</f>
        <v>0</v>
      </c>
      <c r="D9" s="217">
        <f>+Conso!$Z$483</f>
        <v>0</v>
      </c>
      <c r="E9" s="217" t="e">
        <f>+Conso!$Z$498</f>
        <v>#N/A</v>
      </c>
      <c r="F9" s="217">
        <f>+Conso!$AC$406</f>
        <v>0</v>
      </c>
      <c r="G9" s="217">
        <f>+Conso!$AC$407</f>
        <v>0</v>
      </c>
      <c r="H9" s="217">
        <f>+Conso!$AC$483</f>
        <v>0</v>
      </c>
      <c r="I9" s="217">
        <f>+Conso!$AC$498</f>
        <v>0</v>
      </c>
      <c r="J9" s="217">
        <f>+Conso!$AF$406</f>
        <v>0</v>
      </c>
      <c r="K9" s="217">
        <f>+Conso!$AF$407</f>
        <v>0</v>
      </c>
      <c r="L9" s="217">
        <f>+Conso!$AF$483</f>
        <v>0</v>
      </c>
      <c r="M9" s="217">
        <f>+Conso!$AF$498</f>
        <v>79425.5</v>
      </c>
      <c r="N9" s="217">
        <f>+Conso!$AL$406</f>
        <v>0</v>
      </c>
      <c r="O9" s="217">
        <f>+Conso!$AL$407</f>
        <v>0</v>
      </c>
      <c r="P9" s="217">
        <f>+Conso!$AL$483</f>
        <v>0</v>
      </c>
      <c r="Q9" s="217">
        <f>+Conso!$AL$498</f>
        <v>-68069.87</v>
      </c>
    </row>
    <row r="10" spans="1:17" s="214" customFormat="1" ht="16.5" customHeight="1">
      <c r="A10" s="216" t="s">
        <v>195</v>
      </c>
      <c r="B10" s="228">
        <f>+SUM(B11:B13)</f>
        <v>0</v>
      </c>
      <c r="C10" s="228">
        <f t="shared" ref="C10:Q10" si="1">+SUM(C11:C13)</f>
        <v>0</v>
      </c>
      <c r="D10" s="228">
        <f t="shared" si="1"/>
        <v>0</v>
      </c>
      <c r="E10" s="228" t="e">
        <f t="shared" si="1"/>
        <v>#N/A</v>
      </c>
      <c r="F10" s="228">
        <f t="shared" si="1"/>
        <v>0</v>
      </c>
      <c r="G10" s="228">
        <f t="shared" si="1"/>
        <v>0</v>
      </c>
      <c r="H10" s="228">
        <f t="shared" si="1"/>
        <v>0</v>
      </c>
      <c r="I10" s="228">
        <f t="shared" si="1"/>
        <v>0</v>
      </c>
      <c r="J10" s="228">
        <f t="shared" si="1"/>
        <v>0</v>
      </c>
      <c r="K10" s="228">
        <f t="shared" si="1"/>
        <v>0</v>
      </c>
      <c r="L10" s="228">
        <f t="shared" si="1"/>
        <v>0</v>
      </c>
      <c r="M10" s="228">
        <f t="shared" si="1"/>
        <v>79425.5</v>
      </c>
      <c r="N10" s="228">
        <f t="shared" si="1"/>
        <v>0</v>
      </c>
      <c r="O10" s="228">
        <f t="shared" si="1"/>
        <v>0</v>
      </c>
      <c r="P10" s="228">
        <f t="shared" si="1"/>
        <v>0</v>
      </c>
      <c r="Q10" s="228">
        <f t="shared" si="1"/>
        <v>-68069.87</v>
      </c>
    </row>
    <row r="11" spans="1:17" s="214" customFormat="1" ht="16.5" customHeight="1">
      <c r="A11" s="225" t="s">
        <v>202</v>
      </c>
      <c r="B11" s="218">
        <f>+'Mois 1'!$Z$406</f>
        <v>0</v>
      </c>
      <c r="C11" s="218">
        <f>+'Mois 1'!$Z$407</f>
        <v>0</v>
      </c>
      <c r="D11" s="218">
        <f>+'Mois 1'!$Z$483</f>
        <v>0</v>
      </c>
      <c r="E11" s="218">
        <f>+'Mois 1'!$Z$498</f>
        <v>0</v>
      </c>
      <c r="F11" s="218">
        <f>+'Mois 1'!$AC$406</f>
        <v>0</v>
      </c>
      <c r="G11" s="218">
        <f>+'Mois 1'!$AC$407</f>
        <v>0</v>
      </c>
      <c r="H11" s="218">
        <f>+'Mois 1'!$AC$483</f>
        <v>0</v>
      </c>
      <c r="I11" s="218">
        <f>+'Mois 1'!$AC$498</f>
        <v>0</v>
      </c>
      <c r="J11" s="230">
        <f>+'Mois 1'!$AF$406</f>
        <v>0</v>
      </c>
      <c r="K11" s="230">
        <f>+'Mois 1'!$AF$407</f>
        <v>0</v>
      </c>
      <c r="L11" s="230">
        <f>+'Mois 1'!$AF$483</f>
        <v>0</v>
      </c>
      <c r="M11" s="230">
        <f>+'Mois 1'!$AF$498</f>
        <v>54212.21</v>
      </c>
      <c r="N11" s="218">
        <f>+'Mois 1'!$AL$406</f>
        <v>0</v>
      </c>
      <c r="O11" s="218">
        <f>+'Mois 1'!$AL$407</f>
        <v>0</v>
      </c>
      <c r="P11" s="218">
        <f>+'Mois 1'!$AL$483</f>
        <v>0</v>
      </c>
      <c r="Q11" s="218">
        <f>+'Mois 1'!$AL$498</f>
        <v>-39608.479999999996</v>
      </c>
    </row>
    <row r="12" spans="1:17" s="214" customFormat="1" ht="16.5" customHeight="1">
      <c r="A12" s="226" t="s">
        <v>203</v>
      </c>
      <c r="B12" s="219">
        <f>+'Mois 2'!$Z$406</f>
        <v>0</v>
      </c>
      <c r="C12" s="219">
        <f>+'Mois 2'!$Z$407</f>
        <v>0</v>
      </c>
      <c r="D12" s="219">
        <f>+'Mois 2'!$Z$483</f>
        <v>0</v>
      </c>
      <c r="E12" s="219" t="e">
        <f>+'Mois 2'!$Z$498</f>
        <v>#N/A</v>
      </c>
      <c r="F12" s="219">
        <f>+'Mois 2'!$AC$406</f>
        <v>0</v>
      </c>
      <c r="G12" s="219">
        <f>+'Mois 2'!$AC$407</f>
        <v>0</v>
      </c>
      <c r="H12" s="219">
        <f>+'Mois 2'!$AC$483</f>
        <v>0</v>
      </c>
      <c r="I12" s="219">
        <f>+'Mois 2'!$AC$498</f>
        <v>0</v>
      </c>
      <c r="J12" s="231">
        <f>+'Mois 2'!$AF$406</f>
        <v>0</v>
      </c>
      <c r="K12" s="231">
        <f>+'Mois 2'!$AF$407</f>
        <v>0</v>
      </c>
      <c r="L12" s="231">
        <f>+'Mois 2'!$AF$483</f>
        <v>0</v>
      </c>
      <c r="M12" s="231">
        <f>+'Mois 2'!$AF$498</f>
        <v>-2581.4399999999805</v>
      </c>
      <c r="N12" s="219">
        <f>+'Mois 2'!$AL$406</f>
        <v>0</v>
      </c>
      <c r="O12" s="219">
        <f>+'Mois 2'!$AL$407</f>
        <v>0</v>
      </c>
      <c r="P12" s="219">
        <f>+'Mois 2'!$AL$483</f>
        <v>0</v>
      </c>
      <c r="Q12" s="219">
        <f>+'Mois 2'!$AL$498</f>
        <v>-22956.370000000003</v>
      </c>
    </row>
    <row r="13" spans="1:17">
      <c r="A13" s="227" t="s">
        <v>204</v>
      </c>
      <c r="B13" s="220">
        <f>+'Mois 3'!$Z$406</f>
        <v>0</v>
      </c>
      <c r="C13" s="220">
        <f>+'Mois 3'!$Z$407</f>
        <v>0</v>
      </c>
      <c r="D13" s="220">
        <f>+'Mois 3'!$Z$483</f>
        <v>0</v>
      </c>
      <c r="E13" s="220">
        <f>+'Mois 3'!$Z$498</f>
        <v>0</v>
      </c>
      <c r="F13" s="220">
        <f>+'Mois 3'!$AC$406</f>
        <v>0</v>
      </c>
      <c r="G13" s="220">
        <f>+'Mois 3'!$AC$407</f>
        <v>0</v>
      </c>
      <c r="H13" s="220">
        <f>+'Mois 3'!$AC$483</f>
        <v>0</v>
      </c>
      <c r="I13" s="220">
        <f>+'Mois 3'!$AC$498</f>
        <v>0</v>
      </c>
      <c r="J13" s="232">
        <f>+'Mois 3'!$AF$406</f>
        <v>0</v>
      </c>
      <c r="K13" s="232">
        <f>+'Mois 3'!$AF$407</f>
        <v>0</v>
      </c>
      <c r="L13" s="232">
        <f>+'Mois 3'!$AF$483</f>
        <v>0</v>
      </c>
      <c r="M13" s="232">
        <f>+'Mois 3'!$AF$498</f>
        <v>27794.729999999974</v>
      </c>
      <c r="N13" s="220">
        <f>+'Mois 3'!$AL$406</f>
        <v>0</v>
      </c>
      <c r="O13" s="220">
        <f>+'Mois 3'!$AL$407</f>
        <v>0</v>
      </c>
      <c r="P13" s="220">
        <f>+'Mois 3'!$AL$483</f>
        <v>0</v>
      </c>
      <c r="Q13" s="220">
        <f>+'Mois 3'!$AL$498</f>
        <v>-5505.0199999999977</v>
      </c>
    </row>
  </sheetData>
  <mergeCells count="4">
    <mergeCell ref="B6:E6"/>
    <mergeCell ref="F6:I6"/>
    <mergeCell ref="J6:M6"/>
    <mergeCell ref="N6:Q6"/>
  </mergeCells>
  <phoneticPr fontId="2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80"/>
  <sheetViews>
    <sheetView tabSelected="1" topLeftCell="A83" zoomScale="70" zoomScaleNormal="70" workbookViewId="0">
      <selection activeCell="U462" sqref="U1:U1048576"/>
    </sheetView>
  </sheetViews>
  <sheetFormatPr baseColWidth="10" defaultColWidth="11.59765625" defaultRowHeight="15" customHeight="1"/>
  <cols>
    <col min="1" max="1" width="5.3984375" customWidth="1"/>
    <col min="2" max="2" width="22.59765625" bestFit="1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1" max="21" width="12.19921875" bestFit="1" customWidth="1"/>
    <col min="22" max="22" width="42.3984375" bestFit="1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0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</cols>
  <sheetData>
    <row r="1" spans="1:40" ht="36" thickBot="1">
      <c r="B1" s="2"/>
      <c r="C1" s="251" t="s">
        <v>219</v>
      </c>
      <c r="D1" s="252"/>
      <c r="E1" s="253"/>
      <c r="F1" s="252"/>
      <c r="G1" s="252"/>
      <c r="H1" s="254"/>
      <c r="I1" s="252"/>
      <c r="J1" s="254"/>
      <c r="K1" s="255" t="s">
        <v>0</v>
      </c>
      <c r="L1" s="252"/>
      <c r="M1" s="252"/>
      <c r="N1" s="256"/>
      <c r="O1" s="251"/>
      <c r="P1" s="257"/>
      <c r="Q1" s="251"/>
      <c r="R1" s="257"/>
      <c r="S1" s="258" t="str">
        <f>CONCATENATE("Réalisé"," ",Paramètre!$C$2," ",Paramètre!$C$3)</f>
        <v>Réalisé  Q2 2026</v>
      </c>
      <c r="T1" s="1" t="s">
        <v>1</v>
      </c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5" customHeight="1" thickTop="1" thickBot="1">
      <c r="B2" s="3"/>
      <c r="C2" s="4"/>
      <c r="D2" s="5" t="s">
        <v>2</v>
      </c>
      <c r="E2" s="5" t="s">
        <v>3</v>
      </c>
      <c r="F2" s="5" t="s">
        <v>4</v>
      </c>
      <c r="G2" s="5" t="s">
        <v>2</v>
      </c>
      <c r="H2" s="5" t="s">
        <v>3</v>
      </c>
      <c r="I2" s="5" t="s">
        <v>4</v>
      </c>
      <c r="J2" s="5"/>
      <c r="K2" s="5"/>
      <c r="L2" s="5"/>
      <c r="M2" s="6"/>
      <c r="N2" s="6"/>
      <c r="O2" s="5"/>
      <c r="P2" s="5"/>
      <c r="Q2" s="5"/>
      <c r="R2" s="6"/>
      <c r="S2" s="6"/>
      <c r="T2" s="6"/>
      <c r="U2" s="6"/>
      <c r="V2" s="393"/>
      <c r="W2" s="283"/>
    </row>
    <row r="3" spans="1:40" ht="21.6" thickTop="1">
      <c r="B3" s="7"/>
      <c r="C3" s="259"/>
      <c r="D3" s="407" t="s">
        <v>5</v>
      </c>
      <c r="E3" s="408"/>
      <c r="F3" s="406"/>
      <c r="G3" s="405" t="s">
        <v>6</v>
      </c>
      <c r="H3" s="408"/>
      <c r="I3" s="406"/>
      <c r="J3" s="405" t="s">
        <v>7</v>
      </c>
      <c r="K3" s="408"/>
      <c r="L3" s="406"/>
      <c r="M3" s="405" t="s">
        <v>211</v>
      </c>
      <c r="N3" s="406"/>
      <c r="O3" s="407" t="s">
        <v>8</v>
      </c>
      <c r="P3" s="408"/>
      <c r="Q3" s="406"/>
      <c r="R3" s="405" t="s">
        <v>212</v>
      </c>
      <c r="S3" s="406"/>
      <c r="T3" s="7"/>
      <c r="U3" s="7"/>
      <c r="V3" s="394"/>
      <c r="W3" s="285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ht="20.399999999999999">
      <c r="B4" s="7"/>
      <c r="C4" s="71"/>
      <c r="D4" s="8" t="s">
        <v>10</v>
      </c>
      <c r="E4" s="9" t="s">
        <v>11</v>
      </c>
      <c r="F4" s="10" t="s">
        <v>12</v>
      </c>
      <c r="G4" s="11" t="s">
        <v>10</v>
      </c>
      <c r="H4" s="9" t="s">
        <v>11</v>
      </c>
      <c r="I4" s="10" t="s">
        <v>12</v>
      </c>
      <c r="J4" s="11" t="s">
        <v>10</v>
      </c>
      <c r="K4" s="9" t="s">
        <v>13</v>
      </c>
      <c r="L4" s="10" t="s">
        <v>12</v>
      </c>
      <c r="M4" s="11" t="s">
        <v>213</v>
      </c>
      <c r="N4" s="10" t="s">
        <v>12</v>
      </c>
      <c r="O4" s="11" t="s">
        <v>10</v>
      </c>
      <c r="P4" s="9" t="s">
        <v>13</v>
      </c>
      <c r="Q4" s="10" t="s">
        <v>12</v>
      </c>
      <c r="R4" s="11" t="s">
        <v>10</v>
      </c>
      <c r="S4" s="10" t="s">
        <v>12</v>
      </c>
      <c r="T4" s="7"/>
      <c r="U4" s="7"/>
      <c r="V4" s="394"/>
      <c r="W4" s="285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ht="20.399999999999999">
      <c r="A5" s="260" t="str">
        <f>+B5&amp;C5</f>
        <v>Véhicules neufsVentes nettes</v>
      </c>
      <c r="B5" s="7" t="str">
        <f t="shared" ref="B5:B85" si="0">+$K$1</f>
        <v>Véhicules neufs</v>
      </c>
      <c r="C5" s="14" t="s">
        <v>14</v>
      </c>
      <c r="D5" s="12"/>
      <c r="E5" s="12"/>
      <c r="F5" s="31" t="e">
        <f>+SUM(START:END!F5)</f>
        <v>#N/A</v>
      </c>
      <c r="G5" s="12"/>
      <c r="H5" s="12"/>
      <c r="I5" s="15">
        <f>+SUM(START:END!I5)</f>
        <v>0</v>
      </c>
      <c r="J5" s="14"/>
      <c r="K5" s="30"/>
      <c r="L5" s="61">
        <f>+SUM(START:END!L5)</f>
        <v>20559481.140000001</v>
      </c>
      <c r="M5" s="17"/>
      <c r="N5" s="18"/>
      <c r="O5" s="14"/>
      <c r="P5" s="30"/>
      <c r="Q5" s="61">
        <f>+SUM(START:END!Q5)</f>
        <v>28344573.730000012</v>
      </c>
      <c r="R5" s="17"/>
      <c r="S5" s="286"/>
      <c r="T5" s="7"/>
      <c r="U5" s="7"/>
      <c r="V5" s="394"/>
      <c r="W5" s="285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ht="20.399999999999999">
      <c r="A6" s="260" t="str">
        <f t="shared" ref="A6:A85" si="1">+B6&amp;C6</f>
        <v>Véhicules neufsAutos détail</v>
      </c>
      <c r="B6" s="7" t="str">
        <f t="shared" si="0"/>
        <v>Véhicules neufs</v>
      </c>
      <c r="C6" s="26" t="s">
        <v>15</v>
      </c>
      <c r="D6" s="19" t="e">
        <f>+SUM(START:END!D6)</f>
        <v>#N/A</v>
      </c>
      <c r="E6" s="19" t="e">
        <f>IF(D6=0,0,F6/D6)</f>
        <v>#N/A</v>
      </c>
      <c r="F6" s="19" t="e">
        <f>+SUM(START:END!F6)</f>
        <v>#N/A</v>
      </c>
      <c r="G6" s="20">
        <f>+SUM(START:END!G6)</f>
        <v>0</v>
      </c>
      <c r="H6" s="19">
        <f>IF(G6=0,0,I6/G6)</f>
        <v>0</v>
      </c>
      <c r="I6" s="19">
        <f>+SUM(START:END!I6)</f>
        <v>0</v>
      </c>
      <c r="J6" s="20">
        <f>+SUM(START:END!J6)</f>
        <v>2</v>
      </c>
      <c r="K6" s="55">
        <f>IF(J6=0,0,L6/J6)</f>
        <v>6531.679999999993</v>
      </c>
      <c r="L6" s="39">
        <f>+SUM(START:END!L6)</f>
        <v>13063.359999999986</v>
      </c>
      <c r="M6" s="20" t="e">
        <f t="shared" ref="M6:M12" si="2">J6-D6</f>
        <v>#N/A</v>
      </c>
      <c r="N6" s="21" t="e">
        <f t="shared" ref="N6:N12" si="3">L6-F6</f>
        <v>#N/A</v>
      </c>
      <c r="O6" s="20">
        <f>+SUM(START:END!O6)</f>
        <v>2</v>
      </c>
      <c r="P6" s="55">
        <f>IF(O6=0,0,Q6/O6)</f>
        <v>5561</v>
      </c>
      <c r="Q6" s="39">
        <f>+SUM(START:END!Q6)</f>
        <v>11122</v>
      </c>
      <c r="R6" s="20">
        <f>J6-O6</f>
        <v>0</v>
      </c>
      <c r="S6" s="39">
        <f>L6-Q6</f>
        <v>1941.359999999986</v>
      </c>
      <c r="T6" s="7"/>
      <c r="U6" s="7"/>
      <c r="V6" s="394"/>
      <c r="W6" s="285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ht="20.399999999999999">
      <c r="A7" s="260" t="str">
        <f t="shared" si="1"/>
        <v>Véhicules neufsCamions détail</v>
      </c>
      <c r="B7" s="7" t="str">
        <f t="shared" si="0"/>
        <v>Véhicules neufs</v>
      </c>
      <c r="C7" s="26" t="s">
        <v>16</v>
      </c>
      <c r="D7" s="19" t="e">
        <f>+SUM(START:END!D7)</f>
        <v>#N/A</v>
      </c>
      <c r="E7" s="19" t="e">
        <f t="shared" ref="E7:E12" si="4">IF(D7=0,0,F7/D7)</f>
        <v>#N/A</v>
      </c>
      <c r="F7" s="19" t="e">
        <f>+SUM(START:END!F7)</f>
        <v>#N/A</v>
      </c>
      <c r="G7" s="20">
        <f>+SUM(START:END!G7)</f>
        <v>0</v>
      </c>
      <c r="H7" s="19">
        <f t="shared" ref="H7:H12" si="5">IF(G7=0,0,I7/G7)</f>
        <v>0</v>
      </c>
      <c r="I7" s="19">
        <f>+SUM(START:END!I7)</f>
        <v>0</v>
      </c>
      <c r="J7" s="20">
        <f>+SUM(START:END!J7)</f>
        <v>88</v>
      </c>
      <c r="K7" s="55">
        <f t="shared" ref="K7:K12" si="6">IF(J7=0,0,L7/J7)</f>
        <v>2402.4967045454569</v>
      </c>
      <c r="L7" s="39">
        <f>+SUM(START:END!L7)</f>
        <v>211419.7100000002</v>
      </c>
      <c r="M7" s="20" t="e">
        <f t="shared" si="2"/>
        <v>#N/A</v>
      </c>
      <c r="N7" s="21" t="e">
        <f t="shared" si="3"/>
        <v>#N/A</v>
      </c>
      <c r="O7" s="20">
        <f>+SUM(START:END!O7)</f>
        <v>164</v>
      </c>
      <c r="P7" s="55">
        <f t="shared" ref="P7:P12" si="7">IF(O7=0,0,Q7/O7)</f>
        <v>2885.1216463414735</v>
      </c>
      <c r="Q7" s="39">
        <f>+SUM(START:END!Q7)</f>
        <v>473159.95000000164</v>
      </c>
      <c r="R7" s="20">
        <f t="shared" ref="R7:R12" si="8">J7-O7</f>
        <v>-76</v>
      </c>
      <c r="S7" s="39">
        <f t="shared" ref="S7:S12" si="9">L7-Q7</f>
        <v>-261740.24000000145</v>
      </c>
      <c r="T7" s="7"/>
      <c r="U7" s="7"/>
      <c r="V7" s="394"/>
      <c r="W7" s="285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ht="21" thickBot="1">
      <c r="A8" s="260" t="str">
        <f t="shared" si="1"/>
        <v>Véhicules neufsSprinter</v>
      </c>
      <c r="B8" s="7" t="str">
        <f t="shared" si="0"/>
        <v>Véhicules neufs</v>
      </c>
      <c r="C8" s="26" t="s">
        <v>17</v>
      </c>
      <c r="D8" s="19" t="e">
        <f>+SUM(START:END!D8)</f>
        <v>#N/A</v>
      </c>
      <c r="E8" s="19" t="e">
        <f t="shared" si="4"/>
        <v>#N/A</v>
      </c>
      <c r="F8" s="19" t="e">
        <f>+SUM(START:END!F8)</f>
        <v>#N/A</v>
      </c>
      <c r="G8" s="20">
        <f>+SUM(START:END!G8)</f>
        <v>0</v>
      </c>
      <c r="H8" s="19">
        <f t="shared" si="5"/>
        <v>0</v>
      </c>
      <c r="I8" s="19">
        <f>+SUM(START:END!I8)</f>
        <v>0</v>
      </c>
      <c r="J8" s="20">
        <f>+SUM(START:END!J8)</f>
        <v>0</v>
      </c>
      <c r="K8" s="55">
        <f t="shared" si="6"/>
        <v>0</v>
      </c>
      <c r="L8" s="39">
        <f>+SUM(START:END!L8)</f>
        <v>0</v>
      </c>
      <c r="M8" s="20" t="e">
        <f t="shared" si="2"/>
        <v>#N/A</v>
      </c>
      <c r="N8" s="21" t="e">
        <f t="shared" si="3"/>
        <v>#N/A</v>
      </c>
      <c r="O8" s="20">
        <f>+SUM(START:END!O8)</f>
        <v>0</v>
      </c>
      <c r="P8" s="55">
        <f t="shared" si="7"/>
        <v>0</v>
      </c>
      <c r="Q8" s="39">
        <f>+SUM(START:END!Q8)</f>
        <v>0</v>
      </c>
      <c r="R8" s="20">
        <f t="shared" si="8"/>
        <v>0</v>
      </c>
      <c r="S8" s="39">
        <f t="shared" si="9"/>
        <v>0</v>
      </c>
      <c r="T8" s="7"/>
      <c r="U8" s="7"/>
      <c r="V8" s="395"/>
      <c r="W8" s="288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ht="21" thickTop="1">
      <c r="A9" s="260" t="str">
        <f t="shared" si="1"/>
        <v>Véhicules neufsMoto détail</v>
      </c>
      <c r="B9" s="7" t="str">
        <f t="shared" si="0"/>
        <v>Véhicules neufs</v>
      </c>
      <c r="C9" s="26" t="s">
        <v>18</v>
      </c>
      <c r="D9" s="19" t="e">
        <f>+SUM(START:END!D9)</f>
        <v>#N/A</v>
      </c>
      <c r="E9" s="19" t="e">
        <f t="shared" si="4"/>
        <v>#N/A</v>
      </c>
      <c r="F9" s="19" t="e">
        <f>+SUM(START:END!F9)</f>
        <v>#N/A</v>
      </c>
      <c r="G9" s="20">
        <f>+SUM(START:END!G9)</f>
        <v>0</v>
      </c>
      <c r="H9" s="19">
        <f t="shared" si="5"/>
        <v>0</v>
      </c>
      <c r="I9" s="19">
        <f>+SUM(START:END!I9)</f>
        <v>0</v>
      </c>
      <c r="J9" s="20">
        <f>+SUM(START:END!J9)</f>
        <v>96</v>
      </c>
      <c r="K9" s="55">
        <f t="shared" si="6"/>
        <v>1289.0710416666718</v>
      </c>
      <c r="L9" s="39">
        <f>+SUM(START:END!L9)</f>
        <v>123750.8200000005</v>
      </c>
      <c r="M9" s="20" t="e">
        <f t="shared" si="2"/>
        <v>#N/A</v>
      </c>
      <c r="N9" s="21" t="e">
        <f t="shared" si="3"/>
        <v>#N/A</v>
      </c>
      <c r="O9" s="20">
        <f>+SUM(START:END!O9)</f>
        <v>53</v>
      </c>
      <c r="P9" s="55">
        <f t="shared" si="7"/>
        <v>1144.1613207547048</v>
      </c>
      <c r="Q9" s="39">
        <f>+SUM(START:END!Q9)</f>
        <v>60640.549999999348</v>
      </c>
      <c r="R9" s="20">
        <f t="shared" si="8"/>
        <v>43</v>
      </c>
      <c r="S9" s="39">
        <f t="shared" si="9"/>
        <v>63110.270000001154</v>
      </c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ht="20.399999999999999" hidden="1" customHeight="1">
      <c r="A10" s="260" t="str">
        <f t="shared" si="1"/>
        <v>Véhicules neufs[...]</v>
      </c>
      <c r="B10" s="7" t="str">
        <f t="shared" si="0"/>
        <v>Véhicules neufs</v>
      </c>
      <c r="C10" s="26" t="s">
        <v>19</v>
      </c>
      <c r="D10" s="19" t="e">
        <f>+SUM(START:END!D10)</f>
        <v>#N/A</v>
      </c>
      <c r="E10" s="19" t="e">
        <f t="shared" si="4"/>
        <v>#N/A</v>
      </c>
      <c r="F10" s="19" t="e">
        <f>+SUM(START:END!F10)</f>
        <v>#N/A</v>
      </c>
      <c r="G10" s="20">
        <f>+SUM(START:END!G10)</f>
        <v>0</v>
      </c>
      <c r="H10" s="19">
        <f t="shared" si="5"/>
        <v>0</v>
      </c>
      <c r="I10" s="19">
        <f>+SUM(START:END!I10)</f>
        <v>0</v>
      </c>
      <c r="J10" s="20">
        <f>+SUM(START:END!J10)</f>
        <v>0</v>
      </c>
      <c r="K10" s="55">
        <f t="shared" si="6"/>
        <v>0</v>
      </c>
      <c r="L10" s="39">
        <f>+SUM(START:END!L10)</f>
        <v>0</v>
      </c>
      <c r="M10" s="20" t="e">
        <f t="shared" si="2"/>
        <v>#N/A</v>
      </c>
      <c r="N10" s="21" t="e">
        <f t="shared" si="3"/>
        <v>#N/A</v>
      </c>
      <c r="O10" s="20">
        <f>+SUM(START:END!O10)</f>
        <v>0</v>
      </c>
      <c r="P10" s="55">
        <f t="shared" si="7"/>
        <v>0</v>
      </c>
      <c r="Q10" s="39">
        <f>+SUM(START:END!Q10)</f>
        <v>0</v>
      </c>
      <c r="R10" s="20">
        <f t="shared" si="8"/>
        <v>0</v>
      </c>
      <c r="S10" s="39">
        <f t="shared" si="9"/>
        <v>0</v>
      </c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ht="20.399999999999999" hidden="1" customHeight="1">
      <c r="A11" s="260" t="str">
        <f t="shared" si="1"/>
        <v>Véhicules neufs[...]</v>
      </c>
      <c r="B11" s="7" t="str">
        <f t="shared" si="0"/>
        <v>Véhicules neufs</v>
      </c>
      <c r="C11" s="26" t="s">
        <v>19</v>
      </c>
      <c r="D11" s="19" t="e">
        <f>+SUM(START:END!D11)</f>
        <v>#N/A</v>
      </c>
      <c r="E11" s="19" t="e">
        <f t="shared" si="4"/>
        <v>#N/A</v>
      </c>
      <c r="F11" s="19" t="e">
        <f>+SUM(START:END!F11)</f>
        <v>#N/A</v>
      </c>
      <c r="G11" s="20">
        <f>+SUM(START:END!G11)</f>
        <v>0</v>
      </c>
      <c r="H11" s="19">
        <f t="shared" si="5"/>
        <v>0</v>
      </c>
      <c r="I11" s="19">
        <f>+SUM(START:END!I11)</f>
        <v>0</v>
      </c>
      <c r="J11" s="20">
        <f>+SUM(START:END!J11)</f>
        <v>0</v>
      </c>
      <c r="K11" s="55">
        <f t="shared" si="6"/>
        <v>0</v>
      </c>
      <c r="L11" s="39">
        <f>+SUM(START:END!L11)</f>
        <v>0</v>
      </c>
      <c r="M11" s="20" t="e">
        <f t="shared" si="2"/>
        <v>#N/A</v>
      </c>
      <c r="N11" s="21" t="e">
        <f t="shared" si="3"/>
        <v>#N/A</v>
      </c>
      <c r="O11" s="20">
        <f>+SUM(START:END!O11)</f>
        <v>0</v>
      </c>
      <c r="P11" s="55">
        <f t="shared" si="7"/>
        <v>0</v>
      </c>
      <c r="Q11" s="39">
        <f>+SUM(START:END!Q11)</f>
        <v>0</v>
      </c>
      <c r="R11" s="20">
        <f t="shared" si="8"/>
        <v>0</v>
      </c>
      <c r="S11" s="39">
        <f t="shared" si="9"/>
        <v>0</v>
      </c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ht="20.399999999999999" hidden="1" customHeight="1">
      <c r="A12" s="260" t="str">
        <f t="shared" si="1"/>
        <v>Véhicules neufs[...]</v>
      </c>
      <c r="B12" s="7" t="str">
        <f t="shared" si="0"/>
        <v>Véhicules neufs</v>
      </c>
      <c r="C12" s="26" t="s">
        <v>19</v>
      </c>
      <c r="D12" s="19" t="e">
        <f>+SUM(START:END!D12)</f>
        <v>#N/A</v>
      </c>
      <c r="E12" s="19" t="e">
        <f t="shared" si="4"/>
        <v>#N/A</v>
      </c>
      <c r="F12" s="19" t="e">
        <f>+SUM(START:END!F12)</f>
        <v>#N/A</v>
      </c>
      <c r="G12" s="20">
        <f>+SUM(START:END!G12)</f>
        <v>0</v>
      </c>
      <c r="H12" s="19">
        <f t="shared" si="5"/>
        <v>0</v>
      </c>
      <c r="I12" s="19">
        <f>+SUM(START:END!I12)</f>
        <v>0</v>
      </c>
      <c r="J12" s="20">
        <f>+SUM(START:END!J12)</f>
        <v>0</v>
      </c>
      <c r="K12" s="55">
        <f t="shared" si="6"/>
        <v>0</v>
      </c>
      <c r="L12" s="39">
        <f>+SUM(START:END!L12)</f>
        <v>0</v>
      </c>
      <c r="M12" s="20" t="e">
        <f t="shared" si="2"/>
        <v>#N/A</v>
      </c>
      <c r="N12" s="21" t="e">
        <f t="shared" si="3"/>
        <v>#N/A</v>
      </c>
      <c r="O12" s="20">
        <f>+SUM(START:END!O12)</f>
        <v>0</v>
      </c>
      <c r="P12" s="55">
        <f t="shared" si="7"/>
        <v>0</v>
      </c>
      <c r="Q12" s="39">
        <f>+SUM(START:END!Q12)</f>
        <v>0</v>
      </c>
      <c r="R12" s="20">
        <f t="shared" si="8"/>
        <v>0</v>
      </c>
      <c r="S12" s="39">
        <f t="shared" si="9"/>
        <v>0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ht="21">
      <c r="A13" s="260" t="str">
        <f t="shared" si="1"/>
        <v>Véhicules neufsTotal Neufs</v>
      </c>
      <c r="B13" s="7" t="str">
        <f t="shared" si="0"/>
        <v>Véhicules neufs</v>
      </c>
      <c r="C13" s="289" t="s">
        <v>20</v>
      </c>
      <c r="D13" s="22" t="e">
        <f>+SUM(D6:D12)</f>
        <v>#N/A</v>
      </c>
      <c r="E13" s="22" t="e">
        <f>IF(D13&lt;=0,0,F13/D13)</f>
        <v>#N/A</v>
      </c>
      <c r="F13" s="23" t="e">
        <f>+SUM(F6:F12)</f>
        <v>#N/A</v>
      </c>
      <c r="G13" s="24">
        <f>+SUM(G6:G12)</f>
        <v>0</v>
      </c>
      <c r="H13" s="22">
        <f>IF(G13&lt;=0,0,I13/G13)</f>
        <v>0</v>
      </c>
      <c r="I13" s="23">
        <f>+SUM(I6:I12)</f>
        <v>0</v>
      </c>
      <c r="J13" s="24">
        <f>+SUM(J6:J12)</f>
        <v>186</v>
      </c>
      <c r="K13" s="122">
        <f>IF(J13&lt;=0,0,L13/J13)</f>
        <v>1872.2252150537672</v>
      </c>
      <c r="L13" s="123">
        <f>+SUM(L6:L12)</f>
        <v>348233.89000000071</v>
      </c>
      <c r="M13" s="24" t="e">
        <f>+SUM(M6:M12)</f>
        <v>#N/A</v>
      </c>
      <c r="N13" s="23" t="e">
        <f>+SUM(N6:N12)</f>
        <v>#N/A</v>
      </c>
      <c r="O13" s="24">
        <f>+SUM(O6:O12)</f>
        <v>219</v>
      </c>
      <c r="P13" s="122">
        <f>IF(O13&lt;=0,0,Q13/O13)</f>
        <v>2488.2305936073103</v>
      </c>
      <c r="Q13" s="123">
        <f>+SUM(Q6:Q12)</f>
        <v>544922.50000000093</v>
      </c>
      <c r="R13" s="24">
        <f>+SUM(R6:R12)</f>
        <v>-33</v>
      </c>
      <c r="S13" s="123">
        <f>+SUM(S6:S12)</f>
        <v>-196688.61000000031</v>
      </c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ht="21">
      <c r="A14" s="260" t="str">
        <f t="shared" si="1"/>
        <v>Véhicules neufs</v>
      </c>
      <c r="B14" s="7" t="str">
        <f t="shared" si="0"/>
        <v>Véhicules neufs</v>
      </c>
      <c r="C14" s="52"/>
      <c r="D14" s="50"/>
      <c r="E14" s="290"/>
      <c r="F14" s="51"/>
      <c r="G14" s="52"/>
      <c r="H14" s="290"/>
      <c r="I14" s="51"/>
      <c r="J14" s="52"/>
      <c r="K14" s="74"/>
      <c r="L14" s="112"/>
      <c r="M14" s="291" t="e">
        <f>IF(D13=0,0,M13/D13)</f>
        <v>#N/A</v>
      </c>
      <c r="N14" s="292" t="e">
        <f>IF(F13=0,0,N13/F13)</f>
        <v>#N/A</v>
      </c>
      <c r="O14" s="52"/>
      <c r="P14" s="74"/>
      <c r="Q14" s="112"/>
      <c r="R14" s="291">
        <f>R13/O13</f>
        <v>-0.15068493150684931</v>
      </c>
      <c r="S14" s="28">
        <f>IF(Q13=0,0,(S13/Q13))</f>
        <v>-0.36094785955801051</v>
      </c>
      <c r="T14" s="7"/>
      <c r="U14" s="7"/>
      <c r="V14" s="7"/>
      <c r="W14" s="19"/>
      <c r="X14" s="19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ht="21">
      <c r="A15" s="260" t="str">
        <f t="shared" si="1"/>
        <v>Véhicules neufsEx-Démos et courtoisies</v>
      </c>
      <c r="B15" s="7" t="str">
        <f t="shared" si="0"/>
        <v>Véhicules neufs</v>
      </c>
      <c r="C15" s="113" t="s">
        <v>21</v>
      </c>
      <c r="D15" s="33" t="e">
        <f>+SUM(START:END!D15)</f>
        <v>#N/A</v>
      </c>
      <c r="E15" s="33" t="e">
        <f>IF(D15=0,0,F15/D15)</f>
        <v>#N/A</v>
      </c>
      <c r="F15" s="90" t="e">
        <f>+SUM(START:END!F15)</f>
        <v>#N/A</v>
      </c>
      <c r="G15" s="32">
        <f>+SUM(START:END!G15)</f>
        <v>0</v>
      </c>
      <c r="H15" s="33">
        <f>IF(G15=0,0,I15/G15)</f>
        <v>0</v>
      </c>
      <c r="I15" s="90">
        <f>+SUM(START:END!I15)</f>
        <v>0</v>
      </c>
      <c r="J15" s="34">
        <f>+SUM(START:END!J15)</f>
        <v>0</v>
      </c>
      <c r="K15" s="58">
        <f>IF(J15=0,0,L15/J15)</f>
        <v>0</v>
      </c>
      <c r="L15" s="58">
        <f>+SUM(START:END!L15)</f>
        <v>0</v>
      </c>
      <c r="M15" s="34" t="e">
        <f>J15-D15</f>
        <v>#N/A</v>
      </c>
      <c r="N15" s="31" t="e">
        <f>L15-F15</f>
        <v>#N/A</v>
      </c>
      <c r="O15" s="34">
        <f>+SUM(START:END!O15)</f>
        <v>0</v>
      </c>
      <c r="P15" s="58">
        <f>IF(O15=0,0,Q15/O15)</f>
        <v>0</v>
      </c>
      <c r="Q15" s="58">
        <f>+SUM(START:END!Q15)</f>
        <v>0</v>
      </c>
      <c r="R15" s="34">
        <f>J15-O15</f>
        <v>0</v>
      </c>
      <c r="S15" s="61">
        <f>L15-Q15</f>
        <v>0</v>
      </c>
      <c r="T15" s="7"/>
      <c r="U15" s="260"/>
      <c r="V15" s="19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ht="20.399999999999999">
      <c r="A16" s="260" t="str">
        <f t="shared" si="1"/>
        <v>Véhicules neufs</v>
      </c>
      <c r="B16" s="7" t="str">
        <f t="shared" si="0"/>
        <v>Véhicules neufs</v>
      </c>
      <c r="C16" s="26"/>
      <c r="D16" s="7"/>
      <c r="E16" s="19"/>
      <c r="F16" s="25"/>
      <c r="G16" s="26"/>
      <c r="H16" s="19"/>
      <c r="I16" s="25"/>
      <c r="J16" s="26"/>
      <c r="K16" s="55"/>
      <c r="L16" s="39"/>
      <c r="M16" s="99"/>
      <c r="N16" s="100"/>
      <c r="O16" s="26"/>
      <c r="P16" s="55"/>
      <c r="Q16" s="39"/>
      <c r="R16" s="99"/>
      <c r="S16" s="39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ht="21">
      <c r="A17" s="260" t="str">
        <f t="shared" si="1"/>
        <v>Véhicules neufsFlottes</v>
      </c>
      <c r="B17" s="7" t="str">
        <f t="shared" si="0"/>
        <v>Véhicules neufs</v>
      </c>
      <c r="C17" s="52" t="s">
        <v>22</v>
      </c>
      <c r="D17" s="290" t="e">
        <f>+SUM(START:END!D17)</f>
        <v>#N/A</v>
      </c>
      <c r="E17" s="290" t="e">
        <f>IF(D17=0,0,F17/D17)</f>
        <v>#N/A</v>
      </c>
      <c r="F17" s="290" t="e">
        <f>+SUM(START:END!F17)</f>
        <v>#N/A</v>
      </c>
      <c r="G17" s="38">
        <f>+SUM(START:END!G17)</f>
        <v>0</v>
      </c>
      <c r="H17" s="290">
        <f>IF(G17=0,0,I17/G17)</f>
        <v>0</v>
      </c>
      <c r="I17" s="290">
        <f>+SUM(START:END!I17)</f>
        <v>0</v>
      </c>
      <c r="J17" s="34">
        <f>+SUM(START:END!J17)</f>
        <v>143</v>
      </c>
      <c r="K17" s="55">
        <f>IF(J17=0,0,L17/J17)</f>
        <v>628.75951048955847</v>
      </c>
      <c r="L17" s="39">
        <f>+SUM(START:END!L17)</f>
        <v>89912.610000006855</v>
      </c>
      <c r="M17" s="34" t="e">
        <f>J17-D17</f>
        <v>#N/A</v>
      </c>
      <c r="N17" s="21" t="e">
        <f>L17-F17</f>
        <v>#N/A</v>
      </c>
      <c r="O17" s="34">
        <f>+SUM(START:END!O17)</f>
        <v>229</v>
      </c>
      <c r="P17" s="55">
        <f>IF(O17=0,0,Q17/O17)</f>
        <v>627.69668122276858</v>
      </c>
      <c r="Q17" s="39">
        <f>+SUM(START:END!Q17)</f>
        <v>143742.54000001401</v>
      </c>
      <c r="R17" s="20">
        <f>J17-O17</f>
        <v>-86</v>
      </c>
      <c r="S17" s="39">
        <f>L17-Q17</f>
        <v>-53829.930000007153</v>
      </c>
      <c r="T17" s="7"/>
      <c r="U17" s="6"/>
      <c r="V17" s="293"/>
      <c r="W17" s="7"/>
      <c r="X17" s="7"/>
      <c r="Y17" s="7"/>
      <c r="Z17" s="7"/>
      <c r="AA17" s="19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ht="21" hidden="1">
      <c r="A18" s="260" t="str">
        <f t="shared" si="1"/>
        <v>Véhicules neufs</v>
      </c>
      <c r="B18" s="7" t="str">
        <f t="shared" si="0"/>
        <v>Véhicules neufs</v>
      </c>
      <c r="C18" s="289"/>
      <c r="D18" s="35"/>
      <c r="E18" s="35"/>
      <c r="F18" s="36"/>
      <c r="G18" s="37"/>
      <c r="H18" s="35"/>
      <c r="I18" s="36"/>
      <c r="J18" s="20"/>
      <c r="K18" s="105"/>
      <c r="L18" s="72"/>
      <c r="M18" s="20"/>
      <c r="N18" s="36"/>
      <c r="O18" s="20"/>
      <c r="P18" s="105"/>
      <c r="Q18" s="72"/>
      <c r="R18" s="37"/>
      <c r="S18" s="72"/>
      <c r="T18" s="7"/>
      <c r="U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ht="21" hidden="1">
      <c r="A19" s="260" t="str">
        <f t="shared" si="1"/>
        <v>Véhicules neufsRachat bail</v>
      </c>
      <c r="B19" s="7" t="str">
        <f t="shared" si="0"/>
        <v>Véhicules neufs</v>
      </c>
      <c r="C19" s="113" t="s">
        <v>23</v>
      </c>
      <c r="D19" s="19"/>
      <c r="E19" s="19"/>
      <c r="F19" s="19">
        <f>+SUM(START:END!F19)</f>
        <v>0</v>
      </c>
      <c r="G19" s="20"/>
      <c r="H19" s="19"/>
      <c r="I19" s="19">
        <f>+SUM(START:END!I19)</f>
        <v>0</v>
      </c>
      <c r="J19" s="34"/>
      <c r="K19" s="55"/>
      <c r="L19" s="39">
        <f>+SUM(START:END!L19)</f>
        <v>0</v>
      </c>
      <c r="M19" s="20"/>
      <c r="N19" s="21">
        <f>L19-F19</f>
        <v>0</v>
      </c>
      <c r="O19" s="34"/>
      <c r="P19" s="55"/>
      <c r="Q19" s="39">
        <f>+SUM(START:END!Q19)</f>
        <v>0</v>
      </c>
      <c r="R19" s="20">
        <f>O19-K19</f>
        <v>0</v>
      </c>
      <c r="S19" s="39">
        <f>L19-Q19</f>
        <v>0</v>
      </c>
      <c r="T19" s="7"/>
      <c r="W19" s="19"/>
      <c r="X19" s="29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ht="21">
      <c r="A20" s="260" t="str">
        <f t="shared" si="1"/>
        <v>Véhicules neufs</v>
      </c>
      <c r="B20" s="7" t="str">
        <f t="shared" si="0"/>
        <v>Véhicules neufs</v>
      </c>
      <c r="C20" s="289"/>
      <c r="D20" s="35"/>
      <c r="E20" s="35"/>
      <c r="F20" s="36"/>
      <c r="G20" s="37"/>
      <c r="H20" s="35"/>
      <c r="I20" s="36"/>
      <c r="J20" s="20"/>
      <c r="K20" s="105"/>
      <c r="L20" s="72"/>
      <c r="M20" s="37"/>
      <c r="N20" s="36"/>
      <c r="O20" s="20"/>
      <c r="P20" s="105"/>
      <c r="Q20" s="72"/>
      <c r="R20" s="37"/>
      <c r="S20" s="72"/>
      <c r="T20" s="7"/>
      <c r="U20" s="7"/>
      <c r="W20" s="19"/>
      <c r="X20" s="29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ht="15.75" customHeight="1">
      <c r="A21" s="260" t="str">
        <f t="shared" si="1"/>
        <v>Véhicules neufsRev. Finances</v>
      </c>
      <c r="B21" s="7" t="str">
        <f t="shared" si="0"/>
        <v>Véhicules neufs</v>
      </c>
      <c r="C21" s="26" t="s">
        <v>24</v>
      </c>
      <c r="D21" s="19">
        <v>0</v>
      </c>
      <c r="E21" s="19">
        <f>IF(D21=0,0,F21/D21)</f>
        <v>0</v>
      </c>
      <c r="F21" s="19" t="e">
        <f>+SUM(START:END!F21)</f>
        <v>#N/A</v>
      </c>
      <c r="G21" s="20">
        <v>0</v>
      </c>
      <c r="H21" s="19">
        <f>IF(G21=0,0,I21/G21)</f>
        <v>0</v>
      </c>
      <c r="I21" s="19">
        <f>+SUM(START:END!I21)</f>
        <v>0</v>
      </c>
      <c r="J21" s="20"/>
      <c r="K21" s="55">
        <f>IF(J13=0,0,L21/(J13+J15))</f>
        <v>-1.7697849462365607</v>
      </c>
      <c r="L21" s="39">
        <f>+SUM(START:END!L21)</f>
        <v>-329.18000000000029</v>
      </c>
      <c r="M21" s="20"/>
      <c r="N21" s="21" t="e">
        <f>L21-F21</f>
        <v>#N/A</v>
      </c>
      <c r="O21" s="20"/>
      <c r="P21" s="55">
        <f>IF(O13=0,0,Q21/(O13+O15))</f>
        <v>8.0162557077625554</v>
      </c>
      <c r="Q21" s="39">
        <f>+SUM(START:END!Q21)</f>
        <v>1755.5599999999995</v>
      </c>
      <c r="R21" s="40">
        <f>O21-K21</f>
        <v>1.7697849462365607</v>
      </c>
      <c r="S21" s="39">
        <f>L21-Q21</f>
        <v>-2084.7399999999998</v>
      </c>
      <c r="T21" s="7"/>
      <c r="U21" s="7"/>
      <c r="W21" s="7"/>
      <c r="X21" s="29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ht="18" customHeight="1">
      <c r="A22" s="260" t="str">
        <f t="shared" si="1"/>
        <v>Véhicules neufsRev. Protections</v>
      </c>
      <c r="B22" s="7" t="str">
        <f t="shared" si="0"/>
        <v>Véhicules neufs</v>
      </c>
      <c r="C22" s="26" t="s">
        <v>25</v>
      </c>
      <c r="D22" s="19">
        <v>0</v>
      </c>
      <c r="E22" s="19">
        <f>IF(D22=0,0,F22/D22)</f>
        <v>0</v>
      </c>
      <c r="F22" s="19" t="e">
        <f>+SUM(START:END!F22)</f>
        <v>#N/A</v>
      </c>
      <c r="G22" s="20">
        <v>0</v>
      </c>
      <c r="H22" s="19">
        <f>IF(G22=0,0,I22/G22)</f>
        <v>0</v>
      </c>
      <c r="I22" s="19">
        <f>+SUM(START:END!I22)</f>
        <v>0</v>
      </c>
      <c r="J22" s="20"/>
      <c r="K22" s="55">
        <f>IF(J13=0,0,L22/(J13+J15))</f>
        <v>559.97274193548355</v>
      </c>
      <c r="L22" s="39">
        <f>+SUM(START:END!L22)</f>
        <v>104154.92999999995</v>
      </c>
      <c r="M22" s="20"/>
      <c r="N22" s="21" t="e">
        <f>L22-F22</f>
        <v>#N/A</v>
      </c>
      <c r="O22" s="20"/>
      <c r="P22" s="55">
        <f>IF(O13=0,0,Q22/(O13+O15))</f>
        <v>689.24917808219197</v>
      </c>
      <c r="Q22" s="39">
        <f>+SUM(START:END!Q22)</f>
        <v>150945.57000000004</v>
      </c>
      <c r="R22" s="40">
        <f>O22-K22</f>
        <v>-559.97274193548355</v>
      </c>
      <c r="S22" s="39">
        <f>L22-Q22</f>
        <v>-46790.640000000087</v>
      </c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ht="19.5" customHeight="1">
      <c r="A23" s="260" t="str">
        <f t="shared" si="1"/>
        <v>Véhicules neufsRev. Autres</v>
      </c>
      <c r="B23" s="7" t="str">
        <f t="shared" si="0"/>
        <v>Véhicules neufs</v>
      </c>
      <c r="C23" s="26" t="s">
        <v>26</v>
      </c>
      <c r="D23" s="19">
        <v>0</v>
      </c>
      <c r="E23" s="19">
        <f>IF(D23=0,0,F23/D23)</f>
        <v>0</v>
      </c>
      <c r="F23" s="19" t="e">
        <f>+SUM(START:END!F23)</f>
        <v>#N/A</v>
      </c>
      <c r="G23" s="20">
        <v>0</v>
      </c>
      <c r="H23" s="19">
        <f>IF(G23=0,0,I23/G23)</f>
        <v>0</v>
      </c>
      <c r="I23" s="19">
        <f>+SUM(START:END!I23)</f>
        <v>0</v>
      </c>
      <c r="J23" s="20"/>
      <c r="K23" s="55">
        <f>IF(J13=0,0,L23/(J13+J15))</f>
        <v>55.863655913978491</v>
      </c>
      <c r="L23" s="39">
        <f>+SUM(START:END!L23)</f>
        <v>10390.64</v>
      </c>
      <c r="M23" s="34"/>
      <c r="N23" s="21" t="e">
        <f>L23-F23</f>
        <v>#N/A</v>
      </c>
      <c r="O23" s="20"/>
      <c r="P23" s="55">
        <f>IF(O13=0,0,Q23/(O13+O15))</f>
        <v>123.58146118721461</v>
      </c>
      <c r="Q23" s="39">
        <f>+SUM(START:END!Q23)</f>
        <v>27064.34</v>
      </c>
      <c r="R23" s="40">
        <f>O23-K23</f>
        <v>-55.863655913978491</v>
      </c>
      <c r="S23" s="39">
        <f>L23-Q23</f>
        <v>-16673.7</v>
      </c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ht="18" customHeight="1">
      <c r="A24" s="260" t="str">
        <f t="shared" si="1"/>
        <v>Véhicules neufsTotal F&amp;I</v>
      </c>
      <c r="B24" s="7" t="str">
        <f t="shared" si="0"/>
        <v>Véhicules neufs</v>
      </c>
      <c r="C24" s="289" t="s">
        <v>27</v>
      </c>
      <c r="D24" s="22" t="e">
        <f>+D15+D13</f>
        <v>#N/A</v>
      </c>
      <c r="E24" s="22" t="e">
        <f>IF(D24&lt;=0,0,F24/D24)</f>
        <v>#N/A</v>
      </c>
      <c r="F24" s="23" t="e">
        <f>F21+F22+F23</f>
        <v>#N/A</v>
      </c>
      <c r="G24" s="24">
        <f>+G15+G13</f>
        <v>0</v>
      </c>
      <c r="H24" s="22">
        <f>IF(G24&lt;=0,0,I24/G24)</f>
        <v>0</v>
      </c>
      <c r="I24" s="23">
        <f>I21+I22+I23</f>
        <v>0</v>
      </c>
      <c r="J24" s="24">
        <f>+J15+J13</f>
        <v>186</v>
      </c>
      <c r="K24" s="122">
        <f>IF(J24&lt;=0,0,L24/J24)</f>
        <v>614.06661290322552</v>
      </c>
      <c r="L24" s="123">
        <f>L21+L22+L23</f>
        <v>114216.38999999994</v>
      </c>
      <c r="M24" s="38" t="e">
        <f>J24-D24</f>
        <v>#N/A</v>
      </c>
      <c r="N24" s="23" t="e">
        <f>L24-F24</f>
        <v>#N/A</v>
      </c>
      <c r="O24" s="24">
        <f>+O15+O13</f>
        <v>219</v>
      </c>
      <c r="P24" s="122">
        <f>IF(O24&lt;=0,0,Q24/O24)</f>
        <v>820.84689497716909</v>
      </c>
      <c r="Q24" s="123">
        <f>Q21+Q22+Q23</f>
        <v>179765.47000000003</v>
      </c>
      <c r="R24" s="106"/>
      <c r="S24" s="123">
        <f>L24-Q24</f>
        <v>-65549.080000000089</v>
      </c>
      <c r="T24" s="7"/>
      <c r="U24" s="19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ht="15.75" customHeight="1">
      <c r="A25" s="260" t="str">
        <f t="shared" si="1"/>
        <v>Véhicules neufs</v>
      </c>
      <c r="B25" s="7" t="str">
        <f t="shared" si="0"/>
        <v>Véhicules neufs</v>
      </c>
      <c r="C25" s="26"/>
      <c r="D25" s="7"/>
      <c r="E25" s="7"/>
      <c r="F25" s="39"/>
      <c r="G25" s="26"/>
      <c r="H25" s="7"/>
      <c r="I25" s="39"/>
      <c r="J25" s="26"/>
      <c r="K25" s="55"/>
      <c r="L25" s="39"/>
      <c r="M25" s="27"/>
      <c r="N25" s="28" t="e">
        <f>IF(N24=0,0,N24/F24)</f>
        <v>#N/A</v>
      </c>
      <c r="O25" s="26"/>
      <c r="P25" s="55"/>
      <c r="Q25" s="39"/>
      <c r="R25" s="40"/>
      <c r="S25" s="28">
        <f>IF(Q24=0,0,(S24/Q24))</f>
        <v>-0.36463665686185492</v>
      </c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ht="15.75" customHeight="1" thickBot="1">
      <c r="A26" s="260" t="str">
        <f t="shared" si="1"/>
        <v>Véhicules neufs</v>
      </c>
      <c r="B26" s="7" t="str">
        <f t="shared" si="0"/>
        <v>Véhicules neufs</v>
      </c>
      <c r="C26" s="26"/>
      <c r="D26" s="7"/>
      <c r="E26" s="7"/>
      <c r="F26" s="25"/>
      <c r="G26" s="26"/>
      <c r="H26" s="7"/>
      <c r="I26" s="25"/>
      <c r="J26" s="26"/>
      <c r="K26" s="55"/>
      <c r="L26" s="39"/>
      <c r="M26" s="26"/>
      <c r="N26" s="25"/>
      <c r="O26" s="26"/>
      <c r="P26" s="55"/>
      <c r="Q26" s="39"/>
      <c r="R26" s="40"/>
      <c r="S26" s="39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ht="18" customHeight="1" thickTop="1">
      <c r="A27" s="260" t="str">
        <f t="shared" si="1"/>
        <v>Véhicules neufsTotal Dépt. Neufs</v>
      </c>
      <c r="B27" s="7" t="str">
        <f t="shared" si="0"/>
        <v>Véhicules neufs</v>
      </c>
      <c r="C27" s="264" t="s">
        <v>28</v>
      </c>
      <c r="D27" s="41" t="e">
        <f>+D13+D15+D17</f>
        <v>#N/A</v>
      </c>
      <c r="E27" s="42" t="e">
        <f>IF(D27&lt;=0,0,F27/D27)</f>
        <v>#N/A</v>
      </c>
      <c r="F27" s="43" t="e">
        <f>F13+F17+F24+F19+F15</f>
        <v>#N/A</v>
      </c>
      <c r="G27" s="44">
        <f>+G13+G15+G17</f>
        <v>0</v>
      </c>
      <c r="H27" s="42">
        <f>IF(G27&lt;=0,0,I27/G27)</f>
        <v>0</v>
      </c>
      <c r="I27" s="43">
        <f>I13+I17+I24+I19+I15</f>
        <v>0</v>
      </c>
      <c r="J27" s="44">
        <f>+J13+J15+J17</f>
        <v>329</v>
      </c>
      <c r="K27" s="41">
        <f>IF(J27&lt;=0,0,L27/J27)</f>
        <v>1678.9145592705395</v>
      </c>
      <c r="L27" s="43">
        <f>L13+L17+L24+L19+L15</f>
        <v>552362.89000000746</v>
      </c>
      <c r="M27" s="44" t="e">
        <f>J27-D27</f>
        <v>#N/A</v>
      </c>
      <c r="N27" s="43" t="e">
        <f>L27-F27</f>
        <v>#N/A</v>
      </c>
      <c r="O27" s="44">
        <f>+O13+O15+O17</f>
        <v>448</v>
      </c>
      <c r="P27" s="41">
        <f>IF(O27&lt;=0,0,Q27/O27)</f>
        <v>1938.4609598214618</v>
      </c>
      <c r="Q27" s="43">
        <f>Q13+Q17+Q24+Q19+Q15</f>
        <v>868430.51000001491</v>
      </c>
      <c r="R27" s="44">
        <f>J27-O27</f>
        <v>-119</v>
      </c>
      <c r="S27" s="43">
        <f>L27-Q27</f>
        <v>-316067.62000000745</v>
      </c>
      <c r="T27" s="7"/>
      <c r="U27" s="55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ht="22.5" customHeight="1" thickBot="1">
      <c r="A28" s="260" t="str">
        <f t="shared" si="1"/>
        <v>Véhicules neufs</v>
      </c>
      <c r="B28" s="7" t="str">
        <f t="shared" si="0"/>
        <v>Véhicules neufs</v>
      </c>
      <c r="C28" s="47"/>
      <c r="D28" s="45"/>
      <c r="E28" s="45"/>
      <c r="F28" s="46"/>
      <c r="G28" s="47"/>
      <c r="H28" s="45"/>
      <c r="I28" s="46"/>
      <c r="J28" s="47"/>
      <c r="K28" s="265"/>
      <c r="L28" s="266"/>
      <c r="M28" s="48" t="e">
        <f>M27/D27</f>
        <v>#N/A</v>
      </c>
      <c r="N28" s="49" t="e">
        <f>N27/F27</f>
        <v>#N/A</v>
      </c>
      <c r="O28" s="47"/>
      <c r="P28" s="265"/>
      <c r="Q28" s="266"/>
      <c r="R28" s="48">
        <f>R27/O27</f>
        <v>-0.265625</v>
      </c>
      <c r="S28" s="267">
        <f>IF(Q27=0,0,S27/Q27)</f>
        <v>-0.36395268977825529</v>
      </c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ht="15.75" customHeight="1" thickTop="1">
      <c r="A29" s="260" t="str">
        <f t="shared" si="1"/>
        <v>Véhicules neufs</v>
      </c>
      <c r="B29" s="7" t="str">
        <f t="shared" si="0"/>
        <v>Véhicules neufs</v>
      </c>
      <c r="C29" s="52"/>
      <c r="D29" s="50"/>
      <c r="E29" s="50"/>
      <c r="F29" s="51"/>
      <c r="G29" s="52"/>
      <c r="H29" s="50"/>
      <c r="I29" s="51"/>
      <c r="J29" s="52"/>
      <c r="K29" s="74"/>
      <c r="L29" s="112"/>
      <c r="M29" s="27"/>
      <c r="N29" s="28"/>
      <c r="O29" s="52"/>
      <c r="P29" s="74"/>
      <c r="Q29" s="112"/>
      <c r="R29" s="27"/>
      <c r="S29" s="112"/>
      <c r="T29" s="7"/>
      <c r="U29" s="55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ht="15.75" customHeight="1">
      <c r="A30" s="260" t="str">
        <f t="shared" si="1"/>
        <v>Véhicules neufsDEPENSES</v>
      </c>
      <c r="B30" s="7" t="str">
        <f t="shared" si="0"/>
        <v>Véhicules neufs</v>
      </c>
      <c r="C30" s="268" t="s">
        <v>29</v>
      </c>
      <c r="D30" s="7"/>
      <c r="E30" s="53"/>
      <c r="F30" s="39"/>
      <c r="G30" s="26"/>
      <c r="H30" s="53"/>
      <c r="I30" s="39"/>
      <c r="J30" s="26"/>
      <c r="K30" s="269"/>
      <c r="L30" s="39"/>
      <c r="M30" s="26"/>
      <c r="N30" s="25"/>
      <c r="O30" s="26"/>
      <c r="P30" s="269"/>
      <c r="Q30" s="39"/>
      <c r="R30" s="26"/>
      <c r="S30" s="39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ht="20.399999999999999">
      <c r="A31" s="260" t="str">
        <f t="shared" si="1"/>
        <v>Véhicules neufsComm. vendeurs</v>
      </c>
      <c r="B31" s="7" t="str">
        <f t="shared" si="0"/>
        <v>Véhicules neufs</v>
      </c>
      <c r="C31" s="26" t="s">
        <v>30</v>
      </c>
      <c r="D31" s="295" t="e">
        <f>F31/(F13+F15)</f>
        <v>#N/A</v>
      </c>
      <c r="E31" s="55" t="e">
        <f t="shared" ref="E31:E40" si="10">F31/D$24</f>
        <v>#N/A</v>
      </c>
      <c r="F31" s="19" t="e">
        <f>+SUM(START:END!F31)</f>
        <v>#N/A</v>
      </c>
      <c r="G31" s="99"/>
      <c r="H31" s="55" t="e">
        <f t="shared" ref="H31:H40" si="11">I31/G$24</f>
        <v>#DIV/0!</v>
      </c>
      <c r="I31" s="19">
        <f>+SUM(START:END!I31)</f>
        <v>0</v>
      </c>
      <c r="J31" s="99">
        <f>L31/(L13+L15)</f>
        <v>0.36698625168274035</v>
      </c>
      <c r="K31" s="55">
        <f t="shared" ref="K31:K40" si="12">IF(L31=0,0,L31/J$24)</f>
        <v>687.08091397849455</v>
      </c>
      <c r="L31" s="39">
        <f>+SUM(START:END!L31)</f>
        <v>127797.04999999999</v>
      </c>
      <c r="M31" s="26"/>
      <c r="N31" s="39" t="e">
        <f t="shared" ref="N31:N53" si="13">L31-F31</f>
        <v>#N/A</v>
      </c>
      <c r="O31" s="99">
        <f>Q31/(Q13+Q15+Q17)</f>
        <v>0.2494981595116201</v>
      </c>
      <c r="P31" s="55">
        <f t="shared" ref="P31:P40" si="14">IF(Q31=0,0,Q31/O$24)</f>
        <v>784.56922374429212</v>
      </c>
      <c r="Q31" s="39">
        <f>+SUM(START:END!Q31)</f>
        <v>171820.65999999997</v>
      </c>
      <c r="R31" s="26"/>
      <c r="S31" s="39">
        <f t="shared" ref="S31:S53" si="15">L31-Q31</f>
        <v>-44023.609999999986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ht="15.75" customHeight="1">
      <c r="A32" s="260" t="str">
        <f t="shared" si="1"/>
        <v>Véhicules neufsComm. F&amp;I</v>
      </c>
      <c r="B32" s="7" t="str">
        <f t="shared" si="0"/>
        <v>Véhicules neufs</v>
      </c>
      <c r="C32" s="14" t="s">
        <v>31</v>
      </c>
      <c r="D32" s="296" t="e">
        <f>F32/F24</f>
        <v>#N/A</v>
      </c>
      <c r="E32" s="58" t="e">
        <f t="shared" si="10"/>
        <v>#N/A</v>
      </c>
      <c r="F32" s="31" t="e">
        <f>+SUM(START:END!F32)</f>
        <v>#N/A</v>
      </c>
      <c r="G32" s="104"/>
      <c r="H32" s="58" t="e">
        <f t="shared" si="11"/>
        <v>#DIV/0!</v>
      </c>
      <c r="I32" s="31">
        <f>+SUM(START:END!I32)</f>
        <v>0</v>
      </c>
      <c r="J32" s="104">
        <f>L32/L24</f>
        <v>0.31187476683512771</v>
      </c>
      <c r="K32" s="58">
        <f t="shared" si="12"/>
        <v>191.51188172043007</v>
      </c>
      <c r="L32" s="39">
        <f>+SUM(START:END!L32)</f>
        <v>35621.209999999992</v>
      </c>
      <c r="M32" s="14"/>
      <c r="N32" s="61" t="e">
        <f t="shared" si="13"/>
        <v>#N/A</v>
      </c>
      <c r="O32" s="104">
        <f>Q32/Q24</f>
        <v>0.26191303591284804</v>
      </c>
      <c r="P32" s="58">
        <f t="shared" si="14"/>
        <v>214.99050228310509</v>
      </c>
      <c r="Q32" s="61">
        <f>+SUM(START:END!Q32)</f>
        <v>47082.920000000013</v>
      </c>
      <c r="R32" s="14"/>
      <c r="S32" s="61">
        <f t="shared" si="15"/>
        <v>-11461.710000000021</v>
      </c>
      <c r="T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ht="15.75" customHeight="1">
      <c r="A33" s="260" t="str">
        <f t="shared" si="1"/>
        <v>Véhicules neufsFrais de livraison</v>
      </c>
      <c r="B33" s="7" t="str">
        <f t="shared" si="0"/>
        <v>Véhicules neufs</v>
      </c>
      <c r="C33" s="26" t="s">
        <v>32</v>
      </c>
      <c r="D33" s="54"/>
      <c r="E33" s="55" t="e">
        <f t="shared" si="10"/>
        <v>#N/A</v>
      </c>
      <c r="F33" s="19" t="e">
        <f>+SUM(START:END!F33)</f>
        <v>#N/A</v>
      </c>
      <c r="G33" s="56"/>
      <c r="H33" s="55" t="e">
        <f t="shared" si="11"/>
        <v>#DIV/0!</v>
      </c>
      <c r="I33" s="19">
        <f>+SUM(START:END!I33)</f>
        <v>0</v>
      </c>
      <c r="J33" s="26"/>
      <c r="K33" s="55">
        <f t="shared" si="12"/>
        <v>424.52413978494621</v>
      </c>
      <c r="L33" s="297">
        <f>+SUM(START:END!L33)</f>
        <v>78961.489999999991</v>
      </c>
      <c r="M33" s="26"/>
      <c r="N33" s="39" t="e">
        <f t="shared" si="13"/>
        <v>#N/A</v>
      </c>
      <c r="O33" s="26"/>
      <c r="P33" s="55">
        <f t="shared" si="14"/>
        <v>-123.47598173515981</v>
      </c>
      <c r="Q33" s="39">
        <f>+SUM(START:END!Q33)</f>
        <v>-27041.239999999998</v>
      </c>
      <c r="R33" s="26"/>
      <c r="S33" s="39">
        <f t="shared" si="15"/>
        <v>106002.72999999998</v>
      </c>
      <c r="T33" s="7"/>
      <c r="U33" s="29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ht="15.75" customHeight="1">
      <c r="A34" s="260" t="str">
        <f t="shared" si="1"/>
        <v>Véhicules neufsService gratuit 1</v>
      </c>
      <c r="B34" s="7" t="str">
        <f t="shared" si="0"/>
        <v>Véhicules neufs</v>
      </c>
      <c r="C34" s="26" t="s">
        <v>33</v>
      </c>
      <c r="D34" s="54"/>
      <c r="E34" s="55" t="e">
        <f t="shared" si="10"/>
        <v>#N/A</v>
      </c>
      <c r="F34" s="19" t="e">
        <f>+SUM(START:END!F34)</f>
        <v>#N/A</v>
      </c>
      <c r="G34" s="56"/>
      <c r="H34" s="55" t="e">
        <f t="shared" si="11"/>
        <v>#DIV/0!</v>
      </c>
      <c r="I34" s="19">
        <f>+SUM(START:END!I34)</f>
        <v>0</v>
      </c>
      <c r="J34" s="26"/>
      <c r="K34" s="55">
        <f t="shared" si="12"/>
        <v>8.2118279569892412</v>
      </c>
      <c r="L34" s="39">
        <f>+SUM(START:END!L34)</f>
        <v>1527.3999999999987</v>
      </c>
      <c r="M34" s="26"/>
      <c r="N34" s="39" t="e">
        <f t="shared" si="13"/>
        <v>#N/A</v>
      </c>
      <c r="O34" s="26"/>
      <c r="P34" s="55">
        <f t="shared" si="14"/>
        <v>7.4466666666666654</v>
      </c>
      <c r="Q34" s="39">
        <f>+SUM(START:END!Q34)</f>
        <v>1630.8199999999997</v>
      </c>
      <c r="R34" s="26"/>
      <c r="S34" s="39">
        <f t="shared" si="15"/>
        <v>-103.42000000000098</v>
      </c>
      <c r="T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ht="15.75" customHeight="1">
      <c r="A35" s="260" t="str">
        <f t="shared" si="1"/>
        <v>Véhicules neufsEntretien stock</v>
      </c>
      <c r="B35" s="7" t="str">
        <f t="shared" si="0"/>
        <v>Véhicules neufs</v>
      </c>
      <c r="C35" s="14" t="s">
        <v>34</v>
      </c>
      <c r="D35" s="57"/>
      <c r="E35" s="58" t="e">
        <f t="shared" si="10"/>
        <v>#N/A</v>
      </c>
      <c r="F35" s="31" t="e">
        <f>+SUM(START:END!F35)</f>
        <v>#N/A</v>
      </c>
      <c r="G35" s="59"/>
      <c r="H35" s="58" t="e">
        <f t="shared" si="11"/>
        <v>#DIV/0!</v>
      </c>
      <c r="I35" s="31">
        <f>+SUM(START:END!I35)</f>
        <v>0</v>
      </c>
      <c r="J35" s="14"/>
      <c r="K35" s="58">
        <f t="shared" si="12"/>
        <v>52.83161290322581</v>
      </c>
      <c r="L35" s="39">
        <f>+SUM(START:END!L35)</f>
        <v>9826.68</v>
      </c>
      <c r="M35" s="14"/>
      <c r="N35" s="61" t="e">
        <f t="shared" si="13"/>
        <v>#N/A</v>
      </c>
      <c r="O35" s="14"/>
      <c r="P35" s="58">
        <f t="shared" si="14"/>
        <v>0</v>
      </c>
      <c r="Q35" s="61">
        <f>+SUM(START:END!Q35)</f>
        <v>0</v>
      </c>
      <c r="R35" s="14"/>
      <c r="S35" s="61">
        <f t="shared" si="15"/>
        <v>9826.68</v>
      </c>
      <c r="T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ht="15.75" customHeight="1">
      <c r="A36" s="260" t="str">
        <f t="shared" si="1"/>
        <v>Véhicules neufsPublicité 1</v>
      </c>
      <c r="B36" s="7" t="str">
        <f t="shared" si="0"/>
        <v>Véhicules neufs</v>
      </c>
      <c r="C36" s="26" t="s">
        <v>35</v>
      </c>
      <c r="D36" s="54"/>
      <c r="E36" s="55" t="e">
        <f t="shared" si="10"/>
        <v>#N/A</v>
      </c>
      <c r="F36" s="19" t="e">
        <f>+SUM(START:END!F36)</f>
        <v>#N/A</v>
      </c>
      <c r="G36" s="56"/>
      <c r="H36" s="55" t="e">
        <f t="shared" si="11"/>
        <v>#DIV/0!</v>
      </c>
      <c r="I36" s="19">
        <f>+SUM(START:END!I36)</f>
        <v>0</v>
      </c>
      <c r="J36" s="26"/>
      <c r="K36" s="55">
        <f t="shared" si="12"/>
        <v>-206.73672043010748</v>
      </c>
      <c r="L36" s="297">
        <f>+SUM(START:END!L36)</f>
        <v>-38453.029999999992</v>
      </c>
      <c r="M36" s="26"/>
      <c r="N36" s="39" t="e">
        <f t="shared" si="13"/>
        <v>#N/A</v>
      </c>
      <c r="O36" s="26"/>
      <c r="P36" s="55">
        <f t="shared" si="14"/>
        <v>-300.033196347032</v>
      </c>
      <c r="Q36" s="39">
        <f>+SUM(START:END!Q36)</f>
        <v>-65707.27</v>
      </c>
      <c r="R36" s="26"/>
      <c r="S36" s="39">
        <f t="shared" si="15"/>
        <v>27254.240000000013</v>
      </c>
      <c r="T36" s="7"/>
      <c r="U36" s="260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1:40" ht="15.75" customHeight="1">
      <c r="A37" s="260" t="str">
        <f t="shared" si="1"/>
        <v>Véhicules neufsIntérêt de gros</v>
      </c>
      <c r="B37" s="7" t="str">
        <f t="shared" si="0"/>
        <v>Véhicules neufs</v>
      </c>
      <c r="C37" s="26" t="s">
        <v>36</v>
      </c>
      <c r="D37" s="54"/>
      <c r="E37" s="55" t="e">
        <f t="shared" si="10"/>
        <v>#N/A</v>
      </c>
      <c r="F37" s="19" t="e">
        <f>+SUM(START:END!F37)</f>
        <v>#N/A</v>
      </c>
      <c r="G37" s="56"/>
      <c r="H37" s="55" t="e">
        <f t="shared" si="11"/>
        <v>#DIV/0!</v>
      </c>
      <c r="I37" s="19">
        <f>+SUM(START:END!I37)</f>
        <v>0</v>
      </c>
      <c r="J37" s="26"/>
      <c r="K37" s="55">
        <f t="shared" si="12"/>
        <v>666.81252688172049</v>
      </c>
      <c r="L37" s="39">
        <f>+SUM(START:END!L37)</f>
        <v>124027.13</v>
      </c>
      <c r="M37" s="26"/>
      <c r="N37" s="39" t="e">
        <f t="shared" si="13"/>
        <v>#N/A</v>
      </c>
      <c r="O37" s="26"/>
      <c r="P37" s="55">
        <f t="shared" si="14"/>
        <v>833.86785388127828</v>
      </c>
      <c r="Q37" s="39">
        <f>+SUM(START:END!Q37)</f>
        <v>182617.05999999994</v>
      </c>
      <c r="R37" s="26"/>
      <c r="S37" s="39">
        <f>L37-Q37</f>
        <v>-58589.929999999935</v>
      </c>
      <c r="T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ht="15.75" customHeight="1">
      <c r="A38" s="260" t="str">
        <f t="shared" si="1"/>
        <v>Véhicules neufsCrédit Intérêts Floor Plan</v>
      </c>
      <c r="B38" s="7" t="str">
        <f t="shared" si="0"/>
        <v>Véhicules neufs</v>
      </c>
      <c r="C38" s="26" t="s">
        <v>303</v>
      </c>
      <c r="D38" s="54"/>
      <c r="E38" s="55" t="e">
        <f t="shared" si="10"/>
        <v>#N/A</v>
      </c>
      <c r="F38" s="19" t="e">
        <f>+SUM(START:END!F38)</f>
        <v>#N/A</v>
      </c>
      <c r="G38" s="56"/>
      <c r="H38" s="55" t="e">
        <f t="shared" si="11"/>
        <v>#DIV/0!</v>
      </c>
      <c r="I38" s="19">
        <f>+SUM(START:END!I38)</f>
        <v>0</v>
      </c>
      <c r="J38" s="26"/>
      <c r="K38" s="55">
        <f t="shared" si="12"/>
        <v>-1753.4538709677415</v>
      </c>
      <c r="L38" s="39">
        <f>+SUM(START:END!L38)</f>
        <v>-326142.41999999993</v>
      </c>
      <c r="M38" s="7"/>
      <c r="N38" s="39" t="e">
        <f t="shared" si="13"/>
        <v>#N/A</v>
      </c>
      <c r="O38" s="26"/>
      <c r="P38" s="55">
        <f t="shared" si="14"/>
        <v>-2034.5403196347036</v>
      </c>
      <c r="Q38" s="39">
        <f>+SUM(START:END!Q38)</f>
        <v>-445564.33000000007</v>
      </c>
      <c r="R38" s="26"/>
      <c r="S38" s="39">
        <f>L38-Q38</f>
        <v>119421.91000000015</v>
      </c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15.75" customHeight="1">
      <c r="A39" s="260" t="str">
        <f t="shared" si="1"/>
        <v>Véhicules neufsCrédit Boni TD</v>
      </c>
      <c r="B39" s="7" t="str">
        <f t="shared" si="0"/>
        <v>Véhicules neufs</v>
      </c>
      <c r="C39" s="26" t="s">
        <v>304</v>
      </c>
      <c r="D39" s="54"/>
      <c r="E39" s="55" t="e">
        <f t="shared" si="10"/>
        <v>#N/A</v>
      </c>
      <c r="F39" s="19" t="e">
        <f>+SUM(START:END!F39)</f>
        <v>#N/A</v>
      </c>
      <c r="G39" s="56"/>
      <c r="H39" s="55" t="e">
        <f t="shared" si="11"/>
        <v>#DIV/0!</v>
      </c>
      <c r="I39" s="19">
        <f>+SUM(START:END!I39)</f>
        <v>0</v>
      </c>
      <c r="J39" s="26"/>
      <c r="K39" s="55">
        <f t="shared" si="12"/>
        <v>-167.32564516129037</v>
      </c>
      <c r="L39" s="39">
        <f>+SUM(START:END!L39)</f>
        <v>-31122.570000000007</v>
      </c>
      <c r="M39" s="7"/>
      <c r="N39" s="39" t="e">
        <f t="shared" si="13"/>
        <v>#N/A</v>
      </c>
      <c r="O39" s="26"/>
      <c r="P39" s="55">
        <f t="shared" si="14"/>
        <v>0</v>
      </c>
      <c r="Q39" s="39">
        <f>+SUM(START:END!Q39)</f>
        <v>0</v>
      </c>
      <c r="R39" s="26"/>
      <c r="S39" s="39">
        <f>L39-Q39</f>
        <v>-31122.570000000007</v>
      </c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0.399999999999999" hidden="1" customHeight="1">
      <c r="A40" s="260" t="str">
        <f t="shared" si="1"/>
        <v>Véhicules neufs[...]</v>
      </c>
      <c r="B40" s="7" t="str">
        <f t="shared" si="0"/>
        <v>Véhicules neufs</v>
      </c>
      <c r="C40" s="26" t="s">
        <v>19</v>
      </c>
      <c r="D40" s="54"/>
      <c r="E40" s="55" t="e">
        <f t="shared" si="10"/>
        <v>#N/A</v>
      </c>
      <c r="F40" s="19" t="e">
        <f>+SUM(START:END!F40)</f>
        <v>#N/A</v>
      </c>
      <c r="G40" s="56"/>
      <c r="H40" s="55" t="e">
        <f t="shared" si="11"/>
        <v>#DIV/0!</v>
      </c>
      <c r="I40" s="19">
        <f>+SUM(START:END!I40)</f>
        <v>0</v>
      </c>
      <c r="J40" s="26"/>
      <c r="K40" s="55">
        <f t="shared" si="12"/>
        <v>0</v>
      </c>
      <c r="L40" s="299">
        <f>+SUM(START:END!L40)</f>
        <v>0</v>
      </c>
      <c r="M40" s="7"/>
      <c r="N40" s="39" t="e">
        <f t="shared" si="13"/>
        <v>#N/A</v>
      </c>
      <c r="O40" s="26"/>
      <c r="P40" s="55">
        <f t="shared" si="14"/>
        <v>0</v>
      </c>
      <c r="Q40" s="299">
        <f>+SUM(START:END!Q40)</f>
        <v>0</v>
      </c>
      <c r="R40" s="26"/>
      <c r="S40" s="39">
        <f>L40-Q40</f>
        <v>0</v>
      </c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18.600000000000001" customHeight="1">
      <c r="A41" s="260" t="str">
        <f t="shared" si="1"/>
        <v>Véhicules neufsTOTAL VARIABLES</v>
      </c>
      <c r="B41" s="7" t="str">
        <f t="shared" si="0"/>
        <v>Véhicules neufs</v>
      </c>
      <c r="C41" s="139" t="s">
        <v>37</v>
      </c>
      <c r="D41" s="62" t="s">
        <v>38</v>
      </c>
      <c r="E41" s="63" t="e">
        <f>F41/F$27</f>
        <v>#N/A</v>
      </c>
      <c r="F41" s="64" t="e">
        <f>SUM(F31:F40)</f>
        <v>#N/A</v>
      </c>
      <c r="G41" s="65" t="s">
        <v>38</v>
      </c>
      <c r="H41" s="63" t="e">
        <f>I41/I$27</f>
        <v>#DIV/0!</v>
      </c>
      <c r="I41" s="64">
        <f>SUM(I31:I40)</f>
        <v>0</v>
      </c>
      <c r="J41" s="65" t="s">
        <v>38</v>
      </c>
      <c r="K41" s="63">
        <f>L41/L$27</f>
        <v>-3.2509533723382021E-2</v>
      </c>
      <c r="L41" s="64">
        <f>SUM(L31:L40)</f>
        <v>-17957.059999999998</v>
      </c>
      <c r="M41" s="66"/>
      <c r="N41" s="64" t="e">
        <f t="shared" si="13"/>
        <v>#N/A</v>
      </c>
      <c r="O41" s="65" t="s">
        <v>38</v>
      </c>
      <c r="P41" s="63">
        <f>Q41/Q$27</f>
        <v>-0.15563868201728404</v>
      </c>
      <c r="Q41" s="64">
        <f>SUM(Q31:Q40)</f>
        <v>-135161.38000000012</v>
      </c>
      <c r="R41" s="67"/>
      <c r="S41" s="64">
        <f t="shared" si="15"/>
        <v>117204.32000000012</v>
      </c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15.75" customHeight="1">
      <c r="A42" s="260" t="str">
        <f t="shared" si="1"/>
        <v>Véhicules neufsSalaires cadres</v>
      </c>
      <c r="B42" s="7" t="str">
        <f t="shared" si="0"/>
        <v>Véhicules neufs</v>
      </c>
      <c r="C42" s="271" t="s">
        <v>40</v>
      </c>
      <c r="D42" s="7"/>
      <c r="E42" s="7"/>
      <c r="F42" s="19" t="e">
        <f>+SUM(START:END!F42)</f>
        <v>#N/A</v>
      </c>
      <c r="G42" s="26"/>
      <c r="H42" s="7"/>
      <c r="I42" s="19">
        <f>+SUM(START:END!I42)</f>
        <v>0</v>
      </c>
      <c r="J42" s="26"/>
      <c r="K42" s="7"/>
      <c r="L42" s="55">
        <f>+SUM(START:END!L42)</f>
        <v>51153.36</v>
      </c>
      <c r="M42" s="26"/>
      <c r="N42" s="39" t="e">
        <f t="shared" si="13"/>
        <v>#N/A</v>
      </c>
      <c r="O42" s="26"/>
      <c r="P42" s="7"/>
      <c r="Q42" s="55">
        <f>+SUM(START:END!Q42)</f>
        <v>25212.009999999995</v>
      </c>
      <c r="R42" s="26"/>
      <c r="S42" s="39">
        <f t="shared" si="15"/>
        <v>25941.350000000006</v>
      </c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15.75" customHeight="1">
      <c r="A43" s="260" t="str">
        <f t="shared" si="1"/>
        <v>Véhicules neufsSalaires commis</v>
      </c>
      <c r="B43" s="7" t="str">
        <f t="shared" si="0"/>
        <v>Véhicules neufs</v>
      </c>
      <c r="C43" s="272" t="s">
        <v>41</v>
      </c>
      <c r="D43" s="54"/>
      <c r="E43" s="7"/>
      <c r="F43" s="31" t="e">
        <f>+SUM(START:END!F43)</f>
        <v>#N/A</v>
      </c>
      <c r="G43" s="56"/>
      <c r="H43" s="7"/>
      <c r="I43" s="31">
        <f>+SUM(START:END!I43)</f>
        <v>0</v>
      </c>
      <c r="J43" s="26"/>
      <c r="K43" s="7"/>
      <c r="L43" s="61">
        <f>+SUM(START:END!L43)</f>
        <v>28600.690000000002</v>
      </c>
      <c r="M43" s="26"/>
      <c r="N43" s="39" t="e">
        <f t="shared" si="13"/>
        <v>#N/A</v>
      </c>
      <c r="O43" s="26"/>
      <c r="P43" s="7"/>
      <c r="Q43" s="61">
        <f>+SUM(START:END!Q43)</f>
        <v>88313.65</v>
      </c>
      <c r="R43" s="26"/>
      <c r="S43" s="39">
        <f t="shared" si="15"/>
        <v>-59712.959999999992</v>
      </c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15.75" customHeight="1">
      <c r="A44" s="260" t="str">
        <f t="shared" si="1"/>
        <v>Véhicules neufsSalaires autres</v>
      </c>
      <c r="B44" s="7" t="str">
        <f t="shared" si="0"/>
        <v>Véhicules neufs</v>
      </c>
      <c r="C44" s="271" t="s">
        <v>42</v>
      </c>
      <c r="D44" s="68"/>
      <c r="E44" s="69"/>
      <c r="F44" s="19" t="e">
        <f>+SUM(START:END!F44)</f>
        <v>#N/A</v>
      </c>
      <c r="G44" s="70"/>
      <c r="H44" s="69"/>
      <c r="I44" s="19">
        <f>+SUM(START:END!I44)</f>
        <v>0</v>
      </c>
      <c r="J44" s="71"/>
      <c r="K44" s="69"/>
      <c r="L44" s="55">
        <f>+SUM(START:END!L44)</f>
        <v>24202.139999999996</v>
      </c>
      <c r="M44" s="71"/>
      <c r="N44" s="72" t="e">
        <f t="shared" si="13"/>
        <v>#N/A</v>
      </c>
      <c r="O44" s="71"/>
      <c r="P44" s="69"/>
      <c r="Q44" s="55">
        <f>+SUM(START:END!Q44)</f>
        <v>13784.280000000002</v>
      </c>
      <c r="R44" s="71"/>
      <c r="S44" s="72">
        <f t="shared" si="15"/>
        <v>10417.859999999993</v>
      </c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0.399999999999999" hidden="1" customHeight="1">
      <c r="A45" s="260" t="str">
        <f t="shared" si="1"/>
        <v>Véhicules neufsSalaires spécialistes</v>
      </c>
      <c r="B45" s="7" t="str">
        <f t="shared" si="0"/>
        <v>Véhicules neufs</v>
      </c>
      <c r="C45" s="271" t="s">
        <v>43</v>
      </c>
      <c r="D45" s="54"/>
      <c r="E45" s="7"/>
      <c r="F45" s="19" t="e">
        <f>+SUM(START:END!F45)</f>
        <v>#N/A</v>
      </c>
      <c r="G45" s="56"/>
      <c r="H45" s="7"/>
      <c r="I45" s="19">
        <f>+SUM(START:END!I45)</f>
        <v>0</v>
      </c>
      <c r="J45" s="26"/>
      <c r="K45" s="7"/>
      <c r="L45" s="55">
        <f>+SUM(START:END!L45)</f>
        <v>0</v>
      </c>
      <c r="M45" s="26"/>
      <c r="N45" s="39" t="e">
        <f t="shared" si="13"/>
        <v>#N/A</v>
      </c>
      <c r="O45" s="26"/>
      <c r="P45" s="7"/>
      <c r="Q45" s="55">
        <f>+SUM(START:END!Q45)</f>
        <v>0</v>
      </c>
      <c r="R45" s="26"/>
      <c r="S45" s="39">
        <f t="shared" si="15"/>
        <v>0</v>
      </c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0.399999999999999" hidden="1" customHeight="1">
      <c r="A46" s="260" t="str">
        <f t="shared" si="1"/>
        <v>Véhicules neufs[...]</v>
      </c>
      <c r="B46" s="7" t="str">
        <f t="shared" si="0"/>
        <v>Véhicules neufs</v>
      </c>
      <c r="C46" s="271" t="s">
        <v>19</v>
      </c>
      <c r="D46" s="54"/>
      <c r="E46" s="7"/>
      <c r="F46" s="19" t="e">
        <f>+SUM(START:END!F46)</f>
        <v>#N/A</v>
      </c>
      <c r="G46" s="56"/>
      <c r="H46" s="7"/>
      <c r="I46" s="19">
        <f>+SUM(START:END!I46)</f>
        <v>0</v>
      </c>
      <c r="J46" s="26"/>
      <c r="K46" s="7"/>
      <c r="L46" s="55">
        <f>+SUM(START:END!L46)</f>
        <v>0</v>
      </c>
      <c r="M46" s="26"/>
      <c r="N46" s="39" t="e">
        <f t="shared" si="13"/>
        <v>#N/A</v>
      </c>
      <c r="O46" s="26"/>
      <c r="P46" s="7"/>
      <c r="Q46" s="55">
        <f>+SUM(START:END!Q46)</f>
        <v>0</v>
      </c>
      <c r="R46" s="26"/>
      <c r="S46" s="39">
        <f>L46-Q46</f>
        <v>0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0.399999999999999" hidden="1" customHeight="1">
      <c r="A47" s="260" t="str">
        <f t="shared" si="1"/>
        <v>Véhicules neufs[...]</v>
      </c>
      <c r="B47" s="7" t="str">
        <f t="shared" si="0"/>
        <v>Véhicules neufs</v>
      </c>
      <c r="C47" s="271" t="s">
        <v>19</v>
      </c>
      <c r="D47" s="54"/>
      <c r="E47" s="7"/>
      <c r="F47" s="19" t="e">
        <f>+SUM(START:END!F47)</f>
        <v>#N/A</v>
      </c>
      <c r="G47" s="56"/>
      <c r="H47" s="7"/>
      <c r="I47" s="19">
        <f>+SUM(START:END!I47)</f>
        <v>0</v>
      </c>
      <c r="J47" s="26"/>
      <c r="K47" s="7"/>
      <c r="L47" s="55">
        <f>+SUM(START:END!L47)</f>
        <v>0</v>
      </c>
      <c r="M47" s="26"/>
      <c r="N47" s="39" t="e">
        <f t="shared" si="13"/>
        <v>#N/A</v>
      </c>
      <c r="O47" s="26"/>
      <c r="P47" s="7"/>
      <c r="Q47" s="55">
        <f>+SUM(START:END!Q47)</f>
        <v>0</v>
      </c>
      <c r="R47" s="26"/>
      <c r="S47" s="39">
        <f>L47-Q47</f>
        <v>0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0.399999999999999" hidden="1" customHeight="1">
      <c r="A48" s="260" t="str">
        <f t="shared" si="1"/>
        <v>Véhicules neufs[...]</v>
      </c>
      <c r="B48" s="7" t="str">
        <f t="shared" si="0"/>
        <v>Véhicules neufs</v>
      </c>
      <c r="C48" s="271" t="s">
        <v>19</v>
      </c>
      <c r="D48" s="54"/>
      <c r="E48" s="7"/>
      <c r="F48" s="19" t="e">
        <f>+SUM(START:END!F48)</f>
        <v>#N/A</v>
      </c>
      <c r="G48" s="56"/>
      <c r="H48" s="7"/>
      <c r="I48" s="19">
        <f>+SUM(START:END!I48)</f>
        <v>0</v>
      </c>
      <c r="J48" s="26"/>
      <c r="K48" s="7"/>
      <c r="L48" s="55">
        <f>+SUM(START:END!L48)</f>
        <v>0</v>
      </c>
      <c r="M48" s="26"/>
      <c r="N48" s="39" t="e">
        <f t="shared" si="13"/>
        <v>#N/A</v>
      </c>
      <c r="O48" s="26"/>
      <c r="P48" s="7"/>
      <c r="Q48" s="55">
        <f>+SUM(START:END!Q48)</f>
        <v>0</v>
      </c>
      <c r="R48" s="26"/>
      <c r="S48" s="39">
        <f>L48-Q48</f>
        <v>0</v>
      </c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1:40" ht="15.75" customHeight="1">
      <c r="A49" s="260" t="str">
        <f t="shared" si="1"/>
        <v>Véhicules neufsSalaires en absences</v>
      </c>
      <c r="B49" s="7" t="str">
        <f t="shared" si="0"/>
        <v>Véhicules neufs</v>
      </c>
      <c r="C49" s="272" t="s">
        <v>44</v>
      </c>
      <c r="D49" s="54"/>
      <c r="E49" s="7"/>
      <c r="F49" s="31" t="e">
        <f>+SUM(START:END!F49)</f>
        <v>#N/A</v>
      </c>
      <c r="G49" s="56"/>
      <c r="H49" s="7"/>
      <c r="I49" s="31">
        <f>+SUM(START:END!I49)</f>
        <v>0</v>
      </c>
      <c r="J49" s="26"/>
      <c r="K49" s="7"/>
      <c r="L49" s="61">
        <f>+SUM(START:END!L49)</f>
        <v>20651.019999999997</v>
      </c>
      <c r="M49" s="26"/>
      <c r="N49" s="39" t="e">
        <f t="shared" si="13"/>
        <v>#N/A</v>
      </c>
      <c r="O49" s="26"/>
      <c r="P49" s="7"/>
      <c r="Q49" s="61">
        <f>+SUM(START:END!Q49)</f>
        <v>37852.630000000005</v>
      </c>
      <c r="R49" s="26"/>
      <c r="S49" s="39">
        <f t="shared" si="15"/>
        <v>-17201.610000000008</v>
      </c>
      <c r="T49" s="7"/>
      <c r="U49" s="7"/>
      <c r="V49" s="7"/>
      <c r="W49" s="7"/>
      <c r="X49" s="6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1:40" ht="15.75" customHeight="1">
      <c r="A50" s="260" t="str">
        <f t="shared" si="1"/>
        <v>Véhicules neufsDéduction à la source</v>
      </c>
      <c r="B50" s="7" t="str">
        <f t="shared" si="0"/>
        <v>Véhicules neufs</v>
      </c>
      <c r="C50" s="271" t="s">
        <v>45</v>
      </c>
      <c r="D50" s="68"/>
      <c r="E50" s="69"/>
      <c r="F50" s="19" t="e">
        <f>+SUM(START:END!F50)</f>
        <v>#N/A</v>
      </c>
      <c r="G50" s="70"/>
      <c r="H50" s="69"/>
      <c r="I50" s="19">
        <f>+SUM(START:END!I50)</f>
        <v>0</v>
      </c>
      <c r="J50" s="71"/>
      <c r="K50" s="69"/>
      <c r="L50" s="55">
        <f>+SUM(START:END!L50)</f>
        <v>26952.979999999996</v>
      </c>
      <c r="M50" s="71"/>
      <c r="N50" s="72" t="e">
        <f t="shared" si="13"/>
        <v>#N/A</v>
      </c>
      <c r="O50" s="71"/>
      <c r="P50" s="69"/>
      <c r="Q50" s="55">
        <f>+SUM(START:END!Q50)</f>
        <v>48777.329999999987</v>
      </c>
      <c r="R50" s="71"/>
      <c r="S50" s="72">
        <f t="shared" si="15"/>
        <v>-21824.349999999991</v>
      </c>
      <c r="T50" s="7"/>
      <c r="U50" s="7"/>
      <c r="V50" s="7"/>
      <c r="W50" s="7"/>
      <c r="X50" s="6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1:40" ht="15.75" customHeight="1">
      <c r="A51" s="260" t="str">
        <f t="shared" si="1"/>
        <v>Véhicules neufsBénéfices marginaux</v>
      </c>
      <c r="B51" s="7" t="str">
        <f t="shared" si="0"/>
        <v>Véhicules neufs</v>
      </c>
      <c r="C51" s="271" t="s">
        <v>46</v>
      </c>
      <c r="D51" s="54"/>
      <c r="E51" s="7"/>
      <c r="F51" s="19" t="e">
        <f>+SUM(START:END!F51)</f>
        <v>#N/A</v>
      </c>
      <c r="G51" s="56"/>
      <c r="H51" s="7"/>
      <c r="I51" s="19">
        <f>+SUM(START:END!I51)</f>
        <v>0</v>
      </c>
      <c r="J51" s="26"/>
      <c r="K51" s="7"/>
      <c r="L51" s="55">
        <f>+SUM(START:END!L51)</f>
        <v>5571.16</v>
      </c>
      <c r="M51" s="26"/>
      <c r="N51" s="39" t="e">
        <f t="shared" si="13"/>
        <v>#N/A</v>
      </c>
      <c r="O51" s="26"/>
      <c r="P51" s="7"/>
      <c r="Q51" s="55">
        <f>+SUM(START:END!Q51)</f>
        <v>12570.599999999999</v>
      </c>
      <c r="R51" s="26"/>
      <c r="S51" s="39">
        <f t="shared" si="15"/>
        <v>-6999.4399999999987</v>
      </c>
      <c r="T51" s="7"/>
      <c r="U51" s="7"/>
      <c r="V51" s="7"/>
      <c r="W51" s="7"/>
      <c r="X51" s="6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1:40" ht="15.75" customHeight="1">
      <c r="A52" s="260" t="str">
        <f t="shared" si="1"/>
        <v>Véhicules neufsCsst</v>
      </c>
      <c r="B52" s="7" t="str">
        <f t="shared" si="0"/>
        <v>Véhicules neufs</v>
      </c>
      <c r="C52" s="271" t="s">
        <v>47</v>
      </c>
      <c r="D52" s="54"/>
      <c r="E52" s="7"/>
      <c r="F52" s="19" t="e">
        <f>+SUM(START:END!F52)</f>
        <v>#N/A</v>
      </c>
      <c r="G52" s="56"/>
      <c r="H52" s="7"/>
      <c r="I52" s="19">
        <f>+SUM(START:END!I52)</f>
        <v>0</v>
      </c>
      <c r="J52" s="26"/>
      <c r="K52" s="7"/>
      <c r="L52" s="55">
        <f>+SUM(START:END!L52)</f>
        <v>10531.27</v>
      </c>
      <c r="M52" s="26"/>
      <c r="N52" s="39" t="e">
        <f t="shared" si="13"/>
        <v>#N/A</v>
      </c>
      <c r="O52" s="26"/>
      <c r="P52" s="7"/>
      <c r="Q52" s="55">
        <f>+SUM(START:END!Q52)</f>
        <v>48.049999999999955</v>
      </c>
      <c r="R52" s="26"/>
      <c r="S52" s="39">
        <f t="shared" si="15"/>
        <v>10483.220000000001</v>
      </c>
      <c r="T52" s="7"/>
      <c r="U52" s="7"/>
      <c r="V52" s="7"/>
      <c r="W52" s="7"/>
      <c r="X52" s="6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1:40" ht="20.399999999999999" hidden="1" customHeight="1">
      <c r="A53" s="260" t="str">
        <f t="shared" si="1"/>
        <v>Véhicules neufs[...]</v>
      </c>
      <c r="B53" s="7" t="str">
        <f t="shared" si="0"/>
        <v>Véhicules neufs</v>
      </c>
      <c r="C53" s="26" t="s">
        <v>19</v>
      </c>
      <c r="D53" s="57"/>
      <c r="E53" s="73"/>
      <c r="F53" s="19" t="e">
        <f>+SUM(START:END!F53)</f>
        <v>#N/A</v>
      </c>
      <c r="G53" s="59"/>
      <c r="H53" s="73"/>
      <c r="I53" s="19">
        <f>+SUM(START:END!I53)</f>
        <v>0</v>
      </c>
      <c r="J53" s="14"/>
      <c r="K53" s="73"/>
      <c r="L53" s="39">
        <f>+SUM(START:END!L53)</f>
        <v>0</v>
      </c>
      <c r="M53" s="14"/>
      <c r="N53" s="61" t="e">
        <f t="shared" si="13"/>
        <v>#N/A</v>
      </c>
      <c r="O53" s="14"/>
      <c r="P53" s="73"/>
      <c r="Q53" s="39">
        <f>+SUM(START:END!Q53)</f>
        <v>0</v>
      </c>
      <c r="R53" s="14"/>
      <c r="S53" s="61">
        <f t="shared" si="15"/>
        <v>0</v>
      </c>
      <c r="T53" s="7"/>
      <c r="U53" s="7"/>
      <c r="V53" s="7"/>
      <c r="W53" s="7"/>
      <c r="X53" s="6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1:40" ht="18.600000000000001" customHeight="1">
      <c r="A54" s="260" t="str">
        <f t="shared" si="1"/>
        <v>Véhicules neufsTOTAL PERSONNEL</v>
      </c>
      <c r="B54" s="7" t="str">
        <f t="shared" si="0"/>
        <v>Véhicules neufs</v>
      </c>
      <c r="C54" s="139" t="s">
        <v>48</v>
      </c>
      <c r="D54" s="62" t="s">
        <v>38</v>
      </c>
      <c r="E54" s="63" t="e">
        <f>F54/F$27</f>
        <v>#N/A</v>
      </c>
      <c r="F54" s="64" t="e">
        <f>+SUM(F42:F53)</f>
        <v>#N/A</v>
      </c>
      <c r="G54" s="65" t="s">
        <v>38</v>
      </c>
      <c r="H54" s="63" t="e">
        <f>I54/I$27</f>
        <v>#DIV/0!</v>
      </c>
      <c r="I54" s="64">
        <f>+SUM(I42:I53)</f>
        <v>0</v>
      </c>
      <c r="J54" s="65" t="s">
        <v>38</v>
      </c>
      <c r="K54" s="63">
        <f>L54/L$27</f>
        <v>0.30353708229746884</v>
      </c>
      <c r="L54" s="64">
        <f>+SUM(L42:L53)</f>
        <v>167662.62</v>
      </c>
      <c r="M54" s="66"/>
      <c r="N54" s="64" t="e">
        <f>+SUM(N42:N53)</f>
        <v>#N/A</v>
      </c>
      <c r="O54" s="65" t="s">
        <v>38</v>
      </c>
      <c r="P54" s="63">
        <f>Q54/Q$27</f>
        <v>0.26088276193796567</v>
      </c>
      <c r="Q54" s="64">
        <f>+SUM(Q42:Q53)</f>
        <v>226558.55</v>
      </c>
      <c r="R54" s="67"/>
      <c r="S54" s="64">
        <f>+SUM(S42:S53)</f>
        <v>-58895.929999999993</v>
      </c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1:40" ht="20.399999999999999" hidden="1" customHeight="1">
      <c r="A55" s="260" t="str">
        <f t="shared" si="1"/>
        <v>Véhicules neufsPublicité 2</v>
      </c>
      <c r="B55" s="7" t="str">
        <f t="shared" si="0"/>
        <v>Véhicules neufs</v>
      </c>
      <c r="C55" s="26" t="s">
        <v>49</v>
      </c>
      <c r="D55" s="54"/>
      <c r="E55" s="7"/>
      <c r="F55" s="19" t="e">
        <f>+SUM(START:END!F55)</f>
        <v>#N/A</v>
      </c>
      <c r="G55" s="56"/>
      <c r="H55" s="7"/>
      <c r="I55" s="19">
        <f>+SUM(START:END!I55)</f>
        <v>0</v>
      </c>
      <c r="J55" s="26"/>
      <c r="K55" s="7"/>
      <c r="L55" s="39">
        <f>+SUM(START:END!L55)</f>
        <v>0</v>
      </c>
      <c r="M55" s="26"/>
      <c r="N55" s="39" t="e">
        <f t="shared" ref="N55:N71" si="16">L55-F55</f>
        <v>#N/A</v>
      </c>
      <c r="O55" s="26"/>
      <c r="P55" s="7"/>
      <c r="Q55" s="39">
        <f>+SUM(START:END!Q55)</f>
        <v>0</v>
      </c>
      <c r="R55" s="26"/>
      <c r="S55" s="39">
        <f t="shared" ref="S55:S71" si="17">L55-Q55</f>
        <v>0</v>
      </c>
      <c r="T55" s="55"/>
      <c r="U55" s="7"/>
      <c r="V55" s="7"/>
      <c r="W55" s="7"/>
      <c r="X55" s="6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1:40" ht="20.399999999999999" hidden="1" customHeight="1">
      <c r="A56" s="260" t="str">
        <f t="shared" si="1"/>
        <v>Véhicules neufsService gratuit 2</v>
      </c>
      <c r="B56" s="7" t="str">
        <f t="shared" si="0"/>
        <v>Véhicules neufs</v>
      </c>
      <c r="C56" s="26" t="s">
        <v>50</v>
      </c>
      <c r="D56" s="54"/>
      <c r="E56" s="7"/>
      <c r="F56" s="19" t="e">
        <f>+SUM(START:END!F56)</f>
        <v>#N/A</v>
      </c>
      <c r="G56" s="56"/>
      <c r="H56" s="7"/>
      <c r="I56" s="19">
        <f>+SUM(START:END!I56)</f>
        <v>0</v>
      </c>
      <c r="J56" s="26"/>
      <c r="K56" s="7"/>
      <c r="L56" s="39">
        <f>+SUM(START:END!L56)</f>
        <v>0</v>
      </c>
      <c r="M56" s="26"/>
      <c r="N56" s="39" t="e">
        <f t="shared" si="16"/>
        <v>#N/A</v>
      </c>
      <c r="O56" s="26"/>
      <c r="P56" s="7"/>
      <c r="Q56" s="39">
        <f>+SUM(START:END!Q56)</f>
        <v>0</v>
      </c>
      <c r="R56" s="26"/>
      <c r="S56" s="39">
        <f t="shared" si="17"/>
        <v>0</v>
      </c>
      <c r="T56" s="55"/>
      <c r="U56" s="7"/>
      <c r="V56" s="7"/>
      <c r="W56" s="7"/>
      <c r="X56" s="6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1:40" ht="15.75" customHeight="1">
      <c r="A57" s="260" t="str">
        <f t="shared" si="1"/>
        <v>Véhicules neufsFrais véhicules de cie</v>
      </c>
      <c r="B57" s="7" t="str">
        <f t="shared" si="0"/>
        <v>Véhicules neufs</v>
      </c>
      <c r="C57" s="14" t="s">
        <v>51</v>
      </c>
      <c r="D57" s="57"/>
      <c r="E57" s="73"/>
      <c r="F57" s="31" t="e">
        <f>+SUM(START:END!F57)</f>
        <v>#N/A</v>
      </c>
      <c r="G57" s="59"/>
      <c r="H57" s="73"/>
      <c r="I57" s="31">
        <f>+SUM(START:END!I57)</f>
        <v>0</v>
      </c>
      <c r="J57" s="14"/>
      <c r="K57" s="73"/>
      <c r="L57" s="61">
        <f>+SUM(START:END!L57)</f>
        <v>17114.369999999995</v>
      </c>
      <c r="M57" s="14"/>
      <c r="N57" s="61" t="e">
        <f t="shared" si="16"/>
        <v>#N/A</v>
      </c>
      <c r="O57" s="14"/>
      <c r="P57" s="73"/>
      <c r="Q57" s="61">
        <f>+SUM(START:END!Q57)</f>
        <v>34800.989999999991</v>
      </c>
      <c r="R57" s="14"/>
      <c r="S57" s="61">
        <f t="shared" si="17"/>
        <v>-17686.619999999995</v>
      </c>
      <c r="T57" s="74"/>
      <c r="U57" s="7"/>
      <c r="V57" s="7"/>
      <c r="W57" s="7"/>
      <c r="X57" s="6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1:40" ht="15.75" customHeight="1">
      <c r="A58" s="260" t="str">
        <f t="shared" si="1"/>
        <v>Véhicules neufsInformatique</v>
      </c>
      <c r="B58" s="7" t="str">
        <f t="shared" si="0"/>
        <v>Véhicules neufs</v>
      </c>
      <c r="C58" s="26" t="s">
        <v>52</v>
      </c>
      <c r="D58" s="54"/>
      <c r="E58" s="7"/>
      <c r="F58" s="19" t="e">
        <f>+SUM(START:END!F58)</f>
        <v>#N/A</v>
      </c>
      <c r="G58" s="56"/>
      <c r="H58" s="7"/>
      <c r="I58" s="19">
        <f>+SUM(START:END!I58)</f>
        <v>0</v>
      </c>
      <c r="J58" s="26"/>
      <c r="K58" s="7"/>
      <c r="L58" s="39">
        <f>+SUM(START:END!L58)</f>
        <v>12523.39</v>
      </c>
      <c r="M58" s="26"/>
      <c r="N58" s="39" t="e">
        <f t="shared" si="16"/>
        <v>#N/A</v>
      </c>
      <c r="O58" s="26"/>
      <c r="P58" s="7"/>
      <c r="Q58" s="39">
        <f>+SUM(START:END!Q58)</f>
        <v>12921.57</v>
      </c>
      <c r="R58" s="26"/>
      <c r="S58" s="39">
        <f t="shared" si="17"/>
        <v>-398.18000000000029</v>
      </c>
      <c r="T58" s="55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1:40" ht="15.75" customHeight="1">
      <c r="A59" s="260" t="str">
        <f t="shared" si="1"/>
        <v>Véhicules neufsFrais de déplacement</v>
      </c>
      <c r="B59" s="7" t="str">
        <f t="shared" si="0"/>
        <v>Véhicules neufs</v>
      </c>
      <c r="C59" s="26" t="s">
        <v>53</v>
      </c>
      <c r="D59" s="54"/>
      <c r="E59" s="7"/>
      <c r="F59" s="19" t="e">
        <f>+SUM(START:END!F59)</f>
        <v>#N/A</v>
      </c>
      <c r="G59" s="56"/>
      <c r="H59" s="7"/>
      <c r="I59" s="19">
        <f>+SUM(START:END!I59)</f>
        <v>0</v>
      </c>
      <c r="J59" s="26"/>
      <c r="K59" s="7"/>
      <c r="L59" s="39">
        <f>+SUM(START:END!L59)</f>
        <v>2976.4499999999989</v>
      </c>
      <c r="M59" s="26"/>
      <c r="N59" s="39" t="e">
        <f t="shared" si="16"/>
        <v>#N/A</v>
      </c>
      <c r="O59" s="26"/>
      <c r="P59" s="7"/>
      <c r="Q59" s="39">
        <f>+SUM(START:END!Q59)</f>
        <v>16462.689999999999</v>
      </c>
      <c r="R59" s="26"/>
      <c r="S59" s="39">
        <f t="shared" si="17"/>
        <v>-13486.24</v>
      </c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1:40" ht="15.75" customHeight="1">
      <c r="A60" s="260" t="str">
        <f t="shared" si="1"/>
        <v>Véhicules neufsServices extérieurs</v>
      </c>
      <c r="B60" s="7" t="str">
        <f t="shared" si="0"/>
        <v>Véhicules neufs</v>
      </c>
      <c r="C60" s="14" t="s">
        <v>54</v>
      </c>
      <c r="D60" s="57"/>
      <c r="E60" s="73"/>
      <c r="F60" s="31" t="e">
        <f>+SUM(START:END!F60)</f>
        <v>#N/A</v>
      </c>
      <c r="G60" s="59"/>
      <c r="H60" s="73"/>
      <c r="I60" s="31">
        <f>+SUM(START:END!I60)</f>
        <v>0</v>
      </c>
      <c r="J60" s="14"/>
      <c r="K60" s="73"/>
      <c r="L60" s="61">
        <f>+SUM(START:END!L60)</f>
        <v>13369.610000000004</v>
      </c>
      <c r="M60" s="14"/>
      <c r="N60" s="61" t="e">
        <f t="shared" si="16"/>
        <v>#N/A</v>
      </c>
      <c r="O60" s="14"/>
      <c r="P60" s="73"/>
      <c r="Q60" s="61">
        <f>+SUM(START:END!Q60)</f>
        <v>24120.400000000001</v>
      </c>
      <c r="R60" s="14"/>
      <c r="S60" s="61">
        <f t="shared" si="17"/>
        <v>-10750.789999999997</v>
      </c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1:40" ht="15.75" customHeight="1">
      <c r="A61" s="260" t="str">
        <f t="shared" si="1"/>
        <v>Véhicules neufsFournitures autres</v>
      </c>
      <c r="B61" s="7" t="str">
        <f t="shared" si="0"/>
        <v>Véhicules neufs</v>
      </c>
      <c r="C61" s="26" t="s">
        <v>55</v>
      </c>
      <c r="D61" s="54"/>
      <c r="E61" s="7"/>
      <c r="F61" s="19" t="e">
        <f>+SUM(START:END!F61)</f>
        <v>#N/A</v>
      </c>
      <c r="G61" s="56"/>
      <c r="H61" s="7"/>
      <c r="I61" s="19">
        <f>+SUM(START:END!I61)</f>
        <v>0</v>
      </c>
      <c r="J61" s="26"/>
      <c r="K61" s="7"/>
      <c r="L61" s="39">
        <f>+SUM(START:END!L61)</f>
        <v>805.38000000000011</v>
      </c>
      <c r="M61" s="26"/>
      <c r="N61" s="39" t="e">
        <f t="shared" si="16"/>
        <v>#N/A</v>
      </c>
      <c r="O61" s="26"/>
      <c r="P61" s="7"/>
      <c r="Q61" s="39">
        <f>+SUM(START:END!Q61)</f>
        <v>2175.19</v>
      </c>
      <c r="R61" s="26"/>
      <c r="S61" s="39">
        <f t="shared" si="17"/>
        <v>-1369.81</v>
      </c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1:40" ht="15.75" customHeight="1">
      <c r="A62" s="260" t="str">
        <f t="shared" si="1"/>
        <v>Véhicules neufsUniformes</v>
      </c>
      <c r="B62" s="7" t="str">
        <f t="shared" si="0"/>
        <v>Véhicules neufs</v>
      </c>
      <c r="C62" s="26" t="s">
        <v>56</v>
      </c>
      <c r="D62" s="54"/>
      <c r="E62" s="7"/>
      <c r="F62" s="19" t="e">
        <f>+SUM(START:END!F62)</f>
        <v>#N/A</v>
      </c>
      <c r="G62" s="56"/>
      <c r="H62" s="7"/>
      <c r="I62" s="19">
        <f>+SUM(START:END!I62)</f>
        <v>0</v>
      </c>
      <c r="J62" s="26"/>
      <c r="K62" s="7"/>
      <c r="L62" s="39">
        <f>+SUM(START:END!L62)</f>
        <v>0</v>
      </c>
      <c r="M62" s="26"/>
      <c r="N62" s="39" t="e">
        <f t="shared" si="16"/>
        <v>#N/A</v>
      </c>
      <c r="O62" s="26"/>
      <c r="P62" s="7"/>
      <c r="Q62" s="39">
        <f>+SUM(START:END!Q62)</f>
        <v>0</v>
      </c>
      <c r="R62" s="26"/>
      <c r="S62" s="39">
        <f t="shared" si="17"/>
        <v>0</v>
      </c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1:40" ht="15.75" customHeight="1">
      <c r="A63" s="260" t="str">
        <f t="shared" si="1"/>
        <v>Véhicules neufsPapeterie</v>
      </c>
      <c r="B63" s="7" t="str">
        <f t="shared" si="0"/>
        <v>Véhicules neufs</v>
      </c>
      <c r="C63" s="26" t="s">
        <v>57</v>
      </c>
      <c r="D63" s="54"/>
      <c r="E63" s="7"/>
      <c r="F63" s="19" t="e">
        <f>+SUM(START:END!F63)</f>
        <v>#N/A</v>
      </c>
      <c r="G63" s="56"/>
      <c r="H63" s="7"/>
      <c r="I63" s="19">
        <f>+SUM(START:END!I63)</f>
        <v>0</v>
      </c>
      <c r="J63" s="26"/>
      <c r="K63" s="7"/>
      <c r="L63" s="39">
        <f>+SUM(START:END!L63)</f>
        <v>3445.6499999999996</v>
      </c>
      <c r="M63" s="26"/>
      <c r="N63" s="39" t="e">
        <f t="shared" si="16"/>
        <v>#N/A</v>
      </c>
      <c r="O63" s="26"/>
      <c r="P63" s="7"/>
      <c r="Q63" s="39">
        <f>+SUM(START:END!Q63)</f>
        <v>5070.4499999999989</v>
      </c>
      <c r="R63" s="26"/>
      <c r="S63" s="39">
        <f t="shared" si="17"/>
        <v>-1624.7999999999993</v>
      </c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1:40" ht="15.75" customHeight="1">
      <c r="A64" s="260" t="str">
        <f t="shared" si="1"/>
        <v>Véhicules neufsTéléphone</v>
      </c>
      <c r="B64" s="7" t="str">
        <f t="shared" si="0"/>
        <v>Véhicules neufs</v>
      </c>
      <c r="C64" s="26" t="s">
        <v>58</v>
      </c>
      <c r="D64" s="54"/>
      <c r="E64" s="7"/>
      <c r="F64" s="19" t="e">
        <f>+SUM(START:END!F64)</f>
        <v>#N/A</v>
      </c>
      <c r="G64" s="56"/>
      <c r="H64" s="7"/>
      <c r="I64" s="19">
        <f>+SUM(START:END!I64)</f>
        <v>0</v>
      </c>
      <c r="J64" s="26"/>
      <c r="K64" s="7"/>
      <c r="L64" s="39">
        <f>+SUM(START:END!L64)</f>
        <v>1935.7900000000004</v>
      </c>
      <c r="M64" s="26"/>
      <c r="N64" s="39" t="e">
        <f t="shared" si="16"/>
        <v>#N/A</v>
      </c>
      <c r="O64" s="26"/>
      <c r="P64" s="7"/>
      <c r="Q64" s="39">
        <f>+SUM(START:END!Q64)</f>
        <v>2156.5199999999995</v>
      </c>
      <c r="R64" s="26"/>
      <c r="S64" s="39">
        <f t="shared" si="17"/>
        <v>-220.72999999999911</v>
      </c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1:40" ht="15.75" customHeight="1">
      <c r="A65" s="260" t="str">
        <f t="shared" si="1"/>
        <v>Véhicules neufsFrais postaux</v>
      </c>
      <c r="B65" s="7" t="str">
        <f t="shared" si="0"/>
        <v>Véhicules neufs</v>
      </c>
      <c r="C65" s="26" t="s">
        <v>59</v>
      </c>
      <c r="D65" s="54"/>
      <c r="E65" s="7"/>
      <c r="F65" s="19" t="e">
        <f>+SUM(START:END!F65)</f>
        <v>#N/A</v>
      </c>
      <c r="G65" s="56"/>
      <c r="H65" s="7"/>
      <c r="I65" s="19">
        <f>+SUM(START:END!I65)</f>
        <v>0</v>
      </c>
      <c r="J65" s="26"/>
      <c r="K65" s="7"/>
      <c r="L65" s="39">
        <f>+SUM(START:END!L65)</f>
        <v>2945.91</v>
      </c>
      <c r="M65" s="26"/>
      <c r="N65" s="39" t="e">
        <f t="shared" si="16"/>
        <v>#N/A</v>
      </c>
      <c r="O65" s="26"/>
      <c r="P65" s="7"/>
      <c r="Q65" s="39">
        <f>+SUM(START:END!Q65)</f>
        <v>3135.84</v>
      </c>
      <c r="R65" s="26"/>
      <c r="S65" s="39">
        <f t="shared" si="17"/>
        <v>-189.93000000000029</v>
      </c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1:40" ht="15.75" customHeight="1">
      <c r="A66" s="260" t="str">
        <f t="shared" si="1"/>
        <v>Véhicules neufsDivers</v>
      </c>
      <c r="B66" s="7" t="str">
        <f t="shared" si="0"/>
        <v>Véhicules neufs</v>
      </c>
      <c r="C66" s="26" t="s">
        <v>60</v>
      </c>
      <c r="D66" s="54"/>
      <c r="E66" s="7"/>
      <c r="F66" s="19" t="e">
        <f>+SUM(START:END!F66)</f>
        <v>#N/A</v>
      </c>
      <c r="G66" s="56"/>
      <c r="H66" s="7"/>
      <c r="I66" s="19">
        <f>+SUM(START:END!I66)</f>
        <v>0</v>
      </c>
      <c r="J66" s="26"/>
      <c r="K66" s="7"/>
      <c r="L66" s="39">
        <f>+SUM(START:END!L66)</f>
        <v>9764.15</v>
      </c>
      <c r="M66" s="26"/>
      <c r="N66" s="39" t="e">
        <f t="shared" si="16"/>
        <v>#N/A</v>
      </c>
      <c r="O66" s="26"/>
      <c r="P66" s="7"/>
      <c r="Q66" s="39">
        <f>+SUM(START:END!Q66)</f>
        <v>10354.27</v>
      </c>
      <c r="R66" s="26"/>
      <c r="S66" s="39">
        <f t="shared" si="17"/>
        <v>-590.1200000000008</v>
      </c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1:40" ht="15.75" customHeight="1">
      <c r="A67" s="260" t="str">
        <f t="shared" si="1"/>
        <v>Véhicules neufsFormation</v>
      </c>
      <c r="B67" s="7" t="str">
        <f t="shared" si="0"/>
        <v>Véhicules neufs</v>
      </c>
      <c r="C67" s="26" t="s">
        <v>61</v>
      </c>
      <c r="D67" s="54"/>
      <c r="E67" s="7"/>
      <c r="F67" s="19" t="e">
        <f>+SUM(START:END!F67)</f>
        <v>#N/A</v>
      </c>
      <c r="G67" s="56"/>
      <c r="H67" s="7"/>
      <c r="I67" s="19">
        <f>+SUM(START:END!I67)</f>
        <v>0</v>
      </c>
      <c r="J67" s="26"/>
      <c r="K67" s="7"/>
      <c r="L67" s="39">
        <f>+SUM(START:END!L67)</f>
        <v>1710</v>
      </c>
      <c r="M67" s="26"/>
      <c r="N67" s="39" t="e">
        <f t="shared" si="16"/>
        <v>#N/A</v>
      </c>
      <c r="O67" s="26"/>
      <c r="P67" s="7"/>
      <c r="Q67" s="39">
        <f>+SUM(START:END!Q67)</f>
        <v>2295</v>
      </c>
      <c r="R67" s="26"/>
      <c r="S67" s="39">
        <f>L67-Q67</f>
        <v>-585</v>
      </c>
      <c r="T67" s="7"/>
      <c r="U67" s="260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1:40" ht="15.75" customHeight="1">
      <c r="A68" s="260" t="str">
        <f t="shared" si="1"/>
        <v>Véhicules neufsFrais bancaires</v>
      </c>
      <c r="B68" s="7" t="str">
        <f t="shared" si="0"/>
        <v>Véhicules neufs</v>
      </c>
      <c r="C68" s="26" t="s">
        <v>62</v>
      </c>
      <c r="D68" s="54"/>
      <c r="E68" s="7"/>
      <c r="F68" s="19" t="e">
        <f>+SUM(START:END!F68)</f>
        <v>#N/A</v>
      </c>
      <c r="G68" s="56"/>
      <c r="H68" s="7"/>
      <c r="I68" s="19">
        <f>+SUM(START:END!I68)</f>
        <v>0</v>
      </c>
      <c r="J68" s="26"/>
      <c r="K68" s="7"/>
      <c r="L68" s="39">
        <f>+SUM(START:END!L68)</f>
        <v>5249.5999999999985</v>
      </c>
      <c r="M68" s="26"/>
      <c r="N68" s="39" t="e">
        <f t="shared" si="16"/>
        <v>#N/A</v>
      </c>
      <c r="O68" s="26"/>
      <c r="P68" s="7"/>
      <c r="Q68" s="39">
        <f>+SUM(START:END!Q68)</f>
        <v>1026.4899999999998</v>
      </c>
      <c r="R68" s="26"/>
      <c r="S68" s="39">
        <f>L68-Q68</f>
        <v>4223.1099999999988</v>
      </c>
      <c r="T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1:40" ht="20.399999999999999" hidden="1" customHeight="1">
      <c r="A69" s="260" t="str">
        <f t="shared" si="1"/>
        <v>Véhicules neufs[...]</v>
      </c>
      <c r="B69" s="7" t="str">
        <f t="shared" si="0"/>
        <v>Véhicules neufs</v>
      </c>
      <c r="C69" s="26" t="s">
        <v>19</v>
      </c>
      <c r="D69" s="54"/>
      <c r="E69" s="7"/>
      <c r="F69" s="19" t="e">
        <f>+SUM(START:END!F69)</f>
        <v>#N/A</v>
      </c>
      <c r="G69" s="56"/>
      <c r="H69" s="7"/>
      <c r="I69" s="19">
        <f>+SUM(START:END!I69)</f>
        <v>0</v>
      </c>
      <c r="J69" s="26"/>
      <c r="K69" s="7"/>
      <c r="L69" s="39">
        <f>+SUM(START:END!L69)</f>
        <v>0</v>
      </c>
      <c r="M69" s="26"/>
      <c r="N69" s="39" t="e">
        <f t="shared" si="16"/>
        <v>#N/A</v>
      </c>
      <c r="O69" s="26"/>
      <c r="P69" s="7"/>
      <c r="Q69" s="39">
        <f>+SUM(START:END!Q69)</f>
        <v>0</v>
      </c>
      <c r="R69" s="26"/>
      <c r="S69" s="39">
        <f>L69-Q69</f>
        <v>0</v>
      </c>
      <c r="T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1:40" ht="20.399999999999999" hidden="1" customHeight="1">
      <c r="A70" s="260" t="str">
        <f t="shared" si="1"/>
        <v>Véhicules neufs[...]</v>
      </c>
      <c r="B70" s="7" t="str">
        <f t="shared" si="0"/>
        <v>Véhicules neufs</v>
      </c>
      <c r="C70" s="26" t="s">
        <v>19</v>
      </c>
      <c r="D70" s="54"/>
      <c r="E70" s="7"/>
      <c r="F70" s="19" t="e">
        <f>+SUM(START:END!F70)</f>
        <v>#N/A</v>
      </c>
      <c r="G70" s="56"/>
      <c r="H70" s="7"/>
      <c r="I70" s="19">
        <f>+SUM(START:END!I70)</f>
        <v>0</v>
      </c>
      <c r="J70" s="26"/>
      <c r="K70" s="7"/>
      <c r="L70" s="39">
        <f>+SUM(START:END!L70)</f>
        <v>0</v>
      </c>
      <c r="M70" s="26"/>
      <c r="N70" s="39" t="e">
        <f t="shared" si="16"/>
        <v>#N/A</v>
      </c>
      <c r="O70" s="26"/>
      <c r="P70" s="7"/>
      <c r="Q70" s="39">
        <f>+SUM(START:END!Q70)</f>
        <v>0</v>
      </c>
      <c r="R70" s="26"/>
      <c r="S70" s="39">
        <f t="shared" si="17"/>
        <v>0</v>
      </c>
      <c r="T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1:40" ht="20.399999999999999" hidden="1" customHeight="1">
      <c r="A71" s="260" t="str">
        <f t="shared" si="1"/>
        <v>Véhicules neufs[...]</v>
      </c>
      <c r="B71" s="7" t="str">
        <f t="shared" si="0"/>
        <v>Véhicules neufs</v>
      </c>
      <c r="C71" s="26" t="s">
        <v>19</v>
      </c>
      <c r="D71" s="54"/>
      <c r="E71" s="7"/>
      <c r="F71" s="19" t="e">
        <f>+SUM(START:END!F71)</f>
        <v>#N/A</v>
      </c>
      <c r="G71" s="56"/>
      <c r="H71" s="7"/>
      <c r="I71" s="19">
        <f>+SUM(START:END!I71)</f>
        <v>0</v>
      </c>
      <c r="J71" s="26"/>
      <c r="K71" s="7"/>
      <c r="L71" s="39">
        <f>+SUM(START:END!L71)</f>
        <v>0</v>
      </c>
      <c r="M71" s="26"/>
      <c r="N71" s="39" t="e">
        <f t="shared" si="16"/>
        <v>#N/A</v>
      </c>
      <c r="O71" s="26"/>
      <c r="P71" s="7"/>
      <c r="Q71" s="39">
        <f>+SUM(START:END!Q71)</f>
        <v>0</v>
      </c>
      <c r="R71" s="26"/>
      <c r="S71" s="39">
        <f t="shared" si="17"/>
        <v>0</v>
      </c>
      <c r="T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1:40" ht="18.600000000000001" customHeight="1">
      <c r="A72" s="260" t="str">
        <f t="shared" si="1"/>
        <v>Véhicules neufsTOTAL SEMI-FIXES</v>
      </c>
      <c r="B72" s="7" t="str">
        <f t="shared" si="0"/>
        <v>Véhicules neufs</v>
      </c>
      <c r="C72" s="139" t="s">
        <v>63</v>
      </c>
      <c r="D72" s="62" t="s">
        <v>38</v>
      </c>
      <c r="E72" s="63" t="e">
        <f>F72/F$27</f>
        <v>#N/A</v>
      </c>
      <c r="F72" s="64" t="e">
        <f>+SUM(F55:F71)</f>
        <v>#N/A</v>
      </c>
      <c r="G72" s="65" t="s">
        <v>38</v>
      </c>
      <c r="H72" s="63" t="e">
        <f>I72/I$27</f>
        <v>#DIV/0!</v>
      </c>
      <c r="I72" s="64">
        <f>+SUM(I55:I71)</f>
        <v>0</v>
      </c>
      <c r="J72" s="65" t="s">
        <v>38</v>
      </c>
      <c r="K72" s="63">
        <f>L72/L$27</f>
        <v>0.13005996836608452</v>
      </c>
      <c r="L72" s="64">
        <f>+SUM(L55:L71)</f>
        <v>71840.299999999988</v>
      </c>
      <c r="M72" s="66"/>
      <c r="N72" s="64" t="e">
        <f>+SUM(N55:N71)</f>
        <v>#N/A</v>
      </c>
      <c r="O72" s="65" t="s">
        <v>38</v>
      </c>
      <c r="P72" s="63">
        <f>Q72/Q$27</f>
        <v>0.13186939965985078</v>
      </c>
      <c r="Q72" s="64">
        <f>+SUM(Q55:Q71)</f>
        <v>114519.41</v>
      </c>
      <c r="R72" s="67"/>
      <c r="S72" s="64">
        <f>+SUM(S55:S71)</f>
        <v>-42679.109999999986</v>
      </c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1:40" ht="15.75" customHeight="1">
      <c r="A73" s="260" t="str">
        <f t="shared" si="1"/>
        <v>Véhicules neufs</v>
      </c>
      <c r="B73" s="7" t="str">
        <f t="shared" si="0"/>
        <v>Véhicules neufs</v>
      </c>
      <c r="C73" s="14"/>
      <c r="D73" s="57"/>
      <c r="E73" s="73"/>
      <c r="F73" s="39"/>
      <c r="G73" s="59"/>
      <c r="H73" s="73"/>
      <c r="I73" s="39"/>
      <c r="J73" s="14"/>
      <c r="K73" s="73"/>
      <c r="L73" s="61"/>
      <c r="M73" s="14"/>
      <c r="N73" s="61"/>
      <c r="O73" s="14"/>
      <c r="P73" s="73"/>
      <c r="Q73" s="61"/>
      <c r="R73" s="14"/>
      <c r="S73" s="61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1:40" ht="18.600000000000001" customHeight="1">
      <c r="A74" s="260" t="str">
        <f t="shared" si="1"/>
        <v>Véhicules neufsTOTAL DES DÉPENSES</v>
      </c>
      <c r="B74" s="7" t="str">
        <f t="shared" si="0"/>
        <v>Véhicules neufs</v>
      </c>
      <c r="C74" s="139" t="s">
        <v>64</v>
      </c>
      <c r="D74" s="62" t="s">
        <v>38</v>
      </c>
      <c r="E74" s="63" t="e">
        <f>F74/F$27</f>
        <v>#N/A</v>
      </c>
      <c r="F74" s="64" t="e">
        <f>F41+F54+F72</f>
        <v>#N/A</v>
      </c>
      <c r="G74" s="65" t="s">
        <v>38</v>
      </c>
      <c r="H74" s="63" t="e">
        <f>I74/I$27</f>
        <v>#DIV/0!</v>
      </c>
      <c r="I74" s="64">
        <f>I41+I54+I72</f>
        <v>0</v>
      </c>
      <c r="J74" s="65" t="s">
        <v>38</v>
      </c>
      <c r="K74" s="63">
        <f>L74/L$27</f>
        <v>0.40108751694017131</v>
      </c>
      <c r="L74" s="64">
        <f>L41+L54+L72</f>
        <v>221545.86</v>
      </c>
      <c r="M74" s="66"/>
      <c r="N74" s="64" t="e">
        <f t="shared" ref="N74:N82" si="18">L74-F74</f>
        <v>#N/A</v>
      </c>
      <c r="O74" s="65" t="s">
        <v>38</v>
      </c>
      <c r="P74" s="63">
        <f>Q74/Q$27</f>
        <v>0.23711347958053239</v>
      </c>
      <c r="Q74" s="64">
        <f>Q41+Q54+Q72</f>
        <v>205916.57999999987</v>
      </c>
      <c r="R74" s="67"/>
      <c r="S74" s="64">
        <f>L74-Q74</f>
        <v>15629.280000000115</v>
      </c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1:40" ht="16.2" customHeight="1">
      <c r="A75" s="260" t="str">
        <f t="shared" si="1"/>
        <v>Véhicules neufsRBSC neuf</v>
      </c>
      <c r="B75" s="7" t="str">
        <f t="shared" si="0"/>
        <v>Véhicules neufs</v>
      </c>
      <c r="C75" s="26" t="s">
        <v>214</v>
      </c>
      <c r="D75" s="54"/>
      <c r="E75" s="7"/>
      <c r="F75" s="19" t="e">
        <f>+SUM(START:END!F75)</f>
        <v>#N/A</v>
      </c>
      <c r="G75" s="56"/>
      <c r="H75" s="7"/>
      <c r="I75" s="19">
        <f>+SUM(START:END!I75)</f>
        <v>0</v>
      </c>
      <c r="J75" s="26"/>
      <c r="K75" s="7"/>
      <c r="L75" s="39">
        <f>+SUM(START:END!L75)</f>
        <v>83421.539999999994</v>
      </c>
      <c r="M75" s="26"/>
      <c r="N75" s="39" t="e">
        <f t="shared" si="18"/>
        <v>#N/A</v>
      </c>
      <c r="O75" s="26"/>
      <c r="P75" s="7"/>
      <c r="Q75" s="39">
        <f>+SUM(START:END!Q75)</f>
        <v>77373.09</v>
      </c>
      <c r="R75" s="26"/>
      <c r="S75" s="39">
        <f>L75-Q75</f>
        <v>6048.4499999999971</v>
      </c>
      <c r="T75" s="7"/>
      <c r="U75" s="234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1:40" ht="16.2" hidden="1" customHeight="1">
      <c r="A76" s="260" t="str">
        <f t="shared" si="1"/>
        <v>Véhicules neufsProgramme neuf 2</v>
      </c>
      <c r="B76" s="7" t="str">
        <f t="shared" si="0"/>
        <v>Véhicules neufs</v>
      </c>
      <c r="C76" s="300" t="s">
        <v>187</v>
      </c>
      <c r="D76" s="54"/>
      <c r="E76" s="7"/>
      <c r="F76" s="19" t="e">
        <f>+SUM(START:END!F76)</f>
        <v>#N/A</v>
      </c>
      <c r="G76" s="56"/>
      <c r="H76" s="7"/>
      <c r="I76" s="19">
        <f>+SUM(START:END!I76)</f>
        <v>0</v>
      </c>
      <c r="J76" s="26"/>
      <c r="K76" s="7"/>
      <c r="L76" s="39">
        <f>+SUM(START:END!L76)</f>
        <v>0</v>
      </c>
      <c r="M76" s="26"/>
      <c r="N76" s="39" t="e">
        <f t="shared" si="18"/>
        <v>#N/A</v>
      </c>
      <c r="O76" s="26"/>
      <c r="P76" s="7"/>
      <c r="Q76" s="39">
        <f>+SUM(START:END!Q76)</f>
        <v>0</v>
      </c>
      <c r="R76" s="26"/>
      <c r="S76" s="39">
        <f>L76-Q76</f>
        <v>0</v>
      </c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1:40" ht="16.2" hidden="1" customHeight="1">
      <c r="A77" s="260" t="str">
        <f t="shared" si="1"/>
        <v>Véhicules neufsProgramme neuf 3</v>
      </c>
      <c r="B77" s="7" t="str">
        <f t="shared" si="0"/>
        <v>Véhicules neufs</v>
      </c>
      <c r="C77" s="300" t="s">
        <v>65</v>
      </c>
      <c r="D77" s="54"/>
      <c r="E77" s="7"/>
      <c r="F77" s="19" t="e">
        <f>+SUM(START:END!F77)</f>
        <v>#N/A</v>
      </c>
      <c r="G77" s="56"/>
      <c r="H77" s="7"/>
      <c r="I77" s="19">
        <f>+SUM(START:END!I77)</f>
        <v>0</v>
      </c>
      <c r="J77" s="26"/>
      <c r="K77" s="7"/>
      <c r="L77" s="39">
        <f>+SUM(START:END!L77)</f>
        <v>0</v>
      </c>
      <c r="M77" s="26"/>
      <c r="N77" s="39" t="e">
        <f t="shared" si="18"/>
        <v>#N/A</v>
      </c>
      <c r="O77" s="26"/>
      <c r="P77" s="7"/>
      <c r="Q77" s="39">
        <f>+SUM(START:END!Q77)</f>
        <v>0</v>
      </c>
      <c r="R77" s="26"/>
      <c r="S77" s="39">
        <f t="shared" ref="S77:S82" si="19">L77-Q77</f>
        <v>0</v>
      </c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1:40" ht="16.2" hidden="1" customHeight="1">
      <c r="A78" s="260" t="str">
        <f t="shared" si="1"/>
        <v>Véhicules neufsHoldbacks</v>
      </c>
      <c r="B78" s="7" t="str">
        <f t="shared" si="0"/>
        <v>Véhicules neufs</v>
      </c>
      <c r="C78" s="300" t="s">
        <v>66</v>
      </c>
      <c r="D78" s="54"/>
      <c r="E78" s="301"/>
      <c r="F78" s="19" t="e">
        <f>+SUM(START:END!F78)</f>
        <v>#N/A</v>
      </c>
      <c r="G78" s="56"/>
      <c r="H78" s="7"/>
      <c r="I78" s="19">
        <f>+SUM(START:END!I78)</f>
        <v>0</v>
      </c>
      <c r="J78" s="302"/>
      <c r="K78" s="301"/>
      <c r="L78" s="39">
        <f>+SUM(START:END!L78)</f>
        <v>0</v>
      </c>
      <c r="M78" s="26"/>
      <c r="N78" s="39" t="e">
        <f t="shared" si="18"/>
        <v>#N/A</v>
      </c>
      <c r="O78" s="302"/>
      <c r="P78" s="301"/>
      <c r="Q78" s="39">
        <f>+SUM(START:END!Q78)</f>
        <v>0</v>
      </c>
      <c r="R78" s="26"/>
      <c r="S78" s="39">
        <f t="shared" si="19"/>
        <v>0</v>
      </c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1:40" ht="16.2" hidden="1" customHeight="1">
      <c r="A79" s="260" t="str">
        <f t="shared" si="1"/>
        <v>Véhicules neufs[...]</v>
      </c>
      <c r="B79" s="7" t="str">
        <f t="shared" si="0"/>
        <v>Véhicules neufs</v>
      </c>
      <c r="C79" s="300" t="s">
        <v>19</v>
      </c>
      <c r="D79" s="54"/>
      <c r="E79" s="7"/>
      <c r="F79" s="19" t="e">
        <f>+SUM(START:END!F79)</f>
        <v>#N/A</v>
      </c>
      <c r="G79" s="56"/>
      <c r="H79" s="7"/>
      <c r="I79" s="19">
        <f>+SUM(START:END!I79)</f>
        <v>0</v>
      </c>
      <c r="J79" s="26"/>
      <c r="K79" s="7"/>
      <c r="L79" s="39">
        <f>+SUM(START:END!L79)</f>
        <v>0</v>
      </c>
      <c r="M79" s="26"/>
      <c r="N79" s="39" t="e">
        <f t="shared" si="18"/>
        <v>#N/A</v>
      </c>
      <c r="O79" s="26"/>
      <c r="P79" s="7"/>
      <c r="Q79" s="39">
        <f>+SUM(START:END!Q79)</f>
        <v>0</v>
      </c>
      <c r="R79" s="26"/>
      <c r="S79" s="39">
        <f>L79-Q79</f>
        <v>0</v>
      </c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1:40" ht="16.2" hidden="1" customHeight="1">
      <c r="A80" s="260" t="str">
        <f t="shared" si="1"/>
        <v>Véhicules neufs[...]</v>
      </c>
      <c r="B80" s="7" t="str">
        <f t="shared" si="0"/>
        <v>Véhicules neufs</v>
      </c>
      <c r="C80" s="300" t="s">
        <v>19</v>
      </c>
      <c r="D80" s="54"/>
      <c r="E80" s="7"/>
      <c r="F80" s="19" t="e">
        <f>+SUM(START:END!F80)</f>
        <v>#N/A</v>
      </c>
      <c r="G80" s="56"/>
      <c r="H80" s="7"/>
      <c r="I80" s="19">
        <f>+SUM(START:END!I80)</f>
        <v>0</v>
      </c>
      <c r="J80" s="26"/>
      <c r="K80" s="7"/>
      <c r="L80" s="39">
        <f>+SUM(START:END!L80)</f>
        <v>0</v>
      </c>
      <c r="M80" s="26"/>
      <c r="N80" s="39" t="e">
        <f t="shared" si="18"/>
        <v>#N/A</v>
      </c>
      <c r="O80" s="26"/>
      <c r="P80" s="7"/>
      <c r="Q80" s="39">
        <f>+SUM(START:END!Q80)</f>
        <v>0</v>
      </c>
      <c r="R80" s="26"/>
      <c r="S80" s="39">
        <f>L80-Q80</f>
        <v>0</v>
      </c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1:40" ht="16.2" hidden="1" customHeight="1">
      <c r="A81" s="260" t="str">
        <f t="shared" si="1"/>
        <v>Véhicules neufs[...]</v>
      </c>
      <c r="B81" s="7" t="str">
        <f t="shared" si="0"/>
        <v>Véhicules neufs</v>
      </c>
      <c r="C81" s="300" t="s">
        <v>19</v>
      </c>
      <c r="D81" s="54"/>
      <c r="E81" s="7"/>
      <c r="F81" s="19" t="e">
        <f>+SUM(START:END!F81)</f>
        <v>#N/A</v>
      </c>
      <c r="G81" s="56"/>
      <c r="H81" s="7"/>
      <c r="I81" s="19">
        <f>+SUM(START:END!I81)</f>
        <v>0</v>
      </c>
      <c r="J81" s="26"/>
      <c r="K81" s="7"/>
      <c r="L81" s="39">
        <f>+SUM(START:END!L81)</f>
        <v>0</v>
      </c>
      <c r="M81" s="26"/>
      <c r="N81" s="39" t="e">
        <f t="shared" si="18"/>
        <v>#N/A</v>
      </c>
      <c r="O81" s="26"/>
      <c r="P81" s="7"/>
      <c r="Q81" s="39">
        <f>+SUM(START:END!Q81)</f>
        <v>0</v>
      </c>
      <c r="R81" s="26"/>
      <c r="S81" s="39">
        <f>L81-Q81</f>
        <v>0</v>
      </c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1:40" ht="16.2" customHeight="1">
      <c r="A82" s="234" t="str">
        <f t="shared" si="1"/>
        <v>Véhicules neufsFrais administration</v>
      </c>
      <c r="B82" s="7" t="str">
        <f t="shared" si="0"/>
        <v>Véhicules neufs</v>
      </c>
      <c r="C82" s="26" t="s">
        <v>67</v>
      </c>
      <c r="D82" s="303"/>
      <c r="E82" s="274"/>
      <c r="F82" s="19" t="e">
        <f>+SUM(START:END!F82)</f>
        <v>#N/A</v>
      </c>
      <c r="G82" s="56"/>
      <c r="H82" s="7"/>
      <c r="I82" s="19">
        <f>+SUM(START:END!I82)</f>
        <v>0</v>
      </c>
      <c r="J82" s="275"/>
      <c r="K82" s="274"/>
      <c r="L82" s="39">
        <f>+SUM(START:END!L82)</f>
        <v>96182</v>
      </c>
      <c r="M82" s="26"/>
      <c r="N82" s="39" t="e">
        <f t="shared" si="18"/>
        <v>#N/A</v>
      </c>
      <c r="O82" s="275"/>
      <c r="P82" s="274"/>
      <c r="Q82" s="39">
        <f>+SUM(START:END!Q82)</f>
        <v>0</v>
      </c>
      <c r="R82" s="26"/>
      <c r="S82" s="39">
        <f t="shared" si="19"/>
        <v>96182</v>
      </c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1:40" ht="18.600000000000001" customHeight="1">
      <c r="A83" s="260" t="str">
        <f t="shared" si="1"/>
        <v>Véhicules neufsAUTRES REVENUS</v>
      </c>
      <c r="B83" s="7" t="str">
        <f t="shared" si="0"/>
        <v>Véhicules neufs</v>
      </c>
      <c r="C83" s="139" t="s">
        <v>68</v>
      </c>
      <c r="D83" s="62"/>
      <c r="E83" s="63"/>
      <c r="F83" s="64" t="e">
        <f>+SUM(F75:F82)</f>
        <v>#N/A</v>
      </c>
      <c r="G83" s="65"/>
      <c r="H83" s="63"/>
      <c r="I83" s="64">
        <f>+SUM(I75:I82)</f>
        <v>0</v>
      </c>
      <c r="J83" s="65"/>
      <c r="K83" s="63"/>
      <c r="L83" s="64">
        <f>+SUM(L75:L82)</f>
        <v>179603.53999999998</v>
      </c>
      <c r="M83" s="66"/>
      <c r="N83" s="64" t="e">
        <f>+SUM(N75:N82)</f>
        <v>#N/A</v>
      </c>
      <c r="O83" s="65"/>
      <c r="P83" s="63"/>
      <c r="Q83" s="64">
        <f>+SUM(Q75:Q82)</f>
        <v>77373.09</v>
      </c>
      <c r="R83" s="67"/>
      <c r="S83" s="64">
        <f>+SUM(S75:S82)</f>
        <v>102230.45</v>
      </c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1:40" ht="15.75" customHeight="1">
      <c r="A84" s="260" t="str">
        <f t="shared" si="1"/>
        <v>Véhicules neufs</v>
      </c>
      <c r="B84" s="7" t="str">
        <f t="shared" si="0"/>
        <v>Véhicules neufs</v>
      </c>
      <c r="C84" s="304"/>
      <c r="D84" s="75"/>
      <c r="E84" s="76"/>
      <c r="F84" s="77"/>
      <c r="G84" s="78"/>
      <c r="H84" s="76"/>
      <c r="I84" s="77"/>
      <c r="J84" s="79"/>
      <c r="K84" s="80"/>
      <c r="L84" s="77"/>
      <c r="M84" s="79"/>
      <c r="N84" s="81"/>
      <c r="O84" s="79"/>
      <c r="P84" s="80"/>
      <c r="Q84" s="77"/>
      <c r="R84" s="79"/>
      <c r="S84" s="81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1:40" ht="18.600000000000001" customHeight="1" thickBot="1">
      <c r="A85" s="260" t="str">
        <f t="shared" si="1"/>
        <v>Véhicules neufsPROFIT DÉPARTEMENTAL</v>
      </c>
      <c r="B85" s="7" t="str">
        <f t="shared" si="0"/>
        <v>Véhicules neufs</v>
      </c>
      <c r="C85" s="276" t="s">
        <v>69</v>
      </c>
      <c r="D85" s="277"/>
      <c r="E85" s="278"/>
      <c r="F85" s="138" t="e">
        <f>F27-F74+F83</f>
        <v>#N/A</v>
      </c>
      <c r="G85" s="279"/>
      <c r="H85" s="278"/>
      <c r="I85" s="138">
        <f>I27-I74+I83</f>
        <v>0</v>
      </c>
      <c r="J85" s="279"/>
      <c r="K85" s="278"/>
      <c r="L85" s="138">
        <f>L27-L74+L83</f>
        <v>510420.57000000746</v>
      </c>
      <c r="M85" s="280"/>
      <c r="N85" s="138" t="e">
        <f>N27-N41-N54-N72+N83</f>
        <v>#N/A</v>
      </c>
      <c r="O85" s="279"/>
      <c r="P85" s="278"/>
      <c r="Q85" s="138">
        <f>Q27-Q74+Q83</f>
        <v>739887.02000001504</v>
      </c>
      <c r="R85" s="281"/>
      <c r="S85" s="138">
        <f>S27-S41-S54-S72+S83</f>
        <v>-229466.45000000758</v>
      </c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1:40" ht="15.75" customHeight="1" thickTop="1">
      <c r="B86" s="82"/>
      <c r="C86" s="82"/>
      <c r="D86" s="82"/>
      <c r="E86" s="82"/>
      <c r="F86" s="82"/>
      <c r="G86" s="82"/>
      <c r="H86" s="82"/>
      <c r="I86" s="82"/>
      <c r="J86" s="305"/>
      <c r="K86" s="82"/>
      <c r="L86" s="306"/>
      <c r="M86" s="82"/>
      <c r="N86" s="82"/>
      <c r="O86" s="82"/>
      <c r="P86" s="82"/>
      <c r="Q86" s="83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</row>
    <row r="87" spans="1:40" ht="12.75" customHeight="1">
      <c r="B87" s="82"/>
      <c r="C87" s="82"/>
      <c r="D87" s="82"/>
      <c r="E87" s="82"/>
      <c r="F87" s="82"/>
      <c r="G87" s="82"/>
      <c r="H87" s="82"/>
      <c r="I87" s="83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</row>
    <row r="88" spans="1:40" ht="15.6" hidden="1" customHeight="1"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spans="1:40" ht="33" customHeight="1">
      <c r="B89" s="2"/>
      <c r="C89" s="251" t="str">
        <f>C1</f>
        <v>Ste-Marie Auto</v>
      </c>
      <c r="D89" s="252"/>
      <c r="E89" s="253"/>
      <c r="F89" s="252"/>
      <c r="G89" s="252"/>
      <c r="H89" s="254"/>
      <c r="I89" s="252"/>
      <c r="J89" s="254"/>
      <c r="K89" s="255" t="s">
        <v>70</v>
      </c>
      <c r="L89" s="252"/>
      <c r="M89" s="252"/>
      <c r="N89" s="256"/>
      <c r="O89" s="251"/>
      <c r="P89" s="257"/>
      <c r="Q89" s="251"/>
      <c r="R89" s="257"/>
      <c r="S89" s="258" t="str">
        <f>$S$1</f>
        <v>Réalisé  Q2 2026</v>
      </c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15.75" customHeight="1" thickBot="1">
      <c r="B90" s="3"/>
      <c r="C90" s="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spans="1:40" ht="15.75" customHeight="1" thickTop="1">
      <c r="B91" s="7"/>
      <c r="C91" s="259"/>
      <c r="D91" s="407" t="s">
        <v>5</v>
      </c>
      <c r="E91" s="408"/>
      <c r="F91" s="406"/>
      <c r="G91" s="405" t="s">
        <v>71</v>
      </c>
      <c r="H91" s="408"/>
      <c r="I91" s="406"/>
      <c r="J91" s="405" t="s">
        <v>7</v>
      </c>
      <c r="K91" s="408"/>
      <c r="L91" s="406"/>
      <c r="M91" s="405" t="s">
        <v>211</v>
      </c>
      <c r="N91" s="406"/>
      <c r="O91" s="407" t="s">
        <v>8</v>
      </c>
      <c r="P91" s="408"/>
      <c r="Q91" s="406"/>
      <c r="R91" s="405" t="s">
        <v>212</v>
      </c>
      <c r="S91" s="406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1:40" ht="15.75" customHeight="1">
      <c r="B92" s="7"/>
      <c r="C92" s="26"/>
      <c r="D92" s="8" t="s">
        <v>10</v>
      </c>
      <c r="E92" s="9" t="s">
        <v>11</v>
      </c>
      <c r="F92" s="10" t="s">
        <v>12</v>
      </c>
      <c r="G92" s="11" t="s">
        <v>10</v>
      </c>
      <c r="H92" s="9" t="s">
        <v>11</v>
      </c>
      <c r="I92" s="10" t="s">
        <v>12</v>
      </c>
      <c r="J92" s="11" t="s">
        <v>10</v>
      </c>
      <c r="K92" s="9" t="s">
        <v>13</v>
      </c>
      <c r="L92" s="10" t="s">
        <v>12</v>
      </c>
      <c r="M92" s="11" t="s">
        <v>213</v>
      </c>
      <c r="N92" s="10" t="s">
        <v>215</v>
      </c>
      <c r="O92" s="9" t="s">
        <v>10</v>
      </c>
      <c r="P92" s="9" t="s">
        <v>13</v>
      </c>
      <c r="Q92" s="10" t="s">
        <v>12</v>
      </c>
      <c r="R92" s="11" t="s">
        <v>10</v>
      </c>
      <c r="S92" s="10" t="s">
        <v>12</v>
      </c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1:40" ht="24" customHeight="1">
      <c r="A93" s="260" t="str">
        <f t="shared" ref="A93:A99" si="20">+B93&amp;C93</f>
        <v>Véhicules usagésVentes nettes</v>
      </c>
      <c r="B93" s="7" t="s">
        <v>70</v>
      </c>
      <c r="C93" s="14" t="s">
        <v>14</v>
      </c>
      <c r="D93" s="30"/>
      <c r="E93" s="30"/>
      <c r="F93" s="31" t="e">
        <f>+SUM(START:END!F93)</f>
        <v>#N/A</v>
      </c>
      <c r="G93" s="34"/>
      <c r="H93" s="30"/>
      <c r="I93" s="31">
        <f>+SUM(START:END!I93)</f>
        <v>0</v>
      </c>
      <c r="J93" s="14"/>
      <c r="K93" s="58"/>
      <c r="L93" s="61">
        <f>+SUM(START:END!L93)</f>
        <v>4914042.3899999987</v>
      </c>
      <c r="M93" s="86"/>
      <c r="N93" s="87"/>
      <c r="O93" s="14"/>
      <c r="P93" s="58"/>
      <c r="Q93" s="61">
        <f>+SUM(START:END!Q93)</f>
        <v>8423659.0399999991</v>
      </c>
      <c r="R93" s="307"/>
      <c r="S93" s="286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1:40" ht="21.75" customHeight="1">
      <c r="A94" s="260" t="str">
        <f t="shared" si="20"/>
        <v>Véhicules usagésCertifié</v>
      </c>
      <c r="B94" s="7" t="s">
        <v>70</v>
      </c>
      <c r="C94" s="26" t="s">
        <v>72</v>
      </c>
      <c r="D94" s="19" t="e">
        <f>+SUM(START:END!D94)</f>
        <v>#N/A</v>
      </c>
      <c r="E94" s="19" t="e">
        <f>IF(D94=0,0,F94/D94)</f>
        <v>#N/A</v>
      </c>
      <c r="F94" s="19" t="e">
        <f>+SUM(START:END!F94)</f>
        <v>#N/A</v>
      </c>
      <c r="G94" s="20">
        <f>+SUM(START:END!G94)</f>
        <v>0</v>
      </c>
      <c r="H94" s="19">
        <f t="shared" ref="H94:H98" si="21">IF(G94=0,0,I94/G94)</f>
        <v>0</v>
      </c>
      <c r="I94" s="19">
        <f>+SUM(START:END!I94)</f>
        <v>0</v>
      </c>
      <c r="J94" s="20">
        <f>+SUM(START:END!J94)</f>
        <v>0</v>
      </c>
      <c r="K94" s="55">
        <f>IF(J94=0,0,L94/J94)</f>
        <v>0</v>
      </c>
      <c r="L94" s="39">
        <f>+SUM(START:END!L94)</f>
        <v>0</v>
      </c>
      <c r="M94" s="20" t="e">
        <f>J94-D94</f>
        <v>#N/A</v>
      </c>
      <c r="N94" s="21" t="e">
        <f>L94-F94</f>
        <v>#N/A</v>
      </c>
      <c r="O94" s="20">
        <f>+SUM(START:END!O94)</f>
        <v>0</v>
      </c>
      <c r="P94" s="55">
        <f>IF(O94=0,0,Q94/O94)</f>
        <v>0</v>
      </c>
      <c r="Q94" s="39">
        <f>+SUM(START:END!Q94)</f>
        <v>0</v>
      </c>
      <c r="R94" s="20">
        <f>J94-O94</f>
        <v>0</v>
      </c>
      <c r="S94" s="39">
        <f>L94-Q94</f>
        <v>0</v>
      </c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1:40" ht="18.75" customHeight="1">
      <c r="A95" s="260" t="str">
        <f t="shared" si="20"/>
        <v>Véhicules usagésNon Certifié</v>
      </c>
      <c r="B95" s="7" t="s">
        <v>70</v>
      </c>
      <c r="C95" s="26" t="s">
        <v>73</v>
      </c>
      <c r="D95" s="19" t="e">
        <f>+SUM(START:END!D95)</f>
        <v>#N/A</v>
      </c>
      <c r="E95" s="19" t="e">
        <f>IF(D95=0,0,F95/D95)</f>
        <v>#N/A</v>
      </c>
      <c r="F95" s="19" t="e">
        <f>+SUM(START:END!F95)</f>
        <v>#N/A</v>
      </c>
      <c r="G95" s="20">
        <f>+SUM(START:END!G95)</f>
        <v>0</v>
      </c>
      <c r="H95" s="19">
        <f t="shared" si="21"/>
        <v>0</v>
      </c>
      <c r="I95" s="19">
        <f>+SUM(START:END!I95)</f>
        <v>0</v>
      </c>
      <c r="J95" s="20">
        <f>+SUM(START:END!J95)</f>
        <v>69</v>
      </c>
      <c r="K95" s="55">
        <f>IF(J95=0,0,L95/J95)</f>
        <v>936.93043478261143</v>
      </c>
      <c r="L95" s="39">
        <f>+SUM(START:END!L95)</f>
        <v>64648.200000000186</v>
      </c>
      <c r="M95" s="20" t="e">
        <f>J95-D95</f>
        <v>#N/A</v>
      </c>
      <c r="N95" s="21" t="e">
        <f>L95-F95</f>
        <v>#N/A</v>
      </c>
      <c r="O95" s="20">
        <f>+SUM(START:END!O95)</f>
        <v>42</v>
      </c>
      <c r="P95" s="55">
        <f>IF(O95=0,0,Q95/O95)</f>
        <v>842.59714285713903</v>
      </c>
      <c r="Q95" s="39">
        <f>+SUM(START:END!Q95)</f>
        <v>35389.079999999842</v>
      </c>
      <c r="R95" s="20">
        <f>J95-O95</f>
        <v>27</v>
      </c>
      <c r="S95" s="39">
        <f>L95-Q95</f>
        <v>29259.120000000345</v>
      </c>
      <c r="T95" s="7"/>
      <c r="U95" s="7"/>
      <c r="V95" s="88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1:40" ht="18.75" customHeight="1">
      <c r="A96" s="260" t="str">
        <f>+B96&amp;C96</f>
        <v>Véhicules usagésAutres marques</v>
      </c>
      <c r="B96" s="7" t="s">
        <v>70</v>
      </c>
      <c r="C96" s="26" t="s">
        <v>206</v>
      </c>
      <c r="D96" s="19" t="e">
        <f>+SUM(START:END!D96)</f>
        <v>#N/A</v>
      </c>
      <c r="E96" s="30" t="e">
        <f>IF(D96=0,0,F96/D96)</f>
        <v>#N/A</v>
      </c>
      <c r="F96" s="19" t="e">
        <f>+SUM(START:END!F96)</f>
        <v>#N/A</v>
      </c>
      <c r="G96" s="20">
        <f>+SUM(START:END!G96)</f>
        <v>0</v>
      </c>
      <c r="H96" s="19">
        <f t="shared" si="21"/>
        <v>0</v>
      </c>
      <c r="I96" s="19">
        <f>+SUM(START:END!I96)</f>
        <v>0</v>
      </c>
      <c r="J96" s="20">
        <f>+SUM(START:END!J96)</f>
        <v>0</v>
      </c>
      <c r="K96" s="58">
        <f>IF(J96=0,0,L96/J96)</f>
        <v>0</v>
      </c>
      <c r="L96" s="39">
        <f>+SUM(START:END!L96)</f>
        <v>0</v>
      </c>
      <c r="M96" s="20" t="e">
        <f>J96-D96</f>
        <v>#N/A</v>
      </c>
      <c r="N96" s="21" t="e">
        <f>L96-F96</f>
        <v>#N/A</v>
      </c>
      <c r="O96" s="20">
        <f>+SUM(START:END!O96)</f>
        <v>0</v>
      </c>
      <c r="P96" s="58">
        <f>IF(O96=0,0,Q96/O96)</f>
        <v>0</v>
      </c>
      <c r="Q96" s="39">
        <f>+SUM(START:END!Q96)</f>
        <v>0</v>
      </c>
      <c r="R96" s="20">
        <f>J96-O96</f>
        <v>0</v>
      </c>
      <c r="S96" s="39">
        <f>L96-Q96</f>
        <v>0</v>
      </c>
      <c r="T96" s="7"/>
      <c r="V96" s="88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1:40" ht="18.75" customHeight="1">
      <c r="A97" s="260" t="str">
        <f t="shared" si="20"/>
        <v>Véhicules usagésTotal Usagés</v>
      </c>
      <c r="B97" s="7" t="s">
        <v>70</v>
      </c>
      <c r="C97" s="289" t="s">
        <v>74</v>
      </c>
      <c r="D97" s="22" t="e">
        <f>+D95+D94+D96</f>
        <v>#N/A</v>
      </c>
      <c r="E97" s="290" t="e">
        <f>IF(D97=0,0,F97/D97)</f>
        <v>#N/A</v>
      </c>
      <c r="F97" s="23" t="e">
        <f>+F94+F95+F96</f>
        <v>#N/A</v>
      </c>
      <c r="G97" s="24">
        <f>+G95+G94+G96</f>
        <v>0</v>
      </c>
      <c r="H97" s="22">
        <f t="shared" si="21"/>
        <v>0</v>
      </c>
      <c r="I97" s="23">
        <f>+I94+I95+I96</f>
        <v>0</v>
      </c>
      <c r="J97" s="24">
        <f>+J95+J94+J96</f>
        <v>69</v>
      </c>
      <c r="K97" s="74">
        <f>IF(J97=0,0,L97/J97)</f>
        <v>936.93043478261143</v>
      </c>
      <c r="L97" s="123">
        <f>+L94+L95+L96</f>
        <v>64648.200000000186</v>
      </c>
      <c r="M97" s="24" t="e">
        <f>J97-D97</f>
        <v>#N/A</v>
      </c>
      <c r="N97" s="23" t="e">
        <f>L97-F97</f>
        <v>#N/A</v>
      </c>
      <c r="O97" s="22">
        <f>+O95+O94+O96</f>
        <v>42</v>
      </c>
      <c r="P97" s="74">
        <f>IF(O97&lt;=0,0,Q97/O97)</f>
        <v>842.59714285713903</v>
      </c>
      <c r="Q97" s="123">
        <f>+Q94+Q95+Q96</f>
        <v>35389.079999999842</v>
      </c>
      <c r="R97" s="24">
        <f>J97-O97</f>
        <v>27</v>
      </c>
      <c r="S97" s="123">
        <f>L97-Q97</f>
        <v>29259.120000000345</v>
      </c>
      <c r="T97" s="7"/>
      <c r="U97" s="7"/>
      <c r="V97" s="7"/>
      <c r="W97" s="7"/>
      <c r="X97" s="7"/>
      <c r="Y97" s="7"/>
      <c r="Z97" s="7"/>
      <c r="AA97" s="7"/>
      <c r="AB97" s="7"/>
      <c r="AC97" s="55"/>
      <c r="AD97" s="7"/>
      <c r="AE97" s="7"/>
      <c r="AF97" s="55"/>
      <c r="AG97" s="7"/>
      <c r="AH97" s="7"/>
      <c r="AI97" s="7"/>
      <c r="AJ97" s="7"/>
      <c r="AK97" s="7"/>
      <c r="AL97" s="7"/>
      <c r="AM97" s="7"/>
      <c r="AN97" s="7"/>
    </row>
    <row r="98" spans="1:40" ht="15.75" customHeight="1">
      <c r="A98" s="260" t="str">
        <f t="shared" si="20"/>
        <v>Véhicules usagés</v>
      </c>
      <c r="B98" s="7" t="s">
        <v>70</v>
      </c>
      <c r="C98" s="52"/>
      <c r="D98" s="50"/>
      <c r="E98" s="290"/>
      <c r="F98" s="51"/>
      <c r="G98" s="52"/>
      <c r="H98" s="50">
        <f t="shared" si="21"/>
        <v>0</v>
      </c>
      <c r="I98" s="51"/>
      <c r="J98" s="52"/>
      <c r="K98" s="74"/>
      <c r="L98" s="112"/>
      <c r="M98" s="308" t="e">
        <f>M97/D97</f>
        <v>#N/A</v>
      </c>
      <c r="N98" s="309" t="e">
        <f>N97/F97</f>
        <v>#N/A</v>
      </c>
      <c r="O98" s="52"/>
      <c r="P98" s="74"/>
      <c r="Q98" s="112"/>
      <c r="R98" s="291">
        <f>R97/O97</f>
        <v>0.6428571428571429</v>
      </c>
      <c r="S98" s="28">
        <f>IF(Q97=0,0,(S97/Q97))</f>
        <v>0.82678385535878518</v>
      </c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1:40" ht="15.75" customHeight="1">
      <c r="A99" s="260" t="str">
        <f t="shared" si="20"/>
        <v>Véhicules neufsRachat bail</v>
      </c>
      <c r="B99" s="7" t="str">
        <f t="shared" ref="B99" si="22">+$K$1</f>
        <v>Véhicules neufs</v>
      </c>
      <c r="C99" s="52" t="s">
        <v>23</v>
      </c>
      <c r="D99" s="19"/>
      <c r="E99" s="19"/>
      <c r="F99" s="19">
        <f>+SUM(START:END!F99)</f>
        <v>0</v>
      </c>
      <c r="G99" s="20"/>
      <c r="H99" s="19"/>
      <c r="I99" s="19">
        <f>+SUM(START:END!I99)</f>
        <v>0</v>
      </c>
      <c r="J99" s="20"/>
      <c r="K99" s="55"/>
      <c r="L99" s="39">
        <f>+SUM(START:END!L99)</f>
        <v>0</v>
      </c>
      <c r="M99" s="20"/>
      <c r="N99" s="21">
        <f>L99-F99</f>
        <v>0</v>
      </c>
      <c r="O99" s="20"/>
      <c r="P99" s="55"/>
      <c r="Q99" s="39">
        <f>+SUM(START:END!Q99)</f>
        <v>0</v>
      </c>
      <c r="R99" s="20">
        <f>O99-K99</f>
        <v>0</v>
      </c>
      <c r="S99" s="39">
        <f>L99-Q99</f>
        <v>0</v>
      </c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1:40" ht="15.75" customHeight="1">
      <c r="A100" s="260" t="str">
        <f t="shared" ref="A100" si="23">+B100&amp;C100</f>
        <v>Véhicules usagésUS</v>
      </c>
      <c r="B100" s="7" t="s">
        <v>70</v>
      </c>
      <c r="C100" s="52" t="s">
        <v>186</v>
      </c>
      <c r="D100" s="19">
        <f>+SUM(START:END!D100)</f>
        <v>0</v>
      </c>
      <c r="E100" s="19">
        <f>IF(D100=0,0,F100/D100)</f>
        <v>0</v>
      </c>
      <c r="F100" s="19">
        <f>+SUM(START:END!F100)</f>
        <v>0</v>
      </c>
      <c r="G100" s="20">
        <f>+SUM(START:END!G100)</f>
        <v>0</v>
      </c>
      <c r="H100" s="19">
        <f t="shared" ref="H100:H101" si="24">IF(G100=0,0,I100/G100)</f>
        <v>0</v>
      </c>
      <c r="I100" s="19">
        <f>+SUM(START:END!I100)</f>
        <v>0</v>
      </c>
      <c r="J100" s="20">
        <f>+SUM(START:END!J100)</f>
        <v>0</v>
      </c>
      <c r="K100" s="55">
        <f>IF(J100=0,0,L100/J100)</f>
        <v>0</v>
      </c>
      <c r="L100" s="39">
        <f>+SUM(START:END!L100)</f>
        <v>0</v>
      </c>
      <c r="M100" s="20"/>
      <c r="N100" s="21"/>
      <c r="O100" s="20">
        <f>+SUM(START:END!O100)</f>
        <v>0</v>
      </c>
      <c r="P100" s="55">
        <f>IF(O100=0,0,Q100/O100)</f>
        <v>0</v>
      </c>
      <c r="Q100" s="39">
        <f>+SUM(START:END!Q100)</f>
        <v>0</v>
      </c>
      <c r="R100" s="20"/>
      <c r="S100" s="39"/>
      <c r="T100" s="7"/>
      <c r="U100" s="7"/>
      <c r="V100" s="7"/>
      <c r="W100" s="19"/>
      <c r="X100" s="19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1:40" ht="17.25" customHeight="1">
      <c r="A101" s="260" t="str">
        <f t="shared" ref="A101" si="25">+B101&amp;C101</f>
        <v>Véhicules usagésVentes au Gros</v>
      </c>
      <c r="B101" s="7" t="s">
        <v>70</v>
      </c>
      <c r="C101" s="52" t="s">
        <v>75</v>
      </c>
      <c r="D101" s="19" t="e">
        <f>+SUM(START:END!D101)</f>
        <v>#N/A</v>
      </c>
      <c r="E101" s="19" t="e">
        <f>IF(D101=0,0,F101/D101)</f>
        <v>#N/A</v>
      </c>
      <c r="F101" s="19" t="e">
        <f>+SUM(START:END!F101)</f>
        <v>#N/A</v>
      </c>
      <c r="G101" s="20">
        <f>+SUM(START:END!G101)</f>
        <v>0</v>
      </c>
      <c r="H101" s="19">
        <f t="shared" si="24"/>
        <v>0</v>
      </c>
      <c r="I101" s="19">
        <f>+SUM(START:END!I101)</f>
        <v>0</v>
      </c>
      <c r="J101" s="20">
        <f>+SUM(START:END!J101)</f>
        <v>79</v>
      </c>
      <c r="K101" s="55">
        <f>IF(J101=0,0,L101/J101)</f>
        <v>-7.364050632915931</v>
      </c>
      <c r="L101" s="39">
        <f>+SUM(START:END!L101)</f>
        <v>-581.76000000035856</v>
      </c>
      <c r="M101" s="20" t="e">
        <f>J101-D101</f>
        <v>#N/A</v>
      </c>
      <c r="N101" s="21" t="e">
        <f>L101-F101</f>
        <v>#N/A</v>
      </c>
      <c r="O101" s="20">
        <f>+SUM(START:END!O101)</f>
        <v>194</v>
      </c>
      <c r="P101" s="55">
        <f>IF(O101=0,0,Q101/O101)</f>
        <v>751.20443298968905</v>
      </c>
      <c r="Q101" s="39">
        <f>+SUM(START:END!Q101)</f>
        <v>145733.65999999968</v>
      </c>
      <c r="R101" s="20">
        <f>J101-O101</f>
        <v>-115</v>
      </c>
      <c r="S101" s="39">
        <f>L101-Q101</f>
        <v>-146315.42000000004</v>
      </c>
      <c r="T101" s="7"/>
      <c r="U101" s="19"/>
      <c r="V101" s="7"/>
      <c r="W101" s="7"/>
      <c r="X101" s="7"/>
      <c r="Y101" s="7"/>
      <c r="Z101" s="7"/>
      <c r="AA101" s="7"/>
      <c r="AB101" s="7"/>
      <c r="AC101" s="55"/>
      <c r="AD101" s="7"/>
      <c r="AE101" s="7"/>
      <c r="AF101" s="89"/>
      <c r="AG101" s="7"/>
      <c r="AH101" s="7"/>
      <c r="AI101" s="7"/>
      <c r="AJ101" s="7"/>
      <c r="AK101" s="7"/>
      <c r="AL101" s="7"/>
      <c r="AM101" s="7"/>
      <c r="AN101" s="7"/>
    </row>
    <row r="102" spans="1:40" ht="15.75" customHeight="1">
      <c r="A102" s="260" t="str">
        <f t="shared" ref="A102" si="26">+B102&amp;C102</f>
        <v>Véhicules usagés</v>
      </c>
      <c r="B102" s="7" t="s">
        <v>70</v>
      </c>
      <c r="C102" s="14"/>
      <c r="D102" s="30"/>
      <c r="E102" s="30"/>
      <c r="F102" s="31"/>
      <c r="G102" s="34"/>
      <c r="H102" s="30"/>
      <c r="I102" s="31"/>
      <c r="J102" s="34"/>
      <c r="K102" s="58"/>
      <c r="L102" s="61"/>
      <c r="M102" s="32"/>
      <c r="N102" s="90"/>
      <c r="O102" s="34"/>
      <c r="P102" s="58"/>
      <c r="Q102" s="61"/>
      <c r="R102" s="32"/>
      <c r="S102" s="115"/>
      <c r="T102" s="7"/>
      <c r="U102" s="7"/>
      <c r="V102" s="7"/>
      <c r="W102" s="19"/>
      <c r="X102" s="7"/>
      <c r="Y102" s="7"/>
      <c r="Z102" s="7"/>
      <c r="AA102" s="7"/>
      <c r="AB102" s="7"/>
      <c r="AC102" s="7"/>
      <c r="AD102" s="7"/>
      <c r="AE102" s="7"/>
      <c r="AF102" s="89"/>
      <c r="AG102" s="7"/>
      <c r="AH102" s="7"/>
      <c r="AI102" s="7"/>
      <c r="AJ102" s="7"/>
      <c r="AK102" s="7"/>
      <c r="AL102" s="7"/>
      <c r="AM102" s="7"/>
      <c r="AN102" s="7"/>
    </row>
    <row r="103" spans="1:40" ht="15.75" customHeight="1">
      <c r="A103" s="260" t="str">
        <f t="shared" ref="A103" si="27">+B103&amp;C103</f>
        <v>Véhicules usagésRev. Finances</v>
      </c>
      <c r="B103" s="7" t="s">
        <v>70</v>
      </c>
      <c r="C103" s="26" t="s">
        <v>24</v>
      </c>
      <c r="D103" s="19" t="e">
        <f>+SUM(START:END!D103)</f>
        <v>#N/A</v>
      </c>
      <c r="E103" s="19" t="e">
        <f>IF(D103=0,0,F103/D103)</f>
        <v>#N/A</v>
      </c>
      <c r="F103" s="21" t="e">
        <f>+SUM(START:END!F103)</f>
        <v>#N/A</v>
      </c>
      <c r="G103" s="20">
        <f>+SUM(START:END!G103)</f>
        <v>0</v>
      </c>
      <c r="H103" s="19">
        <f>IF(G103=0,0,I103/G103)</f>
        <v>0</v>
      </c>
      <c r="I103" s="19">
        <f>+SUM(START:END!I103)</f>
        <v>0</v>
      </c>
      <c r="J103" s="20">
        <f>+SUM(START:END!J103)</f>
        <v>0</v>
      </c>
      <c r="K103" s="55">
        <f>IF(J103=0,0,L103/J103)</f>
        <v>0</v>
      </c>
      <c r="L103" s="39">
        <f>+SUM(START:END!L103)</f>
        <v>37008.239999999998</v>
      </c>
      <c r="M103" s="20"/>
      <c r="N103" s="21" t="e">
        <f>L103-F103</f>
        <v>#N/A</v>
      </c>
      <c r="O103" s="20">
        <f>+SUM(START:END!O103)</f>
        <v>0</v>
      </c>
      <c r="P103" s="55">
        <f>IF(O103=0,0,Q103/O103)</f>
        <v>0</v>
      </c>
      <c r="Q103" s="39">
        <f>+SUM(START:END!Q103)</f>
        <v>17845.86</v>
      </c>
      <c r="R103" s="40">
        <f>O103-K103</f>
        <v>0</v>
      </c>
      <c r="S103" s="39">
        <f>L103-Q103</f>
        <v>19162.379999999997</v>
      </c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1:40" ht="15.75" customHeight="1">
      <c r="A104" s="260" t="str">
        <f t="shared" ref="A104" si="28">+B104&amp;C104</f>
        <v>Véhicules usagésRev. Protections</v>
      </c>
      <c r="B104" s="7" t="s">
        <v>70</v>
      </c>
      <c r="C104" s="26" t="s">
        <v>25</v>
      </c>
      <c r="D104" s="19" t="e">
        <f>+SUM(START:END!D104)</f>
        <v>#N/A</v>
      </c>
      <c r="E104" s="19" t="e">
        <f>IF(D104=0,0,F104/D104)</f>
        <v>#N/A</v>
      </c>
      <c r="F104" s="21" t="e">
        <f>+SUM(START:END!F104)</f>
        <v>#N/A</v>
      </c>
      <c r="G104" s="20">
        <f>+SUM(START:END!G104)</f>
        <v>0</v>
      </c>
      <c r="H104" s="19">
        <f>IF(G104=0,0,I104/G104)</f>
        <v>0</v>
      </c>
      <c r="I104" s="19">
        <f>+SUM(START:END!I104)</f>
        <v>0</v>
      </c>
      <c r="J104" s="20">
        <f>+SUM(START:END!J104)</f>
        <v>0</v>
      </c>
      <c r="K104" s="55">
        <f>IF(J104=0,0,L104/J104)</f>
        <v>0</v>
      </c>
      <c r="L104" s="39">
        <f>+SUM(START:END!L104)</f>
        <v>16489.57</v>
      </c>
      <c r="M104" s="20"/>
      <c r="N104" s="21" t="e">
        <f>L104-F104</f>
        <v>#N/A</v>
      </c>
      <c r="O104" s="20">
        <f>+SUM(START:END!O104)</f>
        <v>0</v>
      </c>
      <c r="P104" s="55">
        <f>IF(O104=0,0,Q104/O104)</f>
        <v>0</v>
      </c>
      <c r="Q104" s="39">
        <f>+SUM(START:END!Q104)</f>
        <v>18248.71</v>
      </c>
      <c r="R104" s="40">
        <f>O104-K104</f>
        <v>0</v>
      </c>
      <c r="S104" s="39">
        <f>L104-Q104</f>
        <v>-1759.1399999999994</v>
      </c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1:40" ht="15.75" customHeight="1">
      <c r="A105" s="260" t="str">
        <f t="shared" ref="A105" si="29">+B105&amp;C105</f>
        <v>Véhicules usagésRev. Autres</v>
      </c>
      <c r="B105" s="7" t="s">
        <v>70</v>
      </c>
      <c r="C105" s="26" t="s">
        <v>26</v>
      </c>
      <c r="D105" s="19" t="e">
        <f>+SUM(START:END!D105)</f>
        <v>#N/A</v>
      </c>
      <c r="E105" s="30" t="e">
        <f>IF(D105=0,0,F105/D105)</f>
        <v>#N/A</v>
      </c>
      <c r="F105" s="21" t="e">
        <f>+SUM(START:END!F105)</f>
        <v>#N/A</v>
      </c>
      <c r="G105" s="20">
        <f>+SUM(START:END!G105)</f>
        <v>0</v>
      </c>
      <c r="H105" s="30">
        <f>IF(G105=0,0,I105/G105)</f>
        <v>0</v>
      </c>
      <c r="I105" s="19">
        <f>+SUM(START:END!I105)</f>
        <v>0</v>
      </c>
      <c r="J105" s="20">
        <f>+SUM(START:END!J105)</f>
        <v>0</v>
      </c>
      <c r="K105" s="58">
        <f>IF(J105=0,0,L105/J105)</f>
        <v>0</v>
      </c>
      <c r="L105" s="39">
        <f>+SUM(START:END!L105)</f>
        <v>0</v>
      </c>
      <c r="M105" s="34"/>
      <c r="N105" s="21" t="e">
        <f>L105-F105</f>
        <v>#N/A</v>
      </c>
      <c r="O105" s="20">
        <f>+SUM(START:END!O105)</f>
        <v>0</v>
      </c>
      <c r="P105" s="58">
        <f>IF(O105=0,0,Q105/O105)</f>
        <v>0</v>
      </c>
      <c r="Q105" s="39">
        <f>+SUM(START:END!Q105)</f>
        <v>0</v>
      </c>
      <c r="R105" s="40">
        <f>O105-K105</f>
        <v>0</v>
      </c>
      <c r="S105" s="39">
        <f>L105-Q105</f>
        <v>0</v>
      </c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1:40" ht="15.75" customHeight="1">
      <c r="A106" s="260" t="str">
        <f t="shared" ref="A106" si="30">+B106&amp;C106</f>
        <v>Véhicules usagésTotal F&amp;I</v>
      </c>
      <c r="B106" s="7" t="s">
        <v>70</v>
      </c>
      <c r="C106" s="289" t="s">
        <v>27</v>
      </c>
      <c r="D106" s="22">
        <f>D98</f>
        <v>0</v>
      </c>
      <c r="E106" s="290">
        <f>IF(D106=0,0,F106/D106)</f>
        <v>0</v>
      </c>
      <c r="F106" s="23" t="e">
        <f>F103+F104+F105</f>
        <v>#N/A</v>
      </c>
      <c r="G106" s="24">
        <f>G98</f>
        <v>0</v>
      </c>
      <c r="H106" s="22">
        <f>IF(G106=0,0,I106/G106)</f>
        <v>0</v>
      </c>
      <c r="I106" s="23">
        <f>I103+I104+I105</f>
        <v>0</v>
      </c>
      <c r="J106" s="24">
        <f>J98</f>
        <v>0</v>
      </c>
      <c r="K106" s="122">
        <f>IF(J106&lt;=0,0,L106/J106)</f>
        <v>0</v>
      </c>
      <c r="L106" s="123">
        <f>L103+L104+L105</f>
        <v>53497.81</v>
      </c>
      <c r="M106" s="38">
        <f>J106-D106</f>
        <v>0</v>
      </c>
      <c r="N106" s="23" t="e">
        <f>L106-F106</f>
        <v>#N/A</v>
      </c>
      <c r="O106" s="24">
        <f>O98</f>
        <v>0</v>
      </c>
      <c r="P106" s="122">
        <f>IF(O106&lt;=0,0,Q106/O106)</f>
        <v>0</v>
      </c>
      <c r="Q106" s="123">
        <f>Q103+Q104+Q105</f>
        <v>36094.57</v>
      </c>
      <c r="R106" s="124"/>
      <c r="S106" s="123">
        <f>L106-Q106</f>
        <v>17403.239999999998</v>
      </c>
      <c r="T106" s="7"/>
      <c r="U106" s="19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1:40" ht="15.75" customHeight="1">
      <c r="A107" s="260" t="str">
        <f t="shared" ref="A107" si="31">+B107&amp;C107</f>
        <v>Véhicules usagés</v>
      </c>
      <c r="B107" s="7" t="s">
        <v>70</v>
      </c>
      <c r="C107" s="52"/>
      <c r="D107" s="50"/>
      <c r="E107" s="50"/>
      <c r="F107" s="112"/>
      <c r="G107" s="52"/>
      <c r="H107" s="110"/>
      <c r="I107" s="112"/>
      <c r="J107" s="52"/>
      <c r="K107" s="74"/>
      <c r="L107" s="112"/>
      <c r="M107" s="27"/>
      <c r="N107" s="28" t="e">
        <f>N106/F106</f>
        <v>#N/A</v>
      </c>
      <c r="O107" s="52"/>
      <c r="P107" s="74"/>
      <c r="Q107" s="112"/>
      <c r="R107" s="111"/>
      <c r="S107" s="28">
        <f>IF(Q106=0,0,(S106/Q106))</f>
        <v>0.4821567343786059</v>
      </c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1:40" ht="15.75" customHeight="1" thickBot="1">
      <c r="A108" s="260" t="str">
        <f t="shared" ref="A108:A110" si="32">+B108&amp;C108</f>
        <v>Véhicules usagés</v>
      </c>
      <c r="B108" s="7" t="s">
        <v>70</v>
      </c>
      <c r="C108" s="26"/>
      <c r="D108" s="7"/>
      <c r="E108" s="7"/>
      <c r="F108" s="39"/>
      <c r="G108" s="26"/>
      <c r="H108" s="91"/>
      <c r="I108" s="39"/>
      <c r="J108" s="26"/>
      <c r="K108" s="55"/>
      <c r="L108" s="39"/>
      <c r="M108" s="27"/>
      <c r="N108" s="28"/>
      <c r="O108" s="26"/>
      <c r="P108" s="55"/>
      <c r="Q108" s="39"/>
      <c r="R108" s="40"/>
      <c r="S108" s="28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1:40" ht="18" customHeight="1" thickTop="1">
      <c r="A109" s="260" t="str">
        <f t="shared" si="32"/>
        <v>Véhicules usagésTotal Dépt. Usagés</v>
      </c>
      <c r="B109" s="7" t="s">
        <v>70</v>
      </c>
      <c r="C109" s="264" t="s">
        <v>76</v>
      </c>
      <c r="D109" s="41" t="e">
        <f>D97+D101</f>
        <v>#N/A</v>
      </c>
      <c r="E109" s="42" t="e">
        <f>IF(D109&lt;=0,0,F109/D109)</f>
        <v>#N/A</v>
      </c>
      <c r="F109" s="43" t="e">
        <f>F97+F106+F101+F99</f>
        <v>#N/A</v>
      </c>
      <c r="G109" s="44"/>
      <c r="H109" s="42"/>
      <c r="I109" s="43"/>
      <c r="J109" s="44">
        <f>J97+J101</f>
        <v>148</v>
      </c>
      <c r="K109" s="41">
        <f>IF(J109&lt;=0,0,L109/J109)</f>
        <v>794.35304054053938</v>
      </c>
      <c r="L109" s="43">
        <f>L97+L106+L101+L99</f>
        <v>117564.24999999983</v>
      </c>
      <c r="M109" s="44" t="e">
        <f>J109-D109</f>
        <v>#N/A</v>
      </c>
      <c r="N109" s="43" t="e">
        <f>L109-F109</f>
        <v>#N/A</v>
      </c>
      <c r="O109" s="44">
        <f>O97+O101</f>
        <v>236</v>
      </c>
      <c r="P109" s="41">
        <f>IF(O109&lt;=0,0,Q109/O109)</f>
        <v>920.41233050847256</v>
      </c>
      <c r="Q109" s="43">
        <f>Q97+Q106+Q101+Q99</f>
        <v>217217.30999999953</v>
      </c>
      <c r="R109" s="44">
        <f>J109-O109</f>
        <v>-88</v>
      </c>
      <c r="S109" s="43">
        <f>L109-Q109</f>
        <v>-99653.059999999707</v>
      </c>
      <c r="T109" s="7"/>
      <c r="U109" s="55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1:40" ht="22.5" customHeight="1" thickBot="1">
      <c r="A110" s="260" t="str">
        <f t="shared" si="32"/>
        <v>Véhicules usagés</v>
      </c>
      <c r="B110" s="7" t="s">
        <v>70</v>
      </c>
      <c r="C110" s="47"/>
      <c r="D110" s="45"/>
      <c r="E110" s="45"/>
      <c r="F110" s="46"/>
      <c r="G110" s="47"/>
      <c r="H110" s="45"/>
      <c r="I110" s="46"/>
      <c r="J110" s="47"/>
      <c r="K110" s="265"/>
      <c r="L110" s="266"/>
      <c r="M110" s="48" t="e">
        <f>M109/D109</f>
        <v>#N/A</v>
      </c>
      <c r="N110" s="49" t="e">
        <f>N109/F109</f>
        <v>#N/A</v>
      </c>
      <c r="O110" s="47"/>
      <c r="P110" s="265"/>
      <c r="Q110" s="266"/>
      <c r="R110" s="48">
        <f>O109/R109</f>
        <v>-2.6818181818181817</v>
      </c>
      <c r="S110" s="267">
        <f>IF(Q109=0,0,(S109/Q109))</f>
        <v>-0.4587712645921263</v>
      </c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1:40" ht="15.75" customHeight="1" thickTop="1">
      <c r="A111" s="260" t="str">
        <f t="shared" ref="A111" si="33">+B111&amp;C111</f>
        <v>Véhicules usagés</v>
      </c>
      <c r="B111" s="7" t="s">
        <v>70</v>
      </c>
      <c r="C111" s="52"/>
      <c r="D111" s="50"/>
      <c r="E111" s="50"/>
      <c r="F111" s="51"/>
      <c r="G111" s="52"/>
      <c r="H111" s="50"/>
      <c r="I111" s="51"/>
      <c r="J111" s="52"/>
      <c r="K111" s="74"/>
      <c r="L111" s="112"/>
      <c r="M111" s="27"/>
      <c r="N111" s="28"/>
      <c r="O111" s="52"/>
      <c r="P111" s="74"/>
      <c r="Q111" s="112"/>
      <c r="R111" s="27"/>
      <c r="S111" s="112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1:40" ht="15.75" customHeight="1">
      <c r="A112" s="260" t="str">
        <f t="shared" ref="A112" si="34">+B112&amp;C112</f>
        <v>Véhicules usagésDEPENSES</v>
      </c>
      <c r="B112" s="7" t="s">
        <v>70</v>
      </c>
      <c r="C112" s="268" t="s">
        <v>29</v>
      </c>
      <c r="D112" s="7"/>
      <c r="E112" s="53"/>
      <c r="F112" s="39"/>
      <c r="G112" s="26"/>
      <c r="H112" s="53"/>
      <c r="I112" s="39"/>
      <c r="J112" s="26"/>
      <c r="K112" s="269"/>
      <c r="L112" s="39"/>
      <c r="M112" s="26"/>
      <c r="N112" s="25"/>
      <c r="O112" s="26"/>
      <c r="P112" s="269"/>
      <c r="Q112" s="39"/>
      <c r="R112" s="26"/>
      <c r="S112" s="39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1:40" ht="15.75" customHeight="1">
      <c r="A113" s="260" t="str">
        <f t="shared" ref="A113" si="35">+B113&amp;C113</f>
        <v>Véhicules usagésComm. vendeurs</v>
      </c>
      <c r="B113" s="7" t="s">
        <v>70</v>
      </c>
      <c r="C113" s="26" t="s">
        <v>30</v>
      </c>
      <c r="D113" s="93" t="e">
        <f>F113/(F98+F106)</f>
        <v>#N/A</v>
      </c>
      <c r="E113" s="55" t="e">
        <f>F113/D$97</f>
        <v>#N/A</v>
      </c>
      <c r="F113" s="19" t="e">
        <f>+SUM(START:END!F113)</f>
        <v>#N/A</v>
      </c>
      <c r="G113" s="99" t="e">
        <f>I113/I98</f>
        <v>#DIV/0!</v>
      </c>
      <c r="H113" s="55" t="e">
        <f>I113/G$97</f>
        <v>#DIV/0!</v>
      </c>
      <c r="I113" s="19">
        <f>+SUM(START:END!I113)</f>
        <v>0</v>
      </c>
      <c r="J113" s="99" t="e">
        <f>L113/L98</f>
        <v>#DIV/0!</v>
      </c>
      <c r="K113" s="55">
        <f>IF($J$97=0,0,L113/(J$94+J$95))</f>
        <v>258.4421739130434</v>
      </c>
      <c r="L113" s="39">
        <f>+SUM(START:END!L113)</f>
        <v>17832.509999999995</v>
      </c>
      <c r="M113" s="26"/>
      <c r="N113" s="39" t="e">
        <f t="shared" ref="N113:N131" si="36">L113-F113</f>
        <v>#N/A</v>
      </c>
      <c r="O113" s="99" t="e">
        <f>Q113/Q98</f>
        <v>#DIV/0!</v>
      </c>
      <c r="P113" s="55">
        <f>IF($J$97=0,0,Q113/(O$94+O$95))</f>
        <v>2133.3683333333333</v>
      </c>
      <c r="Q113" s="39">
        <f>+SUM(START:END!Q113)</f>
        <v>89601.47</v>
      </c>
      <c r="R113" s="26"/>
      <c r="S113" s="39">
        <f t="shared" ref="S113:S118" si="37">L113-Q113</f>
        <v>-71768.960000000006</v>
      </c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1:40" ht="15.75" customHeight="1">
      <c r="A114" s="260" t="str">
        <f t="shared" ref="A114" si="38">+B114&amp;C114</f>
        <v>Véhicules usagésComm. F&amp;I</v>
      </c>
      <c r="B114" s="7" t="s">
        <v>70</v>
      </c>
      <c r="C114" s="14" t="s">
        <v>31</v>
      </c>
      <c r="D114" s="310" t="e">
        <f>F114/(F106+F20)</f>
        <v>#N/A</v>
      </c>
      <c r="E114" s="58" t="e">
        <f>F114/D$97</f>
        <v>#N/A</v>
      </c>
      <c r="F114" s="31" t="e">
        <f>+SUM(START:END!F114)</f>
        <v>#N/A</v>
      </c>
      <c r="G114" s="104" t="e">
        <f>I114/I99</f>
        <v>#DIV/0!</v>
      </c>
      <c r="H114" s="58" t="e">
        <f>I114/G$97</f>
        <v>#DIV/0!</v>
      </c>
      <c r="I114" s="31">
        <f>+SUM(START:END!I114)</f>
        <v>0</v>
      </c>
      <c r="J114" s="104">
        <f>L114/L106</f>
        <v>0.24466777238171056</v>
      </c>
      <c r="K114" s="58">
        <f>IF($J$97=0,0,L114/(J$94+J$95))</f>
        <v>189.69840579710143</v>
      </c>
      <c r="L114" s="39">
        <f>+SUM(START:END!L114)</f>
        <v>13089.189999999999</v>
      </c>
      <c r="M114" s="14"/>
      <c r="N114" s="61" t="e">
        <f t="shared" si="36"/>
        <v>#N/A</v>
      </c>
      <c r="O114" s="104">
        <f>Q114/(Q106+Q20)</f>
        <v>0.25971080968688637</v>
      </c>
      <c r="P114" s="58">
        <f>IF($J$97=0,0,Q114/(O$94+O$95))</f>
        <v>223.19404761904758</v>
      </c>
      <c r="Q114" s="39">
        <f>+SUM(START:END!Q114)</f>
        <v>9374.1499999999978</v>
      </c>
      <c r="R114" s="14"/>
      <c r="S114" s="61">
        <f t="shared" si="37"/>
        <v>3715.0400000000009</v>
      </c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1:40" ht="15.75" customHeight="1">
      <c r="A115" s="260" t="str">
        <f t="shared" ref="A115" si="39">+B115&amp;C115</f>
        <v>Véhicules usagésFrais de livraison</v>
      </c>
      <c r="B115" s="7" t="s">
        <v>70</v>
      </c>
      <c r="C115" s="26" t="s">
        <v>32</v>
      </c>
      <c r="D115" s="54"/>
      <c r="E115" s="55" t="e">
        <f>F115/D$97</f>
        <v>#N/A</v>
      </c>
      <c r="F115" s="19" t="e">
        <f>+SUM(START:END!F115)</f>
        <v>#N/A</v>
      </c>
      <c r="G115" s="56"/>
      <c r="H115" s="55" t="e">
        <f>I115/G$97</f>
        <v>#DIV/0!</v>
      </c>
      <c r="I115" s="19">
        <f>+SUM(START:END!I115)</f>
        <v>0</v>
      </c>
      <c r="J115" s="26"/>
      <c r="K115" s="55">
        <f>IF($J$97=0,0,L115/(J$94+J$95))</f>
        <v>-21.615217391304359</v>
      </c>
      <c r="L115" s="72">
        <f>+SUM(START:END!L115)</f>
        <v>-1491.4500000000007</v>
      </c>
      <c r="M115" s="26"/>
      <c r="N115" s="39" t="e">
        <f t="shared" si="36"/>
        <v>#N/A</v>
      </c>
      <c r="O115" s="26"/>
      <c r="P115" s="55">
        <f>IF($J$97=0,0,Q115/(O$94+O$95))</f>
        <v>-415.615238095238</v>
      </c>
      <c r="Q115" s="72">
        <f>+SUM(START:END!Q115)</f>
        <v>-17455.839999999997</v>
      </c>
      <c r="R115" s="26"/>
      <c r="S115" s="39">
        <f t="shared" si="37"/>
        <v>15964.389999999996</v>
      </c>
      <c r="T115" s="7"/>
      <c r="U115" s="7"/>
      <c r="V115" s="7"/>
      <c r="W115" s="19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1:40" ht="15.75" customHeight="1">
      <c r="A116" s="260" t="str">
        <f t="shared" ref="A116" si="40">+B116&amp;C116</f>
        <v>Véhicules usagésService gratuit 1</v>
      </c>
      <c r="B116" s="7" t="s">
        <v>70</v>
      </c>
      <c r="C116" s="26" t="s">
        <v>33</v>
      </c>
      <c r="D116" s="54"/>
      <c r="E116" s="55" t="e">
        <f t="shared" ref="E116:E122" si="41">F116/D$97</f>
        <v>#N/A</v>
      </c>
      <c r="F116" s="19" t="e">
        <f>+SUM(START:END!F116)</f>
        <v>#N/A</v>
      </c>
      <c r="G116" s="56"/>
      <c r="H116" s="55" t="e">
        <f t="shared" ref="H116:H122" si="42">I116/G$97</f>
        <v>#DIV/0!</v>
      </c>
      <c r="I116" s="19">
        <f>+SUM(START:END!I116)</f>
        <v>0</v>
      </c>
      <c r="J116" s="26"/>
      <c r="K116" s="55">
        <f t="shared" ref="K116:K122" si="43">IF($J$97=0,0,L116/(J$94+J$95))</f>
        <v>30.109710144927533</v>
      </c>
      <c r="L116" s="39">
        <f>+SUM(START:END!L116)</f>
        <v>2077.5699999999997</v>
      </c>
      <c r="M116" s="26"/>
      <c r="N116" s="39" t="e">
        <f t="shared" si="36"/>
        <v>#N/A</v>
      </c>
      <c r="O116" s="26"/>
      <c r="P116" s="55">
        <f t="shared" ref="P116:P122" si="44">IF($J$97=0,0,Q116/(O$94+O$95))</f>
        <v>25.24190476190476</v>
      </c>
      <c r="Q116" s="39">
        <f>+SUM(START:END!Q116)</f>
        <v>1060.1599999999999</v>
      </c>
      <c r="R116" s="26"/>
      <c r="S116" s="39">
        <f t="shared" si="37"/>
        <v>1017.4099999999999</v>
      </c>
      <c r="T116" s="7"/>
      <c r="U116" s="7"/>
      <c r="V116" s="7"/>
      <c r="W116" s="19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1:40" ht="15.75" customHeight="1">
      <c r="A117" s="260" t="str">
        <f t="shared" ref="A117" si="45">+B117&amp;C117</f>
        <v>Véhicules usagésEntretien stock</v>
      </c>
      <c r="B117" s="7" t="s">
        <v>70</v>
      </c>
      <c r="C117" s="14" t="s">
        <v>34</v>
      </c>
      <c r="D117" s="57"/>
      <c r="E117" s="58" t="e">
        <f t="shared" si="41"/>
        <v>#N/A</v>
      </c>
      <c r="F117" s="31" t="e">
        <f>+SUM(START:END!F117)</f>
        <v>#N/A</v>
      </c>
      <c r="G117" s="59"/>
      <c r="H117" s="58" t="e">
        <f t="shared" si="42"/>
        <v>#DIV/0!</v>
      </c>
      <c r="I117" s="31">
        <f>+SUM(START:END!I117)</f>
        <v>0</v>
      </c>
      <c r="J117" s="14"/>
      <c r="K117" s="58">
        <f t="shared" si="43"/>
        <v>24.090724637681159</v>
      </c>
      <c r="L117" s="61">
        <f>+SUM(START:END!L117)</f>
        <v>1662.26</v>
      </c>
      <c r="M117" s="14"/>
      <c r="N117" s="61" t="e">
        <f t="shared" si="36"/>
        <v>#N/A</v>
      </c>
      <c r="O117" s="14"/>
      <c r="P117" s="58">
        <f t="shared" si="44"/>
        <v>0</v>
      </c>
      <c r="Q117" s="61">
        <f>+SUM(START:END!Q117)</f>
        <v>0</v>
      </c>
      <c r="R117" s="14"/>
      <c r="S117" s="61">
        <f t="shared" si="37"/>
        <v>1662.26</v>
      </c>
      <c r="T117" s="7"/>
      <c r="U117" s="270"/>
      <c r="V117" s="7"/>
      <c r="W117" s="19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1:40" ht="19.5" customHeight="1">
      <c r="A118" s="260" t="str">
        <f t="shared" ref="A118" si="46">+B118&amp;C118</f>
        <v>Véhicules usagésPublicité 1</v>
      </c>
      <c r="B118" s="7" t="s">
        <v>70</v>
      </c>
      <c r="C118" s="26" t="s">
        <v>35</v>
      </c>
      <c r="D118" s="54"/>
      <c r="E118" s="55" t="e">
        <f t="shared" si="41"/>
        <v>#N/A</v>
      </c>
      <c r="F118" s="19" t="e">
        <f>+SUM(START:END!F118)</f>
        <v>#N/A</v>
      </c>
      <c r="G118" s="56"/>
      <c r="H118" s="55" t="e">
        <f t="shared" si="42"/>
        <v>#DIV/0!</v>
      </c>
      <c r="I118" s="19">
        <f>+SUM(START:END!I118)</f>
        <v>0</v>
      </c>
      <c r="J118" s="26"/>
      <c r="K118" s="55">
        <f t="shared" si="43"/>
        <v>409.36478260869569</v>
      </c>
      <c r="L118" s="39">
        <f>+SUM(START:END!L118)</f>
        <v>28246.170000000002</v>
      </c>
      <c r="M118" s="26"/>
      <c r="N118" s="39" t="e">
        <f t="shared" si="36"/>
        <v>#N/A</v>
      </c>
      <c r="O118" s="26"/>
      <c r="P118" s="55">
        <f t="shared" si="44"/>
        <v>357.61190476190473</v>
      </c>
      <c r="Q118" s="39">
        <f>+SUM(START:END!Q118)</f>
        <v>15019.699999999999</v>
      </c>
      <c r="R118" s="26"/>
      <c r="S118" s="39">
        <f t="shared" si="37"/>
        <v>13226.470000000003</v>
      </c>
      <c r="T118" s="7"/>
      <c r="U118" s="270"/>
      <c r="V118" s="7"/>
      <c r="W118" s="19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1:40" ht="15.75" customHeight="1">
      <c r="A119" s="260" t="str">
        <f t="shared" ref="A119" si="47">+B119&amp;C119</f>
        <v>Véhicules usagésIntérêt de gros</v>
      </c>
      <c r="B119" s="7" t="s">
        <v>70</v>
      </c>
      <c r="C119" s="26" t="s">
        <v>36</v>
      </c>
      <c r="D119" s="54"/>
      <c r="E119" s="55" t="e">
        <f t="shared" si="41"/>
        <v>#N/A</v>
      </c>
      <c r="F119" s="19" t="e">
        <f>+SUM(START:END!F119)</f>
        <v>#N/A</v>
      </c>
      <c r="G119" s="56"/>
      <c r="H119" s="55" t="e">
        <f t="shared" si="42"/>
        <v>#DIV/0!</v>
      </c>
      <c r="I119" s="19">
        <f>+SUM(START:END!I119)</f>
        <v>0</v>
      </c>
      <c r="J119" s="26"/>
      <c r="K119" s="55">
        <f t="shared" si="43"/>
        <v>148.82304347826098</v>
      </c>
      <c r="L119" s="39">
        <f>+SUM(START:END!L119)</f>
        <v>10268.790000000008</v>
      </c>
      <c r="M119" s="26"/>
      <c r="N119" s="39" t="e">
        <f t="shared" si="36"/>
        <v>#N/A</v>
      </c>
      <c r="O119" s="26"/>
      <c r="P119" s="55">
        <f t="shared" si="44"/>
        <v>1207.6740476190475</v>
      </c>
      <c r="Q119" s="39">
        <f>+SUM(START:END!Q119)</f>
        <v>50722.31</v>
      </c>
      <c r="R119" s="26"/>
      <c r="S119" s="39">
        <f>L119-Q119</f>
        <v>-40453.51999999999</v>
      </c>
      <c r="T119" s="7"/>
      <c r="U119" s="7"/>
      <c r="V119" s="7"/>
      <c r="W119" s="19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1:40" ht="15.75" customHeight="1">
      <c r="A120" s="260" t="str">
        <f t="shared" ref="A120" si="48">+B120&amp;C120</f>
        <v>Véhicules usagésCrédit Intérêts Floor Plan</v>
      </c>
      <c r="B120" s="7" t="s">
        <v>70</v>
      </c>
      <c r="C120" s="26" t="s">
        <v>303</v>
      </c>
      <c r="D120" s="54"/>
      <c r="E120" s="55" t="e">
        <f t="shared" si="41"/>
        <v>#N/A</v>
      </c>
      <c r="F120" s="19" t="e">
        <f>+SUM(START:END!F120)</f>
        <v>#N/A</v>
      </c>
      <c r="G120" s="56"/>
      <c r="H120" s="55" t="e">
        <f t="shared" si="42"/>
        <v>#DIV/0!</v>
      </c>
      <c r="I120" s="19">
        <f>+SUM(START:END!I120)</f>
        <v>0</v>
      </c>
      <c r="J120" s="26"/>
      <c r="K120" s="55">
        <f t="shared" si="43"/>
        <v>0</v>
      </c>
      <c r="L120" s="39">
        <f>+SUM(START:END!L120)</f>
        <v>0</v>
      </c>
      <c r="M120" s="26"/>
      <c r="N120" s="39" t="e">
        <f t="shared" si="36"/>
        <v>#N/A</v>
      </c>
      <c r="O120" s="26"/>
      <c r="P120" s="55">
        <f t="shared" si="44"/>
        <v>0</v>
      </c>
      <c r="Q120" s="39">
        <f>+SUM(START:END!Q120)</f>
        <v>0</v>
      </c>
      <c r="R120" s="26"/>
      <c r="S120" s="39">
        <f>L120-Q120</f>
        <v>0</v>
      </c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1:40" ht="15.75" customHeight="1">
      <c r="A121" s="260" t="str">
        <f t="shared" ref="A121" si="49">+B121&amp;C121</f>
        <v>Véhicules usagésCrédit Boni TD</v>
      </c>
      <c r="B121" s="7" t="s">
        <v>70</v>
      </c>
      <c r="C121" s="26" t="s">
        <v>304</v>
      </c>
      <c r="D121" s="54"/>
      <c r="E121" s="55" t="e">
        <f t="shared" si="41"/>
        <v>#N/A</v>
      </c>
      <c r="F121" s="19" t="e">
        <f>+SUM(START:END!F121)</f>
        <v>#N/A</v>
      </c>
      <c r="G121" s="56"/>
      <c r="H121" s="55" t="e">
        <f t="shared" si="42"/>
        <v>#DIV/0!</v>
      </c>
      <c r="I121" s="19">
        <f>+SUM(START:END!I121)</f>
        <v>0</v>
      </c>
      <c r="J121" s="26"/>
      <c r="K121" s="55">
        <f t="shared" si="43"/>
        <v>-52.008550724637736</v>
      </c>
      <c r="L121" s="39">
        <f>+SUM(START:END!L121)</f>
        <v>-3588.5900000000038</v>
      </c>
      <c r="M121" s="26"/>
      <c r="N121" s="39" t="e">
        <f t="shared" si="36"/>
        <v>#N/A</v>
      </c>
      <c r="O121" s="26"/>
      <c r="P121" s="55">
        <f t="shared" si="44"/>
        <v>0</v>
      </c>
      <c r="Q121" s="39">
        <f>+SUM(START:END!Q121)</f>
        <v>0</v>
      </c>
      <c r="R121" s="26"/>
      <c r="S121" s="39">
        <f>L121-Q121</f>
        <v>-3588.5900000000038</v>
      </c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1:40" ht="20.399999999999999" hidden="1" customHeight="1">
      <c r="A122" s="260" t="str">
        <f t="shared" ref="A122" si="50">+B122&amp;C122</f>
        <v>Véhicules usagés[...]</v>
      </c>
      <c r="B122" s="7" t="s">
        <v>70</v>
      </c>
      <c r="C122" s="26" t="s">
        <v>19</v>
      </c>
      <c r="D122" s="54"/>
      <c r="E122" s="55" t="e">
        <f t="shared" si="41"/>
        <v>#N/A</v>
      </c>
      <c r="F122" s="19" t="e">
        <f>+SUM(START:END!F122)</f>
        <v>#N/A</v>
      </c>
      <c r="G122" s="56"/>
      <c r="H122" s="55" t="e">
        <f t="shared" si="42"/>
        <v>#DIV/0!</v>
      </c>
      <c r="I122" s="19">
        <f>+SUM(START:END!I122)</f>
        <v>0</v>
      </c>
      <c r="J122" s="26"/>
      <c r="K122" s="55">
        <f t="shared" si="43"/>
        <v>0</v>
      </c>
      <c r="L122" s="21">
        <f>+SUM(START:END!L122)</f>
        <v>0</v>
      </c>
      <c r="M122" s="26"/>
      <c r="N122" s="39" t="e">
        <f t="shared" si="36"/>
        <v>#N/A</v>
      </c>
      <c r="O122" s="26"/>
      <c r="P122" s="55">
        <f t="shared" si="44"/>
        <v>0</v>
      </c>
      <c r="Q122" s="21">
        <f>+SUM(START:END!Q122)</f>
        <v>0</v>
      </c>
      <c r="R122" s="26"/>
      <c r="S122" s="39">
        <f t="shared" ref="S122:S127" si="51">L122-Q122</f>
        <v>0</v>
      </c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1:40" ht="18.600000000000001" customHeight="1">
      <c r="A123" s="260" t="str">
        <f t="shared" ref="A123" si="52">+B123&amp;C123</f>
        <v>Véhicules usagésTOTAL VARIABLES</v>
      </c>
      <c r="B123" s="7" t="s">
        <v>70</v>
      </c>
      <c r="C123" s="139" t="s">
        <v>37</v>
      </c>
      <c r="D123" s="62" t="s">
        <v>38</v>
      </c>
      <c r="E123" s="63" t="e">
        <f>F123/F$108</f>
        <v>#N/A</v>
      </c>
      <c r="F123" s="64" t="e">
        <f>SUM(F113:F122)</f>
        <v>#N/A</v>
      </c>
      <c r="G123" s="65" t="s">
        <v>38</v>
      </c>
      <c r="H123" s="63" t="e">
        <f>I123/I$108</f>
        <v>#DIV/0!</v>
      </c>
      <c r="I123" s="64">
        <f>SUM(I113:I122)</f>
        <v>0</v>
      </c>
      <c r="J123" s="65" t="s">
        <v>38</v>
      </c>
      <c r="K123" s="63" t="e">
        <f>L123/L$108</f>
        <v>#DIV/0!</v>
      </c>
      <c r="L123" s="64">
        <f>SUM(L113:L122)</f>
        <v>68096.450000000012</v>
      </c>
      <c r="M123" s="66"/>
      <c r="N123" s="64" t="e">
        <f t="shared" si="36"/>
        <v>#N/A</v>
      </c>
      <c r="O123" s="65" t="s">
        <v>38</v>
      </c>
      <c r="P123" s="63" t="e">
        <f>Q123/Q$108</f>
        <v>#DIV/0!</v>
      </c>
      <c r="Q123" s="64">
        <f>SUM(Q113:Q122)</f>
        <v>148321.95000000001</v>
      </c>
      <c r="R123" s="67"/>
      <c r="S123" s="64">
        <f t="shared" si="51"/>
        <v>-80225.5</v>
      </c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1:40" ht="15.75" customHeight="1">
      <c r="A124" s="260" t="str">
        <f t="shared" ref="A124" si="53">+B124&amp;C124</f>
        <v>Véhicules usagésSalaires cadres</v>
      </c>
      <c r="B124" s="7" t="s">
        <v>70</v>
      </c>
      <c r="C124" s="271" t="s">
        <v>40</v>
      </c>
      <c r="D124" s="7"/>
      <c r="E124" s="7"/>
      <c r="F124" s="19" t="e">
        <f>+SUM(START:END!F124)</f>
        <v>#N/A</v>
      </c>
      <c r="G124" s="26"/>
      <c r="H124" s="7"/>
      <c r="I124" s="19">
        <f>+SUM(START:END!I124)</f>
        <v>0</v>
      </c>
      <c r="J124" s="26"/>
      <c r="K124" s="7"/>
      <c r="L124" s="39">
        <f>+SUM(START:END!L124)</f>
        <v>28910.180000000008</v>
      </c>
      <c r="M124" s="26"/>
      <c r="N124" s="39" t="e">
        <f t="shared" si="36"/>
        <v>#N/A</v>
      </c>
      <c r="O124" s="26"/>
      <c r="P124" s="7"/>
      <c r="Q124" s="39">
        <f>+SUM(START:END!Q124)</f>
        <v>48002.260000000009</v>
      </c>
      <c r="R124" s="26"/>
      <c r="S124" s="39">
        <f t="shared" si="51"/>
        <v>-19092.080000000002</v>
      </c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1:40" ht="15.75" customHeight="1">
      <c r="A125" s="260" t="str">
        <f t="shared" ref="A125" si="54">+B125&amp;C125</f>
        <v>Véhicules usagésSalaires commis</v>
      </c>
      <c r="B125" s="7" t="s">
        <v>70</v>
      </c>
      <c r="C125" s="272" t="s">
        <v>41</v>
      </c>
      <c r="D125" s="54"/>
      <c r="E125" s="7"/>
      <c r="F125" s="31" t="e">
        <f>+SUM(START:END!F125)</f>
        <v>#N/A</v>
      </c>
      <c r="G125" s="56"/>
      <c r="H125" s="7"/>
      <c r="I125" s="31">
        <f>+SUM(START:END!I125)</f>
        <v>0</v>
      </c>
      <c r="J125" s="26"/>
      <c r="K125" s="7"/>
      <c r="L125" s="39">
        <f>+SUM(START:END!L125)</f>
        <v>19067.149999999998</v>
      </c>
      <c r="M125" s="26"/>
      <c r="N125" s="39" t="e">
        <f t="shared" si="36"/>
        <v>#N/A</v>
      </c>
      <c r="O125" s="26"/>
      <c r="P125" s="7"/>
      <c r="Q125" s="39">
        <f>+SUM(START:END!Q125)</f>
        <v>23601.35</v>
      </c>
      <c r="R125" s="26"/>
      <c r="S125" s="39">
        <f t="shared" si="51"/>
        <v>-4534.2000000000007</v>
      </c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1:40" ht="15.75" customHeight="1">
      <c r="A126" s="260" t="str">
        <f t="shared" ref="A126" si="55">+B126&amp;C126</f>
        <v>Véhicules usagésSalaires autres</v>
      </c>
      <c r="B126" s="7" t="s">
        <v>70</v>
      </c>
      <c r="C126" s="271" t="s">
        <v>42</v>
      </c>
      <c r="D126" s="68"/>
      <c r="E126" s="69"/>
      <c r="F126" s="19" t="e">
        <f>+SUM(START:END!F126)</f>
        <v>#N/A</v>
      </c>
      <c r="G126" s="70"/>
      <c r="H126" s="69"/>
      <c r="I126" s="19">
        <f>+SUM(START:END!I126)</f>
        <v>0</v>
      </c>
      <c r="J126" s="71"/>
      <c r="K126" s="69"/>
      <c r="L126" s="72">
        <f>+SUM(START:END!L126)</f>
        <v>6499.0399999999991</v>
      </c>
      <c r="M126" s="71"/>
      <c r="N126" s="72" t="e">
        <f t="shared" si="36"/>
        <v>#N/A</v>
      </c>
      <c r="O126" s="71"/>
      <c r="P126" s="69"/>
      <c r="Q126" s="72">
        <f>+SUM(START:END!Q126)</f>
        <v>3691.159999999998</v>
      </c>
      <c r="R126" s="71"/>
      <c r="S126" s="72">
        <f t="shared" si="51"/>
        <v>2807.880000000001</v>
      </c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1:40" ht="20.399999999999999" hidden="1" customHeight="1">
      <c r="A127" s="260" t="str">
        <f t="shared" ref="A127" si="56">+B127&amp;C127</f>
        <v>Véhicules usagésSalaires spécialistes</v>
      </c>
      <c r="B127" s="7" t="s">
        <v>70</v>
      </c>
      <c r="C127" s="271" t="s">
        <v>43</v>
      </c>
      <c r="D127" s="54"/>
      <c r="E127" s="7"/>
      <c r="F127" s="19" t="e">
        <f>+SUM(START:END!F127)</f>
        <v>#N/A</v>
      </c>
      <c r="G127" s="56"/>
      <c r="H127" s="7"/>
      <c r="I127" s="19">
        <f>+SUM(START:END!I127)</f>
        <v>0</v>
      </c>
      <c r="J127" s="26"/>
      <c r="K127" s="7"/>
      <c r="L127" s="39">
        <f>+SUM(START:END!L127)</f>
        <v>0</v>
      </c>
      <c r="M127" s="26"/>
      <c r="N127" s="39" t="e">
        <f t="shared" si="36"/>
        <v>#N/A</v>
      </c>
      <c r="O127" s="26"/>
      <c r="P127" s="7"/>
      <c r="Q127" s="39">
        <f>+SUM(START:END!Q127)</f>
        <v>0</v>
      </c>
      <c r="R127" s="26"/>
      <c r="S127" s="39">
        <f t="shared" si="51"/>
        <v>0</v>
      </c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1:40" ht="20.399999999999999" hidden="1" customHeight="1">
      <c r="A128" s="260" t="str">
        <f t="shared" ref="A128" si="57">+B128&amp;C128</f>
        <v>Véhicules usagés[...]</v>
      </c>
      <c r="B128" s="7" t="s">
        <v>70</v>
      </c>
      <c r="C128" s="271" t="s">
        <v>19</v>
      </c>
      <c r="D128" s="54"/>
      <c r="E128" s="7"/>
      <c r="F128" s="19" t="e">
        <f>+SUM(START:END!F128)</f>
        <v>#N/A</v>
      </c>
      <c r="G128" s="56"/>
      <c r="H128" s="7"/>
      <c r="I128" s="19">
        <f>+SUM(START:END!I128)</f>
        <v>0</v>
      </c>
      <c r="J128" s="26"/>
      <c r="K128" s="7"/>
      <c r="L128" s="39">
        <f>+SUM(START:END!L128)</f>
        <v>0</v>
      </c>
      <c r="M128" s="26"/>
      <c r="N128" s="39" t="e">
        <f t="shared" si="36"/>
        <v>#N/A</v>
      </c>
      <c r="O128" s="26"/>
      <c r="P128" s="7"/>
      <c r="Q128" s="39">
        <f>+SUM(START:END!Q128)</f>
        <v>0</v>
      </c>
      <c r="R128" s="26"/>
      <c r="S128" s="39">
        <f>L128-Q128</f>
        <v>0</v>
      </c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1:40" ht="20.399999999999999" hidden="1" customHeight="1">
      <c r="A129" s="260" t="str">
        <f t="shared" ref="A129" si="58">+B129&amp;C129</f>
        <v>Véhicules usagés[...]</v>
      </c>
      <c r="B129" s="7" t="s">
        <v>70</v>
      </c>
      <c r="C129" s="271" t="s">
        <v>19</v>
      </c>
      <c r="D129" s="54"/>
      <c r="E129" s="7"/>
      <c r="F129" s="19" t="e">
        <f>+SUM(START:END!F129)</f>
        <v>#N/A</v>
      </c>
      <c r="G129" s="56"/>
      <c r="H129" s="7"/>
      <c r="I129" s="19">
        <f>+SUM(START:END!I129)</f>
        <v>0</v>
      </c>
      <c r="J129" s="26"/>
      <c r="K129" s="7"/>
      <c r="L129" s="39">
        <f>+SUM(START:END!L129)</f>
        <v>0</v>
      </c>
      <c r="M129" s="26"/>
      <c r="N129" s="39" t="e">
        <f t="shared" si="36"/>
        <v>#N/A</v>
      </c>
      <c r="O129" s="26"/>
      <c r="P129" s="7"/>
      <c r="Q129" s="39">
        <f>+SUM(START:END!Q129)</f>
        <v>0</v>
      </c>
      <c r="R129" s="26"/>
      <c r="S129" s="39">
        <f>L129-Q129</f>
        <v>0</v>
      </c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1:40" ht="20.399999999999999" hidden="1" customHeight="1">
      <c r="A130" s="260" t="str">
        <f t="shared" ref="A130" si="59">+B130&amp;C130</f>
        <v>Véhicules usagés[...]</v>
      </c>
      <c r="B130" s="7" t="s">
        <v>70</v>
      </c>
      <c r="C130" s="271" t="s">
        <v>19</v>
      </c>
      <c r="D130" s="54"/>
      <c r="E130" s="7"/>
      <c r="F130" s="19" t="e">
        <f>+SUM(START:END!F130)</f>
        <v>#N/A</v>
      </c>
      <c r="G130" s="56"/>
      <c r="H130" s="7"/>
      <c r="I130" s="19">
        <f>+SUM(START:END!I130)</f>
        <v>0</v>
      </c>
      <c r="J130" s="26"/>
      <c r="K130" s="7"/>
      <c r="L130" s="39">
        <f>+SUM(START:END!L130)</f>
        <v>0</v>
      </c>
      <c r="M130" s="26"/>
      <c r="N130" s="39" t="e">
        <f t="shared" si="36"/>
        <v>#N/A</v>
      </c>
      <c r="O130" s="26"/>
      <c r="P130" s="7"/>
      <c r="Q130" s="39">
        <f>+SUM(START:END!Q130)</f>
        <v>0</v>
      </c>
      <c r="R130" s="26"/>
      <c r="S130" s="39">
        <f>L130-Q130</f>
        <v>0</v>
      </c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1:40" ht="15.75" customHeight="1">
      <c r="A131" s="260" t="str">
        <f t="shared" ref="A131" si="60">+B131&amp;C131</f>
        <v>Véhicules usagésSalaires en absences</v>
      </c>
      <c r="B131" s="7" t="s">
        <v>70</v>
      </c>
      <c r="C131" s="272" t="s">
        <v>44</v>
      </c>
      <c r="D131" s="54"/>
      <c r="E131" s="7"/>
      <c r="F131" s="19" t="e">
        <f>+SUM(START:END!F131)</f>
        <v>#N/A</v>
      </c>
      <c r="G131" s="56"/>
      <c r="H131" s="7"/>
      <c r="I131" s="19">
        <f>+SUM(START:END!I131)</f>
        <v>0</v>
      </c>
      <c r="J131" s="26"/>
      <c r="K131" s="7"/>
      <c r="L131" s="39">
        <f>+SUM(START:END!L131)</f>
        <v>10494.990000000002</v>
      </c>
      <c r="M131" s="26"/>
      <c r="N131" s="39" t="e">
        <f t="shared" si="36"/>
        <v>#N/A</v>
      </c>
      <c r="O131" s="26"/>
      <c r="P131" s="7"/>
      <c r="Q131" s="39">
        <f>+SUM(START:END!Q131)</f>
        <v>3465.0300000000007</v>
      </c>
      <c r="R131" s="26"/>
      <c r="S131" s="39">
        <f>L131-Q131</f>
        <v>7029.9600000000009</v>
      </c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1:40" ht="15.75" customHeight="1">
      <c r="A132" s="260" t="str">
        <f t="shared" ref="A132" si="61">+B132&amp;C132</f>
        <v>Véhicules usagésDéduction à la source</v>
      </c>
      <c r="B132" s="7" t="s">
        <v>70</v>
      </c>
      <c r="C132" s="271" t="s">
        <v>45</v>
      </c>
      <c r="D132" s="68"/>
      <c r="E132" s="69"/>
      <c r="F132" s="35" t="e">
        <f>+SUM(START:END!F132)</f>
        <v>#N/A</v>
      </c>
      <c r="G132" s="70"/>
      <c r="H132" s="69"/>
      <c r="I132" s="35">
        <f>+SUM(START:END!I132)</f>
        <v>0</v>
      </c>
      <c r="J132" s="71"/>
      <c r="K132" s="69"/>
      <c r="L132" s="72">
        <f>+SUM(START:END!L132)</f>
        <v>15831.96</v>
      </c>
      <c r="M132" s="71"/>
      <c r="N132" s="72" t="e">
        <f t="shared" ref="N132:N154" si="62">L132-F132</f>
        <v>#N/A</v>
      </c>
      <c r="O132" s="71"/>
      <c r="P132" s="69"/>
      <c r="Q132" s="72">
        <f>+SUM(START:END!Q132)</f>
        <v>8265.06</v>
      </c>
      <c r="R132" s="71"/>
      <c r="S132" s="72">
        <f t="shared" ref="S132:S149" si="63">L132-Q132</f>
        <v>7566.9</v>
      </c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1:40" ht="15.75" customHeight="1">
      <c r="A133" s="260" t="str">
        <f t="shared" ref="A133" si="64">+B133&amp;C133</f>
        <v>Véhicules usagésBénéfices marginaux</v>
      </c>
      <c r="B133" s="7" t="s">
        <v>70</v>
      </c>
      <c r="C133" s="271" t="s">
        <v>46</v>
      </c>
      <c r="D133" s="54"/>
      <c r="E133" s="7"/>
      <c r="F133" s="19" t="e">
        <f>+SUM(START:END!F133)</f>
        <v>#N/A</v>
      </c>
      <c r="G133" s="56"/>
      <c r="H133" s="7"/>
      <c r="I133" s="19">
        <f>+SUM(START:END!I133)</f>
        <v>0</v>
      </c>
      <c r="J133" s="26"/>
      <c r="K133" s="7"/>
      <c r="L133" s="39">
        <f>+SUM(START:END!L133)</f>
        <v>3217.75</v>
      </c>
      <c r="M133" s="26"/>
      <c r="N133" s="39" t="e">
        <f t="shared" si="62"/>
        <v>#N/A</v>
      </c>
      <c r="O133" s="26"/>
      <c r="P133" s="7"/>
      <c r="Q133" s="39">
        <f>+SUM(START:END!Q133)</f>
        <v>6558.2100000000009</v>
      </c>
      <c r="R133" s="26"/>
      <c r="S133" s="39">
        <f t="shared" si="63"/>
        <v>-3340.4600000000009</v>
      </c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1:40" ht="15.75" customHeight="1">
      <c r="A134" s="260" t="str">
        <f t="shared" ref="A134" si="65">+B134&amp;C134</f>
        <v>Véhicules usagésCsst</v>
      </c>
      <c r="B134" s="7" t="s">
        <v>70</v>
      </c>
      <c r="C134" s="271" t="s">
        <v>47</v>
      </c>
      <c r="D134" s="54"/>
      <c r="E134" s="7"/>
      <c r="F134" s="19" t="e">
        <f>+SUM(START:END!F134)</f>
        <v>#N/A</v>
      </c>
      <c r="G134" s="56"/>
      <c r="H134" s="7"/>
      <c r="I134" s="19">
        <f>+SUM(START:END!I134)</f>
        <v>0</v>
      </c>
      <c r="J134" s="26"/>
      <c r="K134" s="7"/>
      <c r="L134" s="39">
        <f>+SUM(START:END!L134)</f>
        <v>6745.07</v>
      </c>
      <c r="M134" s="26"/>
      <c r="N134" s="39" t="e">
        <f t="shared" si="62"/>
        <v>#N/A</v>
      </c>
      <c r="O134" s="26"/>
      <c r="P134" s="7"/>
      <c r="Q134" s="39">
        <f>+SUM(START:END!Q134)</f>
        <v>73.22</v>
      </c>
      <c r="R134" s="26"/>
      <c r="S134" s="39">
        <f t="shared" si="63"/>
        <v>6671.8499999999995</v>
      </c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1:40" ht="20.399999999999999" hidden="1" customHeight="1">
      <c r="A135" s="260" t="str">
        <f t="shared" ref="A135" si="66">+B135&amp;C135</f>
        <v>Véhicules usagés[...]</v>
      </c>
      <c r="B135" s="7" t="s">
        <v>70</v>
      </c>
      <c r="C135" s="26" t="s">
        <v>19</v>
      </c>
      <c r="D135" s="57"/>
      <c r="E135" s="73"/>
      <c r="F135" s="19" t="e">
        <f>+SUM(START:END!F135)</f>
        <v>#N/A</v>
      </c>
      <c r="G135" s="59"/>
      <c r="H135" s="73"/>
      <c r="I135" s="19">
        <f>+SUM(START:END!I135)</f>
        <v>0</v>
      </c>
      <c r="J135" s="14"/>
      <c r="K135" s="73"/>
      <c r="L135" s="39">
        <f>+SUM(START:END!L135)</f>
        <v>0</v>
      </c>
      <c r="M135" s="14"/>
      <c r="N135" s="61" t="e">
        <f t="shared" si="62"/>
        <v>#N/A</v>
      </c>
      <c r="O135" s="14"/>
      <c r="P135" s="73"/>
      <c r="Q135" s="39">
        <f>+SUM(START:END!Q135)</f>
        <v>0</v>
      </c>
      <c r="R135" s="14"/>
      <c r="S135" s="61">
        <f t="shared" si="63"/>
        <v>0</v>
      </c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1:40" ht="18.600000000000001" customHeight="1">
      <c r="A136" s="260" t="str">
        <f t="shared" ref="A136" si="67">+B136&amp;C136</f>
        <v>Véhicules usagésTOTAL PERSONNEL</v>
      </c>
      <c r="B136" s="7" t="s">
        <v>70</v>
      </c>
      <c r="C136" s="139" t="s">
        <v>48</v>
      </c>
      <c r="D136" s="62" t="s">
        <v>38</v>
      </c>
      <c r="E136" s="63" t="e">
        <f>F136/F$108</f>
        <v>#N/A</v>
      </c>
      <c r="F136" s="64" t="e">
        <f>+SUM(F124:F135)</f>
        <v>#N/A</v>
      </c>
      <c r="G136" s="65" t="s">
        <v>38</v>
      </c>
      <c r="H136" s="63" t="e">
        <f>I136/I$108</f>
        <v>#DIV/0!</v>
      </c>
      <c r="I136" s="64">
        <f>+SUM(I124:I135)</f>
        <v>0</v>
      </c>
      <c r="J136" s="65" t="s">
        <v>38</v>
      </c>
      <c r="K136" s="63" t="e">
        <f>L136/L$108</f>
        <v>#DIV/0!</v>
      </c>
      <c r="L136" s="64">
        <f>SUM(L124:L135)</f>
        <v>90766.140000000014</v>
      </c>
      <c r="M136" s="66"/>
      <c r="N136" s="64" t="e">
        <f t="shared" si="62"/>
        <v>#N/A</v>
      </c>
      <c r="O136" s="65" t="s">
        <v>38</v>
      </c>
      <c r="P136" s="63" t="e">
        <f>Q136/Q$108</f>
        <v>#DIV/0!</v>
      </c>
      <c r="Q136" s="64">
        <f>SUM(Q124:Q135)</f>
        <v>93656.290000000023</v>
      </c>
      <c r="R136" s="67"/>
      <c r="S136" s="64">
        <f t="shared" si="63"/>
        <v>-2890.1500000000087</v>
      </c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1:40" ht="20.399999999999999" hidden="1" customHeight="1">
      <c r="A137" s="260" t="str">
        <f t="shared" ref="A137" si="68">+B137&amp;C137</f>
        <v>Véhicules usagésPublicité 2</v>
      </c>
      <c r="B137" s="7" t="s">
        <v>70</v>
      </c>
      <c r="C137" s="26" t="s">
        <v>49</v>
      </c>
      <c r="D137" s="54"/>
      <c r="E137" s="7"/>
      <c r="F137" s="19" t="e">
        <f>+SUM(START:END!F137)</f>
        <v>#N/A</v>
      </c>
      <c r="G137" s="56"/>
      <c r="H137" s="7"/>
      <c r="I137" s="19">
        <f>+SUM(START:END!I137)</f>
        <v>0</v>
      </c>
      <c r="J137" s="26"/>
      <c r="K137" s="7"/>
      <c r="L137" s="39">
        <f>+SUM(START:END!L137)</f>
        <v>0</v>
      </c>
      <c r="M137" s="26"/>
      <c r="N137" s="39" t="e">
        <f t="shared" si="62"/>
        <v>#N/A</v>
      </c>
      <c r="O137" s="26"/>
      <c r="P137" s="7"/>
      <c r="Q137" s="39">
        <f>+SUM(START:END!Q137)</f>
        <v>0</v>
      </c>
      <c r="R137" s="26"/>
      <c r="S137" s="39">
        <f t="shared" si="63"/>
        <v>0</v>
      </c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1:40" ht="20.399999999999999" hidden="1" customHeight="1">
      <c r="A138" s="260" t="str">
        <f t="shared" ref="A138" si="69">+B138&amp;C138</f>
        <v>Véhicules usagésService gratuit 2</v>
      </c>
      <c r="B138" s="7" t="s">
        <v>70</v>
      </c>
      <c r="C138" s="26" t="s">
        <v>50</v>
      </c>
      <c r="D138" s="54"/>
      <c r="E138" s="7"/>
      <c r="F138" s="19" t="e">
        <f>+SUM(START:END!F138)</f>
        <v>#N/A</v>
      </c>
      <c r="G138" s="56"/>
      <c r="H138" s="7"/>
      <c r="I138" s="19">
        <f>+SUM(START:END!I138)</f>
        <v>0</v>
      </c>
      <c r="J138" s="26"/>
      <c r="K138" s="7"/>
      <c r="L138" s="39">
        <f>+SUM(START:END!L138)</f>
        <v>0</v>
      </c>
      <c r="M138" s="26"/>
      <c r="N138" s="39" t="e">
        <f t="shared" si="62"/>
        <v>#N/A</v>
      </c>
      <c r="O138" s="26"/>
      <c r="P138" s="7"/>
      <c r="Q138" s="39">
        <f>+SUM(START:END!Q138)</f>
        <v>0</v>
      </c>
      <c r="R138" s="26"/>
      <c r="S138" s="39">
        <f t="shared" si="63"/>
        <v>0</v>
      </c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1:40" ht="15.75" customHeight="1">
      <c r="A139" s="260" t="str">
        <f t="shared" ref="A139" si="70">+B139&amp;C139</f>
        <v>Véhicules usagésFrais véhicules de cie</v>
      </c>
      <c r="B139" s="7" t="s">
        <v>70</v>
      </c>
      <c r="C139" s="14" t="s">
        <v>51</v>
      </c>
      <c r="D139" s="57"/>
      <c r="E139" s="73"/>
      <c r="F139" s="31" t="e">
        <f>+SUM(START:END!F139)</f>
        <v>#N/A</v>
      </c>
      <c r="G139" s="59"/>
      <c r="H139" s="73"/>
      <c r="I139" s="31">
        <f>+SUM(START:END!I139)</f>
        <v>0</v>
      </c>
      <c r="J139" s="14"/>
      <c r="K139" s="73"/>
      <c r="L139" s="61">
        <f>+SUM(START:END!L139)</f>
        <v>6457.739999999998</v>
      </c>
      <c r="M139" s="14"/>
      <c r="N139" s="61" t="e">
        <f t="shared" si="62"/>
        <v>#N/A</v>
      </c>
      <c r="O139" s="14"/>
      <c r="P139" s="73"/>
      <c r="Q139" s="61">
        <f>+SUM(START:END!Q139)</f>
        <v>7961.6000000000022</v>
      </c>
      <c r="R139" s="14"/>
      <c r="S139" s="61">
        <f t="shared" si="63"/>
        <v>-1503.8600000000042</v>
      </c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1:40" ht="15.75" customHeight="1">
      <c r="A140" s="260" t="str">
        <f t="shared" ref="A140" si="71">+B140&amp;C140</f>
        <v>Véhicules usagésInformatique</v>
      </c>
      <c r="B140" s="7" t="s">
        <v>70</v>
      </c>
      <c r="C140" s="26" t="s">
        <v>52</v>
      </c>
      <c r="D140" s="54"/>
      <c r="E140" s="7"/>
      <c r="F140" s="19" t="e">
        <f>+SUM(START:END!F140)</f>
        <v>#N/A</v>
      </c>
      <c r="G140" s="56"/>
      <c r="H140" s="7"/>
      <c r="I140" s="19">
        <f>+SUM(START:END!I140)</f>
        <v>0</v>
      </c>
      <c r="J140" s="26"/>
      <c r="K140" s="7"/>
      <c r="L140" s="39">
        <f>+SUM(START:END!L140)</f>
        <v>6035.5499999999993</v>
      </c>
      <c r="M140" s="26"/>
      <c r="N140" s="39" t="e">
        <f t="shared" si="62"/>
        <v>#N/A</v>
      </c>
      <c r="O140" s="26"/>
      <c r="P140" s="7"/>
      <c r="Q140" s="39">
        <f>+SUM(START:END!Q140)</f>
        <v>5507.24</v>
      </c>
      <c r="R140" s="26"/>
      <c r="S140" s="39">
        <f t="shared" si="63"/>
        <v>528.30999999999949</v>
      </c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1:40" ht="15.75" customHeight="1">
      <c r="A141" s="260" t="str">
        <f t="shared" ref="A141" si="72">+B141&amp;C141</f>
        <v>Véhicules usagésFrais de déplacement</v>
      </c>
      <c r="B141" s="7" t="s">
        <v>70</v>
      </c>
      <c r="C141" s="26" t="s">
        <v>53</v>
      </c>
      <c r="D141" s="54"/>
      <c r="E141" s="7"/>
      <c r="F141" s="19" t="e">
        <f>+SUM(START:END!F141)</f>
        <v>#N/A</v>
      </c>
      <c r="G141" s="56"/>
      <c r="H141" s="7"/>
      <c r="I141" s="19">
        <f>+SUM(START:END!I141)</f>
        <v>0</v>
      </c>
      <c r="J141" s="26"/>
      <c r="K141" s="7"/>
      <c r="L141" s="39">
        <f>+SUM(START:END!L141)</f>
        <v>1366.7899999999991</v>
      </c>
      <c r="M141" s="26"/>
      <c r="N141" s="39" t="e">
        <f t="shared" si="62"/>
        <v>#N/A</v>
      </c>
      <c r="O141" s="26"/>
      <c r="P141" s="7"/>
      <c r="Q141" s="39">
        <f>+SUM(START:END!Q141)</f>
        <v>7789.760000000002</v>
      </c>
      <c r="R141" s="26"/>
      <c r="S141" s="39">
        <f t="shared" si="63"/>
        <v>-6422.970000000003</v>
      </c>
      <c r="T141" s="93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1:40" ht="15.75" customHeight="1">
      <c r="A142" s="260" t="str">
        <f t="shared" ref="A142" si="73">+B142&amp;C142</f>
        <v>Véhicules usagésServices extérieurs</v>
      </c>
      <c r="B142" s="7" t="s">
        <v>70</v>
      </c>
      <c r="C142" s="14" t="s">
        <v>54</v>
      </c>
      <c r="D142" s="57"/>
      <c r="E142" s="73"/>
      <c r="F142" s="31" t="e">
        <f>+SUM(START:END!F142)</f>
        <v>#N/A</v>
      </c>
      <c r="G142" s="59"/>
      <c r="H142" s="73"/>
      <c r="I142" s="31">
        <f>+SUM(START:END!I142)</f>
        <v>0</v>
      </c>
      <c r="J142" s="14"/>
      <c r="K142" s="73"/>
      <c r="L142" s="61">
        <f>+SUM(START:END!L142)</f>
        <v>7640</v>
      </c>
      <c r="M142" s="14"/>
      <c r="N142" s="61" t="e">
        <f t="shared" si="62"/>
        <v>#N/A</v>
      </c>
      <c r="O142" s="14"/>
      <c r="P142" s="73"/>
      <c r="Q142" s="61">
        <f>+SUM(START:END!Q142)</f>
        <v>15064.330000000002</v>
      </c>
      <c r="R142" s="14"/>
      <c r="S142" s="61">
        <f t="shared" si="63"/>
        <v>-7424.3300000000017</v>
      </c>
      <c r="T142" s="7"/>
      <c r="U142" s="270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1:40" ht="15.75" customHeight="1">
      <c r="A143" s="260" t="str">
        <f t="shared" ref="A143" si="74">+B143&amp;C143</f>
        <v>Véhicules usagésFournitures autres</v>
      </c>
      <c r="B143" s="7" t="s">
        <v>70</v>
      </c>
      <c r="C143" s="26" t="s">
        <v>55</v>
      </c>
      <c r="D143" s="54"/>
      <c r="E143" s="7"/>
      <c r="F143" s="19" t="e">
        <f>+SUM(START:END!F143)</f>
        <v>#N/A</v>
      </c>
      <c r="G143" s="56"/>
      <c r="H143" s="7"/>
      <c r="I143" s="19">
        <f>+SUM(START:END!I143)</f>
        <v>0</v>
      </c>
      <c r="J143" s="26"/>
      <c r="K143" s="7"/>
      <c r="L143" s="39">
        <f>+SUM(START:END!L143)</f>
        <v>424.98</v>
      </c>
      <c r="M143" s="26"/>
      <c r="N143" s="39" t="e">
        <f t="shared" si="62"/>
        <v>#N/A</v>
      </c>
      <c r="O143" s="26"/>
      <c r="P143" s="7"/>
      <c r="Q143" s="39">
        <f>+SUM(START:END!Q143)</f>
        <v>330.45000000000005</v>
      </c>
      <c r="R143" s="26"/>
      <c r="S143" s="39">
        <f t="shared" si="63"/>
        <v>94.529999999999973</v>
      </c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1:40" ht="15.75" customHeight="1">
      <c r="A144" s="260" t="str">
        <f t="shared" ref="A144" si="75">+B144&amp;C144</f>
        <v>Véhicules usagésUniformes</v>
      </c>
      <c r="B144" s="7" t="s">
        <v>70</v>
      </c>
      <c r="C144" s="26" t="s">
        <v>56</v>
      </c>
      <c r="D144" s="54"/>
      <c r="E144" s="7"/>
      <c r="F144" s="19" t="e">
        <f>+SUM(START:END!F144)</f>
        <v>#N/A</v>
      </c>
      <c r="G144" s="56"/>
      <c r="H144" s="7"/>
      <c r="I144" s="19">
        <f>+SUM(START:END!I144)</f>
        <v>0</v>
      </c>
      <c r="J144" s="26"/>
      <c r="K144" s="7"/>
      <c r="L144" s="39">
        <f>+SUM(START:END!L144)</f>
        <v>0</v>
      </c>
      <c r="M144" s="26"/>
      <c r="N144" s="39" t="e">
        <f t="shared" si="62"/>
        <v>#N/A</v>
      </c>
      <c r="O144" s="26"/>
      <c r="P144" s="7"/>
      <c r="Q144" s="39">
        <f>+SUM(START:END!Q144)</f>
        <v>0</v>
      </c>
      <c r="R144" s="26"/>
      <c r="S144" s="39">
        <f t="shared" si="63"/>
        <v>0</v>
      </c>
      <c r="T144" s="7"/>
      <c r="U144" s="270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1:40" ht="15.75" customHeight="1">
      <c r="A145" s="260" t="str">
        <f t="shared" ref="A145" si="76">+B145&amp;C145</f>
        <v>Véhicules usagésPapeterie</v>
      </c>
      <c r="B145" s="7" t="s">
        <v>70</v>
      </c>
      <c r="C145" s="26" t="s">
        <v>57</v>
      </c>
      <c r="D145" s="54"/>
      <c r="E145" s="7"/>
      <c r="F145" s="19" t="e">
        <f>+SUM(START:END!F145)</f>
        <v>#N/A</v>
      </c>
      <c r="G145" s="56"/>
      <c r="H145" s="7"/>
      <c r="I145" s="19">
        <f>+SUM(START:END!I145)</f>
        <v>0</v>
      </c>
      <c r="J145" s="26"/>
      <c r="K145" s="7"/>
      <c r="L145" s="39">
        <f>+SUM(START:END!L145)</f>
        <v>1177.04</v>
      </c>
      <c r="M145" s="26"/>
      <c r="N145" s="39" t="e">
        <f t="shared" si="62"/>
        <v>#N/A</v>
      </c>
      <c r="O145" s="26"/>
      <c r="P145" s="7"/>
      <c r="Q145" s="39">
        <f>+SUM(START:END!Q145)</f>
        <v>1274.04</v>
      </c>
      <c r="R145" s="26"/>
      <c r="S145" s="39">
        <f t="shared" si="63"/>
        <v>-97</v>
      </c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1:40" ht="15.75" customHeight="1">
      <c r="A146" s="260" t="str">
        <f t="shared" ref="A146" si="77">+B146&amp;C146</f>
        <v>Véhicules usagésTéléphone</v>
      </c>
      <c r="B146" s="7" t="s">
        <v>70</v>
      </c>
      <c r="C146" s="26" t="s">
        <v>58</v>
      </c>
      <c r="D146" s="54"/>
      <c r="E146" s="7"/>
      <c r="F146" s="19" t="e">
        <f>+SUM(START:END!F146)</f>
        <v>#N/A</v>
      </c>
      <c r="G146" s="56"/>
      <c r="H146" s="7"/>
      <c r="I146" s="19">
        <f>+SUM(START:END!I146)</f>
        <v>0</v>
      </c>
      <c r="J146" s="26"/>
      <c r="K146" s="7"/>
      <c r="L146" s="39">
        <f>+SUM(START:END!L146)</f>
        <v>1290.54</v>
      </c>
      <c r="M146" s="26"/>
      <c r="N146" s="39" t="e">
        <f t="shared" si="62"/>
        <v>#N/A</v>
      </c>
      <c r="O146" s="26"/>
      <c r="P146" s="7"/>
      <c r="Q146" s="39">
        <f>+SUM(START:END!Q146)</f>
        <v>1437.6800000000003</v>
      </c>
      <c r="R146" s="26"/>
      <c r="S146" s="39">
        <f t="shared" si="63"/>
        <v>-147.14000000000033</v>
      </c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1:40" ht="15.75" customHeight="1">
      <c r="A147" s="260" t="str">
        <f t="shared" ref="A147" si="78">+B147&amp;C147</f>
        <v>Véhicules usagésFrais postaux</v>
      </c>
      <c r="B147" s="7" t="s">
        <v>70</v>
      </c>
      <c r="C147" s="26" t="s">
        <v>59</v>
      </c>
      <c r="D147" s="54"/>
      <c r="E147" s="7"/>
      <c r="F147" s="19" t="e">
        <f>+SUM(START:END!F147)</f>
        <v>#N/A</v>
      </c>
      <c r="G147" s="56"/>
      <c r="H147" s="7"/>
      <c r="I147" s="19">
        <f>+SUM(START:END!I147)</f>
        <v>0</v>
      </c>
      <c r="J147" s="26"/>
      <c r="K147" s="7"/>
      <c r="L147" s="39">
        <f>+SUM(START:END!L147)</f>
        <v>2561.4799999999996</v>
      </c>
      <c r="M147" s="26"/>
      <c r="N147" s="39" t="e">
        <f t="shared" si="62"/>
        <v>#N/A</v>
      </c>
      <c r="O147" s="26"/>
      <c r="P147" s="7"/>
      <c r="Q147" s="39">
        <f>+SUM(START:END!Q147)</f>
        <v>4004.2099999999991</v>
      </c>
      <c r="R147" s="26"/>
      <c r="S147" s="39">
        <f t="shared" si="63"/>
        <v>-1442.7299999999996</v>
      </c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1:40" ht="15.75" customHeight="1">
      <c r="A148" s="260" t="str">
        <f t="shared" ref="A148" si="79">+B148&amp;C148</f>
        <v>Véhicules usagésDivers</v>
      </c>
      <c r="B148" s="7" t="s">
        <v>70</v>
      </c>
      <c r="C148" s="26" t="s">
        <v>60</v>
      </c>
      <c r="D148" s="54"/>
      <c r="E148" s="7"/>
      <c r="F148" s="19" t="e">
        <f>+SUM(START:END!F148)</f>
        <v>#N/A</v>
      </c>
      <c r="G148" s="56"/>
      <c r="H148" s="7"/>
      <c r="I148" s="19">
        <f>+SUM(START:END!I148)</f>
        <v>0</v>
      </c>
      <c r="J148" s="26"/>
      <c r="K148" s="7"/>
      <c r="L148" s="39">
        <f>+SUM(START:END!L148)</f>
        <v>4947.1799999999994</v>
      </c>
      <c r="M148" s="26"/>
      <c r="N148" s="39" t="e">
        <f t="shared" si="62"/>
        <v>#N/A</v>
      </c>
      <c r="O148" s="26"/>
      <c r="P148" s="7"/>
      <c r="Q148" s="39">
        <f>+SUM(START:END!Q148)</f>
        <v>7591.91</v>
      </c>
      <c r="R148" s="26"/>
      <c r="S148" s="39">
        <f t="shared" si="63"/>
        <v>-2644.7300000000005</v>
      </c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1:40" ht="15.75" customHeight="1">
      <c r="A149" s="260" t="str">
        <f t="shared" ref="A149" si="80">+B149&amp;C149</f>
        <v>Véhicules usagésFormation</v>
      </c>
      <c r="B149" s="7" t="s">
        <v>70</v>
      </c>
      <c r="C149" s="26" t="s">
        <v>61</v>
      </c>
      <c r="D149" s="54"/>
      <c r="E149" s="7"/>
      <c r="F149" s="19" t="e">
        <f>+SUM(START:END!F149)</f>
        <v>#N/A</v>
      </c>
      <c r="G149" s="56"/>
      <c r="H149" s="7"/>
      <c r="I149" s="19">
        <f>+SUM(START:END!I149)</f>
        <v>0</v>
      </c>
      <c r="J149" s="26"/>
      <c r="K149" s="7"/>
      <c r="L149" s="39">
        <f>+SUM(START:END!L149)</f>
        <v>0</v>
      </c>
      <c r="M149" s="26"/>
      <c r="N149" s="39" t="e">
        <f t="shared" si="62"/>
        <v>#N/A</v>
      </c>
      <c r="O149" s="26"/>
      <c r="P149" s="7"/>
      <c r="Q149" s="39">
        <f>+SUM(START:END!Q149)</f>
        <v>0</v>
      </c>
      <c r="R149" s="26"/>
      <c r="S149" s="39">
        <f t="shared" si="63"/>
        <v>0</v>
      </c>
      <c r="T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1:40" ht="15.75" customHeight="1">
      <c r="A150" s="260" t="str">
        <f t="shared" ref="A150" si="81">+B150&amp;C150</f>
        <v>Véhicules usagésFrais bancaires</v>
      </c>
      <c r="B150" s="7" t="s">
        <v>70</v>
      </c>
      <c r="C150" s="26" t="s">
        <v>62</v>
      </c>
      <c r="D150" s="54"/>
      <c r="E150" s="7"/>
      <c r="F150" s="19" t="e">
        <f>+SUM(START:END!F150)</f>
        <v>#N/A</v>
      </c>
      <c r="G150" s="56"/>
      <c r="H150" s="7"/>
      <c r="I150" s="19">
        <f>+SUM(START:END!I150)</f>
        <v>0</v>
      </c>
      <c r="J150" s="26"/>
      <c r="K150" s="7"/>
      <c r="L150" s="39">
        <f>+SUM(START:END!L150)</f>
        <v>3803.0300000000007</v>
      </c>
      <c r="M150" s="26"/>
      <c r="N150" s="39" t="e">
        <f t="shared" si="62"/>
        <v>#N/A</v>
      </c>
      <c r="O150" s="26"/>
      <c r="P150" s="7"/>
      <c r="Q150" s="39">
        <f>+SUM(START:END!Q150)</f>
        <v>710.15000000000009</v>
      </c>
      <c r="R150" s="26"/>
      <c r="S150" s="39">
        <f>L150-Q150</f>
        <v>3092.8800000000006</v>
      </c>
      <c r="T150" s="55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1:40" ht="20.399999999999999" hidden="1" customHeight="1">
      <c r="A151" s="260" t="str">
        <f t="shared" ref="A151" si="82">+B151&amp;C151</f>
        <v>Véhicules usagés[...]</v>
      </c>
      <c r="B151" s="7" t="s">
        <v>70</v>
      </c>
      <c r="C151" s="26" t="s">
        <v>19</v>
      </c>
      <c r="D151" s="54"/>
      <c r="E151" s="7"/>
      <c r="F151" s="19" t="e">
        <f>+SUM(START:END!F151)</f>
        <v>#N/A</v>
      </c>
      <c r="G151" s="56"/>
      <c r="H151" s="7"/>
      <c r="I151" s="19">
        <f>+SUM(START:END!I151)</f>
        <v>0</v>
      </c>
      <c r="J151" s="26"/>
      <c r="K151" s="7"/>
      <c r="L151" s="39">
        <f>+SUM(START:END!L151)</f>
        <v>0</v>
      </c>
      <c r="M151" s="26"/>
      <c r="N151" s="39" t="e">
        <f t="shared" si="62"/>
        <v>#N/A</v>
      </c>
      <c r="O151" s="26"/>
      <c r="P151" s="7"/>
      <c r="Q151" s="39">
        <f>+SUM(START:END!Q151)</f>
        <v>0</v>
      </c>
      <c r="R151" s="26"/>
      <c r="S151" s="39">
        <f>L151-Q151</f>
        <v>0</v>
      </c>
      <c r="T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1:40" ht="20.399999999999999" hidden="1" customHeight="1">
      <c r="A152" s="260" t="str">
        <f t="shared" ref="A152" si="83">+B152&amp;C152</f>
        <v>Véhicules usagés[...]</v>
      </c>
      <c r="B152" s="7" t="s">
        <v>70</v>
      </c>
      <c r="C152" s="26" t="s">
        <v>19</v>
      </c>
      <c r="D152" s="54"/>
      <c r="E152" s="7"/>
      <c r="F152" s="19" t="e">
        <f>+SUM(START:END!F152)</f>
        <v>#N/A</v>
      </c>
      <c r="G152" s="56"/>
      <c r="H152" s="7"/>
      <c r="I152" s="19">
        <f>+SUM(START:END!I152)</f>
        <v>0</v>
      </c>
      <c r="J152" s="26"/>
      <c r="K152" s="7"/>
      <c r="L152" s="39">
        <f>+SUM(START:END!L152)</f>
        <v>0</v>
      </c>
      <c r="M152" s="26"/>
      <c r="N152" s="39" t="e">
        <f t="shared" si="62"/>
        <v>#N/A</v>
      </c>
      <c r="O152" s="26"/>
      <c r="P152" s="7"/>
      <c r="Q152" s="39">
        <f>+SUM(START:END!Q152)</f>
        <v>0</v>
      </c>
      <c r="R152" s="26"/>
      <c r="S152" s="39">
        <f>L152-Q152</f>
        <v>0</v>
      </c>
      <c r="T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1:40" ht="20.399999999999999" hidden="1" customHeight="1">
      <c r="A153" s="260" t="str">
        <f t="shared" ref="A153" si="84">+B153&amp;C153</f>
        <v>Véhicules usagés[...]</v>
      </c>
      <c r="B153" s="7" t="s">
        <v>70</v>
      </c>
      <c r="C153" s="26" t="s">
        <v>19</v>
      </c>
      <c r="D153" s="54"/>
      <c r="E153" s="7"/>
      <c r="F153" s="19" t="e">
        <f>+SUM(START:END!F153)</f>
        <v>#N/A</v>
      </c>
      <c r="G153" s="56"/>
      <c r="H153" s="7"/>
      <c r="I153" s="19">
        <f>+SUM(START:END!I153)</f>
        <v>0</v>
      </c>
      <c r="J153" s="26"/>
      <c r="K153" s="7"/>
      <c r="L153" s="39">
        <f>+SUM(START:END!L153)</f>
        <v>0</v>
      </c>
      <c r="M153" s="26"/>
      <c r="N153" s="39" t="e">
        <f t="shared" si="62"/>
        <v>#N/A</v>
      </c>
      <c r="O153" s="26"/>
      <c r="P153" s="7"/>
      <c r="Q153" s="39">
        <f>+SUM(START:END!Q153)</f>
        <v>0</v>
      </c>
      <c r="R153" s="26"/>
      <c r="S153" s="39">
        <f>L153-Q153</f>
        <v>0</v>
      </c>
      <c r="T153" s="55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1:40" ht="18.600000000000001" customHeight="1">
      <c r="A154" s="260" t="str">
        <f t="shared" ref="A154" si="85">+B154&amp;C154</f>
        <v>Véhicules usagésTOTAL SEMI-FIXES</v>
      </c>
      <c r="B154" s="7" t="s">
        <v>70</v>
      </c>
      <c r="C154" s="139" t="s">
        <v>63</v>
      </c>
      <c r="D154" s="62" t="s">
        <v>38</v>
      </c>
      <c r="E154" s="63" t="e">
        <f>F154/F$108</f>
        <v>#N/A</v>
      </c>
      <c r="F154" s="64" t="e">
        <f>+SUM(F137:F153)</f>
        <v>#N/A</v>
      </c>
      <c r="G154" s="65" t="s">
        <v>38</v>
      </c>
      <c r="H154" s="63" t="e">
        <f>I154/I$108</f>
        <v>#DIV/0!</v>
      </c>
      <c r="I154" s="64">
        <f>+SUM(I137:I153)</f>
        <v>0</v>
      </c>
      <c r="J154" s="65" t="s">
        <v>38</v>
      </c>
      <c r="K154" s="63" t="e">
        <f>L154/L$108</f>
        <v>#DIV/0!</v>
      </c>
      <c r="L154" s="64">
        <f>+SUM(L137:L153)</f>
        <v>35704.329999999994</v>
      </c>
      <c r="M154" s="66"/>
      <c r="N154" s="64" t="e">
        <f t="shared" si="62"/>
        <v>#N/A</v>
      </c>
      <c r="O154" s="65" t="s">
        <v>38</v>
      </c>
      <c r="P154" s="63" t="e">
        <f>Q154/Q$108</f>
        <v>#DIV/0!</v>
      </c>
      <c r="Q154" s="64">
        <f>+SUM(Q137:Q153)</f>
        <v>51671.37</v>
      </c>
      <c r="R154" s="67"/>
      <c r="S154" s="64">
        <f>L154-Q154</f>
        <v>-15967.040000000008</v>
      </c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1:40" ht="15.75" customHeight="1">
      <c r="A155" s="260" t="str">
        <f t="shared" ref="A155" si="86">+B155&amp;C155</f>
        <v>Véhicules usagés</v>
      </c>
      <c r="B155" s="7" t="s">
        <v>70</v>
      </c>
      <c r="C155" s="14"/>
      <c r="D155" s="57"/>
      <c r="E155" s="73"/>
      <c r="F155" s="39"/>
      <c r="G155" s="59"/>
      <c r="H155" s="73"/>
      <c r="I155" s="39"/>
      <c r="J155" s="14"/>
      <c r="K155" s="73"/>
      <c r="L155" s="61"/>
      <c r="M155" s="14"/>
      <c r="N155" s="61"/>
      <c r="O155" s="14"/>
      <c r="P155" s="73"/>
      <c r="Q155" s="61"/>
      <c r="R155" s="14"/>
      <c r="S155" s="61"/>
      <c r="T155" s="74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1:40" ht="18.600000000000001" customHeight="1">
      <c r="A156" s="260" t="str">
        <f t="shared" ref="A156" si="87">+B156&amp;C156</f>
        <v>Véhicules usagésTOTAL DES DÉPENSES</v>
      </c>
      <c r="B156" s="7" t="s">
        <v>70</v>
      </c>
      <c r="C156" s="139" t="s">
        <v>64</v>
      </c>
      <c r="D156" s="62" t="s">
        <v>38</v>
      </c>
      <c r="E156" s="63" t="e">
        <f>F156/F$108</f>
        <v>#N/A</v>
      </c>
      <c r="F156" s="64" t="e">
        <f>F123+F136+F154</f>
        <v>#N/A</v>
      </c>
      <c r="G156" s="65" t="s">
        <v>38</v>
      </c>
      <c r="H156" s="63" t="e">
        <f>I156/I$108</f>
        <v>#DIV/0!</v>
      </c>
      <c r="I156" s="64">
        <f>I123+I136+I154</f>
        <v>0</v>
      </c>
      <c r="J156" s="65" t="s">
        <v>38</v>
      </c>
      <c r="K156" s="63" t="e">
        <f>L156/L$108</f>
        <v>#DIV/0!</v>
      </c>
      <c r="L156" s="64">
        <f>L123+L136+L154</f>
        <v>194566.92</v>
      </c>
      <c r="M156" s="66"/>
      <c r="N156" s="64" t="e">
        <f t="shared" ref="N156:N163" si="88">L156-F156</f>
        <v>#N/A</v>
      </c>
      <c r="O156" s="65" t="s">
        <v>38</v>
      </c>
      <c r="P156" s="63" t="e">
        <f>Q156/Q$108</f>
        <v>#DIV/0!</v>
      </c>
      <c r="Q156" s="64">
        <f>Q123+Q136+Q154</f>
        <v>293649.61000000004</v>
      </c>
      <c r="R156" s="67"/>
      <c r="S156" s="64">
        <f t="shared" ref="S156:S163" si="89">L156-Q156</f>
        <v>-99082.690000000031</v>
      </c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1:40" ht="21" hidden="1" customHeight="1">
      <c r="A157" s="260" t="str">
        <f t="shared" ref="A157" si="90">+B157&amp;C157</f>
        <v>Véhicules usagésRBSC used</v>
      </c>
      <c r="B157" s="7" t="s">
        <v>70</v>
      </c>
      <c r="C157" s="300" t="s">
        <v>216</v>
      </c>
      <c r="D157" s="94"/>
      <c r="E157" s="95"/>
      <c r="F157" s="19" t="e">
        <f>+SUM(START:END!F157)</f>
        <v>#N/A</v>
      </c>
      <c r="G157" s="96"/>
      <c r="H157" s="95"/>
      <c r="I157" s="19">
        <f>+SUM(START:END!I157)</f>
        <v>0</v>
      </c>
      <c r="J157" s="96"/>
      <c r="K157" s="95"/>
      <c r="L157" s="39">
        <f>+SUM(START:END!L157)</f>
        <v>0</v>
      </c>
      <c r="M157" s="26"/>
      <c r="N157" s="39" t="e">
        <f t="shared" si="88"/>
        <v>#N/A</v>
      </c>
      <c r="O157" s="96"/>
      <c r="P157" s="95"/>
      <c r="Q157" s="39">
        <f>+SUM(START:END!Q157)</f>
        <v>0</v>
      </c>
      <c r="R157" s="26"/>
      <c r="S157" s="39">
        <f t="shared" si="89"/>
        <v>0</v>
      </c>
      <c r="T157" s="74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1:40" ht="21" hidden="1" customHeight="1">
      <c r="A158" s="260" t="str">
        <f t="shared" ref="A158" si="91">+B158&amp;C158</f>
        <v>Véhicules usagésProgramme 360</v>
      </c>
      <c r="B158" s="7" t="s">
        <v>70</v>
      </c>
      <c r="C158" s="300" t="s">
        <v>217</v>
      </c>
      <c r="D158" s="94"/>
      <c r="E158" s="95"/>
      <c r="F158" s="19" t="e">
        <f>+SUM(START:END!F158)</f>
        <v>#N/A</v>
      </c>
      <c r="G158" s="96"/>
      <c r="H158" s="95"/>
      <c r="I158" s="19">
        <f>+SUM(START:END!I158)</f>
        <v>0</v>
      </c>
      <c r="J158" s="96"/>
      <c r="K158" s="95"/>
      <c r="L158" s="39">
        <f>+SUM(START:END!L158)</f>
        <v>0</v>
      </c>
      <c r="M158" s="26"/>
      <c r="N158" s="39" t="e">
        <f t="shared" si="88"/>
        <v>#N/A</v>
      </c>
      <c r="O158" s="96"/>
      <c r="P158" s="95"/>
      <c r="Q158" s="39">
        <f>+SUM(START:END!Q158)</f>
        <v>0</v>
      </c>
      <c r="R158" s="26"/>
      <c r="S158" s="39">
        <f t="shared" si="89"/>
        <v>0</v>
      </c>
      <c r="T158" s="74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1:40" ht="21" hidden="1" customHeight="1">
      <c r="A159" s="260" t="str">
        <f t="shared" ref="A159" si="92">+B159&amp;C159</f>
        <v>Véhicules usagésProgramme used 3</v>
      </c>
      <c r="B159" s="7" t="s">
        <v>70</v>
      </c>
      <c r="C159" s="300" t="s">
        <v>77</v>
      </c>
      <c r="D159" s="54"/>
      <c r="E159" s="7"/>
      <c r="F159" s="19" t="e">
        <f>+SUM(START:END!F159)</f>
        <v>#N/A</v>
      </c>
      <c r="G159" s="56"/>
      <c r="H159" s="7"/>
      <c r="I159" s="19">
        <f>+SUM(START:END!I159)</f>
        <v>0</v>
      </c>
      <c r="J159" s="26"/>
      <c r="K159" s="7"/>
      <c r="L159" s="39">
        <f>+SUM(START:END!L159)</f>
        <v>0</v>
      </c>
      <c r="M159" s="26"/>
      <c r="N159" s="39" t="e">
        <f t="shared" si="88"/>
        <v>#N/A</v>
      </c>
      <c r="O159" s="26"/>
      <c r="P159" s="7"/>
      <c r="Q159" s="39">
        <f>+SUM(START:END!Q159)</f>
        <v>0</v>
      </c>
      <c r="R159" s="26"/>
      <c r="S159" s="39">
        <f t="shared" si="89"/>
        <v>0</v>
      </c>
      <c r="T159" s="74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1:40" ht="21.6" customHeight="1">
      <c r="A160" s="260" t="str">
        <f>+B160&amp;C160</f>
        <v>Véhicules usagésFrais administration</v>
      </c>
      <c r="B160" s="7" t="s">
        <v>70</v>
      </c>
      <c r="C160" s="26" t="s">
        <v>67</v>
      </c>
      <c r="D160" s="311"/>
      <c r="E160" s="274"/>
      <c r="F160" s="19" t="e">
        <f>+SUM(START:END!F160)</f>
        <v>#N/A</v>
      </c>
      <c r="G160" s="56"/>
      <c r="H160" s="7"/>
      <c r="I160" s="19">
        <f>+SUM(START:END!I160)</f>
        <v>0</v>
      </c>
      <c r="J160" s="275"/>
      <c r="K160" s="274"/>
      <c r="L160" s="39">
        <f>+SUM(START:END!L160)</f>
        <v>21124.339999999997</v>
      </c>
      <c r="M160" s="26"/>
      <c r="N160" s="39" t="e">
        <f t="shared" si="88"/>
        <v>#N/A</v>
      </c>
      <c r="O160" s="275"/>
      <c r="P160" s="274"/>
      <c r="Q160" s="39">
        <f>+SUM(START:END!Q160)</f>
        <v>0</v>
      </c>
      <c r="R160" s="26"/>
      <c r="S160" s="39">
        <f t="shared" si="89"/>
        <v>21124.339999999997</v>
      </c>
      <c r="T160" s="74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1:40" ht="21" hidden="1" customHeight="1">
      <c r="A161" s="260" t="str">
        <f>+B161&amp;C161</f>
        <v>Véhicules usagés[...]</v>
      </c>
      <c r="B161" s="7" t="s">
        <v>70</v>
      </c>
      <c r="C161" s="26" t="s">
        <v>19</v>
      </c>
      <c r="D161" s="54"/>
      <c r="E161" s="7"/>
      <c r="F161" s="19" t="e">
        <f>+SUM(START:END!F161)</f>
        <v>#N/A</v>
      </c>
      <c r="G161" s="56"/>
      <c r="H161" s="7"/>
      <c r="I161" s="19">
        <f>+SUM(START:END!I161)</f>
        <v>0</v>
      </c>
      <c r="J161" s="26"/>
      <c r="K161" s="7"/>
      <c r="L161" s="39">
        <f>+SUM(START:END!L161)</f>
        <v>0</v>
      </c>
      <c r="M161" s="26"/>
      <c r="N161" s="39" t="e">
        <f t="shared" si="88"/>
        <v>#N/A</v>
      </c>
      <c r="O161" s="26"/>
      <c r="P161" s="7"/>
      <c r="Q161" s="39">
        <f>+SUM(START:END!Q161)</f>
        <v>0</v>
      </c>
      <c r="R161" s="26"/>
      <c r="S161" s="39">
        <f t="shared" si="89"/>
        <v>0</v>
      </c>
      <c r="T161" s="74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1:40" ht="21" hidden="1" customHeight="1">
      <c r="A162" s="260" t="str">
        <f>+B162&amp;C162</f>
        <v>Véhicules usagés[...]</v>
      </c>
      <c r="B162" s="7" t="s">
        <v>70</v>
      </c>
      <c r="C162" s="26" t="s">
        <v>19</v>
      </c>
      <c r="D162" s="54"/>
      <c r="E162" s="7"/>
      <c r="F162" s="19" t="e">
        <f>+SUM(START:END!F162)</f>
        <v>#N/A</v>
      </c>
      <c r="G162" s="56"/>
      <c r="H162" s="7"/>
      <c r="I162" s="19">
        <f>+SUM(START:END!I162)</f>
        <v>0</v>
      </c>
      <c r="J162" s="26"/>
      <c r="K162" s="7"/>
      <c r="L162" s="39">
        <f>+SUM(START:END!L162)</f>
        <v>0</v>
      </c>
      <c r="M162" s="26"/>
      <c r="N162" s="39" t="e">
        <f t="shared" si="88"/>
        <v>#N/A</v>
      </c>
      <c r="O162" s="26"/>
      <c r="P162" s="7"/>
      <c r="Q162" s="39">
        <f>+SUM(START:END!Q162)</f>
        <v>0</v>
      </c>
      <c r="R162" s="26"/>
      <c r="S162" s="39">
        <f t="shared" si="89"/>
        <v>0</v>
      </c>
      <c r="T162" s="74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1:40" ht="21" hidden="1" customHeight="1">
      <c r="A163" s="260" t="str">
        <f>+B163&amp;C163</f>
        <v>Véhicules usagés[...]</v>
      </c>
      <c r="B163" s="7" t="s">
        <v>70</v>
      </c>
      <c r="C163" s="14" t="s">
        <v>19</v>
      </c>
      <c r="D163" s="57"/>
      <c r="E163" s="73"/>
      <c r="F163" s="19" t="e">
        <f>+SUM(START:END!F163)</f>
        <v>#N/A</v>
      </c>
      <c r="G163" s="56"/>
      <c r="H163" s="7"/>
      <c r="I163" s="19">
        <f>+SUM(START:END!I163)</f>
        <v>0</v>
      </c>
      <c r="J163" s="26"/>
      <c r="K163" s="7"/>
      <c r="L163" s="39">
        <f>+SUM(START:END!L163)</f>
        <v>0</v>
      </c>
      <c r="M163" s="26"/>
      <c r="N163" s="39" t="e">
        <f t="shared" si="88"/>
        <v>#N/A</v>
      </c>
      <c r="O163" s="26"/>
      <c r="P163" s="7"/>
      <c r="Q163" s="39">
        <f>+SUM(START:END!Q163)</f>
        <v>0</v>
      </c>
      <c r="R163" s="26"/>
      <c r="S163" s="39">
        <f t="shared" si="89"/>
        <v>0</v>
      </c>
      <c r="T163" s="74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1:40" ht="18.600000000000001" customHeight="1">
      <c r="A164" s="260"/>
      <c r="B164" s="7"/>
      <c r="C164" s="139" t="s">
        <v>68</v>
      </c>
      <c r="D164" s="62"/>
      <c r="E164" s="63"/>
      <c r="F164" s="64" t="e">
        <f>+SUM(F157:F163)</f>
        <v>#N/A</v>
      </c>
      <c r="G164" s="65"/>
      <c r="H164" s="63"/>
      <c r="I164" s="64">
        <f>+SUM(I157:I163)</f>
        <v>0</v>
      </c>
      <c r="J164" s="65"/>
      <c r="K164" s="63"/>
      <c r="L164" s="64">
        <f>+SUM(L157:L163)</f>
        <v>21124.339999999997</v>
      </c>
      <c r="M164" s="66"/>
      <c r="N164" s="64" t="e">
        <f>SUM(N157:N160)</f>
        <v>#N/A</v>
      </c>
      <c r="O164" s="65"/>
      <c r="P164" s="63"/>
      <c r="Q164" s="64">
        <f>+SUM(Q157:Q163)</f>
        <v>0</v>
      </c>
      <c r="R164" s="67"/>
      <c r="S164" s="64">
        <f>+SUM(S157:S163)</f>
        <v>21124.339999999997</v>
      </c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1:40" ht="15.75" customHeight="1">
      <c r="B165" s="7"/>
      <c r="C165" s="26"/>
      <c r="D165" s="54"/>
      <c r="E165" s="7"/>
      <c r="F165" s="39"/>
      <c r="G165" s="56"/>
      <c r="H165" s="7"/>
      <c r="I165" s="39"/>
      <c r="J165" s="26"/>
      <c r="K165" s="7"/>
      <c r="L165" s="39"/>
      <c r="M165" s="26"/>
      <c r="N165" s="39"/>
      <c r="O165" s="26"/>
      <c r="P165" s="7"/>
      <c r="Q165" s="39"/>
      <c r="R165" s="26"/>
      <c r="S165" s="39"/>
      <c r="T165" s="95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1:40" ht="18.600000000000001" customHeight="1" thickBot="1">
      <c r="A166" s="260"/>
      <c r="B166" s="7"/>
      <c r="C166" s="276" t="s">
        <v>69</v>
      </c>
      <c r="D166" s="277"/>
      <c r="E166" s="278"/>
      <c r="F166" s="138" t="e">
        <f>F109-F156+F164</f>
        <v>#N/A</v>
      </c>
      <c r="G166" s="279"/>
      <c r="H166" s="278"/>
      <c r="I166" s="138">
        <f>I109-I156+I164</f>
        <v>0</v>
      </c>
      <c r="J166" s="279"/>
      <c r="K166" s="278"/>
      <c r="L166" s="138">
        <f>L109-L156+L164</f>
        <v>-55878.330000000191</v>
      </c>
      <c r="M166" s="280"/>
      <c r="N166" s="138" t="e">
        <f>L166-F166</f>
        <v>#N/A</v>
      </c>
      <c r="O166" s="279"/>
      <c r="P166" s="278"/>
      <c r="Q166" s="138">
        <f>Q109-Q156+Q164</f>
        <v>-76432.300000000512</v>
      </c>
      <c r="R166" s="281"/>
      <c r="S166" s="138">
        <f>L166-Q166</f>
        <v>20553.970000000321</v>
      </c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1:40" ht="15.75" customHeight="1" thickTop="1">
      <c r="B167" s="7"/>
      <c r="C167" s="6"/>
      <c r="D167" s="6"/>
      <c r="E167" s="6"/>
      <c r="F167" s="97"/>
      <c r="G167" s="6"/>
      <c r="H167" s="6"/>
      <c r="I167" s="6"/>
      <c r="J167" s="6"/>
      <c r="K167" s="6"/>
      <c r="L167" s="97"/>
      <c r="M167" s="6"/>
      <c r="N167" s="6"/>
      <c r="O167" s="6"/>
      <c r="P167" s="6"/>
      <c r="Q167" s="6"/>
      <c r="R167" s="97"/>
      <c r="S167" s="6"/>
      <c r="T167" s="97"/>
      <c r="U167" s="6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1:40" ht="15.75" customHeight="1">
      <c r="B168" s="7"/>
      <c r="C168" s="6"/>
      <c r="D168" s="6"/>
      <c r="E168" s="6"/>
      <c r="F168" s="97"/>
      <c r="G168" s="6"/>
      <c r="H168" s="6"/>
      <c r="I168" s="6"/>
      <c r="J168" s="6"/>
      <c r="K168" s="6"/>
      <c r="L168" s="97"/>
      <c r="M168" s="6"/>
      <c r="N168" s="6"/>
      <c r="O168" s="6"/>
      <c r="P168" s="6"/>
      <c r="Q168" s="6"/>
      <c r="R168" s="97"/>
      <c r="S168" s="6"/>
      <c r="T168" s="97"/>
      <c r="U168" s="6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1:40" ht="33" customHeight="1">
      <c r="B169" s="2"/>
      <c r="C169" s="251" t="str">
        <f>C1</f>
        <v>Ste-Marie Auto</v>
      </c>
      <c r="D169" s="252"/>
      <c r="E169" s="253"/>
      <c r="F169" s="252"/>
      <c r="G169" s="252"/>
      <c r="H169" s="254"/>
      <c r="I169" s="252"/>
      <c r="J169" s="254"/>
      <c r="K169" s="255" t="s">
        <v>220</v>
      </c>
      <c r="L169" s="252"/>
      <c r="M169" s="252"/>
      <c r="N169" s="256"/>
      <c r="O169" s="251"/>
      <c r="P169" s="257"/>
      <c r="Q169" s="251"/>
      <c r="R169" s="257"/>
      <c r="S169" s="258" t="str">
        <f>$S$1</f>
        <v>Réalisé  Q2 2026</v>
      </c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15.75" customHeight="1" thickBot="1">
      <c r="B170" s="3"/>
      <c r="C170" s="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spans="1:40" ht="15.75" customHeight="1" thickTop="1">
      <c r="B171" s="7"/>
      <c r="C171" s="259"/>
      <c r="D171" s="407" t="s">
        <v>5</v>
      </c>
      <c r="E171" s="407"/>
      <c r="F171" s="409"/>
      <c r="G171" s="405"/>
      <c r="H171" s="407"/>
      <c r="I171" s="409"/>
      <c r="J171" s="405" t="s">
        <v>7</v>
      </c>
      <c r="K171" s="407"/>
      <c r="L171" s="409"/>
      <c r="M171" s="405" t="s">
        <v>211</v>
      </c>
      <c r="N171" s="409"/>
      <c r="O171" s="405" t="s">
        <v>8</v>
      </c>
      <c r="P171" s="407"/>
      <c r="Q171" s="409"/>
      <c r="R171" s="405" t="s">
        <v>212</v>
      </c>
      <c r="S171" s="409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1:40" ht="15.75" customHeight="1">
      <c r="B172" s="7"/>
      <c r="C172" s="26"/>
      <c r="D172" s="8" t="s">
        <v>10</v>
      </c>
      <c r="E172" s="9" t="s">
        <v>11</v>
      </c>
      <c r="F172" s="10" t="s">
        <v>12</v>
      </c>
      <c r="G172" s="11"/>
      <c r="H172" s="9"/>
      <c r="I172" s="10"/>
      <c r="J172" s="11" t="s">
        <v>221</v>
      </c>
      <c r="K172" s="9" t="s">
        <v>13</v>
      </c>
      <c r="L172" s="10" t="s">
        <v>12</v>
      </c>
      <c r="M172" s="11" t="s">
        <v>221</v>
      </c>
      <c r="N172" s="10" t="s">
        <v>12</v>
      </c>
      <c r="O172" s="9" t="s">
        <v>10</v>
      </c>
      <c r="P172" s="9" t="s">
        <v>11</v>
      </c>
      <c r="Q172" s="10" t="s">
        <v>12</v>
      </c>
      <c r="R172" s="11" t="s">
        <v>221</v>
      </c>
      <c r="S172" s="10" t="s">
        <v>12</v>
      </c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1:40" ht="24" customHeight="1">
      <c r="A173" s="260" t="s">
        <v>222</v>
      </c>
      <c r="B173" s="7" t="s">
        <v>223</v>
      </c>
      <c r="C173" s="14" t="s">
        <v>14</v>
      </c>
      <c r="D173" s="30"/>
      <c r="E173" s="30"/>
      <c r="F173" s="31" t="e">
        <f>+SUM(START:END!F173)</f>
        <v>#N/A</v>
      </c>
      <c r="G173" s="34"/>
      <c r="H173" s="30"/>
      <c r="I173" s="31"/>
      <c r="J173" s="14"/>
      <c r="K173" s="58"/>
      <c r="L173" s="61">
        <f>+SUM(START:END!L173)</f>
        <v>11755638.960000001</v>
      </c>
      <c r="M173" s="86"/>
      <c r="N173" s="87"/>
      <c r="O173" s="14"/>
      <c r="P173" s="58"/>
      <c r="Q173" s="61">
        <f>+SUM(START:END!Q173)</f>
        <v>14323302.880000003</v>
      </c>
      <c r="R173" s="86"/>
      <c r="S173" s="8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1:40" ht="24" customHeight="1">
      <c r="A174" s="260"/>
      <c r="B174" s="7" t="s">
        <v>223</v>
      </c>
      <c r="C174" s="26"/>
      <c r="D174" s="19"/>
      <c r="E174" s="19"/>
      <c r="F174" s="19"/>
      <c r="G174" s="20"/>
      <c r="H174" s="19"/>
      <c r="I174" s="19"/>
      <c r="J174" s="26"/>
      <c r="K174" s="55"/>
      <c r="L174" s="39"/>
      <c r="M174" s="85"/>
      <c r="N174" s="84"/>
      <c r="O174" s="26"/>
      <c r="P174" s="55"/>
      <c r="Q174" s="39"/>
      <c r="R174" s="85"/>
      <c r="S174" s="261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1:40" ht="21.75" customHeight="1">
      <c r="A175" s="260" t="s">
        <v>224</v>
      </c>
      <c r="B175" s="7" t="s">
        <v>223</v>
      </c>
      <c r="C175" s="26" t="s">
        <v>225</v>
      </c>
      <c r="D175" s="19" t="e">
        <f>+SUM(START:END!D175)</f>
        <v>#N/A</v>
      </c>
      <c r="E175" s="19" t="e">
        <f>+SUM(START:END!E175)</f>
        <v>#N/A</v>
      </c>
      <c r="F175" s="19" t="e">
        <f>+SUM(START:END!F175)</f>
        <v>#N/A</v>
      </c>
      <c r="G175" s="20"/>
      <c r="H175" s="19"/>
      <c r="I175" s="19"/>
      <c r="J175" s="20">
        <f>+SUM(START:END!J175)</f>
        <v>134</v>
      </c>
      <c r="K175" s="55">
        <f>+SUM(START:END!K175)</f>
        <v>-7260.6171695527792</v>
      </c>
      <c r="L175" s="39">
        <f>+SUM(START:END!L175)</f>
        <v>-166246.6099999994</v>
      </c>
      <c r="M175" s="20" t="e">
        <f>J175-D175</f>
        <v>#N/A</v>
      </c>
      <c r="N175" s="21" t="e">
        <f>L175-F175</f>
        <v>#N/A</v>
      </c>
      <c r="O175" s="20">
        <f>+SUM(START:END!O175)</f>
        <v>114</v>
      </c>
      <c r="P175" s="55">
        <f>+SUM(START:END!P175)</f>
        <v>-1744.7474848484637</v>
      </c>
      <c r="Q175" s="39">
        <f>+SUM(START:END!Q175)</f>
        <v>-17568.769999999902</v>
      </c>
      <c r="R175" s="20">
        <f t="shared" ref="R175:R177" si="93">J175-O175</f>
        <v>20</v>
      </c>
      <c r="S175" s="39">
        <f t="shared" ref="S175:S177" si="94">L175-Q175</f>
        <v>-148677.8399999995</v>
      </c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1:40" ht="21.75" customHeight="1">
      <c r="A176" s="260"/>
      <c r="B176" s="7" t="s">
        <v>223</v>
      </c>
      <c r="C176" s="248"/>
      <c r="D176" s="16"/>
      <c r="E176" s="16"/>
      <c r="F176" s="16"/>
      <c r="G176" s="29"/>
      <c r="H176" s="16"/>
      <c r="I176" s="16"/>
      <c r="J176" s="29"/>
      <c r="K176" s="60"/>
      <c r="L176" s="92"/>
      <c r="M176" s="29"/>
      <c r="N176" s="13"/>
      <c r="O176" s="29"/>
      <c r="P176" s="60"/>
      <c r="Q176" s="92"/>
      <c r="R176" s="262">
        <f>R175/O175</f>
        <v>0.17543859649122806</v>
      </c>
      <c r="S176" s="108">
        <f>IF(Q175=0,0,(S175/Q175))</f>
        <v>8.4626208892256169</v>
      </c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1:40" ht="18.75" customHeight="1">
      <c r="A177" s="260" t="s">
        <v>226</v>
      </c>
      <c r="B177" s="7" t="s">
        <v>223</v>
      </c>
      <c r="C177" s="26" t="s">
        <v>227</v>
      </c>
      <c r="D177" s="19" t="e">
        <f>+SUM(START:END!D177)</f>
        <v>#N/A</v>
      </c>
      <c r="E177" s="19" t="e">
        <f>+SUM(START:END!E177)</f>
        <v>#N/A</v>
      </c>
      <c r="F177" s="19" t="e">
        <f>+SUM(START:END!F177)</f>
        <v>#N/A</v>
      </c>
      <c r="G177" s="20"/>
      <c r="H177" s="19"/>
      <c r="I177" s="19"/>
      <c r="J177" s="20">
        <f>+SUM(START:END!J177)</f>
        <v>66</v>
      </c>
      <c r="K177" s="55">
        <f>+SUM(START:END!K177)</f>
        <v>2402.2888624338366</v>
      </c>
      <c r="L177" s="39">
        <f>+SUM(START:END!L177)</f>
        <v>52244.159999999218</v>
      </c>
      <c r="M177" s="20" t="e">
        <f>J177-D177</f>
        <v>#N/A</v>
      </c>
      <c r="N177" s="21" t="e">
        <f>L177-F177</f>
        <v>#N/A</v>
      </c>
      <c r="O177" s="20">
        <f>+SUM(START:END!O177)</f>
        <v>0</v>
      </c>
      <c r="P177" s="55">
        <f>+SUM(START:END!P177)</f>
        <v>0</v>
      </c>
      <c r="Q177" s="39">
        <f>+SUM(START:END!Q177)</f>
        <v>0</v>
      </c>
      <c r="R177" s="20">
        <f t="shared" si="93"/>
        <v>66</v>
      </c>
      <c r="S177" s="39">
        <f t="shared" si="94"/>
        <v>52244.159999999218</v>
      </c>
      <c r="T177" s="7"/>
      <c r="U177" s="7"/>
      <c r="V177" s="88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1:40" ht="18.75" customHeight="1">
      <c r="A178" s="260"/>
      <c r="B178" s="7" t="s">
        <v>223</v>
      </c>
      <c r="C178" s="248"/>
      <c r="D178" s="16"/>
      <c r="E178" s="16"/>
      <c r="F178" s="16"/>
      <c r="G178" s="29"/>
      <c r="H178" s="16"/>
      <c r="I178" s="16"/>
      <c r="J178" s="29"/>
      <c r="K178" s="60"/>
      <c r="L178" s="92"/>
      <c r="M178" s="29"/>
      <c r="N178" s="13"/>
      <c r="O178" s="29"/>
      <c r="P178" s="60"/>
      <c r="Q178" s="92"/>
      <c r="R178" s="262" t="e">
        <f>R177/O177</f>
        <v>#DIV/0!</v>
      </c>
      <c r="S178" s="108">
        <f>IF(Q177=0,0,(S177/Q177))</f>
        <v>0</v>
      </c>
      <c r="T178" s="7"/>
      <c r="U178" s="7"/>
      <c r="V178" s="88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1:40" ht="18.75" customHeight="1">
      <c r="A179" s="260" t="str">
        <f>B179&amp;C179</f>
        <v>Wholesale autresWholesale Luxueux</v>
      </c>
      <c r="B179" s="7" t="s">
        <v>223</v>
      </c>
      <c r="C179" s="26" t="s">
        <v>228</v>
      </c>
      <c r="D179" s="19" t="e">
        <f>+SUM(START:END!D179)</f>
        <v>#N/A</v>
      </c>
      <c r="E179" s="19" t="e">
        <f>+SUM(START:END!E179)</f>
        <v>#N/A</v>
      </c>
      <c r="F179" s="19" t="e">
        <f>+SUM(START:END!F179)</f>
        <v>#N/A</v>
      </c>
      <c r="G179" s="20"/>
      <c r="H179" s="19"/>
      <c r="I179" s="19"/>
      <c r="J179" s="20">
        <f>+SUM(START:END!J179)</f>
        <v>20</v>
      </c>
      <c r="K179" s="55">
        <f>+SUM(START:END!K179)</f>
        <v>11304.375</v>
      </c>
      <c r="L179" s="39">
        <f>+SUM(START:END!L179)</f>
        <v>56235</v>
      </c>
      <c r="M179" s="20" t="e">
        <f>J179-D179</f>
        <v>#N/A</v>
      </c>
      <c r="N179" s="21" t="e">
        <f>L179-F179</f>
        <v>#N/A</v>
      </c>
      <c r="O179" s="20">
        <f>+SUM(START:END!O179)</f>
        <v>53</v>
      </c>
      <c r="P179" s="55">
        <f>+SUM(START:END!P179)</f>
        <v>12659.696969696881</v>
      </c>
      <c r="Q179" s="39">
        <f>+SUM(START:END!Q179)</f>
        <v>218789.99999999814</v>
      </c>
      <c r="R179" s="20">
        <f>J179-O179</f>
        <v>-33</v>
      </c>
      <c r="S179" s="39">
        <f>L179-Q179</f>
        <v>-162554.99999999814</v>
      </c>
      <c r="T179" s="7"/>
      <c r="U179" s="7"/>
      <c r="V179" s="8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1:40" ht="15.75" customHeight="1">
      <c r="A180" s="260" t="s">
        <v>70</v>
      </c>
      <c r="B180" s="7" t="s">
        <v>223</v>
      </c>
      <c r="C180" s="26"/>
      <c r="D180" s="7"/>
      <c r="E180" s="7"/>
      <c r="F180" s="39"/>
      <c r="G180" s="26"/>
      <c r="H180" s="91"/>
      <c r="I180" s="39"/>
      <c r="J180" s="26"/>
      <c r="K180" s="55"/>
      <c r="L180" s="39"/>
      <c r="M180" s="27"/>
      <c r="N180" s="28" t="e">
        <f>#REF!/#REF!</f>
        <v>#REF!</v>
      </c>
      <c r="O180" s="26"/>
      <c r="P180" s="55"/>
      <c r="Q180" s="39"/>
      <c r="R180" s="263">
        <f>R179/O179</f>
        <v>-0.62264150943396224</v>
      </c>
      <c r="S180" s="100">
        <f>IF(Q179=0,0,(S179/Q179))</f>
        <v>-0.74297271356094663</v>
      </c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1:40" ht="15.75" customHeight="1" thickBot="1">
      <c r="A181" s="260" t="s">
        <v>70</v>
      </c>
      <c r="B181" s="7" t="s">
        <v>223</v>
      </c>
      <c r="C181" s="26"/>
      <c r="D181" s="7"/>
      <c r="E181" s="7"/>
      <c r="F181" s="39"/>
      <c r="G181" s="26"/>
      <c r="H181" s="91"/>
      <c r="I181" s="39"/>
      <c r="J181" s="26"/>
      <c r="K181" s="55"/>
      <c r="L181" s="39"/>
      <c r="M181" s="27"/>
      <c r="N181" s="28"/>
      <c r="O181" s="26"/>
      <c r="P181" s="55"/>
      <c r="Q181" s="39"/>
      <c r="R181" s="40"/>
      <c r="S181" s="112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1:40" ht="18" customHeight="1" thickTop="1">
      <c r="A182" s="260" t="s">
        <v>229</v>
      </c>
      <c r="B182" s="7" t="s">
        <v>223</v>
      </c>
      <c r="C182" s="264" t="s">
        <v>230</v>
      </c>
      <c r="D182" s="41" t="e">
        <f>D175+D177+D179</f>
        <v>#N/A</v>
      </c>
      <c r="E182" s="42" t="e">
        <f>IF(D182&lt;=0,0,F182/D182)</f>
        <v>#N/A</v>
      </c>
      <c r="F182" s="43" t="e">
        <f>#REF!+#REF!+#REF!</f>
        <v>#REF!</v>
      </c>
      <c r="G182" s="44"/>
      <c r="H182" s="42"/>
      <c r="I182" s="43"/>
      <c r="J182" s="44">
        <f>J175+J177+J179</f>
        <v>220</v>
      </c>
      <c r="K182" s="41">
        <f>IF(J182&lt;=0,0,L182/J182)</f>
        <v>-262.57931818181902</v>
      </c>
      <c r="L182" s="43">
        <f>L175+L179+L177</f>
        <v>-57767.450000000186</v>
      </c>
      <c r="M182" s="44" t="e">
        <f>J182-D182</f>
        <v>#N/A</v>
      </c>
      <c r="N182" s="43" t="e">
        <f>L182-F182</f>
        <v>#REF!</v>
      </c>
      <c r="O182" s="44">
        <f>O175+O177+O179</f>
        <v>167</v>
      </c>
      <c r="P182" s="41">
        <f>IF(O182&lt;=0,0,Q182/O182)</f>
        <v>1204.917544910169</v>
      </c>
      <c r="Q182" s="43">
        <f>Q175+Q179+Q177</f>
        <v>201221.22999999824</v>
      </c>
      <c r="R182" s="44">
        <f>J182-O182</f>
        <v>53</v>
      </c>
      <c r="S182" s="43">
        <f>L182-Q182</f>
        <v>-258988.67999999842</v>
      </c>
      <c r="T182" s="7"/>
      <c r="U182" s="55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1:40" ht="22.5" customHeight="1" thickBot="1">
      <c r="A183" s="260" t="s">
        <v>70</v>
      </c>
      <c r="B183" s="7" t="s">
        <v>223</v>
      </c>
      <c r="C183" s="47"/>
      <c r="D183" s="45"/>
      <c r="E183" s="45"/>
      <c r="F183" s="46"/>
      <c r="G183" s="47"/>
      <c r="H183" s="45"/>
      <c r="I183" s="46"/>
      <c r="J183" s="47"/>
      <c r="K183" s="265"/>
      <c r="L183" s="266"/>
      <c r="M183" s="48"/>
      <c r="N183" s="49"/>
      <c r="O183" s="47"/>
      <c r="P183" s="265"/>
      <c r="Q183" s="266"/>
      <c r="R183" s="48">
        <f>O182/R182</f>
        <v>3.1509433962264151</v>
      </c>
      <c r="S183" s="267">
        <f>IF(Q182=0,0,(S182/Q182))</f>
        <v>-1.2870842703824079</v>
      </c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1:40" ht="15.75" customHeight="1" thickTop="1">
      <c r="A184" s="260" t="s">
        <v>70</v>
      </c>
      <c r="B184" s="7" t="s">
        <v>223</v>
      </c>
      <c r="C184" s="52"/>
      <c r="D184" s="50"/>
      <c r="E184" s="50"/>
      <c r="F184" s="51"/>
      <c r="G184" s="52"/>
      <c r="H184" s="50"/>
      <c r="I184" s="51"/>
      <c r="J184" s="52"/>
      <c r="K184" s="74"/>
      <c r="L184" s="112"/>
      <c r="M184" s="27"/>
      <c r="N184" s="28"/>
      <c r="O184" s="52"/>
      <c r="P184" s="74"/>
      <c r="Q184" s="112"/>
      <c r="R184" s="27"/>
      <c r="S184" s="28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1:40" ht="15.75" customHeight="1">
      <c r="A185" s="260" t="s">
        <v>231</v>
      </c>
      <c r="B185" s="7" t="s">
        <v>223</v>
      </c>
      <c r="C185" s="268" t="s">
        <v>29</v>
      </c>
      <c r="D185" s="7"/>
      <c r="E185" s="53"/>
      <c r="F185" s="39"/>
      <c r="G185" s="26"/>
      <c r="H185" s="53"/>
      <c r="I185" s="39"/>
      <c r="J185" s="26"/>
      <c r="K185" s="269"/>
      <c r="L185" s="39"/>
      <c r="M185" s="26"/>
      <c r="N185" s="25"/>
      <c r="O185" s="99"/>
      <c r="P185" s="55"/>
      <c r="Q185" s="39"/>
      <c r="R185" s="26"/>
      <c r="S185" s="25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1:40" ht="15.75" customHeight="1">
      <c r="A186" s="260" t="s">
        <v>232</v>
      </c>
      <c r="B186" s="7" t="s">
        <v>223</v>
      </c>
      <c r="C186" s="26" t="s">
        <v>30</v>
      </c>
      <c r="D186" s="99" t="e">
        <f>F186/F182</f>
        <v>#N/A</v>
      </c>
      <c r="E186" s="55" t="e">
        <f>IF($J$97=0,0,F186/(D$94+D$95+D182))</f>
        <v>#N/A</v>
      </c>
      <c r="F186" s="19" t="e">
        <f>+SUM(START:END!F186)</f>
        <v>#N/A</v>
      </c>
      <c r="G186" s="99"/>
      <c r="H186" s="55"/>
      <c r="I186" s="19"/>
      <c r="J186" s="99">
        <f>L186/L182</f>
        <v>-0.46297369885636136</v>
      </c>
      <c r="K186" s="55">
        <f>IF($J$97=0,0,L186/(J$94+J$95+J182))</f>
        <v>92.542595155709336</v>
      </c>
      <c r="L186" s="39">
        <f>+SUM(START:END!L186)</f>
        <v>26744.809999999998</v>
      </c>
      <c r="M186" s="26"/>
      <c r="N186" s="39" t="e">
        <f t="shared" ref="N186:N227" si="95">L186-F186</f>
        <v>#N/A</v>
      </c>
      <c r="O186" s="99">
        <f>Q186/Q182</f>
        <v>0</v>
      </c>
      <c r="P186" s="55">
        <f>IF($J$97=0,0,Q186/(O$94+O$95+O182))</f>
        <v>0</v>
      </c>
      <c r="Q186" s="39">
        <f>+SUM(START:END!Q186)</f>
        <v>0</v>
      </c>
      <c r="R186" s="26"/>
      <c r="S186" s="39">
        <f t="shared" ref="S186:S227" si="96">L186-Q186</f>
        <v>26744.809999999998</v>
      </c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1:40" ht="15.75" customHeight="1">
      <c r="A187" s="260" t="s">
        <v>233</v>
      </c>
      <c r="B187" s="7" t="s">
        <v>223</v>
      </c>
      <c r="C187" s="14" t="s">
        <v>31</v>
      </c>
      <c r="D187" s="104" t="e">
        <f>F187/(F182)</f>
        <v>#N/A</v>
      </c>
      <c r="E187" s="58" t="e">
        <f>IF($J$97=0,0,F187/(D$94+D$95+D182))</f>
        <v>#N/A</v>
      </c>
      <c r="F187" s="31" t="e">
        <f>+SUM(START:END!F187)</f>
        <v>#N/A</v>
      </c>
      <c r="G187" s="104"/>
      <c r="H187" s="58"/>
      <c r="I187" s="31"/>
      <c r="J187" s="104">
        <f>L187/(L182)</f>
        <v>0</v>
      </c>
      <c r="K187" s="58">
        <f>IF($J$97=0,0,L187/(J$94+J$95+J182))</f>
        <v>0</v>
      </c>
      <c r="L187" s="39">
        <f>+SUM(START:END!L187)</f>
        <v>0</v>
      </c>
      <c r="M187" s="14"/>
      <c r="N187" s="61" t="e">
        <f t="shared" si="95"/>
        <v>#N/A</v>
      </c>
      <c r="O187" s="104">
        <f>Q187/(Q182)</f>
        <v>0</v>
      </c>
      <c r="P187" s="58">
        <f>IF($J$97=0,0,Q187/(O$94+O$95+O182))</f>
        <v>0</v>
      </c>
      <c r="Q187" s="39">
        <f>+SUM(START:END!Q187)</f>
        <v>0</v>
      </c>
      <c r="R187" s="14"/>
      <c r="S187" s="61">
        <f t="shared" si="96"/>
        <v>0</v>
      </c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1:40" ht="15.75" customHeight="1">
      <c r="A188" s="260" t="s">
        <v>234</v>
      </c>
      <c r="B188" s="7" t="s">
        <v>223</v>
      </c>
      <c r="C188" s="26" t="s">
        <v>32</v>
      </c>
      <c r="D188" s="26"/>
      <c r="E188" s="55" t="e">
        <f>IF($J$97=0,0,F188/(D$94+D$95+D182))</f>
        <v>#N/A</v>
      </c>
      <c r="F188" s="19" t="e">
        <f>+SUM(START:END!F188)</f>
        <v>#N/A</v>
      </c>
      <c r="G188" s="56"/>
      <c r="H188" s="55"/>
      <c r="I188" s="19"/>
      <c r="J188" s="26"/>
      <c r="K188" s="55">
        <f>IF($J$97=0,0,L188/(J$94+J$95+J182))</f>
        <v>6.7662975778546741</v>
      </c>
      <c r="L188" s="72">
        <f>+SUM(START:END!L188)</f>
        <v>1955.4600000000009</v>
      </c>
      <c r="M188" s="26"/>
      <c r="N188" s="39" t="e">
        <f t="shared" si="95"/>
        <v>#N/A</v>
      </c>
      <c r="O188" s="26"/>
      <c r="P188" s="55">
        <f>IF($J$97=0,0,Q188/(O$94+O$95+O182))</f>
        <v>-112.78846889952153</v>
      </c>
      <c r="Q188" s="72">
        <f>+SUM(START:END!Q188)</f>
        <v>-23572.79</v>
      </c>
      <c r="R188" s="26"/>
      <c r="S188" s="39">
        <f t="shared" si="96"/>
        <v>25528.25</v>
      </c>
      <c r="T188" s="7"/>
      <c r="U188" s="7"/>
      <c r="V188" s="7"/>
      <c r="W188" s="19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1:40" ht="15.75" customHeight="1">
      <c r="A189" s="260" t="s">
        <v>235</v>
      </c>
      <c r="B189" s="7" t="s">
        <v>223</v>
      </c>
      <c r="C189" s="26" t="s">
        <v>33</v>
      </c>
      <c r="D189" s="26"/>
      <c r="E189" s="55" t="e">
        <f>IF($J$97=0,0,F189/(D$94+D$95+D182))</f>
        <v>#N/A</v>
      </c>
      <c r="F189" s="19" t="e">
        <f>+SUM(START:END!F189)</f>
        <v>#N/A</v>
      </c>
      <c r="G189" s="56"/>
      <c r="H189" s="55"/>
      <c r="I189" s="19"/>
      <c r="J189" s="26"/>
      <c r="K189" s="55">
        <f>IF($J$97=0,0,L189/(J$94+J$95+J182))</f>
        <v>0</v>
      </c>
      <c r="L189" s="39">
        <f>+SUM(START:END!L189)</f>
        <v>0</v>
      </c>
      <c r="M189" s="26"/>
      <c r="N189" s="39" t="e">
        <f t="shared" si="95"/>
        <v>#N/A</v>
      </c>
      <c r="O189" s="26"/>
      <c r="P189" s="55">
        <f>IF($J$97=0,0,Q189/(O$94+O$95+O182))</f>
        <v>0</v>
      </c>
      <c r="Q189" s="39">
        <f>+SUM(START:END!Q189)</f>
        <v>0</v>
      </c>
      <c r="R189" s="26"/>
      <c r="S189" s="39">
        <f t="shared" si="96"/>
        <v>0</v>
      </c>
      <c r="T189" s="7"/>
      <c r="U189" s="7"/>
      <c r="V189" s="7"/>
      <c r="W189" s="19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1:40" ht="15.75" customHeight="1">
      <c r="A190" s="260" t="s">
        <v>236</v>
      </c>
      <c r="B190" s="7" t="s">
        <v>223</v>
      </c>
      <c r="C190" s="14" t="s">
        <v>34</v>
      </c>
      <c r="D190" s="14"/>
      <c r="E190" s="58" t="e">
        <f>IF($J$97=0,0,F190/(D$94+D$95+D182))</f>
        <v>#N/A</v>
      </c>
      <c r="F190" s="31" t="e">
        <f>+SUM(START:END!F190)</f>
        <v>#N/A</v>
      </c>
      <c r="G190" s="59"/>
      <c r="H190" s="58"/>
      <c r="I190" s="31"/>
      <c r="J190" s="14"/>
      <c r="K190" s="58">
        <f>IF($J$97=0,0,L190/(J$94+J$95+J182))</f>
        <v>0.12110726643598616</v>
      </c>
      <c r="L190" s="61">
        <f>+SUM(START:END!L190)</f>
        <v>35</v>
      </c>
      <c r="M190" s="14"/>
      <c r="N190" s="61" t="e">
        <f t="shared" si="95"/>
        <v>#N/A</v>
      </c>
      <c r="O190" s="14"/>
      <c r="P190" s="58">
        <f>IF($J$97=0,0,Q190/(O$94+O$95+O182))</f>
        <v>0</v>
      </c>
      <c r="Q190" s="61">
        <f>+SUM(START:END!Q190)</f>
        <v>0</v>
      </c>
      <c r="R190" s="14"/>
      <c r="S190" s="61">
        <f t="shared" si="96"/>
        <v>35</v>
      </c>
      <c r="T190" s="7"/>
      <c r="U190" s="270"/>
      <c r="V190" s="7"/>
      <c r="W190" s="19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1:40" ht="19.5" customHeight="1">
      <c r="A191" s="260" t="s">
        <v>237</v>
      </c>
      <c r="B191" s="7" t="s">
        <v>223</v>
      </c>
      <c r="C191" s="26" t="s">
        <v>35</v>
      </c>
      <c r="D191" s="26"/>
      <c r="E191" s="55" t="e">
        <f>IF($J$97=0,0,F191/(D$94+D$95+D182))</f>
        <v>#N/A</v>
      </c>
      <c r="F191" s="19" t="e">
        <f>+SUM(START:END!F191)</f>
        <v>#N/A</v>
      </c>
      <c r="G191" s="56"/>
      <c r="H191" s="55"/>
      <c r="I191" s="19"/>
      <c r="J191" s="26"/>
      <c r="K191" s="55">
        <f>IF($J$97=0,0,L191/(J$94+J$95+J182))</f>
        <v>0</v>
      </c>
      <c r="L191" s="39">
        <f>+SUM(START:END!L191)</f>
        <v>0</v>
      </c>
      <c r="M191" s="26"/>
      <c r="N191" s="39" t="e">
        <f t="shared" si="95"/>
        <v>#N/A</v>
      </c>
      <c r="O191" s="26"/>
      <c r="P191" s="55">
        <f>IF($J$97=0,0,Q191/(O$94+O$95+O182))</f>
        <v>0</v>
      </c>
      <c r="Q191" s="39">
        <f>+SUM(START:END!Q191)</f>
        <v>0</v>
      </c>
      <c r="R191" s="26"/>
      <c r="S191" s="39">
        <f t="shared" si="96"/>
        <v>0</v>
      </c>
      <c r="T191" s="7"/>
      <c r="U191" s="270"/>
      <c r="V191" s="7"/>
      <c r="W191" s="19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1:40" ht="15.75" customHeight="1">
      <c r="A192" s="260" t="s">
        <v>238</v>
      </c>
      <c r="B192" s="7" t="s">
        <v>223</v>
      </c>
      <c r="C192" s="26" t="s">
        <v>36</v>
      </c>
      <c r="D192" s="26"/>
      <c r="E192" s="55" t="e">
        <f>IF($J$97=0,0,F192/(D$94+D$95+D182))</f>
        <v>#N/A</v>
      </c>
      <c r="F192" s="19" t="e">
        <f>+SUM(START:END!F192)</f>
        <v>#N/A</v>
      </c>
      <c r="G192" s="56"/>
      <c r="H192" s="55"/>
      <c r="I192" s="19"/>
      <c r="J192" s="26"/>
      <c r="K192" s="55">
        <f>IF($J$97=0,0,L192/(J$94+J$95+J182))</f>
        <v>157.28179930795849</v>
      </c>
      <c r="L192" s="39">
        <f>+SUM(START:END!L192)</f>
        <v>45454.44</v>
      </c>
      <c r="M192" s="26"/>
      <c r="N192" s="39" t="e">
        <f t="shared" si="95"/>
        <v>#N/A</v>
      </c>
      <c r="O192" s="26"/>
      <c r="P192" s="55">
        <f>IF($J$97=0,0,Q192/(O$94+O$95+O182))</f>
        <v>80.672057416267904</v>
      </c>
      <c r="Q192" s="39">
        <f>+SUM(START:END!Q192)</f>
        <v>16860.459999999992</v>
      </c>
      <c r="R192" s="26"/>
      <c r="S192" s="39">
        <f t="shared" si="96"/>
        <v>28593.98000000001</v>
      </c>
      <c r="T192" s="7"/>
      <c r="U192" s="7"/>
      <c r="V192" s="7"/>
      <c r="W192" s="19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1:40" ht="20.399999999999999" hidden="1" customHeight="1" thickBot="1">
      <c r="A193" s="260" t="s">
        <v>239</v>
      </c>
      <c r="B193" s="7" t="s">
        <v>223</v>
      </c>
      <c r="C193" s="26" t="s">
        <v>19</v>
      </c>
      <c r="D193" s="54"/>
      <c r="E193" s="55" t="e">
        <f>F193/D$97</f>
        <v>#N/A</v>
      </c>
      <c r="F193" s="19">
        <v>0</v>
      </c>
      <c r="G193" s="56"/>
      <c r="H193" s="55"/>
      <c r="I193" s="19"/>
      <c r="J193" s="26"/>
      <c r="K193" s="55">
        <f>IF($J$97=0,0,L193/(J$94+J$95))</f>
        <v>0</v>
      </c>
      <c r="L193" s="21">
        <v>0</v>
      </c>
      <c r="M193" s="26"/>
      <c r="N193" s="39">
        <f t="shared" si="95"/>
        <v>0</v>
      </c>
      <c r="O193" s="26"/>
      <c r="P193" s="55">
        <f>IF($J$97=0,0,Q193/(O$94+O$95))</f>
        <v>0</v>
      </c>
      <c r="Q193" s="21">
        <v>0</v>
      </c>
      <c r="R193" s="26"/>
      <c r="S193" s="39">
        <f t="shared" si="96"/>
        <v>0</v>
      </c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1:40" ht="20.399999999999999" hidden="1" customHeight="1" thickBot="1">
      <c r="A194" s="260" t="s">
        <v>239</v>
      </c>
      <c r="B194" s="7" t="s">
        <v>223</v>
      </c>
      <c r="C194" s="26" t="s">
        <v>19</v>
      </c>
      <c r="D194" s="54"/>
      <c r="E194" s="55" t="e">
        <f>F194/D$97</f>
        <v>#N/A</v>
      </c>
      <c r="F194" s="19">
        <v>0</v>
      </c>
      <c r="G194" s="56"/>
      <c r="H194" s="55"/>
      <c r="I194" s="19"/>
      <c r="J194" s="26"/>
      <c r="K194" s="55">
        <f>IF($J$97=0,0,L194/(J$94+J$95))</f>
        <v>0</v>
      </c>
      <c r="L194" s="21">
        <v>0</v>
      </c>
      <c r="M194" s="26"/>
      <c r="N194" s="39">
        <f t="shared" si="95"/>
        <v>0</v>
      </c>
      <c r="O194" s="26"/>
      <c r="P194" s="55">
        <f>IF($J$97=0,0,Q194/(O$94+O$95))</f>
        <v>0</v>
      </c>
      <c r="Q194" s="21">
        <v>0</v>
      </c>
      <c r="R194" s="26"/>
      <c r="S194" s="39">
        <f t="shared" si="96"/>
        <v>0</v>
      </c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1:40" ht="20.399999999999999" hidden="1" customHeight="1" thickTop="1">
      <c r="A195" s="260" t="s">
        <v>239</v>
      </c>
      <c r="B195" s="7" t="s">
        <v>223</v>
      </c>
      <c r="C195" s="26" t="s">
        <v>19</v>
      </c>
      <c r="D195" s="54"/>
      <c r="E195" s="55" t="e">
        <f>F195/D$97</f>
        <v>#N/A</v>
      </c>
      <c r="F195" s="19">
        <v>0</v>
      </c>
      <c r="G195" s="56"/>
      <c r="H195" s="55"/>
      <c r="I195" s="19"/>
      <c r="J195" s="26"/>
      <c r="K195" s="55">
        <f>IF($J$97=0,0,L195/(J$94+J$95))</f>
        <v>0</v>
      </c>
      <c r="L195" s="21">
        <v>0</v>
      </c>
      <c r="M195" s="26"/>
      <c r="N195" s="39">
        <f t="shared" si="95"/>
        <v>0</v>
      </c>
      <c r="O195" s="26"/>
      <c r="P195" s="55">
        <f>IF($J$97=0,0,Q195/(O$94+O$95))</f>
        <v>0</v>
      </c>
      <c r="Q195" s="21">
        <v>0</v>
      </c>
      <c r="R195" s="26"/>
      <c r="S195" s="39">
        <f t="shared" si="96"/>
        <v>0</v>
      </c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1:40" ht="18.600000000000001" customHeight="1">
      <c r="A196" s="260" t="s">
        <v>240</v>
      </c>
      <c r="B196" s="7" t="s">
        <v>223</v>
      </c>
      <c r="C196" s="139" t="s">
        <v>37</v>
      </c>
      <c r="D196" s="62" t="s">
        <v>38</v>
      </c>
      <c r="E196" s="63" t="e">
        <f>F196/F$109</f>
        <v>#N/A</v>
      </c>
      <c r="F196" s="64" t="e">
        <f>SUM(F186:F195)</f>
        <v>#N/A</v>
      </c>
      <c r="G196" s="65"/>
      <c r="H196" s="63"/>
      <c r="I196" s="64"/>
      <c r="J196" s="65" t="s">
        <v>38</v>
      </c>
      <c r="K196" s="63">
        <f>L196/L$109</f>
        <v>0.63105672004882518</v>
      </c>
      <c r="L196" s="64">
        <f>SUM(L186:L195)</f>
        <v>74189.709999999992</v>
      </c>
      <c r="M196" s="66"/>
      <c r="N196" s="64" t="e">
        <f t="shared" si="95"/>
        <v>#N/A</v>
      </c>
      <c r="O196" s="65" t="s">
        <v>38</v>
      </c>
      <c r="P196" s="63">
        <f>Q196/Q$109</f>
        <v>-3.0901450717716848E-2</v>
      </c>
      <c r="Q196" s="64">
        <f>SUM(Q186:Q195)</f>
        <v>-6712.330000000009</v>
      </c>
      <c r="R196" s="67"/>
      <c r="S196" s="64">
        <f t="shared" si="96"/>
        <v>80902.040000000008</v>
      </c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1:40" ht="15.75" customHeight="1">
      <c r="A197" s="260" t="s">
        <v>241</v>
      </c>
      <c r="B197" s="7" t="s">
        <v>223</v>
      </c>
      <c r="C197" s="271" t="s">
        <v>40</v>
      </c>
      <c r="D197" s="7"/>
      <c r="E197" s="7"/>
      <c r="F197" s="19" t="e">
        <f>+SUM(START:END!F197)</f>
        <v>#N/A</v>
      </c>
      <c r="G197" s="26"/>
      <c r="H197" s="7"/>
      <c r="I197" s="19"/>
      <c r="J197" s="26"/>
      <c r="K197" s="7"/>
      <c r="L197" s="39">
        <f>+SUM(START:END!L197)</f>
        <v>-4250.1200000000099</v>
      </c>
      <c r="M197" s="26"/>
      <c r="N197" s="39" t="e">
        <f t="shared" si="95"/>
        <v>#N/A</v>
      </c>
      <c r="O197" s="26"/>
      <c r="P197" s="7"/>
      <c r="Q197" s="39">
        <f>+SUM(START:END!Q197)</f>
        <v>5250.8500000000349</v>
      </c>
      <c r="R197" s="26"/>
      <c r="S197" s="39">
        <f t="shared" si="96"/>
        <v>-9500.9700000000448</v>
      </c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1:40" ht="15.75" customHeight="1">
      <c r="A198" s="260" t="s">
        <v>242</v>
      </c>
      <c r="B198" s="7" t="s">
        <v>223</v>
      </c>
      <c r="C198" s="272" t="s">
        <v>41</v>
      </c>
      <c r="D198" s="54"/>
      <c r="E198" s="7"/>
      <c r="F198" s="31" t="e">
        <f>+SUM(START:END!F198)</f>
        <v>#N/A</v>
      </c>
      <c r="G198" s="56"/>
      <c r="H198" s="7"/>
      <c r="I198" s="31"/>
      <c r="J198" s="26"/>
      <c r="K198" s="7"/>
      <c r="L198" s="39">
        <f>+SUM(START:END!L198)</f>
        <v>688.58000000000175</v>
      </c>
      <c r="M198" s="26"/>
      <c r="N198" s="39" t="e">
        <f t="shared" si="95"/>
        <v>#N/A</v>
      </c>
      <c r="O198" s="26"/>
      <c r="P198" s="7"/>
      <c r="Q198" s="39">
        <f>+SUM(START:END!Q198)</f>
        <v>29025.379999999997</v>
      </c>
      <c r="R198" s="26"/>
      <c r="S198" s="39">
        <f t="shared" si="96"/>
        <v>-28336.799999999996</v>
      </c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1:40" ht="15.75" customHeight="1">
      <c r="A199" s="260" t="s">
        <v>243</v>
      </c>
      <c r="B199" s="7" t="s">
        <v>223</v>
      </c>
      <c r="C199" s="271" t="s">
        <v>42</v>
      </c>
      <c r="D199" s="68"/>
      <c r="E199" s="69"/>
      <c r="F199" s="19" t="e">
        <f>+SUM(START:END!F199)</f>
        <v>#N/A</v>
      </c>
      <c r="G199" s="70"/>
      <c r="H199" s="69"/>
      <c r="I199" s="19"/>
      <c r="J199" s="71"/>
      <c r="K199" s="69"/>
      <c r="L199" s="72">
        <f>+SUM(START:END!L199)</f>
        <v>0</v>
      </c>
      <c r="M199" s="71"/>
      <c r="N199" s="72" t="e">
        <f t="shared" si="95"/>
        <v>#N/A</v>
      </c>
      <c r="O199" s="71"/>
      <c r="P199" s="69"/>
      <c r="Q199" s="72">
        <f>+SUM(START:END!Q199)</f>
        <v>121917.5</v>
      </c>
      <c r="R199" s="71"/>
      <c r="S199" s="72">
        <f t="shared" si="96"/>
        <v>-121917.5</v>
      </c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1:40" ht="20.399999999999999" hidden="1" customHeight="1">
      <c r="A200" s="260" t="s">
        <v>244</v>
      </c>
      <c r="B200" s="7" t="s">
        <v>223</v>
      </c>
      <c r="C200" s="271" t="s">
        <v>43</v>
      </c>
      <c r="D200" s="54"/>
      <c r="E200" s="7"/>
      <c r="F200" s="19" t="e">
        <f>+SUM(START:END!F200)</f>
        <v>#N/A</v>
      </c>
      <c r="G200" s="56"/>
      <c r="H200" s="7"/>
      <c r="I200" s="19"/>
      <c r="J200" s="26"/>
      <c r="K200" s="7"/>
      <c r="L200" s="39">
        <f>+SUM(START:END!L200)</f>
        <v>0</v>
      </c>
      <c r="M200" s="26"/>
      <c r="N200" s="39" t="e">
        <f t="shared" si="95"/>
        <v>#N/A</v>
      </c>
      <c r="O200" s="26"/>
      <c r="P200" s="7"/>
      <c r="Q200" s="39">
        <f>+SUM(START:END!Q200)</f>
        <v>0</v>
      </c>
      <c r="R200" s="26"/>
      <c r="S200" s="39">
        <f t="shared" si="96"/>
        <v>0</v>
      </c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1:40" ht="20.399999999999999" hidden="1" customHeight="1">
      <c r="A201" s="260" t="s">
        <v>239</v>
      </c>
      <c r="B201" s="7" t="s">
        <v>223</v>
      </c>
      <c r="C201" s="271" t="s">
        <v>19</v>
      </c>
      <c r="D201" s="54"/>
      <c r="E201" s="7"/>
      <c r="F201" s="19" t="e">
        <f>+SUM(START:END!F201)</f>
        <v>#N/A</v>
      </c>
      <c r="G201" s="56"/>
      <c r="H201" s="7"/>
      <c r="I201" s="19"/>
      <c r="J201" s="26"/>
      <c r="K201" s="7"/>
      <c r="L201" s="39">
        <f>+SUM(START:END!L201)</f>
        <v>0</v>
      </c>
      <c r="M201" s="26"/>
      <c r="N201" s="39" t="e">
        <f t="shared" si="95"/>
        <v>#N/A</v>
      </c>
      <c r="O201" s="26"/>
      <c r="P201" s="7"/>
      <c r="Q201" s="39">
        <f>+SUM(START:END!Q201)</f>
        <v>0</v>
      </c>
      <c r="R201" s="26"/>
      <c r="S201" s="39">
        <f t="shared" si="96"/>
        <v>0</v>
      </c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1:40" ht="20.399999999999999" hidden="1" customHeight="1">
      <c r="A202" s="260" t="s">
        <v>239</v>
      </c>
      <c r="B202" s="7" t="s">
        <v>223</v>
      </c>
      <c r="C202" s="271" t="s">
        <v>19</v>
      </c>
      <c r="D202" s="54"/>
      <c r="E202" s="7"/>
      <c r="F202" s="19" t="e">
        <f>+SUM(START:END!F202)</f>
        <v>#N/A</v>
      </c>
      <c r="G202" s="56"/>
      <c r="H202" s="7"/>
      <c r="I202" s="19"/>
      <c r="J202" s="26"/>
      <c r="K202" s="7"/>
      <c r="L202" s="39">
        <f>+SUM(START:END!L202)</f>
        <v>0</v>
      </c>
      <c r="M202" s="26"/>
      <c r="N202" s="39" t="e">
        <f t="shared" si="95"/>
        <v>#N/A</v>
      </c>
      <c r="O202" s="26"/>
      <c r="P202" s="7"/>
      <c r="Q202" s="39">
        <f>+SUM(START:END!Q202)</f>
        <v>0</v>
      </c>
      <c r="R202" s="26"/>
      <c r="S202" s="39">
        <f t="shared" si="96"/>
        <v>0</v>
      </c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1:40" ht="20.399999999999999" hidden="1" customHeight="1">
      <c r="A203" s="260" t="s">
        <v>239</v>
      </c>
      <c r="B203" s="7" t="s">
        <v>223</v>
      </c>
      <c r="C203" s="271" t="s">
        <v>19</v>
      </c>
      <c r="D203" s="54"/>
      <c r="E203" s="7"/>
      <c r="F203" s="19" t="e">
        <f>+SUM(START:END!F203)</f>
        <v>#N/A</v>
      </c>
      <c r="G203" s="56"/>
      <c r="H203" s="7"/>
      <c r="I203" s="19"/>
      <c r="J203" s="26"/>
      <c r="K203" s="7"/>
      <c r="L203" s="39">
        <f>+SUM(START:END!L203)</f>
        <v>0</v>
      </c>
      <c r="M203" s="26"/>
      <c r="N203" s="39" t="e">
        <f t="shared" si="95"/>
        <v>#N/A</v>
      </c>
      <c r="O203" s="26"/>
      <c r="P203" s="7"/>
      <c r="Q203" s="39">
        <f>+SUM(START:END!Q203)</f>
        <v>0</v>
      </c>
      <c r="R203" s="26"/>
      <c r="S203" s="39">
        <f t="shared" si="96"/>
        <v>0</v>
      </c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1:40" ht="15.75" customHeight="1">
      <c r="A204" s="260" t="s">
        <v>245</v>
      </c>
      <c r="B204" s="7" t="s">
        <v>223</v>
      </c>
      <c r="C204" s="272" t="s">
        <v>44</v>
      </c>
      <c r="D204" s="54"/>
      <c r="E204" s="7"/>
      <c r="F204" s="19" t="e">
        <f>+SUM(START:END!F204)</f>
        <v>#N/A</v>
      </c>
      <c r="G204" s="56"/>
      <c r="H204" s="7"/>
      <c r="I204" s="19"/>
      <c r="J204" s="26"/>
      <c r="K204" s="7"/>
      <c r="L204" s="39">
        <f>+SUM(START:END!L204)</f>
        <v>6581.7199999999975</v>
      </c>
      <c r="M204" s="26"/>
      <c r="N204" s="39" t="e">
        <f t="shared" si="95"/>
        <v>#N/A</v>
      </c>
      <c r="O204" s="26"/>
      <c r="P204" s="7"/>
      <c r="Q204" s="39">
        <f>+SUM(START:END!Q204)</f>
        <v>7961.3700000000008</v>
      </c>
      <c r="R204" s="26"/>
      <c r="S204" s="39">
        <f t="shared" si="96"/>
        <v>-1379.6500000000033</v>
      </c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1:40" ht="15.75" customHeight="1">
      <c r="A205" s="260" t="s">
        <v>246</v>
      </c>
      <c r="B205" s="7" t="s">
        <v>223</v>
      </c>
      <c r="C205" s="271" t="s">
        <v>45</v>
      </c>
      <c r="D205" s="68"/>
      <c r="E205" s="69"/>
      <c r="F205" s="35" t="e">
        <f>+SUM(START:END!F205)</f>
        <v>#N/A</v>
      </c>
      <c r="G205" s="70"/>
      <c r="H205" s="69"/>
      <c r="I205" s="35"/>
      <c r="J205" s="71"/>
      <c r="K205" s="69"/>
      <c r="L205" s="72">
        <f>+SUM(START:END!L205)</f>
        <v>7928.2200000000012</v>
      </c>
      <c r="M205" s="71"/>
      <c r="N205" s="72" t="e">
        <f t="shared" si="95"/>
        <v>#N/A</v>
      </c>
      <c r="O205" s="71"/>
      <c r="P205" s="69"/>
      <c r="Q205" s="72">
        <f>+SUM(START:END!Q205)</f>
        <v>9856.2800000000025</v>
      </c>
      <c r="R205" s="71"/>
      <c r="S205" s="72">
        <f t="shared" si="96"/>
        <v>-1928.0600000000013</v>
      </c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1:40" ht="15.75" customHeight="1">
      <c r="A206" s="260" t="s">
        <v>247</v>
      </c>
      <c r="B206" s="7" t="s">
        <v>223</v>
      </c>
      <c r="C206" s="271" t="s">
        <v>46</v>
      </c>
      <c r="D206" s="54"/>
      <c r="E206" s="7"/>
      <c r="F206" s="19" t="e">
        <f>+SUM(START:END!F206)</f>
        <v>#N/A</v>
      </c>
      <c r="G206" s="56"/>
      <c r="H206" s="7"/>
      <c r="I206" s="19"/>
      <c r="J206" s="26"/>
      <c r="K206" s="7"/>
      <c r="L206" s="39">
        <f>+SUM(START:END!L206)</f>
        <v>1323.5900000000001</v>
      </c>
      <c r="M206" s="26"/>
      <c r="N206" s="39" t="e">
        <f t="shared" si="95"/>
        <v>#N/A</v>
      </c>
      <c r="O206" s="26"/>
      <c r="P206" s="7"/>
      <c r="Q206" s="39">
        <f>+SUM(START:END!Q206)</f>
        <v>937.04000000000087</v>
      </c>
      <c r="R206" s="26"/>
      <c r="S206" s="39">
        <f t="shared" si="96"/>
        <v>386.54999999999927</v>
      </c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1:40" ht="15.75" customHeight="1">
      <c r="A207" s="260" t="s">
        <v>248</v>
      </c>
      <c r="B207" s="7" t="s">
        <v>223</v>
      </c>
      <c r="C207" s="271" t="s">
        <v>47</v>
      </c>
      <c r="D207" s="54"/>
      <c r="E207" s="7"/>
      <c r="F207" s="19" t="e">
        <f>+SUM(START:END!F207)</f>
        <v>#N/A</v>
      </c>
      <c r="G207" s="56"/>
      <c r="H207" s="7"/>
      <c r="I207" s="19"/>
      <c r="J207" s="26"/>
      <c r="K207" s="7"/>
      <c r="L207" s="39">
        <f>+SUM(START:END!L207)</f>
        <v>893.98</v>
      </c>
      <c r="M207" s="26"/>
      <c r="N207" s="39" t="e">
        <f t="shared" si="95"/>
        <v>#N/A</v>
      </c>
      <c r="O207" s="26"/>
      <c r="P207" s="7"/>
      <c r="Q207" s="39">
        <f>+SUM(START:END!Q207)</f>
        <v>0</v>
      </c>
      <c r="R207" s="26"/>
      <c r="S207" s="39">
        <f t="shared" si="96"/>
        <v>893.98</v>
      </c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1:40" ht="20.399999999999999" hidden="1" customHeight="1">
      <c r="A208" s="260" t="s">
        <v>239</v>
      </c>
      <c r="B208" s="7" t="s">
        <v>223</v>
      </c>
      <c r="C208" s="26" t="s">
        <v>19</v>
      </c>
      <c r="D208" s="57"/>
      <c r="E208" s="73"/>
      <c r="F208" s="19">
        <v>0</v>
      </c>
      <c r="G208" s="59"/>
      <c r="H208" s="73"/>
      <c r="I208" s="19"/>
      <c r="J208" s="14"/>
      <c r="K208" s="73"/>
      <c r="L208" s="39">
        <v>0</v>
      </c>
      <c r="M208" s="14"/>
      <c r="N208" s="61">
        <f t="shared" si="95"/>
        <v>0</v>
      </c>
      <c r="O208" s="14"/>
      <c r="P208" s="73"/>
      <c r="Q208" s="39">
        <v>0</v>
      </c>
      <c r="R208" s="14"/>
      <c r="S208" s="61">
        <f t="shared" si="96"/>
        <v>0</v>
      </c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1:40" ht="18.600000000000001" customHeight="1">
      <c r="A209" s="260" t="s">
        <v>249</v>
      </c>
      <c r="B209" s="7" t="s">
        <v>223</v>
      </c>
      <c r="C209" s="139" t="s">
        <v>48</v>
      </c>
      <c r="D209" s="62" t="s">
        <v>38</v>
      </c>
      <c r="E209" s="63" t="e">
        <f>F209/F$109</f>
        <v>#N/A</v>
      </c>
      <c r="F209" s="64" t="e">
        <f>+SUM(F197:F208)</f>
        <v>#N/A</v>
      </c>
      <c r="G209" s="65"/>
      <c r="H209" s="63"/>
      <c r="I209" s="64"/>
      <c r="J209" s="65" t="s">
        <v>38</v>
      </c>
      <c r="K209" s="63">
        <f>L209/L$109</f>
        <v>0.1119895716597521</v>
      </c>
      <c r="L209" s="64">
        <f>SUM(L197:L208)</f>
        <v>13165.96999999999</v>
      </c>
      <c r="M209" s="66"/>
      <c r="N209" s="64" t="e">
        <f t="shared" si="95"/>
        <v>#N/A</v>
      </c>
      <c r="O209" s="65" t="s">
        <v>38</v>
      </c>
      <c r="P209" s="63">
        <f>Q209/Q$109</f>
        <v>0.8054073591096419</v>
      </c>
      <c r="Q209" s="64">
        <f>SUM(Q197:Q208)</f>
        <v>174948.42000000004</v>
      </c>
      <c r="R209" s="67"/>
      <c r="S209" s="64">
        <f t="shared" si="96"/>
        <v>-161782.45000000004</v>
      </c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1:40" ht="20.399999999999999" hidden="1" customHeight="1">
      <c r="A210" s="260" t="s">
        <v>250</v>
      </c>
      <c r="B210" s="7" t="s">
        <v>223</v>
      </c>
      <c r="C210" s="26" t="s">
        <v>49</v>
      </c>
      <c r="D210" s="54"/>
      <c r="E210" s="7"/>
      <c r="F210" s="19">
        <v>0</v>
      </c>
      <c r="G210" s="56"/>
      <c r="H210" s="7"/>
      <c r="I210" s="19"/>
      <c r="J210" s="26"/>
      <c r="K210" s="7"/>
      <c r="L210" s="39">
        <v>0</v>
      </c>
      <c r="M210" s="26"/>
      <c r="N210" s="39">
        <f t="shared" si="95"/>
        <v>0</v>
      </c>
      <c r="O210" s="26"/>
      <c r="P210" s="7"/>
      <c r="Q210" s="39">
        <v>0</v>
      </c>
      <c r="R210" s="26"/>
      <c r="S210" s="39">
        <f t="shared" si="96"/>
        <v>0</v>
      </c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1:40" ht="20.399999999999999" hidden="1" customHeight="1">
      <c r="A211" s="260" t="s">
        <v>251</v>
      </c>
      <c r="B211" s="7" t="s">
        <v>223</v>
      </c>
      <c r="C211" s="26" t="s">
        <v>50</v>
      </c>
      <c r="D211" s="54"/>
      <c r="E211" s="7"/>
      <c r="F211" s="19">
        <v>0</v>
      </c>
      <c r="G211" s="56"/>
      <c r="H211" s="7"/>
      <c r="I211" s="19"/>
      <c r="J211" s="26"/>
      <c r="K211" s="7"/>
      <c r="L211" s="39">
        <v>0</v>
      </c>
      <c r="M211" s="26"/>
      <c r="N211" s="39">
        <f t="shared" si="95"/>
        <v>0</v>
      </c>
      <c r="O211" s="26"/>
      <c r="P211" s="7"/>
      <c r="Q211" s="39">
        <v>0</v>
      </c>
      <c r="R211" s="26"/>
      <c r="S211" s="39">
        <f t="shared" si="96"/>
        <v>0</v>
      </c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1:40" ht="15.75" customHeight="1">
      <c r="A212" s="260" t="s">
        <v>252</v>
      </c>
      <c r="B212" s="7" t="s">
        <v>223</v>
      </c>
      <c r="C212" s="14" t="s">
        <v>51</v>
      </c>
      <c r="D212" s="57"/>
      <c r="E212" s="73"/>
      <c r="F212" s="31" t="e">
        <f>+SUM(START:END!F212)</f>
        <v>#N/A</v>
      </c>
      <c r="G212" s="59"/>
      <c r="H212" s="73"/>
      <c r="I212" s="31"/>
      <c r="J212" s="14"/>
      <c r="K212" s="73"/>
      <c r="L212" s="61">
        <f>+SUM(START:END!L212)</f>
        <v>1000</v>
      </c>
      <c r="M212" s="14"/>
      <c r="N212" s="61" t="e">
        <f t="shared" si="95"/>
        <v>#N/A</v>
      </c>
      <c r="O212" s="14"/>
      <c r="P212" s="73"/>
      <c r="Q212" s="61">
        <f>+SUM(START:END!Q212)</f>
        <v>0</v>
      </c>
      <c r="R212" s="14"/>
      <c r="S212" s="61">
        <f t="shared" si="96"/>
        <v>1000</v>
      </c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1:40" ht="15.75" customHeight="1">
      <c r="A213" s="260" t="s">
        <v>253</v>
      </c>
      <c r="B213" s="7" t="s">
        <v>223</v>
      </c>
      <c r="C213" s="26" t="s">
        <v>52</v>
      </c>
      <c r="D213" s="54"/>
      <c r="E213" s="7"/>
      <c r="F213" s="19" t="e">
        <f>+SUM(START:END!F213)</f>
        <v>#N/A</v>
      </c>
      <c r="G213" s="56"/>
      <c r="H213" s="7"/>
      <c r="I213" s="19"/>
      <c r="J213" s="26"/>
      <c r="K213" s="7"/>
      <c r="L213" s="39">
        <f>+SUM(START:END!L213)</f>
        <v>0</v>
      </c>
      <c r="M213" s="26"/>
      <c r="N213" s="39" t="e">
        <f t="shared" si="95"/>
        <v>#N/A</v>
      </c>
      <c r="O213" s="26"/>
      <c r="P213" s="7"/>
      <c r="Q213" s="39">
        <f>+SUM(START:END!Q213)</f>
        <v>0</v>
      </c>
      <c r="R213" s="26"/>
      <c r="S213" s="39">
        <f t="shared" si="96"/>
        <v>0</v>
      </c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1:40" ht="15.75" customHeight="1">
      <c r="A214" s="260" t="s">
        <v>254</v>
      </c>
      <c r="B214" s="7" t="s">
        <v>223</v>
      </c>
      <c r="C214" s="26" t="s">
        <v>53</v>
      </c>
      <c r="D214" s="54"/>
      <c r="E214" s="7"/>
      <c r="F214" s="19" t="e">
        <f>+SUM(START:END!F214)</f>
        <v>#N/A</v>
      </c>
      <c r="G214" s="56"/>
      <c r="H214" s="7"/>
      <c r="I214" s="19"/>
      <c r="J214" s="26"/>
      <c r="K214" s="7"/>
      <c r="L214" s="39">
        <f>+SUM(START:END!L214)</f>
        <v>0</v>
      </c>
      <c r="M214" s="26"/>
      <c r="N214" s="39" t="e">
        <f t="shared" si="95"/>
        <v>#N/A</v>
      </c>
      <c r="O214" s="26"/>
      <c r="P214" s="7"/>
      <c r="Q214" s="39">
        <f>+SUM(START:END!Q214)</f>
        <v>0</v>
      </c>
      <c r="R214" s="26"/>
      <c r="S214" s="39">
        <f t="shared" si="96"/>
        <v>0</v>
      </c>
      <c r="T214" s="93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1:40" ht="15.75" customHeight="1">
      <c r="A215" s="260" t="s">
        <v>255</v>
      </c>
      <c r="B215" s="7" t="s">
        <v>223</v>
      </c>
      <c r="C215" s="14" t="s">
        <v>54</v>
      </c>
      <c r="D215" s="57"/>
      <c r="E215" s="73"/>
      <c r="F215" s="31" t="e">
        <f>+SUM(START:END!F215)</f>
        <v>#N/A</v>
      </c>
      <c r="G215" s="59"/>
      <c r="H215" s="73"/>
      <c r="I215" s="31"/>
      <c r="J215" s="14"/>
      <c r="K215" s="73"/>
      <c r="L215" s="61">
        <f>+SUM(START:END!L215)</f>
        <v>0</v>
      </c>
      <c r="M215" s="14"/>
      <c r="N215" s="61" t="e">
        <f t="shared" si="95"/>
        <v>#N/A</v>
      </c>
      <c r="O215" s="14"/>
      <c r="P215" s="73"/>
      <c r="Q215" s="61">
        <f>+SUM(START:END!Q215)</f>
        <v>0</v>
      </c>
      <c r="R215" s="14"/>
      <c r="S215" s="61">
        <f t="shared" si="96"/>
        <v>0</v>
      </c>
      <c r="T215" s="7"/>
      <c r="U215" s="270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1:40" ht="15.75" customHeight="1">
      <c r="A216" s="260" t="s">
        <v>256</v>
      </c>
      <c r="B216" s="7" t="s">
        <v>223</v>
      </c>
      <c r="C216" s="26" t="s">
        <v>55</v>
      </c>
      <c r="D216" s="54"/>
      <c r="E216" s="7"/>
      <c r="F216" s="19" t="e">
        <f>+SUM(START:END!F216)</f>
        <v>#N/A</v>
      </c>
      <c r="G216" s="56"/>
      <c r="H216" s="7"/>
      <c r="I216" s="19"/>
      <c r="J216" s="26"/>
      <c r="K216" s="7"/>
      <c r="L216" s="39">
        <f>+SUM(START:END!L216)</f>
        <v>0</v>
      </c>
      <c r="M216" s="26"/>
      <c r="N216" s="39" t="e">
        <f t="shared" si="95"/>
        <v>#N/A</v>
      </c>
      <c r="O216" s="26"/>
      <c r="P216" s="7"/>
      <c r="Q216" s="39">
        <f>+SUM(START:END!Q216)</f>
        <v>0</v>
      </c>
      <c r="R216" s="26"/>
      <c r="S216" s="39">
        <f t="shared" si="96"/>
        <v>0</v>
      </c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1:40" ht="15.75" customHeight="1">
      <c r="A217" s="260" t="s">
        <v>257</v>
      </c>
      <c r="B217" s="7" t="s">
        <v>223</v>
      </c>
      <c r="C217" s="26" t="s">
        <v>56</v>
      </c>
      <c r="D217" s="54"/>
      <c r="E217" s="7"/>
      <c r="F217" s="19" t="e">
        <f>+SUM(START:END!F217)</f>
        <v>#N/A</v>
      </c>
      <c r="G217" s="56"/>
      <c r="H217" s="7"/>
      <c r="I217" s="19"/>
      <c r="J217" s="26"/>
      <c r="K217" s="7"/>
      <c r="L217" s="39">
        <f>+SUM(START:END!L217)</f>
        <v>0</v>
      </c>
      <c r="M217" s="26"/>
      <c r="N217" s="39" t="e">
        <f t="shared" si="95"/>
        <v>#N/A</v>
      </c>
      <c r="O217" s="26"/>
      <c r="P217" s="7"/>
      <c r="Q217" s="39">
        <f>+SUM(START:END!Q217)</f>
        <v>0</v>
      </c>
      <c r="R217" s="26"/>
      <c r="S217" s="39">
        <f t="shared" si="96"/>
        <v>0</v>
      </c>
      <c r="T217" s="7"/>
      <c r="U217" s="270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1:40" ht="15.75" customHeight="1">
      <c r="A218" s="260" t="s">
        <v>258</v>
      </c>
      <c r="B218" s="7" t="s">
        <v>223</v>
      </c>
      <c r="C218" s="26" t="s">
        <v>57</v>
      </c>
      <c r="D218" s="54"/>
      <c r="E218" s="7"/>
      <c r="F218" s="19" t="e">
        <f>+SUM(START:END!F218)</f>
        <v>#N/A</v>
      </c>
      <c r="G218" s="56"/>
      <c r="H218" s="7"/>
      <c r="I218" s="19"/>
      <c r="J218" s="26"/>
      <c r="K218" s="7"/>
      <c r="L218" s="39">
        <f>+SUM(START:END!L218)</f>
        <v>500</v>
      </c>
      <c r="M218" s="26"/>
      <c r="N218" s="39" t="e">
        <f t="shared" si="95"/>
        <v>#N/A</v>
      </c>
      <c r="O218" s="26"/>
      <c r="P218" s="7"/>
      <c r="Q218" s="39">
        <f>+SUM(START:END!Q218)</f>
        <v>196</v>
      </c>
      <c r="R218" s="26"/>
      <c r="S218" s="39">
        <f t="shared" si="96"/>
        <v>304</v>
      </c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1:40" ht="15.75" customHeight="1">
      <c r="A219" s="260" t="s">
        <v>259</v>
      </c>
      <c r="B219" s="7" t="s">
        <v>223</v>
      </c>
      <c r="C219" s="26" t="s">
        <v>58</v>
      </c>
      <c r="D219" s="54"/>
      <c r="E219" s="7"/>
      <c r="F219" s="19" t="e">
        <f>+SUM(START:END!F219)</f>
        <v>#N/A</v>
      </c>
      <c r="G219" s="56"/>
      <c r="H219" s="7"/>
      <c r="I219" s="19"/>
      <c r="J219" s="26"/>
      <c r="K219" s="7"/>
      <c r="L219" s="39">
        <f>+SUM(START:END!L219)</f>
        <v>0</v>
      </c>
      <c r="M219" s="26"/>
      <c r="N219" s="39" t="e">
        <f t="shared" si="95"/>
        <v>#N/A</v>
      </c>
      <c r="O219" s="26"/>
      <c r="P219" s="7"/>
      <c r="Q219" s="39">
        <f>+SUM(START:END!Q219)</f>
        <v>0</v>
      </c>
      <c r="R219" s="26"/>
      <c r="S219" s="39">
        <f t="shared" si="96"/>
        <v>0</v>
      </c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1:40" ht="15.75" customHeight="1">
      <c r="A220" s="260" t="s">
        <v>260</v>
      </c>
      <c r="B220" s="7" t="s">
        <v>223</v>
      </c>
      <c r="C220" s="26" t="s">
        <v>59</v>
      </c>
      <c r="D220" s="54"/>
      <c r="E220" s="7"/>
      <c r="F220" s="19" t="e">
        <f>+SUM(START:END!F220)</f>
        <v>#N/A</v>
      </c>
      <c r="G220" s="56"/>
      <c r="H220" s="7"/>
      <c r="I220" s="19"/>
      <c r="J220" s="26"/>
      <c r="K220" s="7"/>
      <c r="L220" s="39">
        <f>+SUM(START:END!L220)</f>
        <v>773.85999999999967</v>
      </c>
      <c r="M220" s="26"/>
      <c r="N220" s="39" t="e">
        <f t="shared" si="95"/>
        <v>#N/A</v>
      </c>
      <c r="O220" s="26"/>
      <c r="P220" s="7"/>
      <c r="Q220" s="39">
        <f>+SUM(START:END!Q220)</f>
        <v>736.42000000000007</v>
      </c>
      <c r="R220" s="26"/>
      <c r="S220" s="39">
        <f t="shared" si="96"/>
        <v>37.4399999999996</v>
      </c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1:40" ht="15.75" customHeight="1">
      <c r="A221" s="260" t="s">
        <v>261</v>
      </c>
      <c r="B221" s="7" t="s">
        <v>223</v>
      </c>
      <c r="C221" s="26" t="s">
        <v>60</v>
      </c>
      <c r="D221" s="54"/>
      <c r="E221" s="7"/>
      <c r="F221" s="19" t="e">
        <f>+SUM(START:END!F221)</f>
        <v>#N/A</v>
      </c>
      <c r="G221" s="56"/>
      <c r="H221" s="7"/>
      <c r="I221" s="19"/>
      <c r="J221" s="26"/>
      <c r="K221" s="7"/>
      <c r="L221" s="39">
        <f>+SUM(START:END!L221)</f>
        <v>0</v>
      </c>
      <c r="M221" s="26"/>
      <c r="N221" s="39" t="e">
        <f t="shared" si="95"/>
        <v>#N/A</v>
      </c>
      <c r="O221" s="26"/>
      <c r="P221" s="7"/>
      <c r="Q221" s="39">
        <f>+SUM(START:END!Q221)</f>
        <v>0</v>
      </c>
      <c r="R221" s="26"/>
      <c r="S221" s="39">
        <f t="shared" si="96"/>
        <v>0</v>
      </c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1:40" ht="15.75" customHeight="1">
      <c r="A222" s="260" t="s">
        <v>262</v>
      </c>
      <c r="B222" s="7" t="s">
        <v>223</v>
      </c>
      <c r="C222" s="26" t="s">
        <v>61</v>
      </c>
      <c r="D222" s="54"/>
      <c r="E222" s="7"/>
      <c r="F222" s="19" t="e">
        <f>+SUM(START:END!F222)</f>
        <v>#N/A</v>
      </c>
      <c r="G222" s="56"/>
      <c r="H222" s="7"/>
      <c r="I222" s="19"/>
      <c r="J222" s="26"/>
      <c r="K222" s="7"/>
      <c r="L222" s="39">
        <f>+SUM(START:END!L222)</f>
        <v>0</v>
      </c>
      <c r="M222" s="26"/>
      <c r="N222" s="39" t="e">
        <f t="shared" si="95"/>
        <v>#N/A</v>
      </c>
      <c r="O222" s="26"/>
      <c r="P222" s="7"/>
      <c r="Q222" s="39">
        <f>+SUM(START:END!Q222)</f>
        <v>0</v>
      </c>
      <c r="R222" s="26"/>
      <c r="S222" s="39">
        <f t="shared" si="96"/>
        <v>0</v>
      </c>
      <c r="T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1:40" ht="15.75" customHeight="1">
      <c r="A223" s="260" t="s">
        <v>263</v>
      </c>
      <c r="B223" s="7" t="s">
        <v>223</v>
      </c>
      <c r="C223" s="26" t="s">
        <v>62</v>
      </c>
      <c r="D223" s="54"/>
      <c r="E223" s="7"/>
      <c r="F223" s="19" t="e">
        <f>+SUM(START:END!F223)</f>
        <v>#N/A</v>
      </c>
      <c r="G223" s="56"/>
      <c r="H223" s="7"/>
      <c r="I223" s="19"/>
      <c r="J223" s="26"/>
      <c r="K223" s="7"/>
      <c r="L223" s="39">
        <f>+SUM(START:END!L223)</f>
        <v>35</v>
      </c>
      <c r="M223" s="26"/>
      <c r="N223" s="39" t="e">
        <f t="shared" si="95"/>
        <v>#N/A</v>
      </c>
      <c r="O223" s="26"/>
      <c r="P223" s="7"/>
      <c r="Q223" s="39">
        <f>+SUM(START:END!Q223)</f>
        <v>0</v>
      </c>
      <c r="R223" s="26"/>
      <c r="S223" s="39">
        <f t="shared" si="96"/>
        <v>35</v>
      </c>
      <c r="T223" s="55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1:40" ht="20.399999999999999" hidden="1" customHeight="1">
      <c r="A224" s="260" t="s">
        <v>239</v>
      </c>
      <c r="B224" s="7" t="s">
        <v>223</v>
      </c>
      <c r="C224" s="26" t="s">
        <v>19</v>
      </c>
      <c r="D224" s="54"/>
      <c r="E224" s="7"/>
      <c r="F224" s="19">
        <v>0</v>
      </c>
      <c r="G224" s="56"/>
      <c r="H224" s="7"/>
      <c r="I224" s="19"/>
      <c r="J224" s="26"/>
      <c r="K224" s="7"/>
      <c r="L224" s="39">
        <v>0</v>
      </c>
      <c r="M224" s="26"/>
      <c r="N224" s="39">
        <f t="shared" si="95"/>
        <v>0</v>
      </c>
      <c r="O224" s="26"/>
      <c r="P224" s="7"/>
      <c r="Q224" s="39">
        <v>0</v>
      </c>
      <c r="R224" s="26"/>
      <c r="S224" s="39">
        <f t="shared" si="96"/>
        <v>0</v>
      </c>
      <c r="T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1:40" ht="20.399999999999999" hidden="1" customHeight="1">
      <c r="A225" s="260" t="s">
        <v>239</v>
      </c>
      <c r="B225" s="7" t="s">
        <v>223</v>
      </c>
      <c r="C225" s="26" t="s">
        <v>19</v>
      </c>
      <c r="D225" s="54"/>
      <c r="E225" s="7"/>
      <c r="F225" s="19">
        <v>0</v>
      </c>
      <c r="G225" s="56"/>
      <c r="H225" s="7"/>
      <c r="I225" s="19"/>
      <c r="J225" s="26"/>
      <c r="K225" s="7"/>
      <c r="L225" s="39">
        <v>0</v>
      </c>
      <c r="M225" s="26"/>
      <c r="N225" s="39">
        <f t="shared" si="95"/>
        <v>0</v>
      </c>
      <c r="O225" s="26"/>
      <c r="P225" s="7"/>
      <c r="Q225" s="39">
        <v>0</v>
      </c>
      <c r="R225" s="26"/>
      <c r="S225" s="39">
        <f t="shared" si="96"/>
        <v>0</v>
      </c>
      <c r="T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1:40" ht="20.399999999999999" hidden="1" customHeight="1">
      <c r="A226" s="260" t="s">
        <v>239</v>
      </c>
      <c r="B226" s="7" t="s">
        <v>223</v>
      </c>
      <c r="C226" s="26" t="s">
        <v>19</v>
      </c>
      <c r="D226" s="54"/>
      <c r="E226" s="7"/>
      <c r="F226" s="19">
        <v>0</v>
      </c>
      <c r="G226" s="56"/>
      <c r="H226" s="7"/>
      <c r="I226" s="19"/>
      <c r="J226" s="26"/>
      <c r="K226" s="7"/>
      <c r="L226" s="39">
        <v>0</v>
      </c>
      <c r="M226" s="26"/>
      <c r="N226" s="39">
        <f t="shared" si="95"/>
        <v>0</v>
      </c>
      <c r="O226" s="26"/>
      <c r="P226" s="7"/>
      <c r="Q226" s="39">
        <v>0</v>
      </c>
      <c r="R226" s="26"/>
      <c r="S226" s="39">
        <f t="shared" si="96"/>
        <v>0</v>
      </c>
      <c r="T226" s="55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1:40" ht="18.600000000000001" customHeight="1">
      <c r="A227" s="260" t="s">
        <v>264</v>
      </c>
      <c r="B227" s="7" t="s">
        <v>223</v>
      </c>
      <c r="C227" s="139" t="s">
        <v>63</v>
      </c>
      <c r="D227" s="62" t="s">
        <v>38</v>
      </c>
      <c r="E227" s="63" t="e">
        <f>F227/F$109</f>
        <v>#N/A</v>
      </c>
      <c r="F227" s="64" t="e">
        <f>+SUM(F210:F226)</f>
        <v>#N/A</v>
      </c>
      <c r="G227" s="65"/>
      <c r="H227" s="63"/>
      <c r="I227" s="64"/>
      <c r="J227" s="65" t="s">
        <v>38</v>
      </c>
      <c r="K227" s="63">
        <f>L227/L$109</f>
        <v>1.9639133495088883E-2</v>
      </c>
      <c r="L227" s="64">
        <f>+SUM(L210:L226)</f>
        <v>2308.8599999999997</v>
      </c>
      <c r="M227" s="66"/>
      <c r="N227" s="64" t="e">
        <f t="shared" si="95"/>
        <v>#N/A</v>
      </c>
      <c r="O227" s="65" t="s">
        <v>38</v>
      </c>
      <c r="P227" s="63">
        <f>Q227/Q$109</f>
        <v>4.2925676595479524E-3</v>
      </c>
      <c r="Q227" s="64">
        <f>+SUM(Q210:Q226)</f>
        <v>932.42000000000007</v>
      </c>
      <c r="R227" s="67"/>
      <c r="S227" s="64">
        <f t="shared" si="96"/>
        <v>1376.4399999999996</v>
      </c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1:40" ht="15.75" customHeight="1">
      <c r="A228" s="260" t="s">
        <v>70</v>
      </c>
      <c r="B228" s="7" t="s">
        <v>223</v>
      </c>
      <c r="C228" s="14"/>
      <c r="D228" s="57"/>
      <c r="E228" s="73"/>
      <c r="F228" s="39"/>
      <c r="G228" s="59"/>
      <c r="H228" s="73"/>
      <c r="I228" s="39"/>
      <c r="J228" s="14"/>
      <c r="K228" s="73"/>
      <c r="L228" s="61"/>
      <c r="M228" s="14"/>
      <c r="N228" s="61"/>
      <c r="O228" s="14"/>
      <c r="P228" s="73"/>
      <c r="Q228" s="61"/>
      <c r="R228" s="14"/>
      <c r="S228" s="61"/>
      <c r="T228" s="74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1:40" ht="18.600000000000001" customHeight="1">
      <c r="A229" s="260" t="s">
        <v>265</v>
      </c>
      <c r="B229" s="7" t="s">
        <v>223</v>
      </c>
      <c r="C229" s="139" t="s">
        <v>64</v>
      </c>
      <c r="D229" s="62" t="s">
        <v>38</v>
      </c>
      <c r="E229" s="63" t="e">
        <f>F229/F$109</f>
        <v>#N/A</v>
      </c>
      <c r="F229" s="64" t="e">
        <f>F196+F209+F227</f>
        <v>#N/A</v>
      </c>
      <c r="G229" s="65"/>
      <c r="H229" s="63"/>
      <c r="I229" s="64"/>
      <c r="J229" s="65" t="s">
        <v>38</v>
      </c>
      <c r="K229" s="63">
        <f>L229/L$109</f>
        <v>0.76268542520366622</v>
      </c>
      <c r="L229" s="64">
        <f>L196+L209+L227</f>
        <v>89664.539999999979</v>
      </c>
      <c r="M229" s="66"/>
      <c r="N229" s="64" t="e">
        <f t="shared" ref="N229:N236" si="97">L229-F229</f>
        <v>#N/A</v>
      </c>
      <c r="O229" s="65" t="s">
        <v>38</v>
      </c>
      <c r="P229" s="63">
        <f>Q229/Q$109</f>
        <v>0.77879847605147312</v>
      </c>
      <c r="Q229" s="64">
        <f>Q196+Q209+Q227</f>
        <v>169168.51000000004</v>
      </c>
      <c r="R229" s="67"/>
      <c r="S229" s="64">
        <f t="shared" ref="S229:S236" si="98">L229-Q229</f>
        <v>-79503.970000000059</v>
      </c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1:40" ht="21" hidden="1" customHeight="1">
      <c r="A230" s="260" t="s">
        <v>266</v>
      </c>
      <c r="B230" s="7" t="s">
        <v>223</v>
      </c>
      <c r="C230" s="26" t="s">
        <v>267</v>
      </c>
      <c r="D230" s="94"/>
      <c r="E230" s="95"/>
      <c r="F230" s="19">
        <v>0</v>
      </c>
      <c r="G230" s="96"/>
      <c r="H230" s="95"/>
      <c r="I230" s="19"/>
      <c r="J230" s="96"/>
      <c r="K230" s="95"/>
      <c r="L230" s="39">
        <v>0</v>
      </c>
      <c r="M230" s="26"/>
      <c r="N230" s="39">
        <f t="shared" si="97"/>
        <v>0</v>
      </c>
      <c r="O230" s="96"/>
      <c r="P230" s="95"/>
      <c r="Q230" s="39">
        <v>0</v>
      </c>
      <c r="R230" s="26"/>
      <c r="S230" s="39">
        <f t="shared" si="98"/>
        <v>0</v>
      </c>
      <c r="T230" s="74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1:40" ht="21" hidden="1" customHeight="1">
      <c r="A231" s="260" t="s">
        <v>268</v>
      </c>
      <c r="B231" s="7" t="s">
        <v>223</v>
      </c>
      <c r="C231" s="26" t="s">
        <v>269</v>
      </c>
      <c r="D231" s="94"/>
      <c r="E231" s="95"/>
      <c r="F231" s="19">
        <v>0</v>
      </c>
      <c r="G231" s="96"/>
      <c r="H231" s="95"/>
      <c r="I231" s="19"/>
      <c r="J231" s="96"/>
      <c r="K231" s="95"/>
      <c r="L231" s="39">
        <v>0</v>
      </c>
      <c r="M231" s="26"/>
      <c r="N231" s="39">
        <f t="shared" si="97"/>
        <v>0</v>
      </c>
      <c r="O231" s="96"/>
      <c r="P231" s="95"/>
      <c r="Q231" s="39">
        <v>0</v>
      </c>
      <c r="R231" s="26"/>
      <c r="S231" s="39">
        <f t="shared" si="98"/>
        <v>0</v>
      </c>
      <c r="T231" s="74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1:40" ht="21" hidden="1" customHeight="1">
      <c r="A232" s="260" t="s">
        <v>270</v>
      </c>
      <c r="B232" s="7" t="s">
        <v>223</v>
      </c>
      <c r="C232" s="26" t="s">
        <v>77</v>
      </c>
      <c r="D232" s="54"/>
      <c r="E232" s="7"/>
      <c r="F232" s="19">
        <v>0</v>
      </c>
      <c r="G232" s="56"/>
      <c r="H232" s="7"/>
      <c r="I232" s="19"/>
      <c r="J232" s="26"/>
      <c r="K232" s="7"/>
      <c r="L232" s="39">
        <v>0</v>
      </c>
      <c r="M232" s="26"/>
      <c r="N232" s="39">
        <f t="shared" si="97"/>
        <v>0</v>
      </c>
      <c r="O232" s="26"/>
      <c r="P232" s="7"/>
      <c r="Q232" s="39">
        <v>0</v>
      </c>
      <c r="R232" s="26"/>
      <c r="S232" s="39">
        <f t="shared" si="98"/>
        <v>0</v>
      </c>
      <c r="T232" s="74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1:40" ht="21" hidden="1" customHeight="1">
      <c r="A233" s="260" t="s">
        <v>271</v>
      </c>
      <c r="B233" s="7" t="s">
        <v>223</v>
      </c>
      <c r="C233" s="26" t="s">
        <v>67</v>
      </c>
      <c r="D233" s="273" t="e">
        <f>E233/474</f>
        <v>#REF!</v>
      </c>
      <c r="E233" s="274" t="e">
        <f>F233/#REF!</f>
        <v>#REF!</v>
      </c>
      <c r="F233" s="19">
        <v>0</v>
      </c>
      <c r="G233" s="56"/>
      <c r="H233" s="7"/>
      <c r="I233" s="19"/>
      <c r="J233" s="275"/>
      <c r="K233" s="274"/>
      <c r="L233" s="39">
        <v>0</v>
      </c>
      <c r="M233" s="26"/>
      <c r="N233" s="39">
        <f t="shared" si="97"/>
        <v>0</v>
      </c>
      <c r="O233" s="275"/>
      <c r="P233" s="274"/>
      <c r="Q233" s="39">
        <v>0</v>
      </c>
      <c r="R233" s="26"/>
      <c r="S233" s="39">
        <f t="shared" si="98"/>
        <v>0</v>
      </c>
      <c r="T233" s="74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1:40" ht="21" hidden="1" customHeight="1" thickBot="1">
      <c r="A234" s="260" t="s">
        <v>239</v>
      </c>
      <c r="B234" s="7" t="s">
        <v>70</v>
      </c>
      <c r="C234" s="26" t="s">
        <v>19</v>
      </c>
      <c r="D234" s="54"/>
      <c r="E234" s="7"/>
      <c r="F234" s="19">
        <v>0</v>
      </c>
      <c r="G234" s="56"/>
      <c r="H234" s="7"/>
      <c r="I234" s="19"/>
      <c r="J234" s="26"/>
      <c r="K234" s="7"/>
      <c r="L234" s="39">
        <v>0</v>
      </c>
      <c r="M234" s="26"/>
      <c r="N234" s="39">
        <f t="shared" si="97"/>
        <v>0</v>
      </c>
      <c r="O234" s="26"/>
      <c r="P234" s="7"/>
      <c r="Q234" s="39">
        <v>0</v>
      </c>
      <c r="R234" s="26"/>
      <c r="S234" s="39">
        <f t="shared" si="98"/>
        <v>0</v>
      </c>
      <c r="T234" s="74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1:40" ht="21" hidden="1" customHeight="1" thickTop="1">
      <c r="A235" s="260" t="s">
        <v>239</v>
      </c>
      <c r="B235" s="7" t="s">
        <v>70</v>
      </c>
      <c r="C235" s="26" t="s">
        <v>19</v>
      </c>
      <c r="D235" s="54"/>
      <c r="E235" s="7"/>
      <c r="F235" s="19">
        <v>0</v>
      </c>
      <c r="G235" s="56"/>
      <c r="H235" s="7"/>
      <c r="I235" s="19"/>
      <c r="J235" s="26"/>
      <c r="K235" s="7"/>
      <c r="L235" s="39">
        <v>0</v>
      </c>
      <c r="M235" s="26"/>
      <c r="N235" s="39">
        <f t="shared" si="97"/>
        <v>0</v>
      </c>
      <c r="O235" s="26"/>
      <c r="P235" s="7"/>
      <c r="Q235" s="39">
        <v>0</v>
      </c>
      <c r="R235" s="26"/>
      <c r="S235" s="39">
        <f t="shared" si="98"/>
        <v>0</v>
      </c>
      <c r="T235" s="74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1:40" ht="21" hidden="1" customHeight="1">
      <c r="A236" s="260" t="s">
        <v>239</v>
      </c>
      <c r="B236" s="7" t="s">
        <v>70</v>
      </c>
      <c r="C236" s="14" t="s">
        <v>19</v>
      </c>
      <c r="D236" s="57"/>
      <c r="E236" s="73"/>
      <c r="F236" s="19">
        <v>0</v>
      </c>
      <c r="G236" s="56"/>
      <c r="H236" s="7"/>
      <c r="I236" s="19"/>
      <c r="J236" s="26"/>
      <c r="K236" s="7"/>
      <c r="L236" s="39">
        <v>0</v>
      </c>
      <c r="M236" s="26"/>
      <c r="N236" s="39">
        <f t="shared" si="97"/>
        <v>0</v>
      </c>
      <c r="O236" s="26"/>
      <c r="P236" s="7"/>
      <c r="Q236" s="39">
        <v>0</v>
      </c>
      <c r="R236" s="26"/>
      <c r="S236" s="39">
        <f t="shared" si="98"/>
        <v>0</v>
      </c>
      <c r="T236" s="74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1:40" ht="18.600000000000001" customHeight="1">
      <c r="A237" s="260"/>
      <c r="B237" s="7"/>
      <c r="C237" s="139" t="s">
        <v>68</v>
      </c>
      <c r="D237" s="62"/>
      <c r="E237" s="63"/>
      <c r="F237" s="64">
        <f>+SUM(F230:F236)</f>
        <v>0</v>
      </c>
      <c r="G237" s="65"/>
      <c r="H237" s="63"/>
      <c r="I237" s="64"/>
      <c r="J237" s="65"/>
      <c r="K237" s="63"/>
      <c r="L237" s="64">
        <f>+SUM(L230:L236)</f>
        <v>0</v>
      </c>
      <c r="M237" s="66"/>
      <c r="N237" s="64">
        <f>SUM(N230:N233)</f>
        <v>0</v>
      </c>
      <c r="O237" s="65"/>
      <c r="P237" s="63"/>
      <c r="Q237" s="64">
        <f>+SUM(Q230:Q236)</f>
        <v>0</v>
      </c>
      <c r="R237" s="67"/>
      <c r="S237" s="64">
        <f>+SUM(S230:S236)</f>
        <v>0</v>
      </c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1:40" ht="15.75" customHeight="1">
      <c r="B238" s="7"/>
      <c r="C238" s="26"/>
      <c r="D238" s="54"/>
      <c r="E238" s="7"/>
      <c r="F238" s="39"/>
      <c r="G238" s="56"/>
      <c r="H238" s="7"/>
      <c r="I238" s="39"/>
      <c r="J238" s="26"/>
      <c r="K238" s="7"/>
      <c r="L238" s="39"/>
      <c r="M238" s="26"/>
      <c r="N238" s="39"/>
      <c r="O238" s="26"/>
      <c r="P238" s="7"/>
      <c r="Q238" s="39"/>
      <c r="R238" s="26"/>
      <c r="S238" s="39"/>
      <c r="T238" s="95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1:40" ht="18.600000000000001" customHeight="1" thickBot="1">
      <c r="A239" s="260"/>
      <c r="B239" s="7"/>
      <c r="C239" s="276" t="s">
        <v>69</v>
      </c>
      <c r="D239" s="277"/>
      <c r="E239" s="278"/>
      <c r="F239" s="138" t="e">
        <f>F182-F229+F237</f>
        <v>#REF!</v>
      </c>
      <c r="G239" s="279"/>
      <c r="H239" s="278"/>
      <c r="I239" s="138"/>
      <c r="J239" s="279"/>
      <c r="K239" s="278"/>
      <c r="L239" s="138">
        <f>L182-L229+L237</f>
        <v>-147431.99000000017</v>
      </c>
      <c r="M239" s="280"/>
      <c r="N239" s="138" t="e">
        <f>L239-F239</f>
        <v>#REF!</v>
      </c>
      <c r="O239" s="279"/>
      <c r="P239" s="278"/>
      <c r="Q239" s="138">
        <f>Q182-Q229+Q237</f>
        <v>32052.719999998197</v>
      </c>
      <c r="R239" s="281"/>
      <c r="S239" s="138">
        <f>L239-Q239</f>
        <v>-179484.70999999836</v>
      </c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1:40" ht="15.75" customHeight="1" thickTop="1">
      <c r="B240" s="7"/>
      <c r="C240" s="6"/>
      <c r="D240" s="6"/>
      <c r="E240" s="6"/>
      <c r="F240" s="97"/>
      <c r="G240" s="6"/>
      <c r="H240" s="6"/>
      <c r="I240" s="6"/>
      <c r="J240" s="6"/>
      <c r="K240" s="6"/>
      <c r="L240" s="97"/>
      <c r="M240" s="6"/>
      <c r="N240" s="6"/>
      <c r="O240" s="6"/>
      <c r="P240" s="6"/>
      <c r="Q240" s="6"/>
      <c r="R240" s="97"/>
      <c r="S240" s="6"/>
      <c r="T240" s="97"/>
      <c r="U240" s="6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1:40" ht="8.25" customHeight="1"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97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spans="1:40" ht="33.75" customHeight="1">
      <c r="B242" s="7"/>
      <c r="C242" s="251" t="str">
        <f>C1</f>
        <v>Ste-Marie Auto</v>
      </c>
      <c r="D242" s="252"/>
      <c r="E242" s="253"/>
      <c r="F242" s="252"/>
      <c r="G242" s="252"/>
      <c r="H242" s="254"/>
      <c r="I242" s="252"/>
      <c r="J242" s="254"/>
      <c r="K242" s="255" t="s">
        <v>78</v>
      </c>
      <c r="L242" s="252"/>
      <c r="M242" s="252"/>
      <c r="N242" s="256"/>
      <c r="O242" s="251"/>
      <c r="P242" s="257"/>
      <c r="Q242" s="251"/>
      <c r="R242" s="257"/>
      <c r="S242" s="258" t="str">
        <f>$S$1</f>
        <v>Réalisé  Q2 2026</v>
      </c>
      <c r="T242" s="1"/>
      <c r="U242" s="2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spans="1:40" ht="15.75" customHeight="1" thickBot="1">
      <c r="B243" s="7"/>
      <c r="C243" s="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15.75" customHeight="1" thickTop="1">
      <c r="B244" s="7"/>
      <c r="C244" s="259"/>
      <c r="D244" s="407" t="s">
        <v>5</v>
      </c>
      <c r="E244" s="408"/>
      <c r="F244" s="406"/>
      <c r="G244" s="405" t="s">
        <v>71</v>
      </c>
      <c r="H244" s="408"/>
      <c r="I244" s="406"/>
      <c r="J244" s="405" t="s">
        <v>7</v>
      </c>
      <c r="K244" s="408"/>
      <c r="L244" s="406"/>
      <c r="M244" s="405" t="s">
        <v>211</v>
      </c>
      <c r="N244" s="406"/>
      <c r="O244" s="407" t="s">
        <v>8</v>
      </c>
      <c r="P244" s="408"/>
      <c r="Q244" s="406"/>
      <c r="R244" s="405" t="s">
        <v>212</v>
      </c>
      <c r="S244" s="406"/>
      <c r="T244" s="9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spans="1:40" ht="15.75" customHeight="1">
      <c r="A245" s="260" t="str">
        <f t="shared" ref="A245:A300" si="99">+B245&amp;C245</f>
        <v>Service</v>
      </c>
      <c r="B245" s="7" t="s">
        <v>78</v>
      </c>
      <c r="C245" s="26"/>
      <c r="D245" s="53" t="s">
        <v>39</v>
      </c>
      <c r="E245" s="53" t="s">
        <v>79</v>
      </c>
      <c r="F245" s="84" t="s">
        <v>12</v>
      </c>
      <c r="G245" s="85" t="s">
        <v>39</v>
      </c>
      <c r="H245" s="53" t="s">
        <v>79</v>
      </c>
      <c r="I245" s="84" t="s">
        <v>12</v>
      </c>
      <c r="J245" s="85" t="s">
        <v>39</v>
      </c>
      <c r="K245" s="53" t="s">
        <v>79</v>
      </c>
      <c r="L245" s="84" t="s">
        <v>12</v>
      </c>
      <c r="M245" s="85" t="s">
        <v>218</v>
      </c>
      <c r="N245" s="84" t="s">
        <v>215</v>
      </c>
      <c r="O245" s="85" t="s">
        <v>39</v>
      </c>
      <c r="P245" s="53" t="s">
        <v>79</v>
      </c>
      <c r="Q245" s="84" t="s">
        <v>12</v>
      </c>
      <c r="R245" s="85" t="s">
        <v>80</v>
      </c>
      <c r="S245" s="84" t="s">
        <v>12</v>
      </c>
      <c r="T245" s="53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1:40" ht="15.75" customHeight="1">
      <c r="A246" s="260" t="str">
        <f t="shared" si="99"/>
        <v>ServiceM/O Client</v>
      </c>
      <c r="B246" s="7" t="s">
        <v>78</v>
      </c>
      <c r="C246" s="26" t="s">
        <v>81</v>
      </c>
      <c r="D246" s="55" t="e">
        <f>+SUM(START:END!D246)</f>
        <v>#N/A</v>
      </c>
      <c r="E246" s="55" t="e">
        <f>+SUM(START:END!E246)</f>
        <v>#N/A</v>
      </c>
      <c r="F246" s="55" t="e">
        <f>+SUM(START:END!F246)</f>
        <v>#N/A</v>
      </c>
      <c r="G246" s="40">
        <f>+SUM(START:END!G246)</f>
        <v>0</v>
      </c>
      <c r="H246" s="55">
        <f>+SUM(START:END!H246)</f>
        <v>0</v>
      </c>
      <c r="I246" s="55">
        <f>+SUM(START:END!I246)</f>
        <v>0</v>
      </c>
      <c r="J246" s="20">
        <f>+SUM(START:END!J246)</f>
        <v>673</v>
      </c>
      <c r="K246" s="55">
        <f>+SUM(START:END!K246)</f>
        <v>154818.81000000006</v>
      </c>
      <c r="L246" s="39">
        <f>+SUM(START:END!L246)</f>
        <v>107141.17000000004</v>
      </c>
      <c r="M246" s="99" t="e">
        <f>(K246-E246)/E246</f>
        <v>#N/A</v>
      </c>
      <c r="N246" s="39" t="e">
        <f>L246-F246</f>
        <v>#N/A</v>
      </c>
      <c r="O246" s="20">
        <f>+SUM(START:END!O246)</f>
        <v>574</v>
      </c>
      <c r="P246" s="55">
        <f>+SUM(START:END!P246)</f>
        <v>223919.87</v>
      </c>
      <c r="Q246" s="39">
        <f>+SUM(START:END!Q246)</f>
        <v>177564.78999999998</v>
      </c>
      <c r="R246" s="99">
        <f>IF(O246=0,0,J246/O246)</f>
        <v>1.1724738675958188</v>
      </c>
      <c r="S246" s="39">
        <f>L246-Q246</f>
        <v>-70423.619999999937</v>
      </c>
      <c r="T246" s="55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1:40" ht="15.75" customHeight="1">
      <c r="A247" s="260" t="str">
        <f t="shared" si="99"/>
        <v>Service% profit / ventes</v>
      </c>
      <c r="B247" s="7" t="s">
        <v>78</v>
      </c>
      <c r="C247" s="26" t="s">
        <v>82</v>
      </c>
      <c r="D247" s="55"/>
      <c r="E247" s="91"/>
      <c r="F247" s="100" t="e">
        <f>F246/E246</f>
        <v>#N/A</v>
      </c>
      <c r="G247" s="40"/>
      <c r="H247" s="91"/>
      <c r="I247" s="100" t="e">
        <f>I246/H246</f>
        <v>#DIV/0!</v>
      </c>
      <c r="J247" s="40"/>
      <c r="K247" s="7"/>
      <c r="L247" s="100">
        <f>L246/K246</f>
        <v>0.69204232999853188</v>
      </c>
      <c r="M247" s="99"/>
      <c r="N247" s="39"/>
      <c r="O247" s="40"/>
      <c r="P247" s="7"/>
      <c r="Q247" s="100">
        <f>Q246/P246</f>
        <v>0.79298362400799882</v>
      </c>
      <c r="R247" s="40"/>
      <c r="S247" s="100"/>
      <c r="T247" s="55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1:40" ht="15.75" customHeight="1">
      <c r="A248" s="260" t="str">
        <f t="shared" si="99"/>
        <v>Service</v>
      </c>
      <c r="B248" s="7" t="s">
        <v>78</v>
      </c>
      <c r="C248" s="14"/>
      <c r="D248" s="58"/>
      <c r="E248" s="312">
        <f>IFERROR(E246/D246,0)</f>
        <v>0</v>
      </c>
      <c r="F248" s="102"/>
      <c r="G248" s="103"/>
      <c r="H248" s="312">
        <f>IFERROR(H246/G246,0)</f>
        <v>0</v>
      </c>
      <c r="I248" s="102"/>
      <c r="J248" s="103"/>
      <c r="K248" s="312">
        <f>IFERROR(K246/J246,0)</f>
        <v>230.04280832095105</v>
      </c>
      <c r="L248" s="102"/>
      <c r="M248" s="104"/>
      <c r="N248" s="61"/>
      <c r="O248" s="103"/>
      <c r="P248" s="312">
        <f>IFERROR(P246/O246,0)</f>
        <v>390.10430313588847</v>
      </c>
      <c r="Q248" s="102"/>
      <c r="R248" s="103"/>
      <c r="S248" s="61"/>
      <c r="T248" s="55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1:40" ht="18" customHeight="1">
      <c r="A249" s="260" t="str">
        <f t="shared" si="99"/>
        <v>ServiceM/O Garantie</v>
      </c>
      <c r="B249" s="7" t="s">
        <v>78</v>
      </c>
      <c r="C249" s="71" t="s">
        <v>83</v>
      </c>
      <c r="D249" s="105" t="e">
        <f>+SUM(START:END!D249)</f>
        <v>#N/A</v>
      </c>
      <c r="E249" s="55" t="e">
        <f>+SUM(START:END!E249)</f>
        <v>#N/A</v>
      </c>
      <c r="F249" s="55" t="e">
        <f>+SUM(START:END!F249)</f>
        <v>#N/A</v>
      </c>
      <c r="G249" s="106">
        <f>+SUM(START:END!G249)</f>
        <v>0</v>
      </c>
      <c r="H249" s="55">
        <f>+SUM(START:END!H249)</f>
        <v>0</v>
      </c>
      <c r="I249" s="55">
        <f>+SUM(START:END!I249)</f>
        <v>0</v>
      </c>
      <c r="J249" s="20">
        <f>+SUM(START:END!J249)</f>
        <v>819</v>
      </c>
      <c r="K249" s="105">
        <f>+SUM(START:END!K249)</f>
        <v>127881.70999999996</v>
      </c>
      <c r="L249" s="39">
        <f>+SUM(START:END!L249)</f>
        <v>79387.269999999975</v>
      </c>
      <c r="M249" s="99" t="e">
        <f>(K249-E249)/E249</f>
        <v>#N/A</v>
      </c>
      <c r="N249" s="72" t="e">
        <f>L249-F249</f>
        <v>#N/A</v>
      </c>
      <c r="O249" s="20">
        <f>+SUM(START:END!O249)</f>
        <v>935</v>
      </c>
      <c r="P249" s="105">
        <f>+SUM(START:END!P249)</f>
        <v>151015.76</v>
      </c>
      <c r="Q249" s="39">
        <f>+SUM(START:END!Q249)</f>
        <v>101726.29000000002</v>
      </c>
      <c r="R249" s="99">
        <f>IF(O249=0,0,J249/O249)</f>
        <v>0.87593582887700538</v>
      </c>
      <c r="S249" s="39">
        <f>L249-Q249</f>
        <v>-22339.020000000048</v>
      </c>
      <c r="T249" s="55"/>
      <c r="U249" s="7"/>
      <c r="V249" s="19"/>
      <c r="W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1:40" ht="15.75" customHeight="1">
      <c r="A250" s="260" t="str">
        <f t="shared" si="99"/>
        <v>Service% profit / ventes</v>
      </c>
      <c r="B250" s="7" t="s">
        <v>78</v>
      </c>
      <c r="C250" s="26" t="s">
        <v>82</v>
      </c>
      <c r="D250" s="7"/>
      <c r="E250" s="7"/>
      <c r="F250" s="100" t="e">
        <f>F249/E249</f>
        <v>#N/A</v>
      </c>
      <c r="G250" s="26"/>
      <c r="H250" s="7"/>
      <c r="I250" s="100" t="e">
        <f>I249/H249</f>
        <v>#DIV/0!</v>
      </c>
      <c r="J250" s="26"/>
      <c r="K250" s="7"/>
      <c r="L250" s="100">
        <f>L249/K249</f>
        <v>0.62078674112193211</v>
      </c>
      <c r="M250" s="99"/>
      <c r="N250" s="100"/>
      <c r="O250" s="26"/>
      <c r="P250" s="7"/>
      <c r="Q250" s="100">
        <f>Q249/P249</f>
        <v>0.67361373408974012</v>
      </c>
      <c r="R250" s="99"/>
      <c r="S250" s="100"/>
      <c r="T250" s="7"/>
      <c r="U250" s="7"/>
      <c r="V250" s="19"/>
      <c r="W250" s="2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1:40" ht="15.75" customHeight="1">
      <c r="A251" s="260" t="str">
        <f t="shared" si="99"/>
        <v>Service</v>
      </c>
      <c r="B251" s="7" t="s">
        <v>78</v>
      </c>
      <c r="C251" s="14"/>
      <c r="D251" s="73"/>
      <c r="E251" s="312"/>
      <c r="F251" s="102"/>
      <c r="G251" s="103"/>
      <c r="H251" s="312"/>
      <c r="I251" s="102"/>
      <c r="J251" s="103"/>
      <c r="K251" s="312"/>
      <c r="L251" s="102"/>
      <c r="M251" s="104"/>
      <c r="N251" s="61"/>
      <c r="O251" s="103"/>
      <c r="P251" s="312"/>
      <c r="Q251" s="102"/>
      <c r="R251" s="104"/>
      <c r="S251" s="102"/>
      <c r="T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1:40" ht="15.75" customHeight="1">
      <c r="A252" s="260" t="str">
        <f t="shared" si="99"/>
        <v>ServiceM/O Interne</v>
      </c>
      <c r="B252" s="7" t="s">
        <v>78</v>
      </c>
      <c r="C252" s="26" t="s">
        <v>84</v>
      </c>
      <c r="D252" s="55" t="e">
        <f>+SUM(START:END!D252)</f>
        <v>#N/A</v>
      </c>
      <c r="E252" s="55" t="e">
        <f>+SUM(START:END!E252)</f>
        <v>#N/A</v>
      </c>
      <c r="F252" s="55" t="e">
        <f>+SUM(START:END!F252)</f>
        <v>#N/A</v>
      </c>
      <c r="G252" s="40">
        <f>+SUM(START:END!G252)</f>
        <v>0</v>
      </c>
      <c r="H252" s="55">
        <f>+SUM(START:END!H252)</f>
        <v>0</v>
      </c>
      <c r="I252" s="55">
        <f>+SUM(START:END!I252)</f>
        <v>0</v>
      </c>
      <c r="J252" s="20">
        <f>+SUM(START:END!J252)</f>
        <v>1174</v>
      </c>
      <c r="K252" s="105">
        <f>+SUM(START:END!K252)</f>
        <v>194345.84999999995</v>
      </c>
      <c r="L252" s="39">
        <f>+SUM(START:END!L252)</f>
        <v>141158.29999999993</v>
      </c>
      <c r="M252" s="99" t="e">
        <f>(K252-E252)/E252</f>
        <v>#N/A</v>
      </c>
      <c r="N252" s="39" t="e">
        <f>L252-F252</f>
        <v>#N/A</v>
      </c>
      <c r="O252" s="20">
        <f>+SUM(START:END!O252)</f>
        <v>1336</v>
      </c>
      <c r="P252" s="105">
        <f>+SUM(START:END!P252)</f>
        <v>180896.39999999997</v>
      </c>
      <c r="Q252" s="39">
        <f>+SUM(START:END!Q252)</f>
        <v>132870.29999999996</v>
      </c>
      <c r="R252" s="99">
        <f>IF(O252=0,0,J252/O252)</f>
        <v>0.87874251497005984</v>
      </c>
      <c r="S252" s="39">
        <f>L252-Q252</f>
        <v>8287.9999999999709</v>
      </c>
      <c r="T252" s="55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spans="1:40" ht="15.75" customHeight="1">
      <c r="A253" s="260" t="str">
        <f t="shared" si="99"/>
        <v>Service% profit / ventes</v>
      </c>
      <c r="B253" s="7" t="s">
        <v>78</v>
      </c>
      <c r="C253" s="26" t="s">
        <v>82</v>
      </c>
      <c r="D253" s="55"/>
      <c r="E253" s="91"/>
      <c r="F253" s="100" t="e">
        <f>F252/E252</f>
        <v>#N/A</v>
      </c>
      <c r="G253" s="40"/>
      <c r="H253" s="91"/>
      <c r="I253" s="100" t="e">
        <f>I252/H252</f>
        <v>#DIV/0!</v>
      </c>
      <c r="J253" s="40"/>
      <c r="K253" s="91"/>
      <c r="L253" s="100">
        <f>L252/K252</f>
        <v>0.72632525983961049</v>
      </c>
      <c r="M253" s="99"/>
      <c r="N253" s="39" t="e">
        <f>L253-F253</f>
        <v>#N/A</v>
      </c>
      <c r="O253" s="40"/>
      <c r="P253" s="91"/>
      <c r="Q253" s="100">
        <f>Q252/P252</f>
        <v>0.73451047118682289</v>
      </c>
      <c r="R253" s="40">
        <f>O253-K253</f>
        <v>0</v>
      </c>
      <c r="S253" s="100"/>
      <c r="T253" s="55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spans="1:40" ht="15.75" customHeight="1">
      <c r="A254" s="260" t="str">
        <f t="shared" si="99"/>
        <v>Service</v>
      </c>
      <c r="B254" s="7" t="s">
        <v>78</v>
      </c>
      <c r="C254" s="26"/>
      <c r="D254" s="55"/>
      <c r="E254" s="312"/>
      <c r="F254" s="102"/>
      <c r="G254" s="103"/>
      <c r="H254" s="312"/>
      <c r="I254" s="102"/>
      <c r="J254" s="103"/>
      <c r="K254" s="312"/>
      <c r="L254" s="102"/>
      <c r="M254" s="104"/>
      <c r="N254" s="61"/>
      <c r="O254" s="103"/>
      <c r="P254" s="312"/>
      <c r="Q254" s="102"/>
      <c r="R254" s="103"/>
      <c r="S254" s="39"/>
      <c r="T254" s="55"/>
      <c r="U254" s="293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spans="1:40" ht="15.75" customHeight="1">
      <c r="A255" s="260" t="str">
        <f t="shared" si="99"/>
        <v>ServiceM/O Esthétique</v>
      </c>
      <c r="B255" s="7" t="s">
        <v>78</v>
      </c>
      <c r="C255" s="71" t="s">
        <v>85</v>
      </c>
      <c r="D255" s="105" t="e">
        <f>+SUM(START:END!D255)</f>
        <v>#N/A</v>
      </c>
      <c r="E255" s="55" t="e">
        <f>+SUM(START:END!E255)</f>
        <v>#N/A</v>
      </c>
      <c r="F255" s="55" t="e">
        <f>+SUM(START:END!F255)</f>
        <v>#N/A</v>
      </c>
      <c r="G255" s="106">
        <f>+SUM(START:END!G255)</f>
        <v>0</v>
      </c>
      <c r="H255" s="55">
        <f>+SUM(START:END!H255)</f>
        <v>0</v>
      </c>
      <c r="I255" s="55">
        <f>+SUM(START:END!I255)</f>
        <v>0</v>
      </c>
      <c r="J255" s="20">
        <f>+SUM(START:END!J255)</f>
        <v>0</v>
      </c>
      <c r="K255" s="105">
        <f>+SUM(START:END!K255)</f>
        <v>0</v>
      </c>
      <c r="L255" s="72">
        <f>+SUM(START:END!L255)</f>
        <v>0</v>
      </c>
      <c r="M255" s="109" t="e">
        <f>IF(E255=0,0,(K255-E255)/E255)</f>
        <v>#N/A</v>
      </c>
      <c r="N255" s="72" t="e">
        <f>L255-F255</f>
        <v>#N/A</v>
      </c>
      <c r="O255" s="20">
        <f>+SUM(START:END!O255)</f>
        <v>0</v>
      </c>
      <c r="P255" s="105">
        <f>+SUM(START:END!P255)</f>
        <v>0</v>
      </c>
      <c r="Q255" s="72">
        <f>+SUM(START:END!Q255)</f>
        <v>0</v>
      </c>
      <c r="R255" s="99">
        <f>IF(O255=0,0,J255/O255)</f>
        <v>0</v>
      </c>
      <c r="S255" s="72">
        <f>L255-Q255</f>
        <v>0</v>
      </c>
      <c r="T255" s="55"/>
      <c r="U255" s="293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spans="1:40" ht="15.75" customHeight="1">
      <c r="A256" s="260" t="str">
        <f t="shared" si="99"/>
        <v>Service% profit / ventes</v>
      </c>
      <c r="B256" s="7" t="s">
        <v>78</v>
      </c>
      <c r="C256" s="26" t="s">
        <v>82</v>
      </c>
      <c r="D256" s="7"/>
      <c r="E256" s="91"/>
      <c r="F256" s="100">
        <f>IFERROR(F255/E255,0)</f>
        <v>0</v>
      </c>
      <c r="G256" s="26"/>
      <c r="H256" s="91"/>
      <c r="I256" s="100">
        <f>IFERROR(I255/H255,0)</f>
        <v>0</v>
      </c>
      <c r="J256" s="40"/>
      <c r="K256" s="91"/>
      <c r="L256" s="100">
        <f>IFERROR(L255/K255,0)</f>
        <v>0</v>
      </c>
      <c r="M256" s="40">
        <f>J256-D256</f>
        <v>0</v>
      </c>
      <c r="N256" s="39"/>
      <c r="O256" s="40"/>
      <c r="P256" s="91"/>
      <c r="Q256" s="100">
        <f>IFERROR(Q255/P255,0)</f>
        <v>0</v>
      </c>
      <c r="R256" s="26"/>
      <c r="S256" s="100"/>
      <c r="T256" s="74"/>
      <c r="U256" s="293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spans="1:40" ht="15.75" customHeight="1">
      <c r="A257" s="260" t="str">
        <f t="shared" si="99"/>
        <v>Service</v>
      </c>
      <c r="B257" s="7" t="s">
        <v>78</v>
      </c>
      <c r="C257" s="14"/>
      <c r="D257" s="73"/>
      <c r="E257" s="101"/>
      <c r="F257" s="102"/>
      <c r="G257" s="14"/>
      <c r="H257" s="101"/>
      <c r="I257" s="102"/>
      <c r="J257" s="103"/>
      <c r="K257" s="312"/>
      <c r="L257" s="102"/>
      <c r="M257" s="103"/>
      <c r="N257" s="61"/>
      <c r="O257" s="103"/>
      <c r="P257" s="312"/>
      <c r="Q257" s="102"/>
      <c r="R257" s="14"/>
      <c r="S257" s="61"/>
      <c r="T257" s="7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spans="1:40" ht="26.25" customHeight="1" thickBot="1">
      <c r="A258" s="260" t="str">
        <f t="shared" si="99"/>
        <v>ServiceAjustement M/O</v>
      </c>
      <c r="B258" s="7" t="s">
        <v>78</v>
      </c>
      <c r="C258" s="26" t="s">
        <v>86</v>
      </c>
      <c r="D258" s="7"/>
      <c r="E258" s="7"/>
      <c r="F258" s="39" t="e">
        <f>+SUM(START:END!F258)</f>
        <v>#N/A</v>
      </c>
      <c r="G258" s="26"/>
      <c r="H258" s="55"/>
      <c r="I258" s="55">
        <f>+SUM(START:END!I258)</f>
        <v>0</v>
      </c>
      <c r="J258" s="40"/>
      <c r="K258" s="55"/>
      <c r="L258" s="55">
        <f>+SUM(START:END!L258)</f>
        <v>-5903.4699999999993</v>
      </c>
      <c r="M258" s="40"/>
      <c r="N258" s="39" t="e">
        <f>L258-F258</f>
        <v>#N/A</v>
      </c>
      <c r="O258" s="40"/>
      <c r="P258" s="55"/>
      <c r="Q258" s="55">
        <f>+SUM(START:END!Q258)</f>
        <v>4764.6400000000031</v>
      </c>
      <c r="R258" s="313"/>
      <c r="S258" s="39">
        <f>L258-Q258</f>
        <v>-10668.110000000002</v>
      </c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spans="1:40" ht="19.95" customHeight="1" thickTop="1">
      <c r="A259" s="260" t="str">
        <f t="shared" si="99"/>
        <v>ServiceSous-total M/O</v>
      </c>
      <c r="B259" s="7" t="s">
        <v>78</v>
      </c>
      <c r="C259" s="314" t="s">
        <v>87</v>
      </c>
      <c r="D259" s="116"/>
      <c r="E259" s="116" t="e">
        <f>E246+E249+E252+E255+E258</f>
        <v>#N/A</v>
      </c>
      <c r="F259" s="117" t="e">
        <f>F246+F249+F252+F255+F258</f>
        <v>#N/A</v>
      </c>
      <c r="G259" s="118"/>
      <c r="H259" s="116">
        <f>H246+H249+H252+H255+H258</f>
        <v>0</v>
      </c>
      <c r="I259" s="117">
        <f>I246+I249+I252+I255+I258</f>
        <v>0</v>
      </c>
      <c r="J259" s="315"/>
      <c r="K259" s="316">
        <f>K246+K249+K252+K255+K258</f>
        <v>477046.37</v>
      </c>
      <c r="L259" s="317">
        <f>L246+L249+L252+L255+L258</f>
        <v>321783.26999999996</v>
      </c>
      <c r="M259" s="318" t="e">
        <f>(K259-E259)/E259</f>
        <v>#N/A</v>
      </c>
      <c r="N259" s="317" t="e">
        <f>L259-F259</f>
        <v>#N/A</v>
      </c>
      <c r="O259" s="315"/>
      <c r="P259" s="316">
        <f>P246+P249+P252+P255+P258</f>
        <v>555832.03</v>
      </c>
      <c r="Q259" s="317">
        <f>Q246+Q249+Q252+Q255+Q258</f>
        <v>416926.02</v>
      </c>
      <c r="R259" s="27">
        <f>IF(O259=0,0,J259/O259)</f>
        <v>0</v>
      </c>
      <c r="S259" s="117">
        <f>L259-Q259</f>
        <v>-95142.750000000058</v>
      </c>
      <c r="T259" s="74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spans="1:40" ht="15.75" customHeight="1">
      <c r="A260" s="260" t="str">
        <f t="shared" si="99"/>
        <v>Service% protit / ventes</v>
      </c>
      <c r="B260" s="7" t="s">
        <v>78</v>
      </c>
      <c r="C260" s="319" t="s">
        <v>88</v>
      </c>
      <c r="D260" s="119"/>
      <c r="E260" s="320"/>
      <c r="F260" s="120" t="e">
        <f>F259/E259</f>
        <v>#N/A</v>
      </c>
      <c r="G260" s="121"/>
      <c r="H260" s="320"/>
      <c r="I260" s="28" t="e">
        <f>I259/H259</f>
        <v>#DIV/0!</v>
      </c>
      <c r="J260" s="114"/>
      <c r="K260" s="321"/>
      <c r="L260" s="28">
        <f>L259/K259</f>
        <v>0.67453247783857984</v>
      </c>
      <c r="M260" s="114"/>
      <c r="N260" s="107" t="e">
        <f>N259/F259</f>
        <v>#N/A</v>
      </c>
      <c r="O260" s="114"/>
      <c r="P260" s="321"/>
      <c r="Q260" s="28">
        <f>Q259/P259</f>
        <v>0.75009354894499336</v>
      </c>
      <c r="R260" s="121"/>
      <c r="S260" s="28">
        <f>IF(R259=0,0,S259/R259)</f>
        <v>0</v>
      </c>
      <c r="T260" s="74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spans="1:40" ht="15.75" customHeight="1">
      <c r="A261" s="260" t="str">
        <f t="shared" si="99"/>
        <v>Service</v>
      </c>
      <c r="B261" s="7" t="s">
        <v>78</v>
      </c>
      <c r="C261" s="71"/>
      <c r="D261" s="105"/>
      <c r="E261" s="322"/>
      <c r="F261" s="72"/>
      <c r="G261" s="106"/>
      <c r="H261" s="322"/>
      <c r="I261" s="72"/>
      <c r="J261" s="106"/>
      <c r="K261" s="322"/>
      <c r="L261" s="72"/>
      <c r="M261" s="106"/>
      <c r="N261" s="72"/>
      <c r="O261" s="106"/>
      <c r="P261" s="322"/>
      <c r="Q261" s="72"/>
      <c r="R261" s="106"/>
      <c r="S261" s="72"/>
      <c r="T261" s="74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spans="1:40" ht="19.5" customHeight="1">
      <c r="A262" s="260" t="str">
        <f t="shared" si="99"/>
        <v>ServiceSous-traitement</v>
      </c>
      <c r="B262" s="7" t="s">
        <v>78</v>
      </c>
      <c r="C262" s="26" t="s">
        <v>89</v>
      </c>
      <c r="D262" s="55"/>
      <c r="E262" s="55" t="e">
        <f>+SUM(START:END!E262)</f>
        <v>#N/A</v>
      </c>
      <c r="F262" s="55" t="e">
        <f>+SUM(START:END!F262)</f>
        <v>#N/A</v>
      </c>
      <c r="G262" s="40"/>
      <c r="H262" s="55">
        <f>+SUM(START:END!H262)</f>
        <v>0</v>
      </c>
      <c r="I262" s="55">
        <f>+SUM(START:END!I262)</f>
        <v>0</v>
      </c>
      <c r="J262" s="20"/>
      <c r="K262" s="55">
        <f>+SUM(START:END!K262)</f>
        <v>45972.609999999986</v>
      </c>
      <c r="L262" s="39">
        <f>+SUM(START:END!L262)</f>
        <v>11106.279999999984</v>
      </c>
      <c r="M262" s="99" t="e">
        <f>IF(E262=0,0,(K262-E262)/E262)</f>
        <v>#N/A</v>
      </c>
      <c r="N262" s="39" t="e">
        <f>L262-F262</f>
        <v>#N/A</v>
      </c>
      <c r="O262" s="20"/>
      <c r="P262" s="55">
        <f>+SUM(START:END!P262)</f>
        <v>70898.12</v>
      </c>
      <c r="Q262" s="39">
        <f>+SUM(START:END!Q262)</f>
        <v>15307.339999999991</v>
      </c>
      <c r="R262" s="99">
        <f>IF(O262=0,0,J262/O262)</f>
        <v>0</v>
      </c>
      <c r="S262" s="39">
        <f>L262-Q262</f>
        <v>-4201.0600000000068</v>
      </c>
      <c r="T262" s="74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spans="1:40" ht="21" customHeight="1">
      <c r="A263" s="260" t="str">
        <f t="shared" si="99"/>
        <v>Service% profit / ventes</v>
      </c>
      <c r="B263" s="7" t="s">
        <v>78</v>
      </c>
      <c r="C263" s="26" t="s">
        <v>82</v>
      </c>
      <c r="D263" s="7"/>
      <c r="E263" s="91"/>
      <c r="F263" s="100">
        <f>IFERROR(F262/E262,0)</f>
        <v>0</v>
      </c>
      <c r="G263" s="26"/>
      <c r="H263" s="91"/>
      <c r="I263" s="100">
        <f>IFERROR(I262/H262,0)</f>
        <v>0</v>
      </c>
      <c r="J263" s="40"/>
      <c r="K263" s="91"/>
      <c r="L263" s="100">
        <f>IFERROR(L262/K262,0)</f>
        <v>0.24158471750896865</v>
      </c>
      <c r="M263" s="40"/>
      <c r="N263" s="39"/>
      <c r="O263" s="40"/>
      <c r="P263" s="91"/>
      <c r="Q263" s="100">
        <f>IFERROR(Q262/P262,0)</f>
        <v>0.21590614814610024</v>
      </c>
      <c r="R263" s="40"/>
      <c r="S263" s="100"/>
      <c r="T263" s="74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spans="1:40" ht="21" hidden="1" customHeight="1">
      <c r="A264" s="260" t="str">
        <f t="shared" si="99"/>
        <v>Service</v>
      </c>
      <c r="B264" s="7" t="s">
        <v>78</v>
      </c>
      <c r="C264" s="26"/>
      <c r="D264" s="7"/>
      <c r="E264" s="91"/>
      <c r="F264" s="100"/>
      <c r="G264" s="26"/>
      <c r="H264" s="91"/>
      <c r="I264" s="100"/>
      <c r="J264" s="111"/>
      <c r="K264" s="110"/>
      <c r="L264" s="100"/>
      <c r="M264" s="111"/>
      <c r="N264" s="112"/>
      <c r="O264" s="111"/>
      <c r="P264" s="110"/>
      <c r="Q264" s="100"/>
      <c r="R264" s="111"/>
      <c r="S264" s="112"/>
      <c r="T264" s="74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spans="1:40" ht="21" hidden="1" customHeight="1">
      <c r="A265" s="260" t="str">
        <f t="shared" si="99"/>
        <v>ServiceM.O. Recond. MCPA</v>
      </c>
      <c r="B265" s="7" t="s">
        <v>78</v>
      </c>
      <c r="C265" s="26" t="s">
        <v>90</v>
      </c>
      <c r="D265" s="7"/>
      <c r="E265" s="55" t="e">
        <f>+SUM(START:END!E265)</f>
        <v>#N/A</v>
      </c>
      <c r="F265" s="55" t="e">
        <f>+SUM(START:END!F265)</f>
        <v>#N/A</v>
      </c>
      <c r="G265" s="26"/>
      <c r="H265" s="55">
        <f>+SUM(START:END!H265)</f>
        <v>0</v>
      </c>
      <c r="I265" s="55">
        <f>+SUM(START:END!I265)</f>
        <v>0</v>
      </c>
      <c r="J265" s="20"/>
      <c r="K265" s="19">
        <f>+SUM(START:END!K265)</f>
        <v>0</v>
      </c>
      <c r="L265" s="21">
        <f>+SUM(START:END!L265)</f>
        <v>0</v>
      </c>
      <c r="M265" s="99"/>
      <c r="N265" s="39"/>
      <c r="O265" s="20"/>
      <c r="P265" s="19">
        <f>+SUM(START:END!P265)</f>
        <v>0</v>
      </c>
      <c r="Q265" s="21">
        <f>+SUM(START:END!Q265)</f>
        <v>0</v>
      </c>
      <c r="R265" s="99"/>
      <c r="S265" s="39"/>
      <c r="T265" s="74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spans="1:40" ht="21" hidden="1" customHeight="1">
      <c r="A266" s="260" t="str">
        <f t="shared" si="99"/>
        <v>Service% profit / ventes</v>
      </c>
      <c r="B266" s="7" t="s">
        <v>78</v>
      </c>
      <c r="C266" s="26" t="s">
        <v>82</v>
      </c>
      <c r="D266" s="7"/>
      <c r="E266" s="91"/>
      <c r="F266" s="100" t="e">
        <f>IF(F265=0,0,F265/E265)</f>
        <v>#N/A</v>
      </c>
      <c r="G266" s="26"/>
      <c r="H266" s="91"/>
      <c r="I266" s="100">
        <f>IF(I265=0,0,I265/H265)</f>
        <v>0</v>
      </c>
      <c r="J266" s="111"/>
      <c r="K266" s="110"/>
      <c r="L266" s="100">
        <f>IF(L265=0,0,L265/K265)</f>
        <v>0</v>
      </c>
      <c r="M266" s="111"/>
      <c r="N266" s="112"/>
      <c r="O266" s="111"/>
      <c r="P266" s="110"/>
      <c r="Q266" s="100">
        <f>IF(Q265=0,0,Q265/P265)</f>
        <v>0</v>
      </c>
      <c r="R266" s="111"/>
      <c r="S266" s="112"/>
      <c r="T266" s="74"/>
      <c r="U266" s="19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spans="1:40" ht="15.75" customHeight="1" thickBot="1">
      <c r="A267" s="260" t="str">
        <f t="shared" si="99"/>
        <v>Service</v>
      </c>
      <c r="B267" s="7" t="s">
        <v>78</v>
      </c>
      <c r="C267" s="323"/>
      <c r="D267" s="125"/>
      <c r="E267" s="126"/>
      <c r="F267" s="127"/>
      <c r="G267" s="128"/>
      <c r="H267" s="126"/>
      <c r="I267" s="127"/>
      <c r="J267" s="128"/>
      <c r="K267" s="126"/>
      <c r="L267" s="127"/>
      <c r="M267" s="128"/>
      <c r="N267" s="127"/>
      <c r="O267" s="128"/>
      <c r="P267" s="126"/>
      <c r="Q267" s="127"/>
      <c r="R267" s="128"/>
      <c r="S267" s="127"/>
      <c r="T267" s="74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spans="1:40" ht="18" customHeight="1" thickTop="1">
      <c r="A268" s="260" t="str">
        <f t="shared" si="99"/>
        <v>ServiceTotal Mécanique</v>
      </c>
      <c r="B268" s="7" t="s">
        <v>78</v>
      </c>
      <c r="C268" s="264" t="s">
        <v>91</v>
      </c>
      <c r="D268" s="41"/>
      <c r="E268" s="42" t="e">
        <f>E259+E262+E265</f>
        <v>#N/A</v>
      </c>
      <c r="F268" s="43" t="e">
        <f>F259+F262+F265</f>
        <v>#N/A</v>
      </c>
      <c r="G268" s="44"/>
      <c r="H268" s="42">
        <f>H259+H262+H265</f>
        <v>0</v>
      </c>
      <c r="I268" s="43">
        <f>I259+I262+I265</f>
        <v>0</v>
      </c>
      <c r="J268" s="44"/>
      <c r="K268" s="41">
        <f>K259+K262+K265</f>
        <v>523018.98</v>
      </c>
      <c r="L268" s="43">
        <f>L259+L262+L265</f>
        <v>332889.54999999993</v>
      </c>
      <c r="M268" s="44" t="e">
        <f>L269-F269</f>
        <v>#N/A</v>
      </c>
      <c r="N268" s="43" t="e">
        <f>L268-F268</f>
        <v>#N/A</v>
      </c>
      <c r="O268" s="44"/>
      <c r="P268" s="41">
        <f>P259+P262+P265</f>
        <v>626730.15</v>
      </c>
      <c r="Q268" s="43">
        <f>Q259+Q262+Q265</f>
        <v>432233.36</v>
      </c>
      <c r="R268" s="44">
        <f>L269-Q269</f>
        <v>-5.3187222469393336E-2</v>
      </c>
      <c r="S268" s="43">
        <f>L268-Q268</f>
        <v>-99343.810000000056</v>
      </c>
      <c r="T268" s="7"/>
      <c r="U268" s="55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spans="1:40" ht="22.5" customHeight="1" thickBot="1">
      <c r="A269" s="260" t="str">
        <f t="shared" si="99"/>
        <v>Service</v>
      </c>
      <c r="B269" s="7" t="s">
        <v>78</v>
      </c>
      <c r="C269" s="47"/>
      <c r="D269" s="45"/>
      <c r="E269" s="45"/>
      <c r="F269" s="46" t="e">
        <f>F268/E268</f>
        <v>#N/A</v>
      </c>
      <c r="G269" s="47"/>
      <c r="H269" s="45"/>
      <c r="I269" s="46" t="e">
        <f>I268/H268</f>
        <v>#DIV/0!</v>
      </c>
      <c r="J269" s="47"/>
      <c r="K269" s="265"/>
      <c r="L269" s="267">
        <f>L268/K268</f>
        <v>0.63647699745045572</v>
      </c>
      <c r="M269" s="48"/>
      <c r="N269" s="49" t="e">
        <f>N268/F268</f>
        <v>#N/A</v>
      </c>
      <c r="O269" s="47"/>
      <c r="P269" s="265"/>
      <c r="Q269" s="267">
        <f>Q268/P268</f>
        <v>0.68966421991984905</v>
      </c>
      <c r="R269" s="48"/>
      <c r="S269" s="267">
        <f>L268/S268</f>
        <v>-3.3508836635115942</v>
      </c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spans="1:40" ht="15.75" customHeight="1" thickTop="1">
      <c r="A270" s="260" t="str">
        <f t="shared" si="99"/>
        <v>Service</v>
      </c>
      <c r="B270" s="7" t="s">
        <v>78</v>
      </c>
      <c r="C270" s="52"/>
      <c r="D270" s="50"/>
      <c r="E270" s="50"/>
      <c r="F270" s="28"/>
      <c r="G270" s="52"/>
      <c r="H270" s="50"/>
      <c r="I270" s="28"/>
      <c r="J270" s="52"/>
      <c r="K270" s="74"/>
      <c r="L270" s="28"/>
      <c r="M270" s="27"/>
      <c r="N270" s="28"/>
      <c r="O270" s="52"/>
      <c r="P270" s="74"/>
      <c r="Q270" s="28"/>
      <c r="R270" s="27"/>
      <c r="S270" s="28"/>
      <c r="T270" s="50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spans="1:40" ht="15.75" customHeight="1">
      <c r="A271" s="260" t="str">
        <f t="shared" si="99"/>
        <v>ServiceDEPENSES</v>
      </c>
      <c r="B271" s="7" t="s">
        <v>78</v>
      </c>
      <c r="C271" s="268" t="s">
        <v>29</v>
      </c>
      <c r="D271" s="7"/>
      <c r="E271" s="7"/>
      <c r="F271" s="39"/>
      <c r="G271" s="26"/>
      <c r="H271" s="7"/>
      <c r="I271" s="39"/>
      <c r="J271" s="26"/>
      <c r="K271" s="7"/>
      <c r="L271" s="25"/>
      <c r="M271" s="26"/>
      <c r="N271" s="25"/>
      <c r="O271" s="26"/>
      <c r="P271" s="7"/>
      <c r="Q271" s="25"/>
      <c r="R271" s="26"/>
      <c r="S271" s="25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spans="1:40" ht="15.75" customHeight="1">
      <c r="A272" s="260" t="str">
        <f t="shared" si="99"/>
        <v>ServiceSalaires cadres</v>
      </c>
      <c r="B272" s="7" t="s">
        <v>78</v>
      </c>
      <c r="C272" s="271" t="s">
        <v>40</v>
      </c>
      <c r="D272" s="7"/>
      <c r="E272" s="7"/>
      <c r="F272" s="19" t="e">
        <f>+SUM(START:END!F272)</f>
        <v>#N/A</v>
      </c>
      <c r="G272" s="26"/>
      <c r="H272" s="7"/>
      <c r="I272" s="19">
        <f>+SUM(START:END!I272)</f>
        <v>0</v>
      </c>
      <c r="J272" s="26"/>
      <c r="K272" s="7"/>
      <c r="L272" s="39">
        <f>+SUM(START:END!L272)</f>
        <v>37119.579999999994</v>
      </c>
      <c r="M272" s="26"/>
      <c r="N272" s="39" t="e">
        <f t="shared" ref="N272:N303" si="100">L272-F272</f>
        <v>#N/A</v>
      </c>
      <c r="O272" s="26"/>
      <c r="P272" s="7"/>
      <c r="Q272" s="39">
        <f>+SUM(START:END!Q272)</f>
        <v>37307.89</v>
      </c>
      <c r="R272" s="26"/>
      <c r="S272" s="39">
        <f t="shared" ref="S272:S277" si="101">L272-Q272</f>
        <v>-188.31000000000495</v>
      </c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spans="1:40" ht="15.75" customHeight="1">
      <c r="A273" s="260" t="str">
        <f t="shared" si="99"/>
        <v>ServiceSalaires commis</v>
      </c>
      <c r="B273" s="7" t="s">
        <v>78</v>
      </c>
      <c r="C273" s="272" t="s">
        <v>41</v>
      </c>
      <c r="D273" s="54"/>
      <c r="E273" s="7"/>
      <c r="F273" s="31" t="e">
        <f>+SUM(START:END!F273)</f>
        <v>#N/A</v>
      </c>
      <c r="G273" s="56"/>
      <c r="H273" s="7"/>
      <c r="I273" s="31">
        <f>+SUM(START:END!I273)</f>
        <v>0</v>
      </c>
      <c r="J273" s="26"/>
      <c r="K273" s="7"/>
      <c r="L273" s="39">
        <f>+SUM(START:END!L273)</f>
        <v>21841.160000000003</v>
      </c>
      <c r="M273" s="26"/>
      <c r="N273" s="39" t="e">
        <f t="shared" si="100"/>
        <v>#N/A</v>
      </c>
      <c r="O273" s="26"/>
      <c r="P273" s="7"/>
      <c r="Q273" s="39">
        <f>+SUM(START:END!Q273)</f>
        <v>76988.98000000001</v>
      </c>
      <c r="R273" s="26"/>
      <c r="S273" s="39">
        <f t="shared" si="101"/>
        <v>-55147.820000000007</v>
      </c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spans="1:40" ht="20.399999999999999">
      <c r="A274" s="260" t="str">
        <f t="shared" si="99"/>
        <v>ServiceSalaires autres</v>
      </c>
      <c r="B274" s="7" t="s">
        <v>78</v>
      </c>
      <c r="C274" s="271" t="s">
        <v>42</v>
      </c>
      <c r="D274" s="68"/>
      <c r="E274" s="69"/>
      <c r="F274" s="19" t="e">
        <f>+SUM(START:END!F274)</f>
        <v>#N/A</v>
      </c>
      <c r="G274" s="70"/>
      <c r="H274" s="69"/>
      <c r="I274" s="19">
        <f>+SUM(START:END!I274)</f>
        <v>0</v>
      </c>
      <c r="J274" s="71"/>
      <c r="K274" s="69"/>
      <c r="L274" s="72">
        <f>+SUM(START:END!L274)</f>
        <v>45207.51999999999</v>
      </c>
      <c r="M274" s="71"/>
      <c r="N274" s="72" t="e">
        <f t="shared" si="100"/>
        <v>#N/A</v>
      </c>
      <c r="O274" s="71"/>
      <c r="P274" s="69"/>
      <c r="Q274" s="72">
        <f>+SUM(START:END!Q274)</f>
        <v>75710.739999999991</v>
      </c>
      <c r="R274" s="71"/>
      <c r="S274" s="72">
        <f t="shared" si="101"/>
        <v>-30503.22</v>
      </c>
      <c r="T274" s="7"/>
      <c r="U274" s="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spans="1:40" ht="20.399999999999999">
      <c r="A275" s="260" t="str">
        <f t="shared" si="99"/>
        <v>ServiceSalaires spécialistes</v>
      </c>
      <c r="B275" s="7" t="s">
        <v>78</v>
      </c>
      <c r="C275" s="271" t="s">
        <v>43</v>
      </c>
      <c r="D275" s="54"/>
      <c r="E275" s="324"/>
      <c r="F275" s="19" t="e">
        <f>+SUM(START:END!F275)</f>
        <v>#N/A</v>
      </c>
      <c r="G275" s="56"/>
      <c r="H275" s="7"/>
      <c r="I275" s="19">
        <f>+SUM(START:END!I275)</f>
        <v>0</v>
      </c>
      <c r="J275" s="26"/>
      <c r="K275" s="325"/>
      <c r="L275" s="39">
        <f>+SUM(START:END!L275)</f>
        <v>34551.339999999997</v>
      </c>
      <c r="M275" s="26"/>
      <c r="N275" s="39" t="e">
        <f t="shared" si="100"/>
        <v>#N/A</v>
      </c>
      <c r="O275" s="26"/>
      <c r="P275" s="325"/>
      <c r="Q275" s="39">
        <f>+SUM(START:END!Q275)</f>
        <v>0</v>
      </c>
      <c r="R275" s="26"/>
      <c r="S275" s="39">
        <f t="shared" si="101"/>
        <v>34551.339999999997</v>
      </c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spans="1:40" ht="20.399999999999999" hidden="1" customHeight="1">
      <c r="A276" s="260" t="str">
        <f t="shared" si="99"/>
        <v>Service[...]</v>
      </c>
      <c r="B276" s="7" t="s">
        <v>78</v>
      </c>
      <c r="C276" s="26" t="s">
        <v>19</v>
      </c>
      <c r="D276" s="54"/>
      <c r="E276" s="7"/>
      <c r="F276" s="19" t="e">
        <f>+SUM(START:END!F276)</f>
        <v>#N/A</v>
      </c>
      <c r="G276" s="56"/>
      <c r="H276" s="7"/>
      <c r="I276" s="19">
        <f>+SUM(START:END!I276)</f>
        <v>0</v>
      </c>
      <c r="J276" s="26"/>
      <c r="K276" s="7"/>
      <c r="L276" s="39">
        <f>+SUM(START:END!L276)</f>
        <v>0</v>
      </c>
      <c r="M276" s="26"/>
      <c r="N276" s="39" t="e">
        <f t="shared" si="100"/>
        <v>#N/A</v>
      </c>
      <c r="O276" s="26"/>
      <c r="P276" s="7"/>
      <c r="Q276" s="39">
        <f>+SUM(START:END!Q276)</f>
        <v>0</v>
      </c>
      <c r="R276" s="26"/>
      <c r="S276" s="39">
        <f t="shared" si="101"/>
        <v>0</v>
      </c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spans="1:40" ht="20.399999999999999" hidden="1" customHeight="1">
      <c r="A277" s="260" t="str">
        <f t="shared" si="99"/>
        <v>Service[...]</v>
      </c>
      <c r="B277" s="7" t="s">
        <v>78</v>
      </c>
      <c r="C277" s="26" t="s">
        <v>19</v>
      </c>
      <c r="D277" s="54"/>
      <c r="E277" s="7"/>
      <c r="F277" s="19" t="e">
        <f>+SUM(START:END!F277)</f>
        <v>#N/A</v>
      </c>
      <c r="G277" s="56"/>
      <c r="H277" s="7"/>
      <c r="I277" s="19">
        <f>+SUM(START:END!I277)</f>
        <v>0</v>
      </c>
      <c r="J277" s="26"/>
      <c r="K277" s="7"/>
      <c r="L277" s="39">
        <f>+SUM(START:END!L277)</f>
        <v>0</v>
      </c>
      <c r="M277" s="26"/>
      <c r="N277" s="39" t="e">
        <f t="shared" si="100"/>
        <v>#N/A</v>
      </c>
      <c r="O277" s="26"/>
      <c r="P277" s="7"/>
      <c r="Q277" s="39">
        <f>+SUM(START:END!Q277)</f>
        <v>0</v>
      </c>
      <c r="R277" s="26"/>
      <c r="S277" s="39">
        <f t="shared" si="101"/>
        <v>0</v>
      </c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spans="1:40" ht="20.399999999999999" hidden="1" customHeight="1">
      <c r="A278" s="260" t="str">
        <f t="shared" si="99"/>
        <v>Service[...]</v>
      </c>
      <c r="B278" s="7" t="s">
        <v>78</v>
      </c>
      <c r="C278" s="26" t="s">
        <v>19</v>
      </c>
      <c r="D278" s="54"/>
      <c r="E278" s="7"/>
      <c r="F278" s="19" t="e">
        <f>+SUM(START:END!F278)</f>
        <v>#N/A</v>
      </c>
      <c r="G278" s="56"/>
      <c r="H278" s="7"/>
      <c r="I278" s="19">
        <f>+SUM(START:END!I278)</f>
        <v>0</v>
      </c>
      <c r="J278" s="26"/>
      <c r="K278" s="7"/>
      <c r="L278" s="39">
        <f>+SUM(START:END!L278)</f>
        <v>0</v>
      </c>
      <c r="M278" s="26"/>
      <c r="N278" s="39" t="e">
        <f t="shared" si="100"/>
        <v>#N/A</v>
      </c>
      <c r="O278" s="26"/>
      <c r="P278" s="7"/>
      <c r="Q278" s="39">
        <f>+SUM(START:END!Q278)</f>
        <v>0</v>
      </c>
      <c r="R278" s="26"/>
      <c r="S278" s="39">
        <f>L278-Q278</f>
        <v>0</v>
      </c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spans="1:40" ht="20.399999999999999">
      <c r="A279" s="260" t="str">
        <f t="shared" si="99"/>
        <v>ServiceSalaires en absences</v>
      </c>
      <c r="B279" s="7" t="s">
        <v>78</v>
      </c>
      <c r="C279" s="272" t="s">
        <v>44</v>
      </c>
      <c r="D279" s="54"/>
      <c r="E279" s="7"/>
      <c r="F279" s="19" t="e">
        <f>+SUM(START:END!F279)</f>
        <v>#N/A</v>
      </c>
      <c r="G279" s="56"/>
      <c r="H279" s="7"/>
      <c r="I279" s="19">
        <f>+SUM(START:END!I279)</f>
        <v>0</v>
      </c>
      <c r="J279" s="26"/>
      <c r="K279" s="7"/>
      <c r="L279" s="39">
        <f>+SUM(START:END!L279)</f>
        <v>36327.910000000003</v>
      </c>
      <c r="M279" s="26"/>
      <c r="N279" s="39" t="e">
        <f t="shared" si="100"/>
        <v>#N/A</v>
      </c>
      <c r="O279" s="26"/>
      <c r="P279" s="7"/>
      <c r="Q279" s="39">
        <f>+SUM(START:END!Q279)</f>
        <v>46529.25</v>
      </c>
      <c r="R279" s="26"/>
      <c r="S279" s="39">
        <f>L279-Q279</f>
        <v>-10201.339999999997</v>
      </c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spans="1:40" ht="15.75" customHeight="1">
      <c r="A280" s="260" t="str">
        <f t="shared" si="99"/>
        <v>ServiceDéduction à la source</v>
      </c>
      <c r="B280" s="7" t="s">
        <v>78</v>
      </c>
      <c r="C280" s="271" t="s">
        <v>45</v>
      </c>
      <c r="D280" s="68"/>
      <c r="E280" s="69"/>
      <c r="F280" s="36" t="e">
        <f>+SUM(START:END!F280)</f>
        <v>#N/A</v>
      </c>
      <c r="G280" s="70"/>
      <c r="H280" s="69"/>
      <c r="I280" s="36">
        <f>+SUM(START:END!I280)</f>
        <v>0</v>
      </c>
      <c r="J280" s="71"/>
      <c r="K280" s="69"/>
      <c r="L280" s="72">
        <f>+SUM(START:END!L280)</f>
        <v>46035.97</v>
      </c>
      <c r="M280" s="71"/>
      <c r="N280" s="72" t="e">
        <f t="shared" si="100"/>
        <v>#N/A</v>
      </c>
      <c r="O280" s="71"/>
      <c r="P280" s="69"/>
      <c r="Q280" s="72">
        <f>+SUM(START:END!Q280)</f>
        <v>42704.55</v>
      </c>
      <c r="R280" s="71"/>
      <c r="S280" s="72">
        <f t="shared" ref="S280:S290" si="102">L280-Q280</f>
        <v>3331.4199999999983</v>
      </c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spans="1:40" ht="15.75" customHeight="1">
      <c r="A281" s="260" t="str">
        <f t="shared" si="99"/>
        <v>ServiceBénéfices marginaux</v>
      </c>
      <c r="B281" s="7" t="s">
        <v>78</v>
      </c>
      <c r="C281" s="271" t="s">
        <v>46</v>
      </c>
      <c r="D281" s="54"/>
      <c r="E281" s="7"/>
      <c r="F281" s="19" t="e">
        <f>+SUM(START:END!F281)</f>
        <v>#N/A</v>
      </c>
      <c r="G281" s="56"/>
      <c r="H281" s="7"/>
      <c r="I281" s="19">
        <f>+SUM(START:END!I281)</f>
        <v>0</v>
      </c>
      <c r="J281" s="26"/>
      <c r="K281" s="7"/>
      <c r="L281" s="39">
        <f>+SUM(START:END!L281)</f>
        <v>12117.350000000006</v>
      </c>
      <c r="M281" s="26"/>
      <c r="N281" s="39" t="e">
        <f t="shared" si="100"/>
        <v>#N/A</v>
      </c>
      <c r="O281" s="26"/>
      <c r="P281" s="7"/>
      <c r="Q281" s="39">
        <f>+SUM(START:END!Q281)</f>
        <v>29086.100000000006</v>
      </c>
      <c r="R281" s="26"/>
      <c r="S281" s="39">
        <f t="shared" si="102"/>
        <v>-16968.75</v>
      </c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spans="1:40" ht="15.75" customHeight="1">
      <c r="A282" s="260" t="str">
        <f t="shared" si="99"/>
        <v>ServiceCsst</v>
      </c>
      <c r="B282" s="7" t="s">
        <v>78</v>
      </c>
      <c r="C282" s="271" t="s">
        <v>47</v>
      </c>
      <c r="D282" s="54"/>
      <c r="E282" s="7"/>
      <c r="F282" s="19" t="e">
        <f>+SUM(START:END!F282)</f>
        <v>#N/A</v>
      </c>
      <c r="G282" s="56"/>
      <c r="H282" s="7"/>
      <c r="I282" s="19">
        <f>+SUM(START:END!I282)</f>
        <v>0</v>
      </c>
      <c r="J282" s="26"/>
      <c r="K282" s="7"/>
      <c r="L282" s="39">
        <f>+SUM(START:END!L282)</f>
        <v>13075.330000000002</v>
      </c>
      <c r="M282" s="26"/>
      <c r="N282" s="39" t="e">
        <f t="shared" si="100"/>
        <v>#N/A</v>
      </c>
      <c r="O282" s="26"/>
      <c r="P282" s="7"/>
      <c r="Q282" s="39">
        <f>+SUM(START:END!Q282)</f>
        <v>2652.6399999999994</v>
      </c>
      <c r="R282" s="26"/>
      <c r="S282" s="39">
        <f t="shared" si="102"/>
        <v>10422.690000000002</v>
      </c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spans="1:40" ht="20.399999999999999" hidden="1" customHeight="1">
      <c r="A283" s="260" t="str">
        <f t="shared" si="99"/>
        <v>Service[...]</v>
      </c>
      <c r="B283" s="7" t="s">
        <v>78</v>
      </c>
      <c r="C283" s="26" t="s">
        <v>19</v>
      </c>
      <c r="D283" s="57"/>
      <c r="E283" s="73"/>
      <c r="F283" s="19" t="e">
        <f>+SUM(START:END!F283)</f>
        <v>#N/A</v>
      </c>
      <c r="G283" s="59"/>
      <c r="H283" s="73"/>
      <c r="I283" s="19">
        <f>+SUM(START:END!I283)</f>
        <v>0</v>
      </c>
      <c r="J283" s="14"/>
      <c r="K283" s="73"/>
      <c r="L283" s="39">
        <f>+SUM(START:END!L283)</f>
        <v>0</v>
      </c>
      <c r="M283" s="14"/>
      <c r="N283" s="21" t="e">
        <f t="shared" si="100"/>
        <v>#N/A</v>
      </c>
      <c r="O283" s="14"/>
      <c r="P283" s="73"/>
      <c r="Q283" s="39">
        <f>+SUM(START:END!Q283)</f>
        <v>0</v>
      </c>
      <c r="R283" s="14"/>
      <c r="S283" s="61">
        <f t="shared" si="102"/>
        <v>0</v>
      </c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spans="1:40" ht="18.600000000000001" customHeight="1">
      <c r="A284" s="260" t="str">
        <f t="shared" si="99"/>
        <v>ServiceTOTAL PERSONNEL</v>
      </c>
      <c r="B284" s="7" t="s">
        <v>78</v>
      </c>
      <c r="C284" s="139" t="s">
        <v>48</v>
      </c>
      <c r="D284" s="62" t="s">
        <v>92</v>
      </c>
      <c r="E284" s="63" t="e">
        <f>F284/F$194</f>
        <v>#N/A</v>
      </c>
      <c r="F284" s="64" t="e">
        <f>+SUM(F272:F283)</f>
        <v>#N/A</v>
      </c>
      <c r="G284" s="65" t="s">
        <v>92</v>
      </c>
      <c r="H284" s="63" t="e">
        <f>I284/I$194</f>
        <v>#DIV/0!</v>
      </c>
      <c r="I284" s="64">
        <f>+SUM(I272:I283)</f>
        <v>0</v>
      </c>
      <c r="J284" s="65" t="s">
        <v>92</v>
      </c>
      <c r="K284" s="63" t="e">
        <f>L284/L$194</f>
        <v>#DIV/0!</v>
      </c>
      <c r="L284" s="64">
        <f>+SUM(L272:L283)</f>
        <v>246276.15999999997</v>
      </c>
      <c r="M284" s="66"/>
      <c r="N284" s="64" t="e">
        <f t="shared" si="100"/>
        <v>#N/A</v>
      </c>
      <c r="O284" s="65" t="s">
        <v>92</v>
      </c>
      <c r="P284" s="63" t="e">
        <f>Q284/Q$194</f>
        <v>#DIV/0!</v>
      </c>
      <c r="Q284" s="64">
        <f>+SUM(Q272:Q283)</f>
        <v>310980.15000000002</v>
      </c>
      <c r="R284" s="67"/>
      <c r="S284" s="64">
        <f t="shared" si="102"/>
        <v>-64703.990000000049</v>
      </c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spans="1:40" ht="15.75" customHeight="1">
      <c r="A285" s="260" t="str">
        <f t="shared" si="99"/>
        <v>ServicePublicité 2</v>
      </c>
      <c r="B285" s="7" t="s">
        <v>78</v>
      </c>
      <c r="C285" s="26" t="s">
        <v>49</v>
      </c>
      <c r="D285" s="54"/>
      <c r="E285" s="7"/>
      <c r="F285" s="19" t="e">
        <f>+SUM(START:END!F285)</f>
        <v>#N/A</v>
      </c>
      <c r="G285" s="56"/>
      <c r="H285" s="7"/>
      <c r="I285" s="19">
        <f>+SUM(START:END!I285)</f>
        <v>0</v>
      </c>
      <c r="J285" s="26"/>
      <c r="K285" s="7"/>
      <c r="L285" s="39">
        <f>+SUM(START:END!L285)</f>
        <v>5798.2099999999991</v>
      </c>
      <c r="M285" s="26"/>
      <c r="N285" s="39" t="e">
        <f t="shared" si="100"/>
        <v>#N/A</v>
      </c>
      <c r="O285" s="26"/>
      <c r="P285" s="7"/>
      <c r="Q285" s="39">
        <f>+SUM(START:END!Q285)</f>
        <v>4960.5300000000007</v>
      </c>
      <c r="R285" s="26"/>
      <c r="S285" s="39">
        <f t="shared" si="102"/>
        <v>837.67999999999847</v>
      </c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spans="1:40" ht="15.75" customHeight="1">
      <c r="A286" s="260" t="str">
        <f t="shared" si="99"/>
        <v>ServiceService gratuit 2</v>
      </c>
      <c r="B286" s="7" t="s">
        <v>78</v>
      </c>
      <c r="C286" s="26" t="s">
        <v>50</v>
      </c>
      <c r="D286" s="54"/>
      <c r="E286" s="7"/>
      <c r="F286" s="19" t="e">
        <f>+SUM(START:END!F286)</f>
        <v>#N/A</v>
      </c>
      <c r="G286" s="56"/>
      <c r="H286" s="7"/>
      <c r="I286" s="19">
        <f>+SUM(START:END!I286)</f>
        <v>0</v>
      </c>
      <c r="J286" s="26"/>
      <c r="K286" s="7"/>
      <c r="L286" s="39">
        <f>+SUM(START:END!L286)</f>
        <v>11727.880000000001</v>
      </c>
      <c r="M286" s="26"/>
      <c r="N286" s="39" t="e">
        <f t="shared" si="100"/>
        <v>#N/A</v>
      </c>
      <c r="O286" s="26"/>
      <c r="P286" s="7"/>
      <c r="Q286" s="39">
        <f>+SUM(START:END!Q286)</f>
        <v>6437.9700000000012</v>
      </c>
      <c r="R286" s="26"/>
      <c r="S286" s="39">
        <f t="shared" si="102"/>
        <v>5289.91</v>
      </c>
      <c r="T286" s="7"/>
      <c r="U286" s="260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spans="1:40" ht="15.75" customHeight="1">
      <c r="A287" s="260" t="str">
        <f t="shared" si="99"/>
        <v>ServiceFrais véhicules de cie</v>
      </c>
      <c r="B287" s="7" t="s">
        <v>78</v>
      </c>
      <c r="C287" s="14" t="s">
        <v>51</v>
      </c>
      <c r="D287" s="57"/>
      <c r="E287" s="73"/>
      <c r="F287" s="31" t="e">
        <f>+SUM(START:END!F287)</f>
        <v>#N/A</v>
      </c>
      <c r="G287" s="59"/>
      <c r="H287" s="73"/>
      <c r="I287" s="31">
        <f>+SUM(START:END!I287)</f>
        <v>0</v>
      </c>
      <c r="J287" s="14"/>
      <c r="K287" s="73"/>
      <c r="L287" s="39">
        <f>+SUM(START:END!L287)</f>
        <v>27387.300000000003</v>
      </c>
      <c r="M287" s="14"/>
      <c r="N287" s="61" t="e">
        <f t="shared" si="100"/>
        <v>#N/A</v>
      </c>
      <c r="O287" s="14"/>
      <c r="P287" s="73"/>
      <c r="Q287" s="39">
        <f>+SUM(START:END!Q287)</f>
        <v>-2541.4500000000044</v>
      </c>
      <c r="R287" s="14"/>
      <c r="S287" s="61">
        <f t="shared" si="102"/>
        <v>29928.750000000007</v>
      </c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spans="1:40" ht="15.75" customHeight="1">
      <c r="A288" s="260" t="str">
        <f t="shared" si="99"/>
        <v>ServiceInformatique</v>
      </c>
      <c r="B288" s="7" t="s">
        <v>78</v>
      </c>
      <c r="C288" s="26" t="s">
        <v>52</v>
      </c>
      <c r="D288" s="54"/>
      <c r="E288" s="7"/>
      <c r="F288" s="19" t="e">
        <f>+SUM(START:END!F288)</f>
        <v>#N/A</v>
      </c>
      <c r="G288" s="56"/>
      <c r="H288" s="7"/>
      <c r="I288" s="19">
        <f>+SUM(START:END!I288)</f>
        <v>0</v>
      </c>
      <c r="J288" s="26"/>
      <c r="K288" s="7"/>
      <c r="L288" s="72">
        <f>+SUM(START:END!L288)</f>
        <v>10734.580000000002</v>
      </c>
      <c r="M288" s="26"/>
      <c r="N288" s="39" t="e">
        <f t="shared" si="100"/>
        <v>#N/A</v>
      </c>
      <c r="O288" s="26"/>
      <c r="P288" s="7"/>
      <c r="Q288" s="72">
        <f>+SUM(START:END!Q288)</f>
        <v>8984.3199999999979</v>
      </c>
      <c r="R288" s="26"/>
      <c r="S288" s="39">
        <f t="shared" si="102"/>
        <v>1750.2600000000039</v>
      </c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spans="1:40" ht="15.75" customHeight="1">
      <c r="A289" s="260" t="str">
        <f t="shared" si="99"/>
        <v>ServiceFrais de déplacement</v>
      </c>
      <c r="B289" s="7" t="s">
        <v>78</v>
      </c>
      <c r="C289" s="26" t="s">
        <v>53</v>
      </c>
      <c r="D289" s="54"/>
      <c r="E289" s="7"/>
      <c r="F289" s="19" t="e">
        <f>+SUM(START:END!F289)</f>
        <v>#N/A</v>
      </c>
      <c r="G289" s="56"/>
      <c r="H289" s="7"/>
      <c r="I289" s="19">
        <f>+SUM(START:END!I289)</f>
        <v>0</v>
      </c>
      <c r="J289" s="26"/>
      <c r="K289" s="7"/>
      <c r="L289" s="39">
        <f>+SUM(START:END!L289)</f>
        <v>2111.0600000000013</v>
      </c>
      <c r="M289" s="26"/>
      <c r="N289" s="39" t="e">
        <f t="shared" si="100"/>
        <v>#N/A</v>
      </c>
      <c r="O289" s="26"/>
      <c r="P289" s="7"/>
      <c r="Q289" s="39">
        <f>+SUM(START:END!Q289)</f>
        <v>11802.67</v>
      </c>
      <c r="R289" s="26"/>
      <c r="S289" s="39">
        <f t="shared" si="102"/>
        <v>-9691.6099999999988</v>
      </c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spans="1:40" ht="15.75" customHeight="1">
      <c r="A290" s="260" t="str">
        <f t="shared" si="99"/>
        <v>ServiceServices extérieurs</v>
      </c>
      <c r="B290" s="7" t="s">
        <v>78</v>
      </c>
      <c r="C290" s="14" t="s">
        <v>54</v>
      </c>
      <c r="D290" s="57"/>
      <c r="E290" s="73"/>
      <c r="F290" s="31" t="e">
        <f>+SUM(START:END!F290)</f>
        <v>#N/A</v>
      </c>
      <c r="G290" s="59"/>
      <c r="H290" s="73"/>
      <c r="I290" s="31">
        <f>+SUM(START:END!I290)</f>
        <v>0</v>
      </c>
      <c r="J290" s="14"/>
      <c r="K290" s="73"/>
      <c r="L290" s="39">
        <f>+SUM(START:END!L290)</f>
        <v>31506.329999999998</v>
      </c>
      <c r="M290" s="14"/>
      <c r="N290" s="61" t="e">
        <f t="shared" si="100"/>
        <v>#N/A</v>
      </c>
      <c r="O290" s="14"/>
      <c r="P290" s="73"/>
      <c r="Q290" s="39">
        <f>+SUM(START:END!Q290)</f>
        <v>37577.039999999994</v>
      </c>
      <c r="R290" s="14"/>
      <c r="S290" s="61">
        <f t="shared" si="102"/>
        <v>-6070.7099999999955</v>
      </c>
      <c r="T290" s="7"/>
      <c r="U290" s="6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spans="1:40" ht="15.75" customHeight="1">
      <c r="A291" s="260" t="str">
        <f t="shared" si="99"/>
        <v>ServiceFournitures d'atelier</v>
      </c>
      <c r="B291" s="7" t="s">
        <v>78</v>
      </c>
      <c r="C291" s="26" t="s">
        <v>93</v>
      </c>
      <c r="D291" s="54"/>
      <c r="E291" s="7"/>
      <c r="F291" s="19">
        <f>+SUM(START:END!F291)</f>
        <v>0</v>
      </c>
      <c r="G291" s="56"/>
      <c r="H291" s="7"/>
      <c r="I291" s="19">
        <f>+SUM(START:END!I291)</f>
        <v>0</v>
      </c>
      <c r="J291" s="26"/>
      <c r="K291" s="7"/>
      <c r="L291" s="72">
        <f>+SUM(START:END!L291)</f>
        <v>0</v>
      </c>
      <c r="M291" s="26"/>
      <c r="N291" s="39">
        <f t="shared" si="100"/>
        <v>0</v>
      </c>
      <c r="O291" s="26"/>
      <c r="P291" s="7"/>
      <c r="Q291" s="72">
        <f>+SUM(START:END!Q291)</f>
        <v>0</v>
      </c>
      <c r="R291" s="26"/>
      <c r="S291" s="39">
        <f>L291-Q291</f>
        <v>0</v>
      </c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spans="1:40" ht="15.75" customHeight="1">
      <c r="A292" s="260" t="str">
        <f t="shared" si="99"/>
        <v>ServiceFournitures autres</v>
      </c>
      <c r="B292" s="7" t="s">
        <v>78</v>
      </c>
      <c r="C292" s="26" t="s">
        <v>55</v>
      </c>
      <c r="D292" s="54"/>
      <c r="E292" s="7"/>
      <c r="F292" s="19" t="e">
        <f>+SUM(START:END!F292)</f>
        <v>#N/A</v>
      </c>
      <c r="G292" s="56"/>
      <c r="H292" s="7"/>
      <c r="I292" s="19">
        <f>+SUM(START:END!I292)</f>
        <v>0</v>
      </c>
      <c r="J292" s="26"/>
      <c r="K292" s="7"/>
      <c r="L292" s="39">
        <f>+SUM(START:END!L292)</f>
        <v>12536.100000000006</v>
      </c>
      <c r="M292" s="26"/>
      <c r="N292" s="39" t="e">
        <f t="shared" si="100"/>
        <v>#N/A</v>
      </c>
      <c r="O292" s="26"/>
      <c r="P292" s="7"/>
      <c r="Q292" s="39">
        <f>+SUM(START:END!Q292)</f>
        <v>12031.969999999998</v>
      </c>
      <c r="R292" s="26"/>
      <c r="S292" s="39">
        <f t="shared" ref="S292:S300" si="103">L292-Q292</f>
        <v>504.13000000000829</v>
      </c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spans="1:40" ht="15.75" customHeight="1">
      <c r="A293" s="260" t="str">
        <f t="shared" si="99"/>
        <v>ServiceUniformes</v>
      </c>
      <c r="B293" s="7" t="s">
        <v>78</v>
      </c>
      <c r="C293" s="26" t="s">
        <v>56</v>
      </c>
      <c r="D293" s="54"/>
      <c r="E293" s="7"/>
      <c r="F293" s="19" t="e">
        <f>+SUM(START:END!F293)</f>
        <v>#N/A</v>
      </c>
      <c r="G293" s="56"/>
      <c r="H293" s="7"/>
      <c r="I293" s="19">
        <f>+SUM(START:END!I293)</f>
        <v>0</v>
      </c>
      <c r="J293" s="26"/>
      <c r="K293" s="7"/>
      <c r="L293" s="39">
        <f>+SUM(START:END!L293)</f>
        <v>3040.34</v>
      </c>
      <c r="M293" s="26"/>
      <c r="N293" s="39" t="e">
        <f t="shared" si="100"/>
        <v>#N/A</v>
      </c>
      <c r="O293" s="26"/>
      <c r="P293" s="7"/>
      <c r="Q293" s="39">
        <f>+SUM(START:END!Q293)</f>
        <v>0</v>
      </c>
      <c r="R293" s="26"/>
      <c r="S293" s="39">
        <f t="shared" si="103"/>
        <v>3040.34</v>
      </c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spans="1:40" ht="15.75" customHeight="1">
      <c r="A294" s="260" t="str">
        <f t="shared" si="99"/>
        <v>ServicePapeterie</v>
      </c>
      <c r="B294" s="7" t="s">
        <v>78</v>
      </c>
      <c r="C294" s="26" t="s">
        <v>57</v>
      </c>
      <c r="D294" s="54"/>
      <c r="E294" s="7"/>
      <c r="F294" s="19" t="e">
        <f>+SUM(START:END!F294)</f>
        <v>#N/A</v>
      </c>
      <c r="G294" s="56"/>
      <c r="H294" s="7"/>
      <c r="I294" s="19">
        <f>+SUM(START:END!I294)</f>
        <v>0</v>
      </c>
      <c r="J294" s="26"/>
      <c r="K294" s="7"/>
      <c r="L294" s="39">
        <f>+SUM(START:END!L294)</f>
        <v>2353.2199999999993</v>
      </c>
      <c r="M294" s="26"/>
      <c r="N294" s="39" t="e">
        <f t="shared" si="100"/>
        <v>#N/A</v>
      </c>
      <c r="O294" s="26"/>
      <c r="P294" s="55"/>
      <c r="Q294" s="39">
        <f>+SUM(START:END!Q294)</f>
        <v>3877.9499999999989</v>
      </c>
      <c r="R294" s="26"/>
      <c r="S294" s="39">
        <f t="shared" si="103"/>
        <v>-1524.7299999999996</v>
      </c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spans="1:40" ht="15.75" customHeight="1">
      <c r="A295" s="260" t="str">
        <f t="shared" si="99"/>
        <v>ServiceTéléphone</v>
      </c>
      <c r="B295" s="7" t="s">
        <v>78</v>
      </c>
      <c r="C295" s="26" t="s">
        <v>58</v>
      </c>
      <c r="D295" s="54"/>
      <c r="E295" s="7"/>
      <c r="F295" s="19" t="e">
        <f>+SUM(START:END!F295)</f>
        <v>#N/A</v>
      </c>
      <c r="G295" s="56"/>
      <c r="H295" s="7"/>
      <c r="I295" s="19">
        <f>+SUM(START:END!I295)</f>
        <v>0</v>
      </c>
      <c r="J295" s="26"/>
      <c r="K295" s="7"/>
      <c r="L295" s="39">
        <f>+SUM(START:END!L295)</f>
        <v>2230.59</v>
      </c>
      <c r="M295" s="26"/>
      <c r="N295" s="39" t="e">
        <f t="shared" si="100"/>
        <v>#N/A</v>
      </c>
      <c r="O295" s="26"/>
      <c r="P295" s="7"/>
      <c r="Q295" s="39">
        <f>+SUM(START:END!Q295)</f>
        <v>2321.5200000000004</v>
      </c>
      <c r="R295" s="26"/>
      <c r="S295" s="39">
        <f t="shared" si="103"/>
        <v>-90.930000000000291</v>
      </c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spans="1:40" ht="15.75" customHeight="1">
      <c r="A296" s="260" t="str">
        <f t="shared" si="99"/>
        <v>ServiceFrais postaux</v>
      </c>
      <c r="B296" s="7" t="s">
        <v>78</v>
      </c>
      <c r="C296" s="26" t="s">
        <v>59</v>
      </c>
      <c r="D296" s="54"/>
      <c r="E296" s="7"/>
      <c r="F296" s="19" t="e">
        <f>+SUM(START:END!F296)</f>
        <v>#N/A</v>
      </c>
      <c r="G296" s="56"/>
      <c r="H296" s="7"/>
      <c r="I296" s="19">
        <f>+SUM(START:END!I296)</f>
        <v>0</v>
      </c>
      <c r="J296" s="26"/>
      <c r="K296" s="7"/>
      <c r="L296" s="39">
        <f>+SUM(START:END!L296)</f>
        <v>1701.4699999999993</v>
      </c>
      <c r="M296" s="26"/>
      <c r="N296" s="39" t="e">
        <f t="shared" si="100"/>
        <v>#N/A</v>
      </c>
      <c r="O296" s="26"/>
      <c r="P296" s="7"/>
      <c r="Q296" s="39">
        <f>+SUM(START:END!Q296)</f>
        <v>2800.86</v>
      </c>
      <c r="R296" s="26"/>
      <c r="S296" s="39">
        <f t="shared" si="103"/>
        <v>-1099.3900000000008</v>
      </c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spans="1:40" ht="15.75" customHeight="1">
      <c r="A297" s="260" t="str">
        <f t="shared" si="99"/>
        <v>ServiceDivers</v>
      </c>
      <c r="B297" s="7" t="s">
        <v>78</v>
      </c>
      <c r="C297" s="26" t="s">
        <v>60</v>
      </c>
      <c r="D297" s="54"/>
      <c r="E297" s="7"/>
      <c r="F297" s="19" t="e">
        <f>+SUM(START:END!F297)</f>
        <v>#N/A</v>
      </c>
      <c r="G297" s="56"/>
      <c r="H297" s="7"/>
      <c r="I297" s="19">
        <f>+SUM(START:END!I297)</f>
        <v>0</v>
      </c>
      <c r="J297" s="26"/>
      <c r="K297" s="7"/>
      <c r="L297" s="39">
        <f>+SUM(START:END!L297)</f>
        <v>3825.2999999999997</v>
      </c>
      <c r="M297" s="26"/>
      <c r="N297" s="39" t="e">
        <f t="shared" si="100"/>
        <v>#N/A</v>
      </c>
      <c r="O297" s="26"/>
      <c r="P297" s="7"/>
      <c r="Q297" s="39">
        <f>+SUM(START:END!Q297)</f>
        <v>7279.0499999999993</v>
      </c>
      <c r="R297" s="26"/>
      <c r="S297" s="39">
        <f t="shared" si="103"/>
        <v>-3453.7499999999995</v>
      </c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spans="1:40" ht="15.75" customHeight="1">
      <c r="A298" s="260" t="str">
        <f t="shared" si="99"/>
        <v>ServiceFormation</v>
      </c>
      <c r="B298" s="7" t="s">
        <v>78</v>
      </c>
      <c r="C298" s="26" t="s">
        <v>61</v>
      </c>
      <c r="D298" s="54"/>
      <c r="E298" s="7"/>
      <c r="F298" s="19" t="e">
        <f>+SUM(START:END!F298)</f>
        <v>#N/A</v>
      </c>
      <c r="G298" s="56"/>
      <c r="H298" s="7"/>
      <c r="I298" s="19">
        <f>+SUM(START:END!I298)</f>
        <v>0</v>
      </c>
      <c r="J298" s="26"/>
      <c r="K298" s="7"/>
      <c r="L298" s="39">
        <f>+SUM(START:END!L298)</f>
        <v>6072.67</v>
      </c>
      <c r="M298" s="26"/>
      <c r="N298" s="39" t="e">
        <f t="shared" si="100"/>
        <v>#N/A</v>
      </c>
      <c r="O298" s="26"/>
      <c r="P298" s="7"/>
      <c r="Q298" s="39">
        <f>+SUM(START:END!Q298)</f>
        <v>6897.9500000000025</v>
      </c>
      <c r="R298" s="26"/>
      <c r="S298" s="39">
        <f t="shared" si="103"/>
        <v>-825.28000000000247</v>
      </c>
      <c r="T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spans="1:40" ht="15.75" customHeight="1">
      <c r="A299" s="260" t="str">
        <f t="shared" si="99"/>
        <v>ServiceFrais bancaires</v>
      </c>
      <c r="B299" s="7" t="s">
        <v>78</v>
      </c>
      <c r="C299" s="26" t="s">
        <v>62</v>
      </c>
      <c r="D299" s="54"/>
      <c r="E299" s="7"/>
      <c r="F299" s="19" t="e">
        <f>+SUM(START:END!F299)</f>
        <v>#N/A</v>
      </c>
      <c r="G299" s="56"/>
      <c r="H299" s="7"/>
      <c r="I299" s="19">
        <f>+SUM(START:END!I299)</f>
        <v>0</v>
      </c>
      <c r="J299" s="26"/>
      <c r="K299" s="7"/>
      <c r="L299" s="39">
        <f>+SUM(START:END!L299)</f>
        <v>5265.3799999999992</v>
      </c>
      <c r="M299" s="26"/>
      <c r="N299" s="39" t="e">
        <f t="shared" si="100"/>
        <v>#N/A</v>
      </c>
      <c r="O299" s="26"/>
      <c r="P299" s="7"/>
      <c r="Q299" s="39">
        <f>+SUM(START:END!Q299)</f>
        <v>1051.5899999999997</v>
      </c>
      <c r="R299" s="26"/>
      <c r="S299" s="39">
        <f t="shared" si="103"/>
        <v>4213.7899999999991</v>
      </c>
      <c r="T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spans="1:40" ht="20.399999999999999" hidden="1" customHeight="1">
      <c r="A300" s="260" t="str">
        <f t="shared" si="99"/>
        <v>Service[...]</v>
      </c>
      <c r="B300" s="7" t="s">
        <v>78</v>
      </c>
      <c r="C300" s="26" t="s">
        <v>19</v>
      </c>
      <c r="D300" s="54"/>
      <c r="E300" s="7"/>
      <c r="F300" s="19" t="e">
        <f>+SUM(START:END!F300)</f>
        <v>#N/A</v>
      </c>
      <c r="G300" s="56"/>
      <c r="H300" s="7"/>
      <c r="I300" s="19">
        <f>+SUM(START:END!I300)</f>
        <v>0</v>
      </c>
      <c r="J300" s="26"/>
      <c r="K300" s="7"/>
      <c r="L300" s="39">
        <f>+SUM(START:END!L300)</f>
        <v>0</v>
      </c>
      <c r="M300" s="26"/>
      <c r="N300" s="39" t="e">
        <f t="shared" si="100"/>
        <v>#N/A</v>
      </c>
      <c r="O300" s="26"/>
      <c r="P300" s="7"/>
      <c r="Q300" s="39">
        <f>+SUM(START:END!Q300)</f>
        <v>0</v>
      </c>
      <c r="R300" s="26"/>
      <c r="S300" s="39">
        <f t="shared" si="103"/>
        <v>0</v>
      </c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spans="1:40" ht="20.399999999999999" hidden="1" customHeight="1">
      <c r="A301" s="260"/>
      <c r="B301" s="7" t="s">
        <v>78</v>
      </c>
      <c r="C301" s="26" t="s">
        <v>19</v>
      </c>
      <c r="D301" s="54"/>
      <c r="E301" s="7"/>
      <c r="F301" s="19" t="e">
        <f>+SUM(START:END!F301)</f>
        <v>#N/A</v>
      </c>
      <c r="G301" s="56"/>
      <c r="H301" s="7"/>
      <c r="I301" s="19">
        <f>+SUM(START:END!I301)</f>
        <v>0</v>
      </c>
      <c r="J301" s="26"/>
      <c r="K301" s="7"/>
      <c r="L301" s="39">
        <f>+SUM(START:END!L301)</f>
        <v>0</v>
      </c>
      <c r="M301" s="26"/>
      <c r="N301" s="39" t="e">
        <f t="shared" si="100"/>
        <v>#N/A</v>
      </c>
      <c r="O301" s="26"/>
      <c r="P301" s="7"/>
      <c r="Q301" s="39">
        <f>+SUM(START:END!Q301)</f>
        <v>0</v>
      </c>
      <c r="R301" s="26"/>
      <c r="S301" s="39">
        <f>L301-Q301</f>
        <v>0</v>
      </c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spans="1:40" ht="20.399999999999999" hidden="1" customHeight="1">
      <c r="A302" s="260" t="str">
        <f t="shared" ref="A302" si="104">+B302&amp;C302</f>
        <v>Service[...]</v>
      </c>
      <c r="B302" s="7" t="s">
        <v>78</v>
      </c>
      <c r="C302" s="26" t="s">
        <v>19</v>
      </c>
      <c r="D302" s="54"/>
      <c r="E302" s="7"/>
      <c r="F302" s="19" t="e">
        <f>+SUM(START:END!F302)</f>
        <v>#N/A</v>
      </c>
      <c r="G302" s="56"/>
      <c r="H302" s="7"/>
      <c r="I302" s="19">
        <f>+SUM(START:END!I302)</f>
        <v>0</v>
      </c>
      <c r="J302" s="26"/>
      <c r="K302" s="7"/>
      <c r="L302" s="39">
        <f>+SUM(START:END!L302)</f>
        <v>0</v>
      </c>
      <c r="M302" s="26"/>
      <c r="N302" s="39" t="e">
        <f t="shared" si="100"/>
        <v>#N/A</v>
      </c>
      <c r="O302" s="26"/>
      <c r="P302" s="7"/>
      <c r="Q302" s="39">
        <f>+SUM(START:END!Q302)</f>
        <v>0</v>
      </c>
      <c r="R302" s="26"/>
      <c r="S302" s="39">
        <f t="shared" ref="S302" si="105">L302-Q302</f>
        <v>0</v>
      </c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spans="1:40" ht="18.600000000000001" customHeight="1">
      <c r="A303" s="260"/>
      <c r="B303" s="7"/>
      <c r="C303" s="139" t="s">
        <v>63</v>
      </c>
      <c r="D303" s="62" t="s">
        <v>92</v>
      </c>
      <c r="E303" s="63" t="e">
        <f>F303/F$194</f>
        <v>#N/A</v>
      </c>
      <c r="F303" s="64" t="e">
        <f>+SUM(F285:F302)</f>
        <v>#N/A</v>
      </c>
      <c r="G303" s="65" t="s">
        <v>92</v>
      </c>
      <c r="H303" s="63" t="e">
        <f>I303/I$194</f>
        <v>#DIV/0!</v>
      </c>
      <c r="I303" s="64">
        <f>+SUM(I285:I302)</f>
        <v>0</v>
      </c>
      <c r="J303" s="65" t="s">
        <v>92</v>
      </c>
      <c r="K303" s="63" t="e">
        <f>L303/L$194</f>
        <v>#DIV/0!</v>
      </c>
      <c r="L303" s="64">
        <f>+SUM(L285:L302)</f>
        <v>126290.43000000001</v>
      </c>
      <c r="M303" s="66"/>
      <c r="N303" s="64" t="e">
        <f t="shared" si="100"/>
        <v>#N/A</v>
      </c>
      <c r="O303" s="65" t="s">
        <v>92</v>
      </c>
      <c r="P303" s="63" t="e">
        <f>Q303/Q$194</f>
        <v>#DIV/0!</v>
      </c>
      <c r="Q303" s="64">
        <f>+SUM(Q285:Q302)</f>
        <v>103481.96999999999</v>
      </c>
      <c r="R303" s="67"/>
      <c r="S303" s="64">
        <f>L303-Q303</f>
        <v>22808.460000000021</v>
      </c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spans="1:40" ht="15.75" customHeight="1">
      <c r="B304" s="7"/>
      <c r="C304" s="14"/>
      <c r="D304" s="57"/>
      <c r="E304" s="73"/>
      <c r="F304" s="39"/>
      <c r="G304" s="59"/>
      <c r="H304" s="73"/>
      <c r="I304" s="39"/>
      <c r="J304" s="14"/>
      <c r="K304" s="73"/>
      <c r="L304" s="61"/>
      <c r="M304" s="14"/>
      <c r="N304" s="61"/>
      <c r="O304" s="14"/>
      <c r="P304" s="73"/>
      <c r="Q304" s="61"/>
      <c r="R304" s="14"/>
      <c r="S304" s="61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spans="1:40" ht="18.600000000000001" customHeight="1">
      <c r="A305" s="260"/>
      <c r="B305" s="7"/>
      <c r="C305" s="139" t="s">
        <v>64</v>
      </c>
      <c r="D305" s="62" t="s">
        <v>38</v>
      </c>
      <c r="E305" s="63" t="e">
        <f>F305/F$194</f>
        <v>#N/A</v>
      </c>
      <c r="F305" s="64" t="e">
        <f>F284+F303</f>
        <v>#N/A</v>
      </c>
      <c r="G305" s="65" t="s">
        <v>38</v>
      </c>
      <c r="H305" s="63" t="e">
        <f>I305/I$194</f>
        <v>#DIV/0!</v>
      </c>
      <c r="I305" s="64">
        <f>I284+I303</f>
        <v>0</v>
      </c>
      <c r="J305" s="65" t="s">
        <v>38</v>
      </c>
      <c r="K305" s="63" t="e">
        <f>L305/L$194</f>
        <v>#DIV/0!</v>
      </c>
      <c r="L305" s="64">
        <f>L284+L303</f>
        <v>372566.58999999997</v>
      </c>
      <c r="M305" s="66"/>
      <c r="N305" s="64" t="e">
        <f>L305-F305</f>
        <v>#N/A</v>
      </c>
      <c r="O305" s="65" t="s">
        <v>38</v>
      </c>
      <c r="P305" s="63" t="e">
        <f>Q305/Q$194</f>
        <v>#DIV/0!</v>
      </c>
      <c r="Q305" s="64">
        <f>Q284+Q303</f>
        <v>414462.12</v>
      </c>
      <c r="R305" s="67"/>
      <c r="S305" s="64">
        <f>L305-Q305</f>
        <v>-41895.530000000028</v>
      </c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spans="1:40" ht="15.75" customHeight="1">
      <c r="B306" s="7"/>
      <c r="C306" s="26"/>
      <c r="D306" s="54"/>
      <c r="E306" s="7"/>
      <c r="F306" s="39"/>
      <c r="G306" s="56"/>
      <c r="H306" s="7"/>
      <c r="I306" s="39"/>
      <c r="J306" s="26"/>
      <c r="K306" s="7"/>
      <c r="L306" s="39"/>
      <c r="M306" s="26"/>
      <c r="N306" s="39">
        <f>L306-F306</f>
        <v>0</v>
      </c>
      <c r="O306" s="26"/>
      <c r="P306" s="7"/>
      <c r="Q306" s="39"/>
      <c r="R306" s="26"/>
      <c r="S306" s="39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spans="1:40" ht="18.600000000000001" customHeight="1" thickBot="1">
      <c r="A307" s="260"/>
      <c r="B307" s="7"/>
      <c r="C307" s="276" t="s">
        <v>69</v>
      </c>
      <c r="D307" s="277"/>
      <c r="E307" s="278"/>
      <c r="F307" s="138" t="e">
        <f>F268-F305</f>
        <v>#N/A</v>
      </c>
      <c r="G307" s="279"/>
      <c r="H307" s="278"/>
      <c r="I307" s="138">
        <f>I268-I305</f>
        <v>0</v>
      </c>
      <c r="J307" s="279"/>
      <c r="K307" s="278"/>
      <c r="L307" s="138">
        <f>L268-L305</f>
        <v>-39677.040000000037</v>
      </c>
      <c r="M307" s="280"/>
      <c r="N307" s="138" t="e">
        <f>L307-F307</f>
        <v>#N/A</v>
      </c>
      <c r="O307" s="279"/>
      <c r="P307" s="278"/>
      <c r="Q307" s="138">
        <f>Q268-Q305</f>
        <v>17771.239999999991</v>
      </c>
      <c r="R307" s="281"/>
      <c r="S307" s="138">
        <f>L307-Q307</f>
        <v>-57448.280000000028</v>
      </c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spans="1:40" ht="15.75" customHeight="1" thickTop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55"/>
      <c r="M308" s="55"/>
      <c r="N308" s="7"/>
      <c r="O308" s="55"/>
      <c r="P308" s="55"/>
      <c r="Q308" s="55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spans="1:40" ht="15.75" customHeight="1"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97"/>
      <c r="M309" s="97"/>
      <c r="N309" s="6"/>
      <c r="O309" s="97"/>
      <c r="P309" s="6"/>
      <c r="Q309" s="97"/>
      <c r="R309" s="6"/>
      <c r="S309" s="6"/>
      <c r="T309" s="6"/>
      <c r="U309" s="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spans="1:40" ht="33" customHeight="1">
      <c r="B310" s="7"/>
      <c r="C310" s="251" t="str">
        <f>C1</f>
        <v>Ste-Marie Auto</v>
      </c>
      <c r="D310" s="252"/>
      <c r="E310" s="253"/>
      <c r="F310" s="252"/>
      <c r="G310" s="252"/>
      <c r="H310" s="254"/>
      <c r="I310" s="252"/>
      <c r="J310" s="254"/>
      <c r="K310" s="255" t="s">
        <v>94</v>
      </c>
      <c r="L310" s="252"/>
      <c r="M310" s="252"/>
      <c r="N310" s="256"/>
      <c r="O310" s="251"/>
      <c r="P310" s="257"/>
      <c r="Q310" s="251"/>
      <c r="R310" s="257"/>
      <c r="S310" s="258" t="str">
        <f>$S$1</f>
        <v>Réalisé  Q2 2026</v>
      </c>
      <c r="T310" s="1"/>
      <c r="U310" s="2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spans="1:40" ht="24" customHeight="1" thickBot="1">
      <c r="B311" s="7"/>
      <c r="C311" s="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15.75" customHeight="1" thickTop="1">
      <c r="B312" s="7"/>
      <c r="C312" s="259"/>
      <c r="D312" s="407" t="s">
        <v>5</v>
      </c>
      <c r="E312" s="408"/>
      <c r="F312" s="406"/>
      <c r="G312" s="405" t="s">
        <v>71</v>
      </c>
      <c r="H312" s="408"/>
      <c r="I312" s="406"/>
      <c r="J312" s="405" t="s">
        <v>7</v>
      </c>
      <c r="K312" s="408"/>
      <c r="L312" s="406"/>
      <c r="M312" s="405" t="s">
        <v>211</v>
      </c>
      <c r="N312" s="406"/>
      <c r="O312" s="407" t="s">
        <v>8</v>
      </c>
      <c r="P312" s="408"/>
      <c r="Q312" s="406"/>
      <c r="R312" s="405" t="s">
        <v>212</v>
      </c>
      <c r="S312" s="406"/>
      <c r="T312" s="94"/>
      <c r="U312" s="7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spans="1:40" ht="15.75" customHeight="1">
      <c r="A313" s="260" t="str">
        <f t="shared" ref="A313:A323" si="106">+B313&amp;C313</f>
        <v>Carrosserie</v>
      </c>
      <c r="B313" s="7" t="s">
        <v>94</v>
      </c>
      <c r="C313" s="26"/>
      <c r="D313" s="53" t="s">
        <v>39</v>
      </c>
      <c r="E313" s="53" t="s">
        <v>79</v>
      </c>
      <c r="F313" s="84" t="s">
        <v>12</v>
      </c>
      <c r="G313" s="85" t="s">
        <v>39</v>
      </c>
      <c r="H313" s="53" t="s">
        <v>79</v>
      </c>
      <c r="I313" s="84" t="s">
        <v>12</v>
      </c>
      <c r="J313" s="85" t="s">
        <v>39</v>
      </c>
      <c r="K313" s="53" t="s">
        <v>79</v>
      </c>
      <c r="L313" s="84" t="s">
        <v>12</v>
      </c>
      <c r="M313" s="85" t="s">
        <v>39</v>
      </c>
      <c r="N313" s="84" t="s">
        <v>215</v>
      </c>
      <c r="O313" s="53" t="s">
        <v>39</v>
      </c>
      <c r="P313" s="53" t="s">
        <v>79</v>
      </c>
      <c r="Q313" s="84" t="s">
        <v>12</v>
      </c>
      <c r="R313" s="85" t="s">
        <v>80</v>
      </c>
      <c r="S313" s="84" t="s">
        <v>12</v>
      </c>
      <c r="T313" s="53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spans="1:40" ht="15.75" customHeight="1">
      <c r="A314" s="260" t="str">
        <f t="shared" si="106"/>
        <v>Carrosserie</v>
      </c>
      <c r="B314" s="7" t="s">
        <v>94</v>
      </c>
      <c r="C314" s="26"/>
      <c r="D314" s="53"/>
      <c r="E314" s="53"/>
      <c r="F314" s="84"/>
      <c r="G314" s="85"/>
      <c r="H314" s="53"/>
      <c r="I314" s="84"/>
      <c r="J314" s="85"/>
      <c r="K314" s="19"/>
      <c r="L314" s="21"/>
      <c r="M314" s="85"/>
      <c r="N314" s="84"/>
      <c r="O314" s="53"/>
      <c r="P314" s="53"/>
      <c r="Q314" s="84"/>
      <c r="R314" s="85"/>
      <c r="S314" s="84"/>
      <c r="T314" s="53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spans="1:40" ht="15.75" customHeight="1">
      <c r="A315" s="260" t="str">
        <f t="shared" si="106"/>
        <v>CarrosserieM/O Sous-traitement</v>
      </c>
      <c r="B315" s="7" t="s">
        <v>94</v>
      </c>
      <c r="C315" s="26" t="s">
        <v>95</v>
      </c>
      <c r="D315" s="269" t="e">
        <f>+SUM(START:END!D315)</f>
        <v>#N/A</v>
      </c>
      <c r="E315" s="55" t="e">
        <f>+SUM(START:END!E315)</f>
        <v>#N/A</v>
      </c>
      <c r="F315" s="55" t="e">
        <f>+SUM(START:END!F315)</f>
        <v>#N/A</v>
      </c>
      <c r="G315" s="98">
        <f>+SUM(START:END!G315)</f>
        <v>0</v>
      </c>
      <c r="H315" s="55">
        <f>+SUM(START:END!H315)</f>
        <v>0</v>
      </c>
      <c r="I315" s="55">
        <f>+SUM(START:END!I315)</f>
        <v>0</v>
      </c>
      <c r="J315" s="40">
        <f>+SUM(START:END!J315)</f>
        <v>0</v>
      </c>
      <c r="K315" s="55">
        <f>+SUM(START:END!K315)</f>
        <v>339399.82000000007</v>
      </c>
      <c r="L315" s="39">
        <f>+SUM(START:END!L315)</f>
        <v>146750.88</v>
      </c>
      <c r="M315" s="99">
        <f>IFERROR((K315-E315)/E315,0)</f>
        <v>0</v>
      </c>
      <c r="N315" s="39" t="e">
        <f>L315-F315</f>
        <v>#N/A</v>
      </c>
      <c r="O315" s="40">
        <f>+SUM(START:END!O315)</f>
        <v>0</v>
      </c>
      <c r="P315" s="55">
        <f>+SUM(START:END!P315)</f>
        <v>532251.15</v>
      </c>
      <c r="Q315" s="39">
        <f>+SUM(START:END!Q315)</f>
        <v>217184.54999999993</v>
      </c>
      <c r="R315" s="99">
        <f>IF(O315=0,0,J315/O315)</f>
        <v>0</v>
      </c>
      <c r="S315" s="39">
        <f>L315-Q315</f>
        <v>-70433.669999999925</v>
      </c>
      <c r="T315" s="53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spans="1:40" ht="15.75" customHeight="1">
      <c r="A316" s="260" t="str">
        <f t="shared" si="106"/>
        <v>Carrosserie% profit / ventes</v>
      </c>
      <c r="B316" s="7" t="s">
        <v>94</v>
      </c>
      <c r="C316" s="26" t="s">
        <v>82</v>
      </c>
      <c r="D316" s="53"/>
      <c r="E316" s="91"/>
      <c r="F316" s="100">
        <f>IFERROR(F315/E315,0)</f>
        <v>0</v>
      </c>
      <c r="G316" s="26"/>
      <c r="H316" s="91"/>
      <c r="I316" s="100">
        <f>IFERROR(I315/H315,0)</f>
        <v>0</v>
      </c>
      <c r="J316" s="40"/>
      <c r="K316" s="7"/>
      <c r="L316" s="100">
        <f>IFERROR(L315/K315,0)</f>
        <v>0.43238349389814046</v>
      </c>
      <c r="M316" s="99"/>
      <c r="N316" s="39">
        <f>IFERROR(N315/M315,0)</f>
        <v>0</v>
      </c>
      <c r="O316" s="40"/>
      <c r="P316" s="7"/>
      <c r="Q316" s="100">
        <f>IFERROR(Q315/P315,0)</f>
        <v>0.40804900092747554</v>
      </c>
      <c r="R316" s="40"/>
      <c r="S316" s="100">
        <f>IFERROR(S315/R315,0)</f>
        <v>0</v>
      </c>
      <c r="T316" s="53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spans="1:40" ht="15.75" customHeight="1">
      <c r="A317" s="260" t="str">
        <f t="shared" si="106"/>
        <v>Carrosserie</v>
      </c>
      <c r="B317" s="7" t="s">
        <v>94</v>
      </c>
      <c r="C317" s="26"/>
      <c r="D317" s="53"/>
      <c r="E317" s="141"/>
      <c r="F317" s="87"/>
      <c r="G317" s="85"/>
      <c r="H317" s="141"/>
      <c r="I317" s="87"/>
      <c r="J317" s="85"/>
      <c r="K317" s="53"/>
      <c r="L317" s="84"/>
      <c r="M317" s="85"/>
      <c r="N317" s="84"/>
      <c r="O317" s="85"/>
      <c r="P317" s="53"/>
      <c r="Q317" s="84"/>
      <c r="R317" s="130"/>
      <c r="S317" s="250"/>
      <c r="T317" s="53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spans="1:40" ht="15.75" customHeight="1">
      <c r="A318" s="260" t="str">
        <f t="shared" si="106"/>
        <v>CarrosserieM/O Carrosserie</v>
      </c>
      <c r="B318" s="7" t="s">
        <v>94</v>
      </c>
      <c r="C318" s="71" t="s">
        <v>96</v>
      </c>
      <c r="D318" s="105" t="e">
        <f>+SUM(START:END!D318)</f>
        <v>#N/A</v>
      </c>
      <c r="E318" s="55" t="e">
        <f>+SUM(START:END!E318)</f>
        <v>#N/A</v>
      </c>
      <c r="F318" s="55" t="e">
        <f>+SUM(START:END!F318)</f>
        <v>#N/A</v>
      </c>
      <c r="G318" s="131">
        <f>+SUM(START:END!G318)</f>
        <v>0</v>
      </c>
      <c r="H318" s="55">
        <f>+SUM(START:END!H318)</f>
        <v>0</v>
      </c>
      <c r="I318" s="55">
        <f>+SUM(START:END!I318)</f>
        <v>0</v>
      </c>
      <c r="J318" s="106">
        <f>+SUM(START:END!J318)</f>
        <v>0</v>
      </c>
      <c r="K318" s="105">
        <f>+SUM(START:END!K318)</f>
        <v>26767.269999999997</v>
      </c>
      <c r="L318" s="72">
        <f>+SUM(START:END!L318)</f>
        <v>14891.32</v>
      </c>
      <c r="M318" s="109">
        <f>IFERROR((K318-E318)/E318,0)</f>
        <v>0</v>
      </c>
      <c r="N318" s="72" t="e">
        <f>L318-F318</f>
        <v>#N/A</v>
      </c>
      <c r="O318" s="106">
        <f>+SUM(START:END!O318)</f>
        <v>0</v>
      </c>
      <c r="P318" s="105">
        <f>+SUM(START:END!P318)</f>
        <v>22224.46</v>
      </c>
      <c r="Q318" s="72">
        <f>+SUM(START:END!Q318)</f>
        <v>22247.439999999999</v>
      </c>
      <c r="R318" s="99">
        <f>IF(O318=0,0,J318/O318)</f>
        <v>0</v>
      </c>
      <c r="S318" s="39">
        <f>L318-Q318</f>
        <v>-7356.119999999999</v>
      </c>
      <c r="T318" s="93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spans="1:40" ht="15.75" customHeight="1">
      <c r="A319" s="260" t="str">
        <f t="shared" si="106"/>
        <v>Carrosserie% profit / ventes</v>
      </c>
      <c r="B319" s="7" t="s">
        <v>94</v>
      </c>
      <c r="C319" s="26" t="s">
        <v>82</v>
      </c>
      <c r="D319" s="7"/>
      <c r="E319" s="91"/>
      <c r="F319" s="100" t="e">
        <f>F318/E318</f>
        <v>#N/A</v>
      </c>
      <c r="G319" s="26"/>
      <c r="H319" s="91"/>
      <c r="I319" s="100" t="e">
        <f>I318/H318</f>
        <v>#DIV/0!</v>
      </c>
      <c r="J319" s="40"/>
      <c r="K319" s="7"/>
      <c r="L319" s="100">
        <f>IFERROR(L318/K318,0)</f>
        <v>0.55632569178702207</v>
      </c>
      <c r="M319" s="99"/>
      <c r="N319" s="39">
        <f>IFERROR(N318/F318,0)</f>
        <v>0</v>
      </c>
      <c r="O319" s="40"/>
      <c r="P319" s="7"/>
      <c r="Q319" s="100">
        <f>IFERROR(Q318/P318,0)</f>
        <v>1.0010339958766152</v>
      </c>
      <c r="R319" s="40"/>
      <c r="S319" s="100">
        <f>IF(Q318=0,0,S318/Q318)</f>
        <v>-0.33065017817780379</v>
      </c>
      <c r="T319" s="93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spans="1:40" ht="15.75" customHeight="1">
      <c r="A320" s="260" t="str">
        <f t="shared" si="106"/>
        <v>Carrosserie</v>
      </c>
      <c r="B320" s="7" t="s">
        <v>94</v>
      </c>
      <c r="C320" s="14"/>
      <c r="D320" s="73"/>
      <c r="E320" s="101"/>
      <c r="F320" s="102"/>
      <c r="G320" s="14"/>
      <c r="H320" s="101"/>
      <c r="I320" s="102"/>
      <c r="J320" s="103"/>
      <c r="K320" s="132"/>
      <c r="L320" s="102"/>
      <c r="M320" s="104"/>
      <c r="N320" s="61"/>
      <c r="O320" s="103"/>
      <c r="P320" s="132"/>
      <c r="Q320" s="102"/>
      <c r="R320" s="103"/>
      <c r="S320" s="61"/>
      <c r="T320" s="93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spans="1:40" ht="15.75" customHeight="1">
      <c r="A321" s="260" t="str">
        <f t="shared" si="106"/>
        <v>CarrosserieM/O Esthétique Carr.</v>
      </c>
      <c r="B321" s="7" t="s">
        <v>94</v>
      </c>
      <c r="C321" s="71" t="s">
        <v>97</v>
      </c>
      <c r="D321" s="105">
        <f>+SUM(START:END!D321)</f>
        <v>0</v>
      </c>
      <c r="E321" s="55">
        <f>+SUM(START:END!E321)</f>
        <v>0</v>
      </c>
      <c r="F321" s="55">
        <f>+SUM(START:END!F321)</f>
        <v>0</v>
      </c>
      <c r="G321" s="106">
        <f>+SUM(START:END!G321)</f>
        <v>0</v>
      </c>
      <c r="H321" s="55">
        <f>+SUM(START:END!H321)</f>
        <v>0</v>
      </c>
      <c r="I321" s="55">
        <f>+SUM(START:END!I321)</f>
        <v>0</v>
      </c>
      <c r="J321" s="106">
        <f>+SUM(START:END!J321)</f>
        <v>0</v>
      </c>
      <c r="K321" s="55">
        <f>+SUM(START:END!K321)</f>
        <v>94603.44</v>
      </c>
      <c r="L321" s="39">
        <f>+SUM(START:END!L321)</f>
        <v>53246.709999999992</v>
      </c>
      <c r="M321" s="99">
        <f>IFERROR((K321-E321)/E321,0)</f>
        <v>0</v>
      </c>
      <c r="N321" s="72">
        <f>L321-F321</f>
        <v>53246.709999999992</v>
      </c>
      <c r="O321" s="106">
        <f>+SUM(START:END!O321)</f>
        <v>0</v>
      </c>
      <c r="P321" s="55">
        <f>+SUM(START:END!P321)</f>
        <v>0</v>
      </c>
      <c r="Q321" s="39">
        <f>+SUM(START:END!Q321)</f>
        <v>0</v>
      </c>
      <c r="R321" s="99">
        <f>IF(O321=0,0,J321/O321)</f>
        <v>0</v>
      </c>
      <c r="S321" s="39">
        <f>L321-Q321</f>
        <v>53246.709999999992</v>
      </c>
      <c r="T321" s="93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spans="1:40" ht="15.75" customHeight="1">
      <c r="A322" s="260" t="str">
        <f t="shared" si="106"/>
        <v>Carrosserie% profit / ventes</v>
      </c>
      <c r="B322" s="7" t="s">
        <v>94</v>
      </c>
      <c r="C322" s="26" t="s">
        <v>82</v>
      </c>
      <c r="D322" s="7"/>
      <c r="E322" s="7"/>
      <c r="F322" s="100" t="e">
        <f>F321/E321</f>
        <v>#DIV/0!</v>
      </c>
      <c r="G322" s="26"/>
      <c r="H322" s="7"/>
      <c r="I322" s="100" t="e">
        <f>I321/H321</f>
        <v>#DIV/0!</v>
      </c>
      <c r="J322" s="26"/>
      <c r="K322" s="7"/>
      <c r="L322" s="100">
        <f>IFERROR(L321/K321,0)</f>
        <v>0.56284116095566916</v>
      </c>
      <c r="M322" s="27"/>
      <c r="N322" s="28">
        <f>IF(L321=0,0,N321/L321)</f>
        <v>1</v>
      </c>
      <c r="O322" s="26"/>
      <c r="P322" s="7"/>
      <c r="Q322" s="100">
        <f>IFERROR(Q321/P321,0)</f>
        <v>0</v>
      </c>
      <c r="R322" s="40"/>
      <c r="S322" s="100">
        <f>IF(Q321=0,0,S321/Q321)</f>
        <v>0</v>
      </c>
      <c r="T322" s="93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spans="1:40" ht="15.75" customHeight="1">
      <c r="A323" s="260" t="str">
        <f t="shared" si="106"/>
        <v>Carrosserie</v>
      </c>
      <c r="B323" s="7" t="s">
        <v>94</v>
      </c>
      <c r="C323" s="248"/>
      <c r="D323" s="249"/>
      <c r="E323" s="249"/>
      <c r="F323" s="108"/>
      <c r="G323" s="248"/>
      <c r="H323" s="249"/>
      <c r="I323" s="108"/>
      <c r="J323" s="248"/>
      <c r="K323" s="249"/>
      <c r="L323" s="92"/>
      <c r="M323" s="326"/>
      <c r="N323" s="327"/>
      <c r="O323" s="248"/>
      <c r="P323" s="249"/>
      <c r="Q323" s="108"/>
      <c r="R323" s="328"/>
      <c r="S323" s="108"/>
      <c r="T323" s="93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spans="1:40" ht="15.75" customHeight="1">
      <c r="A324" s="260"/>
      <c r="B324" s="7" t="s">
        <v>94</v>
      </c>
      <c r="C324" s="26" t="s">
        <v>389</v>
      </c>
      <c r="D324" s="7"/>
      <c r="E324" s="7"/>
      <c r="F324" s="100">
        <f>+SUM(START:END!F324)</f>
        <v>0</v>
      </c>
      <c r="G324" s="26"/>
      <c r="H324" s="7"/>
      <c r="I324" s="100"/>
      <c r="J324" s="26"/>
      <c r="K324" s="7"/>
      <c r="L324" s="39">
        <f>+SUM(START:END!L324)</f>
        <v>-3222.1800000000021</v>
      </c>
      <c r="M324" s="27"/>
      <c r="N324" s="28"/>
      <c r="O324" s="26"/>
      <c r="P324" s="7"/>
      <c r="Q324" s="39">
        <f>+SUM(START:END!Q324)</f>
        <v>10158.27</v>
      </c>
      <c r="R324" s="99">
        <f>IF(O324=0,0,J324/O324)</f>
        <v>0</v>
      </c>
      <c r="S324" s="39">
        <f>L324-Q324</f>
        <v>-13380.450000000003</v>
      </c>
      <c r="T324" s="93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spans="1:40" ht="15.75" customHeight="1" thickBot="1">
      <c r="A325" s="260" t="s">
        <v>94</v>
      </c>
      <c r="B325" s="7" t="s">
        <v>94</v>
      </c>
      <c r="C325" s="26"/>
      <c r="D325" s="7"/>
      <c r="E325" s="7"/>
      <c r="F325" s="100"/>
      <c r="G325" s="26"/>
      <c r="H325" s="7"/>
      <c r="I325" s="100"/>
      <c r="J325" s="26"/>
      <c r="K325" s="7"/>
      <c r="L325" s="39"/>
      <c r="M325" s="27"/>
      <c r="N325" s="28"/>
      <c r="O325" s="26"/>
      <c r="P325" s="7"/>
      <c r="Q325" s="39"/>
      <c r="R325" s="27"/>
      <c r="S325" s="28"/>
      <c r="T325" s="93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spans="1:40" ht="18" customHeight="1" thickTop="1">
      <c r="A326" s="260" t="s">
        <v>390</v>
      </c>
      <c r="B326" s="7" t="s">
        <v>94</v>
      </c>
      <c r="C326" s="264" t="s">
        <v>391</v>
      </c>
      <c r="D326" s="41"/>
      <c r="E326" s="42" t="e">
        <f>E318+E321+E315</f>
        <v>#N/A</v>
      </c>
      <c r="F326" s="43" t="e">
        <f>F318+F321+F315</f>
        <v>#N/A</v>
      </c>
      <c r="G326" s="44"/>
      <c r="H326" s="42"/>
      <c r="I326" s="43"/>
      <c r="J326" s="44"/>
      <c r="K326" s="41">
        <f t="shared" ref="K326" si="107">K318+K321+K315</f>
        <v>460770.53</v>
      </c>
      <c r="L326" s="43">
        <f>L318+L321+L315+L324</f>
        <v>211666.73</v>
      </c>
      <c r="M326" s="44" t="e">
        <f>L327-F327</f>
        <v>#N/A</v>
      </c>
      <c r="N326" s="43" t="e">
        <f>L326-F326</f>
        <v>#N/A</v>
      </c>
      <c r="O326" s="44"/>
      <c r="P326" s="41">
        <f t="shared" ref="P326" si="108">P318+P321+P315</f>
        <v>554475.61</v>
      </c>
      <c r="Q326" s="43">
        <f>Q318+Q321+Q315+Q324</f>
        <v>249590.25999999992</v>
      </c>
      <c r="R326" s="44"/>
      <c r="S326" s="43">
        <f>L326-Q326</f>
        <v>-37923.529999999912</v>
      </c>
      <c r="T326" s="7"/>
      <c r="U326" s="55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spans="1:40" ht="22.5" customHeight="1" thickBot="1">
      <c r="A327" s="260" t="s">
        <v>94</v>
      </c>
      <c r="B327" s="7" t="s">
        <v>94</v>
      </c>
      <c r="C327" s="47"/>
      <c r="D327" s="45"/>
      <c r="E327" s="45"/>
      <c r="F327" s="46" t="e">
        <f>F326/E326</f>
        <v>#N/A</v>
      </c>
      <c r="G327" s="47"/>
      <c r="H327" s="45"/>
      <c r="I327" s="46"/>
      <c r="J327" s="47"/>
      <c r="K327" s="265"/>
      <c r="L327" s="267"/>
      <c r="M327" s="48"/>
      <c r="N327" s="49" t="e">
        <f>N326/F326</f>
        <v>#N/A</v>
      </c>
      <c r="O327" s="47"/>
      <c r="P327" s="265"/>
      <c r="Q327" s="267"/>
      <c r="R327" s="48"/>
      <c r="S327" s="267">
        <f>S326/Q326</f>
        <v>-0.15194314874306364</v>
      </c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spans="1:40" ht="15.75" customHeight="1" thickTop="1">
      <c r="A328" s="260" t="str">
        <f t="shared" ref="A328" si="109">+B328&amp;C328</f>
        <v>Carrosserie</v>
      </c>
      <c r="B328" s="7" t="s">
        <v>94</v>
      </c>
      <c r="C328" s="26"/>
      <c r="D328" s="7"/>
      <c r="E328" s="7"/>
      <c r="F328" s="39"/>
      <c r="G328" s="26"/>
      <c r="H328" s="7"/>
      <c r="I328" s="39"/>
      <c r="J328" s="26"/>
      <c r="K328" s="7"/>
      <c r="L328" s="25"/>
      <c r="M328" s="26"/>
      <c r="N328" s="25"/>
      <c r="O328" s="26"/>
      <c r="P328" s="7"/>
      <c r="Q328" s="25"/>
      <c r="R328" s="26"/>
      <c r="S328" s="25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spans="1:40" ht="15.75" customHeight="1">
      <c r="A329" s="260" t="str">
        <f t="shared" ref="A329" si="110">+B329&amp;C329</f>
        <v>CarrosserieDEPENSES</v>
      </c>
      <c r="B329" s="7" t="s">
        <v>94</v>
      </c>
      <c r="C329" s="268" t="s">
        <v>29</v>
      </c>
      <c r="D329" s="7"/>
      <c r="E329" s="7"/>
      <c r="F329" s="39"/>
      <c r="G329" s="26"/>
      <c r="H329" s="7"/>
      <c r="I329" s="39"/>
      <c r="J329" s="26"/>
      <c r="K329" s="7"/>
      <c r="L329" s="25"/>
      <c r="M329" s="26"/>
      <c r="N329" s="25"/>
      <c r="O329" s="26"/>
      <c r="P329" s="7"/>
      <c r="Q329" s="25"/>
      <c r="R329" s="26"/>
      <c r="S329" s="25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spans="1:40" ht="15.75" customHeight="1">
      <c r="A330" s="260" t="str">
        <f t="shared" ref="A330" si="111">+B330&amp;C330</f>
        <v>CarrosserieSalaires cadres</v>
      </c>
      <c r="B330" s="7" t="s">
        <v>94</v>
      </c>
      <c r="C330" s="271" t="s">
        <v>40</v>
      </c>
      <c r="D330" s="7"/>
      <c r="E330" s="7"/>
      <c r="F330" s="19" t="e">
        <f>+SUM(START:END!F330)</f>
        <v>#N/A</v>
      </c>
      <c r="G330" s="26"/>
      <c r="H330" s="7"/>
      <c r="I330" s="19">
        <f>+SUM(START:END!I330)</f>
        <v>0</v>
      </c>
      <c r="J330" s="26"/>
      <c r="K330" s="7"/>
      <c r="L330" s="39">
        <f>+SUM(START:END!L330)</f>
        <v>39663.399999999994</v>
      </c>
      <c r="M330" s="26"/>
      <c r="N330" s="39" t="e">
        <f t="shared" ref="N330:N340" si="112">L330-F330</f>
        <v>#N/A</v>
      </c>
      <c r="O330" s="26"/>
      <c r="P330" s="7"/>
      <c r="Q330" s="39">
        <f>+SUM(START:END!Q330)</f>
        <v>41764.310000000005</v>
      </c>
      <c r="R330" s="26"/>
      <c r="S330" s="39">
        <f t="shared" ref="S330" si="113">L330-Q330</f>
        <v>-2100.9100000000108</v>
      </c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spans="1:40" ht="15.75" customHeight="1">
      <c r="A331" s="260" t="str">
        <f t="shared" ref="A331" si="114">+B331&amp;C331</f>
        <v>CarrosserieSalaires commis</v>
      </c>
      <c r="B331" s="7" t="s">
        <v>94</v>
      </c>
      <c r="C331" s="272" t="s">
        <v>41</v>
      </c>
      <c r="D331" s="54"/>
      <c r="E331" s="7"/>
      <c r="F331" s="31" t="e">
        <f>+SUM(START:END!F331)</f>
        <v>#N/A</v>
      </c>
      <c r="G331" s="56"/>
      <c r="H331" s="7"/>
      <c r="I331" s="31">
        <f>+SUM(START:END!I331)</f>
        <v>0</v>
      </c>
      <c r="J331" s="26"/>
      <c r="K331" s="7"/>
      <c r="L331" s="39">
        <f>+SUM(START:END!L331)</f>
        <v>17527.53</v>
      </c>
      <c r="M331" s="26"/>
      <c r="N331" s="39" t="e">
        <f t="shared" si="112"/>
        <v>#N/A</v>
      </c>
      <c r="O331" s="26"/>
      <c r="P331" s="7"/>
      <c r="Q331" s="39">
        <f>+SUM(START:END!Q331)</f>
        <v>18673.93</v>
      </c>
      <c r="R331" s="26"/>
      <c r="S331" s="39">
        <f>L331-Q331</f>
        <v>-1146.4000000000015</v>
      </c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spans="1:40" ht="15.75" customHeight="1">
      <c r="A332" s="260" t="str">
        <f t="shared" ref="A332" si="115">+B332&amp;C332</f>
        <v>CarrosserieSalaires autres</v>
      </c>
      <c r="B332" s="7" t="s">
        <v>94</v>
      </c>
      <c r="C332" s="271" t="s">
        <v>42</v>
      </c>
      <c r="D332" s="68"/>
      <c r="E332" s="69"/>
      <c r="F332" s="19" t="e">
        <f>+SUM(START:END!F332)</f>
        <v>#N/A</v>
      </c>
      <c r="G332" s="70"/>
      <c r="H332" s="69"/>
      <c r="I332" s="19">
        <f>+SUM(START:END!I332)</f>
        <v>0</v>
      </c>
      <c r="J332" s="71"/>
      <c r="K332" s="69"/>
      <c r="L332" s="72">
        <f>+SUM(START:END!L332)</f>
        <v>4381.92</v>
      </c>
      <c r="M332" s="71"/>
      <c r="N332" s="72" t="e">
        <f t="shared" si="112"/>
        <v>#N/A</v>
      </c>
      <c r="O332" s="71"/>
      <c r="P332" s="69"/>
      <c r="Q332" s="72">
        <f>+SUM(START:END!Q332)</f>
        <v>76</v>
      </c>
      <c r="R332" s="71"/>
      <c r="S332" s="72">
        <f t="shared" ref="S332:S340" si="116">L332-Q332</f>
        <v>4305.92</v>
      </c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spans="1:40" ht="15.75" customHeight="1">
      <c r="A333" s="260" t="str">
        <f t="shared" ref="A333" si="117">+B333&amp;C333</f>
        <v>CarrosserieSalaires spécialistes</v>
      </c>
      <c r="B333" s="7" t="s">
        <v>94</v>
      </c>
      <c r="C333" s="271" t="s">
        <v>43</v>
      </c>
      <c r="D333" s="54"/>
      <c r="E333" s="7"/>
      <c r="F333" s="19" t="e">
        <f>+SUM(START:END!F333)</f>
        <v>#N/A</v>
      </c>
      <c r="G333" s="56"/>
      <c r="H333" s="7"/>
      <c r="I333" s="19">
        <f>+SUM(START:END!I333)</f>
        <v>0</v>
      </c>
      <c r="J333" s="26"/>
      <c r="K333" s="7"/>
      <c r="L333" s="39">
        <f>+SUM(START:END!L333)</f>
        <v>0</v>
      </c>
      <c r="M333" s="26"/>
      <c r="N333" s="39" t="e">
        <f t="shared" si="112"/>
        <v>#N/A</v>
      </c>
      <c r="O333" s="26"/>
      <c r="P333" s="7"/>
      <c r="Q333" s="39">
        <f>+SUM(START:END!Q333)</f>
        <v>0</v>
      </c>
      <c r="R333" s="26"/>
      <c r="S333" s="39">
        <f t="shared" si="116"/>
        <v>0</v>
      </c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spans="1:40" ht="20.399999999999999" hidden="1" customHeight="1">
      <c r="A334" s="260" t="str">
        <f t="shared" ref="A334" si="118">+B334&amp;C334</f>
        <v>Carrosserie[...]</v>
      </c>
      <c r="B334" s="7" t="s">
        <v>94</v>
      </c>
      <c r="C334" s="26" t="s">
        <v>19</v>
      </c>
      <c r="D334" s="54"/>
      <c r="E334" s="7"/>
      <c r="F334" s="19" t="e">
        <f>+SUM(START:END!F334)</f>
        <v>#N/A</v>
      </c>
      <c r="G334" s="56"/>
      <c r="H334" s="7"/>
      <c r="I334" s="19">
        <f>+SUM(START:END!I334)</f>
        <v>0</v>
      </c>
      <c r="J334" s="26"/>
      <c r="K334" s="7"/>
      <c r="L334" s="39">
        <f>+SUM(START:END!L334)</f>
        <v>0</v>
      </c>
      <c r="M334" s="26"/>
      <c r="N334" s="39" t="e">
        <f t="shared" si="112"/>
        <v>#N/A</v>
      </c>
      <c r="O334" s="26"/>
      <c r="P334" s="7"/>
      <c r="Q334" s="39">
        <f>+SUM(START:END!Q334)</f>
        <v>0</v>
      </c>
      <c r="R334" s="26"/>
      <c r="S334" s="39">
        <f t="shared" si="116"/>
        <v>0</v>
      </c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spans="1:40" ht="20.399999999999999" hidden="1" customHeight="1">
      <c r="A335" s="260" t="str">
        <f t="shared" ref="A335" si="119">+B335&amp;C335</f>
        <v>Carrosserie[...]</v>
      </c>
      <c r="B335" s="7" t="s">
        <v>94</v>
      </c>
      <c r="C335" s="26" t="s">
        <v>19</v>
      </c>
      <c r="D335" s="54"/>
      <c r="E335" s="7"/>
      <c r="F335" s="19" t="e">
        <f>+SUM(START:END!F335)</f>
        <v>#N/A</v>
      </c>
      <c r="G335" s="56"/>
      <c r="H335" s="7"/>
      <c r="I335" s="19">
        <f>+SUM(START:END!I335)</f>
        <v>0</v>
      </c>
      <c r="J335" s="26"/>
      <c r="K335" s="7"/>
      <c r="L335" s="39">
        <f>+SUM(START:END!L335)</f>
        <v>0</v>
      </c>
      <c r="M335" s="26"/>
      <c r="N335" s="39" t="e">
        <f t="shared" si="112"/>
        <v>#N/A</v>
      </c>
      <c r="O335" s="26"/>
      <c r="P335" s="7"/>
      <c r="Q335" s="39">
        <f>+SUM(START:END!Q335)</f>
        <v>0</v>
      </c>
      <c r="R335" s="26"/>
      <c r="S335" s="39">
        <f t="shared" si="116"/>
        <v>0</v>
      </c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spans="1:40" ht="20.399999999999999" hidden="1" customHeight="1">
      <c r="A336" s="260" t="str">
        <f t="shared" ref="A336" si="120">+B336&amp;C336</f>
        <v>Carrosserie[...]</v>
      </c>
      <c r="B336" s="7" t="s">
        <v>94</v>
      </c>
      <c r="C336" s="26" t="s">
        <v>19</v>
      </c>
      <c r="D336" s="54"/>
      <c r="E336" s="7"/>
      <c r="F336" s="19" t="e">
        <f>+SUM(START:END!F336)</f>
        <v>#N/A</v>
      </c>
      <c r="G336" s="56"/>
      <c r="H336" s="7"/>
      <c r="I336" s="19">
        <f>+SUM(START:END!I336)</f>
        <v>0</v>
      </c>
      <c r="J336" s="26"/>
      <c r="K336" s="7"/>
      <c r="L336" s="39">
        <f>+SUM(START:END!L336)</f>
        <v>0</v>
      </c>
      <c r="M336" s="26"/>
      <c r="N336" s="39" t="e">
        <f t="shared" si="112"/>
        <v>#N/A</v>
      </c>
      <c r="O336" s="26"/>
      <c r="P336" s="7"/>
      <c r="Q336" s="39">
        <f>+SUM(START:END!Q336)</f>
        <v>0</v>
      </c>
      <c r="R336" s="26"/>
      <c r="S336" s="39">
        <f t="shared" si="116"/>
        <v>0</v>
      </c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spans="1:40" ht="15.75" customHeight="1">
      <c r="A337" s="260" t="str">
        <f t="shared" ref="A337" si="121">+B337&amp;C337</f>
        <v>CarrosserieSalaires en absences</v>
      </c>
      <c r="B337" s="7" t="s">
        <v>94</v>
      </c>
      <c r="C337" s="272" t="s">
        <v>44</v>
      </c>
      <c r="D337" s="54"/>
      <c r="E337" s="7"/>
      <c r="F337" s="31" t="e">
        <f>+SUM(START:END!F337)</f>
        <v>#N/A</v>
      </c>
      <c r="G337" s="56"/>
      <c r="H337" s="7"/>
      <c r="I337" s="31">
        <f>+SUM(START:END!I337)</f>
        <v>0</v>
      </c>
      <c r="J337" s="26"/>
      <c r="K337" s="7"/>
      <c r="L337" s="39">
        <f>+SUM(START:END!L337)</f>
        <v>14487.630000000001</v>
      </c>
      <c r="M337" s="26"/>
      <c r="N337" s="39" t="e">
        <f t="shared" si="112"/>
        <v>#N/A</v>
      </c>
      <c r="O337" s="26"/>
      <c r="P337" s="7"/>
      <c r="Q337" s="39">
        <f>+SUM(START:END!Q337)</f>
        <v>9100.91</v>
      </c>
      <c r="R337" s="26"/>
      <c r="S337" s="39">
        <f t="shared" si="116"/>
        <v>5386.7200000000012</v>
      </c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spans="1:40" ht="15.75" customHeight="1">
      <c r="A338" s="260" t="str">
        <f t="shared" ref="A338" si="122">+B338&amp;C338</f>
        <v>CarrosserieDéduction à la source</v>
      </c>
      <c r="B338" s="7" t="s">
        <v>94</v>
      </c>
      <c r="C338" s="271" t="s">
        <v>45</v>
      </c>
      <c r="D338" s="68"/>
      <c r="E338" s="69"/>
      <c r="F338" s="19" t="e">
        <f>+SUM(START:END!F338)</f>
        <v>#N/A</v>
      </c>
      <c r="G338" s="70"/>
      <c r="H338" s="69"/>
      <c r="I338" s="19">
        <f>+SUM(START:END!I338)</f>
        <v>0</v>
      </c>
      <c r="J338" s="71"/>
      <c r="K338" s="69"/>
      <c r="L338" s="72">
        <f>+SUM(START:END!L338)</f>
        <v>17793.190000000002</v>
      </c>
      <c r="M338" s="71"/>
      <c r="N338" s="72" t="e">
        <f t="shared" si="112"/>
        <v>#N/A</v>
      </c>
      <c r="O338" s="71"/>
      <c r="P338" s="69"/>
      <c r="Q338" s="72">
        <f>+SUM(START:END!Q338)</f>
        <v>13712.380000000005</v>
      </c>
      <c r="R338" s="71"/>
      <c r="S338" s="72">
        <f t="shared" si="116"/>
        <v>4080.8099999999977</v>
      </c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spans="1:40" ht="15.75" customHeight="1">
      <c r="A339" s="260" t="str">
        <f t="shared" ref="A339" si="123">+B339&amp;C339</f>
        <v>CarrosserieBénéfices marginaux</v>
      </c>
      <c r="B339" s="7" t="s">
        <v>94</v>
      </c>
      <c r="C339" s="271" t="s">
        <v>46</v>
      </c>
      <c r="D339" s="54"/>
      <c r="E339" s="7"/>
      <c r="F339" s="19" t="e">
        <f>+SUM(START:END!F339)</f>
        <v>#N/A</v>
      </c>
      <c r="G339" s="56"/>
      <c r="H339" s="7"/>
      <c r="I339" s="19">
        <f>+SUM(START:END!I339)</f>
        <v>0</v>
      </c>
      <c r="J339" s="26"/>
      <c r="K339" s="7"/>
      <c r="L339" s="39">
        <f>+SUM(START:END!L339)</f>
        <v>3128.3099999999995</v>
      </c>
      <c r="M339" s="26"/>
      <c r="N339" s="39" t="e">
        <f t="shared" si="112"/>
        <v>#N/A</v>
      </c>
      <c r="O339" s="26"/>
      <c r="P339" s="7"/>
      <c r="Q339" s="39">
        <f>+SUM(START:END!Q339)</f>
        <v>7740.3799999999992</v>
      </c>
      <c r="R339" s="26"/>
      <c r="S339" s="39">
        <f t="shared" si="116"/>
        <v>-4612.07</v>
      </c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spans="1:40" ht="15.75" customHeight="1">
      <c r="A340" s="260" t="str">
        <f t="shared" ref="A340" si="124">+B340&amp;C340</f>
        <v>CarrosserieCsst</v>
      </c>
      <c r="B340" s="7" t="s">
        <v>94</v>
      </c>
      <c r="C340" s="271" t="s">
        <v>47</v>
      </c>
      <c r="D340" s="54"/>
      <c r="E340" s="7"/>
      <c r="F340" s="19" t="e">
        <f>+SUM(START:END!F340)</f>
        <v>#N/A</v>
      </c>
      <c r="G340" s="56"/>
      <c r="H340" s="7"/>
      <c r="I340" s="19">
        <f>+SUM(START:END!I340)</f>
        <v>0</v>
      </c>
      <c r="J340" s="26"/>
      <c r="K340" s="7"/>
      <c r="L340" s="39">
        <f>+SUM(START:END!L340)</f>
        <v>4675.5300000000007</v>
      </c>
      <c r="M340" s="26"/>
      <c r="N340" s="39" t="e">
        <f t="shared" si="112"/>
        <v>#N/A</v>
      </c>
      <c r="O340" s="26"/>
      <c r="P340" s="7"/>
      <c r="Q340" s="39">
        <f>+SUM(START:END!Q340)</f>
        <v>109.09</v>
      </c>
      <c r="R340" s="26"/>
      <c r="S340" s="39">
        <f t="shared" si="116"/>
        <v>4566.4400000000005</v>
      </c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spans="1:40" ht="20.399999999999999" hidden="1" customHeight="1">
      <c r="A341" s="260" t="str">
        <f t="shared" ref="A341" si="125">+B341&amp;C341</f>
        <v>Carrosserie[...]</v>
      </c>
      <c r="B341" s="7" t="s">
        <v>94</v>
      </c>
      <c r="C341" s="26" t="s">
        <v>19</v>
      </c>
      <c r="D341" s="57"/>
      <c r="E341" s="73"/>
      <c r="F341" s="19" t="e">
        <f>+SUM(START:END!F341)</f>
        <v>#N/A</v>
      </c>
      <c r="G341" s="59"/>
      <c r="H341" s="73"/>
      <c r="I341" s="19">
        <f>+SUM(START:END!I341)</f>
        <v>0</v>
      </c>
      <c r="J341" s="14"/>
      <c r="K341" s="73"/>
      <c r="L341" s="39">
        <f>+SUM(START:END!L341)</f>
        <v>0</v>
      </c>
      <c r="M341" s="14"/>
      <c r="N341" s="61" t="e">
        <f>L341-F341</f>
        <v>#N/A</v>
      </c>
      <c r="O341" s="14"/>
      <c r="P341" s="73"/>
      <c r="Q341" s="39">
        <f>+SUM(START:END!Q341)</f>
        <v>0</v>
      </c>
      <c r="R341" s="14"/>
      <c r="S341" s="61">
        <f>L341-Q341</f>
        <v>0</v>
      </c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spans="1:40" ht="18.600000000000001" customHeight="1">
      <c r="A342" s="260" t="str">
        <f t="shared" ref="A342" si="126">+B342&amp;C342</f>
        <v>CarrosserieTOTAL PERSONNEL</v>
      </c>
      <c r="B342" s="7" t="s">
        <v>94</v>
      </c>
      <c r="C342" s="139" t="s">
        <v>48</v>
      </c>
      <c r="D342" s="62" t="s">
        <v>38</v>
      </c>
      <c r="E342" s="63" t="e">
        <f>F342/F$244</f>
        <v>#N/A</v>
      </c>
      <c r="F342" s="64" t="e">
        <f>+SUM(F330:F341)</f>
        <v>#N/A</v>
      </c>
      <c r="G342" s="65" t="s">
        <v>38</v>
      </c>
      <c r="H342" s="63" t="e">
        <f>I342/I$244</f>
        <v>#DIV/0!</v>
      </c>
      <c r="I342" s="64">
        <f>+SUM(I330:I341)</f>
        <v>0</v>
      </c>
      <c r="J342" s="65" t="s">
        <v>38</v>
      </c>
      <c r="K342" s="63">
        <f>IF(L320=0,0,L342/L$244)</f>
        <v>0</v>
      </c>
      <c r="L342" s="64">
        <f>+SUM(L330:L341)</f>
        <v>101657.51</v>
      </c>
      <c r="M342" s="66"/>
      <c r="N342" s="64" t="e">
        <f>L342-F342</f>
        <v>#N/A</v>
      </c>
      <c r="O342" s="65" t="s">
        <v>38</v>
      </c>
      <c r="P342" s="63">
        <f>IF(Q320=0,0,Q342/Q$244)</f>
        <v>0</v>
      </c>
      <c r="Q342" s="64">
        <f>+SUM(Q330:Q341)</f>
        <v>91177.000000000015</v>
      </c>
      <c r="R342" s="67"/>
      <c r="S342" s="64">
        <f t="shared" ref="S342:S348" si="127">L342-Q342</f>
        <v>10480.50999999998</v>
      </c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spans="1:40" ht="15.75" customHeight="1">
      <c r="A343" s="260" t="str">
        <f t="shared" ref="A343" si="128">+B343&amp;C343</f>
        <v>CarrosseriePublicité 2</v>
      </c>
      <c r="B343" s="7" t="s">
        <v>94</v>
      </c>
      <c r="C343" s="329" t="s">
        <v>49</v>
      </c>
      <c r="D343" s="54"/>
      <c r="E343" s="7"/>
      <c r="F343" s="19" t="e">
        <f>+SUM(START:END!F343)</f>
        <v>#N/A</v>
      </c>
      <c r="G343" s="56"/>
      <c r="H343" s="7"/>
      <c r="I343" s="19">
        <f>+SUM(START:END!I343)</f>
        <v>0</v>
      </c>
      <c r="J343" s="26"/>
      <c r="K343" s="7"/>
      <c r="L343" s="39">
        <f>+SUM(START:END!L343)</f>
        <v>2381.2899999999995</v>
      </c>
      <c r="M343" s="26"/>
      <c r="N343" s="39" t="e">
        <f t="shared" ref="N343:N360" si="129">L343-F343</f>
        <v>#N/A</v>
      </c>
      <c r="O343" s="26"/>
      <c r="P343" s="7"/>
      <c r="Q343" s="39">
        <f>+SUM(START:END!Q343)</f>
        <v>2210.4</v>
      </c>
      <c r="R343" s="26"/>
      <c r="S343" s="39">
        <f t="shared" si="127"/>
        <v>170.88999999999942</v>
      </c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spans="1:40" ht="15.75" customHeight="1">
      <c r="A344" s="260" t="str">
        <f t="shared" ref="A344" si="130">+B344&amp;C344</f>
        <v>CarrosserieService gratuit 2</v>
      </c>
      <c r="B344" s="7" t="s">
        <v>94</v>
      </c>
      <c r="C344" s="271" t="s">
        <v>50</v>
      </c>
      <c r="D344" s="54"/>
      <c r="E344" s="7"/>
      <c r="F344" s="19" t="e">
        <f>+SUM(START:END!F344)</f>
        <v>#N/A</v>
      </c>
      <c r="G344" s="56"/>
      <c r="H344" s="7"/>
      <c r="I344" s="19">
        <f>+SUM(START:END!I344)</f>
        <v>0</v>
      </c>
      <c r="J344" s="26"/>
      <c r="K344" s="7"/>
      <c r="L344" s="39">
        <f>+SUM(START:END!L344)</f>
        <v>6970.87</v>
      </c>
      <c r="M344" s="26"/>
      <c r="N344" s="39" t="e">
        <f t="shared" si="129"/>
        <v>#N/A</v>
      </c>
      <c r="O344" s="26"/>
      <c r="P344" s="7"/>
      <c r="Q344" s="39">
        <f>+SUM(START:END!Q344)</f>
        <v>3544.6099999999988</v>
      </c>
      <c r="R344" s="26"/>
      <c r="S344" s="39">
        <f t="shared" si="127"/>
        <v>3426.2600000000011</v>
      </c>
      <c r="T344" s="7"/>
      <c r="U344" s="260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spans="1:40" ht="15.75" customHeight="1">
      <c r="A345" s="260" t="str">
        <f t="shared" ref="A345" si="131">+B345&amp;C345</f>
        <v>CarrosserieFrais véhicules de cie</v>
      </c>
      <c r="B345" s="7" t="s">
        <v>94</v>
      </c>
      <c r="C345" s="272" t="s">
        <v>51</v>
      </c>
      <c r="D345" s="57"/>
      <c r="E345" s="73"/>
      <c r="F345" s="31" t="e">
        <f>+SUM(START:END!F345)</f>
        <v>#N/A</v>
      </c>
      <c r="G345" s="59"/>
      <c r="H345" s="73"/>
      <c r="I345" s="31">
        <f>+SUM(START:END!I345)</f>
        <v>0</v>
      </c>
      <c r="J345" s="14"/>
      <c r="K345" s="73"/>
      <c r="L345" s="39">
        <f>+SUM(START:END!L345)</f>
        <v>8126.99</v>
      </c>
      <c r="M345" s="14"/>
      <c r="N345" s="61" t="e">
        <f t="shared" si="129"/>
        <v>#N/A</v>
      </c>
      <c r="O345" s="14"/>
      <c r="P345" s="73"/>
      <c r="Q345" s="39">
        <f>+SUM(START:END!Q345)</f>
        <v>-221.70000000000073</v>
      </c>
      <c r="R345" s="14"/>
      <c r="S345" s="61">
        <f t="shared" si="127"/>
        <v>8348.69</v>
      </c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spans="1:40" ht="15.75" customHeight="1">
      <c r="A346" s="260" t="str">
        <f t="shared" ref="A346" si="132">+B346&amp;C346</f>
        <v>CarrosserieInformatique</v>
      </c>
      <c r="B346" s="7" t="s">
        <v>94</v>
      </c>
      <c r="C346" s="271" t="s">
        <v>52</v>
      </c>
      <c r="D346" s="54"/>
      <c r="E346" s="7"/>
      <c r="F346" s="19" t="e">
        <f>+SUM(START:END!F346)</f>
        <v>#N/A</v>
      </c>
      <c r="G346" s="56"/>
      <c r="H346" s="7"/>
      <c r="I346" s="19">
        <f>+SUM(START:END!I346)</f>
        <v>0</v>
      </c>
      <c r="J346" s="26"/>
      <c r="K346" s="7"/>
      <c r="L346" s="72">
        <f>+SUM(START:END!L346)</f>
        <v>7618.57</v>
      </c>
      <c r="M346" s="26"/>
      <c r="N346" s="39" t="e">
        <f t="shared" si="129"/>
        <v>#N/A</v>
      </c>
      <c r="O346" s="26"/>
      <c r="P346" s="7"/>
      <c r="Q346" s="72">
        <f>+SUM(START:END!Q346)</f>
        <v>4946.24</v>
      </c>
      <c r="R346" s="26"/>
      <c r="S346" s="39">
        <f t="shared" si="127"/>
        <v>2672.33</v>
      </c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spans="1:40" ht="15.75" customHeight="1">
      <c r="A347" s="260" t="str">
        <f t="shared" ref="A347" si="133">+B347&amp;C347</f>
        <v>CarrosserieFrais de déplacement</v>
      </c>
      <c r="B347" s="7" t="s">
        <v>94</v>
      </c>
      <c r="C347" s="271" t="s">
        <v>53</v>
      </c>
      <c r="D347" s="54"/>
      <c r="E347" s="7"/>
      <c r="F347" s="19" t="e">
        <f>+SUM(START:END!F347)</f>
        <v>#N/A</v>
      </c>
      <c r="G347" s="56"/>
      <c r="H347" s="7"/>
      <c r="I347" s="19">
        <f>+SUM(START:END!I347)</f>
        <v>0</v>
      </c>
      <c r="J347" s="26"/>
      <c r="K347" s="7"/>
      <c r="L347" s="39">
        <f>+SUM(START:END!L347)</f>
        <v>683.39000000000033</v>
      </c>
      <c r="M347" s="26"/>
      <c r="N347" s="39" t="e">
        <f t="shared" si="129"/>
        <v>#N/A</v>
      </c>
      <c r="O347" s="26"/>
      <c r="P347" s="7"/>
      <c r="Q347" s="39">
        <f>+SUM(START:END!Q347)</f>
        <v>3894.87</v>
      </c>
      <c r="R347" s="26"/>
      <c r="S347" s="39">
        <f t="shared" si="127"/>
        <v>-3211.4799999999996</v>
      </c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spans="1:40" ht="15.75" customHeight="1">
      <c r="A348" s="260" t="str">
        <f t="shared" ref="A348" si="134">+B348&amp;C348</f>
        <v>CarrosserieServices extérieurs</v>
      </c>
      <c r="B348" s="7" t="s">
        <v>94</v>
      </c>
      <c r="C348" s="271" t="s">
        <v>54</v>
      </c>
      <c r="D348" s="57"/>
      <c r="E348" s="73"/>
      <c r="F348" s="31" t="e">
        <f>+SUM(START:END!F348)</f>
        <v>#N/A</v>
      </c>
      <c r="G348" s="59"/>
      <c r="H348" s="73"/>
      <c r="I348" s="31">
        <f>+SUM(START:END!I348)</f>
        <v>0</v>
      </c>
      <c r="J348" s="14"/>
      <c r="K348" s="73"/>
      <c r="L348" s="39">
        <f>+SUM(START:END!L348)</f>
        <v>6386.1299999999992</v>
      </c>
      <c r="M348" s="14"/>
      <c r="N348" s="61" t="e">
        <f t="shared" si="129"/>
        <v>#N/A</v>
      </c>
      <c r="O348" s="14"/>
      <c r="P348" s="73"/>
      <c r="Q348" s="39">
        <f>+SUM(START:END!Q348)</f>
        <v>11075.36</v>
      </c>
      <c r="R348" s="14"/>
      <c r="S348" s="61">
        <f t="shared" si="127"/>
        <v>-4689.2300000000014</v>
      </c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spans="1:40" ht="15.75" customHeight="1">
      <c r="A349" s="260" t="str">
        <f t="shared" ref="A349" si="135">+B349&amp;C349</f>
        <v>CarrosserieFournitures d'atelier</v>
      </c>
      <c r="B349" s="7" t="s">
        <v>94</v>
      </c>
      <c r="C349" s="329" t="s">
        <v>93</v>
      </c>
      <c r="D349" s="54"/>
      <c r="E349" s="7"/>
      <c r="F349" s="19">
        <f>+SUM(START:END!F349)</f>
        <v>0</v>
      </c>
      <c r="G349" s="56"/>
      <c r="H349" s="7"/>
      <c r="I349" s="19">
        <f>+SUM(START:END!I349)</f>
        <v>0</v>
      </c>
      <c r="J349" s="26"/>
      <c r="K349" s="7"/>
      <c r="L349" s="72">
        <f>+SUM(START:END!L349)</f>
        <v>0</v>
      </c>
      <c r="M349" s="26"/>
      <c r="N349" s="39">
        <f t="shared" si="129"/>
        <v>0</v>
      </c>
      <c r="O349" s="26"/>
      <c r="P349" s="7"/>
      <c r="Q349" s="72">
        <f>+SUM(START:END!Q349)</f>
        <v>0</v>
      </c>
      <c r="R349" s="26"/>
      <c r="S349" s="39">
        <f>L349-Q349</f>
        <v>0</v>
      </c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spans="1:40" ht="15.75" customHeight="1">
      <c r="A350" s="260" t="str">
        <f t="shared" ref="A350" si="136">+B350&amp;C350</f>
        <v>CarrosserieFournitures autres</v>
      </c>
      <c r="B350" s="7" t="s">
        <v>94</v>
      </c>
      <c r="C350" s="271" t="s">
        <v>55</v>
      </c>
      <c r="D350" s="54"/>
      <c r="E350" s="7"/>
      <c r="F350" s="19" t="e">
        <f>+SUM(START:END!F350)</f>
        <v>#N/A</v>
      </c>
      <c r="G350" s="56"/>
      <c r="H350" s="7"/>
      <c r="I350" s="19">
        <f>+SUM(START:END!I350)</f>
        <v>0</v>
      </c>
      <c r="J350" s="26"/>
      <c r="K350" s="7"/>
      <c r="L350" s="39">
        <f>+SUM(START:END!L350)</f>
        <v>17900.539999999994</v>
      </c>
      <c r="M350" s="26"/>
      <c r="N350" s="39" t="e">
        <f t="shared" si="129"/>
        <v>#N/A</v>
      </c>
      <c r="O350" s="26"/>
      <c r="P350" s="7"/>
      <c r="Q350" s="39">
        <f>+SUM(START:END!Q350)</f>
        <v>17210.48</v>
      </c>
      <c r="R350" s="26"/>
      <c r="S350" s="39">
        <f t="shared" ref="S350:S358" si="137">L350-Q350</f>
        <v>690.05999999999403</v>
      </c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spans="1:40" ht="15.75" customHeight="1">
      <c r="A351" s="260" t="str">
        <f t="shared" ref="A351" si="138">+B351&amp;C351</f>
        <v>CarrosserieUniformes</v>
      </c>
      <c r="B351" s="7" t="s">
        <v>94</v>
      </c>
      <c r="C351" s="271" t="s">
        <v>56</v>
      </c>
      <c r="D351" s="54"/>
      <c r="E351" s="7"/>
      <c r="F351" s="19" t="e">
        <f>+SUM(START:END!F351)</f>
        <v>#N/A</v>
      </c>
      <c r="G351" s="56"/>
      <c r="H351" s="7"/>
      <c r="I351" s="19">
        <f>+SUM(START:END!I351)</f>
        <v>0</v>
      </c>
      <c r="J351" s="26"/>
      <c r="K351" s="7"/>
      <c r="L351" s="39">
        <f>+SUM(START:END!L351)</f>
        <v>849.36</v>
      </c>
      <c r="M351" s="26"/>
      <c r="N351" s="39" t="e">
        <f t="shared" si="129"/>
        <v>#N/A</v>
      </c>
      <c r="O351" s="26"/>
      <c r="P351" s="7"/>
      <c r="Q351" s="39">
        <f>+SUM(START:END!Q351)</f>
        <v>0</v>
      </c>
      <c r="R351" s="26"/>
      <c r="S351" s="39">
        <f t="shared" si="137"/>
        <v>849.36</v>
      </c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spans="1:40" ht="15.75" customHeight="1">
      <c r="A352" s="260" t="str">
        <f t="shared" ref="A352" si="139">+B352&amp;C352</f>
        <v>CarrosseriePapeterie</v>
      </c>
      <c r="B352" s="7" t="s">
        <v>94</v>
      </c>
      <c r="C352" s="271" t="s">
        <v>57</v>
      </c>
      <c r="D352" s="54"/>
      <c r="E352" s="7"/>
      <c r="F352" s="19" t="e">
        <f>+SUM(START:END!F352)</f>
        <v>#N/A</v>
      </c>
      <c r="G352" s="56"/>
      <c r="H352" s="7"/>
      <c r="I352" s="19">
        <f>+SUM(START:END!I352)</f>
        <v>0</v>
      </c>
      <c r="J352" s="26"/>
      <c r="K352" s="7"/>
      <c r="L352" s="39">
        <f>+SUM(START:END!L352)</f>
        <v>555.9699999999998</v>
      </c>
      <c r="M352" s="26"/>
      <c r="N352" s="39" t="e">
        <f t="shared" si="129"/>
        <v>#N/A</v>
      </c>
      <c r="O352" s="26"/>
      <c r="P352" s="7"/>
      <c r="Q352" s="39">
        <f>+SUM(START:END!Q352)</f>
        <v>1209.4500000000003</v>
      </c>
      <c r="R352" s="26"/>
      <c r="S352" s="39">
        <f t="shared" si="137"/>
        <v>-653.48000000000047</v>
      </c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spans="1:40" ht="15.75" customHeight="1">
      <c r="A353" s="260" t="str">
        <f t="shared" ref="A353" si="140">+B353&amp;C353</f>
        <v>CarrosserieTéléphone</v>
      </c>
      <c r="B353" s="7" t="s">
        <v>94</v>
      </c>
      <c r="C353" s="271" t="s">
        <v>58</v>
      </c>
      <c r="D353" s="54"/>
      <c r="E353" s="7"/>
      <c r="F353" s="19" t="e">
        <f>+SUM(START:END!F353)</f>
        <v>#N/A</v>
      </c>
      <c r="G353" s="56"/>
      <c r="H353" s="7"/>
      <c r="I353" s="19">
        <f>+SUM(START:END!I353)</f>
        <v>0</v>
      </c>
      <c r="J353" s="26"/>
      <c r="K353" s="7"/>
      <c r="L353" s="39">
        <f>+SUM(START:END!L353)</f>
        <v>1003.2800000000001</v>
      </c>
      <c r="M353" s="26"/>
      <c r="N353" s="39" t="e">
        <f t="shared" si="129"/>
        <v>#N/A</v>
      </c>
      <c r="O353" s="26"/>
      <c r="P353" s="7"/>
      <c r="Q353" s="39">
        <f>+SUM(START:END!Q353)</f>
        <v>718.82999999999993</v>
      </c>
      <c r="R353" s="26"/>
      <c r="S353" s="39">
        <f t="shared" si="137"/>
        <v>284.45000000000016</v>
      </c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spans="1:40" ht="15.75" customHeight="1">
      <c r="A354" s="260" t="str">
        <f t="shared" ref="A354" si="141">+B354&amp;C354</f>
        <v>CarrosserieFrais postaux</v>
      </c>
      <c r="B354" s="7" t="s">
        <v>94</v>
      </c>
      <c r="C354" s="271" t="s">
        <v>59</v>
      </c>
      <c r="D354" s="54"/>
      <c r="E354" s="7"/>
      <c r="F354" s="19" t="e">
        <f>+SUM(START:END!F354)</f>
        <v>#N/A</v>
      </c>
      <c r="G354" s="56"/>
      <c r="H354" s="7"/>
      <c r="I354" s="19">
        <f>+SUM(START:END!I354)</f>
        <v>0</v>
      </c>
      <c r="J354" s="26"/>
      <c r="K354" s="7"/>
      <c r="L354" s="39">
        <f>+SUM(START:END!L354)</f>
        <v>562.09999999999991</v>
      </c>
      <c r="M354" s="26"/>
      <c r="N354" s="39" t="e">
        <f t="shared" si="129"/>
        <v>#N/A</v>
      </c>
      <c r="O354" s="26"/>
      <c r="P354" s="7"/>
      <c r="Q354" s="39">
        <f>+SUM(START:END!Q354)</f>
        <v>760.41000000000031</v>
      </c>
      <c r="R354" s="26"/>
      <c r="S354" s="39">
        <f t="shared" si="137"/>
        <v>-198.3100000000004</v>
      </c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spans="1:40" ht="15.75" customHeight="1">
      <c r="A355" s="260" t="str">
        <f t="shared" ref="A355" si="142">+B355&amp;C355</f>
        <v>CarrosserieDivers</v>
      </c>
      <c r="B355" s="7" t="s">
        <v>94</v>
      </c>
      <c r="C355" s="271" t="s">
        <v>60</v>
      </c>
      <c r="D355" s="54"/>
      <c r="E355" s="7"/>
      <c r="F355" s="19" t="e">
        <f>+SUM(START:END!F355)</f>
        <v>#N/A</v>
      </c>
      <c r="G355" s="56"/>
      <c r="H355" s="7"/>
      <c r="I355" s="19">
        <f>+SUM(START:END!I355)</f>
        <v>0</v>
      </c>
      <c r="J355" s="26"/>
      <c r="K355" s="7"/>
      <c r="L355" s="39">
        <f>+SUM(START:END!L355)</f>
        <v>4550.2</v>
      </c>
      <c r="M355" s="26"/>
      <c r="N355" s="39" t="e">
        <f t="shared" si="129"/>
        <v>#N/A</v>
      </c>
      <c r="O355" s="26"/>
      <c r="P355" s="7"/>
      <c r="Q355" s="39">
        <f>+SUM(START:END!Q355)</f>
        <v>5244.4500000000007</v>
      </c>
      <c r="R355" s="26"/>
      <c r="S355" s="39">
        <f t="shared" si="137"/>
        <v>-694.25000000000091</v>
      </c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spans="1:40" ht="15.75" customHeight="1">
      <c r="A356" s="260" t="str">
        <f t="shared" ref="A356" si="143">+B356&amp;C356</f>
        <v>CarrosserieFormation</v>
      </c>
      <c r="B356" s="7" t="s">
        <v>94</v>
      </c>
      <c r="C356" s="271" t="s">
        <v>61</v>
      </c>
      <c r="D356" s="54"/>
      <c r="E356" s="7"/>
      <c r="F356" s="19" t="e">
        <f>+SUM(START:END!F356)</f>
        <v>#N/A</v>
      </c>
      <c r="G356" s="56"/>
      <c r="H356" s="7"/>
      <c r="I356" s="19">
        <f>+SUM(START:END!I356)</f>
        <v>0</v>
      </c>
      <c r="J356" s="26"/>
      <c r="K356" s="7"/>
      <c r="L356" s="39">
        <f>+SUM(START:END!L356)</f>
        <v>473</v>
      </c>
      <c r="M356" s="26"/>
      <c r="N356" s="39" t="e">
        <f t="shared" si="129"/>
        <v>#N/A</v>
      </c>
      <c r="O356" s="26"/>
      <c r="P356" s="7"/>
      <c r="Q356" s="39">
        <f>+SUM(START:END!Q356)</f>
        <v>1692</v>
      </c>
      <c r="R356" s="26"/>
      <c r="S356" s="39">
        <f t="shared" si="137"/>
        <v>-1219</v>
      </c>
      <c r="T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spans="1:40" ht="15.75" customHeight="1">
      <c r="A357" s="260" t="str">
        <f t="shared" ref="A357" si="144">+B357&amp;C357</f>
        <v>CarrosserieFrais bancaires</v>
      </c>
      <c r="B357" s="7" t="s">
        <v>94</v>
      </c>
      <c r="C357" s="271" t="s">
        <v>62</v>
      </c>
      <c r="D357" s="54"/>
      <c r="E357" s="7"/>
      <c r="F357" s="19" t="e">
        <f>+SUM(START:END!F357)</f>
        <v>#N/A</v>
      </c>
      <c r="G357" s="56"/>
      <c r="H357" s="7"/>
      <c r="I357" s="19">
        <f>+SUM(START:END!I357)</f>
        <v>0</v>
      </c>
      <c r="J357" s="26"/>
      <c r="K357" s="7"/>
      <c r="L357" s="39">
        <f>+SUM(START:END!L357)</f>
        <v>1744.0400000000004</v>
      </c>
      <c r="M357" s="26"/>
      <c r="N357" s="39" t="e">
        <f t="shared" si="129"/>
        <v>#N/A</v>
      </c>
      <c r="O357" s="26"/>
      <c r="P357" s="7"/>
      <c r="Q357" s="39">
        <f>+SUM(START:END!Q357)</f>
        <v>328.83000000000004</v>
      </c>
      <c r="R357" s="26"/>
      <c r="S357" s="39">
        <f t="shared" si="137"/>
        <v>1415.2100000000005</v>
      </c>
      <c r="T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spans="1:40" ht="20.399999999999999" customHeight="1">
      <c r="A358" s="260" t="str">
        <f t="shared" ref="A358" si="145">+B358&amp;C358</f>
        <v>Carrosserie[...]</v>
      </c>
      <c r="B358" s="7" t="s">
        <v>94</v>
      </c>
      <c r="C358" s="271" t="s">
        <v>19</v>
      </c>
      <c r="D358" s="54"/>
      <c r="E358" s="7"/>
      <c r="F358" s="19" t="e">
        <f>+SUM(START:END!F358)</f>
        <v>#N/A</v>
      </c>
      <c r="G358" s="56"/>
      <c r="H358" s="7"/>
      <c r="I358" s="19">
        <f>+SUM(START:END!I358)</f>
        <v>0</v>
      </c>
      <c r="J358" s="26"/>
      <c r="K358" s="7"/>
      <c r="L358" s="39">
        <f>+SUM(START:END!L358)</f>
        <v>8709.57</v>
      </c>
      <c r="M358" s="26"/>
      <c r="N358" s="39" t="e">
        <f t="shared" si="129"/>
        <v>#N/A</v>
      </c>
      <c r="O358" s="26"/>
      <c r="P358" s="7"/>
      <c r="Q358" s="39">
        <f>+SUM(START:END!Q358)</f>
        <v>0</v>
      </c>
      <c r="R358" s="26"/>
      <c r="S358" s="39">
        <f t="shared" si="137"/>
        <v>8709.57</v>
      </c>
      <c r="T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spans="1:40" ht="20.399999999999999" hidden="1" customHeight="1">
      <c r="A359" s="260" t="str">
        <f t="shared" ref="A359" si="146">+B359&amp;C359</f>
        <v>Carrosserie[...]</v>
      </c>
      <c r="B359" s="7" t="s">
        <v>94</v>
      </c>
      <c r="C359" s="271" t="s">
        <v>19</v>
      </c>
      <c r="D359" s="54"/>
      <c r="E359" s="7"/>
      <c r="F359" s="19" t="e">
        <f>+SUM(START:END!F359)</f>
        <v>#N/A</v>
      </c>
      <c r="G359" s="56"/>
      <c r="H359" s="7"/>
      <c r="I359" s="19">
        <f>+SUM(START:END!I359)</f>
        <v>0</v>
      </c>
      <c r="J359" s="26"/>
      <c r="K359" s="7"/>
      <c r="L359" s="39">
        <f>+SUM(START:END!L359)</f>
        <v>0</v>
      </c>
      <c r="M359" s="26"/>
      <c r="N359" s="39" t="e">
        <f t="shared" si="129"/>
        <v>#N/A</v>
      </c>
      <c r="O359" s="26"/>
      <c r="P359" s="7"/>
      <c r="Q359" s="39">
        <f>+SUM(START:END!Q359)</f>
        <v>0</v>
      </c>
      <c r="R359" s="26"/>
      <c r="S359" s="39">
        <f>L359-Q359</f>
        <v>0</v>
      </c>
      <c r="T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spans="1:40" ht="20.399999999999999" hidden="1" customHeight="1">
      <c r="A360" s="260" t="str">
        <f t="shared" ref="A360" si="147">+B360&amp;C360</f>
        <v>Carrosserie[...]</v>
      </c>
      <c r="B360" s="7" t="s">
        <v>94</v>
      </c>
      <c r="C360" s="271" t="s">
        <v>19</v>
      </c>
      <c r="D360" s="54"/>
      <c r="E360" s="7"/>
      <c r="F360" s="19" t="e">
        <f>+SUM(START:END!F360)</f>
        <v>#N/A</v>
      </c>
      <c r="G360" s="56"/>
      <c r="H360" s="7"/>
      <c r="I360" s="19">
        <f>+SUM(START:END!I360)</f>
        <v>0</v>
      </c>
      <c r="J360" s="26"/>
      <c r="K360" s="7"/>
      <c r="L360" s="39">
        <f>+SUM(START:END!L360)</f>
        <v>0</v>
      </c>
      <c r="M360" s="26"/>
      <c r="N360" s="39" t="e">
        <f t="shared" si="129"/>
        <v>#N/A</v>
      </c>
      <c r="O360" s="26"/>
      <c r="P360" s="7"/>
      <c r="Q360" s="39">
        <f>+SUM(START:END!Q360)</f>
        <v>0</v>
      </c>
      <c r="R360" s="26"/>
      <c r="S360" s="39">
        <f t="shared" ref="S360" si="148">L360-Q360</f>
        <v>0</v>
      </c>
      <c r="T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spans="1:40" ht="18.600000000000001" customHeight="1">
      <c r="A361" s="260"/>
      <c r="B361" s="7"/>
      <c r="C361" s="139" t="s">
        <v>63</v>
      </c>
      <c r="D361" s="62" t="s">
        <v>38</v>
      </c>
      <c r="E361" s="63" t="e">
        <f>F361/F$250</f>
        <v>#N/A</v>
      </c>
      <c r="F361" s="64" t="e">
        <f>+SUM(F343:F360)</f>
        <v>#N/A</v>
      </c>
      <c r="G361" s="65" t="s">
        <v>38</v>
      </c>
      <c r="H361" s="63" t="e">
        <f>I361/I$250</f>
        <v>#DIV/0!</v>
      </c>
      <c r="I361" s="64">
        <f>+SUM(I343:I360)</f>
        <v>0</v>
      </c>
      <c r="J361" s="65" t="s">
        <v>38</v>
      </c>
      <c r="K361" s="63">
        <f>L361/L$250</f>
        <v>110368.49768436424</v>
      </c>
      <c r="L361" s="64">
        <f>+SUM(L343:L360)</f>
        <v>68515.299999999988</v>
      </c>
      <c r="M361" s="66"/>
      <c r="N361" s="64" t="e">
        <f>+SUM(N343:N360)</f>
        <v>#N/A</v>
      </c>
      <c r="O361" s="65" t="s">
        <v>38</v>
      </c>
      <c r="P361" s="63">
        <f>Q361/Q$250</f>
        <v>78107.418743618764</v>
      </c>
      <c r="Q361" s="64">
        <f>+SUM(Q343:Q360)</f>
        <v>52614.229999999996</v>
      </c>
      <c r="R361" s="67"/>
      <c r="S361" s="64">
        <f>L361-Q361</f>
        <v>15901.069999999992</v>
      </c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spans="1:40" ht="15.75" customHeight="1">
      <c r="B362" s="7"/>
      <c r="C362" s="14"/>
      <c r="D362" s="57"/>
      <c r="E362" s="73"/>
      <c r="F362" s="39"/>
      <c r="G362" s="59"/>
      <c r="H362" s="73"/>
      <c r="I362" s="39"/>
      <c r="J362" s="14"/>
      <c r="K362" s="73"/>
      <c r="L362" s="61"/>
      <c r="M362" s="14"/>
      <c r="N362" s="61"/>
      <c r="O362" s="14"/>
      <c r="P362" s="73"/>
      <c r="Q362" s="61"/>
      <c r="R362" s="14"/>
      <c r="S362" s="61"/>
      <c r="T362" s="50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spans="1:40" ht="18.600000000000001" customHeight="1">
      <c r="A363" s="260"/>
      <c r="B363" s="7"/>
      <c r="C363" s="139" t="s">
        <v>64</v>
      </c>
      <c r="D363" s="62" t="s">
        <v>38</v>
      </c>
      <c r="E363" s="63" t="e">
        <f>F363/F$250</f>
        <v>#N/A</v>
      </c>
      <c r="F363" s="64" t="e">
        <f>F342+F361</f>
        <v>#N/A</v>
      </c>
      <c r="G363" s="65" t="s">
        <v>38</v>
      </c>
      <c r="H363" s="63" t="e">
        <f>I363/I$250</f>
        <v>#DIV/0!</v>
      </c>
      <c r="I363" s="64">
        <f>I342+I361</f>
        <v>0</v>
      </c>
      <c r="J363" s="65" t="s">
        <v>38</v>
      </c>
      <c r="K363" s="63">
        <f>L363/L$250</f>
        <v>274124.42748447077</v>
      </c>
      <c r="L363" s="64">
        <f>L342+L361</f>
        <v>170172.81</v>
      </c>
      <c r="M363" s="66"/>
      <c r="N363" s="64" t="e">
        <f>L363-F363</f>
        <v>#N/A</v>
      </c>
      <c r="O363" s="65" t="s">
        <v>38</v>
      </c>
      <c r="P363" s="63">
        <f>Q363/Q$250</f>
        <v>213462.43807559283</v>
      </c>
      <c r="Q363" s="64">
        <f>Q342+Q361</f>
        <v>143791.23000000001</v>
      </c>
      <c r="R363" s="67"/>
      <c r="S363" s="64">
        <f>L363-Q363</f>
        <v>26381.579999999987</v>
      </c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spans="1:40" ht="15.75" customHeight="1">
      <c r="B364" s="7"/>
      <c r="C364" s="26"/>
      <c r="D364" s="54"/>
      <c r="E364" s="7"/>
      <c r="F364" s="39"/>
      <c r="G364" s="56"/>
      <c r="H364" s="7"/>
      <c r="I364" s="39"/>
      <c r="J364" s="26"/>
      <c r="K364" s="7"/>
      <c r="L364" s="39"/>
      <c r="M364" s="26"/>
      <c r="N364" s="39">
        <f>L364-F364</f>
        <v>0</v>
      </c>
      <c r="O364" s="26"/>
      <c r="P364" s="7"/>
      <c r="Q364" s="39"/>
      <c r="R364" s="26"/>
      <c r="S364" s="39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spans="1:40" ht="18.600000000000001" customHeight="1" thickBot="1">
      <c r="A365" s="260"/>
      <c r="B365" s="7"/>
      <c r="C365" s="276" t="s">
        <v>69</v>
      </c>
      <c r="D365" s="277"/>
      <c r="E365" s="278"/>
      <c r="F365" s="138" t="e">
        <f>F326-F363</f>
        <v>#N/A</v>
      </c>
      <c r="G365" s="279"/>
      <c r="H365" s="278"/>
      <c r="I365" s="138">
        <f>I326-I363</f>
        <v>0</v>
      </c>
      <c r="J365" s="279"/>
      <c r="K365" s="278"/>
      <c r="L365" s="138">
        <f>L326-L363</f>
        <v>41493.920000000013</v>
      </c>
      <c r="M365" s="280"/>
      <c r="N365" s="138" t="e">
        <f>L365-F365</f>
        <v>#N/A</v>
      </c>
      <c r="O365" s="279"/>
      <c r="P365" s="278"/>
      <c r="Q365" s="138">
        <f>Q326-Q363</f>
        <v>105799.02999999991</v>
      </c>
      <c r="R365" s="281"/>
      <c r="S365" s="138">
        <f>L365-Q365</f>
        <v>-64305.109999999899</v>
      </c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spans="1:40" ht="15.75" customHeight="1" thickTop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5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spans="1:40" ht="36" customHeight="1">
      <c r="B367" s="7"/>
      <c r="C367" s="251" t="str">
        <f>C1</f>
        <v>Ste-Marie Auto</v>
      </c>
      <c r="D367" s="252"/>
      <c r="E367" s="253"/>
      <c r="F367" s="252"/>
      <c r="G367" s="252"/>
      <c r="H367" s="254"/>
      <c r="I367" s="252"/>
      <c r="J367" s="254"/>
      <c r="K367" s="255" t="s">
        <v>98</v>
      </c>
      <c r="L367" s="252"/>
      <c r="M367" s="252"/>
      <c r="N367" s="256"/>
      <c r="O367" s="251"/>
      <c r="P367" s="257"/>
      <c r="Q367" s="251"/>
      <c r="R367" s="257"/>
      <c r="S367" s="258" t="str">
        <f>$S$1</f>
        <v>Réalisé  Q2 2026</v>
      </c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spans="1:40" ht="15.75" customHeight="1" thickBot="1">
      <c r="B368" s="7"/>
      <c r="C368" s="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spans="1:40" ht="15.75" customHeight="1" thickTop="1">
      <c r="B369" s="7"/>
      <c r="C369" s="259"/>
      <c r="D369" s="407" t="s">
        <v>5</v>
      </c>
      <c r="E369" s="408"/>
      <c r="F369" s="406"/>
      <c r="G369" s="405" t="s">
        <v>71</v>
      </c>
      <c r="H369" s="408"/>
      <c r="I369" s="406"/>
      <c r="J369" s="405" t="s">
        <v>7</v>
      </c>
      <c r="K369" s="408"/>
      <c r="L369" s="406"/>
      <c r="M369" s="405" t="s">
        <v>211</v>
      </c>
      <c r="N369" s="406"/>
      <c r="O369" s="407" t="s">
        <v>8</v>
      </c>
      <c r="P369" s="408"/>
      <c r="Q369" s="406"/>
      <c r="R369" s="405" t="s">
        <v>212</v>
      </c>
      <c r="S369" s="406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spans="1:40" ht="15.75" customHeight="1">
      <c r="A370" s="260" t="str">
        <f t="shared" ref="A370" si="149">+B370&amp;C370</f>
        <v>Pièces</v>
      </c>
      <c r="B370" s="7" t="s">
        <v>98</v>
      </c>
      <c r="C370" s="330"/>
      <c r="D370" s="53" t="s">
        <v>79</v>
      </c>
      <c r="E370" s="53" t="s">
        <v>99</v>
      </c>
      <c r="F370" s="84" t="s">
        <v>12</v>
      </c>
      <c r="G370" s="85" t="s">
        <v>79</v>
      </c>
      <c r="H370" s="53" t="s">
        <v>99</v>
      </c>
      <c r="I370" s="84" t="s">
        <v>12</v>
      </c>
      <c r="J370" s="53" t="s">
        <v>79</v>
      </c>
      <c r="K370" s="53" t="s">
        <v>99</v>
      </c>
      <c r="L370" s="84" t="s">
        <v>12</v>
      </c>
      <c r="M370" s="85" t="s">
        <v>39</v>
      </c>
      <c r="N370" s="84" t="s">
        <v>215</v>
      </c>
      <c r="O370" s="53" t="s">
        <v>79</v>
      </c>
      <c r="P370" s="53" t="s">
        <v>99</v>
      </c>
      <c r="Q370" s="84" t="s">
        <v>12</v>
      </c>
      <c r="R370" s="85" t="s">
        <v>80</v>
      </c>
      <c r="S370" s="84" t="s">
        <v>12</v>
      </c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spans="1:40" ht="15.75" customHeight="1">
      <c r="A371" s="260" t="str">
        <f t="shared" ref="A371" si="150">+B371&amp;C371</f>
        <v>PiècesPièces Ro Clients</v>
      </c>
      <c r="B371" s="7" t="s">
        <v>98</v>
      </c>
      <c r="C371" s="331" t="s">
        <v>100</v>
      </c>
      <c r="D371" s="55" t="e">
        <f>+SUM(START:END!D371)</f>
        <v>#N/A</v>
      </c>
      <c r="E371" s="93" t="e">
        <f>IF(D371=0,0,F371/D371)</f>
        <v>#N/A</v>
      </c>
      <c r="F371" s="39" t="e">
        <f>+SUM(START:END!F371)</f>
        <v>#N/A</v>
      </c>
      <c r="G371" s="55">
        <f>+SUM(START:END!G371)</f>
        <v>0</v>
      </c>
      <c r="H371" s="93">
        <f>IF(G371=0,0,I371/G371)</f>
        <v>0</v>
      </c>
      <c r="I371" s="39">
        <f>+SUM(START:END!I371)</f>
        <v>0</v>
      </c>
      <c r="J371" s="55">
        <f>+SUM(START:END!J371)</f>
        <v>161636.71000000002</v>
      </c>
      <c r="K371" s="93">
        <f>IF(J371=0,0,L371/J371)</f>
        <v>0.33534331402810641</v>
      </c>
      <c r="L371" s="39">
        <f>+SUM(START:END!L371)</f>
        <v>54203.789999999979</v>
      </c>
      <c r="M371" s="99" t="e">
        <f t="shared" ref="M371:M377" si="151">(+J371-D371)/D371</f>
        <v>#N/A</v>
      </c>
      <c r="N371" s="39" t="e">
        <f t="shared" ref="N371:N380" si="152">L371-F371</f>
        <v>#N/A</v>
      </c>
      <c r="O371" s="55">
        <f>+SUM(START:END!O371)</f>
        <v>159052.87</v>
      </c>
      <c r="P371" s="93">
        <f>IF(O371=0,0,Q371/O371)</f>
        <v>0.39730795175214401</v>
      </c>
      <c r="Q371" s="39">
        <f>+SUM(START:END!Q371)</f>
        <v>63192.97000000003</v>
      </c>
      <c r="R371" s="99">
        <f>IF(O371=0,0,(J371-O371)/O371)</f>
        <v>1.6245164265190723E-2</v>
      </c>
      <c r="S371" s="39">
        <f t="shared" ref="S371:S376" si="153">L371-Q371</f>
        <v>-8989.1800000000512</v>
      </c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spans="1:40" ht="15.75" customHeight="1">
      <c r="A372" s="260" t="str">
        <f t="shared" ref="A372" si="154">+B372&amp;C372</f>
        <v>PiècesPièces Ro Carrosserie</v>
      </c>
      <c r="B372" s="7" t="s">
        <v>98</v>
      </c>
      <c r="C372" s="331" t="s">
        <v>101</v>
      </c>
      <c r="D372" s="55" t="e">
        <f>+SUM(START:END!D372)</f>
        <v>#N/A</v>
      </c>
      <c r="E372" s="93" t="e">
        <f t="shared" ref="E372:E379" si="155">IF(D372=0,0,F372/D372)</f>
        <v>#N/A</v>
      </c>
      <c r="F372" s="39" t="e">
        <f>+SUM(START:END!F372)</f>
        <v>#N/A</v>
      </c>
      <c r="G372" s="55">
        <f>+SUM(START:END!G372)</f>
        <v>0</v>
      </c>
      <c r="H372" s="93">
        <f t="shared" ref="H372:H379" si="156">IF(G372=0,0,I372/G372)</f>
        <v>0</v>
      </c>
      <c r="I372" s="39">
        <f>+SUM(START:END!I372)</f>
        <v>0</v>
      </c>
      <c r="J372" s="55">
        <f>+SUM(START:END!J372)</f>
        <v>0</v>
      </c>
      <c r="K372" s="93">
        <f t="shared" ref="K372:K379" si="157">IF(J372=0,0,L372/J372)</f>
        <v>0</v>
      </c>
      <c r="L372" s="39">
        <f>+SUM(START:END!L372)</f>
        <v>0</v>
      </c>
      <c r="M372" s="99" t="e">
        <f t="shared" si="151"/>
        <v>#N/A</v>
      </c>
      <c r="N372" s="39" t="e">
        <f t="shared" si="152"/>
        <v>#N/A</v>
      </c>
      <c r="O372" s="55">
        <f>+SUM(START:END!O372)</f>
        <v>0</v>
      </c>
      <c r="P372" s="93">
        <f t="shared" ref="P372:P379" si="158">IF(O372=0,0,Q372/O372)</f>
        <v>0</v>
      </c>
      <c r="Q372" s="39">
        <f>+SUM(START:END!Q372)</f>
        <v>0</v>
      </c>
      <c r="R372" s="99">
        <f t="shared" ref="R372:R376" si="159">IF(O372=0,0,(J372-O372)/O372)</f>
        <v>0</v>
      </c>
      <c r="S372" s="39">
        <f t="shared" si="153"/>
        <v>0</v>
      </c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spans="1:40" ht="15.75" customHeight="1">
      <c r="A373" s="260" t="str">
        <f t="shared" ref="A373" si="160">+B373&amp;C373</f>
        <v>PiècesP/A Garantie</v>
      </c>
      <c r="B373" s="7" t="s">
        <v>98</v>
      </c>
      <c r="C373" s="331" t="s">
        <v>102</v>
      </c>
      <c r="D373" s="55" t="e">
        <f>+SUM(START:END!D373)</f>
        <v>#N/A</v>
      </c>
      <c r="E373" s="93" t="e">
        <f t="shared" si="155"/>
        <v>#N/A</v>
      </c>
      <c r="F373" s="39" t="e">
        <f>+SUM(START:END!F373)</f>
        <v>#N/A</v>
      </c>
      <c r="G373" s="55">
        <f>+SUM(START:END!G373)</f>
        <v>0</v>
      </c>
      <c r="H373" s="93">
        <f t="shared" si="156"/>
        <v>0</v>
      </c>
      <c r="I373" s="39">
        <f>+SUM(START:END!I373)</f>
        <v>0</v>
      </c>
      <c r="J373" s="55">
        <f>+SUM(START:END!J373)</f>
        <v>182662.99</v>
      </c>
      <c r="K373" s="93">
        <f t="shared" si="157"/>
        <v>0.28367689590540479</v>
      </c>
      <c r="L373" s="39">
        <f>+SUM(START:END!L373)</f>
        <v>51817.26999999999</v>
      </c>
      <c r="M373" s="99" t="e">
        <f t="shared" si="151"/>
        <v>#N/A</v>
      </c>
      <c r="N373" s="39" t="e">
        <f t="shared" si="152"/>
        <v>#N/A</v>
      </c>
      <c r="O373" s="55">
        <f>+SUM(START:END!O373)</f>
        <v>170353.91999999998</v>
      </c>
      <c r="P373" s="93">
        <f t="shared" si="158"/>
        <v>0.2776886496066539</v>
      </c>
      <c r="Q373" s="39">
        <f>+SUM(START:END!Q373)</f>
        <v>47305.349999999948</v>
      </c>
      <c r="R373" s="99">
        <f t="shared" si="159"/>
        <v>7.225586590552191E-2</v>
      </c>
      <c r="S373" s="39">
        <f t="shared" si="153"/>
        <v>4511.9200000000419</v>
      </c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spans="1:40" ht="15.75" customHeight="1">
      <c r="A374" s="260" t="str">
        <f t="shared" ref="A374" si="161">+B374&amp;C374</f>
        <v>PiècesVentes Internes</v>
      </c>
      <c r="B374" s="7" t="s">
        <v>98</v>
      </c>
      <c r="C374" s="331" t="s">
        <v>103</v>
      </c>
      <c r="D374" s="55" t="e">
        <f>+SUM(START:END!D374)</f>
        <v>#N/A</v>
      </c>
      <c r="E374" s="93" t="e">
        <f t="shared" si="155"/>
        <v>#N/A</v>
      </c>
      <c r="F374" s="39" t="e">
        <f>+SUM(START:END!F374)</f>
        <v>#N/A</v>
      </c>
      <c r="G374" s="55">
        <f>+SUM(START:END!G374)</f>
        <v>0</v>
      </c>
      <c r="H374" s="93">
        <f t="shared" si="156"/>
        <v>0</v>
      </c>
      <c r="I374" s="39">
        <f>+SUM(START:END!I374)</f>
        <v>0</v>
      </c>
      <c r="J374" s="55">
        <f>+SUM(START:END!J374)</f>
        <v>119853.66000000003</v>
      </c>
      <c r="K374" s="93">
        <f t="shared" si="157"/>
        <v>0.28852886094592389</v>
      </c>
      <c r="L374" s="39">
        <f>+SUM(START:END!L374)</f>
        <v>34581.240000000049</v>
      </c>
      <c r="M374" s="99" t="e">
        <f t="shared" si="151"/>
        <v>#N/A</v>
      </c>
      <c r="N374" s="39" t="e">
        <f t="shared" si="152"/>
        <v>#N/A</v>
      </c>
      <c r="O374" s="55">
        <f>+SUM(START:END!O374)</f>
        <v>151098.33000000002</v>
      </c>
      <c r="P374" s="93">
        <f t="shared" si="158"/>
        <v>0.31169715773827572</v>
      </c>
      <c r="Q374" s="39">
        <f>+SUM(START:END!Q374)</f>
        <v>47096.920000000042</v>
      </c>
      <c r="R374" s="99">
        <f t="shared" si="159"/>
        <v>-0.20678368847623915</v>
      </c>
      <c r="S374" s="39">
        <f t="shared" si="153"/>
        <v>-12515.679999999993</v>
      </c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spans="1:40" ht="15.75" customHeight="1">
      <c r="A375" s="260" t="str">
        <f t="shared" ref="A375" si="162">+B375&amp;C375</f>
        <v>PiècesVentes Détails</v>
      </c>
      <c r="B375" s="7" t="s">
        <v>98</v>
      </c>
      <c r="C375" s="331" t="s">
        <v>104</v>
      </c>
      <c r="D375" s="55" t="e">
        <f>+SUM(START:END!D375)</f>
        <v>#N/A</v>
      </c>
      <c r="E375" s="93" t="e">
        <f t="shared" si="155"/>
        <v>#N/A</v>
      </c>
      <c r="F375" s="39" t="e">
        <f>+SUM(START:END!F375)</f>
        <v>#N/A</v>
      </c>
      <c r="G375" s="55">
        <f>+SUM(START:END!G375)</f>
        <v>0</v>
      </c>
      <c r="H375" s="93">
        <f t="shared" si="156"/>
        <v>0</v>
      </c>
      <c r="I375" s="39">
        <f>+SUM(START:END!I375)</f>
        <v>0</v>
      </c>
      <c r="J375" s="55">
        <f>+SUM(START:END!J375)</f>
        <v>117343.62000000002</v>
      </c>
      <c r="K375" s="93">
        <f t="shared" si="157"/>
        <v>0.19224181084578779</v>
      </c>
      <c r="L375" s="39">
        <f>+SUM(START:END!L375)</f>
        <v>22558.350000000006</v>
      </c>
      <c r="M375" s="99" t="e">
        <f t="shared" si="151"/>
        <v>#N/A</v>
      </c>
      <c r="N375" s="39" t="e">
        <f t="shared" si="152"/>
        <v>#N/A</v>
      </c>
      <c r="O375" s="55">
        <f>+SUM(START:END!O375)</f>
        <v>88589.48000000001</v>
      </c>
      <c r="P375" s="93">
        <f t="shared" si="158"/>
        <v>0.22526839529930676</v>
      </c>
      <c r="Q375" s="39">
        <f>+SUM(START:END!Q375)</f>
        <v>19956.410000000033</v>
      </c>
      <c r="R375" s="99">
        <f t="shared" si="159"/>
        <v>0.32457736516796365</v>
      </c>
      <c r="S375" s="39">
        <f t="shared" si="153"/>
        <v>2601.9399999999732</v>
      </c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spans="1:40" ht="15.75" customHeight="1">
      <c r="A376" s="260" t="str">
        <f t="shared" ref="A376" si="163">+B376&amp;C376</f>
        <v>PiècesVentes de Gros</v>
      </c>
      <c r="B376" s="7" t="s">
        <v>98</v>
      </c>
      <c r="C376" s="331" t="s">
        <v>105</v>
      </c>
      <c r="D376" s="55" t="e">
        <f>+SUM(START:END!D376)</f>
        <v>#N/A</v>
      </c>
      <c r="E376" s="93" t="e">
        <f t="shared" si="155"/>
        <v>#N/A</v>
      </c>
      <c r="F376" s="39" t="e">
        <f>+SUM(START:END!F376)</f>
        <v>#N/A</v>
      </c>
      <c r="G376" s="55">
        <f>+SUM(START:END!G376)</f>
        <v>0</v>
      </c>
      <c r="H376" s="93">
        <f t="shared" si="156"/>
        <v>0</v>
      </c>
      <c r="I376" s="39">
        <f>+SUM(START:END!I376)</f>
        <v>0</v>
      </c>
      <c r="J376" s="55">
        <f>+SUM(START:END!J376)</f>
        <v>402054.81000000006</v>
      </c>
      <c r="K376" s="93">
        <f t="shared" si="157"/>
        <v>0.19012668944316344</v>
      </c>
      <c r="L376" s="39">
        <f>+SUM(START:END!L376)</f>
        <v>76441.350000000093</v>
      </c>
      <c r="M376" s="99" t="e">
        <f t="shared" si="151"/>
        <v>#N/A</v>
      </c>
      <c r="N376" s="39" t="e">
        <f t="shared" si="152"/>
        <v>#N/A</v>
      </c>
      <c r="O376" s="55">
        <f>+SUM(START:END!O376)</f>
        <v>473145.18000000005</v>
      </c>
      <c r="P376" s="93">
        <f t="shared" si="158"/>
        <v>0.23675952907308467</v>
      </c>
      <c r="Q376" s="39">
        <f>+SUM(START:END!Q376)</f>
        <v>112021.62999999989</v>
      </c>
      <c r="R376" s="99">
        <f t="shared" si="159"/>
        <v>-0.15025064822598422</v>
      </c>
      <c r="S376" s="39">
        <f t="shared" si="153"/>
        <v>-35580.279999999795</v>
      </c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spans="1:40" ht="20.399999999999999" hidden="1" customHeight="1">
      <c r="A377" s="260" t="str">
        <f t="shared" ref="A377" si="164">+B377&amp;C377</f>
        <v>Pièces[...]</v>
      </c>
      <c r="B377" s="7" t="s">
        <v>98</v>
      </c>
      <c r="C377" s="331" t="s">
        <v>19</v>
      </c>
      <c r="D377" s="55" t="e">
        <f>+SUM(START:END!D377)</f>
        <v>#N/A</v>
      </c>
      <c r="E377" s="93" t="e">
        <f t="shared" si="155"/>
        <v>#N/A</v>
      </c>
      <c r="F377" s="39" t="e">
        <f>+SUM(START:END!F377)</f>
        <v>#N/A</v>
      </c>
      <c r="G377" s="55">
        <f>+SUM(START:END!G377)</f>
        <v>0</v>
      </c>
      <c r="H377" s="93">
        <f t="shared" si="156"/>
        <v>0</v>
      </c>
      <c r="I377" s="39">
        <f>+SUM(START:END!I377)</f>
        <v>0</v>
      </c>
      <c r="J377" s="55">
        <f>+SUM(START:END!J377)</f>
        <v>0</v>
      </c>
      <c r="K377" s="93">
        <f t="shared" si="157"/>
        <v>0</v>
      </c>
      <c r="L377" s="39">
        <f>+SUM(START:END!L377)</f>
        <v>0</v>
      </c>
      <c r="M377" s="99" t="e">
        <f t="shared" si="151"/>
        <v>#N/A</v>
      </c>
      <c r="N377" s="39" t="e">
        <f t="shared" si="152"/>
        <v>#N/A</v>
      </c>
      <c r="O377" s="55">
        <f>+SUM(START:END!O377)</f>
        <v>0</v>
      </c>
      <c r="P377" s="93">
        <f t="shared" si="158"/>
        <v>0</v>
      </c>
      <c r="Q377" s="39">
        <f>+SUM(START:END!Q377)</f>
        <v>0</v>
      </c>
      <c r="R377" s="99">
        <f>IF(O377=0,0,(J377-O377)/O377)</f>
        <v>0</v>
      </c>
      <c r="S377" s="39">
        <f>L377-Q377</f>
        <v>0</v>
      </c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spans="1:40" ht="15.75" customHeight="1">
      <c r="A378" s="260" t="str">
        <f t="shared" ref="A378" si="165">+B378&amp;C378</f>
        <v>PiècesEscomptes</v>
      </c>
      <c r="B378" s="7" t="s">
        <v>98</v>
      </c>
      <c r="C378" s="331" t="s">
        <v>106</v>
      </c>
      <c r="D378" s="55" t="e">
        <f>+SUM(START:END!D378)</f>
        <v>#N/A</v>
      </c>
      <c r="E378" s="93" t="e">
        <f t="shared" si="155"/>
        <v>#N/A</v>
      </c>
      <c r="F378" s="39" t="e">
        <f>+SUM(START:END!F378)</f>
        <v>#N/A</v>
      </c>
      <c r="G378" s="55">
        <f>+SUM(START:END!G378)</f>
        <v>0</v>
      </c>
      <c r="H378" s="93">
        <f t="shared" si="156"/>
        <v>0</v>
      </c>
      <c r="I378" s="39">
        <f>+SUM(START:END!I378)</f>
        <v>0</v>
      </c>
      <c r="J378" s="55">
        <f>+SUM(START:END!J378)</f>
        <v>0</v>
      </c>
      <c r="K378" s="93">
        <f t="shared" si="157"/>
        <v>0</v>
      </c>
      <c r="L378" s="39">
        <f>+SUM(START:END!L378)</f>
        <v>26423.960000000006</v>
      </c>
      <c r="M378" s="99"/>
      <c r="N378" s="39" t="e">
        <f t="shared" si="152"/>
        <v>#N/A</v>
      </c>
      <c r="O378" s="55">
        <f>+SUM(START:END!O378)</f>
        <v>0</v>
      </c>
      <c r="P378" s="93">
        <f t="shared" si="158"/>
        <v>0</v>
      </c>
      <c r="Q378" s="39">
        <f>+SUM(START:END!Q378)</f>
        <v>19829.060000000005</v>
      </c>
      <c r="R378" s="99">
        <f t="shared" ref="R378:R379" si="166">IF(O378=0,0,(J378-O378)/O378)</f>
        <v>0</v>
      </c>
      <c r="S378" s="39">
        <f>L378-Q378</f>
        <v>6594.9000000000015</v>
      </c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spans="1:40" ht="15.75" customHeight="1">
      <c r="A379" s="260" t="str">
        <f t="shared" ref="A379" si="167">+B379&amp;C379</f>
        <v>PiècesRectif. Inventaire</v>
      </c>
      <c r="B379" s="7" t="s">
        <v>98</v>
      </c>
      <c r="C379" s="332" t="s">
        <v>107</v>
      </c>
      <c r="D379" s="55" t="e">
        <f>+SUM(START:END!D379)</f>
        <v>#N/A</v>
      </c>
      <c r="E379" s="93" t="e">
        <f t="shared" si="155"/>
        <v>#N/A</v>
      </c>
      <c r="F379" s="39" t="e">
        <f>+SUM(START:END!F379)</f>
        <v>#N/A</v>
      </c>
      <c r="G379" s="55">
        <f>+SUM(START:END!G379)</f>
        <v>0</v>
      </c>
      <c r="H379" s="93">
        <f t="shared" si="156"/>
        <v>0</v>
      </c>
      <c r="I379" s="39">
        <f>+SUM(START:END!I379)</f>
        <v>0</v>
      </c>
      <c r="J379" s="55">
        <f>+SUM(START:END!J379)</f>
        <v>0</v>
      </c>
      <c r="K379" s="93">
        <f t="shared" si="157"/>
        <v>0</v>
      </c>
      <c r="L379" s="39">
        <f>+SUM(START:END!L379)</f>
        <v>5878.3799999999992</v>
      </c>
      <c r="M379" s="99"/>
      <c r="N379" s="39" t="e">
        <f t="shared" si="152"/>
        <v>#N/A</v>
      </c>
      <c r="O379" s="55">
        <f>+SUM(START:END!O379)</f>
        <v>0</v>
      </c>
      <c r="P379" s="93">
        <f t="shared" si="158"/>
        <v>0</v>
      </c>
      <c r="Q379" s="39">
        <f>+SUM(START:END!Q379)</f>
        <v>3424.369999999999</v>
      </c>
      <c r="R379" s="99">
        <f t="shared" si="166"/>
        <v>0</v>
      </c>
      <c r="S379" s="39">
        <f>L379-Q379</f>
        <v>2454.0100000000002</v>
      </c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spans="1:40" ht="15.75" customHeight="1">
      <c r="A380" s="260" t="str">
        <f t="shared" ref="A380" si="168">+B380&amp;C380</f>
        <v>PiècesSous-total Pièces</v>
      </c>
      <c r="B380" s="7" t="s">
        <v>98</v>
      </c>
      <c r="C380" s="333" t="s">
        <v>108</v>
      </c>
      <c r="D380" s="122" t="e">
        <f>SUM(D371:D379)</f>
        <v>#N/A</v>
      </c>
      <c r="E380" s="133" t="e">
        <f>IF(D380&lt;=0,0,F380/D380)</f>
        <v>#N/A</v>
      </c>
      <c r="F380" s="123" t="e">
        <f>SUM(F371:F379)</f>
        <v>#N/A</v>
      </c>
      <c r="G380" s="122">
        <f>SUM(G371:G379)</f>
        <v>0</v>
      </c>
      <c r="H380" s="133">
        <f>IF(G380&lt;=0,0,I380/G380)</f>
        <v>0</v>
      </c>
      <c r="I380" s="123">
        <f>SUM(I371:I379)</f>
        <v>0</v>
      </c>
      <c r="J380" s="122">
        <f>SUM(J371:J379)</f>
        <v>983551.79000000015</v>
      </c>
      <c r="K380" s="133">
        <f>IF(J380&lt;=0,0,L380/J380)</f>
        <v>0.27645147186402874</v>
      </c>
      <c r="L380" s="123">
        <f>SUM(L371:L379)</f>
        <v>271904.34000000014</v>
      </c>
      <c r="M380" s="134" t="e">
        <f>(+J380-D380)/D380</f>
        <v>#N/A</v>
      </c>
      <c r="N380" s="123" t="e">
        <f t="shared" si="152"/>
        <v>#N/A</v>
      </c>
      <c r="O380" s="122">
        <f>SUM(O371:O379)</f>
        <v>1042239.78</v>
      </c>
      <c r="P380" s="133">
        <f>IF(O380&lt;=0,0,Q380/O380)</f>
        <v>0.30014850325517212</v>
      </c>
      <c r="Q380" s="123">
        <f>SUM(Q371:Q379)</f>
        <v>312826.7099999999</v>
      </c>
      <c r="R380" s="134">
        <f>IF(O380=0,0,(J380-O380)/O380)</f>
        <v>-5.630948954951602E-2</v>
      </c>
      <c r="S380" s="123">
        <f>L380-Q380</f>
        <v>-40922.369999999763</v>
      </c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spans="1:40" ht="15.75" customHeight="1">
      <c r="A381" s="260" t="str">
        <f t="shared" ref="A381" si="169">+B381&amp;C381</f>
        <v>Pièces</v>
      </c>
      <c r="B381" s="7" t="s">
        <v>98</v>
      </c>
      <c r="C381" s="331"/>
      <c r="D381" s="7"/>
      <c r="E381" s="7"/>
      <c r="F381" s="25"/>
      <c r="G381" s="26"/>
      <c r="H381" s="7"/>
      <c r="I381" s="25"/>
      <c r="J381" s="40"/>
      <c r="K381" s="7"/>
      <c r="L381" s="39"/>
      <c r="M381" s="26"/>
      <c r="N381" s="28" t="e">
        <f>N380/F380</f>
        <v>#N/A</v>
      </c>
      <c r="O381" s="40"/>
      <c r="P381" s="7"/>
      <c r="Q381" s="39"/>
      <c r="R381" s="26"/>
      <c r="S381" s="28">
        <f>IF(Q380=0,0,S380/Q380)</f>
        <v>-0.13081482076770162</v>
      </c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spans="1:40" ht="15.75" customHeight="1">
      <c r="A382" s="260" t="str">
        <f t="shared" ref="A382" si="170">+B382&amp;C382</f>
        <v>Pièces</v>
      </c>
      <c r="B382" s="7" t="s">
        <v>98</v>
      </c>
      <c r="C382" s="332"/>
      <c r="D382" s="73"/>
      <c r="E382" s="73"/>
      <c r="F382" s="135"/>
      <c r="G382" s="14"/>
      <c r="H382" s="73"/>
      <c r="I382" s="135"/>
      <c r="J382" s="103"/>
      <c r="K382" s="73"/>
      <c r="L382" s="61"/>
      <c r="M382" s="14"/>
      <c r="N382" s="107"/>
      <c r="O382" s="103"/>
      <c r="P382" s="73"/>
      <c r="Q382" s="61"/>
      <c r="R382" s="14"/>
      <c r="S382" s="115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spans="1:40" ht="15.75" customHeight="1">
      <c r="A383" s="260" t="str">
        <f t="shared" ref="A383" si="171">+B383&amp;C383</f>
        <v>PiècesVentes Pneus</v>
      </c>
      <c r="B383" s="7" t="s">
        <v>98</v>
      </c>
      <c r="C383" s="331" t="s">
        <v>109</v>
      </c>
      <c r="D383" s="55" t="e">
        <f>+SUM(START:END!D383)</f>
        <v>#N/A</v>
      </c>
      <c r="E383" s="93" t="e">
        <f>IF(D383=0,0,F383/D383)</f>
        <v>#N/A</v>
      </c>
      <c r="F383" s="72" t="e">
        <f>+SUM(START:END!F383)</f>
        <v>#N/A</v>
      </c>
      <c r="G383" s="55">
        <f>+SUM(START:END!G383)</f>
        <v>0</v>
      </c>
      <c r="H383" s="93">
        <f>IF(G383=0,0,I383/G383)</f>
        <v>0</v>
      </c>
      <c r="I383" s="72">
        <f>+SUM(START:END!I383)</f>
        <v>0</v>
      </c>
      <c r="J383" s="55">
        <f>+SUM(START:END!J383)</f>
        <v>70939.020000000019</v>
      </c>
      <c r="K383" s="93">
        <f>IF(J383=0,0,L383/J383)</f>
        <v>0.10796455885632507</v>
      </c>
      <c r="L383" s="72">
        <f>+SUM(START:END!L383)</f>
        <v>7658.9000000000233</v>
      </c>
      <c r="M383" s="99" t="e">
        <f>(+J383-D383)/D383</f>
        <v>#N/A</v>
      </c>
      <c r="N383" s="39" t="e">
        <f>L383-F383</f>
        <v>#N/A</v>
      </c>
      <c r="O383" s="55">
        <f>+SUM(START:END!O383)</f>
        <v>41459.040000000008</v>
      </c>
      <c r="P383" s="93">
        <f>IF(O383=0,0,Q383/O383)</f>
        <v>0.11044515261327816</v>
      </c>
      <c r="Q383" s="72">
        <f>+SUM(START:END!Q383)</f>
        <v>4578.9500000000044</v>
      </c>
      <c r="R383" s="99">
        <f>IF(O383=0,0,(J383-O383)/O383)</f>
        <v>0.71106277424658182</v>
      </c>
      <c r="S383" s="39">
        <f>L383-Q383</f>
        <v>3079.9500000000189</v>
      </c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spans="1:40" ht="15.75" customHeight="1">
      <c r="A384" s="260" t="str">
        <f t="shared" ref="A384" si="172">+B384&amp;C384</f>
        <v>PiècesHuiles et Graisse</v>
      </c>
      <c r="B384" s="7" t="s">
        <v>98</v>
      </c>
      <c r="C384" s="332" t="s">
        <v>110</v>
      </c>
      <c r="D384" s="55" t="e">
        <f>+SUM(START:END!D384)</f>
        <v>#N/A</v>
      </c>
      <c r="E384" s="93" t="e">
        <f>IF(D384=0,0,F384/D384)</f>
        <v>#N/A</v>
      </c>
      <c r="F384" s="61" t="e">
        <f>+SUM(START:END!F384)</f>
        <v>#N/A</v>
      </c>
      <c r="G384" s="55">
        <f>+SUM(START:END!G384)</f>
        <v>0</v>
      </c>
      <c r="H384" s="93">
        <f>IF(G384=0,0,I384/G384)</f>
        <v>0</v>
      </c>
      <c r="I384" s="61">
        <f>+SUM(START:END!I384)</f>
        <v>0</v>
      </c>
      <c r="J384" s="55">
        <f>+SUM(START:END!J384)</f>
        <v>39912.660000000003</v>
      </c>
      <c r="K384" s="93">
        <f>IF(J384=0,0,L384/J384)</f>
        <v>0.25600674071835844</v>
      </c>
      <c r="L384" s="61">
        <f>+SUM(START:END!L384)</f>
        <v>10217.909999999996</v>
      </c>
      <c r="M384" s="99" t="e">
        <f>(+J384-D384)/D384</f>
        <v>#N/A</v>
      </c>
      <c r="N384" s="39" t="e">
        <f>L384-F384</f>
        <v>#N/A</v>
      </c>
      <c r="O384" s="55">
        <f>+SUM(START:END!O384)</f>
        <v>41217.94</v>
      </c>
      <c r="P384" s="93">
        <f>IF(O384=0,0,Q384/O384)</f>
        <v>0.27849790649411388</v>
      </c>
      <c r="Q384" s="61">
        <f>+SUM(START:END!Q384)</f>
        <v>11479.109999999997</v>
      </c>
      <c r="R384" s="99">
        <f>IF(O384=0,0,(J384-O384)/O384)</f>
        <v>-3.1667764085250225E-2</v>
      </c>
      <c r="S384" s="39">
        <f>L384-Q384</f>
        <v>-1261.2000000000007</v>
      </c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spans="1:40" ht="15.75" customHeight="1">
      <c r="A385" s="260" t="str">
        <f t="shared" ref="A385" si="173">+B385&amp;C385</f>
        <v>PiècesSous-total Pièces et Acc.</v>
      </c>
      <c r="B385" s="7" t="s">
        <v>98</v>
      </c>
      <c r="C385" s="52" t="s">
        <v>111</v>
      </c>
      <c r="D385" s="122" t="e">
        <f>D380+D383+D384</f>
        <v>#N/A</v>
      </c>
      <c r="E385" s="133" t="e">
        <f>IF(D385&lt;=0,0,F385/D385)</f>
        <v>#N/A</v>
      </c>
      <c r="F385" s="123" t="e">
        <f>F380+F383+F384</f>
        <v>#N/A</v>
      </c>
      <c r="G385" s="124">
        <f>G380+G383+G384</f>
        <v>0</v>
      </c>
      <c r="H385" s="133">
        <f>IF(G385&lt;=0,0,I385/G385)</f>
        <v>0</v>
      </c>
      <c r="I385" s="123">
        <f>I380+I383+I384</f>
        <v>0</v>
      </c>
      <c r="J385" s="124">
        <f>J380+J383+J384</f>
        <v>1094403.47</v>
      </c>
      <c r="K385" s="133">
        <f>IF(J385&lt;=0,0,L385/J385)</f>
        <v>0.26478456798021677</v>
      </c>
      <c r="L385" s="123">
        <f>L380+L383+L384</f>
        <v>289781.15000000014</v>
      </c>
      <c r="M385" s="134" t="e">
        <f>(+J385-D385)/D385</f>
        <v>#N/A</v>
      </c>
      <c r="N385" s="123" t="e">
        <f>L385-F385</f>
        <v>#N/A</v>
      </c>
      <c r="O385" s="124">
        <f>O380+O383+O384</f>
        <v>1124916.76</v>
      </c>
      <c r="P385" s="133">
        <f>IF(O385&lt;=0,0,Q385/O385)</f>
        <v>0.29236365008909626</v>
      </c>
      <c r="Q385" s="123">
        <f>Q380+Q383+Q384</f>
        <v>328884.7699999999</v>
      </c>
      <c r="R385" s="134">
        <f>IF(O385=0,0,(J385-O385)/O385)</f>
        <v>-2.7124931448261148E-2</v>
      </c>
      <c r="S385" s="123">
        <f>L385-Q385</f>
        <v>-39103.619999999763</v>
      </c>
      <c r="T385" s="7"/>
      <c r="U385" s="55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spans="1:40" ht="21" hidden="1" customHeight="1">
      <c r="A386" s="260" t="str">
        <f t="shared" ref="A386" si="174">+B386&amp;C386</f>
        <v>Pièces</v>
      </c>
      <c r="B386" s="7" t="s">
        <v>98</v>
      </c>
      <c r="C386" s="26"/>
      <c r="D386" s="7"/>
      <c r="E386" s="7"/>
      <c r="F386" s="25"/>
      <c r="G386" s="26"/>
      <c r="H386" s="7"/>
      <c r="I386" s="25"/>
      <c r="J386" s="40"/>
      <c r="K386" s="7"/>
      <c r="L386" s="39"/>
      <c r="M386" s="26"/>
      <c r="N386" s="28" t="e">
        <f>N385/F385</f>
        <v>#N/A</v>
      </c>
      <c r="O386" s="40"/>
      <c r="P386" s="7"/>
      <c r="Q386" s="39"/>
      <c r="R386" s="26"/>
      <c r="S386" s="112">
        <f>IF(Q385=0,0,S385/Q385)</f>
        <v>-0.11889763092404605</v>
      </c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spans="1:40" ht="21" hidden="1" customHeight="1">
      <c r="A387" s="260" t="str">
        <f t="shared" ref="A387" si="175">+B387&amp;C387</f>
        <v>PiècesPièces recond. MCPA</v>
      </c>
      <c r="B387" s="7" t="s">
        <v>98</v>
      </c>
      <c r="C387" s="26" t="s">
        <v>189</v>
      </c>
      <c r="D387" s="7">
        <f>+SUM(START:END!D387)</f>
        <v>0</v>
      </c>
      <c r="E387" s="7">
        <f>IF(D387=0,0,F387/D387)</f>
        <v>0</v>
      </c>
      <c r="F387" s="25">
        <f>+SUM(START:END!F387)</f>
        <v>0</v>
      </c>
      <c r="G387" s="26">
        <f>+SUM(START:END!G387)</f>
        <v>0</v>
      </c>
      <c r="H387" s="7">
        <f>IF(G387=0,0,I387/G387)</f>
        <v>0</v>
      </c>
      <c r="I387" s="25">
        <f>+SUM(START:END!I387)</f>
        <v>0</v>
      </c>
      <c r="J387" s="40">
        <f>+SUM(START:END!J387)</f>
        <v>0</v>
      </c>
      <c r="K387" s="7">
        <f>IF(J387=0,0,L387/J387)</f>
        <v>0</v>
      </c>
      <c r="L387" s="39">
        <f>+SUM(START:END!L387)</f>
        <v>0</v>
      </c>
      <c r="M387" s="26"/>
      <c r="N387" s="28"/>
      <c r="O387" s="40">
        <f>+SUM(START:END!O387)</f>
        <v>0</v>
      </c>
      <c r="P387" s="7">
        <f>IF(O387=0,0,Q387/O387)</f>
        <v>0</v>
      </c>
      <c r="Q387" s="39">
        <f>+SUM(START:END!Q387)</f>
        <v>0</v>
      </c>
      <c r="R387" s="26"/>
      <c r="S387" s="112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spans="1:40" ht="20.399999999999999" hidden="1" customHeight="1">
      <c r="A388" s="260" t="str">
        <f t="shared" ref="A388" si="176">+B388&amp;C388</f>
        <v>PiècesAutostock</v>
      </c>
      <c r="B388" s="7" t="s">
        <v>98</v>
      </c>
      <c r="C388" s="14" t="s">
        <v>112</v>
      </c>
      <c r="D388" s="58" t="e">
        <f>+SUM(START:END!D388)</f>
        <v>#N/A</v>
      </c>
      <c r="E388" s="136" t="e">
        <f>IF(D388=0,0,F388/D388)</f>
        <v>#N/A</v>
      </c>
      <c r="F388" s="61" t="e">
        <f>+SUM(START:END!F388)</f>
        <v>#N/A</v>
      </c>
      <c r="G388" s="103">
        <f>+SUM(START:END!G388)</f>
        <v>0</v>
      </c>
      <c r="H388" s="136">
        <f>IF(G388=0,0,I388/G388)</f>
        <v>0</v>
      </c>
      <c r="I388" s="61">
        <f>+SUM(START:END!I388)</f>
        <v>0</v>
      </c>
      <c r="J388" s="103">
        <f>+SUM(START:END!J388)</f>
        <v>0</v>
      </c>
      <c r="K388" s="136">
        <f>IF(J388=0,0,L388/J388)</f>
        <v>0</v>
      </c>
      <c r="L388" s="61">
        <f>+SUM(START:END!L388)</f>
        <v>0</v>
      </c>
      <c r="M388" s="136" t="e">
        <f>IF(F388=0,0,(+L388-F388)/F388)</f>
        <v>#N/A</v>
      </c>
      <c r="N388" s="61" t="e">
        <f>L388-F388</f>
        <v>#N/A</v>
      </c>
      <c r="O388" s="103">
        <f>+SUM(START:END!O388)</f>
        <v>0</v>
      </c>
      <c r="P388" s="136">
        <f>IF(O388=0,0,Q388/O388)</f>
        <v>0</v>
      </c>
      <c r="Q388" s="61">
        <f>+SUM(START:END!Q388)</f>
        <v>0</v>
      </c>
      <c r="R388" s="136">
        <f>IF(S388=0,0,(+O388-K388)/K388)</f>
        <v>0</v>
      </c>
      <c r="S388" s="61">
        <f>L388-Q388</f>
        <v>0</v>
      </c>
      <c r="T388" s="7"/>
      <c r="U388" s="55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spans="1:40" ht="15.75" customHeight="1" thickBot="1">
      <c r="A389" s="260" t="str">
        <f t="shared" ref="A389" si="177">+B389&amp;C389</f>
        <v>Pièces</v>
      </c>
      <c r="B389" s="7" t="s">
        <v>98</v>
      </c>
      <c r="C389" s="26"/>
      <c r="D389" s="55"/>
      <c r="E389" s="93"/>
      <c r="F389" s="39"/>
      <c r="G389" s="40"/>
      <c r="H389" s="93"/>
      <c r="I389" s="39"/>
      <c r="J389" s="40"/>
      <c r="K389" s="93"/>
      <c r="L389" s="39"/>
      <c r="M389" s="99"/>
      <c r="N389" s="39"/>
      <c r="O389" s="40"/>
      <c r="P389" s="93"/>
      <c r="Q389" s="39"/>
      <c r="R389" s="99"/>
      <c r="S389" s="39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spans="1:40" ht="18" customHeight="1" thickTop="1">
      <c r="A390" s="260" t="str">
        <f t="shared" ref="A390" si="178">+B390&amp;C390</f>
        <v>PiècesTotal Dépt. Pièces</v>
      </c>
      <c r="B390" s="7" t="s">
        <v>98</v>
      </c>
      <c r="C390" s="264" t="s">
        <v>113</v>
      </c>
      <c r="D390" s="41" t="e">
        <f>D385+D388+D387</f>
        <v>#N/A</v>
      </c>
      <c r="E390" s="42" t="e">
        <f>IF(D390&lt;=0,0,F390/D390)</f>
        <v>#N/A</v>
      </c>
      <c r="F390" s="43" t="e">
        <f>F385+F388+F387</f>
        <v>#N/A</v>
      </c>
      <c r="G390" s="44">
        <f>G385+G388+G387</f>
        <v>0</v>
      </c>
      <c r="H390" s="42">
        <f>IF(G390&lt;=0,0,I390/G390)</f>
        <v>0</v>
      </c>
      <c r="I390" s="43">
        <f>I385+I388+I387</f>
        <v>0</v>
      </c>
      <c r="J390" s="44">
        <f>J385+J388+J387</f>
        <v>1094403.47</v>
      </c>
      <c r="K390" s="137">
        <f>IF(J390&lt;=0,0,L390/J390)</f>
        <v>0.26478456798021677</v>
      </c>
      <c r="L390" s="43">
        <f>L385+L388+L387</f>
        <v>289781.15000000014</v>
      </c>
      <c r="M390" s="44" t="e">
        <f>(+J390-D390)/D390</f>
        <v>#N/A</v>
      </c>
      <c r="N390" s="43" t="e">
        <f>L390-F390</f>
        <v>#N/A</v>
      </c>
      <c r="O390" s="44">
        <f>O385+O388+O387</f>
        <v>1124916.76</v>
      </c>
      <c r="P390" s="137">
        <f>IF(O390&lt;=0,0,Q390/O390)</f>
        <v>0.29236365008909626</v>
      </c>
      <c r="Q390" s="43">
        <f>Q385+Q388+Q387</f>
        <v>328884.7699999999</v>
      </c>
      <c r="R390" s="129">
        <f>IF(O390=0,0,(J390-O390)/O390)</f>
        <v>-2.7124931448261148E-2</v>
      </c>
      <c r="S390" s="43">
        <f>L390-Q390</f>
        <v>-39103.619999999763</v>
      </c>
      <c r="T390" s="7"/>
      <c r="U390" s="55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spans="1:40" ht="22.5" customHeight="1" thickBot="1">
      <c r="A391" s="260" t="str">
        <f t="shared" ref="A391" si="179">+B391&amp;C391</f>
        <v>Pièces</v>
      </c>
      <c r="B391" s="7" t="s">
        <v>98</v>
      </c>
      <c r="C391" s="47"/>
      <c r="D391" s="45"/>
      <c r="E391" s="45"/>
      <c r="F391" s="46"/>
      <c r="G391" s="47"/>
      <c r="H391" s="45"/>
      <c r="I391" s="46"/>
      <c r="J391" s="47"/>
      <c r="K391" s="265"/>
      <c r="L391" s="266"/>
      <c r="M391" s="48"/>
      <c r="N391" s="49" t="e">
        <f>N390/F390</f>
        <v>#N/A</v>
      </c>
      <c r="O391" s="47"/>
      <c r="P391" s="265"/>
      <c r="Q391" s="267"/>
      <c r="R391" s="48"/>
      <c r="S391" s="267">
        <f>IF(Q390=0,0,S390/Q390)</f>
        <v>-0.11889763092404605</v>
      </c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spans="1:40" ht="15.75" customHeight="1" thickTop="1">
      <c r="A392" s="260" t="str">
        <f t="shared" ref="A392" si="180">+B392&amp;C392</f>
        <v>Pièces</v>
      </c>
      <c r="B392" s="7" t="s">
        <v>98</v>
      </c>
      <c r="C392" s="52"/>
      <c r="D392" s="74"/>
      <c r="E392" s="110"/>
      <c r="F392" s="112"/>
      <c r="G392" s="111"/>
      <c r="H392" s="110"/>
      <c r="I392" s="112"/>
      <c r="J392" s="111"/>
      <c r="K392" s="110"/>
      <c r="L392" s="112"/>
      <c r="M392" s="26"/>
      <c r="N392" s="28"/>
      <c r="O392" s="111"/>
      <c r="P392" s="110"/>
      <c r="Q392" s="112"/>
      <c r="R392" s="26"/>
      <c r="S392" s="28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spans="1:40" ht="15.75" customHeight="1">
      <c r="A393" s="260" t="str">
        <f t="shared" ref="A393" si="181">+B393&amp;C393</f>
        <v>PiècesDEPENSES</v>
      </c>
      <c r="B393" s="7" t="s">
        <v>98</v>
      </c>
      <c r="C393" s="268" t="s">
        <v>29</v>
      </c>
      <c r="D393" s="7"/>
      <c r="E393" s="7"/>
      <c r="F393" s="39"/>
      <c r="G393" s="26"/>
      <c r="H393" s="7"/>
      <c r="I393" s="39"/>
      <c r="J393" s="26"/>
      <c r="K393" s="7"/>
      <c r="L393" s="25"/>
      <c r="M393" s="26"/>
      <c r="N393" s="25"/>
      <c r="O393" s="26"/>
      <c r="P393" s="7"/>
      <c r="Q393" s="25"/>
      <c r="R393" s="26"/>
      <c r="S393" s="25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spans="1:40" ht="15.75" customHeight="1">
      <c r="A394" s="260" t="str">
        <f t="shared" ref="A394" si="182">+B394&amp;C394</f>
        <v>PiècesSalaires cadres</v>
      </c>
      <c r="B394" s="7" t="s">
        <v>98</v>
      </c>
      <c r="C394" s="271" t="s">
        <v>40</v>
      </c>
      <c r="D394" s="7"/>
      <c r="E394" s="7"/>
      <c r="F394" s="19" t="e">
        <f>+SUM(START:END!F394)</f>
        <v>#N/A</v>
      </c>
      <c r="G394" s="26"/>
      <c r="H394" s="7"/>
      <c r="I394" s="19">
        <f>+SUM(START:END!I394)</f>
        <v>0</v>
      </c>
      <c r="J394" s="26"/>
      <c r="K394" s="7"/>
      <c r="L394" s="39">
        <f>+SUM(START:END!L394)</f>
        <v>22866.26</v>
      </c>
      <c r="M394" s="26"/>
      <c r="N394" s="21" t="e">
        <f t="shared" ref="N394:N404" si="183">L394-F394</f>
        <v>#N/A</v>
      </c>
      <c r="O394" s="26"/>
      <c r="P394" s="7"/>
      <c r="Q394" s="39">
        <f>+SUM(START:END!Q394)</f>
        <v>2585.7299999999996</v>
      </c>
      <c r="R394" s="26"/>
      <c r="S394" s="39">
        <f t="shared" ref="S394:S397" si="184">L394-Q394</f>
        <v>20280.53</v>
      </c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spans="1:40" ht="15.75" customHeight="1">
      <c r="A395" s="260" t="str">
        <f t="shared" ref="A395" si="185">+B395&amp;C395</f>
        <v>PiècesSalaires commis</v>
      </c>
      <c r="B395" s="7" t="s">
        <v>98</v>
      </c>
      <c r="C395" s="272" t="s">
        <v>41</v>
      </c>
      <c r="D395" s="54"/>
      <c r="E395" s="7"/>
      <c r="F395" s="31" t="e">
        <f>+SUM(START:END!F395)</f>
        <v>#N/A</v>
      </c>
      <c r="G395" s="56"/>
      <c r="H395" s="7"/>
      <c r="I395" s="31">
        <f>+SUM(START:END!I395)</f>
        <v>0</v>
      </c>
      <c r="J395" s="26"/>
      <c r="K395" s="7"/>
      <c r="L395" s="39">
        <f>+SUM(START:END!L395)</f>
        <v>7280.4000000000015</v>
      </c>
      <c r="M395" s="26"/>
      <c r="N395" s="21" t="e">
        <f t="shared" si="183"/>
        <v>#N/A</v>
      </c>
      <c r="O395" s="26"/>
      <c r="P395" s="7"/>
      <c r="Q395" s="39">
        <f>+SUM(START:END!Q395)</f>
        <v>8485.7799999999988</v>
      </c>
      <c r="R395" s="26"/>
      <c r="S395" s="39">
        <f t="shared" si="184"/>
        <v>-1205.3799999999974</v>
      </c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spans="1:40" ht="15.75" customHeight="1">
      <c r="A396" s="260" t="str">
        <f t="shared" ref="A396" si="186">+B396&amp;C396</f>
        <v>PiècesSalaires autres</v>
      </c>
      <c r="B396" s="7" t="s">
        <v>98</v>
      </c>
      <c r="C396" s="271" t="s">
        <v>42</v>
      </c>
      <c r="D396" s="68"/>
      <c r="E396" s="69"/>
      <c r="F396" s="19" t="e">
        <f>+SUM(START:END!F396)</f>
        <v>#N/A</v>
      </c>
      <c r="G396" s="70"/>
      <c r="H396" s="69"/>
      <c r="I396" s="19">
        <f>+SUM(START:END!I396)</f>
        <v>0</v>
      </c>
      <c r="J396" s="71"/>
      <c r="K396" s="69"/>
      <c r="L396" s="72">
        <f>+SUM(START:END!L396)</f>
        <v>42474.61</v>
      </c>
      <c r="M396" s="71"/>
      <c r="N396" s="36" t="e">
        <f t="shared" si="183"/>
        <v>#N/A</v>
      </c>
      <c r="O396" s="71"/>
      <c r="P396" s="69"/>
      <c r="Q396" s="72">
        <f>+SUM(START:END!Q396)</f>
        <v>58997.91</v>
      </c>
      <c r="R396" s="71"/>
      <c r="S396" s="72">
        <f t="shared" si="184"/>
        <v>-16523.300000000003</v>
      </c>
      <c r="T396" s="7"/>
      <c r="U396" s="334"/>
      <c r="V396" s="334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spans="1:40" ht="20.399999999999999" hidden="1" customHeight="1">
      <c r="A397" s="260" t="str">
        <f t="shared" ref="A397" si="187">+B397&amp;C397</f>
        <v>PiècesSalaires spécialistes</v>
      </c>
      <c r="B397" s="7" t="s">
        <v>98</v>
      </c>
      <c r="C397" s="271" t="s">
        <v>43</v>
      </c>
      <c r="D397" s="54"/>
      <c r="E397" s="7"/>
      <c r="F397" s="19" t="e">
        <f>+SUM(START:END!F397)</f>
        <v>#N/A</v>
      </c>
      <c r="G397" s="56"/>
      <c r="H397" s="7"/>
      <c r="I397" s="19">
        <f>+SUM(START:END!I397)</f>
        <v>0</v>
      </c>
      <c r="J397" s="26"/>
      <c r="K397" s="7"/>
      <c r="L397" s="39">
        <f>+SUM(START:END!L397)</f>
        <v>0</v>
      </c>
      <c r="M397" s="26"/>
      <c r="N397" s="21" t="e">
        <f t="shared" si="183"/>
        <v>#N/A</v>
      </c>
      <c r="O397" s="26"/>
      <c r="P397" s="7"/>
      <c r="Q397" s="39">
        <f>+SUM(START:END!Q397)</f>
        <v>0</v>
      </c>
      <c r="R397" s="26"/>
      <c r="S397" s="39">
        <f t="shared" si="184"/>
        <v>0</v>
      </c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spans="1:40" ht="20.399999999999999" hidden="1" customHeight="1">
      <c r="A398" s="260" t="str">
        <f t="shared" ref="A398" si="188">+B398&amp;C398</f>
        <v>Pièces[...]</v>
      </c>
      <c r="B398" s="7" t="s">
        <v>98</v>
      </c>
      <c r="C398" s="26" t="s">
        <v>19</v>
      </c>
      <c r="D398" s="54"/>
      <c r="E398" s="7"/>
      <c r="F398" s="19" t="e">
        <f>+SUM(START:END!F398)</f>
        <v>#N/A</v>
      </c>
      <c r="G398" s="56"/>
      <c r="H398" s="7"/>
      <c r="I398" s="19">
        <f>+SUM(START:END!I398)</f>
        <v>0</v>
      </c>
      <c r="J398" s="26"/>
      <c r="K398" s="7"/>
      <c r="L398" s="39">
        <f>+SUM(START:END!L398)</f>
        <v>0</v>
      </c>
      <c r="M398" s="26"/>
      <c r="N398" s="21" t="e">
        <f t="shared" si="183"/>
        <v>#N/A</v>
      </c>
      <c r="O398" s="26"/>
      <c r="P398" s="7"/>
      <c r="Q398" s="39">
        <f>+SUM(START:END!Q398)</f>
        <v>0</v>
      </c>
      <c r="R398" s="26"/>
      <c r="S398" s="39">
        <f>L398-Q398</f>
        <v>0</v>
      </c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spans="1:40" ht="20.399999999999999" hidden="1" customHeight="1">
      <c r="A399" s="260" t="str">
        <f t="shared" ref="A399" si="189">+B399&amp;C399</f>
        <v>Pièces[...]</v>
      </c>
      <c r="B399" s="7" t="s">
        <v>98</v>
      </c>
      <c r="C399" s="26" t="s">
        <v>19</v>
      </c>
      <c r="D399" s="54"/>
      <c r="E399" s="7"/>
      <c r="F399" s="19" t="e">
        <f>+SUM(START:END!F399)</f>
        <v>#N/A</v>
      </c>
      <c r="G399" s="56"/>
      <c r="H399" s="7"/>
      <c r="I399" s="19">
        <f>+SUM(START:END!I399)</f>
        <v>0</v>
      </c>
      <c r="J399" s="26"/>
      <c r="K399" s="7"/>
      <c r="L399" s="39">
        <f>+SUM(START:END!L399)</f>
        <v>0</v>
      </c>
      <c r="M399" s="26"/>
      <c r="N399" s="21" t="e">
        <f t="shared" si="183"/>
        <v>#N/A</v>
      </c>
      <c r="O399" s="26"/>
      <c r="P399" s="7"/>
      <c r="Q399" s="39">
        <f>+SUM(START:END!Q399)</f>
        <v>0</v>
      </c>
      <c r="R399" s="26"/>
      <c r="S399" s="39">
        <f>L399-Q399</f>
        <v>0</v>
      </c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spans="1:40" ht="20.399999999999999" hidden="1" customHeight="1">
      <c r="A400" s="260" t="str">
        <f t="shared" ref="A400" si="190">+B400&amp;C400</f>
        <v>Pièces[...]</v>
      </c>
      <c r="B400" s="7" t="s">
        <v>98</v>
      </c>
      <c r="C400" s="26" t="s">
        <v>19</v>
      </c>
      <c r="D400" s="54"/>
      <c r="E400" s="7"/>
      <c r="F400" s="19" t="e">
        <f>+SUM(START:END!F400)</f>
        <v>#N/A</v>
      </c>
      <c r="G400" s="56"/>
      <c r="H400" s="7"/>
      <c r="I400" s="19">
        <f>+SUM(START:END!I400)</f>
        <v>0</v>
      </c>
      <c r="J400" s="26"/>
      <c r="K400" s="7"/>
      <c r="L400" s="39">
        <f>+SUM(START:END!L400)</f>
        <v>0</v>
      </c>
      <c r="M400" s="26"/>
      <c r="N400" s="21" t="e">
        <f t="shared" si="183"/>
        <v>#N/A</v>
      </c>
      <c r="O400" s="26"/>
      <c r="P400" s="7"/>
      <c r="Q400" s="39">
        <f>+SUM(START:END!Q400)</f>
        <v>0</v>
      </c>
      <c r="R400" s="26"/>
      <c r="S400" s="39">
        <f>L400-Q400</f>
        <v>0</v>
      </c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spans="1:40" ht="15.75" customHeight="1">
      <c r="A401" s="260" t="str">
        <f t="shared" ref="A401" si="191">+B401&amp;C401</f>
        <v>PiècesSalaires en absences</v>
      </c>
      <c r="B401" s="7" t="s">
        <v>98</v>
      </c>
      <c r="C401" s="272" t="s">
        <v>44</v>
      </c>
      <c r="D401" s="54"/>
      <c r="E401" s="7"/>
      <c r="F401" s="31" t="e">
        <f>+SUM(START:END!F401)</f>
        <v>#N/A</v>
      </c>
      <c r="G401" s="56"/>
      <c r="H401" s="7"/>
      <c r="I401" s="31">
        <f>+SUM(START:END!I401)</f>
        <v>0</v>
      </c>
      <c r="J401" s="26"/>
      <c r="K401" s="7"/>
      <c r="L401" s="39">
        <f>+SUM(START:END!L401)</f>
        <v>7780.9600000000009</v>
      </c>
      <c r="M401" s="26"/>
      <c r="N401" s="21" t="e">
        <f t="shared" si="183"/>
        <v>#N/A</v>
      </c>
      <c r="O401" s="26"/>
      <c r="P401" s="7"/>
      <c r="Q401" s="39">
        <f>+SUM(START:END!Q401)</f>
        <v>6517.2999999999993</v>
      </c>
      <c r="R401" s="26"/>
      <c r="S401" s="39">
        <f t="shared" ref="S401:S404" si="192">L401-Q401</f>
        <v>1263.6600000000017</v>
      </c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spans="1:40" ht="15.75" customHeight="1">
      <c r="A402" s="260" t="str">
        <f t="shared" ref="A402" si="193">+B402&amp;C402</f>
        <v>PiècesDéduction à la source</v>
      </c>
      <c r="B402" s="7" t="s">
        <v>98</v>
      </c>
      <c r="C402" s="271" t="s">
        <v>45</v>
      </c>
      <c r="D402" s="68"/>
      <c r="E402" s="69"/>
      <c r="F402" s="19" t="e">
        <f>+SUM(START:END!F402)</f>
        <v>#N/A</v>
      </c>
      <c r="G402" s="70"/>
      <c r="H402" s="69"/>
      <c r="I402" s="19">
        <f>+SUM(START:END!I402)</f>
        <v>0</v>
      </c>
      <c r="J402" s="71"/>
      <c r="K402" s="69"/>
      <c r="L402" s="72">
        <f>+SUM(START:END!L402)</f>
        <v>10438.84</v>
      </c>
      <c r="M402" s="71"/>
      <c r="N402" s="36" t="e">
        <f t="shared" si="183"/>
        <v>#N/A</v>
      </c>
      <c r="O402" s="71"/>
      <c r="P402" s="69"/>
      <c r="Q402" s="72">
        <f>+SUM(START:END!Q402)</f>
        <v>8603.119999999999</v>
      </c>
      <c r="R402" s="71"/>
      <c r="S402" s="72">
        <f t="shared" si="192"/>
        <v>1835.7200000000012</v>
      </c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spans="1:40" ht="15.75" customHeight="1">
      <c r="A403" s="260" t="str">
        <f t="shared" ref="A403" si="194">+B403&amp;C403</f>
        <v>PiècesBénéfices marginaux</v>
      </c>
      <c r="B403" s="7" t="s">
        <v>98</v>
      </c>
      <c r="C403" s="271" t="s">
        <v>46</v>
      </c>
      <c r="D403" s="54"/>
      <c r="E403" s="7"/>
      <c r="F403" s="19" t="e">
        <f>+SUM(START:END!F403)</f>
        <v>#N/A</v>
      </c>
      <c r="G403" s="56"/>
      <c r="H403" s="7"/>
      <c r="I403" s="19">
        <f>+SUM(START:END!I403)</f>
        <v>0</v>
      </c>
      <c r="J403" s="26"/>
      <c r="K403" s="7"/>
      <c r="L403" s="39">
        <f>+SUM(START:END!L403)</f>
        <v>1934.2300000000005</v>
      </c>
      <c r="M403" s="26"/>
      <c r="N403" s="21" t="e">
        <f t="shared" si="183"/>
        <v>#N/A</v>
      </c>
      <c r="O403" s="26"/>
      <c r="P403" s="7"/>
      <c r="Q403" s="39">
        <f>+SUM(START:END!Q403)</f>
        <v>3758.6800000000003</v>
      </c>
      <c r="R403" s="26"/>
      <c r="S403" s="39">
        <f t="shared" si="192"/>
        <v>-1824.4499999999998</v>
      </c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spans="1:40" ht="15.75" customHeight="1">
      <c r="A404" s="260" t="str">
        <f t="shared" ref="A404" si="195">+B404&amp;C404</f>
        <v>PiècesCsst</v>
      </c>
      <c r="B404" s="7" t="s">
        <v>98</v>
      </c>
      <c r="C404" s="271" t="s">
        <v>47</v>
      </c>
      <c r="D404" s="54"/>
      <c r="E404" s="7"/>
      <c r="F404" s="19" t="e">
        <f>+SUM(START:END!F404)</f>
        <v>#N/A</v>
      </c>
      <c r="G404" s="56"/>
      <c r="H404" s="7"/>
      <c r="I404" s="19">
        <f>+SUM(START:END!I404)</f>
        <v>0</v>
      </c>
      <c r="J404" s="26"/>
      <c r="K404" s="7"/>
      <c r="L404" s="39">
        <f>+SUM(START:END!L404)</f>
        <v>3705.5499999999993</v>
      </c>
      <c r="M404" s="26"/>
      <c r="N404" s="21" t="e">
        <f t="shared" si="183"/>
        <v>#N/A</v>
      </c>
      <c r="O404" s="26"/>
      <c r="P404" s="7"/>
      <c r="Q404" s="39">
        <f>+SUM(START:END!Q404)</f>
        <v>526.75</v>
      </c>
      <c r="R404" s="26"/>
      <c r="S404" s="39">
        <f t="shared" si="192"/>
        <v>3178.7999999999993</v>
      </c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spans="1:40" ht="20.399999999999999" hidden="1" customHeight="1">
      <c r="A405" s="260" t="str">
        <f t="shared" ref="A405" si="196">+B405&amp;C405</f>
        <v>Pièces[...]</v>
      </c>
      <c r="B405" s="7" t="s">
        <v>98</v>
      </c>
      <c r="C405" s="26" t="s">
        <v>19</v>
      </c>
      <c r="D405" s="57"/>
      <c r="E405" s="73"/>
      <c r="F405" s="19" t="e">
        <f>+SUM(START:END!F405)</f>
        <v>#N/A</v>
      </c>
      <c r="G405" s="59"/>
      <c r="H405" s="73"/>
      <c r="I405" s="19">
        <f>+SUM(START:END!I405)</f>
        <v>0</v>
      </c>
      <c r="J405" s="14"/>
      <c r="K405" s="73"/>
      <c r="L405" s="39">
        <f>+SUM(START:END!L405)</f>
        <v>0</v>
      </c>
      <c r="M405" s="14"/>
      <c r="N405" s="61" t="e">
        <f>L405-F405</f>
        <v>#N/A</v>
      </c>
      <c r="O405" s="14"/>
      <c r="P405" s="73"/>
      <c r="Q405" s="39">
        <f>+SUM(START:END!Q405)</f>
        <v>0</v>
      </c>
      <c r="R405" s="14"/>
      <c r="S405" s="61">
        <f>L405-Q405</f>
        <v>0</v>
      </c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spans="1:40" ht="18.600000000000001" customHeight="1">
      <c r="A406" s="260" t="str">
        <f t="shared" ref="A406" si="197">+B406&amp;C406</f>
        <v>PiècesTOTAL PERSONNEL</v>
      </c>
      <c r="B406" s="7" t="s">
        <v>98</v>
      </c>
      <c r="C406" s="139" t="s">
        <v>48</v>
      </c>
      <c r="D406" s="62" t="s">
        <v>38</v>
      </c>
      <c r="E406" s="63" t="e">
        <f>F406/F$314</f>
        <v>#N/A</v>
      </c>
      <c r="F406" s="64" t="e">
        <f>+SUM(F394:F405)</f>
        <v>#N/A</v>
      </c>
      <c r="G406" s="65" t="s">
        <v>38</v>
      </c>
      <c r="H406" s="63" t="e">
        <f>I406/I$314</f>
        <v>#DIV/0!</v>
      </c>
      <c r="I406" s="64">
        <f>+SUM(I394:I405)</f>
        <v>0</v>
      </c>
      <c r="J406" s="65" t="s">
        <v>38</v>
      </c>
      <c r="K406" s="63" t="e">
        <f>L406/L$314</f>
        <v>#DIV/0!</v>
      </c>
      <c r="L406" s="64">
        <f>+SUM(L394:L405)</f>
        <v>96480.85</v>
      </c>
      <c r="M406" s="66"/>
      <c r="N406" s="64" t="e">
        <f t="shared" ref="N406:N424" si="198">L406-F406</f>
        <v>#N/A</v>
      </c>
      <c r="O406" s="65" t="s">
        <v>38</v>
      </c>
      <c r="P406" s="63" t="e">
        <f>Q406/Q$314</f>
        <v>#DIV/0!</v>
      </c>
      <c r="Q406" s="64">
        <f>+SUM(Q394:Q405)</f>
        <v>89475.26999999999</v>
      </c>
      <c r="R406" s="67"/>
      <c r="S406" s="64">
        <f t="shared" ref="S406:S412" si="199">L406-Q406</f>
        <v>7005.5800000000163</v>
      </c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spans="1:40" ht="15.75" customHeight="1">
      <c r="A407" s="260" t="str">
        <f t="shared" ref="A407" si="200">+B407&amp;C407</f>
        <v>PiècesPublicité 2</v>
      </c>
      <c r="B407" s="7" t="s">
        <v>98</v>
      </c>
      <c r="C407" s="329" t="s">
        <v>49</v>
      </c>
      <c r="D407" s="54"/>
      <c r="E407" s="7"/>
      <c r="F407" s="19" t="e">
        <f>+SUM(START:END!F407)</f>
        <v>#N/A</v>
      </c>
      <c r="G407" s="56"/>
      <c r="H407" s="7"/>
      <c r="I407" s="19">
        <f>+SUM(START:END!I407)</f>
        <v>0</v>
      </c>
      <c r="J407" s="26"/>
      <c r="K407" s="7"/>
      <c r="L407" s="39">
        <f>+SUM(START:END!L407)</f>
        <v>2853.98</v>
      </c>
      <c r="M407" s="26"/>
      <c r="N407" s="39" t="e">
        <f t="shared" si="198"/>
        <v>#N/A</v>
      </c>
      <c r="O407" s="26"/>
      <c r="P407" s="7"/>
      <c r="Q407" s="39">
        <f>+SUM(START:END!Q407)</f>
        <v>3777.0599999999995</v>
      </c>
      <c r="R407" s="26"/>
      <c r="S407" s="39">
        <f t="shared" si="199"/>
        <v>-923.07999999999947</v>
      </c>
      <c r="T407" s="7"/>
      <c r="U407" s="7"/>
      <c r="V407" s="7"/>
      <c r="W407" s="55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spans="1:40" ht="15.75" customHeight="1">
      <c r="A408" s="260" t="str">
        <f t="shared" ref="A408" si="201">+B408&amp;C408</f>
        <v>PiècesService gratuit 2</v>
      </c>
      <c r="B408" s="7" t="s">
        <v>98</v>
      </c>
      <c r="C408" s="271" t="s">
        <v>50</v>
      </c>
      <c r="D408" s="54"/>
      <c r="E408" s="7"/>
      <c r="F408" s="19" t="e">
        <f>+SUM(START:END!F408)</f>
        <v>#N/A</v>
      </c>
      <c r="G408" s="56"/>
      <c r="H408" s="7"/>
      <c r="I408" s="19">
        <f>+SUM(START:END!I408)</f>
        <v>0</v>
      </c>
      <c r="J408" s="26"/>
      <c r="K408" s="7"/>
      <c r="L408" s="39">
        <f>+SUM(START:END!L408)</f>
        <v>53.47</v>
      </c>
      <c r="M408" s="26"/>
      <c r="N408" s="39" t="e">
        <f t="shared" si="198"/>
        <v>#N/A</v>
      </c>
      <c r="O408" s="26"/>
      <c r="P408" s="7"/>
      <c r="Q408" s="39">
        <f>+SUM(START:END!Q408)</f>
        <v>1210.71</v>
      </c>
      <c r="R408" s="26"/>
      <c r="S408" s="39">
        <f t="shared" si="199"/>
        <v>-1157.24</v>
      </c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spans="1:40" ht="15.75" customHeight="1">
      <c r="A409" s="260" t="str">
        <f t="shared" ref="A409" si="202">+B409&amp;C409</f>
        <v>PiècesFrais véhicules de cie</v>
      </c>
      <c r="B409" s="7" t="s">
        <v>98</v>
      </c>
      <c r="C409" s="272" t="s">
        <v>51</v>
      </c>
      <c r="D409" s="57"/>
      <c r="E409" s="73"/>
      <c r="F409" s="31" t="e">
        <f>+SUM(START:END!F409)</f>
        <v>#N/A</v>
      </c>
      <c r="G409" s="59"/>
      <c r="H409" s="73"/>
      <c r="I409" s="31">
        <f>+SUM(START:END!I409)</f>
        <v>0</v>
      </c>
      <c r="J409" s="14"/>
      <c r="K409" s="73"/>
      <c r="L409" s="61">
        <f>+SUM(START:END!L409)</f>
        <v>5832.4199999999983</v>
      </c>
      <c r="M409" s="14"/>
      <c r="N409" s="61" t="e">
        <f t="shared" si="198"/>
        <v>#N/A</v>
      </c>
      <c r="O409" s="14"/>
      <c r="P409" s="73"/>
      <c r="Q409" s="61">
        <f>+SUM(START:END!Q409)</f>
        <v>7768.8099999999977</v>
      </c>
      <c r="R409" s="14"/>
      <c r="S409" s="61">
        <f t="shared" si="199"/>
        <v>-1936.3899999999994</v>
      </c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spans="1:40" ht="15.75" customHeight="1">
      <c r="A410" s="260" t="str">
        <f t="shared" ref="A410" si="203">+B410&amp;C410</f>
        <v>PiècesInformatique</v>
      </c>
      <c r="B410" s="7" t="s">
        <v>98</v>
      </c>
      <c r="C410" s="271" t="s">
        <v>52</v>
      </c>
      <c r="D410" s="54"/>
      <c r="E410" s="7"/>
      <c r="F410" s="19" t="e">
        <f>+SUM(START:END!F410)</f>
        <v>#N/A</v>
      </c>
      <c r="G410" s="56"/>
      <c r="H410" s="7"/>
      <c r="I410" s="19">
        <f>+SUM(START:END!I410)</f>
        <v>0</v>
      </c>
      <c r="J410" s="26"/>
      <c r="K410" s="7"/>
      <c r="L410" s="39">
        <f>+SUM(START:END!L410)</f>
        <v>7059.58</v>
      </c>
      <c r="M410" s="26"/>
      <c r="N410" s="39" t="e">
        <f t="shared" si="198"/>
        <v>#N/A</v>
      </c>
      <c r="O410" s="26"/>
      <c r="P410" s="7"/>
      <c r="Q410" s="39">
        <f>+SUM(START:END!Q410)</f>
        <v>5319.8399999999983</v>
      </c>
      <c r="R410" s="26"/>
      <c r="S410" s="39">
        <f t="shared" si="199"/>
        <v>1739.7400000000016</v>
      </c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spans="1:40" ht="15.75" customHeight="1">
      <c r="A411" s="260" t="str">
        <f t="shared" ref="A411" si="204">+B411&amp;C411</f>
        <v>PiècesFrais de déplacement</v>
      </c>
      <c r="B411" s="7" t="s">
        <v>98</v>
      </c>
      <c r="C411" s="271" t="s">
        <v>53</v>
      </c>
      <c r="D411" s="54"/>
      <c r="E411" s="7"/>
      <c r="F411" s="19" t="e">
        <f>+SUM(START:END!F411)</f>
        <v>#N/A</v>
      </c>
      <c r="G411" s="56"/>
      <c r="H411" s="7"/>
      <c r="I411" s="19">
        <f>+SUM(START:END!I411)</f>
        <v>0</v>
      </c>
      <c r="J411" s="26"/>
      <c r="K411" s="7"/>
      <c r="L411" s="39">
        <f>+SUM(START:END!L411)</f>
        <v>683.36999999999989</v>
      </c>
      <c r="M411" s="26"/>
      <c r="N411" s="39" t="e">
        <f t="shared" si="198"/>
        <v>#N/A</v>
      </c>
      <c r="O411" s="26"/>
      <c r="P411" s="7"/>
      <c r="Q411" s="39">
        <f>+SUM(START:END!Q411)</f>
        <v>3894.880000000001</v>
      </c>
      <c r="R411" s="26"/>
      <c r="S411" s="39">
        <f t="shared" si="199"/>
        <v>-3211.5100000000011</v>
      </c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spans="1:40" ht="15.75" customHeight="1">
      <c r="A412" s="260" t="str">
        <f t="shared" ref="A412" si="205">+B412&amp;C412</f>
        <v>PiècesServices extérieurs</v>
      </c>
      <c r="B412" s="7" t="s">
        <v>98</v>
      </c>
      <c r="C412" s="272" t="s">
        <v>54</v>
      </c>
      <c r="D412" s="57"/>
      <c r="E412" s="73"/>
      <c r="F412" s="31" t="e">
        <f>+SUM(START:END!F412)</f>
        <v>#N/A</v>
      </c>
      <c r="G412" s="59"/>
      <c r="H412" s="73"/>
      <c r="I412" s="31">
        <f>+SUM(START:END!I412)</f>
        <v>0</v>
      </c>
      <c r="J412" s="14"/>
      <c r="K412" s="73"/>
      <c r="L412" s="61">
        <f>+SUM(START:END!L412)</f>
        <v>3870.4400000000005</v>
      </c>
      <c r="M412" s="14"/>
      <c r="N412" s="61" t="e">
        <f t="shared" si="198"/>
        <v>#N/A</v>
      </c>
      <c r="O412" s="14"/>
      <c r="P412" s="73"/>
      <c r="Q412" s="61">
        <f>+SUM(START:END!Q412)</f>
        <v>7492.3999999999987</v>
      </c>
      <c r="R412" s="14"/>
      <c r="S412" s="61">
        <f t="shared" si="199"/>
        <v>-3621.9599999999982</v>
      </c>
      <c r="T412" s="7"/>
      <c r="U412" s="234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spans="1:40" ht="15.75" customHeight="1">
      <c r="A413" s="260" t="str">
        <f t="shared" ref="A413" si="206">+B413&amp;C413</f>
        <v>PiècesFournitures d'atelier</v>
      </c>
      <c r="B413" s="7" t="s">
        <v>98</v>
      </c>
      <c r="C413" s="271" t="s">
        <v>93</v>
      </c>
      <c r="D413" s="54"/>
      <c r="E413" s="7"/>
      <c r="F413" s="19">
        <f>+SUM(START:END!F413)</f>
        <v>0</v>
      </c>
      <c r="G413" s="56"/>
      <c r="H413" s="7"/>
      <c r="I413" s="19">
        <f>+SUM(START:END!I413)</f>
        <v>0</v>
      </c>
      <c r="J413" s="26"/>
      <c r="K413" s="7"/>
      <c r="L413" s="39">
        <f>+SUM(START:END!L413)</f>
        <v>0</v>
      </c>
      <c r="M413" s="26"/>
      <c r="N413" s="39">
        <f t="shared" si="198"/>
        <v>0</v>
      </c>
      <c r="O413" s="26"/>
      <c r="P413" s="7"/>
      <c r="Q413" s="39">
        <f>+SUM(START:END!Q413)</f>
        <v>0</v>
      </c>
      <c r="R413" s="26"/>
      <c r="S413" s="39">
        <f>L413-Q413</f>
        <v>0</v>
      </c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spans="1:40" ht="15.75" customHeight="1">
      <c r="A414" s="260" t="str">
        <f t="shared" ref="A414" si="207">+B414&amp;C414</f>
        <v>PiècesFournitures autres</v>
      </c>
      <c r="B414" s="7" t="s">
        <v>98</v>
      </c>
      <c r="C414" s="271" t="s">
        <v>55</v>
      </c>
      <c r="D414" s="54"/>
      <c r="E414" s="7"/>
      <c r="F414" s="19" t="e">
        <f>+SUM(START:END!F414)</f>
        <v>#N/A</v>
      </c>
      <c r="G414" s="56"/>
      <c r="H414" s="7"/>
      <c r="I414" s="19">
        <f>+SUM(START:END!I414)</f>
        <v>0</v>
      </c>
      <c r="J414" s="26"/>
      <c r="K414" s="7"/>
      <c r="L414" s="39">
        <f>+SUM(START:END!L414)</f>
        <v>512.54999999999995</v>
      </c>
      <c r="M414" s="26"/>
      <c r="N414" s="39" t="e">
        <f t="shared" si="198"/>
        <v>#N/A</v>
      </c>
      <c r="O414" s="26"/>
      <c r="P414" s="7"/>
      <c r="Q414" s="39">
        <f>+SUM(START:END!Q414)</f>
        <v>218.08999999999992</v>
      </c>
      <c r="R414" s="26"/>
      <c r="S414" s="39">
        <f t="shared" ref="S414:S419" si="208">L414-Q414</f>
        <v>294.46000000000004</v>
      </c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spans="1:40" ht="15.75" customHeight="1">
      <c r="A415" s="260" t="str">
        <f t="shared" ref="A415" si="209">+B415&amp;C415</f>
        <v>PiècesUniformes</v>
      </c>
      <c r="B415" s="7" t="s">
        <v>98</v>
      </c>
      <c r="C415" s="271" t="s">
        <v>56</v>
      </c>
      <c r="D415" s="54"/>
      <c r="E415" s="7"/>
      <c r="F415" s="19" t="e">
        <f>+SUM(START:END!F415)</f>
        <v>#N/A</v>
      </c>
      <c r="G415" s="56"/>
      <c r="H415" s="7"/>
      <c r="I415" s="19">
        <f>+SUM(START:END!I415)</f>
        <v>0</v>
      </c>
      <c r="J415" s="26"/>
      <c r="K415" s="7"/>
      <c r="L415" s="39">
        <f>+SUM(START:END!L415)</f>
        <v>0</v>
      </c>
      <c r="M415" s="26"/>
      <c r="N415" s="39" t="e">
        <f t="shared" si="198"/>
        <v>#N/A</v>
      </c>
      <c r="O415" s="26"/>
      <c r="P415" s="7"/>
      <c r="Q415" s="39">
        <f>+SUM(START:END!Q415)</f>
        <v>0</v>
      </c>
      <c r="R415" s="26"/>
      <c r="S415" s="39">
        <f t="shared" si="208"/>
        <v>0</v>
      </c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spans="1:40" ht="15.75" customHeight="1">
      <c r="A416" s="260" t="str">
        <f t="shared" ref="A416" si="210">+B416&amp;C416</f>
        <v>PiècesPapeterie</v>
      </c>
      <c r="B416" s="7" t="s">
        <v>98</v>
      </c>
      <c r="C416" s="271" t="s">
        <v>57</v>
      </c>
      <c r="D416" s="54"/>
      <c r="E416" s="7"/>
      <c r="F416" s="19" t="e">
        <f>+SUM(START:END!F416)</f>
        <v>#N/A</v>
      </c>
      <c r="G416" s="56"/>
      <c r="H416" s="7"/>
      <c r="I416" s="19">
        <f>+SUM(START:END!I416)</f>
        <v>0</v>
      </c>
      <c r="J416" s="26"/>
      <c r="K416" s="7"/>
      <c r="L416" s="39">
        <f>+SUM(START:END!L416)</f>
        <v>711.79999999999973</v>
      </c>
      <c r="M416" s="26"/>
      <c r="N416" s="39" t="e">
        <f t="shared" si="198"/>
        <v>#N/A</v>
      </c>
      <c r="O416" s="26"/>
      <c r="P416" s="7"/>
      <c r="Q416" s="39">
        <f>+SUM(START:END!Q416)</f>
        <v>1622.9199999999996</v>
      </c>
      <c r="R416" s="26"/>
      <c r="S416" s="39">
        <f t="shared" si="208"/>
        <v>-911.11999999999989</v>
      </c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spans="1:40" ht="15.75" customHeight="1">
      <c r="A417" s="260" t="str">
        <f t="shared" ref="A417" si="211">+B417&amp;C417</f>
        <v>PiècesTéléphone</v>
      </c>
      <c r="B417" s="7" t="s">
        <v>98</v>
      </c>
      <c r="C417" s="271" t="s">
        <v>58</v>
      </c>
      <c r="D417" s="54"/>
      <c r="E417" s="7"/>
      <c r="F417" s="19" t="e">
        <f>+SUM(START:END!F417)</f>
        <v>#N/A</v>
      </c>
      <c r="G417" s="56"/>
      <c r="H417" s="7"/>
      <c r="I417" s="19">
        <f>+SUM(START:END!I417)</f>
        <v>0</v>
      </c>
      <c r="J417" s="26"/>
      <c r="K417" s="7"/>
      <c r="L417" s="39">
        <f>+SUM(START:END!L417)</f>
        <v>645.2299999999999</v>
      </c>
      <c r="M417" s="26"/>
      <c r="N417" s="39" t="e">
        <f t="shared" si="198"/>
        <v>#N/A</v>
      </c>
      <c r="O417" s="26"/>
      <c r="P417" s="7"/>
      <c r="Q417" s="39">
        <f>+SUM(START:END!Q417)</f>
        <v>718.82000000000016</v>
      </c>
      <c r="R417" s="26"/>
      <c r="S417" s="39">
        <f t="shared" si="208"/>
        <v>-73.590000000000259</v>
      </c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spans="1:40" ht="15.75" customHeight="1">
      <c r="A418" s="260" t="str">
        <f t="shared" ref="A418" si="212">+B418&amp;C418</f>
        <v>PiècesFrais postaux</v>
      </c>
      <c r="B418" s="7" t="s">
        <v>98</v>
      </c>
      <c r="C418" s="271" t="s">
        <v>59</v>
      </c>
      <c r="D418" s="54"/>
      <c r="E418" s="7"/>
      <c r="F418" s="19" t="e">
        <f>+SUM(START:END!F418)</f>
        <v>#N/A</v>
      </c>
      <c r="G418" s="56"/>
      <c r="H418" s="7"/>
      <c r="I418" s="19">
        <f>+SUM(START:END!I418)</f>
        <v>0</v>
      </c>
      <c r="J418" s="26"/>
      <c r="K418" s="7"/>
      <c r="L418" s="39">
        <f>+SUM(START:END!L418)</f>
        <v>2997.96</v>
      </c>
      <c r="M418" s="26"/>
      <c r="N418" s="39" t="e">
        <f t="shared" si="198"/>
        <v>#N/A</v>
      </c>
      <c r="O418" s="26"/>
      <c r="P418" s="7"/>
      <c r="Q418" s="39">
        <f>+SUM(START:END!Q418)</f>
        <v>2794.1</v>
      </c>
      <c r="R418" s="26"/>
      <c r="S418" s="39">
        <f t="shared" si="208"/>
        <v>203.86000000000013</v>
      </c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spans="1:40" ht="15.75" customHeight="1">
      <c r="A419" s="260" t="str">
        <f t="shared" ref="A419" si="213">+B419&amp;C419</f>
        <v>PiècesDivers</v>
      </c>
      <c r="B419" s="7" t="s">
        <v>98</v>
      </c>
      <c r="C419" s="271" t="s">
        <v>60</v>
      </c>
      <c r="D419" s="54"/>
      <c r="E419" s="7"/>
      <c r="F419" s="19" t="e">
        <f>+SUM(START:END!F419)</f>
        <v>#N/A</v>
      </c>
      <c r="G419" s="56"/>
      <c r="H419" s="7"/>
      <c r="I419" s="19">
        <f>+SUM(START:END!I419)</f>
        <v>0</v>
      </c>
      <c r="J419" s="26"/>
      <c r="K419" s="7"/>
      <c r="L419" s="39">
        <f>+SUM(START:END!L419)</f>
        <v>3594.9299999999989</v>
      </c>
      <c r="M419" s="26"/>
      <c r="N419" s="39" t="e">
        <f t="shared" si="198"/>
        <v>#N/A</v>
      </c>
      <c r="O419" s="26"/>
      <c r="P419" s="7"/>
      <c r="Q419" s="39">
        <f>+SUM(START:END!Q419)</f>
        <v>4282.3999999999996</v>
      </c>
      <c r="R419" s="26"/>
      <c r="S419" s="39">
        <f t="shared" si="208"/>
        <v>-687.47000000000071</v>
      </c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spans="1:40" ht="15.75" customHeight="1">
      <c r="A420" s="260" t="str">
        <f t="shared" ref="A420" si="214">+B420&amp;C420</f>
        <v>PiècesFormation</v>
      </c>
      <c r="B420" s="7" t="s">
        <v>98</v>
      </c>
      <c r="C420" s="271" t="s">
        <v>61</v>
      </c>
      <c r="D420" s="54"/>
      <c r="E420" s="7"/>
      <c r="F420" s="19" t="e">
        <f>+SUM(START:END!F420)</f>
        <v>#N/A</v>
      </c>
      <c r="G420" s="56"/>
      <c r="H420" s="7"/>
      <c r="I420" s="19">
        <f>+SUM(START:END!I420)</f>
        <v>0</v>
      </c>
      <c r="J420" s="26"/>
      <c r="K420" s="7"/>
      <c r="L420" s="39">
        <f>+SUM(START:END!L420)</f>
        <v>0</v>
      </c>
      <c r="M420" s="26"/>
      <c r="N420" s="39" t="e">
        <f t="shared" si="198"/>
        <v>#N/A</v>
      </c>
      <c r="O420" s="26"/>
      <c r="P420" s="7"/>
      <c r="Q420" s="39">
        <f>+SUM(START:END!Q420)</f>
        <v>325</v>
      </c>
      <c r="R420" s="26"/>
      <c r="S420" s="39">
        <f>L420-Q420</f>
        <v>-325</v>
      </c>
      <c r="T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spans="1:40" ht="15.75" customHeight="1">
      <c r="A421" s="260" t="str">
        <f t="shared" ref="A421" si="215">+B421&amp;C421</f>
        <v>PiècesFrais bancaires</v>
      </c>
      <c r="B421" s="7" t="s">
        <v>98</v>
      </c>
      <c r="C421" s="271" t="s">
        <v>62</v>
      </c>
      <c r="D421" s="54"/>
      <c r="E421" s="7"/>
      <c r="F421" s="19" t="e">
        <f>+SUM(START:END!F421)</f>
        <v>#N/A</v>
      </c>
      <c r="G421" s="56"/>
      <c r="H421" s="7"/>
      <c r="I421" s="19">
        <f>+SUM(START:END!I421)</f>
        <v>0</v>
      </c>
      <c r="J421" s="26"/>
      <c r="K421" s="7"/>
      <c r="L421" s="39">
        <f>+SUM(START:END!L421)</f>
        <v>1743.9899999999998</v>
      </c>
      <c r="M421" s="26"/>
      <c r="N421" s="39" t="e">
        <f t="shared" si="198"/>
        <v>#N/A</v>
      </c>
      <c r="O421" s="26"/>
      <c r="P421" s="7"/>
      <c r="Q421" s="39">
        <f>+SUM(START:END!Q421)</f>
        <v>328.80000000000007</v>
      </c>
      <c r="R421" s="26"/>
      <c r="S421" s="39">
        <f>L421-Q421</f>
        <v>1415.1899999999996</v>
      </c>
      <c r="T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spans="1:40" ht="20.399999999999999" hidden="1" customHeight="1">
      <c r="A422" s="260" t="str">
        <f t="shared" ref="A422" si="216">+B422&amp;C422</f>
        <v>Pièces[...]</v>
      </c>
      <c r="B422" s="7" t="s">
        <v>98</v>
      </c>
      <c r="C422" s="271" t="s">
        <v>19</v>
      </c>
      <c r="D422" s="54"/>
      <c r="E422" s="7"/>
      <c r="F422" s="19" t="e">
        <f>+SUM(START:END!F422)</f>
        <v>#N/A</v>
      </c>
      <c r="G422" s="56"/>
      <c r="H422" s="7"/>
      <c r="I422" s="19">
        <f>+SUM(START:END!I422)</f>
        <v>0</v>
      </c>
      <c r="J422" s="26"/>
      <c r="K422" s="7"/>
      <c r="L422" s="39">
        <f>+SUM(START:END!L422)</f>
        <v>0</v>
      </c>
      <c r="M422" s="26"/>
      <c r="N422" s="39" t="e">
        <f t="shared" si="198"/>
        <v>#N/A</v>
      </c>
      <c r="O422" s="26"/>
      <c r="P422" s="7"/>
      <c r="Q422" s="39">
        <f>+SUM(START:END!Q422)</f>
        <v>0</v>
      </c>
      <c r="R422" s="26"/>
      <c r="S422" s="39">
        <f>L422-Q422</f>
        <v>0</v>
      </c>
      <c r="T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spans="1:40" ht="20.399999999999999" hidden="1" customHeight="1">
      <c r="A423" s="260" t="str">
        <f t="shared" ref="A423" si="217">+B423&amp;C423</f>
        <v>Pièces[...]</v>
      </c>
      <c r="B423" s="7" t="s">
        <v>98</v>
      </c>
      <c r="C423" s="271" t="s">
        <v>19</v>
      </c>
      <c r="D423" s="54"/>
      <c r="E423" s="7"/>
      <c r="F423" s="19" t="e">
        <f>+SUM(START:END!F423)</f>
        <v>#N/A</v>
      </c>
      <c r="G423" s="56"/>
      <c r="H423" s="7"/>
      <c r="I423" s="19">
        <f>+SUM(START:END!I423)</f>
        <v>0</v>
      </c>
      <c r="J423" s="26"/>
      <c r="K423" s="7"/>
      <c r="L423" s="39">
        <f>+SUM(START:END!L423)</f>
        <v>0</v>
      </c>
      <c r="M423" s="26"/>
      <c r="N423" s="39" t="e">
        <f t="shared" si="198"/>
        <v>#N/A</v>
      </c>
      <c r="O423" s="26"/>
      <c r="P423" s="7"/>
      <c r="Q423" s="39">
        <f>+SUM(START:END!Q423)</f>
        <v>0</v>
      </c>
      <c r="R423" s="26"/>
      <c r="S423" s="39">
        <f>L423-Q423</f>
        <v>0</v>
      </c>
      <c r="T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spans="1:40" ht="20.399999999999999" hidden="1" customHeight="1">
      <c r="A424" s="260" t="str">
        <f t="shared" ref="A424" si="218">+B424&amp;C424</f>
        <v>Pièces[...]</v>
      </c>
      <c r="B424" s="7" t="s">
        <v>98</v>
      </c>
      <c r="C424" s="271" t="s">
        <v>19</v>
      </c>
      <c r="D424" s="54"/>
      <c r="E424" s="7"/>
      <c r="F424" s="19" t="e">
        <f>+SUM(START:END!F424)</f>
        <v>#N/A</v>
      </c>
      <c r="G424" s="56"/>
      <c r="H424" s="7"/>
      <c r="I424" s="19">
        <f>+SUM(START:END!I424)</f>
        <v>0</v>
      </c>
      <c r="J424" s="26"/>
      <c r="K424" s="7"/>
      <c r="L424" s="39">
        <f>+SUM(START:END!L424)</f>
        <v>0</v>
      </c>
      <c r="M424" s="26"/>
      <c r="N424" s="39" t="e">
        <f t="shared" si="198"/>
        <v>#N/A</v>
      </c>
      <c r="O424" s="26"/>
      <c r="P424" s="7"/>
      <c r="Q424" s="39">
        <f>+SUM(START:END!Q424)</f>
        <v>0</v>
      </c>
      <c r="R424" s="26"/>
      <c r="S424" s="39">
        <f>L424-Q424</f>
        <v>0</v>
      </c>
      <c r="T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spans="1:40" ht="18.600000000000001" customHeight="1">
      <c r="A425" s="260"/>
      <c r="B425" s="7"/>
      <c r="C425" s="139" t="s">
        <v>63</v>
      </c>
      <c r="D425" s="62" t="s">
        <v>38</v>
      </c>
      <c r="E425" s="63" t="e">
        <f>F425/F$314</f>
        <v>#N/A</v>
      </c>
      <c r="F425" s="64" t="e">
        <f>+SUM(F407:F424)</f>
        <v>#N/A</v>
      </c>
      <c r="G425" s="65" t="s">
        <v>38</v>
      </c>
      <c r="H425" s="63" t="e">
        <f>I425/I$314</f>
        <v>#DIV/0!</v>
      </c>
      <c r="I425" s="64">
        <f>+SUM(I407:I424)</f>
        <v>0</v>
      </c>
      <c r="J425" s="65" t="s">
        <v>38</v>
      </c>
      <c r="K425" s="63" t="e">
        <f>L425/L$314</f>
        <v>#DIV/0!</v>
      </c>
      <c r="L425" s="64">
        <f>+SUM(L407:L424)</f>
        <v>30559.72</v>
      </c>
      <c r="M425" s="66"/>
      <c r="N425" s="64" t="e">
        <f>+SUM(N407:N424)</f>
        <v>#N/A</v>
      </c>
      <c r="O425" s="65" t="s">
        <v>38</v>
      </c>
      <c r="P425" s="63" t="e">
        <f>Q425/Q$314</f>
        <v>#DIV/0!</v>
      </c>
      <c r="Q425" s="64">
        <f>+SUM(Q407:Q424)</f>
        <v>39753.83</v>
      </c>
      <c r="R425" s="67"/>
      <c r="S425" s="64">
        <f>+SUM(S407:S424)</f>
        <v>-9194.1099999999969</v>
      </c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spans="1:40" ht="15.75" customHeight="1">
      <c r="B426" s="3"/>
      <c r="C426" s="14"/>
      <c r="D426" s="57"/>
      <c r="E426" s="73"/>
      <c r="F426" s="39"/>
      <c r="G426" s="59"/>
      <c r="H426" s="73"/>
      <c r="I426" s="39"/>
      <c r="J426" s="14"/>
      <c r="K426" s="73"/>
      <c r="L426" s="61"/>
      <c r="M426" s="14"/>
      <c r="N426" s="61"/>
      <c r="O426" s="14"/>
      <c r="P426" s="73"/>
      <c r="Q426" s="61"/>
      <c r="R426" s="14"/>
      <c r="S426" s="61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spans="1:40" ht="18.600000000000001" customHeight="1">
      <c r="A427" s="260"/>
      <c r="B427" s="7"/>
      <c r="C427" s="139" t="s">
        <v>64</v>
      </c>
      <c r="D427" s="62" t="s">
        <v>38</v>
      </c>
      <c r="E427" s="63" t="e">
        <f>F427/F$314</f>
        <v>#N/A</v>
      </c>
      <c r="F427" s="64" t="e">
        <f>F406+F425</f>
        <v>#N/A</v>
      </c>
      <c r="G427" s="65" t="s">
        <v>38</v>
      </c>
      <c r="H427" s="63" t="e">
        <f>I427/I$314</f>
        <v>#DIV/0!</v>
      </c>
      <c r="I427" s="64">
        <f>I406+I425</f>
        <v>0</v>
      </c>
      <c r="J427" s="65" t="s">
        <v>38</v>
      </c>
      <c r="K427" s="63" t="e">
        <f>L427/L$314</f>
        <v>#DIV/0!</v>
      </c>
      <c r="L427" s="64">
        <f>L406+L425</f>
        <v>127040.57</v>
      </c>
      <c r="M427" s="66"/>
      <c r="N427" s="64" t="e">
        <f>L427-F427</f>
        <v>#N/A</v>
      </c>
      <c r="O427" s="65" t="s">
        <v>38</v>
      </c>
      <c r="P427" s="63" t="e">
        <f>Q427/Q$314</f>
        <v>#DIV/0!</v>
      </c>
      <c r="Q427" s="64">
        <f>Q406+Q425</f>
        <v>129229.09999999999</v>
      </c>
      <c r="R427" s="67"/>
      <c r="S427" s="64">
        <f>L427-Q427</f>
        <v>-2188.5299999999843</v>
      </c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spans="1:40" ht="15.75" customHeight="1">
      <c r="B428" s="3"/>
      <c r="C428" s="26"/>
      <c r="D428" s="54"/>
      <c r="E428" s="7"/>
      <c r="F428" s="39"/>
      <c r="G428" s="56"/>
      <c r="H428" s="7"/>
      <c r="I428" s="39"/>
      <c r="J428" s="26"/>
      <c r="K428" s="7"/>
      <c r="L428" s="39"/>
      <c r="M428" s="26"/>
      <c r="N428" s="39">
        <f>L428-F428</f>
        <v>0</v>
      </c>
      <c r="O428" s="26"/>
      <c r="P428" s="7"/>
      <c r="Q428" s="39"/>
      <c r="R428" s="26"/>
      <c r="S428" s="39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spans="1:40" ht="18.600000000000001" customHeight="1" thickBot="1">
      <c r="A429" s="260"/>
      <c r="B429" s="7"/>
      <c r="C429" s="276" t="s">
        <v>69</v>
      </c>
      <c r="D429" s="277"/>
      <c r="E429" s="278"/>
      <c r="F429" s="138" t="e">
        <f>F390-F427</f>
        <v>#N/A</v>
      </c>
      <c r="G429" s="279"/>
      <c r="H429" s="278"/>
      <c r="I429" s="138">
        <f>I390-I427</f>
        <v>0</v>
      </c>
      <c r="J429" s="279"/>
      <c r="K429" s="278"/>
      <c r="L429" s="138">
        <f>L390-L427</f>
        <v>162740.58000000013</v>
      </c>
      <c r="M429" s="280"/>
      <c r="N429" s="138" t="e">
        <f>L429-F429</f>
        <v>#N/A</v>
      </c>
      <c r="O429" s="279"/>
      <c r="P429" s="278"/>
      <c r="Q429" s="138">
        <f>Q390-Q427</f>
        <v>199655.66999999993</v>
      </c>
      <c r="R429" s="281"/>
      <c r="S429" s="138">
        <f>L429-Q429</f>
        <v>-36915.089999999793</v>
      </c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spans="1:40" ht="15.75" customHeight="1" thickTop="1">
      <c r="B430" s="3"/>
      <c r="C430" s="50"/>
      <c r="D430" s="54"/>
      <c r="E430" s="7"/>
      <c r="F430" s="74"/>
      <c r="G430" s="54"/>
      <c r="H430" s="7"/>
      <c r="I430" s="74"/>
      <c r="J430" s="50"/>
      <c r="K430" s="50"/>
      <c r="L430" s="74"/>
      <c r="M430" s="50"/>
      <c r="N430" s="74"/>
      <c r="O430" s="50"/>
      <c r="P430" s="50"/>
      <c r="Q430" s="74"/>
      <c r="R430" s="50"/>
      <c r="S430" s="74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spans="1:40" ht="15.75" customHeight="1">
      <c r="B431" s="3"/>
      <c r="C431" s="50"/>
      <c r="D431" s="54"/>
      <c r="E431" s="7"/>
      <c r="F431" s="74"/>
      <c r="G431" s="54"/>
      <c r="H431" s="7"/>
      <c r="I431" s="74"/>
      <c r="J431" s="50"/>
      <c r="K431" s="50"/>
      <c r="L431" s="74"/>
      <c r="M431" s="50"/>
      <c r="N431" s="74"/>
      <c r="O431" s="50"/>
      <c r="P431" s="50"/>
      <c r="Q431" s="74"/>
      <c r="R431" s="50"/>
      <c r="S431" s="74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spans="1:40" ht="34.5" customHeight="1">
      <c r="B432" s="3"/>
      <c r="C432" s="251" t="str">
        <f>C1</f>
        <v>Ste-Marie Auto</v>
      </c>
      <c r="D432" s="252"/>
      <c r="E432" s="253"/>
      <c r="F432" s="252"/>
      <c r="G432" s="252"/>
      <c r="H432" s="254"/>
      <c r="I432" s="252"/>
      <c r="J432" s="254"/>
      <c r="K432" s="255" t="s">
        <v>459</v>
      </c>
      <c r="L432" s="252"/>
      <c r="M432" s="252"/>
      <c r="N432" s="256"/>
      <c r="O432" s="251"/>
      <c r="P432" s="257"/>
      <c r="Q432" s="251"/>
      <c r="R432" s="257"/>
      <c r="S432" s="258" t="str">
        <f>$S$1</f>
        <v>Réalisé  Q2 2026</v>
      </c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spans="1:40" ht="15.75" customHeight="1" thickBot="1">
      <c r="B433" s="3"/>
      <c r="C433" s="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spans="1:40" ht="15.75" customHeight="1" thickTop="1">
      <c r="B434" s="3"/>
      <c r="C434" s="259"/>
      <c r="D434" s="407" t="s">
        <v>5</v>
      </c>
      <c r="E434" s="408"/>
      <c r="F434" s="406"/>
      <c r="G434" s="405"/>
      <c r="H434" s="408"/>
      <c r="I434" s="406"/>
      <c r="J434" s="405" t="s">
        <v>7</v>
      </c>
      <c r="K434" s="408"/>
      <c r="L434" s="406"/>
      <c r="M434" s="405"/>
      <c r="N434" s="406"/>
      <c r="O434" s="407" t="s">
        <v>8</v>
      </c>
      <c r="P434" s="408"/>
      <c r="Q434" s="406"/>
      <c r="R434" s="405" t="s">
        <v>9</v>
      </c>
      <c r="S434" s="406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spans="1:40" ht="15.75" customHeight="1">
      <c r="A435" s="260" t="s">
        <v>114</v>
      </c>
      <c r="B435" s="7" t="s">
        <v>459</v>
      </c>
      <c r="C435" s="330"/>
      <c r="D435" s="53" t="s">
        <v>79</v>
      </c>
      <c r="E435" s="53" t="s">
        <v>99</v>
      </c>
      <c r="F435" s="84" t="s">
        <v>12</v>
      </c>
      <c r="G435" s="85"/>
      <c r="H435" s="53"/>
      <c r="I435" s="84"/>
      <c r="J435" s="85" t="s">
        <v>39</v>
      </c>
      <c r="K435" s="53" t="s">
        <v>79</v>
      </c>
      <c r="L435" s="84" t="s">
        <v>12</v>
      </c>
      <c r="M435" s="85" t="s">
        <v>39</v>
      </c>
      <c r="N435" s="84" t="s">
        <v>215</v>
      </c>
      <c r="O435" s="53" t="s">
        <v>39</v>
      </c>
      <c r="P435" s="53" t="s">
        <v>79</v>
      </c>
      <c r="Q435" s="84" t="s">
        <v>12</v>
      </c>
      <c r="R435" s="85" t="s">
        <v>80</v>
      </c>
      <c r="S435" s="84" t="s">
        <v>12</v>
      </c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spans="1:40" ht="15.75" customHeight="1">
      <c r="A436" s="260"/>
      <c r="B436" s="7" t="s">
        <v>459</v>
      </c>
      <c r="C436" s="26"/>
      <c r="D436" s="53"/>
      <c r="E436" s="53"/>
      <c r="F436" s="84"/>
      <c r="G436" s="53"/>
      <c r="H436" s="53"/>
      <c r="I436" s="53"/>
      <c r="J436" s="85"/>
      <c r="K436" s="53"/>
      <c r="L436" s="84"/>
      <c r="M436" s="85"/>
      <c r="N436" s="84"/>
      <c r="O436" s="85"/>
      <c r="P436" s="53"/>
      <c r="Q436" s="84"/>
      <c r="R436" s="85"/>
      <c r="S436" s="84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spans="1:40" ht="15.75" customHeight="1">
      <c r="A437" s="260"/>
      <c r="B437" s="7" t="s">
        <v>459</v>
      </c>
      <c r="C437" s="26" t="s">
        <v>460</v>
      </c>
      <c r="D437" s="55" t="e">
        <f>+SUM(START:END!D437)</f>
        <v>#N/A</v>
      </c>
      <c r="E437" s="55" t="e">
        <f>+SUM(START:END!E437)</f>
        <v>#N/A</v>
      </c>
      <c r="F437" s="55" t="e">
        <f>+SUM(START:END!F437)</f>
        <v>#N/A</v>
      </c>
      <c r="G437" s="98"/>
      <c r="H437" s="55"/>
      <c r="I437" s="55"/>
      <c r="J437" s="40">
        <f>+SUM(START:END!J437)</f>
        <v>1086</v>
      </c>
      <c r="K437" s="55">
        <f>+SUM(START:END!K437)</f>
        <v>191152.5</v>
      </c>
      <c r="L437" s="39">
        <f>+SUM(START:END!L437)</f>
        <v>141702.29999999999</v>
      </c>
      <c r="M437" s="99">
        <f>IFERROR((K437-E437)/E437,0)</f>
        <v>0</v>
      </c>
      <c r="N437" s="39" t="e">
        <f>L437-F437</f>
        <v>#N/A</v>
      </c>
      <c r="O437" s="40">
        <f>+SUM(START:END!O437)</f>
        <v>0</v>
      </c>
      <c r="P437" s="55">
        <f>+SUM(START:END!P437)</f>
        <v>0</v>
      </c>
      <c r="Q437" s="39">
        <f>+SUM(START:END!Q437)</f>
        <v>0</v>
      </c>
      <c r="R437" s="99">
        <f>IF(O437=0,0,J437/O437)</f>
        <v>0</v>
      </c>
      <c r="S437" s="39">
        <f>L437-Q437</f>
        <v>141702.29999999999</v>
      </c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spans="1:40" ht="15.75" customHeight="1">
      <c r="A438" s="260"/>
      <c r="B438" s="7" t="s">
        <v>459</v>
      </c>
      <c r="C438" s="26" t="s">
        <v>82</v>
      </c>
      <c r="D438" s="53"/>
      <c r="E438" s="91"/>
      <c r="F438" s="100">
        <f>IFERROR(F437/E437,0)</f>
        <v>0</v>
      </c>
      <c r="G438" s="26"/>
      <c r="H438" s="91"/>
      <c r="I438" s="100"/>
      <c r="J438" s="40"/>
      <c r="K438" s="7"/>
      <c r="L438" s="100">
        <f>IFERROR(L437/K437,0)</f>
        <v>0.74130497900890646</v>
      </c>
      <c r="M438" s="99"/>
      <c r="N438" s="39">
        <f>IFERROR(N437/M437,0)</f>
        <v>0</v>
      </c>
      <c r="O438" s="40"/>
      <c r="P438" s="7"/>
      <c r="Q438" s="100">
        <f>IFERROR(Q437/P437,0)</f>
        <v>0</v>
      </c>
      <c r="R438" s="40"/>
      <c r="S438" s="39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spans="1:40" ht="15.75" customHeight="1">
      <c r="A439" s="260"/>
      <c r="B439" s="7" t="s">
        <v>459</v>
      </c>
      <c r="C439" s="26"/>
      <c r="D439" s="53"/>
      <c r="E439" s="141"/>
      <c r="F439" s="87"/>
      <c r="G439" s="85"/>
      <c r="H439" s="141"/>
      <c r="I439" s="87"/>
      <c r="J439" s="85"/>
      <c r="K439" s="53"/>
      <c r="L439" s="84"/>
      <c r="M439" s="85"/>
      <c r="N439" s="84"/>
      <c r="O439" s="85"/>
      <c r="P439" s="53"/>
      <c r="Q439" s="84"/>
      <c r="R439" s="86"/>
      <c r="S439" s="250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spans="1:40" ht="15.75" customHeight="1">
      <c r="A440" s="260"/>
      <c r="B440" s="7" t="s">
        <v>459</v>
      </c>
      <c r="C440" s="335" t="s">
        <v>461</v>
      </c>
      <c r="D440" s="105" t="e">
        <f>+SUM(START:END!D440)</f>
        <v>#N/A</v>
      </c>
      <c r="E440" s="55" t="e">
        <f>+SUM(START:END!E440)</f>
        <v>#N/A</v>
      </c>
      <c r="F440" s="55" t="e">
        <f>+SUM(START:END!F440)</f>
        <v>#N/A</v>
      </c>
      <c r="G440" s="131"/>
      <c r="H440" s="55"/>
      <c r="I440" s="55"/>
      <c r="J440" s="106">
        <f>+SUM(START:END!J440)</f>
        <v>500</v>
      </c>
      <c r="K440" s="105">
        <f>+SUM(START:END!K440)</f>
        <v>62155.000000000058</v>
      </c>
      <c r="L440" s="72">
        <f>+SUM(START:END!L440)</f>
        <v>45372.290000000066</v>
      </c>
      <c r="M440" s="109">
        <f>IFERROR((K440-E440)/E440,0)</f>
        <v>0</v>
      </c>
      <c r="N440" s="72" t="e">
        <f>L440-F440</f>
        <v>#N/A</v>
      </c>
      <c r="O440" s="106">
        <f>+SUM(START:END!O440)</f>
        <v>1531</v>
      </c>
      <c r="P440" s="105">
        <f>+SUM(START:END!P440)</f>
        <v>219917.74</v>
      </c>
      <c r="Q440" s="72">
        <f>+SUM(START:END!Q440)</f>
        <v>164538.28999999998</v>
      </c>
      <c r="R440" s="99">
        <f>IF(O440=0,0,J440/O440)</f>
        <v>0.32658393207054215</v>
      </c>
      <c r="S440" s="39">
        <f>L440-Q440</f>
        <v>-119165.99999999991</v>
      </c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spans="1:40" ht="15.75" customHeight="1">
      <c r="A441" s="260"/>
      <c r="B441" s="7" t="s">
        <v>459</v>
      </c>
      <c r="C441" s="26" t="s">
        <v>82</v>
      </c>
      <c r="D441" s="7"/>
      <c r="E441" s="91"/>
      <c r="F441" s="100">
        <f>IFERROR(F440/E440,0)</f>
        <v>0</v>
      </c>
      <c r="G441" s="26"/>
      <c r="H441" s="91"/>
      <c r="I441" s="100"/>
      <c r="J441" s="40"/>
      <c r="K441" s="7"/>
      <c r="L441" s="100">
        <f>IFERROR(L440/K440,0)</f>
        <v>0.72998616362320046</v>
      </c>
      <c r="M441" s="99"/>
      <c r="N441" s="39">
        <f>IFERROR(N440/M440,0)</f>
        <v>0</v>
      </c>
      <c r="O441" s="40"/>
      <c r="P441" s="7"/>
      <c r="Q441" s="100">
        <f>IFERROR(Q440/P440,0)</f>
        <v>0.74818106988549438</v>
      </c>
      <c r="R441" s="40"/>
      <c r="S441" s="39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spans="1:40" ht="15.75" customHeight="1">
      <c r="A442" s="260"/>
      <c r="B442" s="7" t="s">
        <v>459</v>
      </c>
      <c r="C442" s="14"/>
      <c r="D442" s="73"/>
      <c r="E442" s="101"/>
      <c r="F442" s="102"/>
      <c r="G442" s="14"/>
      <c r="H442" s="101"/>
      <c r="I442" s="102"/>
      <c r="J442" s="103"/>
      <c r="K442" s="132"/>
      <c r="L442" s="102"/>
      <c r="M442" s="104"/>
      <c r="N442" s="61"/>
      <c r="O442" s="103"/>
      <c r="P442" s="132"/>
      <c r="Q442" s="102"/>
      <c r="R442" s="103"/>
      <c r="S442" s="61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spans="1:40" ht="15.75" customHeight="1">
      <c r="A443" s="260"/>
      <c r="B443" s="7" t="s">
        <v>459</v>
      </c>
      <c r="C443" s="335" t="s">
        <v>462</v>
      </c>
      <c r="D443" s="105">
        <f>+SUM(START:END!D443)</f>
        <v>0</v>
      </c>
      <c r="E443" s="55">
        <f>+SUM(START:END!E443)</f>
        <v>0</v>
      </c>
      <c r="F443" s="55">
        <f>+SUM(START:END!F443)</f>
        <v>0</v>
      </c>
      <c r="G443" s="106"/>
      <c r="H443" s="55"/>
      <c r="I443" s="55"/>
      <c r="J443" s="106">
        <f>+SUM(START:END!J443)</f>
        <v>10</v>
      </c>
      <c r="K443" s="55">
        <f>+SUM(START:END!K443)</f>
        <v>1380.5</v>
      </c>
      <c r="L443" s="39">
        <f>+SUM(START:END!L443)</f>
        <v>990.24</v>
      </c>
      <c r="M443" s="99">
        <f>IFERROR((K443-E443)/E443,0)</f>
        <v>0</v>
      </c>
      <c r="N443" s="72">
        <f>L443-F443</f>
        <v>990.24</v>
      </c>
      <c r="O443" s="106">
        <f>+SUM(START:END!O443)</f>
        <v>50</v>
      </c>
      <c r="P443" s="55">
        <f>+SUM(START:END!P443)</f>
        <v>6005</v>
      </c>
      <c r="Q443" s="39">
        <f>+SUM(START:END!Q443)</f>
        <v>4560.2700000000004</v>
      </c>
      <c r="R443" s="99">
        <f>IF(O443=0,0,J443/O443)</f>
        <v>0.2</v>
      </c>
      <c r="S443" s="39">
        <f>L443-Q443</f>
        <v>-3570.0300000000007</v>
      </c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spans="1:40" ht="15.75" customHeight="1">
      <c r="A444" s="260"/>
      <c r="B444" s="7" t="s">
        <v>459</v>
      </c>
      <c r="C444" s="26" t="s">
        <v>82</v>
      </c>
      <c r="D444" s="7"/>
      <c r="E444" s="7"/>
      <c r="F444" s="100">
        <f>IFERROR(F443/E443,0)</f>
        <v>0</v>
      </c>
      <c r="G444" s="26"/>
      <c r="H444" s="91"/>
      <c r="I444" s="100"/>
      <c r="J444" s="40"/>
      <c r="K444" s="7"/>
      <c r="L444" s="100">
        <f>IFERROR(L443/K443,0)</f>
        <v>0.71730532415791382</v>
      </c>
      <c r="M444" s="99"/>
      <c r="N444" s="39">
        <f>IFERROR(N443/M443,0)</f>
        <v>0</v>
      </c>
      <c r="O444" s="40"/>
      <c r="P444" s="7"/>
      <c r="Q444" s="100">
        <f>IFERROR(Q443/P443,0)</f>
        <v>0.75941215653621985</v>
      </c>
      <c r="R444" s="40"/>
      <c r="S444" s="39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spans="1:40" ht="15.75" customHeight="1">
      <c r="A445" s="260"/>
      <c r="B445" s="7" t="s">
        <v>459</v>
      </c>
      <c r="C445" s="26"/>
      <c r="D445" s="7"/>
      <c r="E445" s="7"/>
      <c r="F445" s="100"/>
      <c r="G445" s="7"/>
      <c r="H445" s="91"/>
      <c r="I445" s="93"/>
      <c r="J445" s="40"/>
      <c r="K445" s="7"/>
      <c r="L445" s="100"/>
      <c r="M445" s="99"/>
      <c r="N445" s="39"/>
      <c r="O445" s="40"/>
      <c r="P445" s="7"/>
      <c r="Q445" s="100"/>
      <c r="R445" s="40"/>
      <c r="S445" s="39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spans="1:40" ht="15.75" customHeight="1">
      <c r="A446" s="260"/>
      <c r="B446" s="7" t="s">
        <v>459</v>
      </c>
      <c r="C446" s="26" t="s">
        <v>463</v>
      </c>
      <c r="D446" s="7"/>
      <c r="E446" s="7"/>
      <c r="F446" s="100">
        <f>+SUM(START:END!F446)</f>
        <v>0</v>
      </c>
      <c r="G446" s="7"/>
      <c r="H446" s="91"/>
      <c r="I446" s="93"/>
      <c r="J446" s="40"/>
      <c r="K446" s="7"/>
      <c r="L446" s="39">
        <f>+SUM(START:END!L446)</f>
        <v>-2771.61</v>
      </c>
      <c r="M446" s="99"/>
      <c r="N446" s="39"/>
      <c r="O446" s="40"/>
      <c r="P446" s="7"/>
      <c r="Q446" s="39">
        <f>+SUM(START:END!Q446)</f>
        <v>0</v>
      </c>
      <c r="R446" s="40"/>
      <c r="S446" s="39"/>
      <c r="T446" s="6"/>
      <c r="U446" s="6"/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spans="1:40" ht="15.75" customHeight="1" thickBot="1">
      <c r="A447" s="260"/>
      <c r="B447" s="7" t="s">
        <v>459</v>
      </c>
      <c r="C447" s="26"/>
      <c r="D447" s="53"/>
      <c r="E447" s="53"/>
      <c r="F447" s="84"/>
      <c r="G447" s="53"/>
      <c r="H447" s="53"/>
      <c r="I447" s="53"/>
      <c r="J447" s="85"/>
      <c r="K447" s="53"/>
      <c r="L447" s="84"/>
      <c r="M447" s="85"/>
      <c r="N447" s="84"/>
      <c r="O447" s="85"/>
      <c r="P447" s="53"/>
      <c r="Q447" s="84"/>
      <c r="R447" s="85"/>
      <c r="S447" s="84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spans="1:40" ht="18" customHeight="1" thickTop="1">
      <c r="A448" s="260" t="s">
        <v>464</v>
      </c>
      <c r="B448" s="7" t="s">
        <v>459</v>
      </c>
      <c r="C448" s="264" t="s">
        <v>465</v>
      </c>
      <c r="D448" s="41"/>
      <c r="E448" s="42" t="e">
        <f>E437+E440+E443</f>
        <v>#N/A</v>
      </c>
      <c r="F448" s="43" t="e">
        <f>F437+F440+F443</f>
        <v>#N/A</v>
      </c>
      <c r="G448" s="44"/>
      <c r="H448" s="42"/>
      <c r="I448" s="43"/>
      <c r="J448" s="44"/>
      <c r="K448" s="41">
        <f>K437+K440+K443</f>
        <v>254688.00000000006</v>
      </c>
      <c r="L448" s="43">
        <f>L437+L440+L443+L446</f>
        <v>185293.22000000006</v>
      </c>
      <c r="M448" s="44"/>
      <c r="N448" s="43"/>
      <c r="O448" s="44"/>
      <c r="P448" s="41">
        <f>P437+P440+P443</f>
        <v>225922.74</v>
      </c>
      <c r="Q448" s="43">
        <f>Q437+Q440+Q443+Q446</f>
        <v>169098.55999999997</v>
      </c>
      <c r="R448" s="44">
        <f>IF(O448=0,0,(J448-O448)/O448)</f>
        <v>0</v>
      </c>
      <c r="S448" s="43">
        <f>L448-Q448</f>
        <v>16194.660000000091</v>
      </c>
      <c r="T448" s="7"/>
      <c r="U448" s="55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spans="1:40" ht="22.5" customHeight="1" thickBot="1">
      <c r="A449" s="260" t="s">
        <v>114</v>
      </c>
      <c r="B449" s="7" t="s">
        <v>459</v>
      </c>
      <c r="C449" s="47"/>
      <c r="D449" s="45"/>
      <c r="E449" s="45"/>
      <c r="F449" s="46" t="e">
        <f>F448/E448</f>
        <v>#N/A</v>
      </c>
      <c r="G449" s="47"/>
      <c r="H449" s="45"/>
      <c r="I449" s="46"/>
      <c r="J449" s="47"/>
      <c r="K449" s="265"/>
      <c r="L449" s="267">
        <f>L448/K448</f>
        <v>0.72753023306948117</v>
      </c>
      <c r="M449" s="48"/>
      <c r="N449" s="49"/>
      <c r="O449" s="47"/>
      <c r="P449" s="265"/>
      <c r="Q449" s="267">
        <f>Q448/P448</f>
        <v>0.74847959085482041</v>
      </c>
      <c r="R449" s="48"/>
      <c r="S449" s="267">
        <f>IF(Q448=0,0,S448/Q448)</f>
        <v>9.577053760836339E-2</v>
      </c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spans="1:40" ht="15.75" customHeight="1" thickTop="1">
      <c r="A450" s="260" t="s">
        <v>114</v>
      </c>
      <c r="B450" s="7" t="s">
        <v>459</v>
      </c>
      <c r="C450" s="268"/>
      <c r="D450" s="7"/>
      <c r="E450" s="7"/>
      <c r="F450" s="39"/>
      <c r="G450" s="26"/>
      <c r="H450" s="7"/>
      <c r="I450" s="39"/>
      <c r="J450" s="26"/>
      <c r="K450" s="7"/>
      <c r="L450" s="25"/>
      <c r="M450" s="26"/>
      <c r="N450" s="100"/>
      <c r="O450" s="26"/>
      <c r="P450" s="7"/>
      <c r="Q450" s="25"/>
      <c r="R450" s="26"/>
      <c r="S450" s="25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spans="1:40" ht="15.75" customHeight="1">
      <c r="A451" s="260" t="s">
        <v>466</v>
      </c>
      <c r="B451" s="7" t="s">
        <v>459</v>
      </c>
      <c r="C451" s="268" t="s">
        <v>29</v>
      </c>
      <c r="D451" s="7"/>
      <c r="E451" s="7"/>
      <c r="F451" s="39"/>
      <c r="G451" s="26"/>
      <c r="H451" s="7"/>
      <c r="I451" s="39"/>
      <c r="J451" s="26"/>
      <c r="K451" s="7"/>
      <c r="L451" s="25"/>
      <c r="M451" s="26"/>
      <c r="N451" s="25"/>
      <c r="O451" s="26"/>
      <c r="P451" s="7"/>
      <c r="Q451" s="25"/>
      <c r="R451" s="26"/>
      <c r="S451" s="25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spans="1:40" ht="15.75" customHeight="1">
      <c r="A452" s="260" t="s">
        <v>467</v>
      </c>
      <c r="B452" s="7" t="s">
        <v>459</v>
      </c>
      <c r="C452" s="271" t="s">
        <v>40</v>
      </c>
      <c r="D452" s="7"/>
      <c r="E452" s="7"/>
      <c r="F452" s="19" t="e">
        <f>+SUM(START:END!F452)</f>
        <v>#N/A</v>
      </c>
      <c r="G452" s="26"/>
      <c r="H452" s="7"/>
      <c r="I452" s="19"/>
      <c r="J452" s="26"/>
      <c r="K452" s="7"/>
      <c r="L452" s="39">
        <f>+SUM(START:END!L452)</f>
        <v>540</v>
      </c>
      <c r="M452" s="26"/>
      <c r="N452" s="25"/>
      <c r="O452" s="26"/>
      <c r="P452" s="7"/>
      <c r="Q452" s="39">
        <f>+SUM(START:END!Q452)</f>
        <v>0</v>
      </c>
      <c r="R452" s="26"/>
      <c r="S452" s="39">
        <f t="shared" ref="S452:S481" si="219">L452-Q452</f>
        <v>540</v>
      </c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spans="1:40" ht="15.75" customHeight="1">
      <c r="A453" s="260" t="s">
        <v>468</v>
      </c>
      <c r="B453" s="7" t="s">
        <v>459</v>
      </c>
      <c r="C453" s="272" t="s">
        <v>41</v>
      </c>
      <c r="D453" s="54"/>
      <c r="E453" s="7"/>
      <c r="F453" s="31" t="e">
        <f>+SUM(START:END!F453)</f>
        <v>#N/A</v>
      </c>
      <c r="G453" s="56"/>
      <c r="H453" s="7"/>
      <c r="I453" s="31"/>
      <c r="J453" s="26"/>
      <c r="K453" s="7"/>
      <c r="L453" s="61">
        <f>+SUM(START:END!L453)</f>
        <v>21597.33</v>
      </c>
      <c r="M453" s="26"/>
      <c r="N453" s="39"/>
      <c r="O453" s="26"/>
      <c r="P453" s="7"/>
      <c r="Q453" s="61">
        <f>+SUM(START:END!Q453)</f>
        <v>0</v>
      </c>
      <c r="R453" s="26"/>
      <c r="S453" s="39">
        <f t="shared" si="219"/>
        <v>21597.33</v>
      </c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spans="1:40" ht="15.75" customHeight="1">
      <c r="A454" s="260" t="s">
        <v>469</v>
      </c>
      <c r="B454" s="7" t="s">
        <v>459</v>
      </c>
      <c r="C454" s="271" t="s">
        <v>42</v>
      </c>
      <c r="D454" s="68"/>
      <c r="E454" s="69"/>
      <c r="F454" s="19" t="e">
        <f>+SUM(START:END!F454)</f>
        <v>#N/A</v>
      </c>
      <c r="G454" s="70"/>
      <c r="H454" s="69"/>
      <c r="I454" s="19"/>
      <c r="J454" s="71"/>
      <c r="K454" s="69"/>
      <c r="L454" s="39">
        <f>+SUM(START:END!L454)</f>
        <v>4046.34</v>
      </c>
      <c r="M454" s="71"/>
      <c r="N454" s="72"/>
      <c r="O454" s="71"/>
      <c r="P454" s="69"/>
      <c r="Q454" s="39">
        <f>+SUM(START:END!Q454)</f>
        <v>0</v>
      </c>
      <c r="R454" s="71"/>
      <c r="S454" s="72">
        <f t="shared" si="219"/>
        <v>4046.34</v>
      </c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spans="1:40" ht="15.75" customHeight="1">
      <c r="A455" s="260" t="s">
        <v>470</v>
      </c>
      <c r="B455" s="7" t="s">
        <v>459</v>
      </c>
      <c r="C455" s="271" t="s">
        <v>43</v>
      </c>
      <c r="D455" s="54"/>
      <c r="E455" s="7"/>
      <c r="F455" s="19" t="e">
        <f>+SUM(START:END!F455)</f>
        <v>#N/A</v>
      </c>
      <c r="G455" s="56"/>
      <c r="H455" s="7"/>
      <c r="I455" s="19"/>
      <c r="J455" s="26"/>
      <c r="K455" s="7"/>
      <c r="L455" s="39">
        <f>+SUM(START:END!L455)</f>
        <v>0</v>
      </c>
      <c r="M455" s="26"/>
      <c r="N455" s="39"/>
      <c r="O455" s="26"/>
      <c r="P455" s="7"/>
      <c r="Q455" s="39">
        <f>+SUM(START:END!Q455)</f>
        <v>0</v>
      </c>
      <c r="R455" s="26"/>
      <c r="S455" s="39">
        <f t="shared" si="219"/>
        <v>0</v>
      </c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spans="1:40" ht="20.399999999999999" hidden="1" customHeight="1">
      <c r="A456" s="260" t="s">
        <v>471</v>
      </c>
      <c r="B456" s="7" t="s">
        <v>459</v>
      </c>
      <c r="C456" s="26" t="s">
        <v>19</v>
      </c>
      <c r="D456" s="54"/>
      <c r="E456" s="7"/>
      <c r="F456" s="19" t="e">
        <f>+SUM(START:END!F456)</f>
        <v>#N/A</v>
      </c>
      <c r="G456" s="56"/>
      <c r="H456" s="7"/>
      <c r="I456" s="19"/>
      <c r="J456" s="26"/>
      <c r="K456" s="7"/>
      <c r="L456" s="39">
        <f>+SUM(START:END!L456)</f>
        <v>0</v>
      </c>
      <c r="M456" s="26"/>
      <c r="N456" s="39"/>
      <c r="O456" s="26"/>
      <c r="P456" s="7"/>
      <c r="Q456" s="39">
        <f>+SUM(START:END!Q456)</f>
        <v>0</v>
      </c>
      <c r="R456" s="26"/>
      <c r="S456" s="39">
        <f t="shared" si="219"/>
        <v>0</v>
      </c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spans="1:40" ht="20.399999999999999" hidden="1" customHeight="1">
      <c r="A457" s="260" t="s">
        <v>471</v>
      </c>
      <c r="B457" s="7" t="s">
        <v>459</v>
      </c>
      <c r="C457" s="26" t="s">
        <v>19</v>
      </c>
      <c r="D457" s="54"/>
      <c r="E457" s="7"/>
      <c r="F457" s="19" t="e">
        <f>+SUM(START:END!F457)</f>
        <v>#N/A</v>
      </c>
      <c r="G457" s="56"/>
      <c r="H457" s="7"/>
      <c r="I457" s="19"/>
      <c r="J457" s="26"/>
      <c r="K457" s="7"/>
      <c r="L457" s="39">
        <f>+SUM(START:END!L457)</f>
        <v>0</v>
      </c>
      <c r="M457" s="26"/>
      <c r="N457" s="39"/>
      <c r="O457" s="26"/>
      <c r="P457" s="7"/>
      <c r="Q457" s="39">
        <f>+SUM(START:END!Q457)</f>
        <v>0</v>
      </c>
      <c r="R457" s="26"/>
      <c r="S457" s="39">
        <f t="shared" si="219"/>
        <v>0</v>
      </c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spans="1:40" ht="20.399999999999999" hidden="1" customHeight="1">
      <c r="A458" s="260" t="s">
        <v>471</v>
      </c>
      <c r="B458" s="7" t="s">
        <v>459</v>
      </c>
      <c r="C458" s="26" t="s">
        <v>19</v>
      </c>
      <c r="D458" s="54"/>
      <c r="E458" s="7"/>
      <c r="F458" s="19" t="e">
        <f>+SUM(START:END!F458)</f>
        <v>#N/A</v>
      </c>
      <c r="G458" s="56"/>
      <c r="H458" s="7"/>
      <c r="I458" s="19"/>
      <c r="J458" s="26"/>
      <c r="K458" s="7"/>
      <c r="L458" s="39">
        <f>+SUM(START:END!L458)</f>
        <v>0</v>
      </c>
      <c r="M458" s="26"/>
      <c r="N458" s="39"/>
      <c r="O458" s="26"/>
      <c r="P458" s="7"/>
      <c r="Q458" s="39">
        <f>+SUM(START:END!Q458)</f>
        <v>0</v>
      </c>
      <c r="R458" s="26"/>
      <c r="S458" s="39">
        <f t="shared" si="219"/>
        <v>0</v>
      </c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spans="1:40" ht="15.75" customHeight="1">
      <c r="A459" s="260" t="s">
        <v>472</v>
      </c>
      <c r="B459" s="7" t="s">
        <v>459</v>
      </c>
      <c r="C459" s="272" t="s">
        <v>44</v>
      </c>
      <c r="D459" s="54"/>
      <c r="E459" s="7"/>
      <c r="F459" s="31" t="e">
        <f>+SUM(START:END!F459)</f>
        <v>#N/A</v>
      </c>
      <c r="G459" s="56"/>
      <c r="H459" s="7"/>
      <c r="I459" s="31"/>
      <c r="J459" s="26"/>
      <c r="K459" s="7"/>
      <c r="L459" s="61">
        <f>+SUM(START:END!L459)</f>
        <v>15459.36</v>
      </c>
      <c r="M459" s="26"/>
      <c r="N459" s="39"/>
      <c r="O459" s="26"/>
      <c r="P459" s="7"/>
      <c r="Q459" s="61">
        <f>+SUM(START:END!Q459)</f>
        <v>0</v>
      </c>
      <c r="R459" s="26"/>
      <c r="S459" s="39">
        <f t="shared" si="219"/>
        <v>15459.36</v>
      </c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spans="1:40" ht="15.75" customHeight="1">
      <c r="A460" s="260" t="s">
        <v>473</v>
      </c>
      <c r="B460" s="7" t="s">
        <v>459</v>
      </c>
      <c r="C460" s="271" t="s">
        <v>45</v>
      </c>
      <c r="D460" s="68"/>
      <c r="E460" s="69"/>
      <c r="F460" s="19" t="e">
        <f>+SUM(START:END!F460)</f>
        <v>#N/A</v>
      </c>
      <c r="G460" s="70"/>
      <c r="H460" s="69"/>
      <c r="I460" s="19"/>
      <c r="J460" s="71"/>
      <c r="K460" s="69"/>
      <c r="L460" s="39">
        <f>+SUM(START:END!L460)</f>
        <v>15634.909999999998</v>
      </c>
      <c r="M460" s="71"/>
      <c r="N460" s="72"/>
      <c r="O460" s="71"/>
      <c r="P460" s="69"/>
      <c r="Q460" s="39">
        <f>+SUM(START:END!Q460)</f>
        <v>0</v>
      </c>
      <c r="R460" s="71"/>
      <c r="S460" s="72">
        <f t="shared" si="219"/>
        <v>15634.909999999998</v>
      </c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spans="1:40" ht="15.75" customHeight="1">
      <c r="A461" s="260" t="s">
        <v>474</v>
      </c>
      <c r="B461" s="7" t="s">
        <v>459</v>
      </c>
      <c r="C461" s="271" t="s">
        <v>46</v>
      </c>
      <c r="D461" s="54"/>
      <c r="E461" s="7"/>
      <c r="F461" s="19" t="e">
        <f>+SUM(START:END!F461)</f>
        <v>#N/A</v>
      </c>
      <c r="G461" s="56"/>
      <c r="H461" s="7"/>
      <c r="I461" s="19"/>
      <c r="J461" s="26"/>
      <c r="K461" s="7"/>
      <c r="L461" s="39">
        <f>+SUM(START:END!L461)</f>
        <v>3452.69</v>
      </c>
      <c r="M461" s="26"/>
      <c r="N461" s="39"/>
      <c r="O461" s="26"/>
      <c r="P461" s="7"/>
      <c r="Q461" s="39">
        <f>+SUM(START:END!Q461)</f>
        <v>0</v>
      </c>
      <c r="R461" s="26"/>
      <c r="S461" s="39">
        <f t="shared" si="219"/>
        <v>3452.69</v>
      </c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spans="1:40" ht="15.75" customHeight="1">
      <c r="A462" s="260" t="s">
        <v>475</v>
      </c>
      <c r="B462" s="7" t="s">
        <v>459</v>
      </c>
      <c r="C462" s="271" t="s">
        <v>47</v>
      </c>
      <c r="D462" s="54"/>
      <c r="E462" s="7"/>
      <c r="F462" s="19" t="e">
        <f>+SUM(START:END!F462)</f>
        <v>#N/A</v>
      </c>
      <c r="G462" s="56"/>
      <c r="H462" s="7"/>
      <c r="I462" s="19"/>
      <c r="J462" s="26"/>
      <c r="K462" s="7"/>
      <c r="L462" s="39">
        <f>+SUM(START:END!L462)</f>
        <v>2058.8199999999997</v>
      </c>
      <c r="M462" s="26"/>
      <c r="N462" s="39"/>
      <c r="O462" s="26"/>
      <c r="P462" s="7"/>
      <c r="Q462" s="39">
        <f>+SUM(START:END!Q462)</f>
        <v>0</v>
      </c>
      <c r="R462" s="26"/>
      <c r="S462" s="39">
        <f t="shared" si="219"/>
        <v>2058.8199999999997</v>
      </c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spans="1:40" ht="20.399999999999999" hidden="1" customHeight="1">
      <c r="A463" s="260" t="s">
        <v>471</v>
      </c>
      <c r="B463" s="7" t="s">
        <v>459</v>
      </c>
      <c r="C463" s="26" t="s">
        <v>19</v>
      </c>
      <c r="D463" s="57"/>
      <c r="E463" s="73"/>
      <c r="F463" s="19">
        <v>0</v>
      </c>
      <c r="G463" s="59"/>
      <c r="H463" s="73"/>
      <c r="I463" s="19"/>
      <c r="J463" s="14"/>
      <c r="K463" s="73"/>
      <c r="L463" s="39">
        <v>0</v>
      </c>
      <c r="M463" s="14"/>
      <c r="N463" s="61"/>
      <c r="O463" s="14"/>
      <c r="P463" s="73"/>
      <c r="Q463" s="39">
        <v>0</v>
      </c>
      <c r="R463" s="14"/>
      <c r="S463" s="61">
        <f t="shared" si="219"/>
        <v>0</v>
      </c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spans="1:40" ht="18.600000000000001" customHeight="1">
      <c r="A464" s="260" t="s">
        <v>476</v>
      </c>
      <c r="B464" s="7" t="s">
        <v>459</v>
      </c>
      <c r="C464" s="139" t="s">
        <v>48</v>
      </c>
      <c r="D464" s="62" t="s">
        <v>38</v>
      </c>
      <c r="E464" s="63">
        <f>IFERROR(F464/F$448,0)</f>
        <v>0</v>
      </c>
      <c r="F464" s="64" t="e">
        <f>+SUM(F452:F463)</f>
        <v>#N/A</v>
      </c>
      <c r="G464" s="65"/>
      <c r="H464" s="63"/>
      <c r="I464" s="64"/>
      <c r="J464" s="65" t="s">
        <v>38</v>
      </c>
      <c r="K464" s="63">
        <f>IFERROR(L464/L$448,0)</f>
        <v>0.33886534002701219</v>
      </c>
      <c r="L464" s="64">
        <f>+SUM(L452:L463)</f>
        <v>62789.45</v>
      </c>
      <c r="M464" s="66"/>
      <c r="N464" s="64"/>
      <c r="O464" s="65" t="s">
        <v>38</v>
      </c>
      <c r="P464" s="63">
        <f>IFERROR(Q464/Q$448,0)</f>
        <v>0</v>
      </c>
      <c r="Q464" s="64">
        <f>+SUM(Q452:Q463)</f>
        <v>0</v>
      </c>
      <c r="R464" s="67"/>
      <c r="S464" s="64">
        <f t="shared" si="219"/>
        <v>62789.45</v>
      </c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spans="1:40" ht="15.75" customHeight="1">
      <c r="A465" s="260" t="s">
        <v>477</v>
      </c>
      <c r="B465" s="7" t="s">
        <v>459</v>
      </c>
      <c r="C465" s="329" t="s">
        <v>49</v>
      </c>
      <c r="D465" s="54"/>
      <c r="E465" s="7"/>
      <c r="F465" s="19" t="e">
        <f>+SUM(START:END!F465)</f>
        <v>#N/A</v>
      </c>
      <c r="G465" s="56"/>
      <c r="H465" s="7"/>
      <c r="I465" s="19"/>
      <c r="J465" s="26"/>
      <c r="K465" s="7"/>
      <c r="L465" s="39">
        <f>+SUM(START:END!L465)</f>
        <v>0</v>
      </c>
      <c r="M465" s="26"/>
      <c r="N465" s="39"/>
      <c r="O465" s="26"/>
      <c r="P465" s="7"/>
      <c r="Q465" s="39">
        <f>+SUM(START:END!Q465)</f>
        <v>0</v>
      </c>
      <c r="R465" s="26"/>
      <c r="S465" s="39">
        <f t="shared" si="219"/>
        <v>0</v>
      </c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spans="1:40" ht="15.75" customHeight="1">
      <c r="A466" s="260" t="s">
        <v>478</v>
      </c>
      <c r="B466" s="7" t="s">
        <v>459</v>
      </c>
      <c r="C466" s="271" t="s">
        <v>50</v>
      </c>
      <c r="D466" s="54"/>
      <c r="E466" s="7"/>
      <c r="F466" s="19" t="e">
        <f>+SUM(START:END!F466)</f>
        <v>#N/A</v>
      </c>
      <c r="G466" s="56"/>
      <c r="H466" s="7"/>
      <c r="I466" s="19"/>
      <c r="J466" s="26"/>
      <c r="K466" s="7"/>
      <c r="L466" s="39">
        <f>+SUM(START:END!L466)</f>
        <v>0</v>
      </c>
      <c r="M466" s="26"/>
      <c r="N466" s="39"/>
      <c r="O466" s="26"/>
      <c r="P466" s="7"/>
      <c r="Q466" s="39">
        <f>+SUM(START:END!Q466)</f>
        <v>0</v>
      </c>
      <c r="R466" s="26"/>
      <c r="S466" s="39">
        <f t="shared" si="219"/>
        <v>0</v>
      </c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spans="1:40" ht="15.75" customHeight="1">
      <c r="A467" s="260" t="s">
        <v>479</v>
      </c>
      <c r="B467" s="7" t="s">
        <v>459</v>
      </c>
      <c r="C467" s="272" t="s">
        <v>51</v>
      </c>
      <c r="D467" s="57"/>
      <c r="E467" s="73"/>
      <c r="F467" s="31" t="e">
        <f>+SUM(START:END!F467)</f>
        <v>#N/A</v>
      </c>
      <c r="G467" s="59"/>
      <c r="H467" s="73"/>
      <c r="I467" s="31"/>
      <c r="J467" s="14"/>
      <c r="K467" s="73"/>
      <c r="L467" s="61">
        <f>+SUM(START:END!L467)</f>
        <v>0</v>
      </c>
      <c r="M467" s="14"/>
      <c r="N467" s="61"/>
      <c r="O467" s="14"/>
      <c r="P467" s="73"/>
      <c r="Q467" s="61">
        <f>+SUM(START:END!Q467)</f>
        <v>0</v>
      </c>
      <c r="R467" s="14"/>
      <c r="S467" s="61">
        <f t="shared" si="219"/>
        <v>0</v>
      </c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spans="1:40" ht="15.75" customHeight="1">
      <c r="A468" s="260" t="s">
        <v>480</v>
      </c>
      <c r="B468" s="7" t="s">
        <v>459</v>
      </c>
      <c r="C468" s="271" t="s">
        <v>52</v>
      </c>
      <c r="D468" s="54"/>
      <c r="E468" s="7"/>
      <c r="F468" s="19" t="e">
        <f>+SUM(START:END!F468)</f>
        <v>#N/A</v>
      </c>
      <c r="G468" s="56"/>
      <c r="H468" s="7"/>
      <c r="I468" s="19"/>
      <c r="J468" s="26"/>
      <c r="K468" s="7"/>
      <c r="L468" s="39">
        <f>+SUM(START:END!L468)</f>
        <v>0</v>
      </c>
      <c r="M468" s="26"/>
      <c r="N468" s="39"/>
      <c r="O468" s="26"/>
      <c r="P468" s="7"/>
      <c r="Q468" s="39">
        <f>+SUM(START:END!Q468)</f>
        <v>0</v>
      </c>
      <c r="R468" s="26"/>
      <c r="S468" s="39">
        <f t="shared" si="219"/>
        <v>0</v>
      </c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spans="1:40" ht="15.75" customHeight="1">
      <c r="A469" s="260" t="s">
        <v>481</v>
      </c>
      <c r="B469" s="7" t="s">
        <v>459</v>
      </c>
      <c r="C469" s="271" t="s">
        <v>53</v>
      </c>
      <c r="D469" s="54"/>
      <c r="E469" s="7"/>
      <c r="F469" s="19" t="e">
        <f>+SUM(START:END!F469)</f>
        <v>#N/A</v>
      </c>
      <c r="G469" s="56"/>
      <c r="H469" s="7"/>
      <c r="I469" s="19"/>
      <c r="J469" s="26"/>
      <c r="K469" s="7"/>
      <c r="L469" s="39">
        <f>+SUM(START:END!L469)</f>
        <v>0</v>
      </c>
      <c r="M469" s="26"/>
      <c r="N469" s="39"/>
      <c r="O469" s="26"/>
      <c r="P469" s="7"/>
      <c r="Q469" s="39">
        <f>+SUM(START:END!Q469)</f>
        <v>0</v>
      </c>
      <c r="R469" s="26"/>
      <c r="S469" s="39">
        <f t="shared" si="219"/>
        <v>0</v>
      </c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spans="1:40" ht="15.75" customHeight="1">
      <c r="A470" s="260" t="s">
        <v>482</v>
      </c>
      <c r="B470" s="7" t="s">
        <v>459</v>
      </c>
      <c r="C470" s="271" t="s">
        <v>54</v>
      </c>
      <c r="D470" s="57"/>
      <c r="E470" s="73"/>
      <c r="F470" s="31" t="e">
        <f>+SUM(START:END!F470)</f>
        <v>#N/A</v>
      </c>
      <c r="G470" s="59"/>
      <c r="H470" s="73"/>
      <c r="I470" s="31"/>
      <c r="J470" s="14"/>
      <c r="K470" s="73"/>
      <c r="L470" s="61">
        <f>+SUM(START:END!L470)</f>
        <v>567.63</v>
      </c>
      <c r="M470" s="14"/>
      <c r="N470" s="61"/>
      <c r="O470" s="14"/>
      <c r="P470" s="73"/>
      <c r="Q470" s="61">
        <f>+SUM(START:END!Q470)</f>
        <v>0</v>
      </c>
      <c r="R470" s="14"/>
      <c r="S470" s="61">
        <f t="shared" si="219"/>
        <v>567.63</v>
      </c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spans="1:40" ht="20.25" customHeight="1">
      <c r="A471" s="260" t="s">
        <v>483</v>
      </c>
      <c r="B471" s="7" t="s">
        <v>459</v>
      </c>
      <c r="C471" s="329" t="s">
        <v>55</v>
      </c>
      <c r="D471" s="54"/>
      <c r="E471" s="7"/>
      <c r="F471" s="19" t="e">
        <f>+SUM(START:END!F471)</f>
        <v>#N/A</v>
      </c>
      <c r="G471" s="56"/>
      <c r="H471" s="7"/>
      <c r="I471" s="19"/>
      <c r="J471" s="26"/>
      <c r="K471" s="7"/>
      <c r="L471" s="39">
        <f>+SUM(START:END!L471)</f>
        <v>0</v>
      </c>
      <c r="M471" s="26"/>
      <c r="N471" s="39"/>
      <c r="O471" s="26"/>
      <c r="P471" s="7"/>
      <c r="Q471" s="39">
        <f>+SUM(START:END!Q471)</f>
        <v>0</v>
      </c>
      <c r="R471" s="26"/>
      <c r="S471" s="39">
        <f t="shared" si="219"/>
        <v>0</v>
      </c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spans="1:40" ht="20.25" customHeight="1">
      <c r="A472" s="260" t="s">
        <v>484</v>
      </c>
      <c r="B472" s="7" t="s">
        <v>459</v>
      </c>
      <c r="C472" s="271" t="s">
        <v>56</v>
      </c>
      <c r="D472" s="54"/>
      <c r="E472" s="7"/>
      <c r="F472" s="19" t="e">
        <f>+SUM(START:END!F472)</f>
        <v>#N/A</v>
      </c>
      <c r="G472" s="56"/>
      <c r="H472" s="7"/>
      <c r="I472" s="19"/>
      <c r="J472" s="26"/>
      <c r="K472" s="7"/>
      <c r="L472" s="39">
        <f>+SUM(START:END!L472)</f>
        <v>980.04</v>
      </c>
      <c r="M472" s="26"/>
      <c r="N472" s="39"/>
      <c r="O472" s="26"/>
      <c r="P472" s="7"/>
      <c r="Q472" s="39">
        <f>+SUM(START:END!Q472)</f>
        <v>0</v>
      </c>
      <c r="R472" s="26"/>
      <c r="S472" s="39">
        <f t="shared" si="219"/>
        <v>980.04</v>
      </c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spans="1:40" ht="20.25" customHeight="1">
      <c r="A473" s="260" t="s">
        <v>485</v>
      </c>
      <c r="B473" s="7" t="s">
        <v>459</v>
      </c>
      <c r="C473" s="271" t="s">
        <v>57</v>
      </c>
      <c r="D473" s="54"/>
      <c r="E473" s="7"/>
      <c r="F473" s="19" t="e">
        <f>+SUM(START:END!F473)</f>
        <v>#N/A</v>
      </c>
      <c r="G473" s="56"/>
      <c r="H473" s="7"/>
      <c r="I473" s="19"/>
      <c r="J473" s="26"/>
      <c r="K473" s="7"/>
      <c r="L473" s="39">
        <f>+SUM(START:END!L473)</f>
        <v>0</v>
      </c>
      <c r="M473" s="26"/>
      <c r="N473" s="39"/>
      <c r="O473" s="26"/>
      <c r="P473" s="7"/>
      <c r="Q473" s="39">
        <f>+SUM(START:END!Q473)</f>
        <v>0</v>
      </c>
      <c r="R473" s="26"/>
      <c r="S473" s="39">
        <f t="shared" si="219"/>
        <v>0</v>
      </c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spans="1:40" ht="20.25" customHeight="1">
      <c r="A474" s="260" t="s">
        <v>486</v>
      </c>
      <c r="B474" s="7" t="s">
        <v>459</v>
      </c>
      <c r="C474" s="271" t="s">
        <v>58</v>
      </c>
      <c r="D474" s="54"/>
      <c r="E474" s="7"/>
      <c r="F474" s="19" t="e">
        <f>+SUM(START:END!F474)</f>
        <v>#N/A</v>
      </c>
      <c r="G474" s="56"/>
      <c r="H474" s="7"/>
      <c r="I474" s="19"/>
      <c r="J474" s="26"/>
      <c r="K474" s="7"/>
      <c r="L474" s="39">
        <f>+SUM(START:END!L474)</f>
        <v>0</v>
      </c>
      <c r="M474" s="26"/>
      <c r="N474" s="39"/>
      <c r="O474" s="26"/>
      <c r="P474" s="7"/>
      <c r="Q474" s="39">
        <f>+SUM(START:END!Q474)</f>
        <v>0</v>
      </c>
      <c r="R474" s="26"/>
      <c r="S474" s="39">
        <f t="shared" si="219"/>
        <v>0</v>
      </c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spans="1:40" ht="20.25" customHeight="1">
      <c r="A475" s="260" t="s">
        <v>487</v>
      </c>
      <c r="B475" s="7" t="s">
        <v>459</v>
      </c>
      <c r="C475" s="271" t="s">
        <v>59</v>
      </c>
      <c r="D475" s="54"/>
      <c r="E475" s="7"/>
      <c r="F475" s="19" t="e">
        <f>+SUM(START:END!F475)</f>
        <v>#N/A</v>
      </c>
      <c r="G475" s="56"/>
      <c r="H475" s="7"/>
      <c r="I475" s="19"/>
      <c r="J475" s="26"/>
      <c r="K475" s="7"/>
      <c r="L475" s="39">
        <f>+SUM(START:END!L475)</f>
        <v>0</v>
      </c>
      <c r="M475" s="26"/>
      <c r="N475" s="39"/>
      <c r="O475" s="26"/>
      <c r="P475" s="7"/>
      <c r="Q475" s="39">
        <f>+SUM(START:END!Q475)</f>
        <v>0</v>
      </c>
      <c r="R475" s="26"/>
      <c r="S475" s="39">
        <f t="shared" si="219"/>
        <v>0</v>
      </c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spans="1:40" ht="20.25" customHeight="1">
      <c r="A476" s="260" t="s">
        <v>488</v>
      </c>
      <c r="B476" s="7" t="s">
        <v>459</v>
      </c>
      <c r="C476" s="271" t="s">
        <v>60</v>
      </c>
      <c r="D476" s="54"/>
      <c r="E476" s="7"/>
      <c r="F476" s="19" t="e">
        <f>+SUM(START:END!F476)</f>
        <v>#N/A</v>
      </c>
      <c r="G476" s="56"/>
      <c r="H476" s="7"/>
      <c r="I476" s="19"/>
      <c r="J476" s="26"/>
      <c r="K476" s="7"/>
      <c r="L476" s="39">
        <f>+SUM(START:END!L476)</f>
        <v>75</v>
      </c>
      <c r="M476" s="26"/>
      <c r="N476" s="39"/>
      <c r="O476" s="26"/>
      <c r="P476" s="7"/>
      <c r="Q476" s="39">
        <f>+SUM(START:END!Q476)</f>
        <v>0</v>
      </c>
      <c r="R476" s="26"/>
      <c r="S476" s="39">
        <f t="shared" si="219"/>
        <v>75</v>
      </c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spans="1:40" ht="20.25" customHeight="1">
      <c r="A477" s="260" t="s">
        <v>489</v>
      </c>
      <c r="B477" s="7" t="s">
        <v>459</v>
      </c>
      <c r="C477" s="271" t="s">
        <v>61</v>
      </c>
      <c r="D477" s="54"/>
      <c r="E477" s="7"/>
      <c r="F477" s="19" t="e">
        <f>+SUM(START:END!F477)</f>
        <v>#N/A</v>
      </c>
      <c r="G477" s="56"/>
      <c r="H477" s="7"/>
      <c r="I477" s="19"/>
      <c r="J477" s="26"/>
      <c r="K477" s="7"/>
      <c r="L477" s="39">
        <f>+SUM(START:END!L477)</f>
        <v>3833.52</v>
      </c>
      <c r="M477" s="26"/>
      <c r="N477" s="39"/>
      <c r="O477" s="26"/>
      <c r="P477" s="7"/>
      <c r="Q477" s="39">
        <f>+SUM(START:END!Q477)</f>
        <v>0</v>
      </c>
      <c r="R477" s="26"/>
      <c r="S477" s="39">
        <f t="shared" si="219"/>
        <v>3833.52</v>
      </c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spans="1:40" ht="19.95" customHeight="1">
      <c r="A478" s="260" t="s">
        <v>490</v>
      </c>
      <c r="B478" s="7" t="s">
        <v>459</v>
      </c>
      <c r="C478" s="271" t="s">
        <v>62</v>
      </c>
      <c r="D478" s="54"/>
      <c r="E478" s="7"/>
      <c r="F478" s="19" t="e">
        <f>+SUM(START:END!F478)</f>
        <v>#N/A</v>
      </c>
      <c r="G478" s="56"/>
      <c r="H478" s="7"/>
      <c r="I478" s="19"/>
      <c r="J478" s="26"/>
      <c r="K478" s="7"/>
      <c r="L478" s="39">
        <f>+SUM(START:END!L478)</f>
        <v>0</v>
      </c>
      <c r="M478" s="26"/>
      <c r="N478" s="39"/>
      <c r="O478" s="26"/>
      <c r="P478" s="7"/>
      <c r="Q478" s="39">
        <f>+SUM(START:END!Q478)</f>
        <v>0</v>
      </c>
      <c r="R478" s="26"/>
      <c r="S478" s="39">
        <f t="shared" si="219"/>
        <v>0</v>
      </c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spans="1:40" ht="20.399999999999999" hidden="1" customHeight="1" thickBot="1">
      <c r="A479" s="260" t="s">
        <v>471</v>
      </c>
      <c r="B479" s="7" t="s">
        <v>459</v>
      </c>
      <c r="C479" s="271" t="s">
        <v>19</v>
      </c>
      <c r="D479" s="54"/>
      <c r="E479" s="7"/>
      <c r="F479" s="19">
        <v>0</v>
      </c>
      <c r="G479" s="56"/>
      <c r="H479" s="7"/>
      <c r="I479" s="19"/>
      <c r="J479" s="26"/>
      <c r="K479" s="7"/>
      <c r="L479" s="39">
        <v>0</v>
      </c>
      <c r="M479" s="26"/>
      <c r="N479" s="39"/>
      <c r="O479" s="26"/>
      <c r="P479" s="7"/>
      <c r="Q479" s="39">
        <v>0</v>
      </c>
      <c r="R479" s="26"/>
      <c r="S479" s="39">
        <f t="shared" si="219"/>
        <v>0</v>
      </c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spans="1:40" ht="20.399999999999999" hidden="1" customHeight="1" thickTop="1" thickBot="1">
      <c r="A480" s="260" t="s">
        <v>471</v>
      </c>
      <c r="B480" s="7" t="s">
        <v>459</v>
      </c>
      <c r="C480" s="271" t="s">
        <v>19</v>
      </c>
      <c r="D480" s="54"/>
      <c r="E480" s="7"/>
      <c r="F480" s="19">
        <v>0</v>
      </c>
      <c r="G480" s="56"/>
      <c r="H480" s="7"/>
      <c r="I480" s="19"/>
      <c r="J480" s="26"/>
      <c r="K480" s="7"/>
      <c r="L480" s="39">
        <v>0</v>
      </c>
      <c r="M480" s="26"/>
      <c r="N480" s="39"/>
      <c r="O480" s="26"/>
      <c r="P480" s="7"/>
      <c r="Q480" s="39">
        <v>0</v>
      </c>
      <c r="R480" s="26"/>
      <c r="S480" s="39">
        <f t="shared" si="219"/>
        <v>0</v>
      </c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spans="1:61" ht="20.399999999999999" hidden="1" customHeight="1">
      <c r="A481" s="260" t="s">
        <v>471</v>
      </c>
      <c r="B481" s="7" t="s">
        <v>459</v>
      </c>
      <c r="C481" s="271" t="s">
        <v>19</v>
      </c>
      <c r="D481" s="57"/>
      <c r="E481" s="73"/>
      <c r="F481" s="19">
        <v>0</v>
      </c>
      <c r="G481" s="59"/>
      <c r="H481" s="73"/>
      <c r="I481" s="19"/>
      <c r="J481" s="14"/>
      <c r="K481" s="73"/>
      <c r="L481" s="39">
        <v>0</v>
      </c>
      <c r="M481" s="14"/>
      <c r="N481" s="61"/>
      <c r="O481" s="14"/>
      <c r="P481" s="73"/>
      <c r="Q481" s="39">
        <v>0</v>
      </c>
      <c r="R481" s="14"/>
      <c r="S481" s="61">
        <f t="shared" si="219"/>
        <v>0</v>
      </c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spans="1:61" ht="18.600000000000001" customHeight="1">
      <c r="A482" s="260"/>
      <c r="B482" s="7"/>
      <c r="C482" s="139" t="s">
        <v>63</v>
      </c>
      <c r="D482" s="62" t="s">
        <v>38</v>
      </c>
      <c r="E482" s="63">
        <f>IFERROR(F482/F$448,0)</f>
        <v>0</v>
      </c>
      <c r="F482" s="64" t="e">
        <f>+SUM(F465:F481)</f>
        <v>#N/A</v>
      </c>
      <c r="G482" s="65"/>
      <c r="H482" s="63"/>
      <c r="I482" s="64"/>
      <c r="J482" s="65" t="s">
        <v>38</v>
      </c>
      <c r="K482" s="63">
        <f>IFERROR(L482/L$448,0)</f>
        <v>2.9446247412614444E-2</v>
      </c>
      <c r="L482" s="64">
        <f>+SUM(L465:L481)</f>
        <v>5456.1900000000005</v>
      </c>
      <c r="M482" s="66"/>
      <c r="N482" s="64"/>
      <c r="O482" s="65" t="s">
        <v>38</v>
      </c>
      <c r="P482" s="63">
        <f>IFERROR(Q482/Q$448,0)</f>
        <v>0</v>
      </c>
      <c r="Q482" s="64">
        <f>+SUM(Q465:Q481)</f>
        <v>0</v>
      </c>
      <c r="R482" s="67"/>
      <c r="S482" s="64">
        <f>+SUM(S465:S481)</f>
        <v>5456.1900000000005</v>
      </c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spans="1:61" ht="15.75" customHeight="1">
      <c r="B483" s="3"/>
      <c r="C483" s="26"/>
      <c r="D483" s="7"/>
      <c r="E483" s="7"/>
      <c r="F483" s="25"/>
      <c r="G483" s="26"/>
      <c r="H483" s="7"/>
      <c r="I483" s="25"/>
      <c r="J483" s="26"/>
      <c r="K483" s="7"/>
      <c r="L483" s="39"/>
      <c r="M483" s="52"/>
      <c r="N483" s="51"/>
      <c r="O483" s="26"/>
      <c r="P483" s="7"/>
      <c r="Q483" s="39"/>
      <c r="R483" s="26"/>
      <c r="S483" s="112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spans="1:61" ht="18.600000000000001" customHeight="1">
      <c r="A484" s="260"/>
      <c r="B484" s="7"/>
      <c r="C484" s="139" t="s">
        <v>64</v>
      </c>
      <c r="D484" s="62" t="s">
        <v>38</v>
      </c>
      <c r="E484" s="63">
        <f>IFERROR(F484/F$448,0)</f>
        <v>0</v>
      </c>
      <c r="F484" s="64" t="e">
        <f>F464+F482</f>
        <v>#N/A</v>
      </c>
      <c r="G484" s="65"/>
      <c r="H484" s="63"/>
      <c r="I484" s="64"/>
      <c r="J484" s="65" t="s">
        <v>38</v>
      </c>
      <c r="K484" s="63">
        <f>IFERROR(L484/L$448,0)</f>
        <v>0.36831158743962666</v>
      </c>
      <c r="L484" s="64">
        <f>L464+L482</f>
        <v>68245.64</v>
      </c>
      <c r="M484" s="66"/>
      <c r="N484" s="64"/>
      <c r="O484" s="65" t="s">
        <v>38</v>
      </c>
      <c r="P484" s="63">
        <f>IFERROR(Q484/Q$448,0)</f>
        <v>0</v>
      </c>
      <c r="Q484" s="64">
        <f>Q464+Q482</f>
        <v>0</v>
      </c>
      <c r="R484" s="67"/>
      <c r="S484" s="64">
        <f>L484-Q484</f>
        <v>68245.64</v>
      </c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spans="1:61" ht="15.75" customHeight="1">
      <c r="B485" s="3"/>
      <c r="C485" s="26"/>
      <c r="D485" s="7"/>
      <c r="E485" s="7"/>
      <c r="F485" s="39"/>
      <c r="G485" s="26"/>
      <c r="H485" s="7"/>
      <c r="I485" s="39"/>
      <c r="J485" s="26"/>
      <c r="K485" s="7"/>
      <c r="L485" s="39"/>
      <c r="M485" s="52"/>
      <c r="N485" s="51"/>
      <c r="O485" s="26"/>
      <c r="P485" s="7"/>
      <c r="Q485" s="39"/>
      <c r="R485" s="26"/>
      <c r="S485" s="112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spans="1:61" ht="18.600000000000001" customHeight="1" thickBot="1">
      <c r="A486" s="260"/>
      <c r="B486" s="7"/>
      <c r="C486" s="276" t="s">
        <v>69</v>
      </c>
      <c r="D486" s="277"/>
      <c r="E486" s="278"/>
      <c r="F486" s="138" t="e">
        <f>#REF!-F484</f>
        <v>#REF!</v>
      </c>
      <c r="G486" s="279"/>
      <c r="H486" s="278"/>
      <c r="I486" s="138"/>
      <c r="J486" s="279"/>
      <c r="K486" s="278"/>
      <c r="L486" s="138">
        <f>L448-L484</f>
        <v>117047.58000000006</v>
      </c>
      <c r="M486" s="280"/>
      <c r="N486" s="138"/>
      <c r="O486" s="279"/>
      <c r="P486" s="278"/>
      <c r="Q486" s="138">
        <f>Q448-Q484</f>
        <v>169098.55999999997</v>
      </c>
      <c r="R486" s="281"/>
      <c r="S486" s="138">
        <f>L486-Q486</f>
        <v>-52050.979999999909</v>
      </c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55"/>
      <c r="AG486" s="7"/>
      <c r="AH486" s="7"/>
      <c r="AI486" s="7"/>
      <c r="AJ486" s="55"/>
      <c r="AK486" s="7"/>
      <c r="AL486" s="7"/>
      <c r="AM486" s="7"/>
      <c r="AN486" s="7"/>
    </row>
    <row r="487" spans="1:61" ht="15.75" customHeight="1" thickTop="1">
      <c r="B487" s="3"/>
      <c r="C487" s="50"/>
      <c r="D487" s="290"/>
      <c r="E487" s="7"/>
      <c r="F487" s="74"/>
      <c r="G487" s="54"/>
      <c r="H487" s="7"/>
      <c r="I487" s="74"/>
      <c r="J487" s="290"/>
      <c r="K487" s="50"/>
      <c r="L487" s="74"/>
      <c r="M487" s="50"/>
      <c r="N487" s="74"/>
      <c r="O487" s="50"/>
      <c r="P487" s="50"/>
      <c r="Q487" s="74"/>
      <c r="R487" s="50"/>
      <c r="S487" s="74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55"/>
      <c r="AG487" s="7"/>
      <c r="AH487" s="7"/>
      <c r="AI487" s="7"/>
      <c r="AJ487" s="7"/>
      <c r="AK487" s="7"/>
      <c r="AL487" s="7"/>
      <c r="AM487" s="7"/>
      <c r="AN487" s="7"/>
    </row>
    <row r="488" spans="1:61" ht="15.75" customHeight="1">
      <c r="B488" s="3"/>
      <c r="F488" s="74"/>
      <c r="L488" s="74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spans="1:61" ht="35.4">
      <c r="B489" s="3"/>
      <c r="C489" s="336"/>
      <c r="F489" s="337"/>
      <c r="L489" s="337"/>
      <c r="V489" s="338" t="str">
        <f>C1</f>
        <v>Ste-Marie Auto</v>
      </c>
      <c r="W489" s="254"/>
      <c r="X489" s="254"/>
      <c r="Y489" s="254"/>
      <c r="Z489" s="254"/>
      <c r="AA489" s="254"/>
      <c r="AB489" s="254"/>
      <c r="AC489" s="254"/>
      <c r="AD489" s="254"/>
      <c r="AE489" s="339" t="s">
        <v>115</v>
      </c>
      <c r="AF489" s="339"/>
      <c r="AG489" s="254"/>
      <c r="AH489" s="254"/>
      <c r="AI489" s="254"/>
      <c r="AJ489" s="340"/>
      <c r="AK489" s="252"/>
      <c r="AL489" s="254"/>
      <c r="AM489" s="254"/>
      <c r="AN489" s="254"/>
      <c r="AO489" s="340" t="str">
        <f>$S$1</f>
        <v>Réalisé  Q2 2026</v>
      </c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</row>
    <row r="490" spans="1:61" ht="15.75" customHeight="1" thickBot="1">
      <c r="B490" s="3"/>
      <c r="C490" s="336"/>
      <c r="V490" s="140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</row>
    <row r="491" spans="1:61" ht="15.75" customHeight="1" thickTop="1" thickBot="1">
      <c r="A491" s="260" t="str">
        <f>+U491&amp;V491</f>
        <v/>
      </c>
      <c r="B491" s="3"/>
      <c r="C491" s="336"/>
      <c r="V491" s="341"/>
      <c r="W491" s="342"/>
      <c r="X491" s="403" t="s">
        <v>116</v>
      </c>
      <c r="Y491" s="401"/>
      <c r="Z491" s="404"/>
      <c r="AA491" s="400" t="s">
        <v>71</v>
      </c>
      <c r="AB491" s="401"/>
      <c r="AC491" s="404"/>
      <c r="AD491" s="400" t="s">
        <v>7</v>
      </c>
      <c r="AE491" s="401"/>
      <c r="AF491" s="404"/>
      <c r="AG491" s="400" t="s">
        <v>211</v>
      </c>
      <c r="AH491" s="401"/>
      <c r="AI491" s="404"/>
      <c r="AJ491" s="400" t="s">
        <v>117</v>
      </c>
      <c r="AK491" s="401"/>
      <c r="AL491" s="401"/>
      <c r="AM491" s="400" t="s">
        <v>118</v>
      </c>
      <c r="AN491" s="401"/>
      <c r="AO491" s="402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</row>
    <row r="492" spans="1:61" ht="15.75" customHeight="1">
      <c r="A492" s="260" t="str">
        <f t="shared" ref="A492:A526" si="220">+U492&amp;V492</f>
        <v/>
      </c>
      <c r="B492" s="3"/>
      <c r="C492" s="336"/>
      <c r="V492" s="14"/>
      <c r="W492" s="141" t="s">
        <v>119</v>
      </c>
      <c r="X492" s="141" t="s">
        <v>120</v>
      </c>
      <c r="Y492" s="141" t="s">
        <v>121</v>
      </c>
      <c r="Z492" s="142" t="s">
        <v>122</v>
      </c>
      <c r="AA492" s="141" t="s">
        <v>120</v>
      </c>
      <c r="AB492" s="141" t="s">
        <v>121</v>
      </c>
      <c r="AC492" s="142" t="s">
        <v>122</v>
      </c>
      <c r="AD492" s="143" t="s">
        <v>120</v>
      </c>
      <c r="AE492" s="141" t="s">
        <v>121</v>
      </c>
      <c r="AF492" s="141" t="s">
        <v>122</v>
      </c>
      <c r="AG492" s="143" t="s">
        <v>123</v>
      </c>
      <c r="AH492" s="141" t="s">
        <v>124</v>
      </c>
      <c r="AI492" s="141" t="s">
        <v>125</v>
      </c>
      <c r="AJ492" s="143" t="s">
        <v>120</v>
      </c>
      <c r="AK492" s="141" t="s">
        <v>121</v>
      </c>
      <c r="AL492" s="141" t="s">
        <v>122</v>
      </c>
      <c r="AM492" s="144" t="s">
        <v>123</v>
      </c>
      <c r="AN492" s="141" t="s">
        <v>124</v>
      </c>
      <c r="AO492" s="87" t="s">
        <v>125</v>
      </c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</row>
    <row r="493" spans="1:61" ht="15.75" customHeight="1">
      <c r="A493" s="260" t="s">
        <v>14</v>
      </c>
      <c r="B493" s="3"/>
      <c r="C493" s="336" t="s">
        <v>491</v>
      </c>
      <c r="V493" s="272" t="s">
        <v>14</v>
      </c>
      <c r="W493" s="145"/>
      <c r="X493" s="145"/>
      <c r="Y493" s="145"/>
      <c r="Z493" s="146" t="e">
        <f>F5+F93+E268+E326+D390+#REF!</f>
        <v>#N/A</v>
      </c>
      <c r="AA493" s="145"/>
      <c r="AB493" s="145"/>
      <c r="AC493" s="146"/>
      <c r="AD493" s="147"/>
      <c r="AE493" s="148"/>
      <c r="AF493" s="146">
        <f>L5+L93+L173+K268+K326+J390+K448</f>
        <v>39562043.469999999</v>
      </c>
      <c r="AG493" s="147"/>
      <c r="AH493" s="148"/>
      <c r="AI493" s="149"/>
      <c r="AJ493" s="147"/>
      <c r="AK493" s="148"/>
      <c r="AL493" s="146">
        <f>Q5+Q93+Q173+P268+P326+O390+P448</f>
        <v>53623580.910000011</v>
      </c>
      <c r="AM493" s="150"/>
      <c r="AN493" s="148"/>
      <c r="AO493" s="343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</row>
    <row r="494" spans="1:61" ht="21" customHeight="1">
      <c r="A494" s="260" t="s">
        <v>126</v>
      </c>
      <c r="B494" s="3"/>
      <c r="C494" s="336" t="s">
        <v>491</v>
      </c>
      <c r="V494" s="344" t="s">
        <v>126</v>
      </c>
      <c r="W494" s="151"/>
      <c r="X494" s="345" t="e">
        <f>Z494/Z493</f>
        <v>#N/A</v>
      </c>
      <c r="Y494" s="151"/>
      <c r="Z494" s="152" t="e">
        <f>F27+F109+F268+F326+F390+#REF!</f>
        <v>#N/A</v>
      </c>
      <c r="AA494" s="151"/>
      <c r="AB494" s="151"/>
      <c r="AC494" s="152"/>
      <c r="AD494" s="345">
        <f>AF494/AF493</f>
        <v>4.1246361332103541E-2</v>
      </c>
      <c r="AE494" s="154"/>
      <c r="AF494" s="152">
        <f>L27+L109+L182+L268+L326+L390+L448</f>
        <v>1631790.3400000073</v>
      </c>
      <c r="AG494" s="153"/>
      <c r="AH494" s="154" t="e">
        <f>AF494-Z494</f>
        <v>#N/A</v>
      </c>
      <c r="AI494" s="155" t="e">
        <f>AH494/Z494</f>
        <v>#N/A</v>
      </c>
      <c r="AJ494" s="345">
        <f>AL494/AL493</f>
        <v>4.5999837350288064E-2</v>
      </c>
      <c r="AK494" s="154"/>
      <c r="AL494" s="152">
        <f>Q27+Q109+Q182+Q268+Q326+Q390+Q448</f>
        <v>2466676.0000000126</v>
      </c>
      <c r="AM494" s="156"/>
      <c r="AN494" s="154">
        <f>AF494-AL494</f>
        <v>-834885.66000000527</v>
      </c>
      <c r="AO494" s="346">
        <f>IF(AL494=0,0,AN494/AL494)</f>
        <v>-0.33846587877775641</v>
      </c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</row>
    <row r="495" spans="1:61" ht="15.75" customHeight="1">
      <c r="A495" s="260" t="str">
        <f t="shared" si="220"/>
        <v>DÉPENSES</v>
      </c>
      <c r="B495" s="3"/>
      <c r="C495" s="336"/>
      <c r="V495" s="347" t="s">
        <v>127</v>
      </c>
      <c r="W495" s="157"/>
      <c r="X495" s="157"/>
      <c r="Y495" s="157"/>
      <c r="Z495" s="158"/>
      <c r="AA495" s="157"/>
      <c r="AB495" s="157"/>
      <c r="AC495" s="158"/>
      <c r="AD495" s="159"/>
      <c r="AE495" s="160"/>
      <c r="AF495" s="158"/>
      <c r="AG495" s="159"/>
      <c r="AH495" s="160"/>
      <c r="AI495" s="161"/>
      <c r="AJ495" s="159"/>
      <c r="AK495" s="160"/>
      <c r="AL495" s="158"/>
      <c r="AM495" s="162"/>
      <c r="AN495" s="160"/>
      <c r="AO495" s="348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</row>
    <row r="496" spans="1:61" ht="15.75" customHeight="1">
      <c r="A496" s="260" t="str">
        <f t="shared" si="220"/>
        <v>Comm. vendeurs</v>
      </c>
      <c r="B496" s="3"/>
      <c r="C496" s="336"/>
      <c r="V496" s="271" t="s">
        <v>30</v>
      </c>
      <c r="W496" s="163" t="s">
        <v>128</v>
      </c>
      <c r="X496" s="157"/>
      <c r="Y496" s="164" t="e">
        <f>Z496/(D$13+D$97)</f>
        <v>#N/A</v>
      </c>
      <c r="Z496" s="158" t="e">
        <f>+SUM(START:END!Z496)</f>
        <v>#N/A</v>
      </c>
      <c r="AA496" s="157"/>
      <c r="AB496" s="164">
        <f>IF(AC496=0,0,AC496/(G$13+G$97))</f>
        <v>0</v>
      </c>
      <c r="AC496" s="158">
        <f>+SUM(START:END!AC496)</f>
        <v>0</v>
      </c>
      <c r="AD496" s="165"/>
      <c r="AE496" s="160">
        <f>IF(AF496=0,0,AF496/(J$13+J$97))</f>
        <v>675.97792156862738</v>
      </c>
      <c r="AF496" s="158">
        <f>+SUM(START:END!AF496)</f>
        <v>172374.37</v>
      </c>
      <c r="AG496" s="159" t="e">
        <f t="shared" ref="AG496:AG505" si="221">AE496-Y496</f>
        <v>#N/A</v>
      </c>
      <c r="AH496" s="160" t="e">
        <f t="shared" ref="AH496:AH523" si="222">AF496-Z496</f>
        <v>#N/A</v>
      </c>
      <c r="AI496" s="161" t="e">
        <f t="shared" ref="AI496:AI505" si="223">IF(Z496=0,0,AH496/Z496)</f>
        <v>#N/A</v>
      </c>
      <c r="AJ496" s="165"/>
      <c r="AK496" s="160">
        <f>AL496/(O$13+O$97)</f>
        <v>1001.617356321839</v>
      </c>
      <c r="AL496" s="158">
        <f t="shared" ref="AL496:AL504" si="224">+SUMIF($C:$C,$V496,Q:Q)</f>
        <v>261422.12999999998</v>
      </c>
      <c r="AM496" s="162" t="e">
        <f t="shared" ref="AM496:AM501" si="225">AE496-Y496</f>
        <v>#N/A</v>
      </c>
      <c r="AN496" s="160">
        <f t="shared" ref="AN496:AN501" si="226">AF496-AL496</f>
        <v>-89047.75999999998</v>
      </c>
      <c r="AO496" s="349">
        <f t="shared" ref="AO496:AO518" si="227">IF(AL496=0,0,AN496/AL496)</f>
        <v>-0.3406282398510026</v>
      </c>
      <c r="AP496" s="6"/>
      <c r="AQ496" s="6"/>
      <c r="AR496" s="3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</row>
    <row r="497" spans="1:61" ht="15.75" customHeight="1">
      <c r="A497" s="260" t="str">
        <f t="shared" si="220"/>
        <v>Comm. F&amp;I</v>
      </c>
      <c r="B497" s="3"/>
      <c r="C497" s="336"/>
      <c r="V497" s="272" t="s">
        <v>31</v>
      </c>
      <c r="W497" s="166" t="s">
        <v>129</v>
      </c>
      <c r="X497" s="145"/>
      <c r="Y497" s="167" t="e">
        <f t="shared" ref="Y497:Y502" si="228">Z497/(D$13+D$97)</f>
        <v>#N/A</v>
      </c>
      <c r="Z497" s="146" t="e">
        <f>+SUM(START:END!Z497)</f>
        <v>#N/A</v>
      </c>
      <c r="AA497" s="145"/>
      <c r="AB497" s="167">
        <f t="shared" ref="AB497:AB502" si="229">IF(AC497=0,0,AC497/(G$13+G$97))</f>
        <v>0</v>
      </c>
      <c r="AC497" s="146">
        <f>+SUM(START:END!AC497)</f>
        <v>0</v>
      </c>
      <c r="AD497" s="168"/>
      <c r="AE497" s="148">
        <f t="shared" ref="AE497:AE502" si="230">IF(AF497=0,0,AF497/(J$13+J$97))</f>
        <v>191.02117647058822</v>
      </c>
      <c r="AF497" s="146">
        <f>+SUM(START:END!AF497)</f>
        <v>48710.399999999994</v>
      </c>
      <c r="AG497" s="147" t="e">
        <f t="shared" si="221"/>
        <v>#N/A</v>
      </c>
      <c r="AH497" s="148" t="e">
        <f t="shared" si="222"/>
        <v>#N/A</v>
      </c>
      <c r="AI497" s="169" t="e">
        <f t="shared" si="223"/>
        <v>#N/A</v>
      </c>
      <c r="AJ497" s="168"/>
      <c r="AK497" s="148">
        <f t="shared" ref="AK497:AK502" si="231">AL497/(O$13+O$97)</f>
        <v>216.31061302681994</v>
      </c>
      <c r="AL497" s="146">
        <f t="shared" si="224"/>
        <v>56457.070000000007</v>
      </c>
      <c r="AM497" s="350" t="e">
        <f t="shared" si="225"/>
        <v>#N/A</v>
      </c>
      <c r="AN497" s="148">
        <f t="shared" si="226"/>
        <v>-7746.6700000000128</v>
      </c>
      <c r="AO497" s="343">
        <f t="shared" si="227"/>
        <v>-0.1372134614849834</v>
      </c>
      <c r="AP497" s="6"/>
      <c r="AQ497" s="6"/>
      <c r="AR497" s="7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</row>
    <row r="498" spans="1:61" ht="15.75" customHeight="1">
      <c r="A498" s="260" t="str">
        <f t="shared" si="220"/>
        <v>Frais de livraison</v>
      </c>
      <c r="B498" s="3"/>
      <c r="C498" s="336"/>
      <c r="V498" s="271" t="s">
        <v>32</v>
      </c>
      <c r="W498" s="163" t="s">
        <v>130</v>
      </c>
      <c r="X498" s="157"/>
      <c r="Y498" s="164" t="e">
        <f t="shared" si="228"/>
        <v>#N/A</v>
      </c>
      <c r="Z498" s="158" t="e">
        <f>+SUM(START:END!Z498)</f>
        <v>#N/A</v>
      </c>
      <c r="AA498" s="157"/>
      <c r="AB498" s="164">
        <f t="shared" si="229"/>
        <v>0</v>
      </c>
      <c r="AC498" s="158">
        <f>+SUM(START:END!AC498)</f>
        <v>0</v>
      </c>
      <c r="AD498" s="165"/>
      <c r="AE498" s="160">
        <f t="shared" si="230"/>
        <v>311.47254901960787</v>
      </c>
      <c r="AF498" s="158">
        <f>+SUM(START:END!AF498)</f>
        <v>79425.5</v>
      </c>
      <c r="AG498" s="159" t="e">
        <f t="shared" si="221"/>
        <v>#N/A</v>
      </c>
      <c r="AH498" s="160" t="e">
        <f t="shared" si="222"/>
        <v>#N/A</v>
      </c>
      <c r="AI498" s="161" t="e">
        <f t="shared" si="223"/>
        <v>#N/A</v>
      </c>
      <c r="AJ498" s="165"/>
      <c r="AK498" s="160">
        <f t="shared" si="231"/>
        <v>-260.8040996168582</v>
      </c>
      <c r="AL498" s="158">
        <f t="shared" si="224"/>
        <v>-68069.87</v>
      </c>
      <c r="AM498" s="162" t="e">
        <f t="shared" si="225"/>
        <v>#N/A</v>
      </c>
      <c r="AN498" s="160">
        <f t="shared" si="226"/>
        <v>147495.37</v>
      </c>
      <c r="AO498" s="349">
        <f t="shared" si="227"/>
        <v>-2.1668231480389193</v>
      </c>
      <c r="AP498" s="6"/>
      <c r="AQ498" s="6"/>
      <c r="AR498" s="7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</row>
    <row r="499" spans="1:61" ht="15.75" customHeight="1">
      <c r="A499" s="260" t="str">
        <f t="shared" si="220"/>
        <v>Service gratuit 1</v>
      </c>
      <c r="B499" s="3"/>
      <c r="C499" s="336"/>
      <c r="V499" s="271" t="s">
        <v>33</v>
      </c>
      <c r="W499" s="163" t="s">
        <v>131</v>
      </c>
      <c r="X499" s="157"/>
      <c r="Y499" s="164" t="e">
        <f t="shared" si="228"/>
        <v>#N/A</v>
      </c>
      <c r="Z499" s="158" t="e">
        <f>+SUM(START:END!Z499)</f>
        <v>#N/A</v>
      </c>
      <c r="AA499" s="157"/>
      <c r="AB499" s="164">
        <f t="shared" si="229"/>
        <v>0</v>
      </c>
      <c r="AC499" s="158">
        <f>+SUM(START:END!AC499)</f>
        <v>0</v>
      </c>
      <c r="AD499" s="165"/>
      <c r="AE499" s="160">
        <f t="shared" si="230"/>
        <v>14.137137254901955</v>
      </c>
      <c r="AF499" s="158">
        <f>+SUM(START:END!AF499)</f>
        <v>3604.9699999999984</v>
      </c>
      <c r="AG499" s="159" t="e">
        <f t="shared" si="221"/>
        <v>#N/A</v>
      </c>
      <c r="AH499" s="160" t="e">
        <f t="shared" si="222"/>
        <v>#N/A</v>
      </c>
      <c r="AI499" s="161" t="e">
        <f t="shared" si="223"/>
        <v>#N/A</v>
      </c>
      <c r="AJ499" s="165"/>
      <c r="AK499" s="160">
        <f t="shared" si="231"/>
        <v>10.310268199233715</v>
      </c>
      <c r="AL499" s="158">
        <f t="shared" si="224"/>
        <v>2690.9799999999996</v>
      </c>
      <c r="AM499" s="162" t="e">
        <f t="shared" si="225"/>
        <v>#N/A</v>
      </c>
      <c r="AN499" s="160">
        <f t="shared" si="226"/>
        <v>913.98999999999887</v>
      </c>
      <c r="AO499" s="349">
        <f t="shared" si="227"/>
        <v>0.3396494957227475</v>
      </c>
      <c r="AP499" s="6"/>
      <c r="AQ499" s="6"/>
      <c r="AR499" s="7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</row>
    <row r="500" spans="1:61" ht="15.75" customHeight="1">
      <c r="A500" s="260" t="str">
        <f t="shared" si="220"/>
        <v>Entretien stock</v>
      </c>
      <c r="B500" s="3"/>
      <c r="C500" s="336"/>
      <c r="V500" s="272" t="s">
        <v>34</v>
      </c>
      <c r="W500" s="166"/>
      <c r="X500" s="145"/>
      <c r="Y500" s="167" t="e">
        <f t="shared" si="228"/>
        <v>#N/A</v>
      </c>
      <c r="Z500" s="146" t="e">
        <f>+SUM(START:END!Z500)</f>
        <v>#N/A</v>
      </c>
      <c r="AA500" s="145"/>
      <c r="AB500" s="167">
        <f t="shared" si="229"/>
        <v>0</v>
      </c>
      <c r="AC500" s="146">
        <f>+SUM(START:END!AC500)</f>
        <v>0</v>
      </c>
      <c r="AD500" s="168"/>
      <c r="AE500" s="148">
        <f t="shared" si="230"/>
        <v>45.19192156862745</v>
      </c>
      <c r="AF500" s="146">
        <f>+SUM(START:END!AF500)</f>
        <v>11523.94</v>
      </c>
      <c r="AG500" s="147" t="e">
        <f t="shared" si="221"/>
        <v>#N/A</v>
      </c>
      <c r="AH500" s="148" t="e">
        <f t="shared" si="222"/>
        <v>#N/A</v>
      </c>
      <c r="AI500" s="169" t="e">
        <f t="shared" si="223"/>
        <v>#N/A</v>
      </c>
      <c r="AJ500" s="168"/>
      <c r="AK500" s="148">
        <f t="shared" si="231"/>
        <v>0</v>
      </c>
      <c r="AL500" s="146">
        <f t="shared" si="224"/>
        <v>0</v>
      </c>
      <c r="AM500" s="350" t="e">
        <f t="shared" si="225"/>
        <v>#N/A</v>
      </c>
      <c r="AN500" s="148">
        <f t="shared" si="226"/>
        <v>11523.94</v>
      </c>
      <c r="AO500" s="343">
        <f t="shared" si="227"/>
        <v>0</v>
      </c>
      <c r="AP500" s="6"/>
      <c r="AQ500" s="6"/>
      <c r="AR500" s="7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</row>
    <row r="501" spans="1:61" ht="15.75" customHeight="1">
      <c r="A501" s="260" t="str">
        <f t="shared" si="220"/>
        <v>Publicité 1</v>
      </c>
      <c r="B501" s="3"/>
      <c r="C501" s="336"/>
      <c r="V501" s="271" t="s">
        <v>35</v>
      </c>
      <c r="W501" s="163" t="s">
        <v>132</v>
      </c>
      <c r="X501" s="161"/>
      <c r="Y501" s="164" t="e">
        <f t="shared" si="228"/>
        <v>#N/A</v>
      </c>
      <c r="Z501" s="158" t="e">
        <f>+SUM(START:END!Z501)</f>
        <v>#N/A</v>
      </c>
      <c r="AA501" s="161"/>
      <c r="AB501" s="164">
        <f t="shared" si="229"/>
        <v>0</v>
      </c>
      <c r="AC501" s="158">
        <f>+SUM(START:END!AC501)</f>
        <v>0</v>
      </c>
      <c r="AD501" s="165"/>
      <c r="AE501" s="160">
        <f t="shared" si="230"/>
        <v>-40.026901960784258</v>
      </c>
      <c r="AF501" s="158">
        <f>+SUM(START:END!AF501)</f>
        <v>-10206.859999999986</v>
      </c>
      <c r="AG501" s="159" t="e">
        <f t="shared" si="221"/>
        <v>#N/A</v>
      </c>
      <c r="AH501" s="160" t="e">
        <f t="shared" si="222"/>
        <v>#N/A</v>
      </c>
      <c r="AI501" s="161" t="e">
        <f t="shared" si="223"/>
        <v>#N/A</v>
      </c>
      <c r="AJ501" s="165"/>
      <c r="AK501" s="160">
        <f t="shared" si="231"/>
        <v>-194.20524904214562</v>
      </c>
      <c r="AL501" s="158">
        <f t="shared" si="224"/>
        <v>-50687.570000000007</v>
      </c>
      <c r="AM501" s="162" t="e">
        <f t="shared" si="225"/>
        <v>#N/A</v>
      </c>
      <c r="AN501" s="160">
        <f t="shared" si="226"/>
        <v>40480.710000000021</v>
      </c>
      <c r="AO501" s="349">
        <f t="shared" si="227"/>
        <v>-0.79863189338135598</v>
      </c>
      <c r="AP501" s="6"/>
      <c r="AQ501" s="6"/>
      <c r="AR501" s="7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</row>
    <row r="502" spans="1:61" ht="15.75" customHeight="1">
      <c r="A502" s="260" t="str">
        <f t="shared" si="220"/>
        <v>Intérêt de gros</v>
      </c>
      <c r="B502" s="3"/>
      <c r="C502" s="336"/>
      <c r="V502" s="271" t="s">
        <v>36</v>
      </c>
      <c r="W502" s="163" t="s">
        <v>133</v>
      </c>
      <c r="X502" s="157"/>
      <c r="Y502" s="164" t="e">
        <f t="shared" si="228"/>
        <v>#N/A</v>
      </c>
      <c r="Z502" s="158" t="e">
        <f>+SUM(START:END!Z502)</f>
        <v>#N/A</v>
      </c>
      <c r="AA502" s="157"/>
      <c r="AB502" s="164">
        <f t="shared" si="229"/>
        <v>0</v>
      </c>
      <c r="AC502" s="158">
        <f>+SUM(START:END!AC502)</f>
        <v>0</v>
      </c>
      <c r="AD502" s="165"/>
      <c r="AE502" s="160">
        <f t="shared" si="230"/>
        <v>704.90337254901965</v>
      </c>
      <c r="AF502" s="158">
        <f>+SUM(START:END!AF502)</f>
        <v>179750.36000000002</v>
      </c>
      <c r="AG502" s="159" t="e">
        <f t="shared" si="221"/>
        <v>#N/A</v>
      </c>
      <c r="AH502" s="160" t="e">
        <f t="shared" si="222"/>
        <v>#N/A</v>
      </c>
      <c r="AI502" s="161" t="e">
        <f t="shared" si="223"/>
        <v>#N/A</v>
      </c>
      <c r="AJ502" s="165"/>
      <c r="AK502" s="160">
        <f t="shared" si="231"/>
        <v>958.62003831417599</v>
      </c>
      <c r="AL502" s="158">
        <f t="shared" si="224"/>
        <v>250199.82999999993</v>
      </c>
      <c r="AM502" s="162" t="e">
        <f>AE502-Y502</f>
        <v>#N/A</v>
      </c>
      <c r="AN502" s="160">
        <f>AF502-AL502</f>
        <v>-70449.469999999914</v>
      </c>
      <c r="AO502" s="349">
        <f t="shared" si="227"/>
        <v>-0.28157281321893757</v>
      </c>
      <c r="AP502" s="6"/>
      <c r="AQ502" s="6"/>
      <c r="AR502" s="7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</row>
    <row r="503" spans="1:61" ht="15.75" customHeight="1">
      <c r="A503" s="260" t="str">
        <f t="shared" si="220"/>
        <v>Crédit Intérêts Floor Plan</v>
      </c>
      <c r="B503" s="3"/>
      <c r="C503" s="336"/>
      <c r="V503" s="271" t="s">
        <v>303</v>
      </c>
      <c r="W503" s="163"/>
      <c r="X503" s="161"/>
      <c r="Y503" s="164" t="e">
        <f>Z503/(D$13+D$97)</f>
        <v>#N/A</v>
      </c>
      <c r="Z503" s="158">
        <f>+SUM(START:END!Z503)</f>
        <v>0</v>
      </c>
      <c r="AA503" s="157"/>
      <c r="AB503" s="164">
        <f>IF(AC503=0,0,AC503/(G$13+G$97))</f>
        <v>0</v>
      </c>
      <c r="AC503" s="158">
        <f>+SUM(START:END!AC503)</f>
        <v>0</v>
      </c>
      <c r="AD503" s="165"/>
      <c r="AE503" s="160">
        <f>IF(AF503=0,0,AF503/(J$13+J$97))</f>
        <v>-1278.9898823529409</v>
      </c>
      <c r="AF503" s="158">
        <f>+SUM(START:END!AF503)</f>
        <v>-326142.41999999993</v>
      </c>
      <c r="AG503" s="159" t="e">
        <f t="shared" si="221"/>
        <v>#N/A</v>
      </c>
      <c r="AH503" s="160">
        <f t="shared" si="222"/>
        <v>-326142.41999999993</v>
      </c>
      <c r="AI503" s="161">
        <f t="shared" si="223"/>
        <v>0</v>
      </c>
      <c r="AJ503" s="165"/>
      <c r="AK503" s="160">
        <f>AL503/(O$13+O$97)</f>
        <v>-1707.1430268199238</v>
      </c>
      <c r="AL503" s="158">
        <f t="shared" si="224"/>
        <v>-445564.33000000007</v>
      </c>
      <c r="AM503" s="162" t="e">
        <f>AE503-Y503</f>
        <v>#N/A</v>
      </c>
      <c r="AN503" s="160">
        <f>AF503-AL503</f>
        <v>119421.91000000015</v>
      </c>
      <c r="AO503" s="349">
        <f t="shared" si="227"/>
        <v>-0.26802394617181347</v>
      </c>
      <c r="AP503" s="6"/>
      <c r="AQ503" s="6"/>
      <c r="AR503" s="7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</row>
    <row r="504" spans="1:61" ht="15.75" customHeight="1">
      <c r="A504" s="260" t="str">
        <f t="shared" si="220"/>
        <v>Crédit Boni TD</v>
      </c>
      <c r="B504" s="3"/>
      <c r="C504" s="336"/>
      <c r="V504" s="271" t="s">
        <v>304</v>
      </c>
      <c r="W504" s="163"/>
      <c r="X504" s="161"/>
      <c r="Y504" s="164" t="e">
        <f>Z504/(D$13+D$97)</f>
        <v>#N/A</v>
      </c>
      <c r="Z504" s="158">
        <f>+SUM(START:END!Z504)</f>
        <v>0</v>
      </c>
      <c r="AA504" s="157"/>
      <c r="AB504" s="164">
        <f>IF(AC504=0,0,AC504/(G$13+G$97))</f>
        <v>0</v>
      </c>
      <c r="AC504" s="158">
        <f>+SUM(START:END!AC504)</f>
        <v>0</v>
      </c>
      <c r="AD504" s="165"/>
      <c r="AE504" s="160">
        <f>IF(AF504=0,0,AF504/(J$13+J$97))</f>
        <v>-165.93745098039219</v>
      </c>
      <c r="AF504" s="158">
        <f>+SUM(START:END!AF504)</f>
        <v>-42314.05000000001</v>
      </c>
      <c r="AG504" s="159" t="e">
        <f t="shared" si="221"/>
        <v>#N/A</v>
      </c>
      <c r="AH504" s="160">
        <f t="shared" si="222"/>
        <v>-42314.05000000001</v>
      </c>
      <c r="AI504" s="161">
        <f t="shared" si="223"/>
        <v>0</v>
      </c>
      <c r="AJ504" s="165"/>
      <c r="AK504" s="160">
        <f>AL504/(O$13+O$97)</f>
        <v>0</v>
      </c>
      <c r="AL504" s="158">
        <f t="shared" si="224"/>
        <v>0</v>
      </c>
      <c r="AM504" s="162" t="e">
        <f>AE504-Y504</f>
        <v>#N/A</v>
      </c>
      <c r="AN504" s="160">
        <f>AF504-AL504</f>
        <v>-42314.05000000001</v>
      </c>
      <c r="AO504" s="349">
        <f t="shared" si="227"/>
        <v>0</v>
      </c>
      <c r="AP504" s="6"/>
      <c r="AQ504" s="6"/>
      <c r="AR504" s="7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</row>
    <row r="505" spans="1:61" ht="20.399999999999999" hidden="1" customHeight="1">
      <c r="A505" s="260" t="str">
        <f t="shared" si="220"/>
        <v>[...]</v>
      </c>
      <c r="B505" s="3"/>
      <c r="C505" s="336"/>
      <c r="V505" s="271" t="s">
        <v>19</v>
      </c>
      <c r="W505" s="163"/>
      <c r="X505" s="157"/>
      <c r="Y505" s="164" t="e">
        <f>Z505/(D$13+D$97)</f>
        <v>#N/A</v>
      </c>
      <c r="Z505" s="158">
        <f>+SUM(START:END!Z505)</f>
        <v>0</v>
      </c>
      <c r="AA505" s="157"/>
      <c r="AB505" s="164">
        <f>IF(AC505=0,0,AC505/(G$13+G$97))</f>
        <v>0</v>
      </c>
      <c r="AC505" s="158">
        <f>+SUM(START:END!AC505)</f>
        <v>0</v>
      </c>
      <c r="AD505" s="165"/>
      <c r="AE505" s="160">
        <f>IF(AF505=0,0,AF505/(J$13+J$97))</f>
        <v>0</v>
      </c>
      <c r="AF505" s="158">
        <f>+SUM(START:END!AF505)</f>
        <v>0</v>
      </c>
      <c r="AG505" s="159" t="e">
        <f t="shared" si="221"/>
        <v>#N/A</v>
      </c>
      <c r="AH505" s="160">
        <f t="shared" si="222"/>
        <v>0</v>
      </c>
      <c r="AI505" s="161">
        <f t="shared" si="223"/>
        <v>0</v>
      </c>
      <c r="AJ505" s="165"/>
      <c r="AK505" s="160">
        <f>AL505/(O$13+O$97)</f>
        <v>0</v>
      </c>
      <c r="AL505" s="158"/>
      <c r="AM505" s="162" t="e">
        <f>AE505-Y505</f>
        <v>#N/A</v>
      </c>
      <c r="AN505" s="160">
        <f>AF505-AL505</f>
        <v>0</v>
      </c>
      <c r="AO505" s="349">
        <f t="shared" si="227"/>
        <v>0</v>
      </c>
      <c r="AP505" s="6"/>
      <c r="AQ505" s="6"/>
      <c r="AR505" s="7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</row>
    <row r="506" spans="1:61" ht="21" customHeight="1">
      <c r="A506" s="260" t="str">
        <f t="shared" si="220"/>
        <v>TOTAL VARIABLES</v>
      </c>
      <c r="B506" s="3"/>
      <c r="C506" s="336"/>
      <c r="V506" s="351" t="s">
        <v>37</v>
      </c>
      <c r="W506" s="170"/>
      <c r="X506" s="171" t="e">
        <f>Z506/Z494</f>
        <v>#N/A</v>
      </c>
      <c r="Y506" s="170"/>
      <c r="Z506" s="172" t="e">
        <f>SUM(Z496:Z505)</f>
        <v>#N/A</v>
      </c>
      <c r="AA506" s="171" t="e">
        <f>AC506/AC494</f>
        <v>#DIV/0!</v>
      </c>
      <c r="AB506" s="170"/>
      <c r="AC506" s="172">
        <f>SUM(AC496:AC505)</f>
        <v>0</v>
      </c>
      <c r="AD506" s="173">
        <f>AF506/AF494</f>
        <v>7.1532602650411323E-2</v>
      </c>
      <c r="AE506" s="175"/>
      <c r="AF506" s="172">
        <f>SUM(AF496:AF505)</f>
        <v>116726.21000000011</v>
      </c>
      <c r="AG506" s="174"/>
      <c r="AH506" s="175" t="e">
        <f t="shared" si="222"/>
        <v>#N/A</v>
      </c>
      <c r="AI506" s="171" t="e">
        <f>AH506/Z506</f>
        <v>#N/A</v>
      </c>
      <c r="AJ506" s="173">
        <f>IF($AL$407=0,0,AL506/$AL$407)</f>
        <v>0</v>
      </c>
      <c r="AK506" s="175"/>
      <c r="AL506" s="172">
        <f>SUM(AL496:AL505)</f>
        <v>6448.2399999998161</v>
      </c>
      <c r="AM506" s="180"/>
      <c r="AN506" s="175">
        <f t="shared" ref="AN506:AN518" si="232">AF506-AL506</f>
        <v>110277.97000000029</v>
      </c>
      <c r="AO506" s="346">
        <f t="shared" si="227"/>
        <v>17.102026289344604</v>
      </c>
      <c r="AP506" s="6"/>
      <c r="AQ506" s="6"/>
      <c r="AR506" s="7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</row>
    <row r="507" spans="1:61" ht="15.75" customHeight="1">
      <c r="A507" s="260" t="str">
        <f t="shared" si="220"/>
        <v>Salaires propriétaire</v>
      </c>
      <c r="B507" s="3"/>
      <c r="C507" s="336"/>
      <c r="V507" s="271" t="s">
        <v>134</v>
      </c>
      <c r="W507" s="163" t="s">
        <v>135</v>
      </c>
      <c r="X507" s="157"/>
      <c r="Y507" s="157"/>
      <c r="Z507" s="158" t="e">
        <f>+SUM(START:END!Z507)</f>
        <v>#N/A</v>
      </c>
      <c r="AA507" s="157"/>
      <c r="AB507" s="157">
        <f t="shared" ref="AB507:AB517" si="233">IF(AC507=0,0,AC507/(G$13+G$97))</f>
        <v>0</v>
      </c>
      <c r="AC507" s="158">
        <f>+SUM(START:END!AC507)</f>
        <v>0</v>
      </c>
      <c r="AD507" s="165"/>
      <c r="AE507" s="164"/>
      <c r="AF507" s="158">
        <f>+SUM(START:END!AF507)</f>
        <v>30692.369999999995</v>
      </c>
      <c r="AG507" s="159"/>
      <c r="AH507" s="160" t="e">
        <f t="shared" si="222"/>
        <v>#N/A</v>
      </c>
      <c r="AI507" s="161" t="e">
        <f t="shared" ref="AI507:AI519" si="234">IF(Z507=0,0,AH507/Z507)</f>
        <v>#N/A</v>
      </c>
      <c r="AJ507" s="165"/>
      <c r="AK507" s="164"/>
      <c r="AL507" s="158">
        <f>+SUM(START:END!AL507)</f>
        <v>19089.539999999997</v>
      </c>
      <c r="AM507" s="162"/>
      <c r="AN507" s="160">
        <f t="shared" si="232"/>
        <v>11602.829999999998</v>
      </c>
      <c r="AO507" s="349">
        <f t="shared" si="227"/>
        <v>0.60781087443699533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</row>
    <row r="508" spans="1:61" ht="15.75" customHeight="1">
      <c r="A508" s="260" t="str">
        <f t="shared" si="220"/>
        <v>Salaires cadres</v>
      </c>
      <c r="B508" s="3"/>
      <c r="C508" s="336"/>
      <c r="V508" s="271" t="s">
        <v>40</v>
      </c>
      <c r="W508" s="163" t="s">
        <v>136</v>
      </c>
      <c r="X508" s="157"/>
      <c r="Y508" s="157"/>
      <c r="Z508" s="158" t="e">
        <f>+SUM(START:END!Z508)</f>
        <v>#N/A</v>
      </c>
      <c r="AA508" s="157"/>
      <c r="AB508" s="157">
        <f t="shared" si="233"/>
        <v>0</v>
      </c>
      <c r="AC508" s="158">
        <f>+SUM(START:END!AC508)</f>
        <v>0</v>
      </c>
      <c r="AD508" s="165"/>
      <c r="AE508" s="164"/>
      <c r="AF508" s="158">
        <f>+SUM(START:END!AF508)</f>
        <v>176002.65999999997</v>
      </c>
      <c r="AG508" s="159"/>
      <c r="AH508" s="160" t="e">
        <f t="shared" si="222"/>
        <v>#N/A</v>
      </c>
      <c r="AI508" s="161" t="e">
        <f t="shared" si="234"/>
        <v>#N/A</v>
      </c>
      <c r="AJ508" s="165"/>
      <c r="AK508" s="164"/>
      <c r="AL508" s="158">
        <f>+SUMIF($C:$C,$V508,Q:Q)</f>
        <v>160123.05000000005</v>
      </c>
      <c r="AM508" s="162"/>
      <c r="AN508" s="160">
        <f t="shared" si="232"/>
        <v>15879.609999999928</v>
      </c>
      <c r="AO508" s="349">
        <f t="shared" si="227"/>
        <v>9.9171293577032929E-2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</row>
    <row r="509" spans="1:61" ht="15.75" customHeight="1">
      <c r="A509" s="260" t="str">
        <f t="shared" si="220"/>
        <v>Salaires commis</v>
      </c>
      <c r="B509" s="3"/>
      <c r="C509" s="336"/>
      <c r="V509" s="272" t="s">
        <v>41</v>
      </c>
      <c r="W509" s="166" t="s">
        <v>137</v>
      </c>
      <c r="X509" s="145"/>
      <c r="Y509" s="145"/>
      <c r="Z509" s="146" t="e">
        <f>+SUM(START:END!Z509)</f>
        <v>#N/A</v>
      </c>
      <c r="AA509" s="145"/>
      <c r="AB509" s="145">
        <f t="shared" si="233"/>
        <v>0</v>
      </c>
      <c r="AC509" s="146">
        <f>+SUM(START:END!AC509)</f>
        <v>0</v>
      </c>
      <c r="AD509" s="168"/>
      <c r="AE509" s="167"/>
      <c r="AF509" s="146">
        <f>+SUM(START:END!AF509)</f>
        <v>116602.84000000001</v>
      </c>
      <c r="AG509" s="147"/>
      <c r="AH509" s="148" t="e">
        <f t="shared" si="222"/>
        <v>#N/A</v>
      </c>
      <c r="AI509" s="169" t="e">
        <f t="shared" si="234"/>
        <v>#N/A</v>
      </c>
      <c r="AJ509" s="168"/>
      <c r="AK509" s="167"/>
      <c r="AL509" s="146">
        <f>+SUMIF($C:$C,$V509,Q:Q)</f>
        <v>245089.07</v>
      </c>
      <c r="AM509" s="150"/>
      <c r="AN509" s="148">
        <f t="shared" si="232"/>
        <v>-128486.23</v>
      </c>
      <c r="AO509" s="343">
        <f t="shared" si="227"/>
        <v>-0.52424300275814006</v>
      </c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</row>
    <row r="510" spans="1:61" ht="15.75" customHeight="1">
      <c r="A510" s="260" t="str">
        <f t="shared" si="220"/>
        <v>Salaires autres</v>
      </c>
      <c r="B510" s="3"/>
      <c r="C510" s="336"/>
      <c r="V510" s="271" t="s">
        <v>42</v>
      </c>
      <c r="W510" s="163" t="s">
        <v>138</v>
      </c>
      <c r="X510" s="157"/>
      <c r="Y510" s="157"/>
      <c r="Z510" s="158" t="e">
        <f>+SUM(START:END!Z510)</f>
        <v>#N/A</v>
      </c>
      <c r="AA510" s="157"/>
      <c r="AB510" s="157">
        <f t="shared" si="233"/>
        <v>0</v>
      </c>
      <c r="AC510" s="158">
        <f>+SUM(START:END!AC510)</f>
        <v>0</v>
      </c>
      <c r="AD510" s="165"/>
      <c r="AE510" s="164"/>
      <c r="AF510" s="158">
        <f>+SUM(START:END!AF510)</f>
        <v>126811.56999999998</v>
      </c>
      <c r="AG510" s="159"/>
      <c r="AH510" s="160" t="e">
        <f t="shared" si="222"/>
        <v>#N/A</v>
      </c>
      <c r="AI510" s="161" t="e">
        <f t="shared" si="234"/>
        <v>#N/A</v>
      </c>
      <c r="AJ510" s="165"/>
      <c r="AK510" s="164"/>
      <c r="AL510" s="158">
        <f>+SUMIF($C:$C,$V510,Q:Q)</f>
        <v>274177.58999999997</v>
      </c>
      <c r="AM510" s="162"/>
      <c r="AN510" s="160">
        <f t="shared" si="232"/>
        <v>-147366.01999999999</v>
      </c>
      <c r="AO510" s="349">
        <f t="shared" si="227"/>
        <v>-0.53748382572040265</v>
      </c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</row>
    <row r="511" spans="1:61" ht="15.75" customHeight="1">
      <c r="A511" s="260" t="str">
        <f t="shared" si="220"/>
        <v>Salaires spécialistes</v>
      </c>
      <c r="B511" s="3"/>
      <c r="C511" s="336"/>
      <c r="V511" s="271" t="s">
        <v>43</v>
      </c>
      <c r="W511" s="163" t="s">
        <v>139</v>
      </c>
      <c r="X511" s="157"/>
      <c r="Y511" s="157"/>
      <c r="Z511" s="158" t="e">
        <f>+SUM(START:END!Z511)</f>
        <v>#N/A</v>
      </c>
      <c r="AA511" s="157"/>
      <c r="AB511" s="157">
        <f t="shared" si="233"/>
        <v>0</v>
      </c>
      <c r="AC511" s="158">
        <f>+SUM(START:END!AC511)</f>
        <v>0</v>
      </c>
      <c r="AD511" s="165"/>
      <c r="AE511" s="164"/>
      <c r="AF511" s="158">
        <f>+SUM(START:END!AF511)</f>
        <v>34551.339999999997</v>
      </c>
      <c r="AG511" s="159"/>
      <c r="AH511" s="160" t="e">
        <f t="shared" si="222"/>
        <v>#N/A</v>
      </c>
      <c r="AI511" s="161" t="e">
        <f t="shared" si="234"/>
        <v>#N/A</v>
      </c>
      <c r="AJ511" s="165"/>
      <c r="AK511" s="164"/>
      <c r="AL511" s="158">
        <f>+SUMIF($C:$C,$V511,Q:Q)</f>
        <v>0</v>
      </c>
      <c r="AM511" s="162"/>
      <c r="AN511" s="160">
        <f t="shared" si="232"/>
        <v>34551.339999999997</v>
      </c>
      <c r="AO511" s="349">
        <f t="shared" si="227"/>
        <v>0</v>
      </c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</row>
    <row r="512" spans="1:61" ht="17.399999999999999" hidden="1" customHeight="1">
      <c r="A512" s="260" t="str">
        <f t="shared" si="220"/>
        <v>[...]</v>
      </c>
      <c r="B512" s="3"/>
      <c r="C512" s="336"/>
      <c r="V512" s="271" t="s">
        <v>19</v>
      </c>
      <c r="W512" s="163"/>
      <c r="X512" s="157"/>
      <c r="Y512" s="157"/>
      <c r="Z512" s="158" t="e">
        <f>+SUM(START:END!Z512)</f>
        <v>#N/A</v>
      </c>
      <c r="AA512" s="157"/>
      <c r="AB512" s="157">
        <f t="shared" si="233"/>
        <v>0</v>
      </c>
      <c r="AC512" s="158">
        <f>+SUM(START:END!AC512)</f>
        <v>0</v>
      </c>
      <c r="AD512" s="165"/>
      <c r="AE512" s="164"/>
      <c r="AF512" s="158">
        <f>+SUM(START:END!AF512)</f>
        <v>0</v>
      </c>
      <c r="AG512" s="159"/>
      <c r="AH512" s="160" t="e">
        <f t="shared" si="222"/>
        <v>#N/A</v>
      </c>
      <c r="AI512" s="161" t="e">
        <f t="shared" si="234"/>
        <v>#N/A</v>
      </c>
      <c r="AJ512" s="165"/>
      <c r="AK512" s="164"/>
      <c r="AL512" s="158"/>
      <c r="AM512" s="162"/>
      <c r="AN512" s="160">
        <f t="shared" si="232"/>
        <v>0</v>
      </c>
      <c r="AO512" s="349">
        <f t="shared" si="227"/>
        <v>0</v>
      </c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</row>
    <row r="513" spans="1:62" ht="17.399999999999999" hidden="1" customHeight="1">
      <c r="A513" s="260" t="str">
        <f t="shared" si="220"/>
        <v>[...]</v>
      </c>
      <c r="B513" s="3"/>
      <c r="C513" s="336"/>
      <c r="V513" s="271" t="s">
        <v>19</v>
      </c>
      <c r="W513" s="163"/>
      <c r="X513" s="157"/>
      <c r="Y513" s="157"/>
      <c r="Z513" s="158" t="e">
        <f>+SUM(START:END!Z513)</f>
        <v>#N/A</v>
      </c>
      <c r="AA513" s="157"/>
      <c r="AB513" s="157">
        <f t="shared" si="233"/>
        <v>0</v>
      </c>
      <c r="AC513" s="158">
        <f>+SUM(START:END!AC513)</f>
        <v>0</v>
      </c>
      <c r="AD513" s="165"/>
      <c r="AE513" s="164"/>
      <c r="AF513" s="158">
        <f>+SUM(START:END!AF513)</f>
        <v>0</v>
      </c>
      <c r="AG513" s="159"/>
      <c r="AH513" s="160" t="e">
        <f t="shared" si="222"/>
        <v>#N/A</v>
      </c>
      <c r="AI513" s="161" t="e">
        <f t="shared" si="234"/>
        <v>#N/A</v>
      </c>
      <c r="AJ513" s="165"/>
      <c r="AK513" s="164"/>
      <c r="AL513" s="158"/>
      <c r="AM513" s="162"/>
      <c r="AN513" s="160">
        <f t="shared" si="232"/>
        <v>0</v>
      </c>
      <c r="AO513" s="349">
        <f t="shared" si="227"/>
        <v>0</v>
      </c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</row>
    <row r="514" spans="1:62" ht="17.399999999999999" hidden="1" customHeight="1">
      <c r="A514" s="260" t="str">
        <f t="shared" si="220"/>
        <v>[...]</v>
      </c>
      <c r="B514" s="3"/>
      <c r="C514" s="336"/>
      <c r="V514" s="271" t="s">
        <v>19</v>
      </c>
      <c r="W514" s="163"/>
      <c r="X514" s="157"/>
      <c r="Y514" s="157"/>
      <c r="Z514" s="158" t="e">
        <f>+SUM(START:END!Z514)</f>
        <v>#N/A</v>
      </c>
      <c r="AA514" s="157"/>
      <c r="AB514" s="157">
        <f t="shared" si="233"/>
        <v>0</v>
      </c>
      <c r="AC514" s="158">
        <f>+SUM(START:END!AC514)</f>
        <v>0</v>
      </c>
      <c r="AD514" s="165"/>
      <c r="AE514" s="164"/>
      <c r="AF514" s="158">
        <f>+SUM(START:END!AF514)</f>
        <v>0</v>
      </c>
      <c r="AG514" s="159"/>
      <c r="AH514" s="160" t="e">
        <f t="shared" si="222"/>
        <v>#N/A</v>
      </c>
      <c r="AI514" s="161" t="e">
        <f t="shared" si="234"/>
        <v>#N/A</v>
      </c>
      <c r="AJ514" s="165"/>
      <c r="AK514" s="164"/>
      <c r="AL514" s="158"/>
      <c r="AM514" s="162"/>
      <c r="AN514" s="160">
        <f t="shared" si="232"/>
        <v>0</v>
      </c>
      <c r="AO514" s="349">
        <f t="shared" si="227"/>
        <v>0</v>
      </c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</row>
    <row r="515" spans="1:62" ht="15.75" customHeight="1">
      <c r="A515" s="260" t="str">
        <f t="shared" si="220"/>
        <v>Salaires en absences</v>
      </c>
      <c r="B515" s="3"/>
      <c r="C515" s="336"/>
      <c r="V515" s="272" t="s">
        <v>44</v>
      </c>
      <c r="W515" s="166" t="s">
        <v>140</v>
      </c>
      <c r="X515" s="145"/>
      <c r="Y515" s="352"/>
      <c r="Z515" s="146" t="e">
        <f>+SUM(START:END!Z515)</f>
        <v>#N/A</v>
      </c>
      <c r="AA515" s="145"/>
      <c r="AB515" s="145">
        <f t="shared" si="233"/>
        <v>0</v>
      </c>
      <c r="AC515" s="146">
        <f>+SUM(START:END!AC515)</f>
        <v>0</v>
      </c>
      <c r="AD515" s="168"/>
      <c r="AE515" s="167"/>
      <c r="AF515" s="146">
        <f>+SUM(START:END!AF515)</f>
        <v>111783.58999999998</v>
      </c>
      <c r="AG515" s="147"/>
      <c r="AH515" s="148" t="e">
        <f t="shared" si="222"/>
        <v>#N/A</v>
      </c>
      <c r="AI515" s="169" t="e">
        <f t="shared" si="234"/>
        <v>#N/A</v>
      </c>
      <c r="AJ515" s="168"/>
      <c r="AK515" s="167"/>
      <c r="AL515" s="146">
        <f>+SUMIF($C:$C,$V515,Q:Q)</f>
        <v>111426.49</v>
      </c>
      <c r="AM515" s="150"/>
      <c r="AN515" s="148">
        <f t="shared" si="232"/>
        <v>357.09999999997672</v>
      </c>
      <c r="AO515" s="343">
        <f t="shared" si="227"/>
        <v>3.2048034538284093E-3</v>
      </c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</row>
    <row r="516" spans="1:62" ht="15.75" customHeight="1">
      <c r="A516" s="260" t="str">
        <f t="shared" si="220"/>
        <v>Déduction à la source</v>
      </c>
      <c r="B516" s="3"/>
      <c r="C516" s="336"/>
      <c r="V516" s="271" t="s">
        <v>45</v>
      </c>
      <c r="W516" s="163" t="s">
        <v>141</v>
      </c>
      <c r="X516" s="157"/>
      <c r="Y516" s="353"/>
      <c r="Z516" s="158" t="e">
        <f>+SUM(START:END!Z516)</f>
        <v>#N/A</v>
      </c>
      <c r="AA516" s="157"/>
      <c r="AB516" s="157">
        <f t="shared" si="233"/>
        <v>0</v>
      </c>
      <c r="AC516" s="158">
        <f>+SUM(START:END!AC516)</f>
        <v>0</v>
      </c>
      <c r="AD516" s="165"/>
      <c r="AE516" s="164"/>
      <c r="AF516" s="158">
        <f>+SUM(START:END!AF516)</f>
        <v>140616.07</v>
      </c>
      <c r="AG516" s="159"/>
      <c r="AH516" s="160" t="e">
        <f t="shared" si="222"/>
        <v>#N/A</v>
      </c>
      <c r="AI516" s="161" t="e">
        <f t="shared" si="234"/>
        <v>#N/A</v>
      </c>
      <c r="AJ516" s="165"/>
      <c r="AK516" s="164"/>
      <c r="AL516" s="158">
        <f>+SUMIF($C:$C,$V516,Q:Q)</f>
        <v>131918.72</v>
      </c>
      <c r="AM516" s="162"/>
      <c r="AN516" s="160">
        <f t="shared" si="232"/>
        <v>8697.3500000000058</v>
      </c>
      <c r="AO516" s="349">
        <f t="shared" si="227"/>
        <v>6.5929611809453628E-2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</row>
    <row r="517" spans="1:62" ht="15.75" customHeight="1">
      <c r="A517" s="260" t="str">
        <f t="shared" si="220"/>
        <v>Bénéfices marginaux</v>
      </c>
      <c r="B517" s="3"/>
      <c r="C517" s="336"/>
      <c r="V517" s="271" t="s">
        <v>46</v>
      </c>
      <c r="W517" s="163" t="s">
        <v>142</v>
      </c>
      <c r="X517" s="157"/>
      <c r="Y517" s="353"/>
      <c r="Z517" s="158" t="e">
        <f>+SUM(START:END!Z517)</f>
        <v>#N/A</v>
      </c>
      <c r="AA517" s="157"/>
      <c r="AB517" s="157">
        <f t="shared" si="233"/>
        <v>0</v>
      </c>
      <c r="AC517" s="158">
        <f>+SUM(START:END!AC517)</f>
        <v>0</v>
      </c>
      <c r="AD517" s="165"/>
      <c r="AE517" s="164"/>
      <c r="AF517" s="158">
        <f>+SUM(START:END!AF517)</f>
        <v>30745.080000000005</v>
      </c>
      <c r="AG517" s="159"/>
      <c r="AH517" s="160" t="e">
        <f t="shared" si="222"/>
        <v>#N/A</v>
      </c>
      <c r="AI517" s="161" t="e">
        <f t="shared" si="234"/>
        <v>#N/A</v>
      </c>
      <c r="AJ517" s="165"/>
      <c r="AK517" s="164"/>
      <c r="AL517" s="158">
        <f>+SUMIF($C:$C,$V517,Q:Q)</f>
        <v>60651.01</v>
      </c>
      <c r="AM517" s="162"/>
      <c r="AN517" s="160">
        <f t="shared" si="232"/>
        <v>-29905.929999999997</v>
      </c>
      <c r="AO517" s="349">
        <f t="shared" si="227"/>
        <v>-0.49308214323223959</v>
      </c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</row>
    <row r="518" spans="1:62" ht="15.75" customHeight="1">
      <c r="A518" s="260" t="str">
        <f t="shared" si="220"/>
        <v>Csst</v>
      </c>
      <c r="B518" s="3"/>
      <c r="C518" s="336"/>
      <c r="V518" s="271" t="s">
        <v>47</v>
      </c>
      <c r="W518" s="163"/>
      <c r="X518" s="157"/>
      <c r="Y518" s="157"/>
      <c r="Z518" s="158" t="e">
        <f>+SUM(START:END!Z518)</f>
        <v>#N/A</v>
      </c>
      <c r="AA518" s="157"/>
      <c r="AB518" s="157">
        <f>IF(AC518=0,0,AC518/(G$13+G$97))</f>
        <v>0</v>
      </c>
      <c r="AC518" s="158">
        <f>+SUM(START:END!AC518)</f>
        <v>0</v>
      </c>
      <c r="AD518" s="165"/>
      <c r="AE518" s="164"/>
      <c r="AF518" s="158">
        <f>+SUM(START:END!AF518)</f>
        <v>41685.55000000001</v>
      </c>
      <c r="AG518" s="159"/>
      <c r="AH518" s="160" t="e">
        <f t="shared" si="222"/>
        <v>#N/A</v>
      </c>
      <c r="AI518" s="177" t="e">
        <f t="shared" si="234"/>
        <v>#N/A</v>
      </c>
      <c r="AJ518" s="165"/>
      <c r="AK518" s="164"/>
      <c r="AL518" s="158">
        <f>+SUMIF($C:$C,$V518,Q:Q)</f>
        <v>3409.7499999999995</v>
      </c>
      <c r="AM518" s="162"/>
      <c r="AN518" s="160">
        <f t="shared" si="232"/>
        <v>38275.80000000001</v>
      </c>
      <c r="AO518" s="349">
        <f t="shared" si="227"/>
        <v>11.225397756433761</v>
      </c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</row>
    <row r="519" spans="1:62" ht="20.399999999999999" hidden="1" customHeight="1">
      <c r="A519" s="260" t="str">
        <f t="shared" si="220"/>
        <v>[...]</v>
      </c>
      <c r="B519" s="3"/>
      <c r="C519" s="336"/>
      <c r="V519" s="26" t="s">
        <v>19</v>
      </c>
      <c r="W519" s="163"/>
      <c r="X519" s="157"/>
      <c r="Y519" s="164"/>
      <c r="Z519" s="158">
        <f>+SUM(START:END!Z519)</f>
        <v>0</v>
      </c>
      <c r="AA519" s="157"/>
      <c r="AB519" s="157">
        <f>IF(AC519=0,0,AC519/(G$13+G$97))</f>
        <v>0</v>
      </c>
      <c r="AC519" s="158">
        <f>+SUM(START:END!AC519)</f>
        <v>0</v>
      </c>
      <c r="AD519" s="165"/>
      <c r="AE519" s="164"/>
      <c r="AF519" s="158">
        <f>+SUM(START:END!AF519)</f>
        <v>0</v>
      </c>
      <c r="AG519" s="159"/>
      <c r="AH519" s="160">
        <f t="shared" si="222"/>
        <v>0</v>
      </c>
      <c r="AI519" s="161">
        <f t="shared" si="234"/>
        <v>0</v>
      </c>
      <c r="AJ519" s="165"/>
      <c r="AK519" s="164">
        <f>AL519/(O$13+O$97)</f>
        <v>0</v>
      </c>
      <c r="AL519" s="158"/>
      <c r="AM519" s="162"/>
      <c r="AN519" s="160"/>
      <c r="AO519" s="343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</row>
    <row r="520" spans="1:62" ht="21" customHeight="1">
      <c r="A520" s="260" t="str">
        <f t="shared" si="220"/>
        <v>TOTAL PERSONNEL</v>
      </c>
      <c r="B520" s="3"/>
      <c r="C520" s="336"/>
      <c r="V520" s="351" t="s">
        <v>48</v>
      </c>
      <c r="W520" s="170"/>
      <c r="X520" s="171" t="e">
        <f>Z520/Z494</f>
        <v>#N/A</v>
      </c>
      <c r="Y520" s="170"/>
      <c r="Z520" s="172" t="e">
        <f>SUM(Z507:Z519)</f>
        <v>#N/A</v>
      </c>
      <c r="AA520" s="171" t="e">
        <f>AC520/AC494</f>
        <v>#DIV/0!</v>
      </c>
      <c r="AB520" s="170"/>
      <c r="AC520" s="172">
        <f>SUM(AC507:AC519)</f>
        <v>0</v>
      </c>
      <c r="AD520" s="173">
        <f>AF520/AF494</f>
        <v>0.49607541493351182</v>
      </c>
      <c r="AE520" s="178"/>
      <c r="AF520" s="172">
        <f>SUM(AF507:AF519)</f>
        <v>809491.07</v>
      </c>
      <c r="AG520" s="174"/>
      <c r="AH520" s="175" t="e">
        <f t="shared" si="222"/>
        <v>#N/A</v>
      </c>
      <c r="AI520" s="171" t="e">
        <f>AH520/Z520</f>
        <v>#N/A</v>
      </c>
      <c r="AJ520" s="173">
        <f>IF($AL$407=0,0,AL520/$AL$407)</f>
        <v>0</v>
      </c>
      <c r="AK520" s="178"/>
      <c r="AL520" s="172">
        <f>SUM(AL507:AL519)</f>
        <v>1005885.22</v>
      </c>
      <c r="AM520" s="180"/>
      <c r="AN520" s="175">
        <f t="shared" ref="AN520:AN526" si="235">AF520-AL520</f>
        <v>-196394.15000000002</v>
      </c>
      <c r="AO520" s="346">
        <f>IF(AL520=0,0,AN520/AL520)</f>
        <v>-0.19524508969323562</v>
      </c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</row>
    <row r="521" spans="1:62" ht="15.75" customHeight="1">
      <c r="A521" s="260" t="str">
        <f t="shared" si="220"/>
        <v>Publicité 2</v>
      </c>
      <c r="B521" s="3"/>
      <c r="C521" s="336"/>
      <c r="V521" s="329" t="s">
        <v>49</v>
      </c>
      <c r="W521" s="181" t="s">
        <v>132</v>
      </c>
      <c r="X521" s="182"/>
      <c r="Y521" s="182"/>
      <c r="Z521" s="183" t="e">
        <f>+SUM(START:END!Z521)</f>
        <v>#N/A</v>
      </c>
      <c r="AA521" s="182"/>
      <c r="AB521" s="182">
        <f t="shared" ref="AB521:AB538" si="236">IF(AC521=0,0,AC521/(G$13+G$97))</f>
        <v>0</v>
      </c>
      <c r="AC521" s="183">
        <f>+SUM(START:END!AC521)</f>
        <v>0</v>
      </c>
      <c r="AD521" s="184"/>
      <c r="AE521" s="185"/>
      <c r="AF521" s="183">
        <f>+SUM(START:END!AF521)</f>
        <v>11033.48</v>
      </c>
      <c r="AG521" s="184"/>
      <c r="AH521" s="186" t="e">
        <f t="shared" si="222"/>
        <v>#N/A</v>
      </c>
      <c r="AI521" s="187" t="e">
        <f t="shared" ref="AI521:AI538" si="237">IF(Z521=0,0,AH521/Z521)</f>
        <v>#N/A</v>
      </c>
      <c r="AJ521" s="184"/>
      <c r="AK521" s="185"/>
      <c r="AL521" s="183">
        <f t="shared" ref="AL521:AL534" si="238">+SUMIF($C:$C,$V521,Q:Q)</f>
        <v>10947.99</v>
      </c>
      <c r="AM521" s="188"/>
      <c r="AN521" s="186">
        <f t="shared" si="235"/>
        <v>85.489999999999782</v>
      </c>
      <c r="AO521" s="348">
        <f t="shared" ref="AO521:AO526" si="239">IF(AL521=0,0,AN521/AL521)</f>
        <v>7.8087393210991042E-3</v>
      </c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</row>
    <row r="522" spans="1:62" ht="15.75" customHeight="1">
      <c r="A522" s="260" t="str">
        <f t="shared" si="220"/>
        <v>Service gratuit 2</v>
      </c>
      <c r="B522" s="3"/>
      <c r="C522" s="336"/>
      <c r="V522" s="271" t="s">
        <v>50</v>
      </c>
      <c r="W522" s="163" t="s">
        <v>143</v>
      </c>
      <c r="X522" s="157"/>
      <c r="Y522" s="157"/>
      <c r="Z522" s="158" t="e">
        <f>+SUM(START:END!Z522)</f>
        <v>#N/A</v>
      </c>
      <c r="AA522" s="157"/>
      <c r="AB522" s="157">
        <f t="shared" si="236"/>
        <v>0</v>
      </c>
      <c r="AC522" s="158">
        <f>+SUM(START:END!AC522)</f>
        <v>0</v>
      </c>
      <c r="AD522" s="165"/>
      <c r="AE522" s="164"/>
      <c r="AF522" s="158">
        <f>+SUM(START:END!AF522)</f>
        <v>18752.22</v>
      </c>
      <c r="AG522" s="159"/>
      <c r="AH522" s="160" t="e">
        <f t="shared" si="222"/>
        <v>#N/A</v>
      </c>
      <c r="AI522" s="161" t="e">
        <f t="shared" si="237"/>
        <v>#N/A</v>
      </c>
      <c r="AJ522" s="165"/>
      <c r="AK522" s="164"/>
      <c r="AL522" s="158">
        <f t="shared" si="238"/>
        <v>11193.29</v>
      </c>
      <c r="AM522" s="162"/>
      <c r="AN522" s="160">
        <f t="shared" si="235"/>
        <v>7558.93</v>
      </c>
      <c r="AO522" s="349">
        <f t="shared" si="239"/>
        <v>0.67530904675926373</v>
      </c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</row>
    <row r="523" spans="1:62" ht="15.75" customHeight="1">
      <c r="A523" s="260" t="str">
        <f t="shared" si="220"/>
        <v>Frais véhicules de cie</v>
      </c>
      <c r="B523" s="3"/>
      <c r="C523" s="336"/>
      <c r="U523" s="354"/>
      <c r="V523" s="272" t="s">
        <v>51</v>
      </c>
      <c r="W523" s="166" t="s">
        <v>144</v>
      </c>
      <c r="X523" s="145"/>
      <c r="Y523" s="145"/>
      <c r="Z523" s="146" t="e">
        <f>+SUM(START:END!Z523)</f>
        <v>#N/A</v>
      </c>
      <c r="AA523" s="145"/>
      <c r="AB523" s="145">
        <f t="shared" si="236"/>
        <v>0</v>
      </c>
      <c r="AC523" s="146">
        <f>+SUM(START:END!AC523)</f>
        <v>0</v>
      </c>
      <c r="AD523" s="168"/>
      <c r="AE523" s="167"/>
      <c r="AF523" s="146">
        <f>+SUM(START:END!AF523)</f>
        <v>65918.819999999992</v>
      </c>
      <c r="AG523" s="147"/>
      <c r="AH523" s="148" t="e">
        <f t="shared" si="222"/>
        <v>#N/A</v>
      </c>
      <c r="AI523" s="169" t="e">
        <f t="shared" si="237"/>
        <v>#N/A</v>
      </c>
      <c r="AJ523" s="168"/>
      <c r="AK523" s="167"/>
      <c r="AL523" s="146">
        <f t="shared" si="238"/>
        <v>47768.249999999985</v>
      </c>
      <c r="AM523" s="150"/>
      <c r="AN523" s="148">
        <f t="shared" si="235"/>
        <v>18150.570000000007</v>
      </c>
      <c r="AO523" s="343">
        <f t="shared" si="239"/>
        <v>0.37997142453407884</v>
      </c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</row>
    <row r="524" spans="1:62" ht="15.75" customHeight="1">
      <c r="A524" s="260" t="str">
        <f t="shared" si="220"/>
        <v>Informatique</v>
      </c>
      <c r="B524" s="3"/>
      <c r="C524" s="336"/>
      <c r="U524" s="354"/>
      <c r="V524" s="271" t="s">
        <v>52</v>
      </c>
      <c r="W524" s="163" t="s">
        <v>145</v>
      </c>
      <c r="X524" s="157"/>
      <c r="Y524" s="157"/>
      <c r="Z524" s="158" t="e">
        <f>+SUM(START:END!Z524)</f>
        <v>#N/A</v>
      </c>
      <c r="AA524" s="157"/>
      <c r="AB524" s="157">
        <f t="shared" si="236"/>
        <v>0</v>
      </c>
      <c r="AC524" s="158">
        <f>+SUM(START:END!AC524)</f>
        <v>0</v>
      </c>
      <c r="AD524" s="165"/>
      <c r="AE524" s="164"/>
      <c r="AF524" s="158">
        <f>+SUM(START:END!AF524)</f>
        <v>43971.67</v>
      </c>
      <c r="AG524" s="159"/>
      <c r="AH524" s="160" t="e">
        <f>AF524-Z524</f>
        <v>#N/A</v>
      </c>
      <c r="AI524" s="161" t="e">
        <f t="shared" si="237"/>
        <v>#N/A</v>
      </c>
      <c r="AJ524" s="165"/>
      <c r="AK524" s="164"/>
      <c r="AL524" s="158">
        <f t="shared" si="238"/>
        <v>37679.209999999992</v>
      </c>
      <c r="AM524" s="162"/>
      <c r="AN524" s="160">
        <f t="shared" si="235"/>
        <v>6292.4600000000064</v>
      </c>
      <c r="AO524" s="349">
        <f t="shared" si="239"/>
        <v>0.16700084741691792</v>
      </c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</row>
    <row r="525" spans="1:62" ht="15.75" customHeight="1">
      <c r="A525" s="260" t="str">
        <f t="shared" si="220"/>
        <v>Frais de déplacement</v>
      </c>
      <c r="B525" s="3"/>
      <c r="C525" s="336"/>
      <c r="U525" s="354"/>
      <c r="V525" s="271" t="s">
        <v>53</v>
      </c>
      <c r="W525" s="163" t="s">
        <v>146</v>
      </c>
      <c r="X525" s="157"/>
      <c r="Y525" s="157"/>
      <c r="Z525" s="158" t="e">
        <f>+SUM(START:END!Z525)</f>
        <v>#N/A</v>
      </c>
      <c r="AA525" s="157"/>
      <c r="AB525" s="157">
        <f t="shared" si="236"/>
        <v>0</v>
      </c>
      <c r="AC525" s="158">
        <f>+SUM(START:END!AC525)</f>
        <v>0</v>
      </c>
      <c r="AD525" s="165"/>
      <c r="AE525" s="164"/>
      <c r="AF525" s="158">
        <f>+SUM(START:END!AF525)</f>
        <v>7821.0599999999995</v>
      </c>
      <c r="AG525" s="159"/>
      <c r="AH525" s="160" t="e">
        <f t="shared" ref="AH525:AH538" si="240">AF525-Z525</f>
        <v>#N/A</v>
      </c>
      <c r="AI525" s="161" t="e">
        <f t="shared" si="237"/>
        <v>#N/A</v>
      </c>
      <c r="AJ525" s="165"/>
      <c r="AK525" s="164"/>
      <c r="AL525" s="158">
        <f t="shared" si="238"/>
        <v>43844.87000000001</v>
      </c>
      <c r="AM525" s="162"/>
      <c r="AN525" s="160">
        <f t="shared" si="235"/>
        <v>-36023.810000000012</v>
      </c>
      <c r="AO525" s="349">
        <f t="shared" si="239"/>
        <v>-0.82161972426876861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</row>
    <row r="526" spans="1:62" ht="15.75" customHeight="1">
      <c r="A526" s="260" t="str">
        <f t="shared" si="220"/>
        <v>Services extérieurs</v>
      </c>
      <c r="B526" s="3"/>
      <c r="C526" s="336"/>
      <c r="V526" s="271" t="s">
        <v>54</v>
      </c>
      <c r="W526" s="163" t="s">
        <v>147</v>
      </c>
      <c r="X526" s="157"/>
      <c r="Y526" s="157"/>
      <c r="Z526" s="158" t="e">
        <f>+SUM(START:END!Z526)</f>
        <v>#N/A</v>
      </c>
      <c r="AA526" s="157"/>
      <c r="AB526" s="157">
        <f t="shared" si="236"/>
        <v>0</v>
      </c>
      <c r="AC526" s="158">
        <f>+SUM(START:END!AC526)</f>
        <v>0</v>
      </c>
      <c r="AD526" s="165"/>
      <c r="AE526" s="164"/>
      <c r="AF526" s="158">
        <f>+SUM(START:END!AF526)</f>
        <v>63340.14</v>
      </c>
      <c r="AG526" s="159"/>
      <c r="AH526" s="160" t="e">
        <f t="shared" si="240"/>
        <v>#N/A</v>
      </c>
      <c r="AI526" s="161" t="e">
        <f t="shared" si="237"/>
        <v>#N/A</v>
      </c>
      <c r="AJ526" s="165"/>
      <c r="AK526" s="164"/>
      <c r="AL526" s="158">
        <f t="shared" si="238"/>
        <v>95329.529999999984</v>
      </c>
      <c r="AM526" s="162"/>
      <c r="AN526" s="160">
        <f t="shared" si="235"/>
        <v>-31989.389999999985</v>
      </c>
      <c r="AO526" s="349">
        <f t="shared" si="239"/>
        <v>-0.33556642941594267</v>
      </c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</row>
    <row r="527" spans="1:62" ht="15.75" customHeight="1">
      <c r="B527" s="3"/>
      <c r="C527" s="336"/>
      <c r="V527" s="329" t="s">
        <v>93</v>
      </c>
      <c r="W527" s="181"/>
      <c r="X527" s="182"/>
      <c r="Y527" s="182"/>
      <c r="Z527" s="183">
        <f>+SUM(START:END!Z527)</f>
        <v>0</v>
      </c>
      <c r="AA527" s="182"/>
      <c r="AB527" s="182">
        <f t="shared" si="236"/>
        <v>0</v>
      </c>
      <c r="AC527" s="183">
        <f>+SUM(START:END!AC527)</f>
        <v>0</v>
      </c>
      <c r="AD527" s="184"/>
      <c r="AE527" s="185"/>
      <c r="AF527" s="183">
        <f>+SUM(START:END!AF527)</f>
        <v>0</v>
      </c>
      <c r="AG527" s="355"/>
      <c r="AH527" s="186">
        <f t="shared" si="240"/>
        <v>0</v>
      </c>
      <c r="AI527" s="187">
        <f t="shared" si="237"/>
        <v>0</v>
      </c>
      <c r="AJ527" s="184"/>
      <c r="AK527" s="185"/>
      <c r="AL527" s="183">
        <f t="shared" si="238"/>
        <v>0</v>
      </c>
      <c r="AM527" s="188"/>
      <c r="AN527" s="186">
        <f>AF527-AL527</f>
        <v>0</v>
      </c>
      <c r="AO527" s="348">
        <f>IF(AL527=0,0,AN527/AL527)</f>
        <v>0</v>
      </c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</row>
    <row r="528" spans="1:62" ht="15.75" customHeight="1">
      <c r="A528" s="260" t="str">
        <f t="shared" ref="A528:A586" si="241">+U528&amp;V528</f>
        <v>Fournitures autres</v>
      </c>
      <c r="B528" s="3"/>
      <c r="C528" s="336"/>
      <c r="V528" s="271" t="s">
        <v>55</v>
      </c>
      <c r="W528" s="163" t="s">
        <v>148</v>
      </c>
      <c r="X528" s="157"/>
      <c r="Y528" s="164"/>
      <c r="Z528" s="158" t="e">
        <f>+SUM(START:END!Z528)</f>
        <v>#N/A</v>
      </c>
      <c r="AA528" s="157"/>
      <c r="AB528" s="164">
        <f t="shared" si="236"/>
        <v>0</v>
      </c>
      <c r="AC528" s="158">
        <f>+SUM(START:END!AC528)</f>
        <v>0</v>
      </c>
      <c r="AD528" s="165"/>
      <c r="AE528" s="164"/>
      <c r="AF528" s="158">
        <f>+SUM(START:END!AF528)</f>
        <v>32179.550000000003</v>
      </c>
      <c r="AG528" s="159"/>
      <c r="AH528" s="160" t="e">
        <f t="shared" si="240"/>
        <v>#N/A</v>
      </c>
      <c r="AI528" s="161" t="e">
        <f t="shared" si="237"/>
        <v>#N/A</v>
      </c>
      <c r="AJ528" s="165"/>
      <c r="AK528" s="164"/>
      <c r="AL528" s="158">
        <f t="shared" si="238"/>
        <v>31966.179999999997</v>
      </c>
      <c r="AM528" s="162"/>
      <c r="AN528" s="160">
        <f t="shared" ref="AN528:AN534" si="242">AF528-AL528</f>
        <v>213.37000000000626</v>
      </c>
      <c r="AO528" s="349">
        <f t="shared" ref="AO528:AO534" si="243">IF(AL528=0,0,AN528/AL528)</f>
        <v>6.6748670000608855E-3</v>
      </c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spans="1:62" ht="15.75" customHeight="1">
      <c r="A529" s="260" t="str">
        <f t="shared" si="241"/>
        <v>Uniformes</v>
      </c>
      <c r="B529" s="3"/>
      <c r="C529" s="336"/>
      <c r="U529" s="6"/>
      <c r="V529" s="271" t="s">
        <v>56</v>
      </c>
      <c r="W529" s="163" t="s">
        <v>149</v>
      </c>
      <c r="X529" s="157"/>
      <c r="Y529" s="157"/>
      <c r="Z529" s="158" t="e">
        <f>+SUM(START:END!Z529)</f>
        <v>#N/A</v>
      </c>
      <c r="AA529" s="157"/>
      <c r="AB529" s="157">
        <f t="shared" si="236"/>
        <v>0</v>
      </c>
      <c r="AC529" s="158">
        <f>+SUM(START:END!AC529)</f>
        <v>0</v>
      </c>
      <c r="AD529" s="165"/>
      <c r="AE529" s="164"/>
      <c r="AF529" s="158">
        <f>+SUM(START:END!AF529)</f>
        <v>4869.74</v>
      </c>
      <c r="AG529" s="159"/>
      <c r="AH529" s="160" t="e">
        <f t="shared" si="240"/>
        <v>#N/A</v>
      </c>
      <c r="AI529" s="177" t="e">
        <f t="shared" si="237"/>
        <v>#N/A</v>
      </c>
      <c r="AJ529" s="165"/>
      <c r="AK529" s="164"/>
      <c r="AL529" s="158">
        <f t="shared" si="238"/>
        <v>0</v>
      </c>
      <c r="AM529" s="162"/>
      <c r="AN529" s="160">
        <f t="shared" si="242"/>
        <v>4869.74</v>
      </c>
      <c r="AO529" s="349">
        <f t="shared" si="243"/>
        <v>0</v>
      </c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spans="1:62" ht="15.75" customHeight="1">
      <c r="A530" s="260" t="str">
        <f t="shared" si="241"/>
        <v>Papeterie</v>
      </c>
      <c r="B530" s="3"/>
      <c r="C530" s="336"/>
      <c r="T530" s="6"/>
      <c r="U530" s="6"/>
      <c r="V530" s="271" t="s">
        <v>57</v>
      </c>
      <c r="W530" s="163" t="s">
        <v>150</v>
      </c>
      <c r="X530" s="157"/>
      <c r="Y530" s="157"/>
      <c r="Z530" s="158" t="e">
        <f>+SUM(START:END!Z530)</f>
        <v>#N/A</v>
      </c>
      <c r="AA530" s="157"/>
      <c r="AB530" s="157">
        <f t="shared" si="236"/>
        <v>0</v>
      </c>
      <c r="AC530" s="158">
        <f>+SUM(START:END!AC530)</f>
        <v>0</v>
      </c>
      <c r="AD530" s="165"/>
      <c r="AE530" s="164"/>
      <c r="AF530" s="158">
        <f>+SUM(START:END!AF530)</f>
        <v>8743.6799999999985</v>
      </c>
      <c r="AG530" s="159"/>
      <c r="AH530" s="160" t="e">
        <f t="shared" si="240"/>
        <v>#N/A</v>
      </c>
      <c r="AI530" s="161" t="e">
        <f t="shared" si="237"/>
        <v>#N/A</v>
      </c>
      <c r="AJ530" s="165"/>
      <c r="AK530" s="164"/>
      <c r="AL530" s="158">
        <f t="shared" si="238"/>
        <v>13250.81</v>
      </c>
      <c r="AM530" s="162"/>
      <c r="AN530" s="160">
        <f t="shared" si="242"/>
        <v>-4507.130000000001</v>
      </c>
      <c r="AO530" s="349">
        <f t="shared" si="243"/>
        <v>-0.34013996125519885</v>
      </c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spans="1:62" ht="15.75" customHeight="1">
      <c r="A531" s="260" t="str">
        <f t="shared" si="241"/>
        <v>Téléphone</v>
      </c>
      <c r="B531" s="3"/>
      <c r="C531" s="336"/>
      <c r="T531" s="6"/>
      <c r="U531" s="6"/>
      <c r="V531" s="271" t="s">
        <v>58</v>
      </c>
      <c r="W531" s="163" t="s">
        <v>151</v>
      </c>
      <c r="X531" s="157"/>
      <c r="Y531" s="157"/>
      <c r="Z531" s="158" t="e">
        <f>+SUM(START:END!Z531)</f>
        <v>#N/A</v>
      </c>
      <c r="AA531" s="157"/>
      <c r="AB531" s="157">
        <f t="shared" si="236"/>
        <v>0</v>
      </c>
      <c r="AC531" s="158">
        <f>+SUM(START:END!AC531)</f>
        <v>0</v>
      </c>
      <c r="AD531" s="165"/>
      <c r="AE531" s="164"/>
      <c r="AF531" s="158">
        <f>+SUM(START:END!AF531)</f>
        <v>7105.43</v>
      </c>
      <c r="AG531" s="159"/>
      <c r="AH531" s="160" t="e">
        <f t="shared" si="240"/>
        <v>#N/A</v>
      </c>
      <c r="AI531" s="177" t="e">
        <f t="shared" si="237"/>
        <v>#N/A</v>
      </c>
      <c r="AJ531" s="165"/>
      <c r="AK531" s="164"/>
      <c r="AL531" s="158">
        <f t="shared" si="238"/>
        <v>7353.3700000000008</v>
      </c>
      <c r="AM531" s="162"/>
      <c r="AN531" s="160">
        <f t="shared" si="242"/>
        <v>-247.94000000000051</v>
      </c>
      <c r="AO531" s="349">
        <f t="shared" si="243"/>
        <v>-3.371787357361325E-2</v>
      </c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spans="1:62" ht="15.75" customHeight="1">
      <c r="A532" s="260" t="str">
        <f t="shared" si="241"/>
        <v>Frais postaux</v>
      </c>
      <c r="B532" s="3"/>
      <c r="C532" s="336"/>
      <c r="T532" s="6"/>
      <c r="U532" s="6"/>
      <c r="V532" s="271" t="s">
        <v>59</v>
      </c>
      <c r="W532" s="163" t="s">
        <v>152</v>
      </c>
      <c r="X532" s="157"/>
      <c r="Y532" s="157"/>
      <c r="Z532" s="158" t="e">
        <f>+SUM(START:END!Z532)</f>
        <v>#N/A</v>
      </c>
      <c r="AA532" s="157"/>
      <c r="AB532" s="157">
        <f t="shared" si="236"/>
        <v>0</v>
      </c>
      <c r="AC532" s="158">
        <f>+SUM(START:END!AC532)</f>
        <v>0</v>
      </c>
      <c r="AD532" s="165"/>
      <c r="AE532" s="164"/>
      <c r="AF532" s="158">
        <f>+SUM(START:END!AF532)</f>
        <v>11542.779999999999</v>
      </c>
      <c r="AG532" s="159"/>
      <c r="AH532" s="160" t="e">
        <f t="shared" si="240"/>
        <v>#N/A</v>
      </c>
      <c r="AI532" s="161" t="e">
        <f t="shared" si="237"/>
        <v>#N/A</v>
      </c>
      <c r="AJ532" s="165"/>
      <c r="AK532" s="164"/>
      <c r="AL532" s="158">
        <f t="shared" si="238"/>
        <v>14231.84</v>
      </c>
      <c r="AM532" s="162"/>
      <c r="AN532" s="160">
        <f t="shared" si="242"/>
        <v>-2689.0600000000013</v>
      </c>
      <c r="AO532" s="349">
        <f t="shared" si="243"/>
        <v>-0.18894675600625085</v>
      </c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spans="1:62" ht="15.75" customHeight="1">
      <c r="A533" s="260" t="str">
        <f t="shared" si="241"/>
        <v>Divers</v>
      </c>
      <c r="B533" s="3"/>
      <c r="C533" s="336"/>
      <c r="T533" s="6"/>
      <c r="U533" s="6"/>
      <c r="V533" s="271" t="s">
        <v>60</v>
      </c>
      <c r="W533" s="163" t="s">
        <v>153</v>
      </c>
      <c r="X533" s="157"/>
      <c r="Y533" s="164"/>
      <c r="Z533" s="158" t="e">
        <f>+SUM(START:END!Z533)</f>
        <v>#N/A</v>
      </c>
      <c r="AA533" s="157"/>
      <c r="AB533" s="164">
        <f t="shared" si="236"/>
        <v>0</v>
      </c>
      <c r="AC533" s="158">
        <f>+SUM(START:END!AC533)</f>
        <v>0</v>
      </c>
      <c r="AD533" s="165"/>
      <c r="AE533" s="164"/>
      <c r="AF533" s="158">
        <f>+SUM(START:END!AF533)</f>
        <v>26756.759999999995</v>
      </c>
      <c r="AG533" s="159"/>
      <c r="AH533" s="160" t="e">
        <f t="shared" si="240"/>
        <v>#N/A</v>
      </c>
      <c r="AI533" s="177" t="e">
        <f t="shared" si="237"/>
        <v>#N/A</v>
      </c>
      <c r="AJ533" s="165"/>
      <c r="AK533" s="164"/>
      <c r="AL533" s="158">
        <f t="shared" si="238"/>
        <v>34752.080000000002</v>
      </c>
      <c r="AM533" s="162"/>
      <c r="AN533" s="160">
        <f t="shared" si="242"/>
        <v>-7995.320000000007</v>
      </c>
      <c r="AO533" s="349">
        <f t="shared" si="243"/>
        <v>-0.23006738013954867</v>
      </c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spans="1:62" ht="15.75" customHeight="1">
      <c r="A534" s="260" t="str">
        <f t="shared" si="241"/>
        <v>Formation</v>
      </c>
      <c r="B534" s="3"/>
      <c r="C534" s="336"/>
      <c r="T534" s="6"/>
      <c r="U534" s="6"/>
      <c r="V534" s="271" t="s">
        <v>61</v>
      </c>
      <c r="W534" s="163" t="s">
        <v>154</v>
      </c>
      <c r="X534" s="157"/>
      <c r="Y534" s="164"/>
      <c r="Z534" s="158" t="e">
        <f>+SUM(START:END!Z534)</f>
        <v>#N/A</v>
      </c>
      <c r="AA534" s="157"/>
      <c r="AB534" s="164">
        <f t="shared" si="236"/>
        <v>0</v>
      </c>
      <c r="AC534" s="158">
        <f>+SUM(START:END!AC534)</f>
        <v>0</v>
      </c>
      <c r="AD534" s="165"/>
      <c r="AE534" s="164"/>
      <c r="AF534" s="158">
        <f>+SUM(START:END!AF534)</f>
        <v>12089.19</v>
      </c>
      <c r="AG534" s="159"/>
      <c r="AH534" s="160" t="e">
        <f t="shared" si="240"/>
        <v>#N/A</v>
      </c>
      <c r="AI534" s="161" t="e">
        <f t="shared" si="237"/>
        <v>#N/A</v>
      </c>
      <c r="AJ534" s="165"/>
      <c r="AK534" s="164"/>
      <c r="AL534" s="158">
        <f t="shared" si="238"/>
        <v>11209.950000000003</v>
      </c>
      <c r="AM534" s="162"/>
      <c r="AN534" s="160">
        <f t="shared" si="242"/>
        <v>879.23999999999796</v>
      </c>
      <c r="AO534" s="349">
        <f t="shared" si="243"/>
        <v>7.8433891319764831E-2</v>
      </c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spans="1:62" ht="15.75" customHeight="1">
      <c r="A535" s="260" t="str">
        <f t="shared" si="241"/>
        <v>Frais bancaires</v>
      </c>
      <c r="B535" s="3"/>
      <c r="C535" s="336"/>
      <c r="T535" s="6"/>
      <c r="U535" s="6"/>
      <c r="V535" s="271" t="s">
        <v>62</v>
      </c>
      <c r="W535" s="163" t="s">
        <v>155</v>
      </c>
      <c r="X535" s="157"/>
      <c r="Y535" s="353"/>
      <c r="Z535" s="158" t="e">
        <f>+SUM(START:END!Z535)</f>
        <v>#N/A</v>
      </c>
      <c r="AA535" s="157"/>
      <c r="AB535" s="164">
        <f t="shared" si="236"/>
        <v>0</v>
      </c>
      <c r="AC535" s="158">
        <f>+SUM(START:END!AC535)</f>
        <v>0</v>
      </c>
      <c r="AD535" s="165"/>
      <c r="AE535" s="164"/>
      <c r="AF535" s="158">
        <f>+SUM(START:END!AF535)</f>
        <v>17841.04</v>
      </c>
      <c r="AG535" s="159"/>
      <c r="AH535" s="160" t="e">
        <f t="shared" si="240"/>
        <v>#N/A</v>
      </c>
      <c r="AI535" s="161" t="e">
        <f t="shared" si="237"/>
        <v>#N/A</v>
      </c>
      <c r="AJ535" s="165"/>
      <c r="AK535" s="164"/>
      <c r="AL535" s="158">
        <f>+SUM(START:END!AL535)</f>
        <v>3445.8599999999997</v>
      </c>
      <c r="AM535" s="162"/>
      <c r="AN535" s="160">
        <f>AF535-AL535</f>
        <v>14395.18</v>
      </c>
      <c r="AO535" s="349">
        <f>IF(AL535=0,0,AN535/AL535)</f>
        <v>4.1775289768011472</v>
      </c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spans="1:62" ht="17.399999999999999" customHeight="1">
      <c r="A536" s="260" t="str">
        <f t="shared" si="241"/>
        <v>Mitsubishi</v>
      </c>
      <c r="B536" s="3"/>
      <c r="C536" s="336"/>
      <c r="T536" s="6"/>
      <c r="U536" s="6"/>
      <c r="V536" s="271" t="s">
        <v>201</v>
      </c>
      <c r="W536" s="163"/>
      <c r="X536" s="157"/>
      <c r="Y536" s="164"/>
      <c r="Z536" s="158">
        <f>+SUM(START:END!Z536)</f>
        <v>0</v>
      </c>
      <c r="AA536" s="157"/>
      <c r="AB536" s="157">
        <f t="shared" si="236"/>
        <v>0</v>
      </c>
      <c r="AC536" s="158">
        <f>+SUM(START:END!AC536)</f>
        <v>0</v>
      </c>
      <c r="AD536" s="165"/>
      <c r="AE536" s="164"/>
      <c r="AF536" s="158">
        <f>+SUM(START:END!AF536)</f>
        <v>8709.57</v>
      </c>
      <c r="AG536" s="159"/>
      <c r="AH536" s="160">
        <f t="shared" si="240"/>
        <v>8709.57</v>
      </c>
      <c r="AI536" s="161">
        <f t="shared" si="237"/>
        <v>0</v>
      </c>
      <c r="AJ536" s="165"/>
      <c r="AK536" s="164"/>
      <c r="AL536" s="158">
        <f>+SUMIF($C:$C,$V536,Q:Q)</f>
        <v>0</v>
      </c>
      <c r="AM536" s="162"/>
      <c r="AN536" s="160">
        <f>AF536-AL536</f>
        <v>8709.57</v>
      </c>
      <c r="AO536" s="349">
        <f>IF(AL536=0,0,AN536/AL536)</f>
        <v>0</v>
      </c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spans="1:62" ht="17.399999999999999" hidden="1" customHeight="1">
      <c r="A537" s="260" t="str">
        <f t="shared" si="241"/>
        <v>[...]</v>
      </c>
      <c r="B537" s="3"/>
      <c r="C537" s="336"/>
      <c r="T537" s="6"/>
      <c r="U537" s="6"/>
      <c r="V537" s="271" t="s">
        <v>19</v>
      </c>
      <c r="W537" s="163"/>
      <c r="X537" s="157"/>
      <c r="Y537" s="164"/>
      <c r="Z537" s="158">
        <f>+SUM(START:END!Z537)</f>
        <v>0</v>
      </c>
      <c r="AA537" s="157"/>
      <c r="AB537" s="157">
        <f t="shared" si="236"/>
        <v>0</v>
      </c>
      <c r="AC537" s="158">
        <f>+SUM(START:END!AC537)</f>
        <v>0</v>
      </c>
      <c r="AD537" s="165"/>
      <c r="AE537" s="164"/>
      <c r="AF537" s="158">
        <f>+SUM(START:END!AF537)</f>
        <v>0</v>
      </c>
      <c r="AG537" s="159"/>
      <c r="AH537" s="160">
        <f t="shared" si="240"/>
        <v>0</v>
      </c>
      <c r="AI537" s="161">
        <f t="shared" si="237"/>
        <v>0</v>
      </c>
      <c r="AJ537" s="165"/>
      <c r="AK537" s="164"/>
      <c r="AL537" s="158"/>
      <c r="AM537" s="162"/>
      <c r="AN537" s="160">
        <f>AF537-AL537</f>
        <v>0</v>
      </c>
      <c r="AO537" s="349">
        <f>IF(AL537=0,0,AN537/AL537)</f>
        <v>0</v>
      </c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spans="1:62" ht="17.399999999999999" hidden="1" customHeight="1">
      <c r="A538" s="260" t="str">
        <f t="shared" si="241"/>
        <v>[...]</v>
      </c>
      <c r="B538" s="3"/>
      <c r="C538" s="336"/>
      <c r="T538" s="6"/>
      <c r="U538" s="6"/>
      <c r="V538" s="271" t="s">
        <v>19</v>
      </c>
      <c r="W538" s="163"/>
      <c r="X538" s="157"/>
      <c r="Y538" s="164"/>
      <c r="Z538" s="158">
        <f>+SUM(START:END!Z538)</f>
        <v>0</v>
      </c>
      <c r="AA538" s="157"/>
      <c r="AB538" s="157">
        <f t="shared" si="236"/>
        <v>0</v>
      </c>
      <c r="AC538" s="158">
        <f>+SUM(START:END!AC538)</f>
        <v>0</v>
      </c>
      <c r="AD538" s="165"/>
      <c r="AE538" s="164"/>
      <c r="AF538" s="158">
        <f>+SUM(START:END!AF538)</f>
        <v>0</v>
      </c>
      <c r="AG538" s="159"/>
      <c r="AH538" s="160">
        <f t="shared" si="240"/>
        <v>0</v>
      </c>
      <c r="AI538" s="161">
        <f t="shared" si="237"/>
        <v>0</v>
      </c>
      <c r="AJ538" s="165"/>
      <c r="AK538" s="164"/>
      <c r="AL538" s="158"/>
      <c r="AM538" s="162"/>
      <c r="AN538" s="160">
        <f>AF538-AL538</f>
        <v>0</v>
      </c>
      <c r="AO538" s="349">
        <f>IF(AL538=0,0,AN538/AL538)</f>
        <v>0</v>
      </c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spans="1:62" ht="21" customHeight="1">
      <c r="A539" s="260" t="str">
        <f t="shared" si="241"/>
        <v>TOTAL SEMI-FIXES</v>
      </c>
      <c r="B539" s="3"/>
      <c r="C539" s="336"/>
      <c r="T539" s="6"/>
      <c r="U539" s="6"/>
      <c r="V539" s="351" t="s">
        <v>63</v>
      </c>
      <c r="W539" s="189"/>
      <c r="X539" s="171" t="e">
        <f>Z539/+Z494</f>
        <v>#N/A</v>
      </c>
      <c r="Y539" s="170"/>
      <c r="Z539" s="172" t="e">
        <f>+SUM(Z521:Z538)</f>
        <v>#N/A</v>
      </c>
      <c r="AA539" s="171" t="e">
        <f>AC539/+AC494</f>
        <v>#DIV/0!</v>
      </c>
      <c r="AB539" s="170"/>
      <c r="AC539" s="172">
        <f>+SUM(START:END!AC538)</f>
        <v>0</v>
      </c>
      <c r="AD539" s="173">
        <f>AF539/AF494</f>
        <v>0.20877383671728222</v>
      </c>
      <c r="AE539" s="170"/>
      <c r="AF539" s="172">
        <f>+SUM(AF521:AF538)</f>
        <v>340675.12999999995</v>
      </c>
      <c r="AG539" s="179"/>
      <c r="AH539" s="356" t="e">
        <f>+SUM(AH521:AH538)</f>
        <v>#N/A</v>
      </c>
      <c r="AI539" s="171" t="e">
        <f>AH539/Z539</f>
        <v>#N/A</v>
      </c>
      <c r="AJ539" s="173">
        <f>IF($AL$407=0,0,AL539/$AL$407)</f>
        <v>0</v>
      </c>
      <c r="AK539" s="170"/>
      <c r="AL539" s="172">
        <f>+SUM(AL521:AL538)</f>
        <v>362973.23</v>
      </c>
      <c r="AM539" s="180"/>
      <c r="AN539" s="175">
        <f>+SUM(AN521:AN538)</f>
        <v>-22298.099999999984</v>
      </c>
      <c r="AO539" s="357">
        <f>IF(AL539=0,0,AN539/AL539)</f>
        <v>-6.1431803111210118E-2</v>
      </c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spans="1:62" ht="15.75" customHeight="1">
      <c r="A540" s="260" t="str">
        <f t="shared" si="241"/>
        <v>Loyer</v>
      </c>
      <c r="B540" s="3"/>
      <c r="C540" s="33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271" t="s">
        <v>156</v>
      </c>
      <c r="W540" s="163" t="s">
        <v>157</v>
      </c>
      <c r="X540" s="157"/>
      <c r="Y540" s="164"/>
      <c r="Z540" s="158" t="e">
        <f>+SUM(START:END!Z540)</f>
        <v>#N/A</v>
      </c>
      <c r="AA540" s="157"/>
      <c r="AB540" s="164">
        <f t="shared" ref="AB540:AB549" si="244">IF(AC540=0,0,AC540/(G$13+G$97))</f>
        <v>0</v>
      </c>
      <c r="AC540" s="158">
        <f>+SUM(START:END!AC540)</f>
        <v>0</v>
      </c>
      <c r="AD540" s="165"/>
      <c r="AE540" s="164"/>
      <c r="AF540" s="158">
        <f>+SUM(START:END!AF540)</f>
        <v>213354</v>
      </c>
      <c r="AG540" s="159"/>
      <c r="AH540" s="160" t="e">
        <f t="shared" ref="AH540:AH548" si="245">AF540-Z540</f>
        <v>#N/A</v>
      </c>
      <c r="AI540" s="161" t="e">
        <f t="shared" ref="AI540:AI548" si="246">IF(Z540=0,0,AH540/Z540)</f>
        <v>#N/A</v>
      </c>
      <c r="AJ540" s="165"/>
      <c r="AK540" s="164"/>
      <c r="AL540" s="158">
        <f>+SUM(START:END!AL540)</f>
        <v>338672.64000000001</v>
      </c>
      <c r="AM540" s="162"/>
      <c r="AN540" s="160">
        <f>AF540-AL540</f>
        <v>-125318.64000000001</v>
      </c>
      <c r="AO540" s="349">
        <f t="shared" ref="AO540:AO548" si="247">IF(AL540=0,0,AN540/AL540)</f>
        <v>-0.37002882783799723</v>
      </c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spans="1:62" ht="15.75" customHeight="1">
      <c r="A541" s="260" t="str">
        <f t="shared" si="241"/>
        <v>Taxes foncières</v>
      </c>
      <c r="B541" s="3"/>
      <c r="C541" s="33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271" t="s">
        <v>158</v>
      </c>
      <c r="W541" s="163" t="s">
        <v>159</v>
      </c>
      <c r="X541" s="157"/>
      <c r="Y541" s="164"/>
      <c r="Z541" s="158" t="e">
        <f>+SUM(START:END!Z541)</f>
        <v>#N/A</v>
      </c>
      <c r="AA541" s="157"/>
      <c r="AB541" s="164">
        <f t="shared" si="244"/>
        <v>0</v>
      </c>
      <c r="AC541" s="158">
        <f>+SUM(START:END!AC541)</f>
        <v>0</v>
      </c>
      <c r="AD541" s="165"/>
      <c r="AE541" s="164"/>
      <c r="AF541" s="158">
        <f>+SUM(START:END!AF541)</f>
        <v>21161.67</v>
      </c>
      <c r="AG541" s="159"/>
      <c r="AH541" s="160" t="e">
        <f t="shared" si="245"/>
        <v>#N/A</v>
      </c>
      <c r="AI541" s="161" t="e">
        <f t="shared" si="246"/>
        <v>#N/A</v>
      </c>
      <c r="AJ541" s="165"/>
      <c r="AK541" s="164"/>
      <c r="AL541" s="158">
        <f>+SUM(START:END!AL541)</f>
        <v>56634</v>
      </c>
      <c r="AM541" s="162"/>
      <c r="AN541" s="160">
        <f t="shared" ref="AN541:AN548" si="248">AF541-AL541</f>
        <v>-35472.33</v>
      </c>
      <c r="AO541" s="349">
        <f t="shared" si="247"/>
        <v>-0.62634336264434798</v>
      </c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spans="1:62" ht="15.75" customHeight="1">
      <c r="A542" s="260" t="str">
        <f t="shared" si="241"/>
        <v>Taxes d`affaires</v>
      </c>
      <c r="B542" s="3"/>
      <c r="C542" s="33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272" t="s">
        <v>160</v>
      </c>
      <c r="W542" s="166" t="s">
        <v>161</v>
      </c>
      <c r="X542" s="145"/>
      <c r="Y542" s="167"/>
      <c r="Z542" s="146" t="e">
        <f>+SUM(START:END!Z542)</f>
        <v>#N/A</v>
      </c>
      <c r="AA542" s="145"/>
      <c r="AB542" s="167">
        <f t="shared" si="244"/>
        <v>0</v>
      </c>
      <c r="AC542" s="146">
        <f>+SUM(START:END!AC542)</f>
        <v>0</v>
      </c>
      <c r="AD542" s="168"/>
      <c r="AE542" s="167"/>
      <c r="AF542" s="146">
        <f>+SUM(START:END!AF542)</f>
        <v>44182.83</v>
      </c>
      <c r="AG542" s="147"/>
      <c r="AH542" s="148" t="e">
        <f t="shared" si="245"/>
        <v>#N/A</v>
      </c>
      <c r="AI542" s="169" t="e">
        <f t="shared" si="246"/>
        <v>#N/A</v>
      </c>
      <c r="AJ542" s="168"/>
      <c r="AK542" s="167"/>
      <c r="AL542" s="146">
        <f>+SUM(START:END!AL542)</f>
        <v>30000</v>
      </c>
      <c r="AM542" s="150"/>
      <c r="AN542" s="148">
        <f t="shared" si="248"/>
        <v>14182.830000000002</v>
      </c>
      <c r="AO542" s="343">
        <f t="shared" si="247"/>
        <v>0.47276100000000004</v>
      </c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spans="1:62" ht="17.399999999999999" hidden="1" customHeight="1">
      <c r="A543" s="260" t="str">
        <f t="shared" si="241"/>
        <v>Taxe sur le capital</v>
      </c>
      <c r="B543" s="3"/>
      <c r="C543" s="33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271" t="s">
        <v>162</v>
      </c>
      <c r="W543" s="163"/>
      <c r="X543" s="157"/>
      <c r="Y543" s="164"/>
      <c r="Z543" s="158" t="e">
        <f>+SUM(START:END!Z543)</f>
        <v>#N/A</v>
      </c>
      <c r="AA543" s="157"/>
      <c r="AB543" s="164">
        <f t="shared" si="244"/>
        <v>0</v>
      </c>
      <c r="AC543" s="158">
        <f>+SUM(START:END!AC543)</f>
        <v>0</v>
      </c>
      <c r="AD543" s="165"/>
      <c r="AE543" s="164"/>
      <c r="AF543" s="158">
        <f>+SUM(START:END!AF543)</f>
        <v>0</v>
      </c>
      <c r="AG543" s="159"/>
      <c r="AH543" s="160" t="e">
        <f t="shared" si="245"/>
        <v>#N/A</v>
      </c>
      <c r="AI543" s="161" t="e">
        <f t="shared" si="246"/>
        <v>#N/A</v>
      </c>
      <c r="AJ543" s="165"/>
      <c r="AK543" s="164"/>
      <c r="AL543" s="158">
        <f>+SUM(START:END!AL543)</f>
        <v>0</v>
      </c>
      <c r="AM543" s="162"/>
      <c r="AN543" s="160">
        <f t="shared" si="248"/>
        <v>0</v>
      </c>
      <c r="AO543" s="349">
        <f t="shared" si="247"/>
        <v>0</v>
      </c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spans="1:62" ht="15.75" customHeight="1">
      <c r="A544" s="260" t="str">
        <f t="shared" si="241"/>
        <v>Assurances</v>
      </c>
      <c r="B544" s="3"/>
      <c r="C544" s="33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272" t="s">
        <v>163</v>
      </c>
      <c r="W544" s="166" t="s">
        <v>164</v>
      </c>
      <c r="X544" s="145"/>
      <c r="Y544" s="167"/>
      <c r="Z544" s="146" t="e">
        <f>+SUM(START:END!Z544)</f>
        <v>#N/A</v>
      </c>
      <c r="AA544" s="145"/>
      <c r="AB544" s="167">
        <f t="shared" si="244"/>
        <v>0</v>
      </c>
      <c r="AC544" s="146">
        <f>+SUM(START:END!AC544)</f>
        <v>0</v>
      </c>
      <c r="AD544" s="168"/>
      <c r="AE544" s="167"/>
      <c r="AF544" s="146">
        <f>+SUM(START:END!AF544)</f>
        <v>23523.89</v>
      </c>
      <c r="AG544" s="147"/>
      <c r="AH544" s="148" t="e">
        <f t="shared" si="245"/>
        <v>#N/A</v>
      </c>
      <c r="AI544" s="169" t="e">
        <f t="shared" si="246"/>
        <v>#N/A</v>
      </c>
      <c r="AJ544" s="168"/>
      <c r="AK544" s="167"/>
      <c r="AL544" s="146">
        <f>+SUM(START:END!AL544)</f>
        <v>39220.83</v>
      </c>
      <c r="AM544" s="150"/>
      <c r="AN544" s="148">
        <f t="shared" si="248"/>
        <v>-15696.940000000002</v>
      </c>
      <c r="AO544" s="343">
        <f t="shared" si="247"/>
        <v>-0.40021947521253382</v>
      </c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spans="1:62" ht="15.75" customHeight="1">
      <c r="A545" s="260" t="str">
        <f t="shared" si="241"/>
        <v>Chauffage, éclairage</v>
      </c>
      <c r="B545" s="3"/>
      <c r="C545" s="33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271" t="s">
        <v>165</v>
      </c>
      <c r="W545" s="163" t="s">
        <v>166</v>
      </c>
      <c r="X545" s="190"/>
      <c r="Y545" s="191"/>
      <c r="Z545" s="158" t="e">
        <f>+SUM(START:END!Z545)</f>
        <v>#N/A</v>
      </c>
      <c r="AA545" s="190"/>
      <c r="AB545" s="191">
        <f t="shared" si="244"/>
        <v>0</v>
      </c>
      <c r="AC545" s="158">
        <f>+SUM(START:END!AC545)</f>
        <v>0</v>
      </c>
      <c r="AD545" s="165"/>
      <c r="AE545" s="164"/>
      <c r="AF545" s="158">
        <f>+SUM(START:END!AF545)</f>
        <v>33300</v>
      </c>
      <c r="AG545" s="159"/>
      <c r="AH545" s="160" t="e">
        <f t="shared" si="245"/>
        <v>#N/A</v>
      </c>
      <c r="AI545" s="161" t="e">
        <f t="shared" si="246"/>
        <v>#N/A</v>
      </c>
      <c r="AJ545" s="165"/>
      <c r="AK545" s="164"/>
      <c r="AL545" s="158">
        <f>+SUM(START:END!AL545)</f>
        <v>28711.079999999994</v>
      </c>
      <c r="AM545" s="162"/>
      <c r="AN545" s="160">
        <f t="shared" si="248"/>
        <v>4588.9200000000055</v>
      </c>
      <c r="AO545" s="349">
        <f t="shared" si="247"/>
        <v>0.15983097814502298</v>
      </c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spans="1:62" ht="15.75" customHeight="1">
      <c r="A546" s="260" t="str">
        <f t="shared" si="241"/>
        <v>Honoraires</v>
      </c>
      <c r="B546" s="3"/>
      <c r="C546" s="33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271" t="s">
        <v>167</v>
      </c>
      <c r="W546" s="163" t="s">
        <v>168</v>
      </c>
      <c r="X546" s="157"/>
      <c r="Y546" s="164"/>
      <c r="Z546" s="158" t="e">
        <f>+SUM(START:END!Z546)</f>
        <v>#N/A</v>
      </c>
      <c r="AA546" s="157"/>
      <c r="AB546" s="164">
        <f t="shared" si="244"/>
        <v>0</v>
      </c>
      <c r="AC546" s="158">
        <f>+SUM(START:END!AC546)</f>
        <v>0</v>
      </c>
      <c r="AD546" s="165"/>
      <c r="AE546" s="164"/>
      <c r="AF546" s="158">
        <f>+SUM(START:END!AF546)</f>
        <v>21563.480000000003</v>
      </c>
      <c r="AG546" s="159"/>
      <c r="AH546" s="160" t="e">
        <f t="shared" si="245"/>
        <v>#N/A</v>
      </c>
      <c r="AI546" s="161" t="e">
        <f t="shared" si="246"/>
        <v>#N/A</v>
      </c>
      <c r="AJ546" s="165"/>
      <c r="AK546" s="164"/>
      <c r="AL546" s="158">
        <f>+SUM(START:END!AL546)</f>
        <v>20361.55</v>
      </c>
      <c r="AM546" s="162"/>
      <c r="AN546" s="160">
        <f t="shared" si="248"/>
        <v>1201.9300000000039</v>
      </c>
      <c r="AO546" s="349">
        <f t="shared" si="247"/>
        <v>5.9029396092144457E-2</v>
      </c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spans="1:62" ht="15.75" customHeight="1">
      <c r="A547" s="260" t="str">
        <f t="shared" si="241"/>
        <v>Réparation équipement</v>
      </c>
      <c r="B547" s="3"/>
      <c r="C547" s="33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272" t="s">
        <v>169</v>
      </c>
      <c r="W547" s="166" t="s">
        <v>170</v>
      </c>
      <c r="X547" s="145"/>
      <c r="Y547" s="167"/>
      <c r="Z547" s="146" t="e">
        <f>+SUM(START:END!Z547)</f>
        <v>#N/A</v>
      </c>
      <c r="AA547" s="145"/>
      <c r="AB547" s="167">
        <f t="shared" si="244"/>
        <v>0</v>
      </c>
      <c r="AC547" s="146">
        <f>+SUM(START:END!AC547)</f>
        <v>0</v>
      </c>
      <c r="AD547" s="168"/>
      <c r="AE547" s="167"/>
      <c r="AF547" s="146">
        <f>+SUM(START:END!AF547)</f>
        <v>15906.29</v>
      </c>
      <c r="AG547" s="147"/>
      <c r="AH547" s="148" t="e">
        <f t="shared" si="245"/>
        <v>#N/A</v>
      </c>
      <c r="AI547" s="169" t="e">
        <f t="shared" si="246"/>
        <v>#N/A</v>
      </c>
      <c r="AJ547" s="168"/>
      <c r="AK547" s="167"/>
      <c r="AL547" s="146">
        <f>+SUM(START:END!AL547)</f>
        <v>22113.18</v>
      </c>
      <c r="AM547" s="150"/>
      <c r="AN547" s="148">
        <f t="shared" si="248"/>
        <v>-6206.8899999999994</v>
      </c>
      <c r="AO547" s="343">
        <f t="shared" si="247"/>
        <v>-0.28068735478117574</v>
      </c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spans="1:62" ht="15.75" customHeight="1">
      <c r="A548" s="260" t="str">
        <f t="shared" si="241"/>
        <v>Location équipement</v>
      </c>
      <c r="B548" s="3"/>
      <c r="C548" s="33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358"/>
      <c r="V548" s="271" t="s">
        <v>171</v>
      </c>
      <c r="W548" s="163" t="s">
        <v>172</v>
      </c>
      <c r="X548" s="157"/>
      <c r="Y548" s="164"/>
      <c r="Z548" s="158" t="e">
        <f>+SUM(START:END!Z548)</f>
        <v>#N/A</v>
      </c>
      <c r="AA548" s="157"/>
      <c r="AB548" s="164">
        <f t="shared" si="244"/>
        <v>0</v>
      </c>
      <c r="AC548" s="158">
        <f>+SUM(START:END!AC548)</f>
        <v>0</v>
      </c>
      <c r="AD548" s="165"/>
      <c r="AE548" s="164"/>
      <c r="AF548" s="158">
        <f>+SUM(START:END!AF548)</f>
        <v>4525.0300000000007</v>
      </c>
      <c r="AG548" s="159"/>
      <c r="AH548" s="160" t="e">
        <f t="shared" si="245"/>
        <v>#N/A</v>
      </c>
      <c r="AI548" s="192" t="e">
        <f t="shared" si="246"/>
        <v>#N/A</v>
      </c>
      <c r="AJ548" s="165"/>
      <c r="AK548" s="164"/>
      <c r="AL548" s="158">
        <f>+SUM(START:END!AL548)</f>
        <v>2278.9</v>
      </c>
      <c r="AM548" s="162"/>
      <c r="AN548" s="160">
        <f t="shared" si="248"/>
        <v>2246.1300000000006</v>
      </c>
      <c r="AO548" s="349">
        <f t="shared" si="247"/>
        <v>0.98562025538637088</v>
      </c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spans="1:62" ht="17.399999999999999" hidden="1" customHeight="1">
      <c r="A549" s="260" t="str">
        <f t="shared" si="241"/>
        <v>Dons</v>
      </c>
      <c r="B549" s="3"/>
      <c r="C549" s="33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358"/>
      <c r="V549" s="271" t="s">
        <v>173</v>
      </c>
      <c r="W549" s="163" t="s">
        <v>174</v>
      </c>
      <c r="X549" s="157"/>
      <c r="Y549" s="164"/>
      <c r="Z549" s="158">
        <f>+SUM(START:END!Z549)</f>
        <v>0</v>
      </c>
      <c r="AA549" s="157"/>
      <c r="AB549" s="164">
        <f t="shared" si="244"/>
        <v>0</v>
      </c>
      <c r="AC549" s="158">
        <f>+SUM(START:END!AC549)</f>
        <v>0</v>
      </c>
      <c r="AD549" s="165"/>
      <c r="AE549" s="164"/>
      <c r="AF549" s="158">
        <f>+SUM(START:END!AF549)</f>
        <v>0</v>
      </c>
      <c r="AG549" s="159"/>
      <c r="AH549" s="160">
        <v>0</v>
      </c>
      <c r="AI549" s="177">
        <v>0</v>
      </c>
      <c r="AJ549" s="165"/>
      <c r="AK549" s="164"/>
      <c r="AL549" s="158">
        <f>+SUM(START:END!AL549)</f>
        <v>0</v>
      </c>
      <c r="AM549" s="162"/>
      <c r="AN549" s="160">
        <v>0</v>
      </c>
      <c r="AO549" s="349">
        <v>0</v>
      </c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spans="1:62" ht="17.399999999999999" hidden="1" customHeight="1">
      <c r="A550" s="260" t="str">
        <f t="shared" si="241"/>
        <v>[...]</v>
      </c>
      <c r="B550" s="3"/>
      <c r="C550" s="33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358"/>
      <c r="V550" s="271" t="s">
        <v>19</v>
      </c>
      <c r="W550" s="163"/>
      <c r="X550" s="157"/>
      <c r="Y550" s="164"/>
      <c r="Z550" s="158">
        <f>+SUM(START:END!Z549)</f>
        <v>0</v>
      </c>
      <c r="AA550" s="157"/>
      <c r="AB550" s="157"/>
      <c r="AC550" s="158">
        <f>+SUM(START:END!AC549)</f>
        <v>0</v>
      </c>
      <c r="AD550" s="165"/>
      <c r="AE550" s="164"/>
      <c r="AF550" s="158">
        <f>+SUM(START:END!AF549)</f>
        <v>0</v>
      </c>
      <c r="AG550" s="159"/>
      <c r="AH550" s="160">
        <f>AF550-Z550</f>
        <v>0</v>
      </c>
      <c r="AI550" s="161">
        <f>IF(Z550=0,0,AH550/Z550)</f>
        <v>0</v>
      </c>
      <c r="AJ550" s="165"/>
      <c r="AK550" s="164"/>
      <c r="AL550" s="158">
        <f>+SUM(START:END!AL550)</f>
        <v>0</v>
      </c>
      <c r="AM550" s="162"/>
      <c r="AN550" s="160">
        <v>0</v>
      </c>
      <c r="AO550" s="349">
        <v>1</v>
      </c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spans="1:62" ht="17.399999999999999" hidden="1" customHeight="1">
      <c r="A551" s="260" t="str">
        <f t="shared" si="241"/>
        <v>[...]</v>
      </c>
      <c r="B551" s="3"/>
      <c r="C551" s="33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358"/>
      <c r="V551" s="271" t="s">
        <v>19</v>
      </c>
      <c r="W551" s="163"/>
      <c r="X551" s="157"/>
      <c r="Y551" s="164"/>
      <c r="Z551" s="158">
        <f>+SUM(START:END!Z550)</f>
        <v>0</v>
      </c>
      <c r="AA551" s="157"/>
      <c r="AB551" s="157"/>
      <c r="AC551" s="158">
        <f>+SUM(START:END!AC550)</f>
        <v>0</v>
      </c>
      <c r="AD551" s="165"/>
      <c r="AE551" s="164"/>
      <c r="AF551" s="158">
        <f>+SUM(START:END!AF550)</f>
        <v>0</v>
      </c>
      <c r="AG551" s="159"/>
      <c r="AH551" s="160">
        <f>AF551-Z551</f>
        <v>0</v>
      </c>
      <c r="AI551" s="161">
        <f>IF(Z551=0,0,AH551/Z551)</f>
        <v>0</v>
      </c>
      <c r="AJ551" s="165"/>
      <c r="AK551" s="164"/>
      <c r="AL551" s="158">
        <f>+SUM(START:END!AL551)</f>
        <v>0</v>
      </c>
      <c r="AM551" s="162"/>
      <c r="AN551" s="160">
        <v>0</v>
      </c>
      <c r="AO551" s="349">
        <v>2</v>
      </c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spans="1:62" ht="17.399999999999999" hidden="1" customHeight="1">
      <c r="A552" s="260" t="str">
        <f t="shared" si="241"/>
        <v>[...]</v>
      </c>
      <c r="B552" s="3"/>
      <c r="C552" s="33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271" t="s">
        <v>19</v>
      </c>
      <c r="W552" s="163"/>
      <c r="X552" s="157"/>
      <c r="Y552" s="164"/>
      <c r="Z552" s="158">
        <f>+SUM(START:END!Z551)</f>
        <v>0</v>
      </c>
      <c r="AA552" s="157"/>
      <c r="AB552" s="157"/>
      <c r="AC552" s="158">
        <f>+SUM(START:END!AC551)</f>
        <v>0</v>
      </c>
      <c r="AD552" s="165"/>
      <c r="AE552" s="164"/>
      <c r="AF552" s="158">
        <f>+SUM(START:END!AF551)</f>
        <v>0</v>
      </c>
      <c r="AG552" s="159"/>
      <c r="AH552" s="160">
        <f>AF552-Z552</f>
        <v>0</v>
      </c>
      <c r="AI552" s="161">
        <f>IF(Z552=0,0,AH552/Z552)</f>
        <v>0</v>
      </c>
      <c r="AJ552" s="165"/>
      <c r="AK552" s="164"/>
      <c r="AL552" s="158">
        <f>+SUM(START:END!AL552)</f>
        <v>0</v>
      </c>
      <c r="AM552" s="162"/>
      <c r="AN552" s="160">
        <v>0</v>
      </c>
      <c r="AO552" s="349">
        <v>3</v>
      </c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spans="1:62" ht="21" customHeight="1">
      <c r="A553" s="260" t="str">
        <f t="shared" si="241"/>
        <v>TOTAL DÉPENSES FIXES</v>
      </c>
      <c r="B553" s="3"/>
      <c r="C553" s="33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351" t="s">
        <v>175</v>
      </c>
      <c r="W553" s="170"/>
      <c r="X553" s="171" t="e">
        <f>Z553/+Z494</f>
        <v>#N/A</v>
      </c>
      <c r="Y553" s="170"/>
      <c r="Z553" s="172" t="e">
        <f>SUM(Z540:Z552)</f>
        <v>#N/A</v>
      </c>
      <c r="AA553" s="171" t="e">
        <f>AC553/+AC494</f>
        <v>#DIV/0!</v>
      </c>
      <c r="AB553" s="170"/>
      <c r="AC553" s="172">
        <f>SUM(AC540:AC552)</f>
        <v>0</v>
      </c>
      <c r="AD553" s="173">
        <f>AF553/AF494</f>
        <v>0.23135152889800678</v>
      </c>
      <c r="AE553" s="170"/>
      <c r="AF553" s="172">
        <f>SUM(AF540:AF552)</f>
        <v>377517.19</v>
      </c>
      <c r="AG553" s="179"/>
      <c r="AH553" s="356" t="e">
        <f>SUM(AH540:AH552)</f>
        <v>#N/A</v>
      </c>
      <c r="AI553" s="171" t="e">
        <f>IF(Z553=0,0,AH553/Z553)</f>
        <v>#N/A</v>
      </c>
      <c r="AJ553" s="173">
        <f>IF($AL$407=0,0,AL553/$AL$407)</f>
        <v>0</v>
      </c>
      <c r="AK553" s="170"/>
      <c r="AL553" s="172">
        <f>SUM(AL540:AL552)</f>
        <v>537992.18000000005</v>
      </c>
      <c r="AM553" s="180"/>
      <c r="AN553" s="175">
        <f>SUM(AN540:AN552)</f>
        <v>-160474.99</v>
      </c>
      <c r="AO553" s="357">
        <f t="shared" ref="AO553:AO570" si="249">IF(AL553=0,0,AN553/AL553)</f>
        <v>-0.29828498622414917</v>
      </c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spans="1:62" ht="15.75" customHeight="1">
      <c r="A554" s="260" t="str">
        <f t="shared" si="241"/>
        <v/>
      </c>
      <c r="B554" s="3"/>
      <c r="C554" s="33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271"/>
      <c r="W554" s="157"/>
      <c r="X554" s="157"/>
      <c r="Y554" s="157"/>
      <c r="Z554" s="193"/>
      <c r="AA554" s="157"/>
      <c r="AB554" s="157"/>
      <c r="AC554" s="193"/>
      <c r="AD554" s="165"/>
      <c r="AE554" s="157"/>
      <c r="AF554" s="158"/>
      <c r="AG554" s="165"/>
      <c r="AH554" s="160">
        <f t="shared" ref="AH554:AH568" si="250">AF554-Z554</f>
        <v>0</v>
      </c>
      <c r="AI554" s="161"/>
      <c r="AJ554" s="165"/>
      <c r="AK554" s="157"/>
      <c r="AL554" s="158"/>
      <c r="AM554" s="194"/>
      <c r="AN554" s="160">
        <f t="shared" ref="AN554:AN570" si="251">AF554-AL554</f>
        <v>0</v>
      </c>
      <c r="AO554" s="359">
        <f t="shared" si="249"/>
        <v>0</v>
      </c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spans="1:62" ht="21" customHeight="1">
      <c r="A555" s="260" t="str">
        <f t="shared" si="241"/>
        <v>TOTAL DES DÉPENSES</v>
      </c>
      <c r="B555" s="3"/>
      <c r="C555" s="33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351" t="s">
        <v>64</v>
      </c>
      <c r="W555" s="170"/>
      <c r="X555" s="171" t="e">
        <f>Z555/+Z494</f>
        <v>#N/A</v>
      </c>
      <c r="Y555" s="170"/>
      <c r="Z555" s="172" t="e">
        <f>Z506+Z520+Z539+Z553</f>
        <v>#N/A</v>
      </c>
      <c r="AA555" s="171" t="e">
        <f>AC555/+AC494</f>
        <v>#DIV/0!</v>
      </c>
      <c r="AB555" s="170"/>
      <c r="AC555" s="172">
        <f>AC506+AC520+AC539+AC553</f>
        <v>0</v>
      </c>
      <c r="AD555" s="173">
        <f>AF555/AF494</f>
        <v>1.0077333831992121</v>
      </c>
      <c r="AE555" s="170"/>
      <c r="AF555" s="172">
        <f>AF506+AF520+AF539+AF553</f>
        <v>1644409.5999999999</v>
      </c>
      <c r="AG555" s="179"/>
      <c r="AH555" s="356" t="e">
        <f t="shared" si="250"/>
        <v>#N/A</v>
      </c>
      <c r="AI555" s="171" t="e">
        <f>AH555/Z555</f>
        <v>#N/A</v>
      </c>
      <c r="AJ555" s="173">
        <f>IF($AL$407=0,0,AL555/$AL$407)</f>
        <v>0</v>
      </c>
      <c r="AK555" s="170"/>
      <c r="AL555" s="172">
        <f>AL506+AL520+AL539+AL553</f>
        <v>1913298.8699999996</v>
      </c>
      <c r="AM555" s="180"/>
      <c r="AN555" s="175">
        <f t="shared" si="251"/>
        <v>-268889.26999999979</v>
      </c>
      <c r="AO555" s="346">
        <f t="shared" si="249"/>
        <v>-0.14053699305221448</v>
      </c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spans="1:62" ht="15.75" customHeight="1">
      <c r="A556" s="260" t="str">
        <f t="shared" si="241"/>
        <v>Revenus autres</v>
      </c>
      <c r="B556" s="3"/>
      <c r="C556" s="33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271" t="s">
        <v>176</v>
      </c>
      <c r="W556" s="191"/>
      <c r="X556" s="191"/>
      <c r="Y556" s="157"/>
      <c r="Z556" s="183" t="e">
        <f>+SUM(START:END!Z556)</f>
        <v>#N/A</v>
      </c>
      <c r="AA556" s="195"/>
      <c r="AB556" s="196">
        <f t="shared" ref="AB556:AB564" si="252">IF(AC556=0,0,AC556/(G$13+G$97))</f>
        <v>0</v>
      </c>
      <c r="AC556" s="183">
        <f>+SUM(START:END!AC556)</f>
        <v>0</v>
      </c>
      <c r="AD556" s="197"/>
      <c r="AE556" s="196"/>
      <c r="AF556" s="183">
        <f>+SUM(START:END!AF556)</f>
        <v>21045.4</v>
      </c>
      <c r="AG556" s="198"/>
      <c r="AH556" s="160" t="e">
        <f t="shared" si="250"/>
        <v>#N/A</v>
      </c>
      <c r="AI556" s="192" t="e">
        <f>IF(AH556=0,0,AH556/Z556)</f>
        <v>#N/A</v>
      </c>
      <c r="AJ556" s="197"/>
      <c r="AK556" s="196"/>
      <c r="AL556" s="183">
        <f>+SUM(START:END!AL556)</f>
        <v>159127.83000000002</v>
      </c>
      <c r="AM556" s="199"/>
      <c r="AN556" s="160">
        <f t="shared" si="251"/>
        <v>-138082.43000000002</v>
      </c>
      <c r="AO556" s="349">
        <f t="shared" si="249"/>
        <v>-0.8677453214814782</v>
      </c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spans="1:62" ht="17.399999999999999" hidden="1" customHeight="1">
      <c r="A557" s="260" t="str">
        <f t="shared" si="241"/>
        <v>Holdbacks</v>
      </c>
      <c r="B557" s="3"/>
      <c r="C557" s="33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271" t="s">
        <v>66</v>
      </c>
      <c r="W557" s="157"/>
      <c r="X557" s="157"/>
      <c r="Y557" s="157"/>
      <c r="Z557" s="158" t="e">
        <f>+SUM(START:END!Z557)</f>
        <v>#N/A</v>
      </c>
      <c r="AA557" s="190"/>
      <c r="AB557" s="160">
        <f t="shared" si="252"/>
        <v>0</v>
      </c>
      <c r="AC557" s="158">
        <f>+SUM(START:END!AC557)</f>
        <v>0</v>
      </c>
      <c r="AD557" s="202"/>
      <c r="AE557" s="360"/>
      <c r="AF557" s="158">
        <f>+SUM(START:END!AF557)</f>
        <v>0</v>
      </c>
      <c r="AG557" s="201"/>
      <c r="AH557" s="160" t="e">
        <f t="shared" si="250"/>
        <v>#N/A</v>
      </c>
      <c r="AI557" s="177" t="e">
        <f>IF(Z557=0,0,AH557/Z557)</f>
        <v>#N/A</v>
      </c>
      <c r="AJ557" s="202"/>
      <c r="AK557" s="360"/>
      <c r="AL557" s="158">
        <f>+SUM(START:END!AL557)</f>
        <v>0</v>
      </c>
      <c r="AM557" s="202"/>
      <c r="AN557" s="160">
        <f t="shared" si="251"/>
        <v>0</v>
      </c>
      <c r="AO557" s="349">
        <f t="shared" si="249"/>
        <v>0</v>
      </c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spans="1:62" ht="15.75" customHeight="1">
      <c r="A558" s="260" t="str">
        <f t="shared" si="241"/>
        <v>RBSC neuf</v>
      </c>
      <c r="B558" s="3"/>
      <c r="C558" s="33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271" t="s">
        <v>214</v>
      </c>
      <c r="W558" s="157"/>
      <c r="X558" s="157"/>
      <c r="Y558" s="157"/>
      <c r="Z558" s="158" t="e">
        <f>+SUM(START:END!Z558)</f>
        <v>#N/A</v>
      </c>
      <c r="AA558" s="190"/>
      <c r="AB558" s="191">
        <f t="shared" si="252"/>
        <v>0</v>
      </c>
      <c r="AC558" s="158">
        <f>+SUM(START:END!AC558)</f>
        <v>0</v>
      </c>
      <c r="AD558" s="200"/>
      <c r="AF558" s="158">
        <f>+SUM(START:END!AF558)</f>
        <v>83421.539999999994</v>
      </c>
      <c r="AG558" s="201"/>
      <c r="AH558" s="160" t="e">
        <f t="shared" si="250"/>
        <v>#N/A</v>
      </c>
      <c r="AI558" s="177" t="e">
        <f t="shared" ref="AI558:AI567" si="253">IF(AH558=0,0,AH558/Z558)</f>
        <v>#N/A</v>
      </c>
      <c r="AJ558" s="200"/>
      <c r="AL558" s="158">
        <f>+SUM(START:END!AL558)</f>
        <v>77373.09</v>
      </c>
      <c r="AM558" s="202"/>
      <c r="AN558" s="160">
        <f t="shared" si="251"/>
        <v>6048.4499999999971</v>
      </c>
      <c r="AO558" s="349">
        <f t="shared" si="249"/>
        <v>7.8172527425232688E-2</v>
      </c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spans="1:62" ht="17.399999999999999" hidden="1" customHeight="1" thickTop="1" thickBot="1">
      <c r="A559" s="260" t="str">
        <f t="shared" si="241"/>
        <v>Programme neuf 2</v>
      </c>
      <c r="B559" s="3"/>
      <c r="C559" s="33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271" t="s">
        <v>187</v>
      </c>
      <c r="W559" s="157"/>
      <c r="X559" s="157"/>
      <c r="Y559" s="157"/>
      <c r="Z559" s="158" t="e">
        <f>+SUM(START:END!Z559)</f>
        <v>#N/A</v>
      </c>
      <c r="AA559" s="190"/>
      <c r="AB559" s="191">
        <f t="shared" si="252"/>
        <v>0</v>
      </c>
      <c r="AC559" s="158">
        <f>+SUM(START:END!AC559)</f>
        <v>0</v>
      </c>
      <c r="AD559" s="200"/>
      <c r="AE559" s="191"/>
      <c r="AF559" s="158">
        <f>+SUM(START:END!AF559)</f>
        <v>0</v>
      </c>
      <c r="AG559" s="201"/>
      <c r="AH559" s="160" t="e">
        <f t="shared" si="250"/>
        <v>#N/A</v>
      </c>
      <c r="AI559" s="177" t="e">
        <f t="shared" si="253"/>
        <v>#N/A</v>
      </c>
      <c r="AJ559" s="200"/>
      <c r="AK559" s="191"/>
      <c r="AL559" s="158">
        <f>+SUM(START:END!AL559)</f>
        <v>0</v>
      </c>
      <c r="AM559" s="202"/>
      <c r="AN559" s="160">
        <f t="shared" si="251"/>
        <v>0</v>
      </c>
      <c r="AO559" s="349">
        <f t="shared" si="249"/>
        <v>0</v>
      </c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spans="1:62" ht="17.399999999999999" hidden="1" customHeight="1" thickTop="1">
      <c r="A560" s="260" t="str">
        <f t="shared" si="241"/>
        <v>Programme neuf 3</v>
      </c>
      <c r="B560" s="3"/>
      <c r="C560" s="33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271" t="s">
        <v>65</v>
      </c>
      <c r="W560" s="157"/>
      <c r="X560" s="157"/>
      <c r="Y560" s="157"/>
      <c r="Z560" s="158" t="e">
        <f>+SUM(START:END!Z560)</f>
        <v>#N/A</v>
      </c>
      <c r="AA560" s="190"/>
      <c r="AB560" s="191">
        <f t="shared" si="252"/>
        <v>0</v>
      </c>
      <c r="AC560" s="158">
        <f>+SUM(START:END!AC560)</f>
        <v>0</v>
      </c>
      <c r="AD560" s="200"/>
      <c r="AE560" s="191"/>
      <c r="AF560" s="158">
        <f>+SUM(START:END!AF560)</f>
        <v>0</v>
      </c>
      <c r="AG560" s="201"/>
      <c r="AH560" s="160" t="e">
        <f t="shared" si="250"/>
        <v>#N/A</v>
      </c>
      <c r="AI560" s="177" t="e">
        <f t="shared" si="253"/>
        <v>#N/A</v>
      </c>
      <c r="AJ560" s="200"/>
      <c r="AK560" s="191"/>
      <c r="AL560" s="158">
        <f>+SUM(START:END!AL560)</f>
        <v>0</v>
      </c>
      <c r="AM560" s="202"/>
      <c r="AN560" s="160">
        <f t="shared" si="251"/>
        <v>0</v>
      </c>
      <c r="AO560" s="349">
        <f t="shared" si="249"/>
        <v>0</v>
      </c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spans="1:62" ht="17.399999999999999" hidden="1" customHeight="1">
      <c r="A561" s="260" t="str">
        <f t="shared" si="241"/>
        <v>RBSC used</v>
      </c>
      <c r="B561" s="3"/>
      <c r="C561" s="33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271" t="s">
        <v>216</v>
      </c>
      <c r="W561" s="157"/>
      <c r="X561" s="157"/>
      <c r="Y561" s="157"/>
      <c r="Z561" s="158" t="e">
        <f>+SUM(START:END!Z561)</f>
        <v>#N/A</v>
      </c>
      <c r="AA561" s="190"/>
      <c r="AB561" s="191">
        <f t="shared" si="252"/>
        <v>0</v>
      </c>
      <c r="AC561" s="158">
        <f>+SUM(START:END!AC561)</f>
        <v>0</v>
      </c>
      <c r="AD561" s="200"/>
      <c r="AE561" s="191"/>
      <c r="AF561" s="158">
        <f>+SUM(START:END!AF561)</f>
        <v>0</v>
      </c>
      <c r="AG561" s="201"/>
      <c r="AH561" s="160" t="e">
        <f t="shared" si="250"/>
        <v>#N/A</v>
      </c>
      <c r="AI561" s="177" t="e">
        <f t="shared" si="253"/>
        <v>#N/A</v>
      </c>
      <c r="AJ561" s="200"/>
      <c r="AK561" s="191"/>
      <c r="AL561" s="158">
        <f>+SUM(START:END!AL561)</f>
        <v>0</v>
      </c>
      <c r="AM561" s="202"/>
      <c r="AN561" s="160">
        <f t="shared" si="251"/>
        <v>0</v>
      </c>
      <c r="AO561" s="349">
        <f t="shared" si="249"/>
        <v>0</v>
      </c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spans="1:62" ht="17.399999999999999" hidden="1" customHeight="1">
      <c r="A562" s="260" t="str">
        <f t="shared" si="241"/>
        <v>Programme 360</v>
      </c>
      <c r="B562" s="3"/>
      <c r="C562" s="33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271" t="s">
        <v>217</v>
      </c>
      <c r="W562" s="157"/>
      <c r="X562" s="157"/>
      <c r="Y562" s="157"/>
      <c r="Z562" s="158" t="e">
        <f>+SUM(START:END!Z562)</f>
        <v>#N/A</v>
      </c>
      <c r="AA562" s="190"/>
      <c r="AB562" s="191">
        <f t="shared" si="252"/>
        <v>0</v>
      </c>
      <c r="AC562" s="158">
        <f>+SUM(START:END!AC562)</f>
        <v>0</v>
      </c>
      <c r="AD562" s="200"/>
      <c r="AE562" s="191"/>
      <c r="AF562" s="158">
        <f>+SUM(START:END!AF562)</f>
        <v>0</v>
      </c>
      <c r="AG562" s="201"/>
      <c r="AH562" s="160" t="e">
        <f t="shared" si="250"/>
        <v>#N/A</v>
      </c>
      <c r="AI562" s="177" t="e">
        <f t="shared" si="253"/>
        <v>#N/A</v>
      </c>
      <c r="AJ562" s="200"/>
      <c r="AK562" s="191"/>
      <c r="AL562" s="158">
        <f>+SUM(START:END!AL562)</f>
        <v>0</v>
      </c>
      <c r="AM562" s="202"/>
      <c r="AN562" s="160">
        <f t="shared" si="251"/>
        <v>0</v>
      </c>
      <c r="AO562" s="349">
        <f t="shared" si="249"/>
        <v>0</v>
      </c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spans="1:62" ht="17.399999999999999" hidden="1" customHeight="1">
      <c r="A563" s="260" t="str">
        <f t="shared" si="241"/>
        <v>Programme used 3</v>
      </c>
      <c r="B563" s="3"/>
      <c r="C563" s="33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271" t="s">
        <v>77</v>
      </c>
      <c r="W563" s="157"/>
      <c r="X563" s="157"/>
      <c r="Y563" s="157"/>
      <c r="Z563" s="158" t="e">
        <f>+SUM(START:END!Z563)</f>
        <v>#N/A</v>
      </c>
      <c r="AA563" s="190"/>
      <c r="AB563" s="191">
        <f t="shared" si="252"/>
        <v>0</v>
      </c>
      <c r="AC563" s="158">
        <f>+SUM(START:END!AC563)</f>
        <v>0</v>
      </c>
      <c r="AD563" s="200"/>
      <c r="AE563" s="191"/>
      <c r="AF563" s="158">
        <f>+SUM(START:END!AF563)</f>
        <v>0</v>
      </c>
      <c r="AG563" s="201"/>
      <c r="AH563" s="160" t="e">
        <f t="shared" si="250"/>
        <v>#N/A</v>
      </c>
      <c r="AI563" s="177" t="e">
        <f t="shared" si="253"/>
        <v>#N/A</v>
      </c>
      <c r="AJ563" s="200"/>
      <c r="AK563" s="191"/>
      <c r="AL563" s="158">
        <f>+SUM(START:END!AL563)</f>
        <v>0</v>
      </c>
      <c r="AM563" s="202"/>
      <c r="AN563" s="160">
        <f t="shared" si="251"/>
        <v>0</v>
      </c>
      <c r="AO563" s="349">
        <f t="shared" si="249"/>
        <v>0</v>
      </c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spans="1:62" ht="17.399999999999999" hidden="1" customHeight="1">
      <c r="A564" s="260" t="str">
        <f t="shared" si="241"/>
        <v>Facility Fund</v>
      </c>
      <c r="B564" s="3"/>
      <c r="C564" s="33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271" t="s">
        <v>188</v>
      </c>
      <c r="W564" s="157"/>
      <c r="X564" s="157"/>
      <c r="Y564" s="157"/>
      <c r="Z564" s="158" t="e">
        <f>+SUM(START:END!Z564)</f>
        <v>#N/A</v>
      </c>
      <c r="AA564" s="157"/>
      <c r="AB564" s="157">
        <f t="shared" si="252"/>
        <v>0</v>
      </c>
      <c r="AC564" s="158">
        <f>+SUM(START:END!AC564)</f>
        <v>0</v>
      </c>
      <c r="AD564" s="165"/>
      <c r="AE564" s="164"/>
      <c r="AF564" s="158">
        <f>+SUM(START:END!AF564)</f>
        <v>0</v>
      </c>
      <c r="AG564" s="159"/>
      <c r="AH564" s="160" t="e">
        <f t="shared" si="250"/>
        <v>#N/A</v>
      </c>
      <c r="AI564" s="161" t="e">
        <f t="shared" si="253"/>
        <v>#N/A</v>
      </c>
      <c r="AJ564" s="165"/>
      <c r="AK564" s="164"/>
      <c r="AL564" s="158">
        <f>+SUM(START:END!AL564)</f>
        <v>0</v>
      </c>
      <c r="AM564" s="202"/>
      <c r="AN564" s="160">
        <f t="shared" si="251"/>
        <v>0</v>
      </c>
      <c r="AO564" s="349">
        <f t="shared" si="249"/>
        <v>0</v>
      </c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spans="1:62" ht="17.399999999999999" hidden="1" customHeight="1">
      <c r="A565" s="260" t="str">
        <f t="shared" si="241"/>
        <v>[...]</v>
      </c>
      <c r="B565" s="3"/>
      <c r="C565" s="33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271" t="s">
        <v>19</v>
      </c>
      <c r="W565" s="157"/>
      <c r="X565" s="157"/>
      <c r="Y565" s="157"/>
      <c r="Z565" s="158">
        <f>+SUM(START:END!Z565)</f>
        <v>0</v>
      </c>
      <c r="AA565" s="157"/>
      <c r="AB565" s="157">
        <f>IF(AC565=0,0,AC565/(G$13+G$97))</f>
        <v>0</v>
      </c>
      <c r="AC565" s="158">
        <f>+SUM(START:END!AC565)</f>
        <v>0</v>
      </c>
      <c r="AD565" s="165"/>
      <c r="AE565" s="164"/>
      <c r="AF565" s="158">
        <f>+SUM(START:END!AF565)</f>
        <v>0</v>
      </c>
      <c r="AG565" s="159"/>
      <c r="AH565" s="160">
        <f t="shared" si="250"/>
        <v>0</v>
      </c>
      <c r="AI565" s="161">
        <f t="shared" si="253"/>
        <v>0</v>
      </c>
      <c r="AJ565" s="165"/>
      <c r="AK565" s="164"/>
      <c r="AL565" s="158">
        <f>+SUM(START:END!AL565)</f>
        <v>0</v>
      </c>
      <c r="AM565" s="202"/>
      <c r="AN565" s="160">
        <f t="shared" si="251"/>
        <v>0</v>
      </c>
      <c r="AO565" s="349">
        <f t="shared" si="249"/>
        <v>0</v>
      </c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spans="1:62" ht="17.399999999999999" hidden="1" customHeight="1" thickTop="1">
      <c r="A566" s="260" t="str">
        <f t="shared" si="241"/>
        <v>[...]</v>
      </c>
      <c r="B566" s="3"/>
      <c r="C566" s="33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271" t="s">
        <v>19</v>
      </c>
      <c r="W566" s="157"/>
      <c r="X566" s="157"/>
      <c r="Y566" s="157"/>
      <c r="Z566" s="158">
        <f>+SUM(START:END!Z566)</f>
        <v>0</v>
      </c>
      <c r="AA566" s="157"/>
      <c r="AB566" s="157">
        <f>IF(AC566=0,0,AC566/(G$13+G$97))</f>
        <v>0</v>
      </c>
      <c r="AC566" s="158">
        <f>+SUM(START:END!AC566)</f>
        <v>0</v>
      </c>
      <c r="AD566" s="165"/>
      <c r="AE566" s="164"/>
      <c r="AF566" s="158">
        <f>+SUM(START:END!AF566)</f>
        <v>0</v>
      </c>
      <c r="AG566" s="159"/>
      <c r="AH566" s="160">
        <f t="shared" si="250"/>
        <v>0</v>
      </c>
      <c r="AI566" s="161">
        <f t="shared" si="253"/>
        <v>0</v>
      </c>
      <c r="AJ566" s="165"/>
      <c r="AK566" s="164"/>
      <c r="AL566" s="158">
        <f>+SUM(START:END!AL566)</f>
        <v>0</v>
      </c>
      <c r="AM566" s="202"/>
      <c r="AN566" s="160">
        <f t="shared" si="251"/>
        <v>0</v>
      </c>
      <c r="AO566" s="349">
        <f t="shared" si="249"/>
        <v>0</v>
      </c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spans="1:62" ht="15.75" customHeight="1">
      <c r="A567" s="260" t="str">
        <f t="shared" si="241"/>
        <v>Frais administration</v>
      </c>
      <c r="B567" s="3"/>
      <c r="C567" s="33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272" t="s">
        <v>67</v>
      </c>
      <c r="W567" s="157"/>
      <c r="X567" s="157"/>
      <c r="Y567" s="157"/>
      <c r="Z567" s="158" t="e">
        <f>+SUM(START:END!Z567)</f>
        <v>#N/A</v>
      </c>
      <c r="AA567" s="190"/>
      <c r="AB567" s="191">
        <f>IF(AC567=0,0,AC567/(G$13+G$97))</f>
        <v>0</v>
      </c>
      <c r="AC567" s="158">
        <f>+SUM(START:END!AC567)</f>
        <v>0</v>
      </c>
      <c r="AD567" s="361"/>
      <c r="AE567" s="190"/>
      <c r="AF567" s="158">
        <f>+SUM(START:END!AF567)</f>
        <v>117306.34</v>
      </c>
      <c r="AG567" s="201"/>
      <c r="AH567" s="160" t="e">
        <f t="shared" si="250"/>
        <v>#N/A</v>
      </c>
      <c r="AI567" s="177" t="e">
        <f t="shared" si="253"/>
        <v>#N/A</v>
      </c>
      <c r="AJ567" s="361"/>
      <c r="AK567" s="190"/>
      <c r="AL567" s="158">
        <f>+SUM(START:END!AL567)</f>
        <v>0</v>
      </c>
      <c r="AM567" s="202"/>
      <c r="AN567" s="160">
        <f t="shared" si="251"/>
        <v>117306.34</v>
      </c>
      <c r="AO567" s="349">
        <f t="shared" si="249"/>
        <v>0</v>
      </c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spans="1:62" ht="21" customHeight="1">
      <c r="A568" s="260" t="str">
        <f t="shared" si="241"/>
        <v>TOTAL AUTRES REVENUS</v>
      </c>
      <c r="B568" s="3"/>
      <c r="C568" s="33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351" t="s">
        <v>177</v>
      </c>
      <c r="W568" s="170"/>
      <c r="X568" s="171" t="e">
        <f>Z568/+Z494</f>
        <v>#N/A</v>
      </c>
      <c r="Y568" s="189"/>
      <c r="Z568" s="172" t="e">
        <f>SUM(Z556:Z567)</f>
        <v>#N/A</v>
      </c>
      <c r="AA568" s="171" t="e">
        <f>AC568/+AC494</f>
        <v>#DIV/0!</v>
      </c>
      <c r="AB568" s="189"/>
      <c r="AC568" s="172">
        <f>SUM(AC556:AC567)</f>
        <v>0</v>
      </c>
      <c r="AD568" s="171">
        <f>AF568/+AF494</f>
        <v>0.13590795003725725</v>
      </c>
      <c r="AE568" s="189"/>
      <c r="AF568" s="172">
        <f>SUM(AF556:AF567)</f>
        <v>221773.28</v>
      </c>
      <c r="AG568" s="179"/>
      <c r="AH568" s="175" t="e">
        <f t="shared" si="250"/>
        <v>#N/A</v>
      </c>
      <c r="AI568" s="171" t="e">
        <f>AH568/Z568</f>
        <v>#N/A</v>
      </c>
      <c r="AJ568" s="171"/>
      <c r="AK568" s="189"/>
      <c r="AL568" s="172">
        <f>SUM(AL556:AL567)</f>
        <v>236500.92</v>
      </c>
      <c r="AM568" s="203"/>
      <c r="AN568" s="175">
        <f t="shared" si="251"/>
        <v>-14727.640000000014</v>
      </c>
      <c r="AO568" s="357">
        <f t="shared" si="249"/>
        <v>-6.2273076992681524E-2</v>
      </c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spans="1:62" ht="6" customHeight="1" thickBot="1">
      <c r="A569" s="260" t="str">
        <f t="shared" si="241"/>
        <v/>
      </c>
      <c r="B569" s="3"/>
      <c r="C569" s="33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362"/>
      <c r="W569" s="204"/>
      <c r="X569" s="204"/>
      <c r="Y569" s="205"/>
      <c r="Z569" s="206"/>
      <c r="AA569" s="204"/>
      <c r="AB569" s="207"/>
      <c r="AC569" s="206"/>
      <c r="AD569" s="204"/>
      <c r="AE569" s="207"/>
      <c r="AF569" s="206"/>
      <c r="AG569" s="208"/>
      <c r="AH569" s="209"/>
      <c r="AI569" s="210"/>
      <c r="AJ569" s="204"/>
      <c r="AK569" s="207"/>
      <c r="AL569" s="206"/>
      <c r="AM569" s="211"/>
      <c r="AN569" s="209">
        <f t="shared" si="251"/>
        <v>0</v>
      </c>
      <c r="AO569" s="363">
        <f t="shared" si="249"/>
        <v>0</v>
      </c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spans="1:62" ht="21" customHeight="1" thickTop="1" thickBot="1">
      <c r="A570" s="260" t="str">
        <f t="shared" si="241"/>
        <v>BAIIA OPÉRATIONNEL</v>
      </c>
      <c r="B570" s="3"/>
      <c r="C570" s="33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237" t="s">
        <v>178</v>
      </c>
      <c r="W570" s="238"/>
      <c r="X570" s="239" t="s">
        <v>179</v>
      </c>
      <c r="Y570" s="240" t="e">
        <f>Z570/Z493</f>
        <v>#N/A</v>
      </c>
      <c r="Z570" s="241" t="e">
        <f>Z494-Z555+Z568</f>
        <v>#N/A</v>
      </c>
      <c r="AA570" s="239" t="s">
        <v>179</v>
      </c>
      <c r="AB570" s="240" t="e">
        <f>AC570/AC493</f>
        <v>#DIV/0!</v>
      </c>
      <c r="AC570" s="241">
        <f>AC494-AC555+AC568</f>
        <v>0</v>
      </c>
      <c r="AD570" s="239" t="s">
        <v>179</v>
      </c>
      <c r="AE570" s="240">
        <f>AF570/AF493</f>
        <v>5.2867344973878683E-3</v>
      </c>
      <c r="AF570" s="241">
        <f>AF494-AF555+AF568</f>
        <v>209154.02000000744</v>
      </c>
      <c r="AG570" s="243"/>
      <c r="AH570" s="243" t="e">
        <f>AF570-Z570</f>
        <v>#N/A</v>
      </c>
      <c r="AI570" s="244" t="e">
        <f>AH570/Z570</f>
        <v>#N/A</v>
      </c>
      <c r="AJ570" s="239" t="s">
        <v>179</v>
      </c>
      <c r="AK570" s="240">
        <f>IF($AL$406=0,0,AL570/$AL$406)</f>
        <v>0</v>
      </c>
      <c r="AL570" s="241">
        <f>AL494-AL555+AL568</f>
        <v>789878.05000001297</v>
      </c>
      <c r="AM570" s="245"/>
      <c r="AN570" s="242">
        <f t="shared" si="251"/>
        <v>-580724.0300000055</v>
      </c>
      <c r="AO570" s="364">
        <f t="shared" si="249"/>
        <v>-0.735207200655843</v>
      </c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spans="1:62" ht="8.25" customHeight="1" thickTop="1">
      <c r="A571" s="260" t="str">
        <f t="shared" si="241"/>
        <v/>
      </c>
      <c r="B571" s="3"/>
      <c r="C571" s="33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2"/>
      <c r="W571" s="2"/>
      <c r="X571" s="2"/>
      <c r="Y571" s="2"/>
      <c r="Z571" s="55"/>
      <c r="AA571" s="7"/>
      <c r="AB571" s="7"/>
      <c r="AC571" s="55"/>
      <c r="AD571" s="7"/>
      <c r="AE571" s="7"/>
      <c r="AF571" s="55"/>
      <c r="AG571" s="7"/>
      <c r="AH571" s="7"/>
      <c r="AI571" s="7"/>
      <c r="AJ571" s="7"/>
      <c r="AK571" s="7"/>
      <c r="AL571" s="55"/>
      <c r="AM571" s="7"/>
      <c r="AN571" s="7"/>
      <c r="AO571" s="7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spans="1:62" ht="22.8">
      <c r="A572" s="260" t="str">
        <f t="shared" si="241"/>
        <v>Ste-Marie Auto</v>
      </c>
      <c r="B572" s="3"/>
      <c r="C572" s="33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365" t="str">
        <f>C1</f>
        <v>Ste-Marie Auto</v>
      </c>
      <c r="W572" s="365"/>
      <c r="X572" s="365"/>
      <c r="Y572" s="365"/>
      <c r="Z572" s="365"/>
      <c r="AA572" s="365"/>
      <c r="AB572" s="365"/>
      <c r="AC572" s="365"/>
      <c r="AD572" s="365"/>
      <c r="AE572" s="366" t="s">
        <v>180</v>
      </c>
      <c r="AF572" s="365"/>
      <c r="AG572" s="365"/>
      <c r="AH572" s="365"/>
      <c r="AI572" s="365"/>
      <c r="AJ572" s="365"/>
      <c r="AK572" s="366"/>
      <c r="AL572" s="365"/>
      <c r="AM572" s="365"/>
      <c r="AN572" s="365"/>
      <c r="AO572" s="367" t="str">
        <f>$S$1</f>
        <v>Réalisé  Q2 2026</v>
      </c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spans="1:62" ht="19.5" customHeight="1">
      <c r="A573" s="260" t="str">
        <f t="shared" si="241"/>
        <v/>
      </c>
      <c r="B573" s="3"/>
      <c r="C573" s="33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2"/>
      <c r="W573" s="2"/>
      <c r="X573" s="2"/>
      <c r="Y573" s="2"/>
      <c r="Z573" s="55"/>
      <c r="AA573" s="7"/>
      <c r="AB573" s="7"/>
      <c r="AC573" s="55"/>
      <c r="AD573" s="7"/>
      <c r="AE573" s="7"/>
      <c r="AF573" s="55"/>
      <c r="AG573" s="7"/>
      <c r="AH573" s="7"/>
      <c r="AI573" s="7"/>
      <c r="AJ573" s="7"/>
      <c r="AK573" s="7"/>
      <c r="AL573" s="55"/>
      <c r="AM573" s="7"/>
      <c r="AN573" s="7"/>
      <c r="AO573" s="7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spans="1:62" ht="19.5" customHeight="1" thickBot="1">
      <c r="A574" s="260" t="str">
        <f t="shared" si="241"/>
        <v/>
      </c>
      <c r="B574" s="3"/>
      <c r="C574" s="33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2"/>
      <c r="W574" s="2"/>
      <c r="X574" s="2"/>
      <c r="Y574" s="2"/>
      <c r="Z574" s="55"/>
      <c r="AA574" s="7"/>
      <c r="AB574" s="7"/>
      <c r="AC574" s="55"/>
      <c r="AD574" s="7"/>
      <c r="AE574" s="7"/>
      <c r="AF574" s="55"/>
      <c r="AG574" s="7"/>
      <c r="AH574" s="7"/>
      <c r="AI574" s="7"/>
      <c r="AJ574" s="7"/>
      <c r="AK574" s="7"/>
      <c r="AL574" s="55"/>
      <c r="AM574" s="7"/>
      <c r="AN574" s="7"/>
      <c r="AO574" s="7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spans="1:62" ht="19.2" hidden="1" customHeight="1" thickTop="1" thickBot="1">
      <c r="A575" s="260" t="str">
        <f t="shared" si="241"/>
        <v>BAIIA Corpo</v>
      </c>
      <c r="B575" s="3"/>
      <c r="C575" s="33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237" t="s">
        <v>208</v>
      </c>
      <c r="W575" s="238"/>
      <c r="X575" s="239" t="s">
        <v>179</v>
      </c>
      <c r="Y575" s="240" t="e">
        <f>Z575/Z493</f>
        <v>#N/A</v>
      </c>
      <c r="Z575" s="242" t="e">
        <f>+Z576+Z502</f>
        <v>#N/A</v>
      </c>
      <c r="AA575" s="239"/>
      <c r="AB575" s="240"/>
      <c r="AC575" s="241"/>
      <c r="AD575" s="239" t="s">
        <v>179</v>
      </c>
      <c r="AE575" s="240">
        <f>AF575/AF493</f>
        <v>9.8302399443778651E-3</v>
      </c>
      <c r="AF575" s="242">
        <f>+AF576+AF502</f>
        <v>388904.38000000746</v>
      </c>
      <c r="AG575" s="243"/>
      <c r="AH575" s="243" t="e">
        <f>AF575-Z575</f>
        <v>#N/A</v>
      </c>
      <c r="AI575" s="244" t="e">
        <f>AH575/Z575</f>
        <v>#N/A</v>
      </c>
      <c r="AJ575" s="239" t="s">
        <v>179</v>
      </c>
      <c r="AK575" s="240">
        <f>AL575/AL493</f>
        <v>1.9395904979670121E-2</v>
      </c>
      <c r="AL575" s="242">
        <f>+AL576+AL502</f>
        <v>1040077.8800000129</v>
      </c>
      <c r="AM575" s="245"/>
      <c r="AN575" s="242">
        <f>AF575-AL575</f>
        <v>-651173.50000000547</v>
      </c>
      <c r="AO575" s="246">
        <f>IF(AL575=0,0,AN575/AL575)</f>
        <v>-0.62608148151367027</v>
      </c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spans="1:62" ht="21" customHeight="1" thickTop="1" thickBot="1">
      <c r="A576" s="260" t="str">
        <f t="shared" si="241"/>
        <v>BAIIA OPÉRATIONNEL</v>
      </c>
      <c r="B576" s="3"/>
      <c r="C576" s="33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237" t="s">
        <v>178</v>
      </c>
      <c r="W576" s="238"/>
      <c r="X576" s="239" t="s">
        <v>179</v>
      </c>
      <c r="Y576" s="240" t="e">
        <f>Z576/Z493</f>
        <v>#N/A</v>
      </c>
      <c r="Z576" s="241" t="e">
        <f>Z570</f>
        <v>#N/A</v>
      </c>
      <c r="AA576" s="239" t="s">
        <v>179</v>
      </c>
      <c r="AB576" s="240" t="e">
        <f>AC576/AC493</f>
        <v>#DIV/0!</v>
      </c>
      <c r="AC576" s="241">
        <f>AC570</f>
        <v>0</v>
      </c>
      <c r="AD576" s="239" t="s">
        <v>179</v>
      </c>
      <c r="AE576" s="240">
        <f>AF576/AF493</f>
        <v>5.2867344973878683E-3</v>
      </c>
      <c r="AF576" s="241">
        <f>AF570</f>
        <v>209154.02000000744</v>
      </c>
      <c r="AG576" s="242"/>
      <c r="AH576" s="243" t="e">
        <f>AF576-Z576</f>
        <v>#N/A</v>
      </c>
      <c r="AI576" s="244" t="e">
        <f>AH576/Z576</f>
        <v>#N/A</v>
      </c>
      <c r="AJ576" s="239" t="s">
        <v>179</v>
      </c>
      <c r="AK576" s="240">
        <f>IF($AL$406=0,0,AL576/$AL$406)</f>
        <v>0</v>
      </c>
      <c r="AL576" s="241">
        <f>AL570</f>
        <v>789878.05000001297</v>
      </c>
      <c r="AM576" s="368"/>
      <c r="AN576" s="369">
        <f>AF576-AL576</f>
        <v>-580724.0300000055</v>
      </c>
      <c r="AO576" s="370">
        <f>IF(AL576=0,0,AN576/AL576)</f>
        <v>-0.735207200655843</v>
      </c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spans="1:62" ht="15.75" customHeight="1" thickTop="1">
      <c r="A577" s="260" t="str">
        <f t="shared" si="241"/>
        <v/>
      </c>
      <c r="B577" s="3"/>
      <c r="C577" s="336"/>
      <c r="D577" s="6"/>
      <c r="E577" s="6"/>
      <c r="F577" s="97"/>
      <c r="G577" s="6"/>
      <c r="H577" s="6"/>
      <c r="I577" s="97"/>
      <c r="J577" s="6"/>
      <c r="K577" s="6"/>
      <c r="L577" s="6"/>
      <c r="M577" s="97"/>
      <c r="N577" s="6"/>
      <c r="O577" s="6"/>
      <c r="P577" s="6"/>
      <c r="Q577" s="97"/>
      <c r="R577" s="97"/>
      <c r="S577" s="97"/>
      <c r="T577" s="358"/>
      <c r="U577" s="358"/>
      <c r="V577" s="371"/>
      <c r="W577" s="6"/>
      <c r="X577" s="6"/>
      <c r="Y577" s="6"/>
      <c r="Z577" s="372"/>
      <c r="AA577" s="6"/>
      <c r="AB577" s="6"/>
      <c r="AC577" s="373"/>
      <c r="AD577" s="6"/>
      <c r="AE577" s="6"/>
      <c r="AF577" s="372"/>
      <c r="AG577" s="6"/>
      <c r="AH577" s="6"/>
      <c r="AI577" s="373"/>
      <c r="AJ577" s="6"/>
      <c r="AK577" s="6"/>
      <c r="AL577" s="372"/>
      <c r="AM577" s="212"/>
      <c r="AN577" s="97"/>
      <c r="AO577" s="374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spans="1:62" ht="15.75" customHeight="1">
      <c r="A578" s="260" t="str">
        <f t="shared" si="241"/>
        <v>Amortissement</v>
      </c>
      <c r="B578" s="3"/>
      <c r="C578" s="33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271" t="s">
        <v>181</v>
      </c>
      <c r="W578" s="163"/>
      <c r="X578" s="157"/>
      <c r="Y578" s="164"/>
      <c r="Z578" s="158" t="e">
        <f>+SUM(START:END!Z578)</f>
        <v>#N/A</v>
      </c>
      <c r="AA578" s="157"/>
      <c r="AB578" s="164">
        <f t="shared" ref="AB578:AB582" si="254">IF(AC578=0,0,AC578/(G$13+G$97))</f>
        <v>0</v>
      </c>
      <c r="AC578" s="158">
        <f>+SUM(START:END!AC578)</f>
        <v>0</v>
      </c>
      <c r="AD578" s="157"/>
      <c r="AE578" s="164"/>
      <c r="AF578" s="158">
        <f>+SUM(START:END!AF578)</f>
        <v>32430</v>
      </c>
      <c r="AG578" s="157"/>
      <c r="AH578" s="160" t="e">
        <f t="shared" ref="AH578:AH585" si="255">AF578-Z578</f>
        <v>#N/A</v>
      </c>
      <c r="AI578" s="177" t="e">
        <f t="shared" ref="AI578:AI584" si="256">IF(Z578=0,0,AH578/Z578)</f>
        <v>#N/A</v>
      </c>
      <c r="AJ578" s="157"/>
      <c r="AK578" s="164"/>
      <c r="AL578" s="158">
        <f>+SUM(START:END!AL578)</f>
        <v>33123.47</v>
      </c>
      <c r="AM578" s="162"/>
      <c r="AN578" s="160">
        <f t="shared" ref="AN578:AN585" si="257">AF578-AL578</f>
        <v>-693.47000000000116</v>
      </c>
      <c r="AO578" s="349">
        <f t="shared" ref="AO578:AO585" si="258">IF(AL578=0,0,AN578/AL578)</f>
        <v>-2.0935910398276542E-2</v>
      </c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spans="1:62" ht="15.75" customHeight="1">
      <c r="A579" s="260" t="str">
        <f t="shared" si="241"/>
        <v>Intérêts sur marge</v>
      </c>
      <c r="B579" s="3"/>
      <c r="C579" s="336"/>
      <c r="D579" s="6"/>
      <c r="E579" s="6"/>
      <c r="F579" s="97"/>
      <c r="G579" s="6"/>
      <c r="H579" s="6"/>
      <c r="I579" s="97"/>
      <c r="J579" s="6"/>
      <c r="K579" s="6"/>
      <c r="L579" s="6"/>
      <c r="M579" s="97"/>
      <c r="N579" s="6"/>
      <c r="O579" s="6"/>
      <c r="P579" s="6"/>
      <c r="Q579" s="97"/>
      <c r="R579" s="97"/>
      <c r="S579" s="97"/>
      <c r="T579" s="6"/>
      <c r="U579" s="6"/>
      <c r="V579" s="271" t="s">
        <v>182</v>
      </c>
      <c r="W579" s="6"/>
      <c r="X579" s="6"/>
      <c r="Y579" s="6"/>
      <c r="Z579" s="158" t="e">
        <f>+SUM(START:END!Z579)</f>
        <v>#N/A</v>
      </c>
      <c r="AA579" s="6"/>
      <c r="AB579" s="6">
        <f t="shared" si="254"/>
        <v>0</v>
      </c>
      <c r="AC579" s="158">
        <f>+SUM(START:END!AC579)</f>
        <v>0</v>
      </c>
      <c r="AD579" s="6"/>
      <c r="AE579" s="7"/>
      <c r="AF579" s="158">
        <f>+SUM(START:END!AF579)</f>
        <v>-178.07</v>
      </c>
      <c r="AG579" s="6"/>
      <c r="AH579" s="160" t="e">
        <f t="shared" si="255"/>
        <v>#N/A</v>
      </c>
      <c r="AI579" s="177" t="e">
        <f t="shared" si="256"/>
        <v>#N/A</v>
      </c>
      <c r="AJ579" s="6"/>
      <c r="AK579" s="7"/>
      <c r="AL579" s="158">
        <f>+SUM(START:END!AL579)</f>
        <v>0</v>
      </c>
      <c r="AM579" s="212"/>
      <c r="AN579" s="160">
        <f t="shared" si="257"/>
        <v>-178.07</v>
      </c>
      <c r="AO579" s="349">
        <f t="shared" si="258"/>
        <v>0</v>
      </c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spans="1:62" ht="15.75" customHeight="1">
      <c r="A580" s="260" t="str">
        <f t="shared" si="241"/>
        <v>Intérêts sur prêt</v>
      </c>
      <c r="B580" s="3"/>
      <c r="C580" s="336"/>
      <c r="D580" s="6"/>
      <c r="E580" s="6"/>
      <c r="F580" s="97"/>
      <c r="G580" s="6"/>
      <c r="H580" s="6"/>
      <c r="I580" s="97"/>
      <c r="J580" s="6"/>
      <c r="K580" s="6"/>
      <c r="L580" s="6"/>
      <c r="M580" s="97"/>
      <c r="N580" s="6"/>
      <c r="O580" s="6"/>
      <c r="P580" s="6"/>
      <c r="Q580" s="97"/>
      <c r="R580" s="97"/>
      <c r="S580" s="97"/>
      <c r="T580" s="6"/>
      <c r="U580" s="6"/>
      <c r="V580" s="271" t="s">
        <v>183</v>
      </c>
      <c r="W580" s="7"/>
      <c r="X580" s="7"/>
      <c r="Y580" s="7"/>
      <c r="Z580" s="158" t="e">
        <f>+SUM(START:END!Z580)</f>
        <v>#N/A</v>
      </c>
      <c r="AA580" s="6"/>
      <c r="AB580" s="6">
        <f t="shared" si="254"/>
        <v>0</v>
      </c>
      <c r="AC580" s="158">
        <f>+SUM(START:END!AC580)</f>
        <v>0</v>
      </c>
      <c r="AD580" s="6"/>
      <c r="AE580" s="7"/>
      <c r="AF580" s="158">
        <f>+SUM(START:END!AF580)</f>
        <v>23823.429999999993</v>
      </c>
      <c r="AG580" s="6"/>
      <c r="AH580" s="160" t="e">
        <f t="shared" si="255"/>
        <v>#N/A</v>
      </c>
      <c r="AI580" s="177" t="e">
        <f t="shared" si="256"/>
        <v>#N/A</v>
      </c>
      <c r="AJ580" s="6"/>
      <c r="AK580" s="7"/>
      <c r="AL580" s="158">
        <f>+SUM(START:END!AL580)</f>
        <v>0</v>
      </c>
      <c r="AM580" s="212"/>
      <c r="AN580" s="160">
        <f t="shared" si="257"/>
        <v>23823.429999999993</v>
      </c>
      <c r="AO580" s="349">
        <f t="shared" si="258"/>
        <v>0</v>
      </c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spans="1:62" ht="15.75" customHeight="1">
      <c r="A581" s="260" t="str">
        <f t="shared" si="241"/>
        <v>Intérêts sur avance</v>
      </c>
      <c r="B581" s="3"/>
      <c r="C581" s="336"/>
      <c r="D581" s="6"/>
      <c r="E581" s="6"/>
      <c r="F581" s="97"/>
      <c r="G581" s="6"/>
      <c r="H581" s="6"/>
      <c r="I581" s="97"/>
      <c r="J581" s="6"/>
      <c r="K581" s="6"/>
      <c r="L581" s="6"/>
      <c r="M581" s="97"/>
      <c r="N581" s="6"/>
      <c r="O581" s="6"/>
      <c r="P581" s="6"/>
      <c r="Q581" s="97"/>
      <c r="R581" s="97"/>
      <c r="S581" s="97"/>
      <c r="T581" s="6"/>
      <c r="U581" s="6"/>
      <c r="V581" s="271" t="s">
        <v>184</v>
      </c>
      <c r="W581" s="7"/>
      <c r="X581" s="7"/>
      <c r="Y581" s="7"/>
      <c r="Z581" s="158" t="e">
        <f>+SUM(START:END!Z581)</f>
        <v>#N/A</v>
      </c>
      <c r="AA581" s="6"/>
      <c r="AB581" s="6">
        <f t="shared" si="254"/>
        <v>0</v>
      </c>
      <c r="AC581" s="158">
        <f>+SUM(START:END!AC581)</f>
        <v>0</v>
      </c>
      <c r="AD581" s="6"/>
      <c r="AE581" s="7"/>
      <c r="AF581" s="158">
        <f>+SUM(START:END!AF581)</f>
        <v>0</v>
      </c>
      <c r="AG581" s="6"/>
      <c r="AH581" s="160" t="e">
        <f t="shared" si="255"/>
        <v>#N/A</v>
      </c>
      <c r="AI581" s="177" t="e">
        <f t="shared" si="256"/>
        <v>#N/A</v>
      </c>
      <c r="AJ581" s="6"/>
      <c r="AK581" s="7"/>
      <c r="AL581" s="158">
        <f>+SUM(START:END!AL581)</f>
        <v>0</v>
      </c>
      <c r="AM581" s="212"/>
      <c r="AN581" s="160">
        <f t="shared" si="257"/>
        <v>0</v>
      </c>
      <c r="AO581" s="349">
        <f t="shared" si="258"/>
        <v>0</v>
      </c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spans="1:62" ht="20.399999999999999" hidden="1" customHeight="1">
      <c r="A582" s="260" t="str">
        <f t="shared" si="241"/>
        <v>[...]</v>
      </c>
      <c r="B582" s="3"/>
      <c r="C582" s="336"/>
      <c r="D582" s="6"/>
      <c r="E582" s="6"/>
      <c r="F582" s="97"/>
      <c r="G582" s="6"/>
      <c r="H582" s="6"/>
      <c r="I582" s="97"/>
      <c r="J582" s="6"/>
      <c r="K582" s="6"/>
      <c r="L582" s="6"/>
      <c r="M582" s="97"/>
      <c r="N582" s="6"/>
      <c r="O582" s="6"/>
      <c r="P582" s="6"/>
      <c r="Q582" s="97"/>
      <c r="R582" s="97"/>
      <c r="S582" s="97"/>
      <c r="T582" s="6"/>
      <c r="U582" s="6"/>
      <c r="V582" s="271" t="s">
        <v>19</v>
      </c>
      <c r="W582" s="7"/>
      <c r="X582" s="7"/>
      <c r="Y582" s="7"/>
      <c r="Z582" s="158">
        <f>+SUM(START:END!Z582)</f>
        <v>0</v>
      </c>
      <c r="AA582" s="157"/>
      <c r="AB582" s="157">
        <f t="shared" si="254"/>
        <v>0</v>
      </c>
      <c r="AC582" s="158">
        <f>+SUM(START:END!AC582)</f>
        <v>0</v>
      </c>
      <c r="AD582" s="165"/>
      <c r="AE582" s="164"/>
      <c r="AF582" s="158">
        <f>+SUM(START:END!AF582)</f>
        <v>0</v>
      </c>
      <c r="AG582" s="159"/>
      <c r="AH582" s="160">
        <f t="shared" si="255"/>
        <v>0</v>
      </c>
      <c r="AI582" s="161">
        <f t="shared" si="256"/>
        <v>0</v>
      </c>
      <c r="AJ582" s="165"/>
      <c r="AK582" s="164"/>
      <c r="AL582" s="158">
        <f>+SUM(START:END!AL582)</f>
        <v>0</v>
      </c>
      <c r="AM582" s="212"/>
      <c r="AN582" s="160">
        <f t="shared" si="257"/>
        <v>0</v>
      </c>
      <c r="AO582" s="349">
        <f t="shared" si="258"/>
        <v>0</v>
      </c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spans="1:62" ht="15.75" customHeight="1" thickBot="1">
      <c r="A583" s="271" t="str">
        <f t="shared" si="241"/>
        <v>Revenus d'intérêts Floor plan</v>
      </c>
      <c r="B583" s="3"/>
      <c r="C583" s="336"/>
      <c r="D583" s="6"/>
      <c r="E583" s="6"/>
      <c r="F583" s="97"/>
      <c r="G583" s="6"/>
      <c r="H583" s="6"/>
      <c r="I583" s="97"/>
      <c r="J583" s="6"/>
      <c r="K583" s="6"/>
      <c r="L583" s="6"/>
      <c r="M583" s="97"/>
      <c r="N583" s="6"/>
      <c r="O583" s="6"/>
      <c r="P583" s="6"/>
      <c r="Q583" s="97"/>
      <c r="R583" s="97"/>
      <c r="S583" s="97"/>
      <c r="T583" s="6"/>
      <c r="U583" s="6"/>
      <c r="V583" s="271" t="s">
        <v>207</v>
      </c>
      <c r="W583" s="7"/>
      <c r="X583" s="7"/>
      <c r="Y583" s="7"/>
      <c r="Z583" s="158" t="e">
        <f>+SUM(START:END!Z583)</f>
        <v>#N/A</v>
      </c>
      <c r="AA583" s="157"/>
      <c r="AB583" s="157">
        <f>IF(AC583=0,0,AC583/(G$13+G$97))</f>
        <v>0</v>
      </c>
      <c r="AC583" s="158">
        <f>+SUM(START:END!AC583)</f>
        <v>0</v>
      </c>
      <c r="AD583" s="165"/>
      <c r="AE583" s="164"/>
      <c r="AF583" s="158">
        <f>+SUM(START:END!AF583)</f>
        <v>-50.679999999999382</v>
      </c>
      <c r="AG583" s="159"/>
      <c r="AH583" s="160" t="e">
        <f t="shared" si="255"/>
        <v>#N/A</v>
      </c>
      <c r="AI583" s="161" t="e">
        <f t="shared" si="256"/>
        <v>#N/A</v>
      </c>
      <c r="AJ583" s="165"/>
      <c r="AK583" s="164"/>
      <c r="AL583" s="158">
        <f>+SUM(START:END!AL583)</f>
        <v>0</v>
      </c>
      <c r="AM583" s="212"/>
      <c r="AN583" s="160">
        <f t="shared" si="257"/>
        <v>-50.679999999999382</v>
      </c>
      <c r="AO583" s="349">
        <f t="shared" si="258"/>
        <v>0</v>
      </c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spans="1:62" ht="21" hidden="1" customHeight="1">
      <c r="A584" s="260" t="str">
        <f t="shared" si="241"/>
        <v>[...]</v>
      </c>
      <c r="B584" s="3"/>
      <c r="C584" s="336"/>
      <c r="D584" s="6"/>
      <c r="E584" s="6"/>
      <c r="F584" s="97"/>
      <c r="G584" s="6"/>
      <c r="H584" s="6"/>
      <c r="I584" s="97"/>
      <c r="J584" s="6"/>
      <c r="K584" s="6"/>
      <c r="L584" s="6"/>
      <c r="M584" s="97"/>
      <c r="N584" s="6"/>
      <c r="O584" s="6"/>
      <c r="P584" s="6"/>
      <c r="Q584" s="97"/>
      <c r="R584" s="97"/>
      <c r="S584" s="97"/>
      <c r="T584" s="6"/>
      <c r="U584" s="6"/>
      <c r="V584" s="271" t="s">
        <v>19</v>
      </c>
      <c r="W584" s="7"/>
      <c r="X584" s="6"/>
      <c r="Y584" s="7"/>
      <c r="Z584" s="158">
        <f>+SUM(START:END!Z584)</f>
        <v>0</v>
      </c>
      <c r="AA584" s="157"/>
      <c r="AB584" s="157">
        <f t="shared" ref="AB584" si="259">IF(AC584=0,0,AC584/(G$13+G$97))</f>
        <v>0</v>
      </c>
      <c r="AC584" s="158">
        <f>+SUM(START:END!AC584)</f>
        <v>0</v>
      </c>
      <c r="AD584" s="165"/>
      <c r="AE584" s="164">
        <f>IF(AF584=0,0,AF584/(J$13+J$97))</f>
        <v>0</v>
      </c>
      <c r="AF584" s="158">
        <f>+SUM(START:END!AF584)</f>
        <v>0</v>
      </c>
      <c r="AG584" s="159"/>
      <c r="AH584" s="160">
        <f t="shared" si="255"/>
        <v>0</v>
      </c>
      <c r="AI584" s="161">
        <f t="shared" si="256"/>
        <v>0</v>
      </c>
      <c r="AJ584" s="165"/>
      <c r="AK584" s="164">
        <f>AL584/(O$13+O$97)</f>
        <v>0</v>
      </c>
      <c r="AL584" s="158">
        <f>+SUM(START:END!AL584)</f>
        <v>0</v>
      </c>
      <c r="AM584" s="212"/>
      <c r="AN584" s="160">
        <f t="shared" si="257"/>
        <v>0</v>
      </c>
      <c r="AO584" s="349">
        <f t="shared" si="258"/>
        <v>0</v>
      </c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spans="1:62" ht="21" customHeight="1" thickTop="1" thickBot="1">
      <c r="A585" s="260" t="str">
        <f t="shared" si="241"/>
        <v>Profit Net</v>
      </c>
      <c r="B585" s="3"/>
      <c r="C585" s="336"/>
      <c r="D585" s="6"/>
      <c r="E585" s="6"/>
      <c r="F585" s="97"/>
      <c r="G585" s="6"/>
      <c r="H585" s="6"/>
      <c r="I585" s="97"/>
      <c r="J585" s="6"/>
      <c r="K585" s="6"/>
      <c r="L585" s="6"/>
      <c r="M585" s="97"/>
      <c r="N585" s="6"/>
      <c r="O585" s="6"/>
      <c r="P585" s="6"/>
      <c r="Q585" s="97"/>
      <c r="R585" s="97"/>
      <c r="S585" s="97"/>
      <c r="T585" s="6"/>
      <c r="U585" s="6"/>
      <c r="V585" s="237" t="s">
        <v>185</v>
      </c>
      <c r="W585" s="238"/>
      <c r="X585" s="239" t="s">
        <v>179</v>
      </c>
      <c r="Y585" s="240" t="e">
        <f>Z585/Z493</f>
        <v>#N/A</v>
      </c>
      <c r="Z585" s="241" t="e">
        <f>Z576-Z578-Z579-Z580-Z584-Z583-Z581-Z582</f>
        <v>#N/A</v>
      </c>
      <c r="AA585" s="239"/>
      <c r="AB585" s="240"/>
      <c r="AC585" s="241"/>
      <c r="AD585" s="239" t="s">
        <v>179</v>
      </c>
      <c r="AE585" s="240">
        <f>AF585/AF493</f>
        <v>3.8706125004924438E-3</v>
      </c>
      <c r="AF585" s="241">
        <f>AF576-AF578-AF579-AF580-AF584-AF583-AF581-AF582</f>
        <v>153129.34000000745</v>
      </c>
      <c r="AG585" s="243"/>
      <c r="AH585" s="243" t="e">
        <f t="shared" si="255"/>
        <v>#N/A</v>
      </c>
      <c r="AI585" s="244" t="e">
        <f>AH585/Z585</f>
        <v>#N/A</v>
      </c>
      <c r="AJ585" s="239" t="s">
        <v>179</v>
      </c>
      <c r="AK585" s="240">
        <f>IF($AL$407=0,0,AL585/$AL$407)</f>
        <v>0</v>
      </c>
      <c r="AL585" s="241">
        <f>AL576-AL578-AL579-AL580-AL584-AL583-AL581-AL582</f>
        <v>756754.580000013</v>
      </c>
      <c r="AM585" s="245"/>
      <c r="AN585" s="242">
        <f t="shared" si="257"/>
        <v>-603625.24000000558</v>
      </c>
      <c r="AO585" s="246">
        <f t="shared" si="258"/>
        <v>-0.79764993295447939</v>
      </c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spans="1:62" ht="15.75" customHeight="1" thickTop="1">
      <c r="A586" s="260" t="str">
        <f t="shared" si="241"/>
        <v/>
      </c>
      <c r="B586" s="3"/>
      <c r="C586" s="6"/>
      <c r="D586" s="6"/>
      <c r="E586" s="6"/>
      <c r="F586" s="97"/>
      <c r="G586" s="6"/>
      <c r="H586" s="6"/>
      <c r="I586" s="97"/>
      <c r="J586" s="6"/>
      <c r="K586" s="6"/>
      <c r="L586" s="6"/>
      <c r="M586" s="97"/>
      <c r="N586" s="6"/>
      <c r="O586" s="6"/>
      <c r="P586" s="6"/>
      <c r="Q586" s="97"/>
      <c r="R586" s="97"/>
      <c r="S586" s="97"/>
      <c r="T586" s="6"/>
      <c r="U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spans="1:62" ht="15.75" customHeight="1">
      <c r="B587" s="3"/>
      <c r="T587" s="6"/>
      <c r="U587" s="6"/>
      <c r="V587" s="6"/>
      <c r="W587" s="6"/>
      <c r="X587" s="6"/>
      <c r="Y587" s="6"/>
      <c r="Z587" s="97"/>
      <c r="AA587" s="6"/>
      <c r="AB587" s="6"/>
      <c r="AC587" s="97"/>
      <c r="AE587" s="176"/>
      <c r="AF587" s="176"/>
      <c r="AG587" s="6"/>
      <c r="AH587" s="6"/>
      <c r="AI587" s="6"/>
      <c r="AJ587" s="375"/>
      <c r="AK587" s="376"/>
      <c r="AL587" s="17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spans="1:62" ht="15.75" customHeight="1">
      <c r="B588" s="3"/>
      <c r="C588" s="6"/>
      <c r="S588" s="97"/>
      <c r="W588" s="6"/>
      <c r="X588" s="6"/>
      <c r="Y588" s="6"/>
      <c r="Z588" s="97"/>
      <c r="AA588" s="6"/>
      <c r="AB588" s="6"/>
      <c r="AC588" s="97"/>
      <c r="AD588" s="6"/>
      <c r="AE588" s="6"/>
      <c r="AF588" s="176"/>
      <c r="AG588" s="6"/>
      <c r="AH588" s="6"/>
      <c r="AI588" s="6"/>
      <c r="AJ588" s="6"/>
      <c r="AL588" s="377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spans="1:62" ht="15.75" customHeight="1">
      <c r="B589" s="3"/>
      <c r="C589" s="157"/>
      <c r="W589" s="6"/>
      <c r="X589" s="6"/>
      <c r="Y589" s="6"/>
      <c r="AE589" s="6"/>
      <c r="AF589" s="378"/>
      <c r="AL589" s="378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spans="1:62" ht="15.75" customHeight="1">
      <c r="B590" s="3"/>
      <c r="C590" s="157"/>
      <c r="W590" s="6"/>
      <c r="X590" s="6"/>
      <c r="Y590" s="6"/>
      <c r="Z590" s="6"/>
      <c r="AA590" s="6"/>
      <c r="AB590" s="6"/>
      <c r="AC590" s="6"/>
      <c r="AD590" s="6"/>
      <c r="AE590" s="97"/>
      <c r="AG590" s="6"/>
      <c r="AH590" s="6"/>
      <c r="AI590" s="6"/>
      <c r="AJ590" s="379"/>
      <c r="AK590" s="376"/>
      <c r="AL590" s="377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spans="1:62" ht="15.75" customHeight="1">
      <c r="B591" s="3"/>
      <c r="C591" s="157"/>
      <c r="W591" s="6"/>
      <c r="X591" s="6"/>
      <c r="Y591" s="6"/>
      <c r="Z591" s="6"/>
      <c r="AA591" s="6"/>
      <c r="AB591" s="6"/>
      <c r="AC591" s="6"/>
      <c r="AD591" s="6"/>
      <c r="AE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spans="1:62" ht="15.75" customHeight="1">
      <c r="B592" s="3"/>
      <c r="C592" s="157"/>
      <c r="W592" s="6"/>
      <c r="X592" s="6"/>
      <c r="Y592" s="6"/>
      <c r="Z592" s="6"/>
      <c r="AA592" s="6"/>
      <c r="AB592" s="6"/>
      <c r="AC592" s="6"/>
      <c r="AD592" s="6"/>
      <c r="AE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spans="2:62" ht="15.75" customHeight="1">
      <c r="B593" s="3"/>
      <c r="C593" s="157"/>
      <c r="W593" s="6"/>
      <c r="X593" s="6"/>
      <c r="Y593" s="6"/>
      <c r="Z593" s="6"/>
      <c r="AA593" s="6"/>
      <c r="AB593" s="6"/>
      <c r="AC593" s="6"/>
      <c r="AD593" s="6"/>
      <c r="AE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spans="2:62" ht="15.75" customHeight="1">
      <c r="B594" s="3"/>
      <c r="C594" s="157"/>
      <c r="W594" s="6"/>
      <c r="X594" s="6"/>
      <c r="Y594" s="6"/>
      <c r="Z594" s="6"/>
      <c r="AA594" s="6"/>
      <c r="AB594" s="6"/>
      <c r="AC594" s="6"/>
      <c r="AD594" s="6"/>
      <c r="AE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spans="2:62" ht="15.75" customHeight="1">
      <c r="B595" s="3"/>
      <c r="C595" s="157"/>
      <c r="W595" s="6"/>
      <c r="X595" s="6"/>
      <c r="Y595" s="6"/>
      <c r="Z595" s="6"/>
      <c r="AA595" s="6"/>
      <c r="AB595" s="6"/>
      <c r="AC595" s="6"/>
      <c r="AD595" s="6"/>
      <c r="AE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spans="2:62" ht="15.75" customHeight="1">
      <c r="B596" s="3"/>
      <c r="C596" s="157"/>
      <c r="W596" s="6"/>
      <c r="X596" s="6"/>
      <c r="Y596" s="6"/>
      <c r="Z596" s="6"/>
      <c r="AA596" s="6"/>
      <c r="AB596" s="6"/>
      <c r="AC596" s="6"/>
      <c r="AD596" s="6"/>
      <c r="AE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spans="2:62" ht="15.75" customHeight="1">
      <c r="B597" s="3"/>
      <c r="C597" s="157"/>
      <c r="W597" s="6"/>
      <c r="X597" s="6"/>
      <c r="Y597" s="6"/>
      <c r="Z597" s="6"/>
      <c r="AA597" s="6"/>
      <c r="AB597" s="6"/>
      <c r="AC597" s="6"/>
      <c r="AD597" s="6"/>
      <c r="AE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spans="2:62" ht="15.75" customHeight="1">
      <c r="B598" s="3"/>
      <c r="C598" s="157"/>
      <c r="W598" s="6"/>
      <c r="X598" s="6"/>
      <c r="Y598" s="6"/>
      <c r="Z598" s="6"/>
      <c r="AA598" s="6"/>
      <c r="AB598" s="6"/>
      <c r="AC598" s="6"/>
      <c r="AD598" s="6"/>
      <c r="AE598" s="6"/>
      <c r="AF598" s="17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spans="2:62" ht="15.75" customHeight="1">
      <c r="B599" s="3"/>
      <c r="C599" s="157"/>
      <c r="W599" s="6"/>
      <c r="X599" s="6"/>
      <c r="Y599" s="6"/>
      <c r="Z599" s="6"/>
      <c r="AA599" s="6"/>
      <c r="AB599" s="6"/>
      <c r="AC599" s="6"/>
      <c r="AD599" s="6"/>
      <c r="AE599" s="6"/>
      <c r="AF599" s="380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spans="2:62" ht="15.75" customHeight="1">
      <c r="B600" s="3"/>
      <c r="C600" s="157"/>
      <c r="W600" s="6"/>
      <c r="X600" s="6"/>
      <c r="Y600" s="6"/>
      <c r="Z600" s="6"/>
      <c r="AA600" s="6"/>
      <c r="AB600" s="6"/>
      <c r="AC600" s="6"/>
      <c r="AD600" s="6"/>
      <c r="AE600" s="6"/>
      <c r="AF600" s="380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spans="2:62" ht="15.75" customHeight="1">
      <c r="B601" s="3"/>
      <c r="C601" s="157"/>
      <c r="W601" s="6"/>
      <c r="X601" s="6"/>
      <c r="Y601" s="6"/>
      <c r="Z601" s="6"/>
      <c r="AA601" s="6"/>
      <c r="AB601" s="6"/>
      <c r="AC601" s="6"/>
      <c r="AD601" s="6"/>
      <c r="AE601" s="6"/>
      <c r="AF601" s="380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spans="2:62" ht="15.75" customHeight="1">
      <c r="B602" s="3"/>
      <c r="C602" s="15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spans="2:62" ht="15.75" customHeight="1">
      <c r="B603" s="3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spans="2:62" ht="15.75" customHeight="1">
      <c r="B604" s="3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spans="2:62" ht="15.75" customHeight="1">
      <c r="B605" s="3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spans="2:62" ht="15.75" customHeight="1">
      <c r="B606" s="3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spans="2:62" ht="15.75" customHeight="1">
      <c r="B607" s="3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spans="2:62" ht="15.75" customHeight="1">
      <c r="B608" s="3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spans="2:62" ht="15.75" customHeight="1">
      <c r="B609" s="3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spans="2:62" ht="15.75" customHeight="1">
      <c r="B610" s="3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spans="2:62" ht="15.75" customHeight="1">
      <c r="B611" s="3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spans="2:62" ht="15.75" customHeight="1">
      <c r="B612" s="3"/>
      <c r="C612" s="15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spans="2:62" ht="15.75" customHeight="1">
      <c r="B613" s="3"/>
      <c r="C613" s="15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spans="2:62" ht="15.75" customHeight="1">
      <c r="B614" s="3"/>
      <c r="C614" s="15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spans="2:62" ht="15.75" customHeight="1">
      <c r="B615" s="3"/>
      <c r="C615" s="15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spans="2:62" ht="15.75" customHeight="1">
      <c r="B616" s="3"/>
      <c r="C616" s="15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spans="2:62" ht="15.75" customHeight="1">
      <c r="B617" s="3"/>
      <c r="C617" s="15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spans="2:62" ht="15.75" customHeight="1">
      <c r="B618" s="3"/>
      <c r="C618" s="15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spans="2:62" ht="15.75" customHeight="1">
      <c r="B619" s="3"/>
      <c r="C619" s="15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spans="2:62" ht="15.75" customHeight="1">
      <c r="B620" s="3"/>
      <c r="C620" s="15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spans="2:62" ht="15.75" customHeight="1">
      <c r="B621" s="3"/>
      <c r="C621" s="15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spans="2:62" ht="15.75" customHeight="1">
      <c r="B622" s="3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spans="2:62" ht="15.75" customHeight="1">
      <c r="B623" s="3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spans="2:62" ht="15.75" customHeight="1">
      <c r="B624" s="3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spans="2:62" ht="15.75" customHeight="1">
      <c r="B625" s="3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spans="2:62" ht="15.75" customHeight="1"/>
    <row r="627" spans="2:62" ht="15.75" customHeight="1"/>
    <row r="628" spans="2:62" ht="15.75" customHeight="1"/>
    <row r="629" spans="2:62" ht="15.75" customHeight="1"/>
    <row r="630" spans="2:62" ht="15.75" customHeight="1"/>
    <row r="631" spans="2:62" ht="15.75" customHeight="1"/>
    <row r="632" spans="2:62" ht="15.75" customHeight="1"/>
    <row r="633" spans="2:62" ht="15.75" customHeight="1"/>
    <row r="634" spans="2:62" ht="15.75" customHeight="1"/>
    <row r="635" spans="2:62" ht="15.75" customHeight="1"/>
    <row r="636" spans="2:62" ht="15.75" customHeight="1"/>
    <row r="637" spans="2:62" ht="15.75" customHeight="1"/>
    <row r="638" spans="2:62" ht="15.75" customHeight="1"/>
    <row r="639" spans="2:62" ht="15.75" customHeight="1"/>
    <row r="640" spans="2:62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</sheetData>
  <mergeCells count="48"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  <mergeCell ref="D171:F171"/>
    <mergeCell ref="G171:I171"/>
    <mergeCell ref="J171:L171"/>
    <mergeCell ref="M171:N171"/>
    <mergeCell ref="O171:Q171"/>
    <mergeCell ref="R171:S171"/>
    <mergeCell ref="D434:F434"/>
    <mergeCell ref="G434:I434"/>
    <mergeCell ref="J434:L434"/>
    <mergeCell ref="M434:N434"/>
    <mergeCell ref="O434:Q434"/>
    <mergeCell ref="R434:S434"/>
    <mergeCell ref="D244:F244"/>
    <mergeCell ref="G244:I244"/>
    <mergeCell ref="J244:L244"/>
    <mergeCell ref="M244:N244"/>
    <mergeCell ref="O244:Q244"/>
    <mergeCell ref="R244:S244"/>
    <mergeCell ref="D312:F312"/>
    <mergeCell ref="G312:I312"/>
    <mergeCell ref="J312:L312"/>
    <mergeCell ref="M312:N312"/>
    <mergeCell ref="O312:Q312"/>
    <mergeCell ref="R312:S312"/>
    <mergeCell ref="D369:F369"/>
    <mergeCell ref="G369:I369"/>
    <mergeCell ref="J369:L369"/>
    <mergeCell ref="M369:N369"/>
    <mergeCell ref="O369:Q369"/>
    <mergeCell ref="R369:S369"/>
    <mergeCell ref="AM491:AO491"/>
    <mergeCell ref="X491:Z491"/>
    <mergeCell ref="AA491:AC491"/>
    <mergeCell ref="AD491:AF491"/>
    <mergeCell ref="AG491:AI491"/>
    <mergeCell ref="AJ491:AL491"/>
  </mergeCells>
  <phoneticPr fontId="17" type="noConversion"/>
  <conditionalFormatting sqref="D113 H180:L181 I184:L185">
    <cfRule type="expression" dxfId="1179" priority="142" stopIfTrue="1">
      <formula>"esterreur(reference)"</formula>
    </cfRule>
  </conditionalFormatting>
  <conditionalFormatting sqref="D246:D255">
    <cfRule type="expression" dxfId="1178" priority="172" stopIfTrue="1">
      <formula>"esterreur(reference)"</formula>
    </cfRule>
  </conditionalFormatting>
  <conditionalFormatting sqref="D487">
    <cfRule type="expression" dxfId="1177" priority="144" stopIfTrue="1">
      <formula>"esterreur(reference)"</formula>
    </cfRule>
  </conditionalFormatting>
  <conditionalFormatting sqref="D186:E192">
    <cfRule type="expression" dxfId="1176" priority="115" stopIfTrue="1">
      <formula>"esterreur(reference)"</formula>
    </cfRule>
  </conditionalFormatting>
  <conditionalFormatting sqref="E260">
    <cfRule type="expression" dxfId="1175" priority="173" stopIfTrue="1">
      <formula>"esterreur(reference)"</formula>
    </cfRule>
  </conditionalFormatting>
  <conditionalFormatting sqref="F5">
    <cfRule type="expression" dxfId="1174" priority="170" stopIfTrue="1">
      <formula>"esterreur(reference)"</formula>
    </cfRule>
  </conditionalFormatting>
  <conditionalFormatting sqref="F84">
    <cfRule type="expression" dxfId="1173" priority="169" stopIfTrue="1">
      <formula>"esterreur(reference)"</formula>
    </cfRule>
  </conditionalFormatting>
  <conditionalFormatting sqref="F102">
    <cfRule type="expression" dxfId="1172" priority="174" stopIfTrue="1">
      <formula>"esterreur(reference)"</formula>
    </cfRule>
  </conditionalFormatting>
  <conditionalFormatting sqref="F258">
    <cfRule type="expression" dxfId="1171" priority="161" stopIfTrue="1">
      <formula>"esterreur(reference)"</formula>
    </cfRule>
  </conditionalFormatting>
  <conditionalFormatting sqref="G31:G32">
    <cfRule type="expression" dxfId="1170" priority="167" stopIfTrue="1">
      <formula>"esterreur(reference)"</formula>
    </cfRule>
  </conditionalFormatting>
  <conditionalFormatting sqref="G113:G114">
    <cfRule type="expression" dxfId="1169" priority="164" stopIfTrue="1">
      <formula>"esterreur(reference)"</formula>
    </cfRule>
  </conditionalFormatting>
  <conditionalFormatting sqref="G186:G187">
    <cfRule type="expression" dxfId="1168" priority="120" stopIfTrue="1">
      <formula>"esterreur(reference)"</formula>
    </cfRule>
  </conditionalFormatting>
  <conditionalFormatting sqref="G246:G255">
    <cfRule type="expression" dxfId="1167" priority="171" stopIfTrue="1">
      <formula>"esterreur(reference)"</formula>
    </cfRule>
  </conditionalFormatting>
  <conditionalFormatting sqref="H25:H26 H28:H72">
    <cfRule type="expression" dxfId="1166" priority="166" stopIfTrue="1">
      <formula>"esterreur(reference)"</formula>
    </cfRule>
  </conditionalFormatting>
  <conditionalFormatting sqref="H74">
    <cfRule type="expression" dxfId="1165" priority="97" stopIfTrue="1">
      <formula>"esterreur(reference)"</formula>
    </cfRule>
  </conditionalFormatting>
  <conditionalFormatting sqref="H83">
    <cfRule type="expression" dxfId="1164" priority="94" stopIfTrue="1">
      <formula>"esterreur(reference)"</formula>
    </cfRule>
  </conditionalFormatting>
  <conditionalFormatting sqref="H85">
    <cfRule type="expression" dxfId="1163" priority="33" stopIfTrue="1">
      <formula>"esterreur(reference)"</formula>
    </cfRule>
  </conditionalFormatting>
  <conditionalFormatting sqref="H110:H154">
    <cfRule type="expression" dxfId="1162" priority="28" stopIfTrue="1">
      <formula>"esterreur(reference)"</formula>
    </cfRule>
  </conditionalFormatting>
  <conditionalFormatting sqref="H156:H158">
    <cfRule type="expression" dxfId="1161" priority="90" stopIfTrue="1">
      <formula>"esterreur(reference)"</formula>
    </cfRule>
  </conditionalFormatting>
  <conditionalFormatting sqref="H164">
    <cfRule type="expression" dxfId="1160" priority="87" stopIfTrue="1">
      <formula>"esterreur(reference)"</formula>
    </cfRule>
  </conditionalFormatting>
  <conditionalFormatting sqref="H166">
    <cfRule type="expression" dxfId="1159" priority="36" stopIfTrue="1">
      <formula>"esterreur(reference)"</formula>
    </cfRule>
  </conditionalFormatting>
  <conditionalFormatting sqref="H183:H227">
    <cfRule type="expression" dxfId="1158" priority="24" stopIfTrue="1">
      <formula>"esterreur(reference)"</formula>
    </cfRule>
  </conditionalFormatting>
  <conditionalFormatting sqref="H229:H231">
    <cfRule type="expression" dxfId="1157" priority="81" stopIfTrue="1">
      <formula>"esterreur(reference)"</formula>
    </cfRule>
  </conditionalFormatting>
  <conditionalFormatting sqref="H237">
    <cfRule type="expression" dxfId="1156" priority="78" stopIfTrue="1">
      <formula>"esterreur(reference)"</formula>
    </cfRule>
  </conditionalFormatting>
  <conditionalFormatting sqref="H239">
    <cfRule type="expression" dxfId="1155" priority="39" stopIfTrue="1">
      <formula>"esterreur(reference)"</formula>
    </cfRule>
  </conditionalFormatting>
  <conditionalFormatting sqref="H269">
    <cfRule type="expression" dxfId="1154" priority="21" stopIfTrue="1">
      <formula>"esterreur(reference)"</formula>
    </cfRule>
  </conditionalFormatting>
  <conditionalFormatting sqref="H272:H303">
    <cfRule type="expression" dxfId="1153" priority="75" stopIfTrue="1">
      <formula>"esterreur(reference)"</formula>
    </cfRule>
  </conditionalFormatting>
  <conditionalFormatting sqref="H305">
    <cfRule type="expression" dxfId="1152" priority="73" stopIfTrue="1">
      <formula>"esterreur(reference)"</formula>
    </cfRule>
  </conditionalFormatting>
  <conditionalFormatting sqref="H307">
    <cfRule type="expression" dxfId="1151" priority="42" stopIfTrue="1">
      <formula>"esterreur(reference)"</formula>
    </cfRule>
  </conditionalFormatting>
  <conditionalFormatting sqref="H327">
    <cfRule type="expression" dxfId="1150" priority="17" stopIfTrue="1">
      <formula>"esterreur(reference)"</formula>
    </cfRule>
  </conditionalFormatting>
  <conditionalFormatting sqref="H330:H361">
    <cfRule type="expression" dxfId="1149" priority="69" stopIfTrue="1">
      <formula>"esterreur(reference)"</formula>
    </cfRule>
  </conditionalFormatting>
  <conditionalFormatting sqref="H363">
    <cfRule type="expression" dxfId="1148" priority="67" stopIfTrue="1">
      <formula>"esterreur(reference)"</formula>
    </cfRule>
  </conditionalFormatting>
  <conditionalFormatting sqref="H365">
    <cfRule type="expression" dxfId="1147" priority="45" stopIfTrue="1">
      <formula>"esterreur(reference)"</formula>
    </cfRule>
  </conditionalFormatting>
  <conditionalFormatting sqref="H391">
    <cfRule type="expression" dxfId="1146" priority="14" stopIfTrue="1">
      <formula>"esterreur(reference)"</formula>
    </cfRule>
  </conditionalFormatting>
  <conditionalFormatting sqref="H394:H425">
    <cfRule type="expression" dxfId="1145" priority="64" stopIfTrue="1">
      <formula>"esterreur(reference)"</formula>
    </cfRule>
  </conditionalFormatting>
  <conditionalFormatting sqref="H427">
    <cfRule type="expression" dxfId="1144" priority="62" stopIfTrue="1">
      <formula>"esterreur(reference)"</formula>
    </cfRule>
  </conditionalFormatting>
  <conditionalFormatting sqref="H429:H431">
    <cfRule type="expression" dxfId="1143" priority="48" stopIfTrue="1">
      <formula>"esterreur(reference)"</formula>
    </cfRule>
  </conditionalFormatting>
  <conditionalFormatting sqref="H449">
    <cfRule type="expression" dxfId="1142" priority="10" stopIfTrue="1">
      <formula>"esterreur(reference)"</formula>
    </cfRule>
  </conditionalFormatting>
  <conditionalFormatting sqref="H452:H482">
    <cfRule type="expression" dxfId="1141" priority="57" stopIfTrue="1">
      <formula>"esterreur(reference)"</formula>
    </cfRule>
  </conditionalFormatting>
  <conditionalFormatting sqref="H484">
    <cfRule type="expression" dxfId="1140" priority="54" stopIfTrue="1">
      <formula>"esterreur(reference)"</formula>
    </cfRule>
  </conditionalFormatting>
  <conditionalFormatting sqref="H486:H487">
    <cfRule type="expression" dxfId="1139" priority="7" stopIfTrue="1">
      <formula>"esterreur(reference)"</formula>
    </cfRule>
  </conditionalFormatting>
  <conditionalFormatting sqref="H433:I433 K433:L433 J433:J434">
    <cfRule type="expression" dxfId="1138" priority="151" stopIfTrue="1">
      <formula>"esterreur(reference)"</formula>
    </cfRule>
  </conditionalFormatting>
  <conditionalFormatting sqref="H317:J317">
    <cfRule type="expression" dxfId="1137" priority="138" stopIfTrue="1">
      <formula>"esterreur(reference)"</formula>
    </cfRule>
  </conditionalFormatting>
  <conditionalFormatting sqref="H439:J439">
    <cfRule type="expression" dxfId="1136" priority="112" stopIfTrue="1">
      <formula>"esterreur(reference)"</formula>
    </cfRule>
  </conditionalFormatting>
  <conditionalFormatting sqref="H435:L436">
    <cfRule type="expression" dxfId="1135" priority="108" stopIfTrue="1">
      <formula>"esterreur(reference)"</formula>
    </cfRule>
  </conditionalFormatting>
  <conditionalFormatting sqref="H447:L447 H450:L451">
    <cfRule type="expression" dxfId="1134" priority="107" stopIfTrue="1">
      <formula>"esterreur(reference)"</formula>
    </cfRule>
  </conditionalFormatting>
  <conditionalFormatting sqref="H483:L483 H485:L485">
    <cfRule type="expression" dxfId="1133" priority="152" stopIfTrue="1">
      <formula>"esterreur(reference)"</formula>
    </cfRule>
  </conditionalFormatting>
  <conditionalFormatting sqref="I16:I18 I20 I24:I30">
    <cfRule type="expression" dxfId="1132" priority="168" stopIfTrue="1">
      <formula>"esterreur(reference)"</formula>
    </cfRule>
  </conditionalFormatting>
  <conditionalFormatting sqref="I109:I110">
    <cfRule type="expression" dxfId="1131" priority="29" stopIfTrue="1">
      <formula>"esterreur(reference)"</formula>
    </cfRule>
  </conditionalFormatting>
  <conditionalFormatting sqref="I182:I183">
    <cfRule type="expression" dxfId="1130" priority="25" stopIfTrue="1">
      <formula>"esterreur(reference)"</formula>
    </cfRule>
  </conditionalFormatting>
  <conditionalFormatting sqref="I268:I269">
    <cfRule type="expression" dxfId="1129" priority="22" stopIfTrue="1">
      <formula>"esterreur(reference)"</formula>
    </cfRule>
  </conditionalFormatting>
  <conditionalFormatting sqref="I326:I327">
    <cfRule type="expression" dxfId="1128" priority="18" stopIfTrue="1">
      <formula>"esterreur(reference)"</formula>
    </cfRule>
  </conditionalFormatting>
  <conditionalFormatting sqref="I390:I391">
    <cfRule type="expression" dxfId="1127" priority="15" stopIfTrue="1">
      <formula>"esterreur(reference)"</formula>
    </cfRule>
  </conditionalFormatting>
  <conditionalFormatting sqref="I448:I449">
    <cfRule type="expression" dxfId="1126" priority="11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1125" priority="145" stopIfTrue="1">
      <formula>"esterreur(reference)"</formula>
    </cfRule>
  </conditionalFormatting>
  <conditionalFormatting sqref="J16 L16:L24">
    <cfRule type="expression" dxfId="1124" priority="140" stopIfTrue="1">
      <formula>"esterreur(reference)"</formula>
    </cfRule>
  </conditionalFormatting>
  <conditionalFormatting sqref="J182 J183:L183">
    <cfRule type="expression" dxfId="1123" priority="26" stopIfTrue="1">
      <formula>"esterreur(reference)"</formula>
    </cfRule>
  </conditionalFormatting>
  <conditionalFormatting sqref="J326 J327:K327">
    <cfRule type="expression" dxfId="1122" priority="19" stopIfTrue="1">
      <formula>"esterreur(reference)"</formula>
    </cfRule>
  </conditionalFormatting>
  <conditionalFormatting sqref="J371:J390">
    <cfRule type="expression" dxfId="1121" priority="8" stopIfTrue="1">
      <formula>"esterreur(reference)"</formula>
    </cfRule>
  </conditionalFormatting>
  <conditionalFormatting sqref="J448 J449:K449">
    <cfRule type="expression" dxfId="1120" priority="12" stopIfTrue="1">
      <formula>"esterreur(reference)"</formula>
    </cfRule>
  </conditionalFormatting>
  <conditionalFormatting sqref="J54:K54">
    <cfRule type="expression" dxfId="1119" priority="101" stopIfTrue="1">
      <formula>"esterreur(reference)"</formula>
    </cfRule>
  </conditionalFormatting>
  <conditionalFormatting sqref="J72:K72">
    <cfRule type="expression" dxfId="1118" priority="99" stopIfTrue="1">
      <formula>"esterreur(reference)"</formula>
    </cfRule>
  </conditionalFormatting>
  <conditionalFormatting sqref="J74:K74">
    <cfRule type="expression" dxfId="1117" priority="96" stopIfTrue="1">
      <formula>"esterreur(reference)"</formula>
    </cfRule>
  </conditionalFormatting>
  <conditionalFormatting sqref="J85:K85">
    <cfRule type="expression" dxfId="1116" priority="32" stopIfTrue="1">
      <formula>"esterreur(reference)"</formula>
    </cfRule>
  </conditionalFormatting>
  <conditionalFormatting sqref="J156:K158">
    <cfRule type="expression" dxfId="1115" priority="89" stopIfTrue="1">
      <formula>"esterreur(reference)"</formula>
    </cfRule>
  </conditionalFormatting>
  <conditionalFormatting sqref="J164:K164">
    <cfRule type="expression" dxfId="1114" priority="86" stopIfTrue="1">
      <formula>"esterreur(reference)"</formula>
    </cfRule>
  </conditionalFormatting>
  <conditionalFormatting sqref="J166:K166">
    <cfRule type="expression" dxfId="1113" priority="35" stopIfTrue="1">
      <formula>"esterreur(reference)"</formula>
    </cfRule>
  </conditionalFormatting>
  <conditionalFormatting sqref="J229:K231">
    <cfRule type="expression" dxfId="1112" priority="80" stopIfTrue="1">
      <formula>"esterreur(reference)"</formula>
    </cfRule>
  </conditionalFormatting>
  <conditionalFormatting sqref="J237:K237">
    <cfRule type="expression" dxfId="1111" priority="77" stopIfTrue="1">
      <formula>"esterreur(reference)"</formula>
    </cfRule>
  </conditionalFormatting>
  <conditionalFormatting sqref="J239:K239">
    <cfRule type="expression" dxfId="1110" priority="38" stopIfTrue="1">
      <formula>"esterreur(reference)"</formula>
    </cfRule>
  </conditionalFormatting>
  <conditionalFormatting sqref="J305:K305">
    <cfRule type="expression" dxfId="1109" priority="72" stopIfTrue="1">
      <formula>"esterreur(reference)"</formula>
    </cfRule>
  </conditionalFormatting>
  <conditionalFormatting sqref="J307:K307">
    <cfRule type="expression" dxfId="1108" priority="41" stopIfTrue="1">
      <formula>"esterreur(reference)"</formula>
    </cfRule>
  </conditionalFormatting>
  <conditionalFormatting sqref="J363:K363">
    <cfRule type="expression" dxfId="1107" priority="66" stopIfTrue="1">
      <formula>"esterreur(reference)"</formula>
    </cfRule>
  </conditionalFormatting>
  <conditionalFormatting sqref="J365:K365">
    <cfRule type="expression" dxfId="1106" priority="44" stopIfTrue="1">
      <formula>"esterreur(reference)"</formula>
    </cfRule>
  </conditionalFormatting>
  <conditionalFormatting sqref="J427:K427">
    <cfRule type="expression" dxfId="1105" priority="61" stopIfTrue="1">
      <formula>"esterreur(reference)"</formula>
    </cfRule>
  </conditionalFormatting>
  <conditionalFormatting sqref="J429:K431">
    <cfRule type="expression" dxfId="1104" priority="47" stopIfTrue="1">
      <formula>"esterreur(reference)"</formula>
    </cfRule>
  </conditionalFormatting>
  <conditionalFormatting sqref="J464:K464">
    <cfRule type="expression" dxfId="1103" priority="59" stopIfTrue="1">
      <formula>"esterreur(reference)"</formula>
    </cfRule>
  </conditionalFormatting>
  <conditionalFormatting sqref="J482:K482">
    <cfRule type="expression" dxfId="1102" priority="56" stopIfTrue="1">
      <formula>"esterreur(reference)"</formula>
    </cfRule>
  </conditionalFormatting>
  <conditionalFormatting sqref="J484:K484">
    <cfRule type="expression" dxfId="1101" priority="53" stopIfTrue="1">
      <formula>"esterreur(reference)"</formula>
    </cfRule>
  </conditionalFormatting>
  <conditionalFormatting sqref="J486:K487">
    <cfRule type="expression" dxfId="1100" priority="6" stopIfTrue="1">
      <formula>"esterreur(reference)"</formula>
    </cfRule>
  </conditionalFormatting>
  <conditionalFormatting sqref="J53:L53 J55:L71">
    <cfRule type="expression" dxfId="1099" priority="139" stopIfTrue="1">
      <formula>"esterreur(reference)"</formula>
    </cfRule>
  </conditionalFormatting>
  <conditionalFormatting sqref="J465:L481">
    <cfRule type="expression" dxfId="1098" priority="153" stopIfTrue="1">
      <formula>"esterreur(reference)"</formula>
    </cfRule>
  </conditionalFormatting>
  <conditionalFormatting sqref="K5">
    <cfRule type="expression" dxfId="1097" priority="160" stopIfTrue="1">
      <formula>"esterreur(reference)"</formula>
    </cfRule>
  </conditionalFormatting>
  <conditionalFormatting sqref="K321:L321">
    <cfRule type="expression" dxfId="1096" priority="158" stopIfTrue="1">
      <formula>"esterreur(reference)"</formula>
    </cfRule>
  </conditionalFormatting>
  <conditionalFormatting sqref="K437:L437 K439:L440">
    <cfRule type="expression" dxfId="1095" priority="113" stopIfTrue="1">
      <formula>"esterreur(reference)"</formula>
    </cfRule>
  </conditionalFormatting>
  <conditionalFormatting sqref="K443:L443">
    <cfRule type="expression" dxfId="1094" priority="114" stopIfTrue="1">
      <formula>"esterreur(reference)"</formula>
    </cfRule>
  </conditionalFormatting>
  <conditionalFormatting sqref="L5:L14">
    <cfRule type="expression" dxfId="1093" priority="30" stopIfTrue="1">
      <formula>"esterreur(reference)"</formula>
    </cfRule>
  </conditionalFormatting>
  <conditionalFormatting sqref="L75:L82">
    <cfRule type="expression" dxfId="1092" priority="147" stopIfTrue="1">
      <formula>"esterreur(reference)"</formula>
    </cfRule>
  </conditionalFormatting>
  <conditionalFormatting sqref="L157:L163">
    <cfRule type="expression" dxfId="1091" priority="157" stopIfTrue="1">
      <formula>"esterreur(reference)"</formula>
    </cfRule>
  </conditionalFormatting>
  <conditionalFormatting sqref="L230:L236">
    <cfRule type="expression" dxfId="1090" priority="119" stopIfTrue="1">
      <formula>"esterreur(reference)"</formula>
    </cfRule>
  </conditionalFormatting>
  <conditionalFormatting sqref="L272:L283">
    <cfRule type="expression" dxfId="1089" priority="155" stopIfTrue="1">
      <formula>"esterreur(reference)"</formula>
    </cfRule>
  </conditionalFormatting>
  <conditionalFormatting sqref="L285:L302">
    <cfRule type="expression" dxfId="1088" priority="156" stopIfTrue="1">
      <formula>"esterreur(reference)"</formula>
    </cfRule>
  </conditionalFormatting>
  <conditionalFormatting sqref="L324">
    <cfRule type="expression" dxfId="1087" priority="104" stopIfTrue="1">
      <formula>"esterreur(reference)"</formula>
    </cfRule>
  </conditionalFormatting>
  <conditionalFormatting sqref="L330:L341">
    <cfRule type="expression" dxfId="1086" priority="159" stopIfTrue="1">
      <formula>"esterreur(reference)"</formula>
    </cfRule>
  </conditionalFormatting>
  <conditionalFormatting sqref="L422:L424">
    <cfRule type="expression" dxfId="1085" priority="154" stopIfTrue="1">
      <formula>"esterreur(reference)"</formula>
    </cfRule>
  </conditionalFormatting>
  <conditionalFormatting sqref="M95:M97">
    <cfRule type="expression" dxfId="1084" priority="146" stopIfTrue="1">
      <formula>"esterreur(reference)"</formula>
    </cfRule>
  </conditionalFormatting>
  <conditionalFormatting sqref="M177:M179">
    <cfRule type="expression" dxfId="1083" priority="118" stopIfTrue="1">
      <formula>"esterreur(reference)"</formula>
    </cfRule>
  </conditionalFormatting>
  <conditionalFormatting sqref="N283">
    <cfRule type="expression" dxfId="1082" priority="141" stopIfTrue="1">
      <formula>"esterreur(reference)"</formula>
    </cfRule>
  </conditionalFormatting>
  <conditionalFormatting sqref="N394:N404">
    <cfRule type="expression" dxfId="1081" priority="143" stopIfTrue="1">
      <formula>"esterreur(reference)"</formula>
    </cfRule>
  </conditionalFormatting>
  <conditionalFormatting sqref="N271:Q271">
    <cfRule type="expression" dxfId="1080" priority="129" stopIfTrue="1">
      <formula>"esterreur(reference)"</formula>
    </cfRule>
  </conditionalFormatting>
  <conditionalFormatting sqref="O16 Q16:Q24">
    <cfRule type="expression" dxfId="1079" priority="134" stopIfTrue="1">
      <formula>"esterreur(reference)"</formula>
    </cfRule>
  </conditionalFormatting>
  <conditionalFormatting sqref="O109 O110:Q122">
    <cfRule type="expression" dxfId="1078" priority="27" stopIfTrue="1">
      <formula>"esterreur(reference)"</formula>
    </cfRule>
  </conditionalFormatting>
  <conditionalFormatting sqref="O182 O183:Q195">
    <cfRule type="expression" dxfId="1077" priority="23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1076" priority="128" stopIfTrue="1">
      <formula>"esterreur(reference)"</formula>
    </cfRule>
  </conditionalFormatting>
  <conditionalFormatting sqref="O266:O268 O269:P269">
    <cfRule type="expression" dxfId="1075" priority="20" stopIfTrue="1">
      <formula>"esterreur(reference)"</formula>
    </cfRule>
  </conditionalFormatting>
  <conditionalFormatting sqref="O317">
    <cfRule type="expression" dxfId="1074" priority="124" stopIfTrue="1">
      <formula>"esterreur(reference)"</formula>
    </cfRule>
  </conditionalFormatting>
  <conditionalFormatting sqref="O326 O327:P327">
    <cfRule type="expression" dxfId="1073" priority="16" stopIfTrue="1">
      <formula>"esterreur(reference)"</formula>
    </cfRule>
  </conditionalFormatting>
  <conditionalFormatting sqref="O390 O391:P391">
    <cfRule type="expression" dxfId="1072" priority="13" stopIfTrue="1">
      <formula>"esterreur(reference)"</formula>
    </cfRule>
  </conditionalFormatting>
  <conditionalFormatting sqref="O439">
    <cfRule type="expression" dxfId="1071" priority="109" stopIfTrue="1">
      <formula>"esterreur(reference)"</formula>
    </cfRule>
  </conditionalFormatting>
  <conditionalFormatting sqref="O448 O449:P449">
    <cfRule type="expression" dxfId="1070" priority="9" stopIfTrue="1">
      <formula>"esterreur(reference)"</formula>
    </cfRule>
  </conditionalFormatting>
  <conditionalFormatting sqref="O54:P54">
    <cfRule type="expression" dxfId="1069" priority="100" stopIfTrue="1">
      <formula>"esterreur(reference)"</formula>
    </cfRule>
  </conditionalFormatting>
  <conditionalFormatting sqref="O72:P72">
    <cfRule type="expression" dxfId="1068" priority="98" stopIfTrue="1">
      <formula>"esterreur(reference)"</formula>
    </cfRule>
  </conditionalFormatting>
  <conditionalFormatting sqref="O74:P74">
    <cfRule type="expression" dxfId="1067" priority="95" stopIfTrue="1">
      <formula>"esterreur(reference)"</formula>
    </cfRule>
  </conditionalFormatting>
  <conditionalFormatting sqref="O85:P85">
    <cfRule type="expression" dxfId="1066" priority="31" stopIfTrue="1">
      <formula>"esterreur(reference)"</formula>
    </cfRule>
  </conditionalFormatting>
  <conditionalFormatting sqref="O123:P133">
    <cfRule type="expression" dxfId="1065" priority="93" stopIfTrue="1">
      <formula>"esterreur(reference)"</formula>
    </cfRule>
  </conditionalFormatting>
  <conditionalFormatting sqref="O136:P136">
    <cfRule type="expression" dxfId="1064" priority="92" stopIfTrue="1">
      <formula>"esterreur(reference)"</formula>
    </cfRule>
  </conditionalFormatting>
  <conditionalFormatting sqref="O154:P154">
    <cfRule type="expression" dxfId="1063" priority="91" stopIfTrue="1">
      <formula>"esterreur(reference)"</formula>
    </cfRule>
  </conditionalFormatting>
  <conditionalFormatting sqref="O156:P158">
    <cfRule type="expression" dxfId="1062" priority="88" stopIfTrue="1">
      <formula>"esterreur(reference)"</formula>
    </cfRule>
  </conditionalFormatting>
  <conditionalFormatting sqref="O164:P164">
    <cfRule type="expression" dxfId="1061" priority="85" stopIfTrue="1">
      <formula>"esterreur(reference)"</formula>
    </cfRule>
  </conditionalFormatting>
  <conditionalFormatting sqref="O166:P166">
    <cfRule type="expression" dxfId="1060" priority="34" stopIfTrue="1">
      <formula>"esterreur(reference)"</formula>
    </cfRule>
  </conditionalFormatting>
  <conditionalFormatting sqref="O196:P206">
    <cfRule type="expression" dxfId="1059" priority="84" stopIfTrue="1">
      <formula>"esterreur(reference)"</formula>
    </cfRule>
  </conditionalFormatting>
  <conditionalFormatting sqref="O209:P209">
    <cfRule type="expression" dxfId="1058" priority="83" stopIfTrue="1">
      <formula>"esterreur(reference)"</formula>
    </cfRule>
  </conditionalFormatting>
  <conditionalFormatting sqref="O227:P227">
    <cfRule type="expression" dxfId="1057" priority="82" stopIfTrue="1">
      <formula>"esterreur(reference)"</formula>
    </cfRule>
  </conditionalFormatting>
  <conditionalFormatting sqref="O229:P231">
    <cfRule type="expression" dxfId="1056" priority="79" stopIfTrue="1">
      <formula>"esterreur(reference)"</formula>
    </cfRule>
  </conditionalFormatting>
  <conditionalFormatting sqref="O237:P237">
    <cfRule type="expression" dxfId="1055" priority="76" stopIfTrue="1">
      <formula>"esterreur(reference)"</formula>
    </cfRule>
  </conditionalFormatting>
  <conditionalFormatting sqref="O239:P239">
    <cfRule type="expression" dxfId="1054" priority="37" stopIfTrue="1">
      <formula>"esterreur(reference)"</formula>
    </cfRule>
  </conditionalFormatting>
  <conditionalFormatting sqref="O276:P303">
    <cfRule type="expression" dxfId="1053" priority="74" stopIfTrue="1">
      <formula>"esterreur(reference)"</formula>
    </cfRule>
  </conditionalFormatting>
  <conditionalFormatting sqref="O305:P305">
    <cfRule type="expression" dxfId="1052" priority="71" stopIfTrue="1">
      <formula>"esterreur(reference)"</formula>
    </cfRule>
  </conditionalFormatting>
  <conditionalFormatting sqref="O307:P307">
    <cfRule type="expression" dxfId="1051" priority="40" stopIfTrue="1">
      <formula>"esterreur(reference)"</formula>
    </cfRule>
  </conditionalFormatting>
  <conditionalFormatting sqref="O330:P342">
    <cfRule type="expression" dxfId="1050" priority="70" stopIfTrue="1">
      <formula>"esterreur(reference)"</formula>
    </cfRule>
  </conditionalFormatting>
  <conditionalFormatting sqref="O361:P361">
    <cfRule type="expression" dxfId="1049" priority="68" stopIfTrue="1">
      <formula>"esterreur(reference)"</formula>
    </cfRule>
  </conditionalFormatting>
  <conditionalFormatting sqref="O363:P363">
    <cfRule type="expression" dxfId="1048" priority="65" stopIfTrue="1">
      <formula>"esterreur(reference)"</formula>
    </cfRule>
  </conditionalFormatting>
  <conditionalFormatting sqref="O365:P365">
    <cfRule type="expression" dxfId="1047" priority="43" stopIfTrue="1">
      <formula>"esterreur(reference)"</formula>
    </cfRule>
  </conditionalFormatting>
  <conditionalFormatting sqref="O371:P379 O380:Q382 O383:P384 O385:Q389 O392:Q405 O428:Q428">
    <cfRule type="expression" dxfId="1046" priority="122" stopIfTrue="1">
      <formula>"esterreur(reference)"</formula>
    </cfRule>
  </conditionalFormatting>
  <conditionalFormatting sqref="O406:P425">
    <cfRule type="expression" dxfId="1045" priority="63" stopIfTrue="1">
      <formula>"esterreur(reference)"</formula>
    </cfRule>
  </conditionalFormatting>
  <conditionalFormatting sqref="O427:P427">
    <cfRule type="expression" dxfId="1044" priority="60" stopIfTrue="1">
      <formula>"esterreur(reference)"</formula>
    </cfRule>
  </conditionalFormatting>
  <conditionalFormatting sqref="O429:P429">
    <cfRule type="expression" dxfId="1043" priority="46" stopIfTrue="1">
      <formula>"esterreur(reference)"</formula>
    </cfRule>
  </conditionalFormatting>
  <conditionalFormatting sqref="O464:P464">
    <cfRule type="expression" dxfId="1042" priority="58" stopIfTrue="1">
      <formula>"esterreur(reference)"</formula>
    </cfRule>
  </conditionalFormatting>
  <conditionalFormatting sqref="O482:P482">
    <cfRule type="expression" dxfId="1041" priority="55" stopIfTrue="1">
      <formula>"esterreur(reference)"</formula>
    </cfRule>
  </conditionalFormatting>
  <conditionalFormatting sqref="O484:P484">
    <cfRule type="expression" dxfId="1040" priority="52" stopIfTrue="1">
      <formula>"esterreur(reference)"</formula>
    </cfRule>
  </conditionalFormatting>
  <conditionalFormatting sqref="O486:P486">
    <cfRule type="expression" dxfId="1039" priority="5" stopIfTrue="1">
      <formula>"esterreur(reference)"</formula>
    </cfRule>
  </conditionalFormatting>
  <conditionalFormatting sqref="O53:Q53 O55:Q71">
    <cfRule type="expression" dxfId="1038" priority="133" stopIfTrue="1">
      <formula>"esterreur(reference)"</formula>
    </cfRule>
  </conditionalFormatting>
  <conditionalFormatting sqref="O180:Q181">
    <cfRule type="expression" dxfId="1037" priority="116" stopIfTrue="1">
      <formula>"esterreur(reference)"</formula>
    </cfRule>
  </conditionalFormatting>
  <conditionalFormatting sqref="O436:Q436">
    <cfRule type="expression" dxfId="1036" priority="121" stopIfTrue="1">
      <formula>"esterreur(reference)"</formula>
    </cfRule>
  </conditionalFormatting>
  <conditionalFormatting sqref="O447:Q447 O450:Q463 O465:Q481">
    <cfRule type="expression" dxfId="1035" priority="106" stopIfTrue="1">
      <formula>"esterreur(reference)"</formula>
    </cfRule>
  </conditionalFormatting>
  <conditionalFormatting sqref="O483:Q483 O485:Q485">
    <cfRule type="expression" dxfId="1034" priority="105" stopIfTrue="1">
      <formula>"esterreur(reference)"</formula>
    </cfRule>
  </conditionalFormatting>
  <conditionalFormatting sqref="P5:Q5">
    <cfRule type="expression" dxfId="1033" priority="137" stopIfTrue="1">
      <formula>"esterreur(reference)"</formula>
    </cfRule>
  </conditionalFormatting>
  <conditionalFormatting sqref="P315:Q315 P317:Q318 O328:Q329 O343:Q360 O364:Q364">
    <cfRule type="expression" dxfId="1032" priority="125" stopIfTrue="1">
      <formula>"esterreur(reference)"</formula>
    </cfRule>
  </conditionalFormatting>
  <conditionalFormatting sqref="P321:Q321">
    <cfRule type="expression" dxfId="1031" priority="126" stopIfTrue="1">
      <formula>"esterreur(reference)"</formula>
    </cfRule>
  </conditionalFormatting>
  <conditionalFormatting sqref="P437:Q437 P439:Q440">
    <cfRule type="expression" dxfId="1030" priority="110" stopIfTrue="1">
      <formula>"esterreur(reference)"</formula>
    </cfRule>
  </conditionalFormatting>
  <conditionalFormatting sqref="P443:Q443">
    <cfRule type="expression" dxfId="1029" priority="111" stopIfTrue="1">
      <formula>"esterreur(reference)"</formula>
    </cfRule>
  </conditionalFormatting>
  <conditionalFormatting sqref="Q6:Q14 O13:O14 O18:O24 O25:Q26 O27 O28:Q30 O31:P36 O37 O38:P52 O83:P83 O84:Q84">
    <cfRule type="expression" dxfId="1028" priority="135" stopIfTrue="1">
      <formula>"esterreur(reference)"</formula>
    </cfRule>
  </conditionalFormatting>
  <conditionalFormatting sqref="Q75:Q82">
    <cfRule type="expression" dxfId="1027" priority="136" stopIfTrue="1">
      <formula>"esterreur(reference)"</formula>
    </cfRule>
  </conditionalFormatting>
  <conditionalFormatting sqref="Q157:Q163">
    <cfRule type="expression" dxfId="1026" priority="132" stopIfTrue="1">
      <formula>"esterreur(reference)"</formula>
    </cfRule>
  </conditionalFormatting>
  <conditionalFormatting sqref="Q230:Q236">
    <cfRule type="expression" dxfId="1025" priority="117" stopIfTrue="1">
      <formula>"esterreur(reference)"</formula>
    </cfRule>
  </conditionalFormatting>
  <conditionalFormatting sqref="Q259">
    <cfRule type="expression" dxfId="1024" priority="102" stopIfTrue="1">
      <formula>"esterreur(reference)"</formula>
    </cfRule>
  </conditionalFormatting>
  <conditionalFormatting sqref="Q272:Q283">
    <cfRule type="expression" dxfId="1023" priority="130" stopIfTrue="1">
      <formula>"esterreur(reference)"</formula>
    </cfRule>
  </conditionalFormatting>
  <conditionalFormatting sqref="Q285:Q302">
    <cfRule type="expression" dxfId="1022" priority="131" stopIfTrue="1">
      <formula>"esterreur(reference)"</formula>
    </cfRule>
  </conditionalFormatting>
  <conditionalFormatting sqref="Q324">
    <cfRule type="expression" dxfId="1021" priority="103" stopIfTrue="1">
      <formula>"esterreur(reference)"</formula>
    </cfRule>
  </conditionalFormatting>
  <conditionalFormatting sqref="Q330:Q341">
    <cfRule type="expression" dxfId="1020" priority="127" stopIfTrue="1">
      <formula>"esterreur(reference)"</formula>
    </cfRule>
  </conditionalFormatting>
  <conditionalFormatting sqref="Q422:Q424">
    <cfRule type="expression" dxfId="1019" priority="123" stopIfTrue="1">
      <formula>"esterreur(reference)"</formula>
    </cfRule>
  </conditionalFormatting>
  <conditionalFormatting sqref="R388">
    <cfRule type="expression" dxfId="1018" priority="148" stopIfTrue="1">
      <formula>"esterreur(reference)"</formula>
    </cfRule>
  </conditionalFormatting>
  <conditionalFormatting sqref="S260">
    <cfRule type="expression" dxfId="1017" priority="162" stopIfTrue="1">
      <formula>"esterreur(reference)"</formula>
    </cfRule>
  </conditionalFormatting>
  <conditionalFormatting sqref="AG496:AI505 AH507:AI519 AH521:AI538 AH540:AI547 AH548:AH549 AH550:AI552 AH554:AI554 AH578:AI584">
    <cfRule type="cellIs" dxfId="1016" priority="149" operator="greaterThan">
      <formula>0</formula>
    </cfRule>
  </conditionalFormatting>
  <conditionalFormatting sqref="AH556:AI563 AH567:AI567">
    <cfRule type="cellIs" dxfId="1015" priority="150" operator="lessThan">
      <formula>0</formula>
    </cfRule>
  </conditionalFormatting>
  <conditionalFormatting sqref="AH564:AI566">
    <cfRule type="cellIs" dxfId="1014" priority="165" operator="greaterThan">
      <formula>0</formula>
    </cfRule>
  </conditionalFormatting>
  <conditionalFormatting sqref="AO496:AO505">
    <cfRule type="cellIs" dxfId="1013" priority="163" operator="greaterThan">
      <formula>0</formula>
    </cfRule>
  </conditionalFormatting>
  <conditionalFormatting sqref="L446">
    <cfRule type="expression" dxfId="1" priority="2" stopIfTrue="1">
      <formula>"esterreur(reference)"</formula>
    </cfRule>
  </conditionalFormatting>
  <conditionalFormatting sqref="Q446">
    <cfRule type="expression" dxfId="0" priority="1" stopIfTrue="1">
      <formula>"esterreur(reference)"</formula>
    </cfRule>
  </conditionalFormatting>
  <printOptions horizontalCentered="1"/>
  <pageMargins left="0" right="0" top="0.511811023622047" bottom="0.23622047244094499" header="0" footer="0"/>
  <pageSetup scale="46" fitToHeight="0" orientation="landscape" r:id="rId1"/>
  <rowBreaks count="6" manualBreakCount="6">
    <brk id="86" min="2" max="18" man="1"/>
    <brk id="167" min="2" max="18" man="1"/>
    <brk id="240" min="2" max="18" man="1"/>
    <brk id="308" min="2" max="18" man="1"/>
    <brk id="366" min="2" max="18" man="1"/>
    <brk id="430" min="2" max="1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/>
  <dimension ref="A1"/>
  <sheetViews>
    <sheetView workbookViewId="0">
      <selection activeCell="E14" sqref="E14"/>
    </sheetView>
  </sheetViews>
  <sheetFormatPr baseColWidth="10" defaultRowHeight="13.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21"/>
  <dimension ref="A1:BJ780"/>
  <sheetViews>
    <sheetView topLeftCell="A416" zoomScale="60" zoomScaleNormal="60" workbookViewId="0">
      <selection activeCell="K465" sqref="A1:XFD1048576"/>
    </sheetView>
  </sheetViews>
  <sheetFormatPr baseColWidth="10" defaultColWidth="11.59765625" defaultRowHeight="15" customHeight="1"/>
  <cols>
    <col min="1" max="1" width="5.3984375" customWidth="1"/>
    <col min="2" max="2" width="22.59765625" bestFit="1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1" max="21" width="11.59765625" style="382"/>
    <col min="22" max="22" width="42.3984375" bestFit="1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0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</cols>
  <sheetData>
    <row r="1" spans="1:40" ht="36" thickBot="1">
      <c r="B1" s="2"/>
      <c r="C1" s="251" t="str">
        <f>[1]Parametres!B1</f>
        <v>Ste-Marie Auto</v>
      </c>
      <c r="D1" s="252"/>
      <c r="E1" s="253"/>
      <c r="F1" s="252"/>
      <c r="G1" s="252"/>
      <c r="H1" s="254"/>
      <c r="I1" s="252"/>
      <c r="J1" s="254"/>
      <c r="K1" s="255" t="s">
        <v>0</v>
      </c>
      <c r="L1" s="252"/>
      <c r="M1" s="252"/>
      <c r="N1" s="256"/>
      <c r="O1" s="251"/>
      <c r="P1" s="257"/>
      <c r="Q1" s="251"/>
      <c r="R1" s="257"/>
      <c r="S1" s="258" t="str">
        <f>CONCATENATE("Réalisé,"," ",[1]Parametres!B3," ",[1]Parametres!B4)</f>
        <v>Réalisé, Juillet 2026</v>
      </c>
      <c r="T1" s="1" t="s">
        <v>1</v>
      </c>
      <c r="U1" s="38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5" customHeight="1" thickTop="1" thickBot="1">
      <c r="B2" s="3"/>
      <c r="C2" s="4"/>
      <c r="D2" s="5" t="s">
        <v>2</v>
      </c>
      <c r="E2" s="5" t="s">
        <v>3</v>
      </c>
      <c r="F2" s="5" t="s">
        <v>4</v>
      </c>
      <c r="G2" s="5"/>
      <c r="H2" s="5"/>
      <c r="I2" s="5"/>
      <c r="J2" s="5" t="s">
        <v>209</v>
      </c>
      <c r="K2" s="5"/>
      <c r="L2" s="5" t="s">
        <v>210</v>
      </c>
      <c r="M2" s="6"/>
      <c r="N2" s="6"/>
      <c r="O2" s="5" t="s">
        <v>209</v>
      </c>
      <c r="P2" s="5"/>
      <c r="Q2" s="5" t="s">
        <v>210</v>
      </c>
      <c r="R2" s="6"/>
      <c r="S2" s="6"/>
      <c r="T2" s="6"/>
      <c r="U2" s="6"/>
      <c r="V2" s="282" t="s">
        <v>272</v>
      </c>
      <c r="W2" s="283"/>
    </row>
    <row r="3" spans="1:40" ht="21.6" thickTop="1">
      <c r="B3" s="7"/>
      <c r="C3" s="259"/>
      <c r="D3" s="407" t="s">
        <v>5</v>
      </c>
      <c r="E3" s="408"/>
      <c r="F3" s="406"/>
      <c r="G3" s="405"/>
      <c r="H3" s="408"/>
      <c r="I3" s="406"/>
      <c r="J3" s="405" t="s">
        <v>7</v>
      </c>
      <c r="K3" s="408"/>
      <c r="L3" s="406"/>
      <c r="M3" s="405" t="s">
        <v>211</v>
      </c>
      <c r="N3" s="406"/>
      <c r="O3" s="407" t="s">
        <v>8</v>
      </c>
      <c r="P3" s="408"/>
      <c r="Q3" s="406"/>
      <c r="R3" s="405" t="s">
        <v>212</v>
      </c>
      <c r="S3" s="406"/>
      <c r="T3" s="7"/>
      <c r="U3" s="6"/>
      <c r="V3" s="284" t="s">
        <v>273</v>
      </c>
      <c r="W3" s="285">
        <v>0.45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ht="20.399999999999999">
      <c r="B4" s="7"/>
      <c r="C4" s="71"/>
      <c r="D4" s="8" t="s">
        <v>10</v>
      </c>
      <c r="E4" s="9" t="s">
        <v>11</v>
      </c>
      <c r="F4" s="10" t="s">
        <v>12</v>
      </c>
      <c r="G4" s="11"/>
      <c r="H4" s="9"/>
      <c r="I4" s="10"/>
      <c r="J4" s="11" t="s">
        <v>221</v>
      </c>
      <c r="K4" s="9" t="s">
        <v>13</v>
      </c>
      <c r="L4" s="10" t="s">
        <v>12</v>
      </c>
      <c r="M4" s="11" t="s">
        <v>221</v>
      </c>
      <c r="N4" s="10" t="s">
        <v>12</v>
      </c>
      <c r="O4" s="11" t="s">
        <v>221</v>
      </c>
      <c r="P4" s="9" t="s">
        <v>13</v>
      </c>
      <c r="Q4" s="10" t="s">
        <v>12</v>
      </c>
      <c r="R4" s="11" t="s">
        <v>221</v>
      </c>
      <c r="S4" s="10" t="s">
        <v>12</v>
      </c>
      <c r="T4" s="7"/>
      <c r="U4" s="6"/>
      <c r="V4" s="284" t="s">
        <v>274</v>
      </c>
      <c r="W4" s="285">
        <v>0.1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ht="20.399999999999999">
      <c r="A5" s="410" t="s">
        <v>275</v>
      </c>
      <c r="B5" s="7" t="s">
        <v>0</v>
      </c>
      <c r="C5" s="14" t="s">
        <v>14</v>
      </c>
      <c r="D5" s="12"/>
      <c r="E5" s="12"/>
      <c r="F5" s="31">
        <f>+INDEX('[1]Budget original'!$A$2:$AO$501,MATCH($A5,'[1]Budget original'!$A$2:$A$501,0),MATCH(F$2,'[1]Budget original'!$A$2:$AO$2,0))</f>
        <v>0</v>
      </c>
      <c r="G5" s="12"/>
      <c r="H5" s="12"/>
      <c r="I5" s="15"/>
      <c r="J5" s="14"/>
      <c r="K5" s="30"/>
      <c r="L5" s="61">
        <f>-SUMIFS([1]BV_Data_An_Cour!$AM:$AM,[1]BV_Data_An_Cour!$AS:$AS,"Oui",[1]BV_Data_An_Cour!$AP:$AP,$B5)</f>
        <v>7544009.919999999</v>
      </c>
      <c r="M5" s="17"/>
      <c r="N5" s="18"/>
      <c r="O5" s="14"/>
      <c r="P5" s="30"/>
      <c r="Q5" s="61">
        <f>-SUMIFS([1]BV_Data_An_Prec!$AM:$AM,[1]BV_Data_An_Prec!$AS:$AS,"Oui",[1]BV_Data_An_Prec!$AP:$AP,$B5)</f>
        <v>11373984.830000006</v>
      </c>
      <c r="R5" s="17"/>
      <c r="S5" s="286"/>
      <c r="T5" s="7"/>
      <c r="U5" s="6"/>
      <c r="V5" s="284" t="s">
        <v>276</v>
      </c>
      <c r="W5" s="285">
        <v>0.22500000000000001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ht="20.399999999999999">
      <c r="A6" s="410" t="s">
        <v>277</v>
      </c>
      <c r="B6" s="7" t="s">
        <v>0</v>
      </c>
      <c r="C6" s="26" t="s">
        <v>15</v>
      </c>
      <c r="D6" s="19">
        <f>+INDEX('[1]Budget original'!$A$2:$AO$501,MATCH($A6,'[1]Budget original'!$A$2:$A$501,0),MATCH(D$2,'[1]Budget original'!$A$2:$AO$2,0))</f>
        <v>0</v>
      </c>
      <c r="E6" s="19">
        <f>IF(D6=0,0,F6/D6)</f>
        <v>0</v>
      </c>
      <c r="F6" s="19">
        <f>+INDEX('[1]Budget original'!$A$2:$AO$501,MATCH($A6,'[1]Budget original'!$A$2:$A$501,0),MATCH(F$2,'[1]Budget original'!$A$2:$AO$2,0))</f>
        <v>0</v>
      </c>
      <c r="G6" s="20"/>
      <c r="H6" s="19"/>
      <c r="I6" s="19"/>
      <c r="J6" s="20">
        <f>SUMIFS([1]BV_Data_An_Cour!$AW:$AW,[1]BV_Data_An_Cour!$AP:$AP,$B6,[1]BV_Data_An_Cour!$AQ:$AQ,$C6,[1]BV_Data_An_Cour!$AY:$AY,J$2)</f>
        <v>1</v>
      </c>
      <c r="K6" s="55">
        <f t="shared" ref="K6:K12" si="0">IF(J6=0,0,L6/J6)</f>
        <v>1519</v>
      </c>
      <c r="L6" s="39">
        <f>-SUMIFS([1]BV_Data_An_Cour!$AM:$AM,[1]BV_Data_An_Cour!$AP:$AP,$B6,[1]BV_Data_An_Cour!$AQ:$AQ,$C6,[1]BV_Data_An_Cour!$AR:$AR,L$2)</f>
        <v>1519</v>
      </c>
      <c r="M6" s="20">
        <f t="shared" ref="M6:M12" si="1">J6-D6</f>
        <v>1</v>
      </c>
      <c r="N6" s="21">
        <f t="shared" ref="N6:N12" si="2">L6-F6</f>
        <v>1519</v>
      </c>
      <c r="O6" s="20">
        <f>SUMIFS([1]BV_Data_An_Prec!$AW:$AW,[1]BV_Data_An_Prec!$AP:$AP,$B6,[1]BV_Data_An_Prec!$AQ:$AQ,$C6,[1]BV_Data_An_Prec!$AY:$AY,O$2)</f>
        <v>0</v>
      </c>
      <c r="P6" s="55">
        <f t="shared" ref="P6:P12" si="3">IF(O6=0,0,Q6/O6)</f>
        <v>0</v>
      </c>
      <c r="Q6" s="39">
        <f>-SUMIFS([1]BV_Data_An_Prec!$AM:$AM,[1]BV_Data_An_Prec!$AP:$AP,$B6,[1]BV_Data_An_Prec!$AQ:$AQ,$C6,[1]BV_Data_An_Prec!$AR:$AR,Q$2)</f>
        <v>0</v>
      </c>
      <c r="R6" s="20">
        <f>J6-O6</f>
        <v>1</v>
      </c>
      <c r="S6" s="39">
        <f>L6-Q6</f>
        <v>1519</v>
      </c>
      <c r="T6" s="7"/>
      <c r="U6" s="6"/>
      <c r="V6" s="284" t="s">
        <v>278</v>
      </c>
      <c r="W6" s="285">
        <v>2.5000000000000001E-2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ht="20.399999999999999">
      <c r="A7" s="410" t="s">
        <v>279</v>
      </c>
      <c r="B7" s="7" t="s">
        <v>0</v>
      </c>
      <c r="C7" s="26" t="s">
        <v>16</v>
      </c>
      <c r="D7" s="19">
        <f>+INDEX('[1]Budget original'!$A$2:$AO$501,MATCH($A7,'[1]Budget original'!$A$2:$A$501,0),MATCH(D$2,'[1]Budget original'!$A$2:$AO$2,0))</f>
        <v>0</v>
      </c>
      <c r="E7" s="19">
        <f t="shared" ref="E7:E12" si="4">IF(D7=0,0,F7/D7)</f>
        <v>0</v>
      </c>
      <c r="F7" s="19">
        <f>+INDEX('[1]Budget original'!$A$2:$AO$501,MATCH($A7,'[1]Budget original'!$A$2:$A$501,0),MATCH(F$2,'[1]Budget original'!$A$2:$AO$2,0))</f>
        <v>0</v>
      </c>
      <c r="G7" s="20"/>
      <c r="H7" s="19"/>
      <c r="I7" s="19"/>
      <c r="J7" s="20">
        <f>SUMIFS([1]BV_Data_An_Cour!$AW:$AW,[1]BV_Data_An_Cour!$AP:$AP,$B7,[1]BV_Data_An_Cour!$AQ:$AQ,$C7,[1]BV_Data_An_Cour!$AY:$AY,J$2)</f>
        <v>32</v>
      </c>
      <c r="K7" s="55">
        <f t="shared" si="0"/>
        <v>2924.1746875000063</v>
      </c>
      <c r="L7" s="39">
        <f>-SUMIFS([1]BV_Data_An_Cour!$AM:$AM,[1]BV_Data_An_Cour!$AP:$AP,$B7,[1]BV_Data_An_Cour!$AQ:$AQ,$C7,[1]BV_Data_An_Cour!$AR:$AR,L$2)</f>
        <v>93573.5900000002</v>
      </c>
      <c r="M7" s="20">
        <f t="shared" si="1"/>
        <v>32</v>
      </c>
      <c r="N7" s="21">
        <f t="shared" si="2"/>
        <v>93573.5900000002</v>
      </c>
      <c r="O7" s="20">
        <f>SUMIFS([1]BV_Data_An_Prec!$AW:$AW,[1]BV_Data_An_Prec!$AP:$AP,$B7,[1]BV_Data_An_Prec!$AQ:$AQ,$C7,[1]BV_Data_An_Prec!$AY:$AY,O$2)</f>
        <v>59</v>
      </c>
      <c r="P7" s="55">
        <f t="shared" si="3"/>
        <v>3159.408983050881</v>
      </c>
      <c r="Q7" s="39">
        <f>-SUMIFS([1]BV_Data_An_Prec!$AM:$AM,[1]BV_Data_An_Prec!$AP:$AP,$B7,[1]BV_Data_An_Prec!$AQ:$AQ,$C7,[1]BV_Data_An_Prec!$AR:$AR,Q$2)</f>
        <v>186405.13000000198</v>
      </c>
      <c r="R7" s="20">
        <f>J7-O7</f>
        <v>-27</v>
      </c>
      <c r="S7" s="39">
        <f>L7-Q7</f>
        <v>-92831.540000001783</v>
      </c>
      <c r="T7" s="7"/>
      <c r="U7" s="6"/>
      <c r="V7" s="284" t="s">
        <v>280</v>
      </c>
      <c r="W7" s="285">
        <v>0.2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ht="21" thickBot="1">
      <c r="A8" s="410" t="s">
        <v>281</v>
      </c>
      <c r="B8" s="7" t="s">
        <v>0</v>
      </c>
      <c r="C8" s="26" t="s">
        <v>282</v>
      </c>
      <c r="D8" s="19">
        <f>+INDEX('[1]Budget original'!$A$2:$AO$501,MATCH($A8,'[1]Budget original'!$A$2:$A$501,0),MATCH(D$2,'[1]Budget original'!$A$2:$AO$2,0))</f>
        <v>0</v>
      </c>
      <c r="E8" s="19">
        <f t="shared" si="4"/>
        <v>0</v>
      </c>
      <c r="F8" s="19">
        <f>+INDEX('[1]Budget original'!$A$2:$AO$501,MATCH($A8,'[1]Budget original'!$A$2:$A$501,0),MATCH(F$2,'[1]Budget original'!$A$2:$AO$2,0))</f>
        <v>0</v>
      </c>
      <c r="G8" s="20"/>
      <c r="H8" s="19"/>
      <c r="I8" s="19"/>
      <c r="J8" s="20">
        <f>SUMIFS([1]BV_Data_An_Cour!$AW:$AW,[1]BV_Data_An_Cour!$AP:$AP,$B8,[1]BV_Data_An_Cour!$AQ:$AQ,$C8,[1]BV_Data_An_Cour!$AY:$AY,J$2)</f>
        <v>0</v>
      </c>
      <c r="K8" s="55">
        <f t="shared" si="0"/>
        <v>0</v>
      </c>
      <c r="L8" s="39">
        <f>-SUMIFS([1]BV_Data_An_Cour!$AM:$AM,[1]BV_Data_An_Cour!$AP:$AP,$B8,[1]BV_Data_An_Cour!$AQ:$AQ,$C8,[1]BV_Data_An_Cour!$AR:$AR,L$2)</f>
        <v>0</v>
      </c>
      <c r="M8" s="20">
        <f t="shared" si="1"/>
        <v>0</v>
      </c>
      <c r="N8" s="21">
        <f t="shared" si="2"/>
        <v>0</v>
      </c>
      <c r="O8" s="20">
        <f>SUMIFS([1]BV_Data_An_Prec!$AW:$AW,[1]BV_Data_An_Prec!$AP:$AP,$B8,[1]BV_Data_An_Prec!$AQ:$AQ,$C8,[1]BV_Data_An_Prec!$AY:$AY,O$2)</f>
        <v>0</v>
      </c>
      <c r="P8" s="55">
        <f t="shared" si="3"/>
        <v>0</v>
      </c>
      <c r="Q8" s="39">
        <f>-SUMIFS([1]BV_Data_An_Prec!$AM:$AM,[1]BV_Data_An_Prec!$AP:$AP,$B8,[1]BV_Data_An_Prec!$AQ:$AQ,$C8,[1]BV_Data_An_Prec!$AR:$AR,Q$2)</f>
        <v>0</v>
      </c>
      <c r="R8" s="20">
        <f>J8-O8</f>
        <v>0</v>
      </c>
      <c r="S8" s="39">
        <f>L8-Q8</f>
        <v>0</v>
      </c>
      <c r="T8" s="7"/>
      <c r="U8" s="6"/>
      <c r="V8" s="287"/>
      <c r="W8" s="288">
        <f>SUM(W3:W7)</f>
        <v>1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ht="21" thickTop="1">
      <c r="A9" s="410" t="s">
        <v>283</v>
      </c>
      <c r="B9" s="7" t="s">
        <v>0</v>
      </c>
      <c r="C9" s="26" t="s">
        <v>284</v>
      </c>
      <c r="D9" s="19">
        <f>+INDEX('[1]Budget original'!$A$2:$AO$501,MATCH($A9,'[1]Budget original'!$A$2:$A$501,0),MATCH(D$2,'[1]Budget original'!$A$2:$AO$2,0))</f>
        <v>0</v>
      </c>
      <c r="E9" s="19">
        <f t="shared" si="4"/>
        <v>0</v>
      </c>
      <c r="F9" s="19">
        <f>+INDEX('[1]Budget original'!$A$2:$AO$501,MATCH($A9,'[1]Budget original'!$A$2:$A$501,0),MATCH(F$2,'[1]Budget original'!$A$2:$AO$2,0))</f>
        <v>0</v>
      </c>
      <c r="G9" s="20"/>
      <c r="H9" s="19"/>
      <c r="I9" s="19"/>
      <c r="J9" s="20">
        <f>SUMIFS([1]BV_Data_An_Cour!$AW:$AW,[1]BV_Data_An_Cour!$AP:$AP,$B9,[1]BV_Data_An_Cour!$AQ:$AQ,$C9,[1]BV_Data_An_Cour!$AY:$AY,J$2)</f>
        <v>21</v>
      </c>
      <c r="K9" s="55">
        <f t="shared" si="0"/>
        <v>1565.2623809523745</v>
      </c>
      <c r="L9" s="39">
        <f>-SUMIFS([1]BV_Data_An_Cour!$AM:$AM,[1]BV_Data_An_Cour!$AP:$AP,$B9,[1]BV_Data_An_Cour!$AQ:$AQ,$C9,[1]BV_Data_An_Cour!$AR:$AR,L$2)</f>
        <v>32870.509999999864</v>
      </c>
      <c r="M9" s="20">
        <f t="shared" si="1"/>
        <v>21</v>
      </c>
      <c r="N9" s="21">
        <f t="shared" si="2"/>
        <v>32870.509999999864</v>
      </c>
      <c r="O9" s="20">
        <f>SUMIFS([1]BV_Data_An_Prec!$AW:$AW,[1]BV_Data_An_Prec!$AP:$AP,$B9,[1]BV_Data_An_Prec!$AQ:$AQ,$C9,[1]BV_Data_An_Prec!$AY:$AY,O$2)</f>
        <v>18</v>
      </c>
      <c r="P9" s="55">
        <f t="shared" si="3"/>
        <v>815.97444444439475</v>
      </c>
      <c r="Q9" s="39">
        <f>-SUMIFS([1]BV_Data_An_Prec!$AM:$AM,[1]BV_Data_An_Prec!$AP:$AP,$B9,[1]BV_Data_An_Prec!$AQ:$AQ,$C9,[1]BV_Data_An_Prec!$AR:$AR,Q$2)</f>
        <v>14687.539999999106</v>
      </c>
      <c r="R9" s="20">
        <f>J9-O9</f>
        <v>3</v>
      </c>
      <c r="S9" s="39">
        <f t="shared" ref="S9:S12" si="5">L9-Q9</f>
        <v>18182.970000000758</v>
      </c>
      <c r="T9" s="7"/>
      <c r="U9" s="6" t="s">
        <v>506</v>
      </c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ht="20.399999999999999" hidden="1" customHeight="1">
      <c r="A10" s="410" t="s">
        <v>285</v>
      </c>
      <c r="B10" s="7" t="s">
        <v>0</v>
      </c>
      <c r="C10" s="26" t="s">
        <v>19</v>
      </c>
      <c r="D10" s="19">
        <f>+INDEX('[1]Budget original'!$A$2:$AO$501,MATCH($A10,'[1]Budget original'!$A$2:$A$501,0),MATCH(D$2,'[1]Budget original'!$A$2:$AO$2,0))</f>
        <v>0</v>
      </c>
      <c r="E10" s="19">
        <f t="shared" si="4"/>
        <v>0</v>
      </c>
      <c r="F10" s="19">
        <f>+INDEX('[1]Budget original'!$A$2:$AO$501,MATCH($A10,'[1]Budget original'!$A$2:$A$501,0),MATCH(F$2,'[1]Budget original'!$A$2:$AO$2,0))</f>
        <v>0</v>
      </c>
      <c r="G10" s="20"/>
      <c r="H10" s="19"/>
      <c r="I10" s="19"/>
      <c r="J10" s="20">
        <f>-SUMIFS([1]BV_Data_An_Cour!$AM:$AM,[1]BV_Data_An_Cour!$AP:$AP,$B10,[1]BV_Data_An_Cour!$AQ:$AQ,$C10,[1]BV_Data_An_Cour!$AR:$AR,J$2)</f>
        <v>0</v>
      </c>
      <c r="K10" s="55">
        <f t="shared" si="0"/>
        <v>0</v>
      </c>
      <c r="L10" s="39">
        <f>-SUMIFS([1]BV_Data_An_Cour!$AM:$AM,[1]BV_Data_An_Cour!$AP:$AP,$B10,[1]BV_Data_An_Cour!$AQ:$AQ,$C10,[1]BV_Data_An_Cour!$AR:$AR,L$2)</f>
        <v>0</v>
      </c>
      <c r="M10" s="20">
        <f t="shared" si="1"/>
        <v>0</v>
      </c>
      <c r="N10" s="21">
        <f t="shared" si="2"/>
        <v>0</v>
      </c>
      <c r="O10" s="20">
        <f>-SUMIFS([1]BV_Data_An_Prec!$AM:$AM,[1]BV_Data_An_Prec!$AP:$AP,$B10,[1]BV_Data_An_Prec!$AQ:$AQ,$C10,[1]BV_Data_An_Prec!$AR:$AR,O$2)</f>
        <v>0</v>
      </c>
      <c r="P10" s="55">
        <f t="shared" si="3"/>
        <v>0</v>
      </c>
      <c r="Q10" s="39">
        <f>-SUMIFS([1]BV_Data_An_Prec!$AM:$AM,[1]BV_Data_An_Prec!$AP:$AP,$B10,[1]BV_Data_An_Prec!$AQ:$AQ,$C10,[1]BV_Data_An_Prec!$AR:$AR,Q$2)</f>
        <v>0</v>
      </c>
      <c r="R10" s="20">
        <f t="shared" ref="R10:R12" si="6">J10-O10</f>
        <v>0</v>
      </c>
      <c r="S10" s="39">
        <f t="shared" si="5"/>
        <v>0</v>
      </c>
      <c r="T10" s="7"/>
      <c r="U10" s="6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ht="20.399999999999999" hidden="1" customHeight="1">
      <c r="A11" s="410" t="s">
        <v>285</v>
      </c>
      <c r="B11" s="7" t="s">
        <v>0</v>
      </c>
      <c r="C11" s="26" t="s">
        <v>19</v>
      </c>
      <c r="D11" s="19">
        <f>+INDEX('[1]Budget original'!$A$2:$AO$501,MATCH($A11,'[1]Budget original'!$A$2:$A$501,0),MATCH(D$2,'[1]Budget original'!$A$2:$AO$2,0))</f>
        <v>0</v>
      </c>
      <c r="E11" s="19">
        <f t="shared" si="4"/>
        <v>0</v>
      </c>
      <c r="F11" s="19">
        <f>+INDEX('[1]Budget original'!$A$2:$AO$501,MATCH($A11,'[1]Budget original'!$A$2:$A$501,0),MATCH(F$2,'[1]Budget original'!$A$2:$AO$2,0))</f>
        <v>0</v>
      </c>
      <c r="G11" s="20"/>
      <c r="H11" s="19"/>
      <c r="I11" s="19"/>
      <c r="J11" s="20">
        <f>-SUMIFS([1]BV_Data_An_Cour!$AM:$AM,[1]BV_Data_An_Cour!$AP:$AP,$B11,[1]BV_Data_An_Cour!$AQ:$AQ,$C11,[1]BV_Data_An_Cour!$AR:$AR,J$2)</f>
        <v>0</v>
      </c>
      <c r="K11" s="55">
        <f t="shared" si="0"/>
        <v>0</v>
      </c>
      <c r="L11" s="39">
        <f>-SUMIFS([1]BV_Data_An_Cour!$AM:$AM,[1]BV_Data_An_Cour!$AP:$AP,$B11,[1]BV_Data_An_Cour!$AQ:$AQ,$C11,[1]BV_Data_An_Cour!$AR:$AR,L$2)</f>
        <v>0</v>
      </c>
      <c r="M11" s="20">
        <f t="shared" si="1"/>
        <v>0</v>
      </c>
      <c r="N11" s="21">
        <f t="shared" si="2"/>
        <v>0</v>
      </c>
      <c r="O11" s="20">
        <f>-SUMIFS([1]BV_Data_An_Prec!$AM:$AM,[1]BV_Data_An_Prec!$AP:$AP,$B11,[1]BV_Data_An_Prec!$AQ:$AQ,$C11,[1]BV_Data_An_Prec!$AR:$AR,O$2)</f>
        <v>0</v>
      </c>
      <c r="P11" s="55">
        <f t="shared" si="3"/>
        <v>0</v>
      </c>
      <c r="Q11" s="39">
        <f>-SUMIFS([1]BV_Data_An_Prec!$AM:$AM,[1]BV_Data_An_Prec!$AP:$AP,$B11,[1]BV_Data_An_Prec!$AQ:$AQ,$C11,[1]BV_Data_An_Prec!$AR:$AR,Q$2)</f>
        <v>0</v>
      </c>
      <c r="R11" s="20">
        <f t="shared" si="6"/>
        <v>0</v>
      </c>
      <c r="S11" s="39">
        <f t="shared" si="5"/>
        <v>0</v>
      </c>
      <c r="T11" s="7"/>
      <c r="U11" s="6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ht="20.399999999999999" hidden="1" customHeight="1">
      <c r="A12" s="410" t="s">
        <v>285</v>
      </c>
      <c r="B12" s="7" t="s">
        <v>0</v>
      </c>
      <c r="C12" s="26" t="s">
        <v>19</v>
      </c>
      <c r="D12" s="19">
        <f>+INDEX('[1]Budget original'!$A$2:$AO$501,MATCH($A12,'[1]Budget original'!$A$2:$A$501,0),MATCH(D$2,'[1]Budget original'!$A$2:$AO$2,0))</f>
        <v>0</v>
      </c>
      <c r="E12" s="19">
        <f t="shared" si="4"/>
        <v>0</v>
      </c>
      <c r="F12" s="19">
        <f>+INDEX('[1]Budget original'!$A$2:$AO$501,MATCH($A12,'[1]Budget original'!$A$2:$A$501,0),MATCH(F$2,'[1]Budget original'!$A$2:$AO$2,0))</f>
        <v>0</v>
      </c>
      <c r="G12" s="20"/>
      <c r="H12" s="19"/>
      <c r="I12" s="19"/>
      <c r="J12" s="20">
        <f>-SUMIFS([1]BV_Data_An_Cour!$AM:$AM,[1]BV_Data_An_Cour!$AP:$AP,$B12,[1]BV_Data_An_Cour!$AQ:$AQ,$C12,[1]BV_Data_An_Cour!$AR:$AR,J$2)</f>
        <v>0</v>
      </c>
      <c r="K12" s="55">
        <f t="shared" si="0"/>
        <v>0</v>
      </c>
      <c r="L12" s="39">
        <f>-SUMIFS([1]BV_Data_An_Cour!$AM:$AM,[1]BV_Data_An_Cour!$AP:$AP,$B12,[1]BV_Data_An_Cour!$AQ:$AQ,$C12,[1]BV_Data_An_Cour!$AR:$AR,L$2)</f>
        <v>0</v>
      </c>
      <c r="M12" s="20">
        <f t="shared" si="1"/>
        <v>0</v>
      </c>
      <c r="N12" s="21">
        <f t="shared" si="2"/>
        <v>0</v>
      </c>
      <c r="O12" s="20">
        <f>-SUMIFS([1]BV_Data_An_Prec!$AM:$AM,[1]BV_Data_An_Prec!$AP:$AP,$B12,[1]BV_Data_An_Prec!$AQ:$AQ,$C12,[1]BV_Data_An_Prec!$AR:$AR,O$2)</f>
        <v>0</v>
      </c>
      <c r="P12" s="55">
        <f t="shared" si="3"/>
        <v>0</v>
      </c>
      <c r="Q12" s="39">
        <f>-SUMIFS([1]BV_Data_An_Prec!$AM:$AM,[1]BV_Data_An_Prec!$AP:$AP,$B12,[1]BV_Data_An_Prec!$AQ:$AQ,$C12,[1]BV_Data_An_Prec!$AR:$AR,Q$2)</f>
        <v>0</v>
      </c>
      <c r="R12" s="20">
        <f t="shared" si="6"/>
        <v>0</v>
      </c>
      <c r="S12" s="39">
        <f t="shared" si="5"/>
        <v>0</v>
      </c>
      <c r="T12" s="7"/>
      <c r="U12" s="6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ht="21">
      <c r="A13" s="410" t="s">
        <v>286</v>
      </c>
      <c r="B13" s="7" t="s">
        <v>0</v>
      </c>
      <c r="C13" s="289" t="s">
        <v>20</v>
      </c>
      <c r="D13" s="22">
        <f>+SUM(D6:D12)</f>
        <v>0</v>
      </c>
      <c r="E13" s="22">
        <f>IF(D13&lt;=0,0,F13/D13)</f>
        <v>0</v>
      </c>
      <c r="F13" s="23">
        <f>+SUM(F6:F12)</f>
        <v>0</v>
      </c>
      <c r="G13" s="24"/>
      <c r="H13" s="22"/>
      <c r="I13" s="23"/>
      <c r="J13" s="24">
        <f>+SUM(J6:J12)</f>
        <v>54</v>
      </c>
      <c r="K13" s="122">
        <f>IF(J13&lt;=0,0,L13/J13)</f>
        <v>2369.6870370370384</v>
      </c>
      <c r="L13" s="123">
        <f>+SUM(L6:L12)</f>
        <v>127963.10000000006</v>
      </c>
      <c r="M13" s="24">
        <f>+SUM(M6:M12)</f>
        <v>54</v>
      </c>
      <c r="N13" s="23">
        <f>+SUM(N6:N12)</f>
        <v>127963.10000000006</v>
      </c>
      <c r="O13" s="24">
        <f>+SUM(O6:O12)</f>
        <v>77</v>
      </c>
      <c r="P13" s="122">
        <f>IF(O13&lt;=0,0,Q13/O13)</f>
        <v>2611.5931168831312</v>
      </c>
      <c r="Q13" s="123">
        <f>+SUM(Q6:Q12)</f>
        <v>201092.67000000109</v>
      </c>
      <c r="R13" s="24">
        <f>+SUM(R6:R12)</f>
        <v>-23</v>
      </c>
      <c r="S13" s="123">
        <f>+SUM(S6:S12)</f>
        <v>-73129.570000001026</v>
      </c>
      <c r="T13" s="6">
        <v>54</v>
      </c>
      <c r="U13" s="411">
        <v>127963</v>
      </c>
      <c r="V13" s="412">
        <f>L13-U13</f>
        <v>0.10000000006402843</v>
      </c>
      <c r="W13" s="7"/>
      <c r="X13" s="7"/>
      <c r="Y13" s="7"/>
      <c r="Z13" s="7"/>
      <c r="AA13" s="7"/>
      <c r="AB13" s="7"/>
      <c r="AC13" s="7"/>
      <c r="AD13" s="55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ht="21">
      <c r="A14" s="410" t="s">
        <v>0</v>
      </c>
      <c r="B14" s="7" t="s">
        <v>0</v>
      </c>
      <c r="C14" s="52"/>
      <c r="D14" s="50"/>
      <c r="E14" s="290"/>
      <c r="F14" s="51"/>
      <c r="G14" s="52"/>
      <c r="H14" s="290"/>
      <c r="I14" s="51"/>
      <c r="J14" s="52"/>
      <c r="K14" s="74"/>
      <c r="L14" s="112"/>
      <c r="M14" s="291">
        <f>IF(D13=0,0,M13/D13)</f>
        <v>0</v>
      </c>
      <c r="N14" s="292">
        <f>IF(F13=0,0,N13/F13)</f>
        <v>0</v>
      </c>
      <c r="O14" s="52"/>
      <c r="P14" s="74"/>
      <c r="Q14" s="112"/>
      <c r="R14" s="291">
        <f>R13/O13</f>
        <v>-0.29870129870129869</v>
      </c>
      <c r="S14" s="28">
        <f>IF(Q13=0,0,(S13/Q13))</f>
        <v>-0.36366104244376801</v>
      </c>
      <c r="T14" s="6"/>
      <c r="U14" s="411"/>
      <c r="V14" s="412"/>
      <c r="W14" s="19"/>
      <c r="X14" s="19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ht="21">
      <c r="A15" s="410" t="s">
        <v>287</v>
      </c>
      <c r="B15" s="7" t="s">
        <v>0</v>
      </c>
      <c r="C15" s="113" t="s">
        <v>21</v>
      </c>
      <c r="D15" s="33">
        <f>+INDEX('[1]Budget original'!$A$2:$AO$501,MATCH($A15,'[1]Budget original'!$A$2:$A$501,0),MATCH(D$2,'[1]Budget original'!$A$2:$AO$2,0))</f>
        <v>0</v>
      </c>
      <c r="E15" s="33">
        <f>IF(D15=0,0,F15/D15)</f>
        <v>0</v>
      </c>
      <c r="F15" s="90">
        <f>+INDEX('[1]Budget original'!$A$2:$AO$501,MATCH($A15,'[1]Budget original'!$A$2:$A$501,0),MATCH(F$2,'[1]Budget original'!$A$2:$AO$2,0))</f>
        <v>0</v>
      </c>
      <c r="G15" s="32"/>
      <c r="H15" s="33"/>
      <c r="I15" s="90"/>
      <c r="J15" s="34">
        <f>SUMIFS([1]BV_Data_An_Cour!$AW:$AW,[1]BV_Data_An_Cour!$AP:$AP,$B15,[1]BV_Data_An_Cour!$AQ:$AQ,$C15,[1]BV_Data_An_Cour!$AY:$AY,J$2)</f>
        <v>0</v>
      </c>
      <c r="K15" s="58">
        <f>IF(J15=0,0,L15/J15)</f>
        <v>0</v>
      </c>
      <c r="L15" s="58">
        <f>-SUMIFS([1]BV_Data_An_Cour!$AM:$AM,[1]BV_Data_An_Cour!$AP:$AP,$B15,[1]BV_Data_An_Cour!$AQ:$AQ,$C15,[1]BV_Data_An_Cour!$AR:$AR,L$2)</f>
        <v>0</v>
      </c>
      <c r="M15" s="34">
        <f>J15-D15</f>
        <v>0</v>
      </c>
      <c r="N15" s="31">
        <f>L15-F15</f>
        <v>0</v>
      </c>
      <c r="O15" s="34">
        <f>SUMIFS([1]BV_Data_An_Prec!$AW:$AW,[1]BV_Data_An_Prec!$AP:$AP,$B15,[1]BV_Data_An_Prec!$AQ:$AQ,$C15,[1]BV_Data_An_Prec!$AY:$AY,O$2)</f>
        <v>0</v>
      </c>
      <c r="P15" s="58">
        <f>IF(O15=0,0,Q15/O15)</f>
        <v>0</v>
      </c>
      <c r="Q15" s="58">
        <f>-SUMIFS([1]BV_Data_An_Prec!$AM:$AM,[1]BV_Data_An_Prec!$AP:$AP,$B15,[1]BV_Data_An_Prec!$AQ:$AQ,$C15,[1]BV_Data_An_Prec!$AR:$AR,Q$2)</f>
        <v>0</v>
      </c>
      <c r="R15" s="34">
        <f>J15-O15</f>
        <v>0</v>
      </c>
      <c r="S15" s="61">
        <f>L15-Q15</f>
        <v>0</v>
      </c>
      <c r="T15" s="6"/>
      <c r="U15" s="413"/>
      <c r="V15" s="412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ht="20.399999999999999">
      <c r="A16" s="410" t="s">
        <v>0</v>
      </c>
      <c r="B16" s="7" t="s">
        <v>0</v>
      </c>
      <c r="C16" s="26"/>
      <c r="D16" s="7"/>
      <c r="E16" s="19"/>
      <c r="F16" s="25"/>
      <c r="G16" s="26"/>
      <c r="H16" s="19"/>
      <c r="I16" s="25"/>
      <c r="J16" s="26"/>
      <c r="K16" s="55"/>
      <c r="L16" s="39"/>
      <c r="M16" s="99"/>
      <c r="N16" s="100"/>
      <c r="O16" s="26"/>
      <c r="P16" s="55"/>
      <c r="Q16" s="39"/>
      <c r="R16" s="99"/>
      <c r="S16" s="39"/>
      <c r="T16" s="6"/>
      <c r="U16" s="411"/>
      <c r="V16" s="412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ht="21">
      <c r="A17" s="410" t="s">
        <v>288</v>
      </c>
      <c r="B17" s="7" t="s">
        <v>0</v>
      </c>
      <c r="C17" s="52" t="s">
        <v>22</v>
      </c>
      <c r="D17" s="290">
        <f>+INDEX('[1]Budget original'!$A$2:$AO$501,MATCH($A17,'[1]Budget original'!$A$2:$A$501,0),MATCH(D$2,'[1]Budget original'!$A$2:$AO$2,0))</f>
        <v>0</v>
      </c>
      <c r="E17" s="290">
        <f>IF(D17=0,0,F17/D17)</f>
        <v>0</v>
      </c>
      <c r="F17" s="290">
        <f>+INDEX('[1]Budget original'!$A$2:$AO$501,MATCH($A17,'[1]Budget original'!$A$2:$A$501,0),MATCH(F$2,'[1]Budget original'!$A$2:$AO$2,0))</f>
        <v>0</v>
      </c>
      <c r="G17" s="38"/>
      <c r="H17" s="290"/>
      <c r="I17" s="290"/>
      <c r="J17" s="34">
        <f>SUMIFS([1]BV_Data_An_Cour!$AW:$AW,[1]BV_Data_An_Cour!$AP:$AP,$B17,[1]BV_Data_An_Cour!$AQ:$AQ,$C17,[1]BV_Data_An_Cour!$AY:$AY,J$2)</f>
        <v>58</v>
      </c>
      <c r="K17" s="55">
        <f>IF(J17=0,0,L17/J17)</f>
        <v>503.1441379310242</v>
      </c>
      <c r="L17" s="39">
        <f>-SUMIFS([1]BV_Data_An_Cour!$AM:$AM,[1]BV_Data_An_Cour!$AP:$AP,$B17,[1]BV_Data_An_Cour!$AQ:$AQ,$C17,[1]BV_Data_An_Cour!$AR:$AR,L$2)</f>
        <v>29182.359999999404</v>
      </c>
      <c r="M17" s="34">
        <f>J17-D17</f>
        <v>58</v>
      </c>
      <c r="N17" s="21">
        <f>L17-F17</f>
        <v>29182.359999999404</v>
      </c>
      <c r="O17" s="34">
        <f>SUMIFS([1]BV_Data_An_Prec!$AW:$AW,[1]BV_Data_An_Prec!$AP:$AP,$B17,[1]BV_Data_An_Prec!$AQ:$AQ,$C17,[1]BV_Data_An_Prec!$AY:$AY,O$2)</f>
        <v>93</v>
      </c>
      <c r="P17" s="55">
        <f>IF(O17=0,0,Q17/O17)</f>
        <v>596.45913978505837</v>
      </c>
      <c r="Q17" s="39">
        <f>-SUMIFS([1]BV_Data_An_Prec!$AM:$AM,[1]BV_Data_An_Prec!$AP:$AP,$B17,[1]BV_Data_An_Prec!$AQ:$AQ,$C17,[1]BV_Data_An_Prec!$AR:$AR,Q$2)</f>
        <v>55470.700000010431</v>
      </c>
      <c r="R17" s="20">
        <f>J17-O17</f>
        <v>-35</v>
      </c>
      <c r="S17" s="39">
        <f>L17-Q17</f>
        <v>-26288.340000011027</v>
      </c>
      <c r="T17" s="6">
        <v>58</v>
      </c>
      <c r="U17" s="411">
        <v>27397</v>
      </c>
      <c r="V17" s="412">
        <f>L17-U17</f>
        <v>1785.359999999404</v>
      </c>
      <c r="W17" s="7"/>
      <c r="X17" s="7"/>
      <c r="Y17" s="7"/>
      <c r="Z17" s="7"/>
      <c r="AA17" s="19"/>
      <c r="AB17" s="7"/>
      <c r="AC17" s="7"/>
      <c r="AD17" s="55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ht="21" hidden="1">
      <c r="A18" s="410" t="s">
        <v>0</v>
      </c>
      <c r="B18" s="7" t="s">
        <v>0</v>
      </c>
      <c r="C18" s="289"/>
      <c r="D18" s="35"/>
      <c r="E18" s="35"/>
      <c r="F18" s="36"/>
      <c r="G18" s="37"/>
      <c r="H18" s="35"/>
      <c r="I18" s="36"/>
      <c r="J18" s="20"/>
      <c r="K18" s="105"/>
      <c r="L18" s="72"/>
      <c r="M18" s="20"/>
      <c r="N18" s="36"/>
      <c r="O18" s="20"/>
      <c r="P18" s="105"/>
      <c r="Q18" s="72"/>
      <c r="R18" s="37"/>
      <c r="S18" s="72"/>
      <c r="T18" s="7"/>
      <c r="U18" s="411"/>
      <c r="V18" s="414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ht="21" hidden="1">
      <c r="A19" s="410" t="s">
        <v>289</v>
      </c>
      <c r="B19" s="7" t="s">
        <v>0</v>
      </c>
      <c r="C19" s="113"/>
      <c r="D19" s="19"/>
      <c r="E19" s="19"/>
      <c r="F19" s="19"/>
      <c r="G19" s="20"/>
      <c r="H19" s="19"/>
      <c r="I19" s="19"/>
      <c r="J19" s="34"/>
      <c r="K19" s="55"/>
      <c r="L19" s="39"/>
      <c r="M19" s="20"/>
      <c r="N19" s="21"/>
      <c r="O19" s="34"/>
      <c r="P19" s="55"/>
      <c r="Q19" s="39"/>
      <c r="R19" s="20"/>
      <c r="S19" s="39"/>
      <c r="T19" s="7"/>
      <c r="U19" s="413"/>
      <c r="V19" s="414"/>
      <c r="W19" s="19"/>
      <c r="X19" s="29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ht="21">
      <c r="A20" s="410" t="s">
        <v>0</v>
      </c>
      <c r="B20" s="7" t="s">
        <v>0</v>
      </c>
      <c r="C20" s="289"/>
      <c r="D20" s="35"/>
      <c r="E20" s="35"/>
      <c r="F20" s="36"/>
      <c r="G20" s="37"/>
      <c r="H20" s="35"/>
      <c r="I20" s="36"/>
      <c r="J20" s="20"/>
      <c r="K20" s="105"/>
      <c r="L20" s="72"/>
      <c r="M20" s="37"/>
      <c r="N20" s="36"/>
      <c r="O20" s="20"/>
      <c r="P20" s="105"/>
      <c r="Q20" s="72"/>
      <c r="R20" s="37"/>
      <c r="S20" s="72"/>
      <c r="T20" s="7"/>
      <c r="U20" s="411"/>
      <c r="V20" s="414"/>
      <c r="W20" s="19"/>
      <c r="X20" s="29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ht="15.75" customHeight="1">
      <c r="A21" s="410" t="s">
        <v>290</v>
      </c>
      <c r="B21" s="7" t="s">
        <v>0</v>
      </c>
      <c r="C21" s="26" t="s">
        <v>24</v>
      </c>
      <c r="D21" s="19">
        <f>+INDEX('[1]Budget original'!$A$2:$AO$501,MATCH($A21,'[1]Budget original'!$A$2:$A$501,0),MATCH(D$2,'[1]Budget original'!$A$2:$AO$2,0))</f>
        <v>0</v>
      </c>
      <c r="E21" s="19">
        <f>IF(D21=0,0,F21/D21)</f>
        <v>0</v>
      </c>
      <c r="F21" s="19">
        <f>+INDEX('[1]Budget original'!$A$2:$AO$501,MATCH($A21,'[1]Budget original'!$A$2:$A$501,0),MATCH(F$2,'[1]Budget original'!$A$2:$AO$2,0))</f>
        <v>0</v>
      </c>
      <c r="G21" s="20"/>
      <c r="H21" s="19"/>
      <c r="I21" s="19"/>
      <c r="J21" s="20"/>
      <c r="K21" s="55">
        <f>IF(J13=0,0,L21/(J13+J15))</f>
        <v>18.518518518518519</v>
      </c>
      <c r="L21" s="39">
        <f>-SUMIFS([1]BV_Data_An_Cour!$AM:$AM,[1]BV_Data_An_Cour!$AP:$AP,$B21,[1]BV_Data_An_Cour!$AQ:$AQ,$C21,[1]BV_Data_An_Cour!$AR:$AR,L$2)</f>
        <v>1000</v>
      </c>
      <c r="M21" s="20"/>
      <c r="N21" s="21">
        <f>L21-F21</f>
        <v>1000</v>
      </c>
      <c r="O21" s="20"/>
      <c r="P21" s="55">
        <f>IF(O13=0,0,Q21/(O13+O15))</f>
        <v>21.425454545454549</v>
      </c>
      <c r="Q21" s="39">
        <f>-SUMIFS([1]BV_Data_An_Prec!$AM:$AM,[1]BV_Data_An_Prec!$AP:$AP,$B21,[1]BV_Data_An_Prec!$AQ:$AQ,$C21,[1]BV_Data_An_Prec!$AR:$AR,Q$2)</f>
        <v>1649.7600000000002</v>
      </c>
      <c r="R21" s="40">
        <f>P21-K21</f>
        <v>2.9069360269360303</v>
      </c>
      <c r="S21" s="39">
        <f t="shared" ref="S21:S23" si="7">L21-Q21</f>
        <v>-649.76000000000022</v>
      </c>
      <c r="T21" s="7"/>
      <c r="U21" s="411"/>
      <c r="V21" s="414"/>
      <c r="W21" s="7"/>
      <c r="X21" s="29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ht="18" customHeight="1">
      <c r="A22" s="410" t="s">
        <v>291</v>
      </c>
      <c r="B22" s="7" t="s">
        <v>0</v>
      </c>
      <c r="C22" s="26" t="s">
        <v>25</v>
      </c>
      <c r="D22" s="19">
        <f>+INDEX('[1]Budget original'!$A$2:$AO$501,MATCH($A22,'[1]Budget original'!$A$2:$A$501,0),MATCH(D$2,'[1]Budget original'!$A$2:$AO$2,0))</f>
        <v>0</v>
      </c>
      <c r="E22" s="19">
        <f>IF(D22=0,0,F22/D22)</f>
        <v>0</v>
      </c>
      <c r="F22" s="19">
        <f>+INDEX('[1]Budget original'!$A$2:$AO$501,MATCH($A22,'[1]Budget original'!$A$2:$A$501,0),MATCH(F$2,'[1]Budget original'!$A$2:$AO$2,0))</f>
        <v>0</v>
      </c>
      <c r="G22" s="20"/>
      <c r="H22" s="19"/>
      <c r="I22" s="19"/>
      <c r="J22" s="20"/>
      <c r="K22" s="55">
        <f>IF(J13=0,0,L22/(J13+J15))</f>
        <v>576.52907407407372</v>
      </c>
      <c r="L22" s="39">
        <f>-SUMIFS([1]BV_Data_An_Cour!$AM:$AM,[1]BV_Data_An_Cour!$AP:$AP,$B22,[1]BV_Data_An_Cour!$AQ:$AQ,$C22,[1]BV_Data_An_Cour!$AR:$AR,L$2)</f>
        <v>31132.569999999978</v>
      </c>
      <c r="M22" s="20"/>
      <c r="N22" s="21">
        <f>L22-F22</f>
        <v>31132.569999999978</v>
      </c>
      <c r="O22" s="20"/>
      <c r="P22" s="55">
        <f>IF(O13=0,0,Q22/(O13+O15))</f>
        <v>572.09402597402607</v>
      </c>
      <c r="Q22" s="39">
        <f>-SUMIFS([1]BV_Data_An_Prec!$AM:$AM,[1]BV_Data_An_Prec!$AP:$AP,$B22,[1]BV_Data_An_Prec!$AQ:$AQ,$C22,[1]BV_Data_An_Prec!$AR:$AR,Q$2)</f>
        <v>44051.240000000005</v>
      </c>
      <c r="R22" s="40">
        <f t="shared" ref="R22:R23" si="8">P22-K22</f>
        <v>-4.435048100047652</v>
      </c>
      <c r="S22" s="39">
        <f t="shared" si="7"/>
        <v>-12918.670000000027</v>
      </c>
      <c r="T22" s="7"/>
      <c r="U22" s="411"/>
      <c r="V22" s="412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ht="19.5" customHeight="1">
      <c r="A23" s="410" t="s">
        <v>292</v>
      </c>
      <c r="B23" s="7" t="s">
        <v>0</v>
      </c>
      <c r="C23" s="26" t="s">
        <v>26</v>
      </c>
      <c r="D23" s="19">
        <f>+INDEX('[1]Budget original'!$A$2:$AO$501,MATCH($A23,'[1]Budget original'!$A$2:$A$501,0),MATCH(D$2,'[1]Budget original'!$A$2:$AO$2,0))</f>
        <v>0</v>
      </c>
      <c r="E23" s="19">
        <f>IF(D23=0,0,F23/D23)</f>
        <v>0</v>
      </c>
      <c r="F23" s="19">
        <f>+INDEX('[1]Budget original'!$A$2:$AO$501,MATCH($A23,'[1]Budget original'!$A$2:$A$501,0),MATCH(F$2,'[1]Budget original'!$A$2:$AO$2,0))</f>
        <v>0</v>
      </c>
      <c r="G23" s="20"/>
      <c r="H23" s="19"/>
      <c r="I23" s="19"/>
      <c r="J23" s="20"/>
      <c r="K23" s="55">
        <f>IF(J13=0,0,L23/(J13+J15))</f>
        <v>113.67499999999998</v>
      </c>
      <c r="L23" s="39">
        <f>-SUMIFS([1]BV_Data_An_Cour!$AM:$AM,[1]BV_Data_An_Cour!$AP:$AP,$B23,[1]BV_Data_An_Cour!$AQ:$AQ,$C23,[1]BV_Data_An_Cour!$AR:$AR,L$2)</f>
        <v>6138.4499999999989</v>
      </c>
      <c r="M23" s="34"/>
      <c r="N23" s="21">
        <f>L23-F23</f>
        <v>6138.4499999999989</v>
      </c>
      <c r="O23" s="20"/>
      <c r="P23" s="55">
        <f>IF(O13=0,0,Q23/(O13+O15))</f>
        <v>106.58441558441558</v>
      </c>
      <c r="Q23" s="39">
        <f>-SUMIFS([1]BV_Data_An_Prec!$AM:$AM,[1]BV_Data_An_Prec!$AP:$AP,$B23,[1]BV_Data_An_Prec!$AQ:$AQ,$C23,[1]BV_Data_An_Prec!$AR:$AR,Q$2)</f>
        <v>8207</v>
      </c>
      <c r="R23" s="40">
        <f t="shared" si="8"/>
        <v>-7.0905844155844022</v>
      </c>
      <c r="S23" s="39">
        <f t="shared" si="7"/>
        <v>-2068.5500000000011</v>
      </c>
      <c r="T23" s="7"/>
      <c r="U23" s="411"/>
      <c r="V23" s="412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ht="18" customHeight="1">
      <c r="A24" s="410" t="s">
        <v>293</v>
      </c>
      <c r="B24" s="7" t="s">
        <v>0</v>
      </c>
      <c r="C24" s="289" t="s">
        <v>27</v>
      </c>
      <c r="D24" s="22">
        <f>+D15+D13</f>
        <v>0</v>
      </c>
      <c r="E24" s="22">
        <f>IF(D24&lt;=0,0,F24/D24)</f>
        <v>0</v>
      </c>
      <c r="F24" s="23">
        <f>F21+F22+F23</f>
        <v>0</v>
      </c>
      <c r="G24" s="24"/>
      <c r="H24" s="22"/>
      <c r="I24" s="23"/>
      <c r="J24" s="24">
        <f>+J15+J13</f>
        <v>54</v>
      </c>
      <c r="K24" s="122">
        <f>IF(J24&lt;=0,0,L24/J24)</f>
        <v>708.72259259259215</v>
      </c>
      <c r="L24" s="123">
        <f>L21+L22+L23</f>
        <v>38271.019999999975</v>
      </c>
      <c r="M24" s="38">
        <f>J24-D24</f>
        <v>54</v>
      </c>
      <c r="N24" s="23">
        <f>L24-F24</f>
        <v>38271.019999999975</v>
      </c>
      <c r="O24" s="24">
        <f>+O15+O13</f>
        <v>77</v>
      </c>
      <c r="P24" s="122">
        <f>IF(O24&lt;=0,0,Q24/O24)</f>
        <v>700.1038961038962</v>
      </c>
      <c r="Q24" s="123">
        <f>Q21+Q22+Q23</f>
        <v>53908.000000000007</v>
      </c>
      <c r="R24" s="106">
        <f>P24-K24</f>
        <v>-8.6186964886959458</v>
      </c>
      <c r="S24" s="123">
        <f>L24-Q24</f>
        <v>-15636.980000000032</v>
      </c>
      <c r="T24" s="7"/>
      <c r="U24" s="411">
        <v>38271</v>
      </c>
      <c r="V24" s="412">
        <f>L24-U24</f>
        <v>1.9999999974970706E-2</v>
      </c>
      <c r="W24" s="7"/>
      <c r="X24" s="7"/>
      <c r="Y24" s="7"/>
      <c r="Z24" s="7"/>
      <c r="AA24" s="7"/>
      <c r="AB24" s="7"/>
      <c r="AC24" s="7"/>
      <c r="AD24" s="55"/>
      <c r="AE24" s="55"/>
      <c r="AF24" s="7"/>
      <c r="AG24" s="7"/>
      <c r="AH24" s="7"/>
      <c r="AI24" s="7"/>
      <c r="AJ24" s="7"/>
      <c r="AK24" s="7"/>
      <c r="AL24" s="7"/>
      <c r="AM24" s="7"/>
      <c r="AN24" s="7"/>
    </row>
    <row r="25" spans="1:40" ht="15.75" customHeight="1">
      <c r="A25" s="410" t="s">
        <v>0</v>
      </c>
      <c r="B25" s="7" t="s">
        <v>0</v>
      </c>
      <c r="C25" s="26"/>
      <c r="D25" s="7"/>
      <c r="E25" s="7"/>
      <c r="F25" s="39"/>
      <c r="G25" s="26"/>
      <c r="H25" s="7"/>
      <c r="I25" s="39"/>
      <c r="J25" s="26"/>
      <c r="K25" s="55"/>
      <c r="L25" s="39"/>
      <c r="M25" s="27"/>
      <c r="N25" s="28" t="e">
        <f>IF(N24=0,0,N24/F24)</f>
        <v>#DIV/0!</v>
      </c>
      <c r="O25" s="26"/>
      <c r="P25" s="55"/>
      <c r="Q25" s="39"/>
      <c r="R25" s="40"/>
      <c r="S25" s="28">
        <f>IF(Q24=0,0,(S24/Q24))</f>
        <v>-0.2900678934480973</v>
      </c>
      <c r="T25" s="7"/>
      <c r="U25" s="411"/>
      <c r="V25" s="412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ht="15.75" customHeight="1" thickBot="1">
      <c r="A26" s="410" t="s">
        <v>0</v>
      </c>
      <c r="B26" s="7" t="s">
        <v>0</v>
      </c>
      <c r="C26" s="26"/>
      <c r="D26" s="7"/>
      <c r="E26" s="7"/>
      <c r="F26" s="25"/>
      <c r="G26" s="26"/>
      <c r="H26" s="7"/>
      <c r="I26" s="25"/>
      <c r="J26" s="26"/>
      <c r="K26" s="55"/>
      <c r="L26" s="39"/>
      <c r="M26" s="26"/>
      <c r="N26" s="25"/>
      <c r="O26" s="26"/>
      <c r="P26" s="55"/>
      <c r="Q26" s="39"/>
      <c r="R26" s="40"/>
      <c r="S26" s="39"/>
      <c r="T26" s="7"/>
      <c r="U26" s="411"/>
      <c r="V26" s="412"/>
      <c r="W26" s="7"/>
      <c r="X26" s="7"/>
      <c r="Y26" s="7"/>
      <c r="Z26" s="7"/>
      <c r="AA26" s="7"/>
      <c r="AB26" s="7"/>
      <c r="AC26" s="7"/>
      <c r="AD26" s="55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ht="18" customHeight="1" thickTop="1">
      <c r="A27" s="410" t="s">
        <v>294</v>
      </c>
      <c r="B27" s="7" t="s">
        <v>0</v>
      </c>
      <c r="C27" s="264" t="s">
        <v>28</v>
      </c>
      <c r="D27" s="41">
        <f>+D13+D15+D17</f>
        <v>0</v>
      </c>
      <c r="E27" s="42">
        <f>IF(D27&lt;=0,0,F27/D27)</f>
        <v>0</v>
      </c>
      <c r="F27" s="43">
        <f>F13+F17+F24+F19+F15</f>
        <v>0</v>
      </c>
      <c r="G27" s="44"/>
      <c r="H27" s="42"/>
      <c r="I27" s="43"/>
      <c r="J27" s="44">
        <f>+J13+J15+J17</f>
        <v>112</v>
      </c>
      <c r="K27" s="41">
        <f>IF(J27&lt;=0,0,L27/J27)</f>
        <v>1744.7899999999952</v>
      </c>
      <c r="L27" s="43">
        <f>L13+L17+L24+L19+L15</f>
        <v>195416.47999999946</v>
      </c>
      <c r="M27" s="44">
        <f>J27-D27</f>
        <v>112</v>
      </c>
      <c r="N27" s="43">
        <f>L27-F27</f>
        <v>195416.47999999946</v>
      </c>
      <c r="O27" s="44">
        <f>+O13+O15+O17</f>
        <v>170</v>
      </c>
      <c r="P27" s="41">
        <f>IF(O27&lt;=0,0,Q27/O27)</f>
        <v>1826.3021764706559</v>
      </c>
      <c r="Q27" s="43">
        <f>Q13+Q17+Q24+Q19+Q15</f>
        <v>310471.37000001152</v>
      </c>
      <c r="R27" s="44">
        <f>J27-O27</f>
        <v>-58</v>
      </c>
      <c r="S27" s="43">
        <f>L27-Q27</f>
        <v>-115054.89000001206</v>
      </c>
      <c r="T27" s="7"/>
      <c r="U27" s="411">
        <f>SUM(U13:U26)</f>
        <v>193631</v>
      </c>
      <c r="V27" s="412">
        <f>L27-U27</f>
        <v>1785.4799999994575</v>
      </c>
      <c r="W27" s="7"/>
      <c r="X27" s="7"/>
      <c r="Y27" s="7"/>
      <c r="Z27" s="7"/>
      <c r="AA27" s="7"/>
      <c r="AB27" s="7"/>
      <c r="AC27" s="7"/>
      <c r="AD27" s="55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ht="22.5" customHeight="1" thickBot="1">
      <c r="A28" s="410" t="s">
        <v>0</v>
      </c>
      <c r="B28" s="7" t="s">
        <v>0</v>
      </c>
      <c r="C28" s="47"/>
      <c r="D28" s="45"/>
      <c r="E28" s="45"/>
      <c r="F28" s="46"/>
      <c r="G28" s="47"/>
      <c r="H28" s="45"/>
      <c r="I28" s="46"/>
      <c r="J28" s="47"/>
      <c r="K28" s="265"/>
      <c r="L28" s="266"/>
      <c r="M28" s="48"/>
      <c r="N28" s="49"/>
      <c r="O28" s="47"/>
      <c r="P28" s="265"/>
      <c r="Q28" s="266"/>
      <c r="R28" s="48">
        <f>R27/O27</f>
        <v>-0.3411764705882353</v>
      </c>
      <c r="S28" s="267">
        <f>IF(Q27=0,0,S27/Q27)</f>
        <v>-0.37058131962379587</v>
      </c>
      <c r="T28" s="7"/>
      <c r="U28" s="6"/>
      <c r="V28" s="415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ht="15.75" customHeight="1" thickTop="1">
      <c r="A29" s="410" t="s">
        <v>0</v>
      </c>
      <c r="B29" s="7" t="s">
        <v>0</v>
      </c>
      <c r="C29" s="52"/>
      <c r="D29" s="50"/>
      <c r="E29" s="50"/>
      <c r="F29" s="51"/>
      <c r="G29" s="52"/>
      <c r="H29" s="50"/>
      <c r="I29" s="51"/>
      <c r="J29" s="52"/>
      <c r="K29" s="74"/>
      <c r="L29" s="112"/>
      <c r="M29" s="27"/>
      <c r="N29" s="28"/>
      <c r="O29" s="52"/>
      <c r="P29" s="74"/>
      <c r="Q29" s="112"/>
      <c r="R29" s="27"/>
      <c r="S29" s="112"/>
      <c r="T29" s="7"/>
      <c r="U29" s="9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ht="15.75" customHeight="1">
      <c r="A30" s="410" t="s">
        <v>295</v>
      </c>
      <c r="B30" s="7" t="s">
        <v>0</v>
      </c>
      <c r="C30" s="268" t="s">
        <v>29</v>
      </c>
      <c r="D30" s="7"/>
      <c r="E30" s="53"/>
      <c r="F30" s="39"/>
      <c r="G30" s="26"/>
      <c r="H30" s="53"/>
      <c r="I30" s="39"/>
      <c r="J30" s="26"/>
      <c r="K30" s="269"/>
      <c r="L30" s="39"/>
      <c r="M30" s="26"/>
      <c r="N30" s="25"/>
      <c r="O30" s="26"/>
      <c r="P30" s="269"/>
      <c r="Q30" s="39"/>
      <c r="R30" s="26"/>
      <c r="S30" s="39"/>
      <c r="T30" s="7"/>
      <c r="U30" s="6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ht="20.399999999999999">
      <c r="A31" s="410" t="s">
        <v>296</v>
      </c>
      <c r="B31" s="7" t="s">
        <v>0</v>
      </c>
      <c r="C31" s="26" t="s">
        <v>30</v>
      </c>
      <c r="D31" s="295" t="e">
        <f>F31/(F13+F15)</f>
        <v>#DIV/0!</v>
      </c>
      <c r="E31" s="55" t="e">
        <f t="shared" ref="E31:E40" si="9">F31/D$24</f>
        <v>#DIV/0!</v>
      </c>
      <c r="F31" s="19">
        <f>+INDEX('[1]Budget original'!$A$2:$AO$501,MATCH($A31,'[1]Budget original'!$A$2:$A$501,0),MATCH(F$2,'[1]Budget original'!$A$2:$AO$2,0))</f>
        <v>0</v>
      </c>
      <c r="G31" s="99"/>
      <c r="H31" s="55"/>
      <c r="I31" s="19"/>
      <c r="J31" s="99">
        <f>L31/(L15+L13+L17)</f>
        <v>0.2711833354905715</v>
      </c>
      <c r="K31" s="55">
        <f>IF(L31=0,0,L31/J$24)</f>
        <v>789.17092592592667</v>
      </c>
      <c r="L31" s="39">
        <f>SUMIFS([1]BV_Data_An_Cour!$AM:$AM,[1]BV_Data_An_Cour!$AP:$AP,$B31,[1]BV_Data_An_Cour!$AQ:$AQ,$C31,[1]BV_Data_An_Cour!$AR:$AR,L$2)</f>
        <v>42615.23000000004</v>
      </c>
      <c r="M31" s="26"/>
      <c r="N31" s="39">
        <f t="shared" ref="N31:N53" si="10">L31-F31</f>
        <v>42615.23000000004</v>
      </c>
      <c r="O31" s="99">
        <f>Q31/(Q15+Q13+Q17)</f>
        <v>0.22474852898914371</v>
      </c>
      <c r="P31" s="55">
        <f>IF(Q31=0,0,Q31/O$24)</f>
        <v>748.86025974025961</v>
      </c>
      <c r="Q31" s="39">
        <f>SUMIFS([1]BV_Data_An_Prec!$AM:$AM,[1]BV_Data_An_Prec!$AP:$AP,$B31,[1]BV_Data_An_Prec!$AQ:$AQ,$C31,[1]BV_Data_An_Prec!$AR:$AR,Q$2)</f>
        <v>57662.239999999991</v>
      </c>
      <c r="R31" s="26"/>
      <c r="S31" s="39">
        <f>L31-Q31</f>
        <v>-15047.009999999951</v>
      </c>
      <c r="T31" s="7"/>
      <c r="U31" s="6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ht="15.75" customHeight="1">
      <c r="A32" s="410" t="s">
        <v>297</v>
      </c>
      <c r="B32" s="7" t="s">
        <v>0</v>
      </c>
      <c r="C32" s="14" t="s">
        <v>31</v>
      </c>
      <c r="D32" s="296" t="e">
        <f>F32/F24</f>
        <v>#DIV/0!</v>
      </c>
      <c r="E32" s="58" t="e">
        <f t="shared" si="9"/>
        <v>#DIV/0!</v>
      </c>
      <c r="F32" s="31">
        <f>+INDEX('[1]Budget original'!$A$2:$AO$501,MATCH($A32,'[1]Budget original'!$A$2:$A$501,0),MATCH(F$2,'[1]Budget original'!$A$2:$AO$2,0))</f>
        <v>0</v>
      </c>
      <c r="G32" s="104"/>
      <c r="H32" s="58"/>
      <c r="I32" s="31"/>
      <c r="J32" s="104">
        <f>L32/L24</f>
        <v>0.32469947234225821</v>
      </c>
      <c r="K32" s="58">
        <f t="shared" ref="K32:K40" si="11">IF(L32=0,0,L32/J$24)</f>
        <v>230.12185185185189</v>
      </c>
      <c r="L32" s="39">
        <f>SUMIFS([1]BV_Data_An_Cour!$AM:$AM,[1]BV_Data_An_Cour!$AP:$AP,$B32,[1]BV_Data_An_Cour!$AQ:$AQ,$C32,[1]BV_Data_An_Cour!$AR:$AR,L$2)</f>
        <v>12426.580000000002</v>
      </c>
      <c r="M32" s="14"/>
      <c r="N32" s="61">
        <f t="shared" si="10"/>
        <v>12426.580000000002</v>
      </c>
      <c r="O32" s="104">
        <f>Q32/Q24</f>
        <v>0.22351728871410567</v>
      </c>
      <c r="P32" s="58">
        <f t="shared" ref="P32:P40" si="12">IF(Q32=0,0,Q32/O$24)</f>
        <v>156.48532467532479</v>
      </c>
      <c r="Q32" s="61">
        <f>SUMIFS([1]BV_Data_An_Prec!$AM:$AM,[1]BV_Data_An_Prec!$AP:$AP,$B32,[1]BV_Data_An_Prec!$AQ:$AQ,$C32,[1]BV_Data_An_Prec!$AR:$AR,Q$2)</f>
        <v>12049.37000000001</v>
      </c>
      <c r="R32" s="14"/>
      <c r="S32" s="61">
        <f t="shared" ref="S32:S53" si="13">L32-Q32</f>
        <v>377.20999999999185</v>
      </c>
      <c r="T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ht="15.75" customHeight="1">
      <c r="A33" s="410" t="s">
        <v>298</v>
      </c>
      <c r="B33" s="7" t="s">
        <v>0</v>
      </c>
      <c r="C33" s="26" t="s">
        <v>32</v>
      </c>
      <c r="D33" s="54"/>
      <c r="E33" s="55" t="e">
        <f t="shared" si="9"/>
        <v>#DIV/0!</v>
      </c>
      <c r="F33" s="19">
        <f>+INDEX('[1]Budget original'!$A$2:$AO$501,MATCH($A33,'[1]Budget original'!$A$2:$A$501,0),MATCH(F$2,'[1]Budget original'!$A$2:$AO$2,0))</f>
        <v>0</v>
      </c>
      <c r="G33" s="56"/>
      <c r="H33" s="55"/>
      <c r="I33" s="19"/>
      <c r="J33" s="26"/>
      <c r="K33" s="55">
        <f t="shared" si="11"/>
        <v>1001.7337037037037</v>
      </c>
      <c r="L33" s="297">
        <f>SUMIFS([1]BV_Data_An_Cour!$AM:$AM,[1]BV_Data_An_Cour!$AP:$AP,$B33,[1]BV_Data_An_Cour!$AQ:$AQ,$C33,[1]BV_Data_An_Cour!$AR:$AR,L$2)</f>
        <v>54093.619999999995</v>
      </c>
      <c r="M33" s="26"/>
      <c r="N33" s="39">
        <f t="shared" si="10"/>
        <v>54093.619999999995</v>
      </c>
      <c r="O33" s="26"/>
      <c r="P33" s="55">
        <f t="shared" si="12"/>
        <v>-204.8155844155844</v>
      </c>
      <c r="Q33" s="39">
        <f>SUMIFS([1]BV_Data_An_Prec!$AM:$AM,[1]BV_Data_An_Prec!$AP:$AP,$B33,[1]BV_Data_An_Prec!$AQ:$AQ,$C33,[1]BV_Data_An_Prec!$AR:$AR,Q$2)</f>
        <v>-15770.8</v>
      </c>
      <c r="R33" s="26"/>
      <c r="S33" s="39">
        <f t="shared" si="13"/>
        <v>69864.42</v>
      </c>
      <c r="T33" s="7"/>
      <c r="U33" s="384" t="s">
        <v>500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ht="15.75" customHeight="1">
      <c r="A34" s="410" t="s">
        <v>299</v>
      </c>
      <c r="B34" s="7" t="s">
        <v>0</v>
      </c>
      <c r="C34" s="26" t="s">
        <v>33</v>
      </c>
      <c r="D34" s="54"/>
      <c r="E34" s="55" t="e">
        <f t="shared" si="9"/>
        <v>#DIV/0!</v>
      </c>
      <c r="F34" s="19">
        <f>+INDEX('[1]Budget original'!$A$2:$AO$501,MATCH($A34,'[1]Budget original'!$A$2:$A$501,0),MATCH(F$2,'[1]Budget original'!$A$2:$AO$2,0))</f>
        <v>0</v>
      </c>
      <c r="G34" s="56"/>
      <c r="H34" s="55"/>
      <c r="I34" s="19"/>
      <c r="J34" s="26"/>
      <c r="K34" s="55">
        <f t="shared" si="11"/>
        <v>18.559629629629633</v>
      </c>
      <c r="L34" s="39">
        <f>SUMIFS([1]BV_Data_An_Cour!$AM:$AM,[1]BV_Data_An_Cour!$AP:$AP,$B34,[1]BV_Data_An_Cour!$AQ:$AQ,$C34,[1]BV_Data_An_Cour!$AR:$AR,L$2)</f>
        <v>1002.2200000000003</v>
      </c>
      <c r="M34" s="26"/>
      <c r="N34" s="39">
        <f t="shared" si="10"/>
        <v>1002.2200000000003</v>
      </c>
      <c r="O34" s="26"/>
      <c r="P34" s="55">
        <f t="shared" si="12"/>
        <v>8.7010389610389609</v>
      </c>
      <c r="Q34" s="39">
        <f>SUMIFS([1]BV_Data_An_Prec!$AM:$AM,[1]BV_Data_An_Prec!$AP:$AP,$B34,[1]BV_Data_An_Prec!$AQ:$AQ,$C34,[1]BV_Data_An_Prec!$AR:$AR,Q$2)</f>
        <v>669.98</v>
      </c>
      <c r="R34" s="26"/>
      <c r="S34" s="39">
        <f t="shared" si="13"/>
        <v>332.24000000000024</v>
      </c>
      <c r="T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ht="15.75" customHeight="1">
      <c r="A35" s="410" t="s">
        <v>300</v>
      </c>
      <c r="B35" s="7" t="s">
        <v>0</v>
      </c>
      <c r="C35" s="14" t="s">
        <v>34</v>
      </c>
      <c r="D35" s="57"/>
      <c r="E35" s="58" t="e">
        <f t="shared" si="9"/>
        <v>#DIV/0!</v>
      </c>
      <c r="F35" s="31">
        <f>+INDEX('[1]Budget original'!$A$2:$AO$501,MATCH($A35,'[1]Budget original'!$A$2:$A$501,0),MATCH(F$2,'[1]Budget original'!$A$2:$AO$2,0))</f>
        <v>0</v>
      </c>
      <c r="G35" s="59"/>
      <c r="H35" s="58"/>
      <c r="I35" s="31"/>
      <c r="J35" s="14"/>
      <c r="K35" s="58">
        <f t="shared" si="11"/>
        <v>92.806111111111107</v>
      </c>
      <c r="L35" s="39">
        <f>SUMIFS([1]BV_Data_An_Cour!$AM:$AM,[1]BV_Data_An_Cour!$AP:$AP,$B35,[1]BV_Data_An_Cour!$AQ:$AQ,$C35,[1]BV_Data_An_Cour!$AR:$AR,L$2)</f>
        <v>5011.53</v>
      </c>
      <c r="M35" s="14"/>
      <c r="N35" s="61">
        <f t="shared" si="10"/>
        <v>5011.53</v>
      </c>
      <c r="O35" s="14"/>
      <c r="P35" s="58">
        <f t="shared" si="12"/>
        <v>0</v>
      </c>
      <c r="Q35" s="61">
        <f>SUMIFS([1]BV_Data_An_Prec!$AM:$AM,[1]BV_Data_An_Prec!$AP:$AP,$B35,[1]BV_Data_An_Prec!$AQ:$AQ,$C35,[1]BV_Data_An_Prec!$AR:$AR,Q$2)</f>
        <v>0</v>
      </c>
      <c r="R35" s="14"/>
      <c r="S35" s="61">
        <f t="shared" si="13"/>
        <v>5011.53</v>
      </c>
      <c r="T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ht="15.75" customHeight="1">
      <c r="A36" s="410" t="s">
        <v>301</v>
      </c>
      <c r="B36" s="7" t="s">
        <v>0</v>
      </c>
      <c r="C36" s="26" t="s">
        <v>35</v>
      </c>
      <c r="D36" s="54"/>
      <c r="E36" s="55" t="e">
        <f t="shared" si="9"/>
        <v>#DIV/0!</v>
      </c>
      <c r="F36" s="19">
        <f>+INDEX('[1]Budget original'!$A$2:$AO$501,MATCH($A36,'[1]Budget original'!$A$2:$A$501,0),MATCH(F$2,'[1]Budget original'!$A$2:$AO$2,0))</f>
        <v>0</v>
      </c>
      <c r="G36" s="56"/>
      <c r="H36" s="55"/>
      <c r="I36" s="19"/>
      <c r="J36" s="26"/>
      <c r="K36" s="55">
        <f t="shared" si="11"/>
        <v>277.72907407407416</v>
      </c>
      <c r="L36" s="297">
        <f>SUMIFS([1]BV_Data_An_Cour!$AM:$AM,[1]BV_Data_An_Cour!$AP:$AP,$B36,[1]BV_Data_An_Cour!$AQ:$AQ,$C36,[1]BV_Data_An_Cour!$AR:$AR,L$2)</f>
        <v>14997.370000000006</v>
      </c>
      <c r="M36" s="26"/>
      <c r="N36" s="39">
        <f t="shared" si="10"/>
        <v>14997.370000000006</v>
      </c>
      <c r="O36" s="26"/>
      <c r="P36" s="55">
        <f t="shared" si="12"/>
        <v>241.33805194805197</v>
      </c>
      <c r="Q36" s="39">
        <f>SUMIFS([1]BV_Data_An_Prec!$AM:$AM,[1]BV_Data_An_Prec!$AP:$AP,$B36,[1]BV_Data_An_Prec!$AQ:$AQ,$C36,[1]BV_Data_An_Prec!$AR:$AR,Q$2)</f>
        <v>18583.030000000002</v>
      </c>
      <c r="R36" s="26"/>
      <c r="S36" s="39">
        <f t="shared" si="13"/>
        <v>-3585.6599999999962</v>
      </c>
      <c r="T36" s="7"/>
      <c r="U36" s="391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1:40" ht="15.75" customHeight="1">
      <c r="A37" s="410" t="s">
        <v>302</v>
      </c>
      <c r="B37" s="7" t="s">
        <v>0</v>
      </c>
      <c r="C37" s="26" t="s">
        <v>36</v>
      </c>
      <c r="D37" s="54"/>
      <c r="E37" s="55" t="e">
        <f t="shared" si="9"/>
        <v>#DIV/0!</v>
      </c>
      <c r="F37" s="19">
        <f>+INDEX('[1]Budget original'!$A$2:$AO$501,MATCH($A37,'[1]Budget original'!$A$2:$A$501,0),MATCH(F$2,'[1]Budget original'!$A$2:$AO$2,0))</f>
        <v>0</v>
      </c>
      <c r="G37" s="56"/>
      <c r="H37" s="55"/>
      <c r="I37" s="19"/>
      <c r="J37" s="26"/>
      <c r="K37" s="55">
        <f t="shared" si="11"/>
        <v>1041.1037037037033</v>
      </c>
      <c r="L37" s="39">
        <f>SUMIFS([1]BV_Data_An_Cour!$AM:$AM,[1]BV_Data_An_Cour!$AP:$AP,$B37,[1]BV_Data_An_Cour!$AQ:$AQ,$C37,[1]BV_Data_An_Cour!$AR:$AR,L$2)</f>
        <v>56219.599999999977</v>
      </c>
      <c r="M37" s="26"/>
      <c r="N37" s="39">
        <f t="shared" si="10"/>
        <v>56219.599999999977</v>
      </c>
      <c r="O37" s="26"/>
      <c r="P37" s="55">
        <f t="shared" si="12"/>
        <v>824.55675324675315</v>
      </c>
      <c r="Q37" s="39">
        <f>SUMIFS([1]BV_Data_An_Prec!$AM:$AM,[1]BV_Data_An_Prec!$AP:$AP,$B37,[1]BV_Data_An_Prec!$AQ:$AQ,$C37,[1]BV_Data_An_Prec!$AR:$AR,Q$2)</f>
        <v>63490.869999999995</v>
      </c>
      <c r="R37" s="26"/>
      <c r="S37" s="39">
        <f t="shared" si="13"/>
        <v>-7271.2700000000186</v>
      </c>
      <c r="T37" s="382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ht="15.75" customHeight="1">
      <c r="A38" s="410" t="s">
        <v>285</v>
      </c>
      <c r="B38" s="7" t="s">
        <v>0</v>
      </c>
      <c r="C38" s="26" t="s">
        <v>303</v>
      </c>
      <c r="D38" s="54"/>
      <c r="E38" s="55" t="e">
        <f t="shared" si="9"/>
        <v>#DIV/0!</v>
      </c>
      <c r="F38" s="19">
        <f>+INDEX('[1]Budget original'!$A$2:$AO$501,MATCH($A38,'[1]Budget original'!$A$2:$A$501,0),MATCH(F$2,'[1]Budget original'!$A$2:$AO$2,0))</f>
        <v>0</v>
      </c>
      <c r="G38" s="56"/>
      <c r="H38" s="55"/>
      <c r="I38" s="19"/>
      <c r="J38" s="26"/>
      <c r="K38" s="55">
        <f t="shared" si="11"/>
        <v>-2437.6988888888886</v>
      </c>
      <c r="L38" s="39">
        <f>SUMIFS([1]BV_Data_An_Cour!$AM:$AM,[1]BV_Data_An_Cour!$AP:$AP,$B38,[1]BV_Data_An_Cour!$AQ:$AQ,$C38,[1]BV_Data_An_Cour!$AR:$AR,L$2)</f>
        <v>-131635.74</v>
      </c>
      <c r="M38" s="7"/>
      <c r="N38" s="39">
        <f t="shared" si="10"/>
        <v>-131635.74</v>
      </c>
      <c r="O38" s="26"/>
      <c r="P38" s="55">
        <f t="shared" si="12"/>
        <v>-1524.5636363636381</v>
      </c>
      <c r="Q38" s="39">
        <f>SUMIFS([1]BV_Data_An_Prec!$AM:$AM,[1]BV_Data_An_Prec!$AP:$AP,$B38,[1]BV_Data_An_Prec!$AQ:$AQ,$C38,[1]BV_Data_An_Prec!$AR:$AR,Q$2)</f>
        <v>-117391.40000000014</v>
      </c>
      <c r="R38" s="26"/>
      <c r="S38" s="39">
        <f t="shared" si="13"/>
        <v>-14244.339999999851</v>
      </c>
      <c r="T38" s="6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15.75" customHeight="1">
      <c r="A39" s="410" t="s">
        <v>285</v>
      </c>
      <c r="B39" s="7" t="s">
        <v>0</v>
      </c>
      <c r="C39" s="26" t="s">
        <v>304</v>
      </c>
      <c r="D39" s="54"/>
      <c r="E39" s="55" t="e">
        <f t="shared" si="9"/>
        <v>#DIV/0!</v>
      </c>
      <c r="F39" s="19">
        <f>+INDEX('[1]Budget original'!$A$2:$AO$501,MATCH($A39,'[1]Budget original'!$A$2:$A$501,0),MATCH(F$2,'[1]Budget original'!$A$2:$AO$2,0))</f>
        <v>0</v>
      </c>
      <c r="G39" s="56"/>
      <c r="H39" s="55"/>
      <c r="I39" s="19"/>
      <c r="J39" s="26"/>
      <c r="K39" s="55">
        <f t="shared" si="11"/>
        <v>-208.49851851851849</v>
      </c>
      <c r="L39" s="39">
        <f>SUMIFS([1]BV_Data_An_Cour!$AM:$AM,[1]BV_Data_An_Cour!$AP:$AP,$B39,[1]BV_Data_An_Cour!$AQ:$AQ,$C39,[1]BV_Data_An_Cour!$AR:$AR,L$2)</f>
        <v>-11258.919999999998</v>
      </c>
      <c r="M39" s="7"/>
      <c r="N39" s="39">
        <f t="shared" si="10"/>
        <v>-11258.919999999998</v>
      </c>
      <c r="O39" s="26"/>
      <c r="P39" s="55">
        <f t="shared" si="12"/>
        <v>0</v>
      </c>
      <c r="Q39" s="39">
        <f>SUMIFS([1]BV_Data_An_Prec!$AM:$AM,[1]BV_Data_An_Prec!$AP:$AP,$B39,[1]BV_Data_An_Prec!$AQ:$AQ,$C39,[1]BV_Data_An_Prec!$AR:$AR,Q$2)</f>
        <v>0</v>
      </c>
      <c r="R39" s="26"/>
      <c r="S39" s="39">
        <f t="shared" si="13"/>
        <v>-11258.919999999998</v>
      </c>
      <c r="T39" s="6">
        <v>-11259</v>
      </c>
      <c r="U39" s="416">
        <f>L39+L121+L194</f>
        <v>-16826.179999999997</v>
      </c>
      <c r="V39" s="6" t="s">
        <v>507</v>
      </c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0.399999999999999" hidden="1" customHeight="1">
      <c r="A40" s="410" t="s">
        <v>285</v>
      </c>
      <c r="B40" s="7" t="s">
        <v>0</v>
      </c>
      <c r="C40" s="26" t="s">
        <v>19</v>
      </c>
      <c r="D40" s="54"/>
      <c r="E40" s="55" t="e">
        <f t="shared" si="9"/>
        <v>#DIV/0!</v>
      </c>
      <c r="F40" s="19">
        <f>+INDEX('[1]Budget original'!$A$2:$AO$501,MATCH($A40,'[1]Budget original'!$A$2:$A$501,0),MATCH(F$2,'[1]Budget original'!$A$2:$AO$2,0))</f>
        <v>0</v>
      </c>
      <c r="G40" s="56"/>
      <c r="H40" s="55"/>
      <c r="I40" s="19"/>
      <c r="J40" s="26"/>
      <c r="K40" s="55">
        <f t="shared" si="11"/>
        <v>0</v>
      </c>
      <c r="L40" s="299">
        <f>SUMIFS([1]BV_Data_An_Cour!$AM:$AM,[1]BV_Data_An_Cour!$AP:$AP,$B40,[1]BV_Data_An_Cour!$AQ:$AQ,$C40,[1]BV_Data_An_Cour!$AR:$AR,L$2)</f>
        <v>0</v>
      </c>
      <c r="M40" s="7"/>
      <c r="N40" s="39">
        <f t="shared" si="10"/>
        <v>0</v>
      </c>
      <c r="O40" s="26"/>
      <c r="P40" s="55">
        <f t="shared" si="12"/>
        <v>0</v>
      </c>
      <c r="Q40" s="299">
        <f>SUMIFS([1]BV_Data_An_Prec!$AM:$AM,[1]BV_Data_An_Prec!$AP:$AP,$B40,[1]BV_Data_An_Prec!$AQ:$AQ,$C40,[1]BV_Data_An_Prec!$AR:$AR,Q$2)</f>
        <v>0</v>
      </c>
      <c r="R40" s="26"/>
      <c r="S40" s="39">
        <f t="shared" si="13"/>
        <v>0</v>
      </c>
      <c r="T40" s="7"/>
      <c r="U40" s="6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18.600000000000001" customHeight="1">
      <c r="A41" s="410" t="s">
        <v>305</v>
      </c>
      <c r="B41" s="7" t="s">
        <v>0</v>
      </c>
      <c r="C41" s="139" t="s">
        <v>37</v>
      </c>
      <c r="D41" s="62" t="s">
        <v>38</v>
      </c>
      <c r="E41" s="63" t="e">
        <f>F41/F$27</f>
        <v>#DIV/0!</v>
      </c>
      <c r="F41" s="64">
        <f>SUM(F31:F40)</f>
        <v>0</v>
      </c>
      <c r="G41" s="65"/>
      <c r="H41" s="63"/>
      <c r="I41" s="64"/>
      <c r="J41" s="65" t="s">
        <v>38</v>
      </c>
      <c r="K41" s="63">
        <f>L41/L$27</f>
        <v>0.22245559842240611</v>
      </c>
      <c r="L41" s="64">
        <f>SUM(L31:L40)</f>
        <v>43471.490000000034</v>
      </c>
      <c r="M41" s="66"/>
      <c r="N41" s="64">
        <f t="shared" si="10"/>
        <v>43471.490000000034</v>
      </c>
      <c r="O41" s="65" t="s">
        <v>38</v>
      </c>
      <c r="P41" s="63">
        <f>Q41/Q$27</f>
        <v>6.21419295440966E-2</v>
      </c>
      <c r="Q41" s="64">
        <f>SUM(Q31:Q40)</f>
        <v>19293.289999999863</v>
      </c>
      <c r="R41" s="67"/>
      <c r="S41" s="64">
        <f t="shared" si="13"/>
        <v>24178.200000000172</v>
      </c>
      <c r="T41" s="7"/>
      <c r="U41" s="6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15.75" customHeight="1">
      <c r="A42" s="410" t="s">
        <v>306</v>
      </c>
      <c r="B42" s="7" t="s">
        <v>0</v>
      </c>
      <c r="C42" s="271" t="s">
        <v>40</v>
      </c>
      <c r="D42" s="7"/>
      <c r="E42" s="7"/>
      <c r="F42" s="19">
        <f>+INDEX('[1]Budget original'!$A$2:$AO$501,MATCH($A42,'[1]Budget original'!$A$2:$A$501,0),MATCH(F$2,'[1]Budget original'!$A$2:$AO$2,0))</f>
        <v>0</v>
      </c>
      <c r="G42" s="26"/>
      <c r="H42" s="7"/>
      <c r="I42" s="19"/>
      <c r="J42" s="26"/>
      <c r="K42" s="7"/>
      <c r="L42" s="55">
        <f>SUMIFS([1]BV_Data_An_Cour!$AM:$AM,[1]BV_Data_An_Cour!$AP:$AP,$B42,[1]BV_Data_An_Cour!$AQ:$AQ,$C42,[1]BV_Data_An_Cour!$AR:$AR,L$2)</f>
        <v>15176.400000000009</v>
      </c>
      <c r="M42" s="26"/>
      <c r="N42" s="39">
        <f t="shared" si="10"/>
        <v>15176.400000000009</v>
      </c>
      <c r="O42" s="26"/>
      <c r="P42" s="7"/>
      <c r="Q42" s="55">
        <f>SUMIFS([1]BV_Data_An_Prec!$AM:$AM,[1]BV_Data_An_Prec!$AP:$AP,$B42,[1]BV_Data_An_Prec!$AQ:$AQ,$C42,[1]BV_Data_An_Prec!$AR:$AR,Q$2)</f>
        <v>9257.4600000000064</v>
      </c>
      <c r="R42" s="26"/>
      <c r="S42" s="39">
        <f t="shared" si="13"/>
        <v>5918.9400000000023</v>
      </c>
      <c r="T42" s="7"/>
      <c r="U42" s="6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15.75" customHeight="1">
      <c r="A43" s="410" t="s">
        <v>307</v>
      </c>
      <c r="B43" s="7" t="s">
        <v>0</v>
      </c>
      <c r="C43" s="272" t="s">
        <v>41</v>
      </c>
      <c r="D43" s="54"/>
      <c r="E43" s="7"/>
      <c r="F43" s="31">
        <f>+INDEX('[1]Budget original'!$A$2:$AO$501,MATCH($A43,'[1]Budget original'!$A$2:$A$501,0),MATCH(F$2,'[1]Budget original'!$A$2:$AO$2,0))</f>
        <v>0</v>
      </c>
      <c r="G43" s="56"/>
      <c r="H43" s="7"/>
      <c r="I43" s="31"/>
      <c r="J43" s="26"/>
      <c r="K43" s="7"/>
      <c r="L43" s="61">
        <f>SUMIFS([1]BV_Data_An_Cour!$AM:$AM,[1]BV_Data_An_Cour!$AP:$AP,$B43,[1]BV_Data_An_Cour!$AQ:$AQ,$C43,[1]BV_Data_An_Cour!$AR:$AR,L$2)</f>
        <v>10229.26999999999</v>
      </c>
      <c r="M43" s="26"/>
      <c r="N43" s="39">
        <f t="shared" si="10"/>
        <v>10229.26999999999</v>
      </c>
      <c r="O43" s="26"/>
      <c r="P43" s="7"/>
      <c r="Q43" s="61">
        <f>SUMIFS([1]BV_Data_An_Prec!$AM:$AM,[1]BV_Data_An_Prec!$AP:$AP,$B43,[1]BV_Data_An_Prec!$AQ:$AQ,$C43,[1]BV_Data_An_Prec!$AR:$AR,Q$2)</f>
        <v>27701.049999999988</v>
      </c>
      <c r="R43" s="26"/>
      <c r="S43" s="39">
        <f t="shared" si="13"/>
        <v>-17471.78</v>
      </c>
      <c r="T43" s="7"/>
      <c r="U43" s="6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15.75" customHeight="1">
      <c r="A44" s="410" t="s">
        <v>308</v>
      </c>
      <c r="B44" s="7" t="s">
        <v>0</v>
      </c>
      <c r="C44" s="271" t="s">
        <v>42</v>
      </c>
      <c r="D44" s="68"/>
      <c r="E44" s="69"/>
      <c r="F44" s="19">
        <f>+INDEX('[1]Budget original'!$A$2:$AO$501,MATCH($A44,'[1]Budget original'!$A$2:$A$501,0),MATCH(F$2,'[1]Budget original'!$A$2:$AO$2,0))</f>
        <v>0</v>
      </c>
      <c r="G44" s="70"/>
      <c r="H44" s="69"/>
      <c r="I44" s="19"/>
      <c r="J44" s="71"/>
      <c r="K44" s="69"/>
      <c r="L44" s="55">
        <f>SUMIFS([1]BV_Data_An_Cour!$AM:$AM,[1]BV_Data_An_Cour!$AP:$AP,$B44,[1]BV_Data_An_Cour!$AQ:$AQ,$C44,[1]BV_Data_An_Cour!$AR:$AR,L$2)</f>
        <v>6239.0799999999981</v>
      </c>
      <c r="M44" s="71"/>
      <c r="N44" s="72">
        <f t="shared" si="10"/>
        <v>6239.0799999999981</v>
      </c>
      <c r="O44" s="71"/>
      <c r="P44" s="69"/>
      <c r="Q44" s="55">
        <f>SUMIFS([1]BV_Data_An_Prec!$AM:$AM,[1]BV_Data_An_Prec!$AP:$AP,$B44,[1]BV_Data_An_Prec!$AQ:$AQ,$C44,[1]BV_Data_An_Prec!$AR:$AR,Q$2)</f>
        <v>4057.0300000000025</v>
      </c>
      <c r="R44" s="71"/>
      <c r="S44" s="72">
        <f t="shared" si="13"/>
        <v>2182.0499999999956</v>
      </c>
      <c r="T44" s="7"/>
      <c r="U44" s="6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0.399999999999999" hidden="1" customHeight="1">
      <c r="A45" s="410" t="s">
        <v>309</v>
      </c>
      <c r="B45" s="7" t="s">
        <v>0</v>
      </c>
      <c r="C45" s="271" t="s">
        <v>43</v>
      </c>
      <c r="D45" s="54"/>
      <c r="E45" s="7"/>
      <c r="F45" s="19">
        <f>+INDEX('[1]Budget original'!$A$2:$AO$501,MATCH($A45,'[1]Budget original'!$A$2:$A$501,0),MATCH(F$2,'[1]Budget original'!$A$2:$AO$2,0))</f>
        <v>0</v>
      </c>
      <c r="G45" s="56"/>
      <c r="H45" s="7"/>
      <c r="I45" s="19"/>
      <c r="J45" s="26"/>
      <c r="K45" s="7"/>
      <c r="L45" s="55">
        <f>SUMIFS([1]BV_Data_An_Cour!$AM:$AM,[1]BV_Data_An_Cour!$AP:$AP,$B45,[1]BV_Data_An_Cour!$AQ:$AQ,$C45,[1]BV_Data_An_Cour!$AR:$AR,L$2)</f>
        <v>0</v>
      </c>
      <c r="M45" s="26"/>
      <c r="N45" s="39">
        <f t="shared" si="10"/>
        <v>0</v>
      </c>
      <c r="O45" s="26"/>
      <c r="P45" s="7"/>
      <c r="Q45" s="55">
        <f>SUMIFS([1]BV_Data_An_Prec!$AM:$AM,[1]BV_Data_An_Prec!$AP:$AP,$B45,[1]BV_Data_An_Prec!$AQ:$AQ,$C45,[1]BV_Data_An_Prec!$AR:$AR,Q$2)</f>
        <v>0</v>
      </c>
      <c r="R45" s="26"/>
      <c r="S45" s="39">
        <f t="shared" si="13"/>
        <v>0</v>
      </c>
      <c r="T45" s="7"/>
      <c r="U45" s="6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0.399999999999999" hidden="1" customHeight="1">
      <c r="A46" s="410" t="s">
        <v>285</v>
      </c>
      <c r="B46" s="7" t="s">
        <v>0</v>
      </c>
      <c r="C46" s="271" t="s">
        <v>19</v>
      </c>
      <c r="D46" s="54"/>
      <c r="E46" s="7"/>
      <c r="F46" s="19">
        <f>+INDEX('[1]Budget original'!$A$2:$AO$501,MATCH($A46,'[1]Budget original'!$A$2:$A$501,0),MATCH(F$2,'[1]Budget original'!$A$2:$AO$2,0))</f>
        <v>0</v>
      </c>
      <c r="G46" s="56"/>
      <c r="H46" s="7"/>
      <c r="I46" s="19"/>
      <c r="J46" s="26"/>
      <c r="K46" s="7"/>
      <c r="L46" s="55">
        <f>SUMIFS([1]BV_Data_An_Cour!$AM:$AM,[1]BV_Data_An_Cour!$AP:$AP,$B46,[1]BV_Data_An_Cour!$AQ:$AQ,$C46,[1]BV_Data_An_Cour!$AR:$AR,L$2)</f>
        <v>0</v>
      </c>
      <c r="M46" s="26"/>
      <c r="N46" s="39">
        <f t="shared" si="10"/>
        <v>0</v>
      </c>
      <c r="O46" s="26"/>
      <c r="P46" s="7"/>
      <c r="Q46" s="55">
        <f>SUMIFS([1]BV_Data_An_Prec!$AM:$AM,[1]BV_Data_An_Prec!$AP:$AP,$B46,[1]BV_Data_An_Prec!$AQ:$AQ,$C46,[1]BV_Data_An_Prec!$AR:$AR,Q$2)</f>
        <v>0</v>
      </c>
      <c r="R46" s="26"/>
      <c r="S46" s="39">
        <f t="shared" si="13"/>
        <v>0</v>
      </c>
      <c r="T46" s="7"/>
      <c r="U46" s="6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0.399999999999999" hidden="1" customHeight="1">
      <c r="A47" s="410" t="s">
        <v>285</v>
      </c>
      <c r="B47" s="7" t="s">
        <v>0</v>
      </c>
      <c r="C47" s="271" t="s">
        <v>19</v>
      </c>
      <c r="D47" s="54"/>
      <c r="E47" s="7"/>
      <c r="F47" s="19">
        <f>+INDEX('[1]Budget original'!$A$2:$AO$501,MATCH($A47,'[1]Budget original'!$A$2:$A$501,0),MATCH(F$2,'[1]Budget original'!$A$2:$AO$2,0))</f>
        <v>0</v>
      </c>
      <c r="G47" s="56"/>
      <c r="H47" s="7"/>
      <c r="I47" s="19"/>
      <c r="J47" s="26"/>
      <c r="K47" s="7"/>
      <c r="L47" s="55">
        <f>SUMIFS([1]BV_Data_An_Cour!$AM:$AM,[1]BV_Data_An_Cour!$AP:$AP,$B47,[1]BV_Data_An_Cour!$AQ:$AQ,$C47,[1]BV_Data_An_Cour!$AR:$AR,L$2)</f>
        <v>0</v>
      </c>
      <c r="M47" s="26"/>
      <c r="N47" s="39">
        <f t="shared" si="10"/>
        <v>0</v>
      </c>
      <c r="O47" s="26"/>
      <c r="P47" s="7"/>
      <c r="Q47" s="55">
        <f>SUMIFS([1]BV_Data_An_Prec!$AM:$AM,[1]BV_Data_An_Prec!$AP:$AP,$B47,[1]BV_Data_An_Prec!$AQ:$AQ,$C47,[1]BV_Data_An_Prec!$AR:$AR,Q$2)</f>
        <v>0</v>
      </c>
      <c r="R47" s="26"/>
      <c r="S47" s="39">
        <f t="shared" si="13"/>
        <v>0</v>
      </c>
      <c r="T47" s="7"/>
      <c r="U47" s="6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0.399999999999999" hidden="1" customHeight="1">
      <c r="A48" s="410" t="s">
        <v>285</v>
      </c>
      <c r="B48" s="7" t="s">
        <v>0</v>
      </c>
      <c r="C48" s="271" t="s">
        <v>19</v>
      </c>
      <c r="D48" s="54"/>
      <c r="E48" s="7"/>
      <c r="F48" s="19">
        <f>+INDEX('[1]Budget original'!$A$2:$AO$501,MATCH($A48,'[1]Budget original'!$A$2:$A$501,0),MATCH(F$2,'[1]Budget original'!$A$2:$AO$2,0))</f>
        <v>0</v>
      </c>
      <c r="G48" s="56"/>
      <c r="H48" s="7"/>
      <c r="I48" s="19"/>
      <c r="J48" s="26"/>
      <c r="K48" s="7"/>
      <c r="L48" s="55">
        <f>SUMIFS([1]BV_Data_An_Cour!$AM:$AM,[1]BV_Data_An_Cour!$AP:$AP,$B48,[1]BV_Data_An_Cour!$AQ:$AQ,$C48,[1]BV_Data_An_Cour!$AR:$AR,L$2)</f>
        <v>0</v>
      </c>
      <c r="M48" s="26"/>
      <c r="N48" s="39">
        <f t="shared" si="10"/>
        <v>0</v>
      </c>
      <c r="O48" s="26"/>
      <c r="P48" s="7"/>
      <c r="Q48" s="55">
        <f>SUMIFS([1]BV_Data_An_Prec!$AM:$AM,[1]BV_Data_An_Prec!$AP:$AP,$B48,[1]BV_Data_An_Prec!$AQ:$AQ,$C48,[1]BV_Data_An_Prec!$AR:$AR,Q$2)</f>
        <v>0</v>
      </c>
      <c r="R48" s="26"/>
      <c r="S48" s="39">
        <f t="shared" si="13"/>
        <v>0</v>
      </c>
      <c r="T48" s="7"/>
      <c r="U48" s="6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1:40" ht="15.75" customHeight="1">
      <c r="A49" s="410" t="s">
        <v>310</v>
      </c>
      <c r="B49" s="7" t="s">
        <v>0</v>
      </c>
      <c r="C49" s="272" t="s">
        <v>44</v>
      </c>
      <c r="D49" s="54"/>
      <c r="E49" s="7"/>
      <c r="F49" s="31">
        <f>+INDEX('[1]Budget original'!$A$2:$AO$501,MATCH($A49,'[1]Budget original'!$A$2:$A$501,0),MATCH(F$2,'[1]Budget original'!$A$2:$AO$2,0))</f>
        <v>0</v>
      </c>
      <c r="G49" s="56"/>
      <c r="H49" s="7"/>
      <c r="I49" s="31"/>
      <c r="J49" s="26"/>
      <c r="K49" s="7"/>
      <c r="L49" s="61">
        <f>SUMIFS([1]BV_Data_An_Cour!$AM:$AM,[1]BV_Data_An_Cour!$AP:$AP,$B49,[1]BV_Data_An_Cour!$AQ:$AQ,$C49,[1]BV_Data_An_Cour!$AR:$AR,L$2)</f>
        <v>6409.739999999998</v>
      </c>
      <c r="M49" s="26"/>
      <c r="N49" s="39">
        <f t="shared" si="10"/>
        <v>6409.739999999998</v>
      </c>
      <c r="O49" s="26"/>
      <c r="P49" s="7"/>
      <c r="Q49" s="61">
        <f>SUMIFS([1]BV_Data_An_Prec!$AM:$AM,[1]BV_Data_An_Prec!$AP:$AP,$B49,[1]BV_Data_An_Prec!$AQ:$AQ,$C49,[1]BV_Data_An_Prec!$AR:$AR,Q$2)</f>
        <v>18093.270000000004</v>
      </c>
      <c r="R49" s="26"/>
      <c r="S49" s="39">
        <f t="shared" si="13"/>
        <v>-11683.530000000006</v>
      </c>
      <c r="T49" s="7"/>
      <c r="U49" s="6"/>
      <c r="V49" s="7"/>
      <c r="W49" s="7"/>
      <c r="X49" s="6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1:40" ht="15.75" customHeight="1">
      <c r="A50" s="410" t="s">
        <v>311</v>
      </c>
      <c r="B50" s="7" t="s">
        <v>0</v>
      </c>
      <c r="C50" s="271" t="s">
        <v>45</v>
      </c>
      <c r="D50" s="68"/>
      <c r="E50" s="69"/>
      <c r="F50" s="19">
        <f>+INDEX('[1]Budget original'!$A$2:$AO$501,MATCH($A50,'[1]Budget original'!$A$2:$A$501,0),MATCH(F$2,'[1]Budget original'!$A$2:$AO$2,0))</f>
        <v>0</v>
      </c>
      <c r="G50" s="70"/>
      <c r="H50" s="69"/>
      <c r="I50" s="19"/>
      <c r="J50" s="71"/>
      <c r="K50" s="69"/>
      <c r="L50" s="55">
        <f>SUMIFS([1]BV_Data_An_Cour!$AM:$AM,[1]BV_Data_An_Cour!$AP:$AP,$B50,[1]BV_Data_An_Cour!$AQ:$AQ,$C50,[1]BV_Data_An_Cour!$AR:$AR,L$2)</f>
        <v>10332.880000000005</v>
      </c>
      <c r="M50" s="71"/>
      <c r="N50" s="72">
        <f t="shared" si="10"/>
        <v>10332.880000000005</v>
      </c>
      <c r="O50" s="71"/>
      <c r="P50" s="69"/>
      <c r="Q50" s="55">
        <f>SUMIFS([1]BV_Data_An_Prec!$AM:$AM,[1]BV_Data_An_Prec!$AP:$AP,$B50,[1]BV_Data_An_Prec!$AQ:$AQ,$C50,[1]BV_Data_An_Prec!$AR:$AR,Q$2)</f>
        <v>19782.369999999995</v>
      </c>
      <c r="R50" s="71"/>
      <c r="S50" s="72">
        <f t="shared" si="13"/>
        <v>-9449.4899999999907</v>
      </c>
      <c r="T50" s="7"/>
      <c r="U50" s="6"/>
      <c r="V50" s="7"/>
      <c r="W50" s="7"/>
      <c r="X50" s="6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1:40" ht="15.75" customHeight="1">
      <c r="A51" s="410" t="s">
        <v>312</v>
      </c>
      <c r="B51" s="7" t="s">
        <v>0</v>
      </c>
      <c r="C51" s="271" t="s">
        <v>46</v>
      </c>
      <c r="D51" s="54"/>
      <c r="E51" s="7"/>
      <c r="F51" s="19">
        <f>+INDEX('[1]Budget original'!$A$2:$AO$501,MATCH($A51,'[1]Budget original'!$A$2:$A$501,0),MATCH(F$2,'[1]Budget original'!$A$2:$AO$2,0))</f>
        <v>0</v>
      </c>
      <c r="G51" s="56"/>
      <c r="H51" s="7"/>
      <c r="I51" s="19"/>
      <c r="J51" s="26"/>
      <c r="K51" s="7"/>
      <c r="L51" s="55">
        <f>SUMIFS([1]BV_Data_An_Cour!$AM:$AM,[1]BV_Data_An_Cour!$AP:$AP,$B51,[1]BV_Data_An_Cour!$AQ:$AQ,$C51,[1]BV_Data_An_Cour!$AR:$AR,L$2)</f>
        <v>1310.9099999999999</v>
      </c>
      <c r="M51" s="26"/>
      <c r="N51" s="39">
        <f t="shared" si="10"/>
        <v>1310.9099999999999</v>
      </c>
      <c r="O51" s="26"/>
      <c r="P51" s="7"/>
      <c r="Q51" s="55">
        <f>SUMIFS([1]BV_Data_An_Prec!$AM:$AM,[1]BV_Data_An_Prec!$AP:$AP,$B51,[1]BV_Data_An_Prec!$AQ:$AQ,$C51,[1]BV_Data_An_Prec!$AR:$AR,Q$2)</f>
        <v>3563.3799999999974</v>
      </c>
      <c r="R51" s="26"/>
      <c r="S51" s="39">
        <f t="shared" si="13"/>
        <v>-2252.4699999999975</v>
      </c>
      <c r="T51" s="7"/>
      <c r="U51" s="6"/>
      <c r="V51" s="7"/>
      <c r="W51" s="7"/>
      <c r="X51" s="6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1:40" ht="15.75" customHeight="1">
      <c r="A52" s="410" t="s">
        <v>313</v>
      </c>
      <c r="B52" s="7" t="s">
        <v>0</v>
      </c>
      <c r="C52" s="271" t="s">
        <v>47</v>
      </c>
      <c r="D52" s="54"/>
      <c r="E52" s="7"/>
      <c r="F52" s="19">
        <f>+INDEX('[1]Budget original'!$A$2:$AO$501,MATCH($A52,'[1]Budget original'!$A$2:$A$501,0),MATCH(F$2,'[1]Budget original'!$A$2:$AO$2,0))</f>
        <v>0</v>
      </c>
      <c r="G52" s="56"/>
      <c r="H52" s="7"/>
      <c r="I52" s="19"/>
      <c r="J52" s="26"/>
      <c r="K52" s="7"/>
      <c r="L52" s="55">
        <f>SUMIFS([1]BV_Data_An_Cour!$AM:$AM,[1]BV_Data_An_Cour!$AP:$AP,$B52,[1]BV_Data_An_Cour!$AQ:$AQ,$C52,[1]BV_Data_An_Cour!$AR:$AR,L$2)</f>
        <v>2914.4500000000007</v>
      </c>
      <c r="M52" s="26"/>
      <c r="N52" s="39">
        <f t="shared" si="10"/>
        <v>2914.4500000000007</v>
      </c>
      <c r="O52" s="26"/>
      <c r="P52" s="7"/>
      <c r="Q52" s="55">
        <f>SUMIFS([1]BV_Data_An_Prec!$AM:$AM,[1]BV_Data_An_Prec!$AP:$AP,$B52,[1]BV_Data_An_Prec!$AQ:$AQ,$C52,[1]BV_Data_An_Prec!$AR:$AR,Q$2)</f>
        <v>11.850000000000023</v>
      </c>
      <c r="R52" s="26"/>
      <c r="S52" s="39">
        <f t="shared" si="13"/>
        <v>2902.6000000000008</v>
      </c>
      <c r="T52" s="7"/>
      <c r="U52" s="6"/>
      <c r="V52" s="7"/>
      <c r="W52" s="7"/>
      <c r="X52" s="6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1:40" ht="20.399999999999999" hidden="1" customHeight="1">
      <c r="A53" s="410" t="s">
        <v>285</v>
      </c>
      <c r="B53" s="7" t="s">
        <v>0</v>
      </c>
      <c r="C53" s="26" t="s">
        <v>19</v>
      </c>
      <c r="D53" s="57" t="e">
        <f>VLOOKUP(C53,$B$2:$B$46,1,FALSE)</f>
        <v>#N/A</v>
      </c>
      <c r="E53" s="73"/>
      <c r="F53" s="19">
        <f>+INDEX('[1]Budget original'!$A$2:$AO$501,MATCH($A53,'[1]Budget original'!$A$2:$A$501,0),MATCH(F$2,'[1]Budget original'!$A$2:$AO$2,0))</f>
        <v>0</v>
      </c>
      <c r="G53" s="59"/>
      <c r="H53" s="73"/>
      <c r="I53" s="19"/>
      <c r="J53" s="14"/>
      <c r="K53" s="73"/>
      <c r="L53" s="39">
        <f>SUMIFS([1]BV_Data_An_Cour!$AM:$AM,[1]BV_Data_An_Cour!$AP:$AP,$B53,[1]BV_Data_An_Cour!$AQ:$AQ,$C53,[1]BV_Data_An_Cour!$AR:$AR,L$2)</f>
        <v>0</v>
      </c>
      <c r="M53" s="14"/>
      <c r="N53" s="61">
        <f t="shared" si="10"/>
        <v>0</v>
      </c>
      <c r="O53" s="14"/>
      <c r="P53" s="73"/>
      <c r="Q53" s="39">
        <f>SUMIFS([1]BV_Data_An_Prec!$AM:$AM,[1]BV_Data_An_Prec!$AP:$AP,$B53,[1]BV_Data_An_Prec!$AQ:$AQ,$C53,[1]BV_Data_An_Prec!$AR:$AR,Q$2)</f>
        <v>0</v>
      </c>
      <c r="R53" s="14"/>
      <c r="S53" s="61">
        <f t="shared" si="13"/>
        <v>0</v>
      </c>
      <c r="T53" s="7"/>
      <c r="U53" s="6"/>
      <c r="V53" s="7"/>
      <c r="W53" s="7"/>
      <c r="X53" s="6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1:40" ht="18.600000000000001" customHeight="1">
      <c r="A54" s="410" t="s">
        <v>314</v>
      </c>
      <c r="B54" s="7" t="s">
        <v>0</v>
      </c>
      <c r="C54" s="139" t="s">
        <v>48</v>
      </c>
      <c r="D54" s="62" t="s">
        <v>38</v>
      </c>
      <c r="E54" s="63" t="e">
        <f>F54/F$27</f>
        <v>#DIV/0!</v>
      </c>
      <c r="F54" s="64">
        <f>+SUM(F42:F53)</f>
        <v>0</v>
      </c>
      <c r="G54" s="65"/>
      <c r="H54" s="63"/>
      <c r="I54" s="64"/>
      <c r="J54" s="65" t="s">
        <v>38</v>
      </c>
      <c r="K54" s="63">
        <f>L54/L$27</f>
        <v>0.26923384353254209</v>
      </c>
      <c r="L54" s="64">
        <f>+SUM(L42:L53)</f>
        <v>52612.729999999996</v>
      </c>
      <c r="M54" s="66"/>
      <c r="N54" s="64">
        <f>+SUM(N42:N53)</f>
        <v>52612.729999999996</v>
      </c>
      <c r="O54" s="65" t="s">
        <v>38</v>
      </c>
      <c r="P54" s="63">
        <f>Q54/Q$27</f>
        <v>0.26561679423129075</v>
      </c>
      <c r="Q54" s="64">
        <f>+SUM(Q42:Q53)</f>
        <v>82466.41</v>
      </c>
      <c r="R54" s="67"/>
      <c r="S54" s="64">
        <f>+SUM(S42:S53)</f>
        <v>-29853.679999999993</v>
      </c>
      <c r="T54" s="7"/>
      <c r="U54" s="6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1:40" ht="20.399999999999999" hidden="1" customHeight="1">
      <c r="A55" s="410" t="s">
        <v>315</v>
      </c>
      <c r="B55" s="7" t="s">
        <v>0</v>
      </c>
      <c r="C55" s="26" t="s">
        <v>49</v>
      </c>
      <c r="D55" s="54"/>
      <c r="E55" s="7"/>
      <c r="F55" s="19">
        <f>+INDEX('[1]Budget original'!$A$2:$AO$501,MATCH($A55,'[1]Budget original'!$A$2:$A$501,0),MATCH(F$2,'[1]Budget original'!$A$2:$AO$2,0))</f>
        <v>0</v>
      </c>
      <c r="G55" s="56"/>
      <c r="H55" s="7"/>
      <c r="I55" s="19"/>
      <c r="J55" s="26"/>
      <c r="K55" s="7"/>
      <c r="L55" s="39">
        <f>SUMIFS([1]BV_Data_An_Cour!$AM:$AM,[1]BV_Data_An_Cour!$AP:$AP,$B55,[1]BV_Data_An_Cour!$AQ:$AQ,$C55,[1]BV_Data_An_Cour!$AR:$AR,L$2)</f>
        <v>0</v>
      </c>
      <c r="M55" s="26"/>
      <c r="N55" s="39">
        <f t="shared" ref="N55:N71" si="14">L55-F55</f>
        <v>0</v>
      </c>
      <c r="O55" s="26"/>
      <c r="P55" s="7"/>
      <c r="Q55" s="39">
        <f>SUMIFS([1]BV_Data_An_Prec!$AM:$AM,[1]BV_Data_An_Prec!$AP:$AP,$B55,[1]BV_Data_An_Prec!$AQ:$AQ,$C55,[1]BV_Data_An_Prec!$AR:$AR,Q$2)</f>
        <v>0</v>
      </c>
      <c r="R55" s="26"/>
      <c r="S55" s="39">
        <f t="shared" ref="S55:S71" si="15">L55-Q55</f>
        <v>0</v>
      </c>
      <c r="T55" s="55"/>
      <c r="U55" s="6"/>
      <c r="V55" s="7"/>
      <c r="W55" s="7"/>
      <c r="X55" s="6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1:40" ht="20.399999999999999" hidden="1" customHeight="1">
      <c r="A56" s="410" t="s">
        <v>316</v>
      </c>
      <c r="B56" s="7" t="s">
        <v>0</v>
      </c>
      <c r="C56" s="26" t="s">
        <v>50</v>
      </c>
      <c r="D56" s="54"/>
      <c r="E56" s="7"/>
      <c r="F56" s="19">
        <f>+INDEX('[1]Budget original'!$A$2:$AO$501,MATCH($A56,'[1]Budget original'!$A$2:$A$501,0),MATCH(F$2,'[1]Budget original'!$A$2:$AO$2,0))</f>
        <v>0</v>
      </c>
      <c r="G56" s="56"/>
      <c r="H56" s="7"/>
      <c r="I56" s="19"/>
      <c r="J56" s="26"/>
      <c r="K56" s="7"/>
      <c r="L56" s="39">
        <f>SUMIFS([1]BV_Data_An_Cour!$AM:$AM,[1]BV_Data_An_Cour!$AP:$AP,$B56,[1]BV_Data_An_Cour!$AQ:$AQ,$C56,[1]BV_Data_An_Cour!$AR:$AR,L$2)</f>
        <v>0</v>
      </c>
      <c r="M56" s="26"/>
      <c r="N56" s="39">
        <f t="shared" si="14"/>
        <v>0</v>
      </c>
      <c r="O56" s="26"/>
      <c r="P56" s="7"/>
      <c r="Q56" s="39">
        <f>SUMIFS([1]BV_Data_An_Prec!$AM:$AM,[1]BV_Data_An_Prec!$AP:$AP,$B56,[1]BV_Data_An_Prec!$AQ:$AQ,$C56,[1]BV_Data_An_Prec!$AR:$AR,Q$2)</f>
        <v>0</v>
      </c>
      <c r="R56" s="26"/>
      <c r="S56" s="39">
        <f t="shared" si="15"/>
        <v>0</v>
      </c>
      <c r="T56" s="55"/>
      <c r="U56" s="6"/>
      <c r="V56" s="7"/>
      <c r="W56" s="7"/>
      <c r="X56" s="6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1:40" ht="19.2" customHeight="1">
      <c r="A57" s="410" t="s">
        <v>317</v>
      </c>
      <c r="B57" s="7" t="s">
        <v>0</v>
      </c>
      <c r="C57" s="14" t="s">
        <v>51</v>
      </c>
      <c r="D57" s="57"/>
      <c r="E57" s="73"/>
      <c r="F57" s="31">
        <f>+INDEX('[1]Budget original'!$A$2:$AO$501,MATCH($A57,'[1]Budget original'!$A$2:$A$501,0),MATCH(F$2,'[1]Budget original'!$A$2:$AO$2,0))</f>
        <v>0</v>
      </c>
      <c r="G57" s="59"/>
      <c r="H57" s="73"/>
      <c r="I57" s="31"/>
      <c r="J57" s="14"/>
      <c r="K57" s="73"/>
      <c r="L57" s="61">
        <f>SUMIFS([1]BV_Data_An_Cour!$AM:$AM,[1]BV_Data_An_Cour!$AP:$AP,$B57,[1]BV_Data_An_Cour!$AQ:$AQ,$C57,[1]BV_Data_An_Cour!$AR:$AR,L$2)</f>
        <v>4689.3799999999901</v>
      </c>
      <c r="M57" s="14"/>
      <c r="N57" s="61">
        <f t="shared" si="14"/>
        <v>4689.3799999999901</v>
      </c>
      <c r="O57" s="14"/>
      <c r="P57" s="73"/>
      <c r="Q57" s="61">
        <f>SUMIFS([1]BV_Data_An_Prec!$AM:$AM,[1]BV_Data_An_Prec!$AP:$AP,$B57,[1]BV_Data_An_Prec!$AQ:$AQ,$C57,[1]BV_Data_An_Prec!$AR:$AR,Q$2)</f>
        <v>17239.509999999995</v>
      </c>
      <c r="R57" s="14"/>
      <c r="S57" s="61">
        <f t="shared" si="15"/>
        <v>-12550.130000000005</v>
      </c>
      <c r="T57" s="74"/>
      <c r="U57" s="6"/>
      <c r="V57" s="7"/>
      <c r="W57" s="7"/>
      <c r="X57" s="6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1:40" ht="15.75" customHeight="1">
      <c r="A58" s="410" t="s">
        <v>318</v>
      </c>
      <c r="B58" s="7" t="s">
        <v>0</v>
      </c>
      <c r="C58" s="26" t="s">
        <v>52</v>
      </c>
      <c r="D58" s="54"/>
      <c r="E58" s="7"/>
      <c r="F58" s="19">
        <f>+INDEX('[1]Budget original'!$A$2:$AO$501,MATCH($A58,'[1]Budget original'!$A$2:$A$501,0),MATCH(F$2,'[1]Budget original'!$A$2:$AO$2,0))</f>
        <v>0</v>
      </c>
      <c r="G58" s="56"/>
      <c r="H58" s="7"/>
      <c r="I58" s="19"/>
      <c r="J58" s="26"/>
      <c r="K58" s="7"/>
      <c r="L58" s="39">
        <f>SUMIFS([1]BV_Data_An_Cour!$AM:$AM,[1]BV_Data_An_Cour!$AP:$AP,$B58,[1]BV_Data_An_Cour!$AQ:$AQ,$C58,[1]BV_Data_An_Cour!$AR:$AR,L$2)</f>
        <v>4264.880000000001</v>
      </c>
      <c r="M58" s="26"/>
      <c r="N58" s="39">
        <f t="shared" si="14"/>
        <v>4264.880000000001</v>
      </c>
      <c r="O58" s="26"/>
      <c r="P58" s="7"/>
      <c r="Q58" s="39">
        <f>SUMIFS([1]BV_Data_An_Prec!$AM:$AM,[1]BV_Data_An_Prec!$AP:$AP,$B58,[1]BV_Data_An_Prec!$AQ:$AQ,$C58,[1]BV_Data_An_Prec!$AR:$AR,Q$2)</f>
        <v>4373.82</v>
      </c>
      <c r="R58" s="26"/>
      <c r="S58" s="39">
        <f t="shared" si="15"/>
        <v>-108.93999999999869</v>
      </c>
      <c r="T58" s="55"/>
      <c r="U58" s="6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1:40" ht="15.75" customHeight="1">
      <c r="A59" s="410" t="s">
        <v>319</v>
      </c>
      <c r="B59" s="7" t="s">
        <v>0</v>
      </c>
      <c r="C59" s="26" t="s">
        <v>53</v>
      </c>
      <c r="D59" s="54"/>
      <c r="E59" s="7"/>
      <c r="F59" s="19">
        <f>+INDEX('[1]Budget original'!$A$2:$AO$501,MATCH($A59,'[1]Budget original'!$A$2:$A$501,0),MATCH(F$2,'[1]Budget original'!$A$2:$AO$2,0))</f>
        <v>0</v>
      </c>
      <c r="G59" s="56"/>
      <c r="H59" s="7"/>
      <c r="I59" s="19"/>
      <c r="J59" s="26"/>
      <c r="K59" s="7"/>
      <c r="L59" s="39">
        <f>SUMIFS([1]BV_Data_An_Cour!$AM:$AM,[1]BV_Data_An_Cour!$AP:$AP,$B59,[1]BV_Data_An_Cour!$AQ:$AQ,$C59,[1]BV_Data_An_Cour!$AR:$AR,L$2)</f>
        <v>987.72000000000071</v>
      </c>
      <c r="M59" s="26"/>
      <c r="N59" s="39">
        <f t="shared" si="14"/>
        <v>987.72000000000071</v>
      </c>
      <c r="O59" s="26"/>
      <c r="P59" s="7"/>
      <c r="Q59" s="39">
        <f>SUMIFS([1]BV_Data_An_Prec!$AM:$AM,[1]BV_Data_An_Prec!$AP:$AP,$B59,[1]BV_Data_An_Prec!$AQ:$AQ,$C59,[1]BV_Data_An_Prec!$AR:$AR,Q$2)</f>
        <v>3505.1400000000008</v>
      </c>
      <c r="R59" s="26"/>
      <c r="S59" s="39">
        <f t="shared" si="15"/>
        <v>-2517.42</v>
      </c>
      <c r="T59" s="7"/>
      <c r="U59" s="6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1:40" ht="15.75" customHeight="1">
      <c r="A60" s="410" t="s">
        <v>320</v>
      </c>
      <c r="B60" s="7" t="s">
        <v>0</v>
      </c>
      <c r="C60" s="14" t="s">
        <v>54</v>
      </c>
      <c r="D60" s="57"/>
      <c r="E60" s="73"/>
      <c r="F60" s="31">
        <f>+INDEX('[1]Budget original'!$A$2:$AO$501,MATCH($A60,'[1]Budget original'!$A$2:$A$501,0),MATCH(F$2,'[1]Budget original'!$A$2:$AO$2,0))</f>
        <v>0</v>
      </c>
      <c r="G60" s="59"/>
      <c r="H60" s="73"/>
      <c r="I60" s="31"/>
      <c r="J60" s="14"/>
      <c r="K60" s="73"/>
      <c r="L60" s="61">
        <f>SUMIFS([1]BV_Data_An_Cour!$AM:$AM,[1]BV_Data_An_Cour!$AP:$AP,$B60,[1]BV_Data_An_Cour!$AQ:$AQ,$C60,[1]BV_Data_An_Cour!$AR:$AR,L$2)</f>
        <v>5144.1100000000042</v>
      </c>
      <c r="M60" s="14"/>
      <c r="N60" s="61">
        <f t="shared" si="14"/>
        <v>5144.1100000000042</v>
      </c>
      <c r="O60" s="14"/>
      <c r="P60" s="73"/>
      <c r="Q60" s="61">
        <f>SUMIFS([1]BV_Data_An_Prec!$AM:$AM,[1]BV_Data_An_Prec!$AP:$AP,$B60,[1]BV_Data_An_Prec!$AQ:$AQ,$C60,[1]BV_Data_An_Prec!$AR:$AR,Q$2)</f>
        <v>7978.8700000000008</v>
      </c>
      <c r="R60" s="14"/>
      <c r="S60" s="61">
        <f t="shared" si="15"/>
        <v>-2834.7599999999966</v>
      </c>
      <c r="T60" s="7"/>
      <c r="U60" s="6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1:40" ht="15.75" customHeight="1">
      <c r="A61" s="410" t="s">
        <v>321</v>
      </c>
      <c r="B61" s="7" t="s">
        <v>0</v>
      </c>
      <c r="C61" s="26" t="s">
        <v>55</v>
      </c>
      <c r="D61" s="54"/>
      <c r="E61" s="7"/>
      <c r="F61" s="19">
        <f>+INDEX('[1]Budget original'!$A$2:$AO$501,MATCH($A61,'[1]Budget original'!$A$2:$A$501,0),MATCH(F$2,'[1]Budget original'!$A$2:$AO$2,0))</f>
        <v>0</v>
      </c>
      <c r="G61" s="56"/>
      <c r="H61" s="7"/>
      <c r="I61" s="19"/>
      <c r="J61" s="26"/>
      <c r="K61" s="7"/>
      <c r="L61" s="39">
        <f>SUMIFS([1]BV_Data_An_Cour!$AM:$AM,[1]BV_Data_An_Cour!$AP:$AP,$B61,[1]BV_Data_An_Cour!$AQ:$AQ,$C61,[1]BV_Data_An_Cour!$AR:$AR,L$2)</f>
        <v>408.45000000000027</v>
      </c>
      <c r="M61" s="26"/>
      <c r="N61" s="39">
        <f t="shared" si="14"/>
        <v>408.45000000000027</v>
      </c>
      <c r="O61" s="26"/>
      <c r="P61" s="7"/>
      <c r="Q61" s="39">
        <f>SUMIFS([1]BV_Data_An_Prec!$AM:$AM,[1]BV_Data_An_Prec!$AP:$AP,$B61,[1]BV_Data_An_Prec!$AQ:$AQ,$C61,[1]BV_Data_An_Prec!$AR:$AR,Q$2)</f>
        <v>937.11000000000013</v>
      </c>
      <c r="R61" s="26"/>
      <c r="S61" s="39">
        <f t="shared" si="15"/>
        <v>-528.65999999999985</v>
      </c>
      <c r="T61" s="7"/>
      <c r="U61" s="6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1:40" ht="15.75" customHeight="1">
      <c r="A62" s="410" t="s">
        <v>322</v>
      </c>
      <c r="B62" s="7" t="s">
        <v>0</v>
      </c>
      <c r="C62" s="26" t="s">
        <v>56</v>
      </c>
      <c r="D62" s="54"/>
      <c r="E62" s="7"/>
      <c r="F62" s="19">
        <f>+INDEX('[1]Budget original'!$A$2:$AO$501,MATCH($A62,'[1]Budget original'!$A$2:$A$501,0),MATCH(F$2,'[1]Budget original'!$A$2:$AO$2,0))</f>
        <v>0</v>
      </c>
      <c r="G62" s="56"/>
      <c r="H62" s="7"/>
      <c r="I62" s="19"/>
      <c r="J62" s="26"/>
      <c r="K62" s="7"/>
      <c r="L62" s="39">
        <f>SUMIFS([1]BV_Data_An_Cour!$AM:$AM,[1]BV_Data_An_Cour!$AP:$AP,$B62,[1]BV_Data_An_Cour!$AQ:$AQ,$C62,[1]BV_Data_An_Cour!$AR:$AR,L$2)</f>
        <v>0</v>
      </c>
      <c r="M62" s="26"/>
      <c r="N62" s="39">
        <f t="shared" si="14"/>
        <v>0</v>
      </c>
      <c r="O62" s="26"/>
      <c r="P62" s="7"/>
      <c r="Q62" s="39">
        <f>SUMIFS([1]BV_Data_An_Prec!$AM:$AM,[1]BV_Data_An_Prec!$AP:$AP,$B62,[1]BV_Data_An_Prec!$AQ:$AQ,$C62,[1]BV_Data_An_Prec!$AR:$AR,Q$2)</f>
        <v>0</v>
      </c>
      <c r="R62" s="26"/>
      <c r="S62" s="39">
        <f t="shared" si="15"/>
        <v>0</v>
      </c>
      <c r="T62" s="7"/>
      <c r="U62" s="6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1:40" ht="15.75" customHeight="1">
      <c r="A63" s="410" t="s">
        <v>323</v>
      </c>
      <c r="B63" s="7" t="s">
        <v>0</v>
      </c>
      <c r="C63" s="26" t="s">
        <v>57</v>
      </c>
      <c r="D63" s="54"/>
      <c r="E63" s="7"/>
      <c r="F63" s="19">
        <f>+INDEX('[1]Budget original'!$A$2:$AO$501,MATCH($A63,'[1]Budget original'!$A$2:$A$501,0),MATCH(F$2,'[1]Budget original'!$A$2:$AO$2,0))</f>
        <v>0</v>
      </c>
      <c r="G63" s="56"/>
      <c r="H63" s="7"/>
      <c r="I63" s="19"/>
      <c r="J63" s="26"/>
      <c r="K63" s="7"/>
      <c r="L63" s="39">
        <f>SUMIFS([1]BV_Data_An_Cour!$AM:$AM,[1]BV_Data_An_Cour!$AP:$AP,$B63,[1]BV_Data_An_Cour!$AQ:$AQ,$C63,[1]BV_Data_An_Cour!$AR:$AR,L$2)</f>
        <v>1184.3899999999994</v>
      </c>
      <c r="M63" s="26"/>
      <c r="N63" s="39">
        <f t="shared" si="14"/>
        <v>1184.3899999999994</v>
      </c>
      <c r="O63" s="26"/>
      <c r="P63" s="7"/>
      <c r="Q63" s="39">
        <f>SUMIFS([1]BV_Data_An_Prec!$AM:$AM,[1]BV_Data_An_Prec!$AP:$AP,$B63,[1]BV_Data_An_Prec!$AQ:$AQ,$C63,[1]BV_Data_An_Prec!$AR:$AR,Q$2)</f>
        <v>791.38999999999942</v>
      </c>
      <c r="R63" s="26"/>
      <c r="S63" s="39">
        <f t="shared" si="15"/>
        <v>393</v>
      </c>
      <c r="T63" s="7"/>
      <c r="U63" s="6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1:40" ht="15.75" customHeight="1">
      <c r="A64" s="410" t="s">
        <v>324</v>
      </c>
      <c r="B64" s="7" t="s">
        <v>0</v>
      </c>
      <c r="C64" s="26" t="s">
        <v>58</v>
      </c>
      <c r="D64" s="54"/>
      <c r="E64" s="7"/>
      <c r="F64" s="19">
        <f>+INDEX('[1]Budget original'!$A$2:$AO$501,MATCH($A64,'[1]Budget original'!$A$2:$A$501,0),MATCH(F$2,'[1]Budget original'!$A$2:$AO$2,0))</f>
        <v>0</v>
      </c>
      <c r="G64" s="56"/>
      <c r="H64" s="7"/>
      <c r="I64" s="19"/>
      <c r="J64" s="26"/>
      <c r="K64" s="7"/>
      <c r="L64" s="39">
        <f>SUMIFS([1]BV_Data_An_Cour!$AM:$AM,[1]BV_Data_An_Cour!$AP:$AP,$B64,[1]BV_Data_An_Cour!$AQ:$AQ,$C64,[1]BV_Data_An_Cour!$AR:$AR,L$2)</f>
        <v>630.25000000000045</v>
      </c>
      <c r="M64" s="26"/>
      <c r="N64" s="39">
        <f t="shared" si="14"/>
        <v>630.25000000000045</v>
      </c>
      <c r="O64" s="26"/>
      <c r="P64" s="7"/>
      <c r="Q64" s="39">
        <f>SUMIFS([1]BV_Data_An_Prec!$AM:$AM,[1]BV_Data_An_Prec!$AP:$AP,$B64,[1]BV_Data_An_Prec!$AQ:$AQ,$C64,[1]BV_Data_An_Prec!$AR:$AR,Q$2)</f>
        <v>1028.7700000000004</v>
      </c>
      <c r="R64" s="26"/>
      <c r="S64" s="39">
        <f t="shared" si="15"/>
        <v>-398.52</v>
      </c>
      <c r="T64" s="7"/>
      <c r="U64" s="6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1:40" ht="15.75" customHeight="1">
      <c r="A65" s="410" t="s">
        <v>325</v>
      </c>
      <c r="B65" s="7" t="s">
        <v>0</v>
      </c>
      <c r="C65" s="26" t="s">
        <v>59</v>
      </c>
      <c r="D65" s="54"/>
      <c r="E65" s="7"/>
      <c r="F65" s="19">
        <f>+INDEX('[1]Budget original'!$A$2:$AO$501,MATCH($A65,'[1]Budget original'!$A$2:$A$501,0),MATCH(F$2,'[1]Budget original'!$A$2:$AO$2,0))</f>
        <v>0</v>
      </c>
      <c r="G65" s="56"/>
      <c r="H65" s="7"/>
      <c r="I65" s="19"/>
      <c r="J65" s="26"/>
      <c r="K65" s="7"/>
      <c r="L65" s="39">
        <f>SUMIFS([1]BV_Data_An_Cour!$AM:$AM,[1]BV_Data_An_Cour!$AP:$AP,$B65,[1]BV_Data_An_Cour!$AQ:$AQ,$C65,[1]BV_Data_An_Cour!$AR:$AR,L$2)</f>
        <v>1095.8700000000008</v>
      </c>
      <c r="M65" s="26"/>
      <c r="N65" s="39">
        <f t="shared" si="14"/>
        <v>1095.8700000000008</v>
      </c>
      <c r="O65" s="26"/>
      <c r="P65" s="7"/>
      <c r="Q65" s="39">
        <f>SUMIFS([1]BV_Data_An_Prec!$AM:$AM,[1]BV_Data_An_Prec!$AP:$AP,$B65,[1]BV_Data_An_Prec!$AQ:$AQ,$C65,[1]BV_Data_An_Prec!$AR:$AR,Q$2)</f>
        <v>1004.8900000000003</v>
      </c>
      <c r="R65" s="26"/>
      <c r="S65" s="39">
        <f t="shared" si="15"/>
        <v>90.980000000000473</v>
      </c>
      <c r="T65" s="7"/>
      <c r="U65" s="6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1:40" ht="15.75" customHeight="1">
      <c r="A66" s="410" t="s">
        <v>326</v>
      </c>
      <c r="B66" s="7" t="s">
        <v>0</v>
      </c>
      <c r="C66" s="26" t="s">
        <v>60</v>
      </c>
      <c r="D66" s="54"/>
      <c r="E66" s="7"/>
      <c r="F66" s="19">
        <f>+INDEX('[1]Budget original'!$A$2:$AO$501,MATCH($A66,'[1]Budget original'!$A$2:$A$501,0),MATCH(F$2,'[1]Budget original'!$A$2:$AO$2,0))</f>
        <v>0</v>
      </c>
      <c r="G66" s="56"/>
      <c r="H66" s="7"/>
      <c r="I66" s="19"/>
      <c r="J66" s="26"/>
      <c r="K66" s="7"/>
      <c r="L66" s="39">
        <f>SUMIFS([1]BV_Data_An_Cour!$AM:$AM,[1]BV_Data_An_Cour!$AP:$AP,$B66,[1]BV_Data_An_Cour!$AQ:$AQ,$C66,[1]BV_Data_An_Cour!$AR:$AR,L$2)</f>
        <v>2613.35</v>
      </c>
      <c r="M66" s="26"/>
      <c r="N66" s="39">
        <f t="shared" si="14"/>
        <v>2613.35</v>
      </c>
      <c r="O66" s="26"/>
      <c r="P66" s="7"/>
      <c r="Q66" s="39">
        <f>SUMIFS([1]BV_Data_An_Prec!$AM:$AM,[1]BV_Data_An_Prec!$AP:$AP,$B66,[1]BV_Data_An_Prec!$AQ:$AQ,$C66,[1]BV_Data_An_Prec!$AR:$AR,Q$2)</f>
        <v>2193.6800000000003</v>
      </c>
      <c r="R66" s="26"/>
      <c r="S66" s="39">
        <f t="shared" si="15"/>
        <v>419.66999999999962</v>
      </c>
      <c r="T66" s="7"/>
      <c r="U66" s="6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1:40" ht="15.75" customHeight="1">
      <c r="A67" s="410" t="s">
        <v>327</v>
      </c>
      <c r="B67" s="7" t="s">
        <v>0</v>
      </c>
      <c r="C67" s="26" t="s">
        <v>61</v>
      </c>
      <c r="D67" s="54"/>
      <c r="E67" s="7"/>
      <c r="F67" s="19">
        <f>+INDEX('[1]Budget original'!$A$2:$AO$501,MATCH($A67,'[1]Budget original'!$A$2:$A$501,0),MATCH(F$2,'[1]Budget original'!$A$2:$AO$2,0))</f>
        <v>0</v>
      </c>
      <c r="G67" s="56"/>
      <c r="H67" s="7"/>
      <c r="I67" s="19"/>
      <c r="J67" s="26"/>
      <c r="K67" s="7"/>
      <c r="L67" s="39">
        <f>SUMIFS([1]BV_Data_An_Cour!$AM:$AM,[1]BV_Data_An_Cour!$AP:$AP,$B67,[1]BV_Data_An_Cour!$AQ:$AQ,$C67,[1]BV_Data_An_Cour!$AR:$AR,L$2)</f>
        <v>570</v>
      </c>
      <c r="M67" s="26"/>
      <c r="N67" s="39">
        <f t="shared" si="14"/>
        <v>570</v>
      </c>
      <c r="O67" s="26"/>
      <c r="P67" s="7"/>
      <c r="Q67" s="39">
        <f>SUMIFS([1]BV_Data_An_Prec!$AM:$AM,[1]BV_Data_An_Prec!$AP:$AP,$B67,[1]BV_Data_An_Prec!$AQ:$AQ,$C67,[1]BV_Data_An_Prec!$AR:$AR,Q$2)</f>
        <v>665</v>
      </c>
      <c r="R67" s="26"/>
      <c r="S67" s="39">
        <f t="shared" si="15"/>
        <v>-95</v>
      </c>
      <c r="T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1:40" ht="15.75" customHeight="1">
      <c r="A68" s="410" t="s">
        <v>328</v>
      </c>
      <c r="B68" s="7" t="s">
        <v>0</v>
      </c>
      <c r="C68" s="26" t="s">
        <v>62</v>
      </c>
      <c r="D68" s="54"/>
      <c r="E68" s="7"/>
      <c r="F68" s="19">
        <f>+INDEX('[1]Budget original'!$A$2:$AO$501,MATCH($A68,'[1]Budget original'!$A$2:$A$501,0),MATCH(F$2,'[1]Budget original'!$A$2:$AO$2,0))</f>
        <v>0</v>
      </c>
      <c r="G68" s="56"/>
      <c r="H68" s="7"/>
      <c r="I68" s="19"/>
      <c r="J68" s="26"/>
      <c r="K68" s="7"/>
      <c r="L68" s="39">
        <f>SUMIFS([1]BV_Data_An_Cour!$AM:$AM,[1]BV_Data_An_Cour!$AP:$AP,$B68,[1]BV_Data_An_Cour!$AQ:$AQ,$C68,[1]BV_Data_An_Cour!$AR:$AR,L$2)</f>
        <v>1435.5499999999993</v>
      </c>
      <c r="M68" s="26"/>
      <c r="N68" s="39">
        <f t="shared" si="14"/>
        <v>1435.5499999999993</v>
      </c>
      <c r="O68" s="26"/>
      <c r="P68" s="7"/>
      <c r="Q68" s="39">
        <f>SUMIFS([1]BV_Data_An_Prec!$AM:$AM,[1]BV_Data_An_Prec!$AP:$AP,$B68,[1]BV_Data_An_Prec!$AQ:$AQ,$C68,[1]BV_Data_An_Prec!$AR:$AR,Q$2)</f>
        <v>341.48</v>
      </c>
      <c r="R68" s="26"/>
      <c r="S68" s="39">
        <f t="shared" si="15"/>
        <v>1094.0699999999993</v>
      </c>
      <c r="T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1:40" ht="20.399999999999999" hidden="1" customHeight="1">
      <c r="A69" s="410" t="s">
        <v>285</v>
      </c>
      <c r="B69" s="7" t="s">
        <v>0</v>
      </c>
      <c r="C69" s="26" t="s">
        <v>19</v>
      </c>
      <c r="D69" s="54"/>
      <c r="E69" s="7"/>
      <c r="F69" s="19">
        <f>+INDEX('[1]Budget original'!$A$2:$AO$501,MATCH($A69,'[1]Budget original'!$A$2:$A$501,0),MATCH(F$2,'[1]Budget original'!$A$2:$AO$2,0))</f>
        <v>0</v>
      </c>
      <c r="G69" s="56"/>
      <c r="H69" s="7"/>
      <c r="I69" s="19"/>
      <c r="J69" s="26"/>
      <c r="K69" s="7"/>
      <c r="L69" s="39"/>
      <c r="M69" s="26"/>
      <c r="N69" s="39">
        <f t="shared" si="14"/>
        <v>0</v>
      </c>
      <c r="O69" s="26"/>
      <c r="P69" s="7"/>
      <c r="Q69" s="39"/>
      <c r="R69" s="26"/>
      <c r="S69" s="39">
        <f t="shared" si="15"/>
        <v>0</v>
      </c>
      <c r="T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1:40" ht="20.399999999999999" hidden="1" customHeight="1">
      <c r="A70" s="410" t="s">
        <v>285</v>
      </c>
      <c r="B70" s="7" t="s">
        <v>0</v>
      </c>
      <c r="C70" s="26" t="s">
        <v>19</v>
      </c>
      <c r="D70" s="54"/>
      <c r="E70" s="7"/>
      <c r="F70" s="19">
        <f>+INDEX('[1]Budget original'!$A$2:$AO$501,MATCH($A70,'[1]Budget original'!$A$2:$A$501,0),MATCH(F$2,'[1]Budget original'!$A$2:$AO$2,0))</f>
        <v>0</v>
      </c>
      <c r="G70" s="56"/>
      <c r="H70" s="7"/>
      <c r="I70" s="19"/>
      <c r="J70" s="26"/>
      <c r="K70" s="7"/>
      <c r="L70" s="39">
        <f>SUMIFS([1]BV_Data_An_Cour!$AM:$AM,[1]BV_Data_An_Cour!$AP:$AP,$B70,[1]BV_Data_An_Cour!$AQ:$AQ,$C70,[1]BV_Data_An_Cour!$AR:$AR,L$2)</f>
        <v>0</v>
      </c>
      <c r="M70" s="26"/>
      <c r="N70" s="39">
        <f t="shared" si="14"/>
        <v>0</v>
      </c>
      <c r="O70" s="26"/>
      <c r="P70" s="7"/>
      <c r="Q70" s="39">
        <f>SUMIFS([1]BV_Data_An_Prec!$AM:$AM,[1]BV_Data_An_Prec!$AP:$AP,$B70,[1]BV_Data_An_Prec!$AQ:$AQ,$C70,[1]BV_Data_An_Prec!$AR:$AR,Q$2)</f>
        <v>0</v>
      </c>
      <c r="R70" s="26"/>
      <c r="S70" s="39">
        <f t="shared" si="15"/>
        <v>0</v>
      </c>
      <c r="T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1:40" ht="20.399999999999999" hidden="1" customHeight="1">
      <c r="A71" s="410" t="s">
        <v>285</v>
      </c>
      <c r="B71" s="7" t="s">
        <v>0</v>
      </c>
      <c r="C71" s="26" t="s">
        <v>19</v>
      </c>
      <c r="D71" s="54"/>
      <c r="E71" s="7"/>
      <c r="F71" s="19">
        <f>+INDEX('[1]Budget original'!$A$2:$AO$501,MATCH($A71,'[1]Budget original'!$A$2:$A$501,0),MATCH(F$2,'[1]Budget original'!$A$2:$AO$2,0))</f>
        <v>0</v>
      </c>
      <c r="G71" s="56"/>
      <c r="H71" s="7"/>
      <c r="I71" s="19"/>
      <c r="J71" s="26"/>
      <c r="K71" s="7"/>
      <c r="L71" s="39">
        <f>SUMIFS([1]BV_Data_An_Cour!$AM:$AM,[1]BV_Data_An_Cour!$AP:$AP,$B71,[1]BV_Data_An_Cour!$AQ:$AQ,$C71,[1]BV_Data_An_Cour!$AR:$AR,L$2)*0.32</f>
        <v>0</v>
      </c>
      <c r="M71" s="26"/>
      <c r="N71" s="39">
        <f t="shared" si="14"/>
        <v>0</v>
      </c>
      <c r="O71" s="26"/>
      <c r="P71" s="7"/>
      <c r="Q71" s="39">
        <f>SUMIFS([1]BV_Data_An_Prec!$AM:$AM,[1]BV_Data_An_Prec!$AP:$AP,$B71,[1]BV_Data_An_Prec!$AQ:$AQ,$C71,[1]BV_Data_An_Prec!$AR:$AR,Q$2)*0.32</f>
        <v>0</v>
      </c>
      <c r="R71" s="26"/>
      <c r="S71" s="39">
        <f t="shared" si="15"/>
        <v>0</v>
      </c>
      <c r="T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1:40" ht="18.600000000000001" customHeight="1">
      <c r="A72" s="410" t="s">
        <v>329</v>
      </c>
      <c r="B72" s="7" t="s">
        <v>0</v>
      </c>
      <c r="C72" s="139" t="s">
        <v>63</v>
      </c>
      <c r="D72" s="62" t="s">
        <v>38</v>
      </c>
      <c r="E72" s="63" t="e">
        <f>F72/F$27</f>
        <v>#DIV/0!</v>
      </c>
      <c r="F72" s="64">
        <f>+SUM(F55:F71)</f>
        <v>0</v>
      </c>
      <c r="G72" s="65"/>
      <c r="H72" s="63"/>
      <c r="I72" s="64"/>
      <c r="J72" s="65" t="s">
        <v>38</v>
      </c>
      <c r="K72" s="63">
        <f>L72/L$27</f>
        <v>0.11781989932476554</v>
      </c>
      <c r="L72" s="64">
        <f>+SUM(L55:L71)</f>
        <v>23023.949999999993</v>
      </c>
      <c r="M72" s="66"/>
      <c r="N72" s="64">
        <f>+SUM(N55:N71)</f>
        <v>23023.949999999993</v>
      </c>
      <c r="O72" s="65" t="s">
        <v>38</v>
      </c>
      <c r="P72" s="63">
        <f>Q72/Q$27</f>
        <v>0.12902851557616574</v>
      </c>
      <c r="Q72" s="64">
        <f>+SUM(Q55:Q71)</f>
        <v>40059.660000000003</v>
      </c>
      <c r="R72" s="67"/>
      <c r="S72" s="64">
        <f>+SUM(S55:S71)</f>
        <v>-17035.710000000003</v>
      </c>
      <c r="T72" s="7"/>
      <c r="U72" s="6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1:40" ht="15.75" customHeight="1">
      <c r="A73" s="410" t="s">
        <v>0</v>
      </c>
      <c r="B73" s="7" t="s">
        <v>0</v>
      </c>
      <c r="C73" s="14"/>
      <c r="D73" s="57"/>
      <c r="E73" s="73"/>
      <c r="F73" s="39"/>
      <c r="G73" s="59"/>
      <c r="H73" s="73"/>
      <c r="I73" s="39"/>
      <c r="J73" s="14"/>
      <c r="K73" s="73"/>
      <c r="L73" s="61"/>
      <c r="M73" s="14"/>
      <c r="N73" s="61"/>
      <c r="O73" s="14"/>
      <c r="P73" s="73"/>
      <c r="Q73" s="61"/>
      <c r="R73" s="14"/>
      <c r="S73" s="61"/>
      <c r="T73" s="7"/>
      <c r="U73" s="6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1:40" ht="18.600000000000001" customHeight="1">
      <c r="A74" s="410" t="s">
        <v>330</v>
      </c>
      <c r="B74" s="7" t="s">
        <v>0</v>
      </c>
      <c r="C74" s="139" t="s">
        <v>64</v>
      </c>
      <c r="D74" s="62" t="s">
        <v>38</v>
      </c>
      <c r="E74" s="63" t="e">
        <f>F74/F$27</f>
        <v>#DIV/0!</v>
      </c>
      <c r="F74" s="64">
        <f>F41+F54+F72</f>
        <v>0</v>
      </c>
      <c r="G74" s="65"/>
      <c r="H74" s="63"/>
      <c r="I74" s="64"/>
      <c r="J74" s="65" t="s">
        <v>38</v>
      </c>
      <c r="K74" s="63">
        <f>L74/L$27</f>
        <v>0.60950934127971379</v>
      </c>
      <c r="L74" s="64">
        <f>L41+L54+L72</f>
        <v>119108.17000000003</v>
      </c>
      <c r="M74" s="66"/>
      <c r="N74" s="64">
        <f t="shared" ref="N74:N82" si="16">L74-F74</f>
        <v>119108.17000000003</v>
      </c>
      <c r="O74" s="65" t="s">
        <v>38</v>
      </c>
      <c r="P74" s="63">
        <f>Q74/Q$27</f>
        <v>0.45678723935155313</v>
      </c>
      <c r="Q74" s="64">
        <f>Q41+Q54+Q72</f>
        <v>141819.35999999987</v>
      </c>
      <c r="R74" s="67"/>
      <c r="S74" s="64">
        <f>L74-Q74</f>
        <v>-22711.189999999842</v>
      </c>
      <c r="T74" s="7"/>
      <c r="U74" s="6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1:40" ht="16.2" customHeight="1">
      <c r="A75" s="410" t="s">
        <v>331</v>
      </c>
      <c r="B75" s="7" t="s">
        <v>0</v>
      </c>
      <c r="C75" s="26" t="s">
        <v>332</v>
      </c>
      <c r="D75" s="54"/>
      <c r="E75" s="7"/>
      <c r="F75" s="19">
        <f>+INDEX('[1]Budget original'!$A$2:$AO$501,MATCH($A75,'[1]Budget original'!$A$2:$A$501,0),MATCH(F$2,'[1]Budget original'!$A$2:$AO$2,0))</f>
        <v>0</v>
      </c>
      <c r="G75" s="56"/>
      <c r="H75" s="7"/>
      <c r="I75" s="19"/>
      <c r="J75" s="26"/>
      <c r="K75" s="7"/>
      <c r="L75" s="39">
        <f>-SUMIFS([1]BV_Data_An_Cour!$AM:$AM,[1]BV_Data_An_Cour!$AP:$AP,$B75,[1]BV_Data_An_Cour!$AQ:$AQ,$C75,[1]BV_Data_An_Cour!$AR:$AR,L$2)</f>
        <v>2794.3899999999994</v>
      </c>
      <c r="M75" s="26"/>
      <c r="N75" s="39">
        <f t="shared" si="16"/>
        <v>2794.3899999999994</v>
      </c>
      <c r="O75" s="26"/>
      <c r="P75" s="7"/>
      <c r="Q75" s="39">
        <f>-SUMIFS([1]BV_Data_An_Prec!$AM:$AM,[1]BV_Data_An_Prec!$AP:$AP,$B75,[1]BV_Data_An_Prec!$AQ:$AQ,$C75,[1]BV_Data_An_Prec!$AR:$AR,Q$2)-Q157</f>
        <v>25095</v>
      </c>
      <c r="R75" s="26"/>
      <c r="S75" s="39">
        <f t="shared" ref="S75:S82" si="17">L75-Q75</f>
        <v>-22300.61</v>
      </c>
      <c r="T75" s="7"/>
      <c r="U75" s="6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1:40" ht="16.2" hidden="1" customHeight="1">
      <c r="A76" s="410" t="s">
        <v>333</v>
      </c>
      <c r="B76" s="7" t="s">
        <v>0</v>
      </c>
      <c r="C76" s="300" t="s">
        <v>187</v>
      </c>
      <c r="D76" s="54"/>
      <c r="E76" s="7"/>
      <c r="F76" s="19">
        <f>+INDEX('[1]Budget original'!$A$2:$AO$501,MATCH($A76,'[1]Budget original'!$A$2:$A$501,0),MATCH(F$2,'[1]Budget original'!$A$2:$AO$2,0))</f>
        <v>0</v>
      </c>
      <c r="G76" s="56"/>
      <c r="H76" s="7"/>
      <c r="I76" s="19"/>
      <c r="J76" s="26"/>
      <c r="K76" s="7"/>
      <c r="L76" s="39">
        <f>-SUMIFS([1]BV_Data_An_Cour!$AM:$AM,[1]BV_Data_An_Cour!$AP:$AP,$B76,[1]BV_Data_An_Cour!$AQ:$AQ,$C76,[1]BV_Data_An_Cour!$AR:$AR,L$2)</f>
        <v>0</v>
      </c>
      <c r="M76" s="26"/>
      <c r="N76" s="39">
        <f t="shared" si="16"/>
        <v>0</v>
      </c>
      <c r="O76" s="26"/>
      <c r="P76" s="7"/>
      <c r="Q76" s="39">
        <f>-SUMIFS([1]BV_Data_An_Prec!$AM:$AM,[1]BV_Data_An_Prec!$AP:$AP,$B76,[1]BV_Data_An_Prec!$AQ:$AQ,$C76,[1]BV_Data_An_Prec!$AR:$AR,Q$2)</f>
        <v>0</v>
      </c>
      <c r="R76" s="26"/>
      <c r="S76" s="39">
        <f t="shared" si="17"/>
        <v>0</v>
      </c>
      <c r="T76" s="7"/>
      <c r="U76" s="6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1:40" ht="16.2" hidden="1" customHeight="1">
      <c r="A77" s="410" t="s">
        <v>334</v>
      </c>
      <c r="B77" s="7" t="s">
        <v>0</v>
      </c>
      <c r="C77" s="300" t="s">
        <v>65</v>
      </c>
      <c r="D77" s="54"/>
      <c r="E77" s="7"/>
      <c r="F77" s="19">
        <f>+INDEX('[1]Budget original'!$A$2:$AO$501,MATCH($A77,'[1]Budget original'!$A$2:$A$501,0),MATCH(F$2,'[1]Budget original'!$A$2:$AO$2,0))</f>
        <v>0</v>
      </c>
      <c r="G77" s="56"/>
      <c r="H77" s="7"/>
      <c r="I77" s="19"/>
      <c r="J77" s="26"/>
      <c r="K77" s="7"/>
      <c r="L77" s="39">
        <f>-SUMIFS([1]BV_Data_An_Cour!$AM:$AM,[1]BV_Data_An_Cour!$AP:$AP,$B77,[1]BV_Data_An_Cour!$AQ:$AQ,$C77,[1]BV_Data_An_Cour!$AR:$AR,L$2)</f>
        <v>0</v>
      </c>
      <c r="M77" s="26"/>
      <c r="N77" s="39">
        <f t="shared" si="16"/>
        <v>0</v>
      </c>
      <c r="O77" s="26"/>
      <c r="P77" s="7"/>
      <c r="Q77" s="39">
        <f>-SUMIFS([1]BV_Data_An_Prec!$AM:$AM,[1]BV_Data_An_Prec!$AP:$AP,$B77,[1]BV_Data_An_Prec!$AQ:$AQ,$C77,[1]BV_Data_An_Prec!$AR:$AR,Q$2)</f>
        <v>0</v>
      </c>
      <c r="R77" s="26"/>
      <c r="S77" s="39">
        <f t="shared" si="17"/>
        <v>0</v>
      </c>
      <c r="T77" s="7"/>
      <c r="U77" s="6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1:40" ht="16.2" hidden="1" customHeight="1">
      <c r="A78" s="410" t="s">
        <v>335</v>
      </c>
      <c r="B78" s="7" t="s">
        <v>0</v>
      </c>
      <c r="C78" s="300" t="s">
        <v>66</v>
      </c>
      <c r="D78" s="54"/>
      <c r="E78" s="301" t="e">
        <f>+F78/D27</f>
        <v>#DIV/0!</v>
      </c>
      <c r="F78" s="19">
        <f>+INDEX('[1]Budget original'!$A$2:$AO$501,MATCH($A78,'[1]Budget original'!$A$2:$A$501,0),MATCH(F$2,'[1]Budget original'!$A$2:$AO$2,0))</f>
        <v>0</v>
      </c>
      <c r="G78" s="56"/>
      <c r="H78" s="7"/>
      <c r="I78" s="19"/>
      <c r="J78" s="302"/>
      <c r="K78" s="301">
        <f>+L78/J27</f>
        <v>0</v>
      </c>
      <c r="L78" s="39">
        <f>-SUMIFS([1]BV_Data_An_Cour!$AM:$AM,[1]BV_Data_An_Cour!$AP:$AP,$B78,[1]BV_Data_An_Cour!$AQ:$AQ,$C78,[1]BV_Data_An_Cour!$AR:$AR,L$2)</f>
        <v>0</v>
      </c>
      <c r="M78" s="26"/>
      <c r="N78" s="39">
        <f t="shared" si="16"/>
        <v>0</v>
      </c>
      <c r="O78" s="302"/>
      <c r="P78" s="301">
        <f>+Q78/O27</f>
        <v>0</v>
      </c>
      <c r="Q78" s="39">
        <f>-SUMIFS([1]BV_Data_An_Prec!$AM:$AM,[1]BV_Data_An_Prec!$AP:$AP,$B78,[1]BV_Data_An_Prec!$AQ:$AQ,$C78,[1]BV_Data_An_Prec!$AR:$AR,Q$2)</f>
        <v>0</v>
      </c>
      <c r="R78" s="26"/>
      <c r="S78" s="39">
        <f t="shared" si="17"/>
        <v>0</v>
      </c>
      <c r="T78" s="7"/>
      <c r="U78" s="6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1:40" ht="16.2" hidden="1" customHeight="1">
      <c r="A79" s="410" t="s">
        <v>285</v>
      </c>
      <c r="B79" s="7" t="s">
        <v>0</v>
      </c>
      <c r="C79" s="300" t="s">
        <v>19</v>
      </c>
      <c r="D79" s="54"/>
      <c r="E79" s="7"/>
      <c r="F79" s="19">
        <f>+INDEX('[1]Budget original'!$A$2:$AO$501,MATCH($A79,'[1]Budget original'!$A$2:$A$501,0),MATCH(F$2,'[1]Budget original'!$A$2:$AO$2,0))</f>
        <v>0</v>
      </c>
      <c r="G79" s="56"/>
      <c r="H79" s="7"/>
      <c r="I79" s="19"/>
      <c r="J79" s="26"/>
      <c r="K79" s="7"/>
      <c r="L79" s="39">
        <f>-SUMIFS([1]BV_Data_An_Cour!$AM:$AM,[1]BV_Data_An_Cour!$AP:$AP,$B79,[1]BV_Data_An_Cour!$AQ:$AQ,$C79,[1]BV_Data_An_Cour!$AR:$AR,L$2)</f>
        <v>0</v>
      </c>
      <c r="M79" s="26"/>
      <c r="N79" s="39">
        <f t="shared" si="16"/>
        <v>0</v>
      </c>
      <c r="O79" s="26"/>
      <c r="P79" s="7"/>
      <c r="Q79" s="39">
        <f>-SUMIFS([1]BV_Data_An_Prec!$AM:$AM,[1]BV_Data_An_Prec!$AP:$AP,$B79,[1]BV_Data_An_Prec!$AQ:$AQ,$C79,[1]BV_Data_An_Prec!$AR:$AR,Q$2)</f>
        <v>0</v>
      </c>
      <c r="R79" s="26"/>
      <c r="S79" s="39">
        <f t="shared" si="17"/>
        <v>0</v>
      </c>
      <c r="T79" s="7"/>
      <c r="U79" s="6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1:40" ht="16.2" hidden="1" customHeight="1">
      <c r="A80" s="410" t="s">
        <v>285</v>
      </c>
      <c r="B80" s="7" t="s">
        <v>0</v>
      </c>
      <c r="C80" s="300" t="s">
        <v>19</v>
      </c>
      <c r="D80" s="54"/>
      <c r="E80" s="7"/>
      <c r="F80" s="19">
        <f>+INDEX('[1]Budget original'!$A$2:$AO$501,MATCH($A80,'[1]Budget original'!$A$2:$A$501,0),MATCH(F$2,'[1]Budget original'!$A$2:$AO$2,0))</f>
        <v>0</v>
      </c>
      <c r="G80" s="56"/>
      <c r="H80" s="7"/>
      <c r="I80" s="19"/>
      <c r="J80" s="26"/>
      <c r="K80" s="7"/>
      <c r="L80" s="39">
        <f>-SUMIFS([1]BV_Data_An_Cour!$AM:$AM,[1]BV_Data_An_Cour!$AP:$AP,$B80,[1]BV_Data_An_Cour!$AQ:$AQ,$C80,[1]BV_Data_An_Cour!$AR:$AR,L$2)</f>
        <v>0</v>
      </c>
      <c r="M80" s="26"/>
      <c r="N80" s="39">
        <f t="shared" si="16"/>
        <v>0</v>
      </c>
      <c r="O80" s="26"/>
      <c r="P80" s="7"/>
      <c r="Q80" s="39">
        <f>-SUMIFS([1]BV_Data_An_Prec!$AM:$AM,[1]BV_Data_An_Prec!$AP:$AP,$B80,[1]BV_Data_An_Prec!$AQ:$AQ,$C80,[1]BV_Data_An_Prec!$AR:$AR,Q$2)</f>
        <v>0</v>
      </c>
      <c r="R80" s="26"/>
      <c r="S80" s="39">
        <f t="shared" si="17"/>
        <v>0</v>
      </c>
      <c r="T80" s="7"/>
      <c r="U80" s="6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1:40" ht="16.2" hidden="1" customHeight="1">
      <c r="A81" s="410" t="s">
        <v>285</v>
      </c>
      <c r="B81" s="7" t="s">
        <v>0</v>
      </c>
      <c r="C81" s="300" t="s">
        <v>19</v>
      </c>
      <c r="D81" s="54"/>
      <c r="E81" s="7"/>
      <c r="F81" s="19">
        <f>+INDEX('[1]Budget original'!$A$2:$AO$501,MATCH($A81,'[1]Budget original'!$A$2:$A$501,0),MATCH(F$2,'[1]Budget original'!$A$2:$AO$2,0))</f>
        <v>0</v>
      </c>
      <c r="G81" s="56"/>
      <c r="H81" s="7"/>
      <c r="I81" s="19"/>
      <c r="J81" s="26"/>
      <c r="K81" s="7"/>
      <c r="L81" s="39">
        <f>-SUMIFS([1]BV_Data_An_Cour!$AM:$AM,[1]BV_Data_An_Cour!$AP:$AP,$B81,[1]BV_Data_An_Cour!$AQ:$AQ,$C81,[1]BV_Data_An_Cour!$AR:$AR,L$2)</f>
        <v>0</v>
      </c>
      <c r="M81" s="26"/>
      <c r="N81" s="39">
        <f t="shared" si="16"/>
        <v>0</v>
      </c>
      <c r="O81" s="26"/>
      <c r="P81" s="7"/>
      <c r="Q81" s="39">
        <f>-SUMIFS([1]BV_Data_An_Prec!$AM:$AM,[1]BV_Data_An_Prec!$AP:$AP,$B81,[1]BV_Data_An_Prec!$AQ:$AQ,$C81,[1]BV_Data_An_Prec!$AR:$AR,Q$2)</f>
        <v>0</v>
      </c>
      <c r="R81" s="26"/>
      <c r="S81" s="39">
        <f t="shared" si="17"/>
        <v>0</v>
      </c>
      <c r="T81" s="7"/>
      <c r="U81" s="6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1:40" ht="16.2" customHeight="1">
      <c r="A82" s="234" t="s">
        <v>336</v>
      </c>
      <c r="B82" s="7" t="s">
        <v>0</v>
      </c>
      <c r="C82" s="26" t="s">
        <v>67</v>
      </c>
      <c r="D82" s="303" t="e">
        <f>E82/499</f>
        <v>#DIV/0!</v>
      </c>
      <c r="E82" s="274" t="e">
        <f>+F82/D24</f>
        <v>#DIV/0!</v>
      </c>
      <c r="F82" s="19">
        <f>+INDEX('[1]Budget original'!$A$2:$AO$501,MATCH($A82,'[1]Budget original'!$A$2:$A$501,0),MATCH(F$2,'[1]Budget original'!$A$2:$AO$2,0))</f>
        <v>0</v>
      </c>
      <c r="G82" s="56"/>
      <c r="H82" s="7"/>
      <c r="I82" s="19"/>
      <c r="J82" s="275">
        <f>K82/699</f>
        <v>0.79907804800508664</v>
      </c>
      <c r="K82" s="274">
        <f>+L82/J24</f>
        <v>558.55555555555554</v>
      </c>
      <c r="L82" s="39">
        <f>-SUMIFS([1]BV_Data_An_Cour!$AM:$AM,[1]BV_Data_An_Cour!$AP:$AP,$B82,[1]BV_Data_An_Cour!$AQ:$AQ,$C82,[1]BV_Data_An_Cour!$AR:$AR,L$2)</f>
        <v>30162</v>
      </c>
      <c r="M82" s="26"/>
      <c r="N82" s="39">
        <f t="shared" si="16"/>
        <v>30162</v>
      </c>
      <c r="O82" s="275">
        <f>P82/699</f>
        <v>0</v>
      </c>
      <c r="P82" s="274">
        <f>+Q82/O24</f>
        <v>0</v>
      </c>
      <c r="Q82" s="39">
        <f>-SUMIFS([1]BV_Data_An_Prec!$AM:$AM,[1]BV_Data_An_Prec!$AP:$AP,$B82,[1]BV_Data_An_Prec!$AQ:$AQ,$C82,[1]BV_Data_An_Prec!$AR:$AR,Q$2)</f>
        <v>0</v>
      </c>
      <c r="R82" s="26"/>
      <c r="S82" s="39">
        <f t="shared" si="17"/>
        <v>30162</v>
      </c>
      <c r="T82" s="7"/>
      <c r="U82" s="6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1:40" ht="18.600000000000001" customHeight="1">
      <c r="A83" s="410" t="s">
        <v>337</v>
      </c>
      <c r="B83" s="7" t="s">
        <v>0</v>
      </c>
      <c r="C83" s="139" t="s">
        <v>68</v>
      </c>
      <c r="D83" s="62"/>
      <c r="E83" s="63"/>
      <c r="F83" s="64">
        <f>+SUM(F75:F82)</f>
        <v>0</v>
      </c>
      <c r="G83" s="65"/>
      <c r="H83" s="63"/>
      <c r="I83" s="64"/>
      <c r="J83" s="65"/>
      <c r="K83" s="63"/>
      <c r="L83" s="64">
        <f>+SUM(L75:L82)</f>
        <v>32956.39</v>
      </c>
      <c r="M83" s="66"/>
      <c r="N83" s="64">
        <f>+SUM(N75:N82)</f>
        <v>32956.39</v>
      </c>
      <c r="O83" s="65"/>
      <c r="P83" s="63"/>
      <c r="Q83" s="64">
        <f>+SUM(Q75:Q82)</f>
        <v>25095</v>
      </c>
      <c r="R83" s="67"/>
      <c r="S83" s="64">
        <f>+SUM(S75:S82)</f>
        <v>7861.3899999999994</v>
      </c>
      <c r="T83" s="7"/>
      <c r="U83" s="6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1:40" ht="15.75" customHeight="1">
      <c r="A84" s="410" t="s">
        <v>0</v>
      </c>
      <c r="B84" s="7" t="s">
        <v>0</v>
      </c>
      <c r="C84" s="304"/>
      <c r="D84" s="75"/>
      <c r="E84" s="76"/>
      <c r="F84" s="77"/>
      <c r="G84" s="78"/>
      <c r="H84" s="76"/>
      <c r="I84" s="77"/>
      <c r="J84" s="79"/>
      <c r="K84" s="80"/>
      <c r="L84" s="77"/>
      <c r="M84" s="79"/>
      <c r="N84" s="81"/>
      <c r="O84" s="79"/>
      <c r="P84" s="80"/>
      <c r="Q84" s="77"/>
      <c r="R84" s="79"/>
      <c r="S84" s="81"/>
      <c r="T84" s="7"/>
      <c r="U84" s="6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1:40" ht="18.600000000000001" customHeight="1" thickBot="1">
      <c r="A85" s="410" t="s">
        <v>338</v>
      </c>
      <c r="B85" s="7" t="s">
        <v>0</v>
      </c>
      <c r="C85" s="276" t="s">
        <v>69</v>
      </c>
      <c r="D85" s="277"/>
      <c r="E85" s="278"/>
      <c r="F85" s="138">
        <f>F27-F74+F83</f>
        <v>0</v>
      </c>
      <c r="G85" s="279"/>
      <c r="H85" s="278"/>
      <c r="I85" s="138"/>
      <c r="J85" s="279"/>
      <c r="K85" s="278"/>
      <c r="L85" s="138">
        <f>L27-L74+L83</f>
        <v>109264.69999999943</v>
      </c>
      <c r="M85" s="280"/>
      <c r="N85" s="138">
        <f>N27-N41-N54-N72+N83</f>
        <v>109264.69999999942</v>
      </c>
      <c r="O85" s="279"/>
      <c r="P85" s="278"/>
      <c r="Q85" s="138">
        <f>Q27-Q74+Q83</f>
        <v>193747.01000001165</v>
      </c>
      <c r="R85" s="281"/>
      <c r="S85" s="138">
        <f>S27-S41-S54-S72+S83</f>
        <v>-84482.31000001225</v>
      </c>
      <c r="T85" s="7"/>
      <c r="U85" s="6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1:40" ht="15.75" customHeight="1" thickTop="1">
      <c r="B86" s="82"/>
      <c r="C86" s="82"/>
      <c r="D86" s="82"/>
      <c r="E86" s="82"/>
      <c r="F86" s="82"/>
      <c r="G86" s="82"/>
      <c r="H86" s="82"/>
      <c r="I86" s="82"/>
      <c r="J86" s="305"/>
      <c r="K86" s="82"/>
      <c r="L86" s="306"/>
      <c r="M86" s="82"/>
      <c r="N86" s="82"/>
      <c r="O86" s="82"/>
      <c r="P86" s="82"/>
      <c r="Q86" s="83"/>
      <c r="R86" s="82"/>
      <c r="S86" s="82"/>
      <c r="T86" s="82"/>
      <c r="U86" s="6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</row>
    <row r="87" spans="1:40" ht="12.75" customHeight="1">
      <c r="B87" s="82"/>
      <c r="C87" s="82"/>
      <c r="D87" s="82"/>
      <c r="E87" s="82"/>
      <c r="F87" s="82"/>
      <c r="G87" s="82"/>
      <c r="H87" s="82"/>
      <c r="I87" s="83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6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</row>
    <row r="88" spans="1:40" ht="15.6" hidden="1" customHeight="1"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spans="1:40" ht="33" customHeight="1">
      <c r="B89" s="2"/>
      <c r="C89" s="251" t="str">
        <f>C1</f>
        <v>Ste-Marie Auto</v>
      </c>
      <c r="D89" s="252"/>
      <c r="E89" s="253"/>
      <c r="F89" s="252"/>
      <c r="G89" s="252"/>
      <c r="H89" s="254"/>
      <c r="I89" s="252"/>
      <c r="J89" s="254"/>
      <c r="K89" s="255" t="s">
        <v>70</v>
      </c>
      <c r="L89" s="252"/>
      <c r="M89" s="252"/>
      <c r="N89" s="256"/>
      <c r="O89" s="251"/>
      <c r="P89" s="257"/>
      <c r="Q89" s="251"/>
      <c r="R89" s="257"/>
      <c r="S89" s="258" t="str">
        <f>$S$1</f>
        <v>Réalisé, Juillet 2026</v>
      </c>
      <c r="T89" s="2"/>
      <c r="U89" s="38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15.75" customHeight="1" thickBot="1">
      <c r="B90" s="3"/>
      <c r="C90" s="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spans="1:40" ht="15.75" customHeight="1" thickTop="1">
      <c r="B91" s="7"/>
      <c r="C91" s="259"/>
      <c r="D91" s="407" t="s">
        <v>5</v>
      </c>
      <c r="E91" s="408"/>
      <c r="F91" s="406"/>
      <c r="G91" s="405"/>
      <c r="H91" s="408"/>
      <c r="I91" s="406"/>
      <c r="J91" s="405" t="s">
        <v>7</v>
      </c>
      <c r="K91" s="408"/>
      <c r="L91" s="406"/>
      <c r="M91" s="405" t="s">
        <v>211</v>
      </c>
      <c r="N91" s="406"/>
      <c r="O91" s="407" t="s">
        <v>8</v>
      </c>
      <c r="P91" s="408"/>
      <c r="Q91" s="406"/>
      <c r="R91" s="405" t="s">
        <v>212</v>
      </c>
      <c r="S91" s="406"/>
      <c r="T91" s="7"/>
      <c r="U91" s="6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1:40" ht="15.75" customHeight="1">
      <c r="B92" s="7"/>
      <c r="C92" s="26"/>
      <c r="D92" s="8" t="s">
        <v>10</v>
      </c>
      <c r="E92" s="9" t="s">
        <v>11</v>
      </c>
      <c r="F92" s="10" t="s">
        <v>12</v>
      </c>
      <c r="G92" s="11"/>
      <c r="H92" s="9"/>
      <c r="I92" s="10"/>
      <c r="J92" s="11" t="s">
        <v>221</v>
      </c>
      <c r="K92" s="9" t="s">
        <v>13</v>
      </c>
      <c r="L92" s="10" t="s">
        <v>12</v>
      </c>
      <c r="M92" s="11" t="s">
        <v>221</v>
      </c>
      <c r="N92" s="10" t="s">
        <v>12</v>
      </c>
      <c r="O92" s="9" t="s">
        <v>10</v>
      </c>
      <c r="P92" s="9" t="s">
        <v>11</v>
      </c>
      <c r="Q92" s="10" t="s">
        <v>12</v>
      </c>
      <c r="R92" s="11" t="s">
        <v>221</v>
      </c>
      <c r="S92" s="10" t="s">
        <v>12</v>
      </c>
      <c r="T92" s="7"/>
      <c r="U92" s="6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1:40" ht="24" customHeight="1">
      <c r="A93" s="410" t="s">
        <v>222</v>
      </c>
      <c r="B93" s="7" t="s">
        <v>70</v>
      </c>
      <c r="C93" s="14" t="s">
        <v>14</v>
      </c>
      <c r="D93" s="30"/>
      <c r="E93" s="30"/>
      <c r="F93" s="31">
        <f>+INDEX('[1]Budget original'!$A$2:$AO$501,MATCH($A93,'[1]Budget original'!$A$2:$A$501,0),MATCH(F$2,'[1]Budget original'!$A$2:$AO$2,0))</f>
        <v>0</v>
      </c>
      <c r="G93" s="34"/>
      <c r="H93" s="30"/>
      <c r="I93" s="31"/>
      <c r="J93" s="14"/>
      <c r="K93" s="58"/>
      <c r="L93" s="61">
        <f>-SUMIFS([1]BV_Data_An_Cour!$AM:$AM,[1]BV_Data_An_Cour!$AS:$AS,"Oui",[1]BV_Data_An_Cour!$AP:$AP,$B93)</f>
        <v>1470640.9100000001</v>
      </c>
      <c r="M93" s="86"/>
      <c r="N93" s="87"/>
      <c r="O93" s="14"/>
      <c r="P93" s="58"/>
      <c r="Q93" s="61">
        <f>-SUMIFS([1]BV_Data_An_Prec!$AM:$AM,[1]BV_Data_An_Prec!$AS:$AS,"Oui",[1]BV_Data_An_Prec!$AP:$AP,$B93)</f>
        <v>2050773.7499999998</v>
      </c>
      <c r="R93" s="307"/>
      <c r="S93" s="286"/>
      <c r="T93" s="7"/>
      <c r="U93" s="6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1:40" ht="21.75" customHeight="1">
      <c r="A94" s="410" t="s">
        <v>224</v>
      </c>
      <c r="B94" s="7" t="s">
        <v>70</v>
      </c>
      <c r="C94" s="26" t="s">
        <v>72</v>
      </c>
      <c r="D94" s="19">
        <f>+INDEX('[1]Budget original'!$A$2:$AO$501,MATCH($A94,'[1]Budget original'!$A$2:$A$501,0),MATCH(D$2,'[1]Budget original'!$A$2:$AO$2,0))</f>
        <v>0</v>
      </c>
      <c r="E94" s="19">
        <f>IF(D94=0,0,F94/D94)</f>
        <v>0</v>
      </c>
      <c r="F94" s="19">
        <f>+INDEX('[1]Budget original'!$A$2:$AO$501,MATCH($A94,'[1]Budget original'!$A$2:$A$501,0),MATCH(F$2,'[1]Budget original'!$A$2:$AO$2,0))</f>
        <v>0</v>
      </c>
      <c r="G94" s="20"/>
      <c r="H94" s="19"/>
      <c r="I94" s="19"/>
      <c r="J94" s="20">
        <f>SUMIFS([1]BV_Data_An_Cour!$AW:$AW,[1]BV_Data_An_Cour!$AP:$AP,$B94,[1]BV_Data_An_Cour!$AQ:$AQ,$C94,[1]BV_Data_An_Cour!$AY:$AY,J$2)</f>
        <v>0</v>
      </c>
      <c r="K94" s="55">
        <f t="shared" ref="K94:K96" si="18">IF(J94=0,0,L94/J94)</f>
        <v>0</v>
      </c>
      <c r="L94" s="39">
        <f>-SUMIFS([1]BV_Data_An_Cour!$AM:$AM,[1]BV_Data_An_Cour!$AP:$AP,$B94,[1]BV_Data_An_Cour!$AQ:$AQ,$C94,[1]BV_Data_An_Cour!$AR:$AR,$L2)</f>
        <v>0</v>
      </c>
      <c r="M94" s="20">
        <f>J94-D94</f>
        <v>0</v>
      </c>
      <c r="N94" s="21">
        <f>L94-F94</f>
        <v>0</v>
      </c>
      <c r="O94" s="20">
        <f>SUMIFS([1]BV_Data_An_Prec!$AW:$AW,[1]BV_Data_An_Prec!$AP:$AP,$B94,[1]BV_Data_An_Prec!$AQ:$AQ,$C94,[1]BV_Data_An_Prec!$AY:$AY,O$2)</f>
        <v>0</v>
      </c>
      <c r="P94" s="55">
        <f t="shared" ref="P94:P96" si="19">IF(O94=0,0,Q94/O94)</f>
        <v>0</v>
      </c>
      <c r="Q94" s="39">
        <f>-SUMIFS([1]BV_Data_An_Prec!$AM:$AM,[1]BV_Data_An_Prec!$AP:$AP,$B94,[1]BV_Data_An_Prec!$AQ:$AQ,$C94,[1]BV_Data_An_Prec!$AR:$AR,$L2)</f>
        <v>0</v>
      </c>
      <c r="R94" s="20">
        <f t="shared" ref="R94" si="20">J94-O94</f>
        <v>0</v>
      </c>
      <c r="S94" s="39">
        <f t="shared" ref="S94:S95" si="21">L94-Q94</f>
        <v>0</v>
      </c>
      <c r="T94" s="7"/>
      <c r="U94" s="6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1:40" ht="18.75" customHeight="1">
      <c r="A95" s="410" t="s">
        <v>226</v>
      </c>
      <c r="B95" s="7" t="s">
        <v>70</v>
      </c>
      <c r="C95" s="26" t="s">
        <v>73</v>
      </c>
      <c r="D95" s="19">
        <f>+INDEX('[1]Budget original'!$A$2:$AO$501,MATCH($A95,'[1]Budget original'!$A$2:$A$501,0),MATCH(D$2,'[1]Budget original'!$A$2:$AO$2,0))</f>
        <v>0</v>
      </c>
      <c r="E95" s="19">
        <f t="shared" ref="E95:E106" si="22">IF(D95=0,0,F95/D95)</f>
        <v>0</v>
      </c>
      <c r="F95" s="19">
        <f>+INDEX('[1]Budget original'!$A$2:$AO$501,MATCH($A95,'[1]Budget original'!$A$2:$A$501,0),MATCH(F$2,'[1]Budget original'!$A$2:$AO$2,0))</f>
        <v>0</v>
      </c>
      <c r="G95" s="20"/>
      <c r="H95" s="19"/>
      <c r="I95" s="19"/>
      <c r="J95" s="20">
        <f>SUMIFS([1]BV_Data_An_Cour!$AW:$AW,[1]BV_Data_An_Cour!$AP:$AP,$B95,[1]BV_Data_An_Cour!$AQ:$AQ,$C95,[1]BV_Data_An_Cour!$AY:$AY,J$2)</f>
        <v>23</v>
      </c>
      <c r="K95" s="55">
        <f t="shared" si="18"/>
        <v>645.77434782610453</v>
      </c>
      <c r="L95" s="39">
        <f>-SUMIFS([1]BV_Data_An_Cour!$AM:$AM,[1]BV_Data_An_Cour!$AP:$AP,$B95,[1]BV_Data_An_Cour!$AQ:$AQ,$C95,[1]BV_Data_An_Cour!$AR:$AR,$L2)</f>
        <v>14852.810000000405</v>
      </c>
      <c r="M95" s="20">
        <f>J95-D95</f>
        <v>23</v>
      </c>
      <c r="N95" s="21">
        <f>L95-F95</f>
        <v>14852.810000000405</v>
      </c>
      <c r="O95" s="20">
        <f>SUMIFS([1]BV_Data_An_Prec!$AW:$AW,[1]BV_Data_An_Prec!$AP:$AP,$B95,[1]BV_Data_An_Prec!$AQ:$AQ,$C95,[1]BV_Data_An_Prec!$AY:$AY,O$2)</f>
        <v>12</v>
      </c>
      <c r="P95" s="55">
        <f t="shared" si="19"/>
        <v>1196.0858333333163</v>
      </c>
      <c r="Q95" s="39">
        <f>-SUMIFS([1]BV_Data_An_Prec!$AM:$AM,[1]BV_Data_An_Prec!$AP:$AP,$B95,[1]BV_Data_An_Prec!$AQ:$AQ,$C95,[1]BV_Data_An_Prec!$AR:$AR,$L2)</f>
        <v>14353.029999999795</v>
      </c>
      <c r="R95" s="20">
        <f>J95-O95</f>
        <v>11</v>
      </c>
      <c r="S95" s="39">
        <f t="shared" si="21"/>
        <v>499.78000000061002</v>
      </c>
      <c r="T95" s="7"/>
      <c r="U95" s="6" t="s">
        <v>506</v>
      </c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1:40" ht="18.75" customHeight="1">
      <c r="A96" s="410" t="str">
        <f>B96&amp;C96</f>
        <v>Véhicules usagésAutres Marques</v>
      </c>
      <c r="B96" s="7" t="s">
        <v>70</v>
      </c>
      <c r="C96" s="26" t="s">
        <v>339</v>
      </c>
      <c r="D96" s="19">
        <f>+INDEX('[1]Budget original'!$A$2:$AO$501,MATCH($A96,'[1]Budget original'!$A$2:$A$501,0),MATCH(D$2,'[1]Budget original'!$A$2:$AO$2,0))</f>
        <v>0</v>
      </c>
      <c r="E96" s="30">
        <f t="shared" si="22"/>
        <v>0</v>
      </c>
      <c r="F96" s="19">
        <f>+INDEX('[1]Budget original'!$A$2:$AO$501,MATCH($A96,'[1]Budget original'!$A$2:$A$501,0),MATCH(F$2,'[1]Budget original'!$A$2:$AO$2,0))</f>
        <v>0</v>
      </c>
      <c r="G96" s="20"/>
      <c r="H96" s="19"/>
      <c r="I96" s="19"/>
      <c r="J96" s="20">
        <f>SUMIFS([1]BV_Data_An_Cour!$AW:$AW,[1]BV_Data_An_Cour!$AP:$AP,$B96,[1]BV_Data_An_Cour!$AQ:$AQ,$C96,[1]BV_Data_An_Cour!$AY:$AY,J$2)</f>
        <v>0</v>
      </c>
      <c r="K96" s="58">
        <f t="shared" si="18"/>
        <v>0</v>
      </c>
      <c r="L96" s="39">
        <f>-SUMIFS([1]BV_Data_An_Cour!$AM:$AM,[1]BV_Data_An_Cour!$AP:$AP,$B96,[1]BV_Data_An_Cour!$AQ:$AQ,$C96,[1]BV_Data_An_Cour!$AR:$AR,$L2)</f>
        <v>0</v>
      </c>
      <c r="M96" s="20">
        <f>J96-D96</f>
        <v>0</v>
      </c>
      <c r="N96" s="21">
        <f>L96-F96</f>
        <v>0</v>
      </c>
      <c r="O96" s="20">
        <f>SUMIFS([1]BV_Data_An_Prec!$AW:$AW,[1]BV_Data_An_Prec!$AP:$AP,$B96,[1]BV_Data_An_Prec!$AQ:$AQ,$C96,[1]BV_Data_An_Prec!$AY:$AY,O$2)</f>
        <v>0</v>
      </c>
      <c r="P96" s="58">
        <f t="shared" si="19"/>
        <v>0</v>
      </c>
      <c r="Q96" s="39">
        <f>-SUMIFS([1]BV_Data_An_Prec!$AM:$AM,[1]BV_Data_An_Prec!$AP:$AP,$B96,[1]BV_Data_An_Prec!$AQ:$AQ,$C96,[1]BV_Data_An_Prec!$AR:$AR,$L2)</f>
        <v>0</v>
      </c>
      <c r="R96" s="20">
        <f>J96-O96</f>
        <v>0</v>
      </c>
      <c r="S96" s="39">
        <f>L96-Q96</f>
        <v>0</v>
      </c>
      <c r="T96" s="7"/>
      <c r="U96" s="6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1:40" ht="15.75" customHeight="1">
      <c r="A97" s="410" t="str">
        <f t="shared" ref="A97:A100" si="23">B97&amp;C97</f>
        <v>Véhicules usagésTotal Usagés</v>
      </c>
      <c r="B97" s="7" t="s">
        <v>70</v>
      </c>
      <c r="C97" s="289" t="s">
        <v>74</v>
      </c>
      <c r="D97" s="22">
        <f>+D95+D94+D96</f>
        <v>0</v>
      </c>
      <c r="E97" s="290">
        <f t="shared" si="22"/>
        <v>0</v>
      </c>
      <c r="F97" s="23">
        <f>+F94+F95+F96</f>
        <v>0</v>
      </c>
      <c r="G97" s="24"/>
      <c r="H97" s="22"/>
      <c r="I97" s="23"/>
      <c r="J97" s="24">
        <f>+J94+J95+J96</f>
        <v>23</v>
      </c>
      <c r="K97" s="74">
        <f>IF(J97&lt;=0,0,L97/J97)</f>
        <v>645.77434782610453</v>
      </c>
      <c r="L97" s="123">
        <f>+L94+L95+L96</f>
        <v>14852.810000000405</v>
      </c>
      <c r="M97" s="24">
        <f>J97-D97</f>
        <v>23</v>
      </c>
      <c r="N97" s="23">
        <f>L97-F97</f>
        <v>14852.810000000405</v>
      </c>
      <c r="O97" s="22">
        <f>+O94+O95+O96</f>
        <v>12</v>
      </c>
      <c r="P97" s="74">
        <f>IF(O97&lt;=0,0,Q97/O97)</f>
        <v>1196.0858333333163</v>
      </c>
      <c r="Q97" s="123">
        <f>+Q94+Q95+Q96</f>
        <v>14353.029999999795</v>
      </c>
      <c r="R97" s="24">
        <f>R94+R95</f>
        <v>11</v>
      </c>
      <c r="S97" s="123">
        <f>S94+S95</f>
        <v>499.78000000061002</v>
      </c>
      <c r="T97" s="6">
        <v>23</v>
      </c>
      <c r="U97" s="411">
        <v>14853</v>
      </c>
      <c r="V97" s="412">
        <f>L97-U97</f>
        <v>-0.18999999959487468</v>
      </c>
      <c r="W97" s="7"/>
      <c r="X97" s="7"/>
      <c r="Y97" s="7"/>
      <c r="Z97" s="7"/>
      <c r="AA97" s="7"/>
      <c r="AB97" s="7"/>
      <c r="AC97" s="55"/>
      <c r="AD97" s="55"/>
      <c r="AE97" s="7"/>
      <c r="AF97" s="55"/>
      <c r="AG97" s="7"/>
      <c r="AH97" s="7"/>
      <c r="AI97" s="7"/>
      <c r="AJ97" s="7"/>
      <c r="AK97" s="7"/>
      <c r="AL97" s="7"/>
      <c r="AM97" s="7"/>
      <c r="AN97" s="7"/>
    </row>
    <row r="98" spans="1:40" ht="15.75" customHeight="1">
      <c r="A98" s="410" t="str">
        <f t="shared" si="23"/>
        <v>Véhicules usagés</v>
      </c>
      <c r="B98" s="7" t="s">
        <v>70</v>
      </c>
      <c r="C98" s="52"/>
      <c r="D98" s="50"/>
      <c r="E98" s="290">
        <f t="shared" si="22"/>
        <v>0</v>
      </c>
      <c r="F98" s="51"/>
      <c r="G98" s="52"/>
      <c r="H98" s="50"/>
      <c r="I98" s="51"/>
      <c r="J98" s="52"/>
      <c r="K98" s="74"/>
      <c r="L98" s="112"/>
      <c r="M98" s="308"/>
      <c r="N98" s="309"/>
      <c r="O98" s="52"/>
      <c r="P98" s="74"/>
      <c r="Q98" s="112"/>
      <c r="R98" s="291">
        <f>R97/O97</f>
        <v>0.91666666666666663</v>
      </c>
      <c r="S98" s="28">
        <f>IF(Q97=0,0,(S97/Q97))</f>
        <v>3.482052221730305E-2</v>
      </c>
      <c r="T98" s="6"/>
      <c r="U98" s="411"/>
      <c r="V98" s="412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1:40" ht="15.75" customHeight="1">
      <c r="A99" s="410" t="str">
        <f t="shared" si="23"/>
        <v>Véhicules usagésRachat bail</v>
      </c>
      <c r="B99" s="7" t="s">
        <v>70</v>
      </c>
      <c r="C99" s="52" t="s">
        <v>23</v>
      </c>
      <c r="D99" s="19"/>
      <c r="E99" s="19"/>
      <c r="F99" s="19"/>
      <c r="G99" s="20"/>
      <c r="H99" s="19"/>
      <c r="I99" s="19"/>
      <c r="J99" s="20"/>
      <c r="K99" s="55">
        <f>IF(J99=0,0,L99/J99)</f>
        <v>0</v>
      </c>
      <c r="L99" s="39">
        <f>-SUMIFS([1]BV_Data_An_Cour!$AM:$AM,[1]BV_Data_An_Cour!$AP:$AP,$B99,[1]BV_Data_An_Cour!$AQ:$AQ,$C99,[1]BV_Data_An_Cour!$AR:$AR,L$2)</f>
        <v>0</v>
      </c>
      <c r="M99" s="20">
        <f>J99-D99</f>
        <v>0</v>
      </c>
      <c r="N99" s="21">
        <f>L99-F99</f>
        <v>0</v>
      </c>
      <c r="O99" s="20"/>
      <c r="P99" s="55">
        <f>IF(O99=0,0,Q99/O99)</f>
        <v>0</v>
      </c>
      <c r="Q99" s="39">
        <f>-SUMIFS([1]BV_Data_An_Prec!$AM:$AM,[1]BV_Data_An_Prec!$AP:$AP,$B99,[1]BV_Data_An_Prec!$AQ:$AQ,$C99,[1]BV_Data_An_Prec!$AR:$AR,Q$2)</f>
        <v>0</v>
      </c>
      <c r="R99" s="20">
        <f>J99-O99</f>
        <v>0</v>
      </c>
      <c r="S99" s="39">
        <f>L99-Q99</f>
        <v>0</v>
      </c>
      <c r="T99" s="6"/>
      <c r="U99" s="413"/>
      <c r="V99" s="412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1:40" ht="15.75" customHeight="1">
      <c r="A100" s="410" t="str">
        <f t="shared" si="23"/>
        <v>Véhicules usagés</v>
      </c>
      <c r="B100" s="7" t="s">
        <v>70</v>
      </c>
      <c r="C100" s="52"/>
      <c r="D100" s="19"/>
      <c r="E100" s="19"/>
      <c r="F100" s="19"/>
      <c r="G100" s="20"/>
      <c r="H100" s="19"/>
      <c r="I100" s="19"/>
      <c r="J100" s="20"/>
      <c r="K100" s="55"/>
      <c r="L100" s="39"/>
      <c r="M100" s="20"/>
      <c r="N100" s="21"/>
      <c r="O100" s="20"/>
      <c r="P100" s="55"/>
      <c r="Q100" s="39"/>
      <c r="R100" s="20"/>
      <c r="S100" s="39"/>
      <c r="T100" s="6"/>
      <c r="U100" s="411"/>
      <c r="V100" s="412"/>
      <c r="W100" s="19"/>
      <c r="X100" s="19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1:40" ht="15.75" customHeight="1">
      <c r="A101" s="410" t="s">
        <v>340</v>
      </c>
      <c r="B101" s="7" t="s">
        <v>70</v>
      </c>
      <c r="C101" s="52" t="s">
        <v>75</v>
      </c>
      <c r="D101" s="19">
        <f>+INDEX('[1]Budget original'!$A$2:$AO$501,MATCH($A101,'[1]Budget original'!$A$2:$A$501,0),MATCH(D$2,'[1]Budget original'!$A$2:$AO$2,0))</f>
        <v>0</v>
      </c>
      <c r="E101" s="19">
        <f t="shared" si="22"/>
        <v>0</v>
      </c>
      <c r="F101" s="19">
        <f>+INDEX('[1]Budget original'!$A$2:$AO$501,MATCH($A101,'[1]Budget original'!$A$2:$A$501,0),MATCH(F$2,'[1]Budget original'!$A$2:$AO$2,0))</f>
        <v>0</v>
      </c>
      <c r="G101" s="20"/>
      <c r="H101" s="19"/>
      <c r="I101" s="19"/>
      <c r="J101" s="20">
        <f>SUMIFS([1]BV_Data_An_Cour!$AW:$AW,[1]BV_Data_An_Cour!$AP:$AP,$B101,[1]BV_Data_An_Cour!$AQ:$AQ,$C101,[1]BV_Data_An_Cour!$AY:$AY,J$2)</f>
        <v>21</v>
      </c>
      <c r="K101" s="55">
        <f>IF(J101=0,0,L101/J101)</f>
        <v>905.660000000016</v>
      </c>
      <c r="L101" s="39">
        <f>-SUMIFS([1]BV_Data_An_Cour!$AM:$AM,[1]BV_Data_An_Cour!$AP:$AP,$B101,[1]BV_Data_An_Cour!$AQ:$AQ,$C101,[1]BV_Data_An_Cour!$AR:$AR,L$2)</f>
        <v>19018.860000000335</v>
      </c>
      <c r="M101" s="20">
        <f>J101-D101</f>
        <v>21</v>
      </c>
      <c r="N101" s="21">
        <f>L101-F101</f>
        <v>19018.860000000335</v>
      </c>
      <c r="O101" s="20">
        <f>SUMIFS([1]BV_Data_An_Prec!$AW:$AW,[1]BV_Data_An_Prec!$AP:$AP,$B101,[1]BV_Data_An_Prec!$AQ:$AQ,$C101,[1]BV_Data_An_Prec!$AY:$AY,O$2)</f>
        <v>47</v>
      </c>
      <c r="P101" s="55">
        <f>IF(O101=0,0,Q101/O101)</f>
        <v>821.43595744681329</v>
      </c>
      <c r="Q101" s="39">
        <f>-SUMIFS([1]BV_Data_An_Prec!$AM:$AM,[1]BV_Data_An_Prec!$AP:$AP,$B101,[1]BV_Data_An_Prec!$AQ:$AQ,$C101,[1]BV_Data_An_Prec!$AR:$AR,Q$2)</f>
        <v>38607.490000000224</v>
      </c>
      <c r="R101" s="20">
        <f>J101-O101</f>
        <v>-26</v>
      </c>
      <c r="S101" s="39">
        <f>L101-Q101</f>
        <v>-19588.629999999888</v>
      </c>
      <c r="T101" s="6">
        <v>21</v>
      </c>
      <c r="U101" s="411">
        <v>19019</v>
      </c>
      <c r="V101" s="412">
        <f>L101-U101</f>
        <v>-0.13999999966472387</v>
      </c>
      <c r="W101" s="7"/>
      <c r="X101" s="7"/>
      <c r="Y101" s="7"/>
      <c r="Z101" s="7"/>
      <c r="AA101" s="7"/>
      <c r="AB101" s="7"/>
      <c r="AC101" s="55"/>
      <c r="AD101" s="7"/>
      <c r="AE101" s="7"/>
      <c r="AF101" s="89"/>
      <c r="AG101" s="7"/>
      <c r="AH101" s="7"/>
      <c r="AI101" s="7"/>
      <c r="AJ101" s="7"/>
      <c r="AK101" s="7"/>
      <c r="AL101" s="7"/>
      <c r="AM101" s="7"/>
      <c r="AN101" s="7"/>
    </row>
    <row r="102" spans="1:40" ht="15.75" customHeight="1">
      <c r="A102" s="410" t="s">
        <v>70</v>
      </c>
      <c r="B102" s="7" t="s">
        <v>70</v>
      </c>
      <c r="C102" s="14"/>
      <c r="D102" s="30"/>
      <c r="E102" s="30"/>
      <c r="F102" s="31"/>
      <c r="G102" s="34"/>
      <c r="H102" s="30"/>
      <c r="I102" s="31"/>
      <c r="J102" s="34"/>
      <c r="K102" s="58"/>
      <c r="L102" s="61"/>
      <c r="M102" s="32"/>
      <c r="N102" s="90"/>
      <c r="O102" s="34"/>
      <c r="P102" s="58"/>
      <c r="Q102" s="61"/>
      <c r="R102" s="32"/>
      <c r="S102" s="115"/>
      <c r="T102" s="7"/>
      <c r="U102" s="411"/>
      <c r="V102" s="414"/>
      <c r="W102" s="19"/>
      <c r="X102" s="7"/>
      <c r="Y102" s="7"/>
      <c r="Z102" s="7"/>
      <c r="AA102" s="7"/>
      <c r="AB102" s="7"/>
      <c r="AC102" s="7"/>
      <c r="AD102" s="7"/>
      <c r="AE102" s="7"/>
      <c r="AF102" s="89"/>
      <c r="AG102" s="7"/>
      <c r="AH102" s="7"/>
      <c r="AI102" s="7"/>
      <c r="AJ102" s="7"/>
      <c r="AK102" s="7"/>
      <c r="AL102" s="7"/>
      <c r="AM102" s="7"/>
      <c r="AN102" s="7"/>
    </row>
    <row r="103" spans="1:40" ht="15.75" customHeight="1">
      <c r="A103" s="410" t="s">
        <v>341</v>
      </c>
      <c r="B103" s="7" t="s">
        <v>70</v>
      </c>
      <c r="C103" s="26" t="s">
        <v>24</v>
      </c>
      <c r="D103" s="19">
        <f>+INDEX('[1]Budget original'!$A$2:$AO$501,MATCH($A103,'[1]Budget original'!$A$2:$A$501,0),MATCH(D$2,'[1]Budget original'!$A$2:$AO$2,0))</f>
        <v>0</v>
      </c>
      <c r="E103" s="19">
        <f t="shared" si="22"/>
        <v>0</v>
      </c>
      <c r="F103" s="21">
        <f>+INDEX('[1]Budget original'!$A$2:$AO$501,MATCH($A103,'[1]Budget original'!$A$2:$A$501,0),MATCH(F$2,'[1]Budget original'!$A$2:$AO$2,0))</f>
        <v>0</v>
      </c>
      <c r="G103" s="20"/>
      <c r="H103" s="19"/>
      <c r="I103" s="19"/>
      <c r="J103" s="20"/>
      <c r="K103" s="55">
        <f>IF(J97=0,0,L103/J97)</f>
        <v>738.695652173913</v>
      </c>
      <c r="L103" s="39">
        <f>-SUMIFS([1]BV_Data_An_Cour!$AM:$AM,[1]BV_Data_An_Cour!$AP:$AP,$B103,[1]BV_Data_An_Cour!$AQ:$AQ,$C103,[1]BV_Data_An_Cour!$AR:$AR,$L2)</f>
        <v>16990</v>
      </c>
      <c r="M103" s="20"/>
      <c r="N103" s="21">
        <f>L103-F103</f>
        <v>16990</v>
      </c>
      <c r="O103" s="20"/>
      <c r="P103" s="55">
        <f>IF(O97=0,0,Q103/O97)</f>
        <v>489.49916666666667</v>
      </c>
      <c r="Q103" s="39">
        <f>-SUMIFS([1]BV_Data_An_Prec!$AM:$AM,[1]BV_Data_An_Prec!$AP:$AP,$B103,[1]BV_Data_An_Prec!$AQ:$AQ,$C103,[1]BV_Data_An_Prec!$AR:$AR,$L2)</f>
        <v>5873.99</v>
      </c>
      <c r="R103" s="40">
        <f>P103-K103</f>
        <v>-249.19648550724634</v>
      </c>
      <c r="S103" s="39">
        <f t="shared" ref="S103:S105" si="24">L103-Q103</f>
        <v>11116.01</v>
      </c>
      <c r="T103" s="7"/>
      <c r="U103" s="413"/>
      <c r="V103" s="414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1:40" ht="15.75" customHeight="1">
      <c r="A104" s="410" t="s">
        <v>342</v>
      </c>
      <c r="B104" s="7" t="s">
        <v>70</v>
      </c>
      <c r="C104" s="26" t="s">
        <v>25</v>
      </c>
      <c r="D104" s="19">
        <f>+INDEX('[1]Budget original'!$A$2:$AO$501,MATCH($A104,'[1]Budget original'!$A$2:$A$501,0),MATCH(D$2,'[1]Budget original'!$A$2:$AO$2,0))</f>
        <v>0</v>
      </c>
      <c r="E104" s="19">
        <f t="shared" si="22"/>
        <v>0</v>
      </c>
      <c r="F104" s="21">
        <f>+INDEX('[1]Budget original'!$A$2:$AO$501,MATCH($A104,'[1]Budget original'!$A$2:$A$501,0),MATCH(F$2,'[1]Budget original'!$A$2:$AO$2,0))</f>
        <v>0</v>
      </c>
      <c r="G104" s="20"/>
      <c r="H104" s="19"/>
      <c r="I104" s="19"/>
      <c r="J104" s="20"/>
      <c r="K104" s="55">
        <f>IF(J97=0,0,L104/J97)</f>
        <v>124.43478260869566</v>
      </c>
      <c r="L104" s="39">
        <f>-SUMIFS([1]BV_Data_An_Cour!$AM:$AM,[1]BV_Data_An_Cour!$AP:$AP,$B104,[1]BV_Data_An_Cour!$AQ:$AQ,$C104,[1]BV_Data_An_Cour!$AR:$AR,$L2)</f>
        <v>2862</v>
      </c>
      <c r="M104" s="20"/>
      <c r="N104" s="21">
        <f>L104-F104</f>
        <v>2862</v>
      </c>
      <c r="O104" s="20"/>
      <c r="P104" s="55">
        <f>IF(O97=0,0,Q104/O97)</f>
        <v>250.55000000000004</v>
      </c>
      <c r="Q104" s="39">
        <f>-SUMIFS([1]BV_Data_An_Prec!$AM:$AM,[1]BV_Data_An_Prec!$AP:$AP,$B104,[1]BV_Data_An_Prec!$AQ:$AQ,$C104,[1]BV_Data_An_Prec!$AR:$AR,$L2)</f>
        <v>3006.6000000000004</v>
      </c>
      <c r="R104" s="40">
        <f t="shared" ref="R104:R106" si="25">P104-K104</f>
        <v>126.11521739130438</v>
      </c>
      <c r="S104" s="39">
        <f t="shared" si="24"/>
        <v>-144.60000000000036</v>
      </c>
      <c r="T104" s="7"/>
      <c r="U104" s="411"/>
      <c r="V104" s="414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1:40" ht="15.75" customHeight="1">
      <c r="A105" s="410" t="s">
        <v>343</v>
      </c>
      <c r="B105" s="7" t="s">
        <v>70</v>
      </c>
      <c r="C105" s="26" t="s">
        <v>26</v>
      </c>
      <c r="D105" s="19">
        <f>+INDEX('[1]Budget original'!$A$2:$AO$501,MATCH($A105,'[1]Budget original'!$A$2:$A$501,0),MATCH(D$2,'[1]Budget original'!$A$2:$AO$2,0))</f>
        <v>0</v>
      </c>
      <c r="E105" s="30">
        <f t="shared" si="22"/>
        <v>0</v>
      </c>
      <c r="F105" s="21">
        <f>+INDEX('[1]Budget original'!$A$2:$AO$501,MATCH($A105,'[1]Budget original'!$A$2:$A$501,0),MATCH(F$2,'[1]Budget original'!$A$2:$AO$2,0))</f>
        <v>0</v>
      </c>
      <c r="G105" s="20"/>
      <c r="H105" s="30"/>
      <c r="I105" s="19"/>
      <c r="J105" s="20"/>
      <c r="K105" s="58">
        <f>IF(J97=0,0,L105/J97)</f>
        <v>0</v>
      </c>
      <c r="L105" s="39">
        <f>-SUMIFS([1]BV_Data_An_Cour!$AM:$AM,[1]BV_Data_An_Cour!$AP:$AP,$B105,[1]BV_Data_An_Cour!$AQ:$AQ,$C105,[1]BV_Data_An_Cour!$AR:$AR,$L$2)</f>
        <v>0</v>
      </c>
      <c r="M105" s="34"/>
      <c r="N105" s="21">
        <f>L105-F105</f>
        <v>0</v>
      </c>
      <c r="O105" s="20"/>
      <c r="P105" s="58">
        <f>IF(O97=0,0,Q105/O97)</f>
        <v>0</v>
      </c>
      <c r="Q105" s="39">
        <f>-SUMIFS([1]BV_Data_An_Prec!$AM:$AM,[1]BV_Data_An_Prec!$AP:$AP,$B105,[1]BV_Data_An_Prec!$AQ:$AQ,$C105,[1]BV_Data_An_Prec!$AR:$AR,$L$2)</f>
        <v>0</v>
      </c>
      <c r="R105" s="40">
        <f t="shared" si="25"/>
        <v>0</v>
      </c>
      <c r="S105" s="39">
        <f t="shared" si="24"/>
        <v>0</v>
      </c>
      <c r="T105" s="7"/>
      <c r="U105" s="411"/>
      <c r="V105" s="414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1:40" ht="15.75" customHeight="1">
      <c r="A106" s="410" t="s">
        <v>344</v>
      </c>
      <c r="B106" s="7" t="s">
        <v>70</v>
      </c>
      <c r="C106" s="289" t="s">
        <v>27</v>
      </c>
      <c r="D106" s="22">
        <f>D97</f>
        <v>0</v>
      </c>
      <c r="E106" s="290">
        <f t="shared" si="22"/>
        <v>0</v>
      </c>
      <c r="F106" s="23">
        <f>F103+F104+F105</f>
        <v>0</v>
      </c>
      <c r="G106" s="24"/>
      <c r="H106" s="22"/>
      <c r="I106" s="23"/>
      <c r="J106" s="24">
        <f>J97</f>
        <v>23</v>
      </c>
      <c r="K106" s="122">
        <f>IF(J106&lt;=0,0,L106/J106)</f>
        <v>863.13043478260875</v>
      </c>
      <c r="L106" s="123">
        <f>L103+L104+L105</f>
        <v>19852</v>
      </c>
      <c r="M106" s="38">
        <f>J106-D106</f>
        <v>23</v>
      </c>
      <c r="N106" s="23">
        <f>L106-F106</f>
        <v>19852</v>
      </c>
      <c r="O106" s="24">
        <f>O97</f>
        <v>12</v>
      </c>
      <c r="P106" s="122">
        <f>IF(O106&lt;=0,0,Q106/O106)</f>
        <v>740.04916666666668</v>
      </c>
      <c r="Q106" s="123">
        <f>Q103+Q104+Q105</f>
        <v>8880.59</v>
      </c>
      <c r="R106" s="124">
        <f t="shared" si="25"/>
        <v>-123.08126811594207</v>
      </c>
      <c r="S106" s="123">
        <f>L106-Q106</f>
        <v>10971.41</v>
      </c>
      <c r="T106" s="7"/>
      <c r="U106" s="411">
        <v>19852</v>
      </c>
      <c r="V106" s="412">
        <f>L106-U106</f>
        <v>0</v>
      </c>
      <c r="W106" s="7"/>
      <c r="X106" s="7"/>
      <c r="Y106" s="7"/>
      <c r="Z106" s="7"/>
      <c r="AA106" s="7"/>
      <c r="AB106" s="7"/>
      <c r="AC106" s="7"/>
      <c r="AD106" s="55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1:40" ht="15.75" customHeight="1">
      <c r="A107" s="410" t="s">
        <v>70</v>
      </c>
      <c r="B107" s="7" t="s">
        <v>70</v>
      </c>
      <c r="C107" s="52"/>
      <c r="D107" s="50"/>
      <c r="E107" s="50"/>
      <c r="F107" s="112"/>
      <c r="G107" s="52"/>
      <c r="H107" s="110"/>
      <c r="I107" s="112"/>
      <c r="J107" s="52"/>
      <c r="K107" s="74"/>
      <c r="L107" s="112"/>
      <c r="M107" s="27"/>
      <c r="N107" s="28" t="e">
        <f>N106/F106</f>
        <v>#DIV/0!</v>
      </c>
      <c r="O107" s="52"/>
      <c r="P107" s="74"/>
      <c r="Q107" s="112"/>
      <c r="R107" s="111"/>
      <c r="S107" s="28">
        <f>IF(Q106=0,0,(S106/Q106))</f>
        <v>1.2354370599250726</v>
      </c>
      <c r="T107" s="7"/>
      <c r="U107" s="411"/>
      <c r="V107" s="412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1:40" ht="15.75" customHeight="1" thickBot="1">
      <c r="A108" s="410" t="s">
        <v>70</v>
      </c>
      <c r="B108" s="7" t="s">
        <v>70</v>
      </c>
      <c r="C108" s="26"/>
      <c r="D108" s="7"/>
      <c r="E108" s="7"/>
      <c r="F108" s="39"/>
      <c r="G108" s="26"/>
      <c r="H108" s="91"/>
      <c r="I108" s="39"/>
      <c r="J108" s="26"/>
      <c r="K108" s="55"/>
      <c r="L108" s="39"/>
      <c r="M108" s="27"/>
      <c r="N108" s="28"/>
      <c r="O108" s="26"/>
      <c r="P108" s="55"/>
      <c r="Q108" s="39"/>
      <c r="R108" s="40"/>
      <c r="S108" s="28"/>
      <c r="T108" s="7"/>
      <c r="U108" s="411"/>
      <c r="V108" s="412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1:40" ht="18" customHeight="1" thickTop="1">
      <c r="A109" s="410" t="s">
        <v>229</v>
      </c>
      <c r="B109" s="7" t="s">
        <v>70</v>
      </c>
      <c r="C109" s="264" t="s">
        <v>76</v>
      </c>
      <c r="D109" s="41">
        <f>D97+D101</f>
        <v>0</v>
      </c>
      <c r="E109" s="42">
        <f>IF(D109&lt;=0,0,F109/D109)</f>
        <v>0</v>
      </c>
      <c r="F109" s="43">
        <f>F97+F106+F101</f>
        <v>0</v>
      </c>
      <c r="G109" s="44"/>
      <c r="H109" s="42"/>
      <c r="I109" s="43"/>
      <c r="J109" s="44">
        <f>J97+J101</f>
        <v>44</v>
      </c>
      <c r="K109" s="41">
        <f>IF(J109&lt;=0,0,L109/J109)</f>
        <v>1220.9925000000169</v>
      </c>
      <c r="L109" s="43">
        <f>L97+L106+L101+L99</f>
        <v>53723.67000000074</v>
      </c>
      <c r="M109" s="44">
        <f>J109-D109</f>
        <v>44</v>
      </c>
      <c r="N109" s="43">
        <f>L109-F109</f>
        <v>53723.67000000074</v>
      </c>
      <c r="O109" s="44">
        <f>O97+O101</f>
        <v>59</v>
      </c>
      <c r="P109" s="41">
        <f>IF(O109&lt;=0,0,Q109/O109)</f>
        <v>1048.1544067796613</v>
      </c>
      <c r="Q109" s="43">
        <f>Q97+Q106+Q101+Q99</f>
        <v>61841.110000000015</v>
      </c>
      <c r="R109" s="44">
        <f>J109-O109</f>
        <v>-15</v>
      </c>
      <c r="S109" s="43">
        <f>L109-Q109</f>
        <v>-8117.4399999992747</v>
      </c>
      <c r="T109" s="7"/>
      <c r="U109" s="411">
        <f>SUM(U97:U107)</f>
        <v>53724</v>
      </c>
      <c r="V109" s="412">
        <f>L109-U109</f>
        <v>-0.32999999925959855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1:40" ht="22.5" customHeight="1" thickBot="1">
      <c r="A110" s="410" t="s">
        <v>70</v>
      </c>
      <c r="B110" s="7" t="s">
        <v>70</v>
      </c>
      <c r="C110" s="47"/>
      <c r="D110" s="45"/>
      <c r="E110" s="45"/>
      <c r="F110" s="46"/>
      <c r="G110" s="47"/>
      <c r="H110" s="45"/>
      <c r="I110" s="46"/>
      <c r="J110" s="47"/>
      <c r="K110" s="265"/>
      <c r="L110" s="266"/>
      <c r="M110" s="48"/>
      <c r="N110" s="49"/>
      <c r="O110" s="47"/>
      <c r="P110" s="265"/>
      <c r="Q110" s="266"/>
      <c r="R110" s="48">
        <f>O109/R109</f>
        <v>-3.9333333333333331</v>
      </c>
      <c r="S110" s="267">
        <f>IF(Q109=0,0,(S109/Q109))</f>
        <v>-0.1312628444088289</v>
      </c>
      <c r="T110" s="7"/>
      <c r="U110" s="411"/>
      <c r="V110" s="412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1:40" ht="15.75" customHeight="1" thickTop="1">
      <c r="A111" s="410" t="s">
        <v>70</v>
      </c>
      <c r="B111" s="7" t="s">
        <v>70</v>
      </c>
      <c r="C111" s="52"/>
      <c r="D111" s="50"/>
      <c r="E111" s="50"/>
      <c r="F111" s="51"/>
      <c r="G111" s="52"/>
      <c r="H111" s="50"/>
      <c r="I111" s="51"/>
      <c r="J111" s="52"/>
      <c r="K111" s="74"/>
      <c r="L111" s="112"/>
      <c r="M111" s="27"/>
      <c r="N111" s="28"/>
      <c r="O111" s="52"/>
      <c r="P111" s="74"/>
      <c r="Q111" s="112"/>
      <c r="R111" s="27"/>
      <c r="S111" s="112"/>
      <c r="T111" s="7"/>
      <c r="U111" s="411"/>
      <c r="V111" s="412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1:40" ht="15.75" customHeight="1">
      <c r="A112" s="410" t="s">
        <v>231</v>
      </c>
      <c r="B112" s="7" t="s">
        <v>70</v>
      </c>
      <c r="C112" s="268" t="s">
        <v>29</v>
      </c>
      <c r="D112" s="7"/>
      <c r="E112" s="53"/>
      <c r="F112" s="39"/>
      <c r="G112" s="26"/>
      <c r="H112" s="53"/>
      <c r="I112" s="39"/>
      <c r="J112" s="26"/>
      <c r="K112" s="269"/>
      <c r="L112" s="39"/>
      <c r="M112" s="26"/>
      <c r="N112" s="25"/>
      <c r="O112" s="26"/>
      <c r="P112" s="269"/>
      <c r="Q112" s="39"/>
      <c r="R112" s="26"/>
      <c r="S112" s="39"/>
      <c r="T112" s="7"/>
      <c r="U112" s="6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1:40" ht="15.75" customHeight="1">
      <c r="A113" s="410" t="s">
        <v>232</v>
      </c>
      <c r="B113" s="7" t="s">
        <v>70</v>
      </c>
      <c r="C113" s="26" t="s">
        <v>30</v>
      </c>
      <c r="D113" s="93" t="e">
        <f>F113/F97</f>
        <v>#DIV/0!</v>
      </c>
      <c r="E113" s="55" t="e">
        <f t="shared" ref="E113:E122" si="26">F113/D$97</f>
        <v>#DIV/0!</v>
      </c>
      <c r="F113" s="19">
        <f>+INDEX('[1]Budget original'!$A$2:$AO$501,MATCH($A113,'[1]Budget original'!$A$2:$A$501,0),MATCH(F$2,'[1]Budget original'!$A$2:$AO$2,0))</f>
        <v>0</v>
      </c>
      <c r="G113" s="99"/>
      <c r="H113" s="55"/>
      <c r="I113" s="19"/>
      <c r="J113" s="99">
        <f>L113/L97</f>
        <v>0.44832257330429798</v>
      </c>
      <c r="K113" s="55">
        <f>IF($J$97=0,0,L113/(J$94+J$95+J96))</f>
        <v>289.51521739130396</v>
      </c>
      <c r="L113" s="39">
        <f>SUMIFS([1]BV_Data_An_Cour!$AM:$AM,[1]BV_Data_An_Cour!$AP:$AP,$B113,[1]BV_Data_An_Cour!$AQ:$AQ,$C113,[1]BV_Data_An_Cour!$AR:$AR,$L$2)</f>
        <v>6658.8499999999913</v>
      </c>
      <c r="M113" s="26"/>
      <c r="N113" s="39">
        <f t="shared" ref="N113:N154" si="27">L113-F113</f>
        <v>6658.8499999999913</v>
      </c>
      <c r="O113" s="99">
        <f>Q113/Q97</f>
        <v>0.7509626887145191</v>
      </c>
      <c r="P113" s="55">
        <f>IF($J$97=0,0,Q113/(O$94+O$95+O96))</f>
        <v>898.21583333333331</v>
      </c>
      <c r="Q113" s="39">
        <f>SUMIFS([1]BV_Data_An_Prec!$AM:$AM,[1]BV_Data_An_Prec!$AP:$AP,$B113,[1]BV_Data_An_Prec!$AQ:$AQ,$C113,[1]BV_Data_An_Prec!$AR:$AR,$L$2)</f>
        <v>10778.59</v>
      </c>
      <c r="R113" s="26"/>
      <c r="S113" s="39">
        <f>L113-Q113</f>
        <v>-4119.7400000000089</v>
      </c>
      <c r="T113" s="7"/>
      <c r="U113" s="6" t="s">
        <v>501</v>
      </c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1:40" ht="15.75" customHeight="1">
      <c r="A114" s="410" t="s">
        <v>233</v>
      </c>
      <c r="B114" s="7" t="s">
        <v>70</v>
      </c>
      <c r="C114" s="14" t="s">
        <v>31</v>
      </c>
      <c r="D114" s="310" t="e">
        <f>F114/(F106)</f>
        <v>#DIV/0!</v>
      </c>
      <c r="E114" s="58" t="e">
        <f t="shared" si="26"/>
        <v>#DIV/0!</v>
      </c>
      <c r="F114" s="31">
        <f>+INDEX('[1]Budget original'!$A$2:$AO$501,MATCH($A114,'[1]Budget original'!$A$2:$A$501,0),MATCH(F$2,'[1]Budget original'!$A$2:$AO$2,0))</f>
        <v>0</v>
      </c>
      <c r="G114" s="104"/>
      <c r="H114" s="58"/>
      <c r="I114" s="31"/>
      <c r="J114" s="104">
        <f>L114/(L106)</f>
        <v>0.24135401974612114</v>
      </c>
      <c r="K114" s="58">
        <f>IF($J$97=0,0,L114/(J$94+J$95+J96))</f>
        <v>208.31999999999988</v>
      </c>
      <c r="L114" s="39">
        <f>SUMIFS([1]BV_Data_An_Cour!$AM:$AM,[1]BV_Data_An_Cour!$AP:$AP,$B114,[1]BV_Data_An_Cour!$AQ:$AQ,$C114,[1]BV_Data_An_Cour!$AR:$AR,$L$2)</f>
        <v>4791.3599999999969</v>
      </c>
      <c r="M114" s="14"/>
      <c r="N114" s="61">
        <f t="shared" si="27"/>
        <v>4791.3599999999969</v>
      </c>
      <c r="O114" s="104">
        <f>Q114/(Q106)</f>
        <v>0.24642169045074697</v>
      </c>
      <c r="P114" s="58">
        <f>IF($J$97=0,0,Q114/(O$94+O$95+O96))</f>
        <v>182.36416666666659</v>
      </c>
      <c r="Q114" s="39">
        <f>SUMIFS([1]BV_Data_An_Prec!$AM:$AM,[1]BV_Data_An_Prec!$AP:$AP,$B114,[1]BV_Data_An_Prec!$AQ:$AQ,$C114,[1]BV_Data_An_Prec!$AR:$AR,$L$2)</f>
        <v>2188.369999999999</v>
      </c>
      <c r="R114" s="14"/>
      <c r="S114" s="61">
        <f t="shared" ref="S114:S166" si="28">L114-Q114</f>
        <v>2602.989999999998</v>
      </c>
      <c r="T114" s="7"/>
      <c r="U114" s="6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1:40" ht="15.75" customHeight="1">
      <c r="A115" s="410" t="s">
        <v>234</v>
      </c>
      <c r="B115" s="7" t="s">
        <v>70</v>
      </c>
      <c r="C115" s="26" t="s">
        <v>32</v>
      </c>
      <c r="D115" s="54"/>
      <c r="E115" s="55" t="e">
        <f t="shared" si="26"/>
        <v>#DIV/0!</v>
      </c>
      <c r="F115" s="19">
        <f>+INDEX('[1]Budget original'!$A$2:$AO$501,MATCH($A115,'[1]Budget original'!$A$2:$A$501,0),MATCH(F$2,'[1]Budget original'!$A$2:$AO$2,0))</f>
        <v>0</v>
      </c>
      <c r="G115" s="56"/>
      <c r="H115" s="55"/>
      <c r="I115" s="19"/>
      <c r="J115" s="26"/>
      <c r="K115" s="55">
        <f>IF($J$97=0,0,L115/(J$94+J$95+J96))</f>
        <v>-38.096086956521781</v>
      </c>
      <c r="L115" s="72">
        <f>SUMIFS([1]BV_Data_An_Cour!$AM:$AM,[1]BV_Data_An_Cour!$AP:$AP,$B115,[1]BV_Data_An_Cour!$AQ:$AQ,$C115,[1]BV_Data_An_Cour!$AR:$AR,$L$2)</f>
        <v>-876.21000000000095</v>
      </c>
      <c r="M115" s="26"/>
      <c r="N115" s="39">
        <f t="shared" si="27"/>
        <v>-876.21000000000095</v>
      </c>
      <c r="O115" s="26"/>
      <c r="P115" s="55">
        <f>IF($J$97=0,0,Q115/(O$94+O$95+O96))</f>
        <v>-226.66166666666663</v>
      </c>
      <c r="Q115" s="72">
        <f>SUMIFS([1]BV_Data_An_Prec!$AM:$AM,[1]BV_Data_An_Prec!$AP:$AP,$B115,[1]BV_Data_An_Prec!$AQ:$AQ,$C115,[1]BV_Data_An_Prec!$AR:$AR,$L$2)</f>
        <v>-2719.9399999999996</v>
      </c>
      <c r="R115" s="26"/>
      <c r="S115" s="39">
        <f t="shared" si="28"/>
        <v>1843.7299999999987</v>
      </c>
      <c r="T115" s="7"/>
      <c r="U115" s="6"/>
      <c r="V115" s="7"/>
      <c r="W115" s="19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1:40" ht="15.75" customHeight="1">
      <c r="A116" s="410" t="s">
        <v>235</v>
      </c>
      <c r="B116" s="7" t="s">
        <v>70</v>
      </c>
      <c r="C116" s="26" t="s">
        <v>33</v>
      </c>
      <c r="D116" s="54"/>
      <c r="E116" s="55" t="e">
        <f t="shared" si="26"/>
        <v>#DIV/0!</v>
      </c>
      <c r="F116" s="19">
        <f>+INDEX('[1]Budget original'!$A$2:$AO$501,MATCH($A116,'[1]Budget original'!$A$2:$A$501,0),MATCH(F$2,'[1]Budget original'!$A$2:$AO$2,0))</f>
        <v>0</v>
      </c>
      <c r="G116" s="56"/>
      <c r="H116" s="55"/>
      <c r="I116" s="19"/>
      <c r="J116" s="26"/>
      <c r="K116" s="55">
        <f>IF($J$97=0,0,L116/(J$94+J$95+J96))</f>
        <v>34.933913043478242</v>
      </c>
      <c r="L116" s="39">
        <f>SUMIFS([1]BV_Data_An_Cour!$AM:$AM,[1]BV_Data_An_Cour!$AP:$AP,$B116,[1]BV_Data_An_Cour!$AQ:$AQ,$C116,[1]BV_Data_An_Cour!$AR:$AR,$L$2)</f>
        <v>803.47999999999956</v>
      </c>
      <c r="M116" s="26"/>
      <c r="N116" s="39">
        <f t="shared" si="27"/>
        <v>803.47999999999956</v>
      </c>
      <c r="O116" s="26"/>
      <c r="P116" s="55">
        <f>IF($J$97=0,0,Q116/(O$94+O$95+O96))</f>
        <v>57.285833333333329</v>
      </c>
      <c r="Q116" s="39">
        <f>SUMIFS([1]BV_Data_An_Prec!$AM:$AM,[1]BV_Data_An_Prec!$AP:$AP,$B116,[1]BV_Data_An_Prec!$AQ:$AQ,$C116,[1]BV_Data_An_Prec!$AR:$AR,$L$2)</f>
        <v>687.43</v>
      </c>
      <c r="R116" s="26"/>
      <c r="S116" s="39">
        <f t="shared" si="28"/>
        <v>116.04999999999961</v>
      </c>
      <c r="T116" s="7"/>
      <c r="U116" s="6"/>
      <c r="V116" s="7"/>
      <c r="W116" s="19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1:40" ht="15.75" customHeight="1">
      <c r="A117" s="410" t="s">
        <v>236</v>
      </c>
      <c r="B117" s="7" t="s">
        <v>70</v>
      </c>
      <c r="C117" s="14" t="s">
        <v>34</v>
      </c>
      <c r="D117" s="57"/>
      <c r="E117" s="58" t="e">
        <f t="shared" si="26"/>
        <v>#DIV/0!</v>
      </c>
      <c r="F117" s="31">
        <f>+INDEX('[1]Budget original'!$A$2:$AO$501,MATCH($A117,'[1]Budget original'!$A$2:$A$501,0),MATCH(F$2,'[1]Budget original'!$A$2:$AO$2,0))</f>
        <v>0</v>
      </c>
      <c r="G117" s="59"/>
      <c r="H117" s="58"/>
      <c r="I117" s="31"/>
      <c r="J117" s="14"/>
      <c r="K117" s="58">
        <f>IF($J$97=0,0,L117/(J$94+J$95+J96))</f>
        <v>15.56</v>
      </c>
      <c r="L117" s="61">
        <f>SUMIFS([1]BV_Data_An_Cour!$AM:$AM,[1]BV_Data_An_Cour!$AP:$AP,$B117,[1]BV_Data_An_Cour!$AQ:$AQ,$C117,[1]BV_Data_An_Cour!$AR:$AR,$L$2)</f>
        <v>357.88</v>
      </c>
      <c r="M117" s="14"/>
      <c r="N117" s="61">
        <f t="shared" si="27"/>
        <v>357.88</v>
      </c>
      <c r="O117" s="14"/>
      <c r="P117" s="58">
        <f>IF($J$97=0,0,Q117/(O$94+O$95+O96))</f>
        <v>0</v>
      </c>
      <c r="Q117" s="61">
        <f>SUMIFS([1]BV_Data_An_Prec!$AM:$AM,[1]BV_Data_An_Prec!$AP:$AP,$B117,[1]BV_Data_An_Prec!$AQ:$AQ,$C117,[1]BV_Data_An_Prec!$AR:$AR,$L$2)</f>
        <v>0</v>
      </c>
      <c r="R117" s="14"/>
      <c r="S117" s="61">
        <f t="shared" si="28"/>
        <v>357.88</v>
      </c>
      <c r="T117" s="7"/>
      <c r="U117" s="97" t="s">
        <v>496</v>
      </c>
      <c r="V117" s="7"/>
      <c r="W117" s="19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1:40" ht="19.5" customHeight="1">
      <c r="A118" s="410" t="s">
        <v>237</v>
      </c>
      <c r="B118" s="7" t="s">
        <v>70</v>
      </c>
      <c r="C118" s="26" t="s">
        <v>35</v>
      </c>
      <c r="D118" s="54"/>
      <c r="E118" s="55" t="e">
        <f t="shared" si="26"/>
        <v>#DIV/0!</v>
      </c>
      <c r="F118" s="19">
        <f>+INDEX('[1]Budget original'!$A$2:$AO$501,MATCH($A118,'[1]Budget original'!$A$2:$A$501,0),MATCH(F$2,'[1]Budget original'!$A$2:$AO$2,0))</f>
        <v>0</v>
      </c>
      <c r="G118" s="56"/>
      <c r="H118" s="55"/>
      <c r="I118" s="19"/>
      <c r="J118" s="26"/>
      <c r="K118" s="55">
        <f>IF($J$97=0,0,L118/(J$94+J$95+J96))</f>
        <v>521.3608695652174</v>
      </c>
      <c r="L118" s="39">
        <f>SUMIFS([1]BV_Data_An_Cour!$AM:$AM,[1]BV_Data_An_Cour!$AP:$AP,$B118,[1]BV_Data_An_Cour!$AQ:$AQ,$C118,[1]BV_Data_An_Cour!$AR:$AR,$L$2)</f>
        <v>11991.3</v>
      </c>
      <c r="M118" s="26"/>
      <c r="N118" s="39">
        <f t="shared" si="27"/>
        <v>11991.3</v>
      </c>
      <c r="O118" s="26"/>
      <c r="P118" s="55">
        <f>IF($J$97=0,0,Q118/(O$94+O$95+O96))</f>
        <v>229.71749999999983</v>
      </c>
      <c r="Q118" s="39">
        <f>SUMIFS([1]BV_Data_An_Prec!$AM:$AM,[1]BV_Data_An_Prec!$AP:$AP,$B118,[1]BV_Data_An_Prec!$AQ:$AQ,$C118,[1]BV_Data_An_Prec!$AR:$AR,$L$2)</f>
        <v>2756.6099999999979</v>
      </c>
      <c r="R118" s="26"/>
      <c r="S118" s="39">
        <f t="shared" si="28"/>
        <v>9234.6900000000023</v>
      </c>
      <c r="T118" s="7"/>
      <c r="U118" s="97"/>
      <c r="V118" s="7"/>
      <c r="W118" s="19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1:40" ht="15.75" customHeight="1">
      <c r="A119" s="410" t="s">
        <v>238</v>
      </c>
      <c r="B119" s="7" t="s">
        <v>70</v>
      </c>
      <c r="C119" s="26" t="s">
        <v>36</v>
      </c>
      <c r="D119" s="54"/>
      <c r="E119" s="55" t="e">
        <f t="shared" si="26"/>
        <v>#DIV/0!</v>
      </c>
      <c r="F119" s="19">
        <f>+INDEX('[1]Budget original'!$A$2:$AO$501,MATCH($A119,'[1]Budget original'!$A$2:$A$501,0),MATCH(F$2,'[1]Budget original'!$A$2:$AO$2,0))</f>
        <v>0</v>
      </c>
      <c r="G119" s="56"/>
      <c r="H119" s="55"/>
      <c r="I119" s="19"/>
      <c r="J119" s="26"/>
      <c r="K119" s="55">
        <f>IF($J$97=0,0,L119/(J$94+J$95+J96))</f>
        <v>77.027826086957134</v>
      </c>
      <c r="L119" s="39">
        <f>SUMIFS([1]BV_Data_An_Cour!$AM:$AM,[1]BV_Data_An_Cour!$AP:$AP,$B119,[1]BV_Data_An_Cour!$AQ:$AQ,$C119,[1]BV_Data_An_Cour!$AR:$AR,$L$2)</f>
        <v>1771.640000000014</v>
      </c>
      <c r="M119" s="26"/>
      <c r="N119" s="39">
        <f t="shared" si="27"/>
        <v>1771.640000000014</v>
      </c>
      <c r="O119" s="26"/>
      <c r="P119" s="55">
        <f>IF($J$97=0,0,Q119/(O$94+O$95+O96))</f>
        <v>1852.3158333333315</v>
      </c>
      <c r="Q119" s="39">
        <f>SUMIFS([1]BV_Data_An_Prec!$AM:$AM,[1]BV_Data_An_Prec!$AP:$AP,$B119,[1]BV_Data_An_Prec!$AQ:$AQ,$C119,[1]BV_Data_An_Prec!$AR:$AR,$L$2)</f>
        <v>22227.789999999979</v>
      </c>
      <c r="R119" s="26"/>
      <c r="S119" s="39">
        <f t="shared" si="28"/>
        <v>-20456.149999999965</v>
      </c>
      <c r="T119" s="6"/>
      <c r="U119" s="97"/>
      <c r="W119" s="19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1:40" ht="15.75" customHeight="1">
      <c r="A120" s="410" t="s">
        <v>239</v>
      </c>
      <c r="B120" s="7" t="s">
        <v>70</v>
      </c>
      <c r="C120" s="26" t="s">
        <v>303</v>
      </c>
      <c r="D120" s="54"/>
      <c r="E120" s="55" t="e">
        <f t="shared" si="26"/>
        <v>#DIV/0!</v>
      </c>
      <c r="F120" s="19">
        <f>+INDEX('[1]Budget original'!$A$2:$AO$501,MATCH($A120,'[1]Budget original'!$A$2:$A$501,0),MATCH(F$2,'[1]Budget original'!$A$2:$AO$2,0))</f>
        <v>0</v>
      </c>
      <c r="G120" s="56"/>
      <c r="H120" s="55"/>
      <c r="I120" s="19"/>
      <c r="J120" s="26"/>
      <c r="K120" s="55">
        <f>IF($J$97=0,0,L120/(J$94+J$95))</f>
        <v>0</v>
      </c>
      <c r="L120" s="39">
        <f>SUMIFS([1]BV_Data_An_Cour!$AM:$AM,[1]BV_Data_An_Cour!$AP:$AP,$B120,[1]BV_Data_An_Cour!$AQ:$AQ,$C120,[1]BV_Data_An_Cour!$AR:$AR,$L$2)</f>
        <v>0</v>
      </c>
      <c r="M120" s="26"/>
      <c r="N120" s="39">
        <f t="shared" si="27"/>
        <v>0</v>
      </c>
      <c r="O120" s="26"/>
      <c r="P120" s="55">
        <f>IF($J$97=0,0,Q120/(O$94+O$95))</f>
        <v>0</v>
      </c>
      <c r="Q120" s="39">
        <f>SUMIFS([1]BV_Data_An_Prec!$AM:$AM,[1]BV_Data_An_Prec!$AP:$AP,$B120,[1]BV_Data_An_Prec!$AQ:$AQ,$C120,[1]BV_Data_An_Prec!$AR:$AR,$L$2)</f>
        <v>0</v>
      </c>
      <c r="R120" s="26"/>
      <c r="S120" s="39">
        <f t="shared" si="28"/>
        <v>0</v>
      </c>
      <c r="T120" s="6"/>
      <c r="U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1:40" ht="15.75" customHeight="1">
      <c r="A121" s="410" t="s">
        <v>239</v>
      </c>
      <c r="B121" s="7" t="s">
        <v>70</v>
      </c>
      <c r="C121" s="26" t="s">
        <v>304</v>
      </c>
      <c r="D121" s="54"/>
      <c r="E121" s="55" t="e">
        <f t="shared" si="26"/>
        <v>#DIV/0!</v>
      </c>
      <c r="F121" s="19">
        <f>+INDEX('[1]Budget original'!$A$2:$AO$501,MATCH($A121,'[1]Budget original'!$A$2:$A$501,0),MATCH(F$2,'[1]Budget original'!$A$2:$AO$2,0))</f>
        <v>0</v>
      </c>
      <c r="G121" s="56"/>
      <c r="H121" s="55"/>
      <c r="I121" s="19"/>
      <c r="J121" s="26"/>
      <c r="K121" s="55">
        <f>IF($J$97=0,0,L121/(J$94+J$95))</f>
        <v>-35.788695652173885</v>
      </c>
      <c r="L121" s="39">
        <f>SUMIFS([1]BV_Data_An_Cour!$AM:$AM,[1]BV_Data_An_Cour!$AP:$AP,$B121,[1]BV_Data_An_Cour!$AQ:$AQ,$C121,[1]BV_Data_An_Cour!$AR:$AR,$L$2)</f>
        <v>-823.13999999999942</v>
      </c>
      <c r="M121" s="26"/>
      <c r="N121" s="39">
        <f t="shared" si="27"/>
        <v>-823.13999999999942</v>
      </c>
      <c r="O121" s="26"/>
      <c r="P121" s="55">
        <f>IF($J$97=0,0,Q121/(O$94+O$95))</f>
        <v>0</v>
      </c>
      <c r="Q121" s="39">
        <f>SUMIFS([1]BV_Data_An_Prec!$AM:$AM,[1]BV_Data_An_Prec!$AP:$AP,$B121,[1]BV_Data_An_Prec!$AQ:$AQ,$C121,[1]BV_Data_An_Prec!$AR:$AR,$L$2)</f>
        <v>0</v>
      </c>
      <c r="R121" s="26"/>
      <c r="S121" s="39">
        <f t="shared" si="28"/>
        <v>-823.13999999999942</v>
      </c>
      <c r="T121" s="6">
        <v>-823</v>
      </c>
      <c r="U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1:40" ht="20.399999999999999" hidden="1" customHeight="1">
      <c r="A122" s="410" t="s">
        <v>239</v>
      </c>
      <c r="B122" s="7" t="s">
        <v>70</v>
      </c>
      <c r="C122" s="26" t="s">
        <v>19</v>
      </c>
      <c r="D122" s="54"/>
      <c r="E122" s="55" t="e">
        <f t="shared" si="26"/>
        <v>#DIV/0!</v>
      </c>
      <c r="F122" s="19">
        <f>+INDEX('[1]Budget original'!$A$2:$AO$501,MATCH($A122,'[1]Budget original'!$A$2:$A$501,0),MATCH(F$2,'[1]Budget original'!$A$2:$AO$2,0))</f>
        <v>0</v>
      </c>
      <c r="G122" s="56"/>
      <c r="H122" s="55"/>
      <c r="I122" s="19"/>
      <c r="J122" s="26"/>
      <c r="K122" s="55">
        <f>IF($J$97=0,0,L122/(J$94+J$95))</f>
        <v>0</v>
      </c>
      <c r="L122" s="21">
        <f>SUMIFS([1]BV_Data_An_Cour!$AM:$AM,[1]BV_Data_An_Cour!$AP:$AP,$B122,[1]BV_Data_An_Cour!$AQ:$AQ,$C122,[1]BV_Data_An_Cour!$AR:$AR,$L$2)</f>
        <v>0</v>
      </c>
      <c r="M122" s="26"/>
      <c r="N122" s="39">
        <f t="shared" si="27"/>
        <v>0</v>
      </c>
      <c r="O122" s="26"/>
      <c r="P122" s="55">
        <f>IF($J$97=0,0,Q122/(O$94+O$95))</f>
        <v>0</v>
      </c>
      <c r="Q122" s="21">
        <f>SUMIFS([1]BV_Data_An_Prec!$AM:$AM,[1]BV_Data_An_Prec!$AP:$AP,$B122,[1]BV_Data_An_Prec!$AQ:$AQ,$C122,[1]BV_Data_An_Prec!$AR:$AR,$L$2)</f>
        <v>0</v>
      </c>
      <c r="R122" s="26"/>
      <c r="S122" s="39">
        <f t="shared" si="28"/>
        <v>0</v>
      </c>
      <c r="T122" s="7"/>
      <c r="U122" s="6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1:40" ht="18.600000000000001" customHeight="1">
      <c r="A123" s="410" t="s">
        <v>240</v>
      </c>
      <c r="B123" s="7" t="s">
        <v>70</v>
      </c>
      <c r="C123" s="139" t="s">
        <v>37</v>
      </c>
      <c r="D123" s="62" t="s">
        <v>38</v>
      </c>
      <c r="E123" s="63" t="e">
        <f>F123/F$109</f>
        <v>#DIV/0!</v>
      </c>
      <c r="F123" s="64">
        <f>SUM(F113:F122)</f>
        <v>0</v>
      </c>
      <c r="G123" s="65"/>
      <c r="H123" s="63"/>
      <c r="I123" s="64"/>
      <c r="J123" s="65" t="s">
        <v>38</v>
      </c>
      <c r="K123" s="63">
        <f>L123/L$109</f>
        <v>0.45929773598861839</v>
      </c>
      <c r="L123" s="64">
        <f>SUM(L113:L122)</f>
        <v>24675.16</v>
      </c>
      <c r="M123" s="66"/>
      <c r="N123" s="64">
        <f t="shared" si="27"/>
        <v>24675.16</v>
      </c>
      <c r="O123" s="65" t="s">
        <v>38</v>
      </c>
      <c r="P123" s="63">
        <f>Q123/Q$109</f>
        <v>0.58082479438030732</v>
      </c>
      <c r="Q123" s="64">
        <f>SUM(Q113:Q122)</f>
        <v>35918.849999999977</v>
      </c>
      <c r="R123" s="67"/>
      <c r="S123" s="64">
        <f t="shared" si="28"/>
        <v>-11243.689999999977</v>
      </c>
      <c r="T123" s="7"/>
      <c r="U123" s="6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1:40" ht="15.75" customHeight="1">
      <c r="A124" s="410" t="s">
        <v>241</v>
      </c>
      <c r="B124" s="7" t="s">
        <v>70</v>
      </c>
      <c r="C124" s="271" t="s">
        <v>40</v>
      </c>
      <c r="D124" s="7"/>
      <c r="E124" s="7"/>
      <c r="F124" s="19">
        <f>+INDEX('[1]Budget original'!$A$2:$AO$501,MATCH($A124,'[1]Budget original'!$A$2:$A$501,0),MATCH(F$2,'[1]Budget original'!$A$2:$AO$2,0))</f>
        <v>0</v>
      </c>
      <c r="G124" s="26"/>
      <c r="H124" s="7"/>
      <c r="I124" s="19"/>
      <c r="J124" s="26"/>
      <c r="K124" s="7"/>
      <c r="L124" s="39">
        <f>SUMIFS([1]BV_Data_An_Cour!$AM:$AM,[1]BV_Data_An_Cour!$AP:$AP,$B124,[1]BV_Data_An_Cour!$AQ:$AQ,$C124,[1]BV_Data_An_Cour!$AR:$AR,$L$2)</f>
        <v>10231.530000000006</v>
      </c>
      <c r="M124" s="26"/>
      <c r="N124" s="39">
        <f t="shared" si="27"/>
        <v>10231.530000000006</v>
      </c>
      <c r="O124" s="26"/>
      <c r="P124" s="7"/>
      <c r="Q124" s="39">
        <f>SUMIFS([1]BV_Data_An_Prec!$AM:$AM,[1]BV_Data_An_Prec!$AP:$AP,$B124,[1]BV_Data_An_Prec!$AQ:$AQ,$C124,[1]BV_Data_An_Prec!$AR:$AR,$L$2)</f>
        <v>17042.630000000005</v>
      </c>
      <c r="R124" s="26"/>
      <c r="S124" s="39">
        <f t="shared" si="28"/>
        <v>-6811.0999999999985</v>
      </c>
      <c r="T124" s="7"/>
      <c r="U124" s="6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1:40" ht="15.75" customHeight="1">
      <c r="A125" s="410" t="s">
        <v>242</v>
      </c>
      <c r="B125" s="7" t="s">
        <v>70</v>
      </c>
      <c r="C125" s="272" t="s">
        <v>41</v>
      </c>
      <c r="D125" s="54"/>
      <c r="E125" s="7"/>
      <c r="F125" s="31">
        <f>+INDEX('[1]Budget original'!$A$2:$AO$501,MATCH($A125,'[1]Budget original'!$A$2:$A$501,0),MATCH(F$2,'[1]Budget original'!$A$2:$AO$2,0))</f>
        <v>0</v>
      </c>
      <c r="G125" s="56"/>
      <c r="H125" s="7"/>
      <c r="I125" s="31"/>
      <c r="J125" s="26"/>
      <c r="K125" s="7"/>
      <c r="L125" s="39">
        <f>SUMIFS([1]BV_Data_An_Cour!$AM:$AM,[1]BV_Data_An_Cour!$AP:$AP,$B125,[1]BV_Data_An_Cour!$AQ:$AQ,$C125,[1]BV_Data_An_Cour!$AR:$AR,$L$2)</f>
        <v>6819.5099999999984</v>
      </c>
      <c r="M125" s="26"/>
      <c r="N125" s="39">
        <f t="shared" si="27"/>
        <v>6819.5099999999984</v>
      </c>
      <c r="O125" s="26"/>
      <c r="P125" s="7"/>
      <c r="Q125" s="39">
        <f>SUMIFS([1]BV_Data_An_Prec!$AM:$AM,[1]BV_Data_An_Prec!$AP:$AP,$B125,[1]BV_Data_An_Prec!$AQ:$AQ,$C125,[1]BV_Data_An_Prec!$AR:$AR,$L$2)</f>
        <v>4912.130000000001</v>
      </c>
      <c r="R125" s="26"/>
      <c r="S125" s="39">
        <f t="shared" si="28"/>
        <v>1907.3799999999974</v>
      </c>
      <c r="T125" s="7"/>
      <c r="U125" s="6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1:40" ht="15.75" customHeight="1">
      <c r="A126" s="410" t="s">
        <v>243</v>
      </c>
      <c r="B126" s="7" t="s">
        <v>70</v>
      </c>
      <c r="C126" s="271" t="s">
        <v>42</v>
      </c>
      <c r="D126" s="68"/>
      <c r="E126" s="69"/>
      <c r="F126" s="19">
        <f>+INDEX('[1]Budget original'!$A$2:$AO$501,MATCH($A126,'[1]Budget original'!$A$2:$A$501,0),MATCH(F$2,'[1]Budget original'!$A$2:$AO$2,0))</f>
        <v>0</v>
      </c>
      <c r="G126" s="70"/>
      <c r="H126" s="69"/>
      <c r="I126" s="19"/>
      <c r="J126" s="71"/>
      <c r="K126" s="69"/>
      <c r="L126" s="72">
        <f>SUMIFS([1]BV_Data_An_Cour!$AM:$AM,[1]BV_Data_An_Cour!$AP:$AP,$B126,[1]BV_Data_An_Cour!$AQ:$AQ,$C126,[1]BV_Data_An_Cour!$AR:$AR,$L$2)</f>
        <v>2247.6399999999994</v>
      </c>
      <c r="M126" s="71"/>
      <c r="N126" s="72">
        <f t="shared" si="27"/>
        <v>2247.6399999999994</v>
      </c>
      <c r="O126" s="71"/>
      <c r="P126" s="69"/>
      <c r="Q126" s="72">
        <f>SUMIFS([1]BV_Data_An_Prec!$AM:$AM,[1]BV_Data_An_Prec!$AP:$AP,$B126,[1]BV_Data_An_Prec!$AQ:$AQ,$C126,[1]BV_Data_An_Prec!$AR:$AR,$L$2)</f>
        <v>1498.7600000000002</v>
      </c>
      <c r="R126" s="71"/>
      <c r="S126" s="72">
        <f t="shared" si="28"/>
        <v>748.8799999999992</v>
      </c>
      <c r="T126" s="7"/>
      <c r="U126" s="6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1:40" ht="20.399999999999999" hidden="1" customHeight="1">
      <c r="A127" s="410" t="s">
        <v>244</v>
      </c>
      <c r="B127" s="7" t="s">
        <v>70</v>
      </c>
      <c r="C127" s="271" t="s">
        <v>43</v>
      </c>
      <c r="D127" s="54"/>
      <c r="E127" s="7"/>
      <c r="F127" s="19">
        <f>+INDEX('[1]Budget original'!$A$2:$AO$501,MATCH($A127,'[1]Budget original'!$A$2:$A$501,0),MATCH(F$2,'[1]Budget original'!$A$2:$AO$2,0))</f>
        <v>0</v>
      </c>
      <c r="G127" s="56"/>
      <c r="H127" s="7"/>
      <c r="I127" s="19"/>
      <c r="J127" s="26"/>
      <c r="K127" s="7"/>
      <c r="L127" s="39">
        <f>SUMIFS([1]BV_Data_An_Cour!$AM:$AM,[1]BV_Data_An_Cour!$AP:$AP,$B127,[1]BV_Data_An_Cour!$AQ:$AQ,$C127,[1]BV_Data_An_Cour!$AR:$AR,$L$2)</f>
        <v>0</v>
      </c>
      <c r="M127" s="26"/>
      <c r="N127" s="39">
        <f t="shared" si="27"/>
        <v>0</v>
      </c>
      <c r="O127" s="26"/>
      <c r="P127" s="7"/>
      <c r="Q127" s="39">
        <f>SUMIFS([1]BV_Data_An_Prec!$AM:$AM,[1]BV_Data_An_Prec!$AP:$AP,$B127,[1]BV_Data_An_Prec!$AQ:$AQ,$C127,[1]BV_Data_An_Prec!$AR:$AR,$L$2)</f>
        <v>0</v>
      </c>
      <c r="R127" s="26"/>
      <c r="S127" s="39">
        <f t="shared" si="28"/>
        <v>0</v>
      </c>
      <c r="T127" s="7"/>
      <c r="U127" s="6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1:40" ht="20.399999999999999" hidden="1" customHeight="1">
      <c r="A128" s="410" t="s">
        <v>239</v>
      </c>
      <c r="B128" s="7" t="s">
        <v>70</v>
      </c>
      <c r="C128" s="271" t="s">
        <v>19</v>
      </c>
      <c r="D128" s="54"/>
      <c r="E128" s="7"/>
      <c r="F128" s="19">
        <f>+INDEX('[1]Budget original'!$A$2:$AO$501,MATCH($A128,'[1]Budget original'!$A$2:$A$501,0),MATCH(F$2,'[1]Budget original'!$A$2:$AO$2,0))</f>
        <v>0</v>
      </c>
      <c r="G128" s="56"/>
      <c r="H128" s="7"/>
      <c r="I128" s="19"/>
      <c r="J128" s="26"/>
      <c r="K128" s="7"/>
      <c r="L128" s="39">
        <f>SUMIFS([1]BV_Data_An_Cour!$AM:$AM,[1]BV_Data_An_Cour!$AP:$AP,$B128,[1]BV_Data_An_Cour!$AQ:$AQ,$C128,[1]BV_Data_An_Cour!$AR:$AR,$L$2)</f>
        <v>0</v>
      </c>
      <c r="M128" s="26"/>
      <c r="N128" s="39">
        <f t="shared" si="27"/>
        <v>0</v>
      </c>
      <c r="O128" s="26"/>
      <c r="P128" s="7"/>
      <c r="Q128" s="39">
        <f>SUMIFS([1]BV_Data_An_Prec!$AM:$AM,[1]BV_Data_An_Prec!$AP:$AP,$B128,[1]BV_Data_An_Prec!$AQ:$AQ,$C128,[1]BV_Data_An_Prec!$AR:$AR,$L$2)</f>
        <v>0</v>
      </c>
      <c r="R128" s="26"/>
      <c r="S128" s="39">
        <f t="shared" si="28"/>
        <v>0</v>
      </c>
      <c r="T128" s="7"/>
      <c r="U128" s="6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1:40" ht="20.399999999999999" hidden="1" customHeight="1">
      <c r="A129" s="410" t="s">
        <v>239</v>
      </c>
      <c r="B129" s="7" t="s">
        <v>70</v>
      </c>
      <c r="C129" s="271" t="s">
        <v>19</v>
      </c>
      <c r="D129" s="54"/>
      <c r="E129" s="7"/>
      <c r="F129" s="19">
        <f>+INDEX('[1]Budget original'!$A$2:$AO$501,MATCH($A129,'[1]Budget original'!$A$2:$A$501,0),MATCH(F$2,'[1]Budget original'!$A$2:$AO$2,0))</f>
        <v>0</v>
      </c>
      <c r="G129" s="56"/>
      <c r="H129" s="7"/>
      <c r="I129" s="19"/>
      <c r="J129" s="26"/>
      <c r="K129" s="7"/>
      <c r="L129" s="39">
        <f>SUMIFS([1]BV_Data_An_Cour!$AM:$AM,[1]BV_Data_An_Cour!$AP:$AP,$B129,[1]BV_Data_An_Cour!$AQ:$AQ,$C129,[1]BV_Data_An_Cour!$AR:$AR,$L$2)</f>
        <v>0</v>
      </c>
      <c r="M129" s="26"/>
      <c r="N129" s="39">
        <f t="shared" si="27"/>
        <v>0</v>
      </c>
      <c r="O129" s="26"/>
      <c r="P129" s="7"/>
      <c r="Q129" s="39">
        <f>SUMIFS([1]BV_Data_An_Prec!$AM:$AM,[1]BV_Data_An_Prec!$AP:$AP,$B129,[1]BV_Data_An_Prec!$AQ:$AQ,$C129,[1]BV_Data_An_Prec!$AR:$AR,$L$2)</f>
        <v>0</v>
      </c>
      <c r="R129" s="26"/>
      <c r="S129" s="39">
        <f t="shared" si="28"/>
        <v>0</v>
      </c>
      <c r="T129" s="7"/>
      <c r="U129" s="6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1:40" ht="20.399999999999999" hidden="1" customHeight="1">
      <c r="A130" s="410" t="s">
        <v>239</v>
      </c>
      <c r="B130" s="7" t="s">
        <v>70</v>
      </c>
      <c r="C130" s="271" t="s">
        <v>19</v>
      </c>
      <c r="D130" s="54"/>
      <c r="E130" s="7"/>
      <c r="F130" s="19">
        <f>+INDEX('[1]Budget original'!$A$2:$AO$501,MATCH($A130,'[1]Budget original'!$A$2:$A$501,0),MATCH(F$2,'[1]Budget original'!$A$2:$AO$2,0))</f>
        <v>0</v>
      </c>
      <c r="G130" s="56"/>
      <c r="H130" s="7"/>
      <c r="I130" s="19"/>
      <c r="J130" s="26"/>
      <c r="K130" s="7"/>
      <c r="L130" s="39">
        <f>SUMIFS([1]BV_Data_An_Cour!$AM:$AM,[1]BV_Data_An_Cour!$AP:$AP,$B130,[1]BV_Data_An_Cour!$AQ:$AQ,$C130,[1]BV_Data_An_Cour!$AR:$AR,$L$2)</f>
        <v>0</v>
      </c>
      <c r="M130" s="26"/>
      <c r="N130" s="39">
        <f t="shared" si="27"/>
        <v>0</v>
      </c>
      <c r="O130" s="26"/>
      <c r="P130" s="7"/>
      <c r="Q130" s="39">
        <f>SUMIFS([1]BV_Data_An_Prec!$AM:$AM,[1]BV_Data_An_Prec!$AP:$AP,$B130,[1]BV_Data_An_Prec!$AQ:$AQ,$C130,[1]BV_Data_An_Prec!$AR:$AR,$L$2)</f>
        <v>0</v>
      </c>
      <c r="R130" s="26"/>
      <c r="S130" s="39">
        <f t="shared" si="28"/>
        <v>0</v>
      </c>
      <c r="T130" s="7"/>
      <c r="U130" s="6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1:40" ht="15.75" customHeight="1">
      <c r="A131" s="410" t="s">
        <v>245</v>
      </c>
      <c r="B131" s="7" t="s">
        <v>70</v>
      </c>
      <c r="C131" s="272" t="s">
        <v>44</v>
      </c>
      <c r="D131" s="54"/>
      <c r="E131" s="7"/>
      <c r="F131" s="19">
        <f>+INDEX('[1]Budget original'!$A$2:$AO$501,MATCH($A131,'[1]Budget original'!$A$2:$A$501,0),MATCH(F$2,'[1]Budget original'!$A$2:$AO$2,0))</f>
        <v>0</v>
      </c>
      <c r="G131" s="56"/>
      <c r="H131" s="7"/>
      <c r="I131" s="19"/>
      <c r="J131" s="26"/>
      <c r="K131" s="7"/>
      <c r="L131" s="39">
        <f>SUMIFS([1]BV_Data_An_Cour!$AM:$AM,[1]BV_Data_An_Cour!$AP:$AP,$B131,[1]BV_Data_An_Cour!$AQ:$AQ,$C131,[1]BV_Data_An_Cour!$AR:$AR,$L$2)</f>
        <v>3522.3000000000029</v>
      </c>
      <c r="M131" s="26"/>
      <c r="N131" s="39">
        <f t="shared" si="27"/>
        <v>3522.3000000000029</v>
      </c>
      <c r="O131" s="26"/>
      <c r="P131" s="7"/>
      <c r="Q131" s="39">
        <f>SUMIFS([1]BV_Data_An_Prec!$AM:$AM,[1]BV_Data_An_Prec!$AP:$AP,$B131,[1]BV_Data_An_Prec!$AQ:$AQ,$C131,[1]BV_Data_An_Prec!$AR:$AR,$L$2)</f>
        <v>1766.2999999999993</v>
      </c>
      <c r="R131" s="26"/>
      <c r="S131" s="39">
        <f t="shared" si="28"/>
        <v>1756.0000000000036</v>
      </c>
      <c r="T131" s="7"/>
      <c r="U131" s="6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1:40" ht="15.75" customHeight="1">
      <c r="A132" s="410" t="s">
        <v>246</v>
      </c>
      <c r="B132" s="7" t="s">
        <v>70</v>
      </c>
      <c r="C132" s="271" t="s">
        <v>45</v>
      </c>
      <c r="D132" s="68"/>
      <c r="E132" s="69"/>
      <c r="F132" s="35">
        <f>+INDEX('[1]Budget original'!$A$2:$AO$501,MATCH($A132,'[1]Budget original'!$A$2:$A$501,0),MATCH(F$2,'[1]Budget original'!$A$2:$AO$2,0))</f>
        <v>0</v>
      </c>
      <c r="G132" s="70"/>
      <c r="H132" s="69"/>
      <c r="I132" s="35"/>
      <c r="J132" s="71"/>
      <c r="K132" s="69"/>
      <c r="L132" s="72">
        <f>SUMIFS([1]BV_Data_An_Cour!$AM:$AM,[1]BV_Data_An_Cour!$AP:$AP,$B132,[1]BV_Data_An_Cour!$AQ:$AQ,$C132,[1]BV_Data_An_Cour!$AR:$AR,$L$2)</f>
        <v>5319.75</v>
      </c>
      <c r="M132" s="71"/>
      <c r="N132" s="72">
        <f t="shared" si="27"/>
        <v>5319.75</v>
      </c>
      <c r="O132" s="71"/>
      <c r="P132" s="69"/>
      <c r="Q132" s="72">
        <f>SUMIFS([1]BV_Data_An_Prec!$AM:$AM,[1]BV_Data_An_Prec!$AP:$AP,$B132,[1]BV_Data_An_Prec!$AQ:$AQ,$C132,[1]BV_Data_An_Prec!$AR:$AR,$L$2)</f>
        <v>3329.0599999999995</v>
      </c>
      <c r="R132" s="71"/>
      <c r="S132" s="72">
        <f t="shared" si="28"/>
        <v>1990.6900000000005</v>
      </c>
      <c r="T132" s="7"/>
      <c r="U132" s="6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1:40" ht="15.75" customHeight="1">
      <c r="A133" s="410" t="s">
        <v>247</v>
      </c>
      <c r="B133" s="7" t="s">
        <v>70</v>
      </c>
      <c r="C133" s="271" t="s">
        <v>46</v>
      </c>
      <c r="D133" s="54"/>
      <c r="E133" s="7"/>
      <c r="F133" s="19">
        <f>+INDEX('[1]Budget original'!$A$2:$AO$501,MATCH($A133,'[1]Budget original'!$A$2:$A$501,0),MATCH(F$2,'[1]Budget original'!$A$2:$AO$2,0))</f>
        <v>0</v>
      </c>
      <c r="G133" s="56"/>
      <c r="H133" s="7"/>
      <c r="I133" s="19"/>
      <c r="J133" s="26"/>
      <c r="K133" s="7"/>
      <c r="L133" s="39">
        <f>SUMIFS([1]BV_Data_An_Cour!$AM:$AM,[1]BV_Data_An_Cour!$AP:$AP,$B133,[1]BV_Data_An_Cour!$AQ:$AQ,$C133,[1]BV_Data_An_Cour!$AR:$AR,$L$2)</f>
        <v>656.61000000000058</v>
      </c>
      <c r="M133" s="26"/>
      <c r="N133" s="39">
        <f t="shared" si="27"/>
        <v>656.61000000000058</v>
      </c>
      <c r="O133" s="26"/>
      <c r="P133" s="7"/>
      <c r="Q133" s="39">
        <f>SUMIFS([1]BV_Data_An_Prec!$AM:$AM,[1]BV_Data_An_Prec!$AP:$AP,$B133,[1]BV_Data_An_Prec!$AQ:$AQ,$C133,[1]BV_Data_An_Prec!$AR:$AR,$L$2)</f>
        <v>1059.3500000000004</v>
      </c>
      <c r="R133" s="26"/>
      <c r="S133" s="39">
        <f t="shared" si="28"/>
        <v>-402.73999999999978</v>
      </c>
      <c r="T133" s="7"/>
      <c r="U133" s="6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1:40" ht="15.75" customHeight="1">
      <c r="A134" s="410" t="s">
        <v>248</v>
      </c>
      <c r="B134" s="7" t="s">
        <v>70</v>
      </c>
      <c r="C134" s="271" t="s">
        <v>47</v>
      </c>
      <c r="D134" s="54"/>
      <c r="E134" s="7"/>
      <c r="F134" s="19">
        <f>+INDEX('[1]Budget original'!$A$2:$AO$501,MATCH($A134,'[1]Budget original'!$A$2:$A$501,0),MATCH(F$2,'[1]Budget original'!$A$2:$AO$2,0))</f>
        <v>0</v>
      </c>
      <c r="G134" s="56"/>
      <c r="H134" s="7"/>
      <c r="I134" s="19"/>
      <c r="J134" s="26"/>
      <c r="K134" s="7"/>
      <c r="L134" s="39">
        <f>SUMIFS([1]BV_Data_An_Cour!$AM:$AM,[1]BV_Data_An_Cour!$AP:$AP,$B134,[1]BV_Data_An_Cour!$AQ:$AQ,$C134,[1]BV_Data_An_Cour!$AR:$AR,$L$2)</f>
        <v>1711.9899999999998</v>
      </c>
      <c r="M134" s="26"/>
      <c r="N134" s="39">
        <f t="shared" si="27"/>
        <v>1711.9899999999998</v>
      </c>
      <c r="O134" s="26"/>
      <c r="P134" s="7"/>
      <c r="Q134" s="39">
        <f>SUMIFS([1]BV_Data_An_Prec!$AM:$AM,[1]BV_Data_An_Prec!$AP:$AP,$B134,[1]BV_Data_An_Prec!$AQ:$AQ,$C134,[1]BV_Data_An_Prec!$AR:$AR,$L$2)</f>
        <v>28.629999999999995</v>
      </c>
      <c r="R134" s="26"/>
      <c r="S134" s="39">
        <f t="shared" si="28"/>
        <v>1683.3599999999997</v>
      </c>
      <c r="T134" s="7"/>
      <c r="U134" s="6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1:40" ht="20.399999999999999" hidden="1" customHeight="1">
      <c r="A135" s="410" t="s">
        <v>239</v>
      </c>
      <c r="B135" s="7" t="s">
        <v>70</v>
      </c>
      <c r="C135" s="26" t="s">
        <v>19</v>
      </c>
      <c r="D135" s="57"/>
      <c r="E135" s="73"/>
      <c r="F135" s="19">
        <f>+INDEX('[1]Budget original'!$A$2:$AO$501,MATCH($A135,'[1]Budget original'!$A$2:$A$501,0),MATCH(F$2,'[1]Budget original'!$A$2:$AO$2,0))</f>
        <v>0</v>
      </c>
      <c r="G135" s="59"/>
      <c r="H135" s="73"/>
      <c r="I135" s="19"/>
      <c r="J135" s="14"/>
      <c r="K135" s="73"/>
      <c r="L135" s="39">
        <f>SUMIFS([1]BV_Data_An_Cour!$AM:$AM,[1]BV_Data_An_Cour!$AP:$AP,$B135,[1]BV_Data_An_Cour!$AQ:$AQ,$C135,[1]BV_Data_An_Cour!$AR:$AR,$L$2)</f>
        <v>0</v>
      </c>
      <c r="M135" s="14"/>
      <c r="N135" s="61">
        <f t="shared" si="27"/>
        <v>0</v>
      </c>
      <c r="O135" s="14"/>
      <c r="P135" s="73"/>
      <c r="Q135" s="39">
        <f>SUMIFS([1]BV_Data_An_Prec!$AM:$AM,[1]BV_Data_An_Prec!$AP:$AP,$B135,[1]BV_Data_An_Prec!$AQ:$AQ,$C135,[1]BV_Data_An_Prec!$AR:$AR,$L$2)</f>
        <v>0</v>
      </c>
      <c r="R135" s="14"/>
      <c r="S135" s="61">
        <f t="shared" si="28"/>
        <v>0</v>
      </c>
      <c r="T135" s="7"/>
      <c r="U135" s="6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1:40" ht="18.600000000000001" customHeight="1">
      <c r="A136" s="410" t="s">
        <v>249</v>
      </c>
      <c r="B136" s="7" t="s">
        <v>70</v>
      </c>
      <c r="C136" s="139" t="s">
        <v>48</v>
      </c>
      <c r="D136" s="62" t="s">
        <v>38</v>
      </c>
      <c r="E136" s="63" t="e">
        <f>F136/F$109</f>
        <v>#DIV/0!</v>
      </c>
      <c r="F136" s="64">
        <f>+SUM(F124:F135)</f>
        <v>0</v>
      </c>
      <c r="G136" s="65"/>
      <c r="H136" s="63"/>
      <c r="I136" s="64"/>
      <c r="J136" s="65" t="s">
        <v>38</v>
      </c>
      <c r="K136" s="63">
        <f>L136/L$109</f>
        <v>0.56789363049843</v>
      </c>
      <c r="L136" s="64">
        <f>SUM(L124:L135)</f>
        <v>30509.330000000009</v>
      </c>
      <c r="M136" s="66"/>
      <c r="N136" s="64">
        <f t="shared" si="27"/>
        <v>30509.330000000009</v>
      </c>
      <c r="O136" s="65" t="s">
        <v>38</v>
      </c>
      <c r="P136" s="63">
        <f>Q136/Q$109</f>
        <v>0.47924204465282072</v>
      </c>
      <c r="Q136" s="64">
        <f>SUM(Q124:Q135)</f>
        <v>29636.860000000004</v>
      </c>
      <c r="R136" s="67"/>
      <c r="S136" s="64">
        <f t="shared" si="28"/>
        <v>872.4700000000048</v>
      </c>
      <c r="T136" s="7"/>
      <c r="U136" s="6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1:40" ht="20.399999999999999" hidden="1" customHeight="1">
      <c r="A137" s="410" t="s">
        <v>250</v>
      </c>
      <c r="B137" s="7" t="s">
        <v>70</v>
      </c>
      <c r="C137" s="26" t="s">
        <v>49</v>
      </c>
      <c r="D137" s="54"/>
      <c r="E137" s="7"/>
      <c r="F137" s="19">
        <f>+INDEX('[1]Budget original'!$A$2:$AO$501,MATCH($A137,'[1]Budget original'!$A$2:$A$501,0),MATCH(F$2,'[1]Budget original'!$A$2:$AO$2,0))</f>
        <v>0</v>
      </c>
      <c r="G137" s="56"/>
      <c r="H137" s="7"/>
      <c r="I137" s="19"/>
      <c r="J137" s="26"/>
      <c r="K137" s="7"/>
      <c r="L137" s="39">
        <f>SUMIFS([1]BV_Data_An_Cour!$AM:$AM,[1]BV_Data_An_Cour!$AP:$AP,$B137,[1]BV_Data_An_Cour!$AQ:$AQ,$C137,[1]BV_Data_An_Cour!$AR:$AR,$L$2)</f>
        <v>0</v>
      </c>
      <c r="M137" s="26"/>
      <c r="N137" s="39">
        <f t="shared" si="27"/>
        <v>0</v>
      </c>
      <c r="O137" s="26"/>
      <c r="P137" s="7"/>
      <c r="Q137" s="39">
        <f>SUMIFS([1]BV_Data_An_Prec!$AM:$AM,[1]BV_Data_An_Prec!$AP:$AP,$B137,[1]BV_Data_An_Prec!$AQ:$AQ,$C137,[1]BV_Data_An_Prec!$AR:$AR,$L$2)</f>
        <v>0</v>
      </c>
      <c r="R137" s="26"/>
      <c r="S137" s="39">
        <f t="shared" si="28"/>
        <v>0</v>
      </c>
      <c r="T137" s="7"/>
      <c r="U137" s="6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1:40" ht="20.399999999999999" hidden="1" customHeight="1">
      <c r="A138" s="410" t="s">
        <v>251</v>
      </c>
      <c r="B138" s="7" t="s">
        <v>70</v>
      </c>
      <c r="C138" s="26" t="s">
        <v>50</v>
      </c>
      <c r="D138" s="54"/>
      <c r="E138" s="7"/>
      <c r="F138" s="19">
        <f>+INDEX('[1]Budget original'!$A$2:$AO$501,MATCH($A138,'[1]Budget original'!$A$2:$A$501,0),MATCH(F$2,'[1]Budget original'!$A$2:$AO$2,0))</f>
        <v>0</v>
      </c>
      <c r="G138" s="56"/>
      <c r="H138" s="7"/>
      <c r="I138" s="19"/>
      <c r="J138" s="26"/>
      <c r="K138" s="7"/>
      <c r="L138" s="39">
        <f>SUMIFS([1]BV_Data_An_Cour!$AM:$AM,[1]BV_Data_An_Cour!$AP:$AP,$B138,[1]BV_Data_An_Cour!$AQ:$AQ,$C138,[1]BV_Data_An_Cour!$AR:$AR,$L$2)</f>
        <v>0</v>
      </c>
      <c r="M138" s="26"/>
      <c r="N138" s="39">
        <f t="shared" si="27"/>
        <v>0</v>
      </c>
      <c r="O138" s="26"/>
      <c r="P138" s="7"/>
      <c r="Q138" s="39">
        <f>SUMIFS([1]BV_Data_An_Prec!$AM:$AM,[1]BV_Data_An_Prec!$AP:$AP,$B138,[1]BV_Data_An_Prec!$AQ:$AQ,$C138,[1]BV_Data_An_Prec!$AR:$AR,$L$2)</f>
        <v>0</v>
      </c>
      <c r="R138" s="26"/>
      <c r="S138" s="39">
        <f t="shared" si="28"/>
        <v>0</v>
      </c>
      <c r="T138" s="7"/>
      <c r="U138" s="6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1:40" ht="15.75" customHeight="1">
      <c r="A139" s="410" t="s">
        <v>252</v>
      </c>
      <c r="B139" s="7" t="s">
        <v>70</v>
      </c>
      <c r="C139" s="14" t="s">
        <v>51</v>
      </c>
      <c r="D139" s="57"/>
      <c r="E139" s="73"/>
      <c r="F139" s="31">
        <f>+INDEX('[1]Budget original'!$A$2:$AO$501,MATCH($A139,'[1]Budget original'!$A$2:$A$501,0),MATCH(F$2,'[1]Budget original'!$A$2:$AO$2,0))</f>
        <v>0</v>
      </c>
      <c r="G139" s="59"/>
      <c r="H139" s="73"/>
      <c r="I139" s="31"/>
      <c r="J139" s="14"/>
      <c r="K139" s="73"/>
      <c r="L139" s="61">
        <f>SUMIFS([1]BV_Data_An_Cour!$AM:$AM,[1]BV_Data_An_Cour!$AP:$AP,$B139,[1]BV_Data_An_Cour!$AQ:$AQ,$C139,[1]BV_Data_An_Cour!$AR:$AR,$L$2)</f>
        <v>3111.5799999999981</v>
      </c>
      <c r="M139" s="14"/>
      <c r="N139" s="61">
        <f t="shared" si="27"/>
        <v>3111.5799999999981</v>
      </c>
      <c r="O139" s="14"/>
      <c r="P139" s="73"/>
      <c r="Q139" s="61">
        <f>SUMIFS([1]BV_Data_An_Prec!$AM:$AM,[1]BV_Data_An_Prec!$AP:$AP,$B139,[1]BV_Data_An_Prec!$AQ:$AQ,$C139,[1]BV_Data_An_Prec!$AR:$AR,$L$2)</f>
        <v>2757.26</v>
      </c>
      <c r="R139" s="14"/>
      <c r="S139" s="61">
        <f t="shared" si="28"/>
        <v>354.31999999999789</v>
      </c>
      <c r="T139" s="7"/>
      <c r="U139" s="6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1:40" ht="15.75" customHeight="1">
      <c r="A140" s="410" t="s">
        <v>253</v>
      </c>
      <c r="B140" s="7" t="s">
        <v>70</v>
      </c>
      <c r="C140" s="26" t="s">
        <v>52</v>
      </c>
      <c r="D140" s="54"/>
      <c r="E140" s="7"/>
      <c r="F140" s="19">
        <f>+INDEX('[1]Budget original'!$A$2:$AO$501,MATCH($A140,'[1]Budget original'!$A$2:$A$501,0),MATCH(F$2,'[1]Budget original'!$A$2:$AO$2,0))</f>
        <v>0</v>
      </c>
      <c r="G140" s="56"/>
      <c r="H140" s="7"/>
      <c r="I140" s="19"/>
      <c r="J140" s="26"/>
      <c r="K140" s="7"/>
      <c r="L140" s="39">
        <f>SUMIFS([1]BV_Data_An_Cour!$AM:$AM,[1]BV_Data_An_Cour!$AP:$AP,$B140,[1]BV_Data_An_Cour!$AQ:$AQ,$C140,[1]BV_Data_An_Cour!$AR:$AR,$L$2)</f>
        <v>1836.9099999999999</v>
      </c>
      <c r="M140" s="26"/>
      <c r="N140" s="39">
        <f t="shared" si="27"/>
        <v>1836.9099999999999</v>
      </c>
      <c r="O140" s="26"/>
      <c r="P140" s="7"/>
      <c r="Q140" s="39">
        <f>SUMIFS([1]BV_Data_An_Prec!$AM:$AM,[1]BV_Data_An_Prec!$AP:$AP,$B140,[1]BV_Data_An_Prec!$AQ:$AQ,$C140,[1]BV_Data_An_Prec!$AR:$AR,$L$2)</f>
        <v>2128.0300000000007</v>
      </c>
      <c r="R140" s="26"/>
      <c r="S140" s="39">
        <f t="shared" si="28"/>
        <v>-291.1200000000008</v>
      </c>
      <c r="T140" s="7"/>
      <c r="U140" s="6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1:40" ht="15.75" customHeight="1">
      <c r="A141" s="410" t="s">
        <v>254</v>
      </c>
      <c r="B141" s="7" t="s">
        <v>70</v>
      </c>
      <c r="C141" s="26" t="s">
        <v>53</v>
      </c>
      <c r="D141" s="54"/>
      <c r="E141" s="7"/>
      <c r="F141" s="19">
        <f>+INDEX('[1]Budget original'!$A$2:$AO$501,MATCH($A141,'[1]Budget original'!$A$2:$A$501,0),MATCH(F$2,'[1]Budget original'!$A$2:$AO$2,0))</f>
        <v>0</v>
      </c>
      <c r="G141" s="56"/>
      <c r="H141" s="7"/>
      <c r="I141" s="19"/>
      <c r="J141" s="26"/>
      <c r="K141" s="7"/>
      <c r="L141" s="39">
        <f>SUMIFS([1]BV_Data_An_Cour!$AM:$AM,[1]BV_Data_An_Cour!$AP:$AP,$B141,[1]BV_Data_An_Cour!$AQ:$AQ,$C141,[1]BV_Data_An_Cour!$AR:$AR,$L$2)</f>
        <v>370.02000000000044</v>
      </c>
      <c r="M141" s="26"/>
      <c r="N141" s="39">
        <f t="shared" si="27"/>
        <v>370.02000000000044</v>
      </c>
      <c r="O141" s="26"/>
      <c r="P141" s="7"/>
      <c r="Q141" s="39">
        <f>SUMIFS([1]BV_Data_An_Prec!$AM:$AM,[1]BV_Data_An_Prec!$AP:$AP,$B141,[1]BV_Data_An_Prec!$AQ:$AQ,$C141,[1]BV_Data_An_Prec!$AR:$AR,$L$2)</f>
        <v>1010.7400000000016</v>
      </c>
      <c r="R141" s="26"/>
      <c r="S141" s="39">
        <f t="shared" si="28"/>
        <v>-640.72000000000116</v>
      </c>
      <c r="T141" s="93"/>
      <c r="U141" s="6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1:40" ht="15.75" customHeight="1">
      <c r="A142" s="410" t="s">
        <v>255</v>
      </c>
      <c r="B142" s="7" t="s">
        <v>70</v>
      </c>
      <c r="C142" s="14" t="s">
        <v>54</v>
      </c>
      <c r="D142" s="57"/>
      <c r="E142" s="73"/>
      <c r="F142" s="31">
        <f>+INDEX('[1]Budget original'!$A$2:$AO$501,MATCH($A142,'[1]Budget original'!$A$2:$A$501,0),MATCH(F$2,'[1]Budget original'!$A$2:$AO$2,0))</f>
        <v>0</v>
      </c>
      <c r="G142" s="59"/>
      <c r="H142" s="73"/>
      <c r="I142" s="31"/>
      <c r="J142" s="14"/>
      <c r="K142" s="73"/>
      <c r="L142" s="61">
        <f>SUMIFS([1]BV_Data_An_Cour!$AM:$AM,[1]BV_Data_An_Cour!$AP:$AP,$B142,[1]BV_Data_An_Cour!$AQ:$AQ,$C142,[1]BV_Data_An_Cour!$AR:$AR,$L$2)</f>
        <v>2795.2700000000004</v>
      </c>
      <c r="M142" s="14"/>
      <c r="N142" s="61">
        <f t="shared" si="27"/>
        <v>2795.2700000000004</v>
      </c>
      <c r="O142" s="14"/>
      <c r="P142" s="73"/>
      <c r="Q142" s="61">
        <f>SUMIFS([1]BV_Data_An_Prec!$AM:$AM,[1]BV_Data_An_Prec!$AP:$AP,$B142,[1]BV_Data_An_Prec!$AQ:$AQ,$C142,[1]BV_Data_An_Prec!$AR:$AR,$L$2)</f>
        <v>4785.9400000000005</v>
      </c>
      <c r="R142" s="14"/>
      <c r="S142" s="61">
        <f t="shared" si="28"/>
        <v>-1990.67</v>
      </c>
      <c r="T142" s="7"/>
      <c r="U142" s="9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1:40" ht="15.75" customHeight="1">
      <c r="A143" s="410" t="s">
        <v>256</v>
      </c>
      <c r="B143" s="7" t="s">
        <v>70</v>
      </c>
      <c r="C143" s="26" t="s">
        <v>55</v>
      </c>
      <c r="D143" s="54"/>
      <c r="E143" s="7"/>
      <c r="F143" s="19">
        <f>+INDEX('[1]Budget original'!$A$2:$AO$501,MATCH($A143,'[1]Budget original'!$A$2:$A$501,0),MATCH(F$2,'[1]Budget original'!$A$2:$AO$2,0))</f>
        <v>0</v>
      </c>
      <c r="G143" s="56"/>
      <c r="H143" s="7"/>
      <c r="I143" s="19"/>
      <c r="J143" s="26"/>
      <c r="K143" s="7"/>
      <c r="L143" s="39">
        <f>SUMIFS([1]BV_Data_An_Cour!$AM:$AM,[1]BV_Data_An_Cour!$AP:$AP,$B143,[1]BV_Data_An_Cour!$AQ:$AQ,$C143,[1]BV_Data_An_Cour!$AR:$AR,$L$2)</f>
        <v>149.59999999999991</v>
      </c>
      <c r="M143" s="26"/>
      <c r="N143" s="39">
        <f t="shared" si="27"/>
        <v>149.59999999999991</v>
      </c>
      <c r="O143" s="26"/>
      <c r="P143" s="7"/>
      <c r="Q143" s="39">
        <f>SUMIFS([1]BV_Data_An_Prec!$AM:$AM,[1]BV_Data_An_Prec!$AP:$AP,$B143,[1]BV_Data_An_Prec!$AQ:$AQ,$C143,[1]BV_Data_An_Prec!$AR:$AR,$L$2)</f>
        <v>67.150000000000091</v>
      </c>
      <c r="R143" s="26"/>
      <c r="S143" s="39">
        <f t="shared" si="28"/>
        <v>82.449999999999818</v>
      </c>
      <c r="T143" s="7"/>
      <c r="U143" s="6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1:40" ht="15.75" customHeight="1">
      <c r="A144" s="410" t="s">
        <v>257</v>
      </c>
      <c r="B144" s="7" t="s">
        <v>70</v>
      </c>
      <c r="C144" s="26" t="s">
        <v>56</v>
      </c>
      <c r="D144" s="54"/>
      <c r="E144" s="7"/>
      <c r="F144" s="19">
        <f>+INDEX('[1]Budget original'!$A$2:$AO$501,MATCH($A144,'[1]Budget original'!$A$2:$A$501,0),MATCH(F$2,'[1]Budget original'!$A$2:$AO$2,0))</f>
        <v>0</v>
      </c>
      <c r="G144" s="56"/>
      <c r="H144" s="7"/>
      <c r="I144" s="19"/>
      <c r="J144" s="26"/>
      <c r="K144" s="7"/>
      <c r="L144" s="39">
        <f>SUMIFS([1]BV_Data_An_Cour!$AM:$AM,[1]BV_Data_An_Cour!$AP:$AP,$B144,[1]BV_Data_An_Cour!$AQ:$AQ,$C144,[1]BV_Data_An_Cour!$AR:$AR,$L$2)</f>
        <v>0</v>
      </c>
      <c r="M144" s="26"/>
      <c r="N144" s="39">
        <f t="shared" si="27"/>
        <v>0</v>
      </c>
      <c r="O144" s="26"/>
      <c r="P144" s="7"/>
      <c r="Q144" s="39">
        <f>SUMIFS([1]BV_Data_An_Prec!$AM:$AM,[1]BV_Data_An_Prec!$AP:$AP,$B144,[1]BV_Data_An_Prec!$AQ:$AQ,$C144,[1]BV_Data_An_Prec!$AR:$AR,$L$2)</f>
        <v>0</v>
      </c>
      <c r="R144" s="26"/>
      <c r="S144" s="39">
        <f t="shared" si="28"/>
        <v>0</v>
      </c>
      <c r="T144" s="7"/>
      <c r="U144" s="9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1:40" ht="15.75" customHeight="1">
      <c r="A145" s="410" t="s">
        <v>258</v>
      </c>
      <c r="B145" s="7" t="s">
        <v>70</v>
      </c>
      <c r="C145" s="26" t="s">
        <v>57</v>
      </c>
      <c r="D145" s="54"/>
      <c r="E145" s="7"/>
      <c r="F145" s="19">
        <f>+INDEX('[1]Budget original'!$A$2:$AO$501,MATCH($A145,'[1]Budget original'!$A$2:$A$501,0),MATCH(F$2,'[1]Budget original'!$A$2:$AO$2,0))</f>
        <v>0</v>
      </c>
      <c r="G145" s="56"/>
      <c r="H145" s="7"/>
      <c r="I145" s="19"/>
      <c r="J145" s="26"/>
      <c r="K145" s="7"/>
      <c r="L145" s="39">
        <f>SUMIFS([1]BV_Data_An_Cour!$AM:$AM,[1]BV_Data_An_Cour!$AP:$AP,$B145,[1]BV_Data_An_Cour!$AQ:$AQ,$C145,[1]BV_Data_An_Cour!$AR:$AR,$L$2)</f>
        <v>202.94999999999982</v>
      </c>
      <c r="M145" s="26"/>
      <c r="N145" s="39">
        <f t="shared" si="27"/>
        <v>202.94999999999982</v>
      </c>
      <c r="O145" s="26"/>
      <c r="P145" s="7"/>
      <c r="Q145" s="39">
        <f>SUMIFS([1]BV_Data_An_Prec!$AM:$AM,[1]BV_Data_An_Prec!$AP:$AP,$B145,[1]BV_Data_An_Prec!$AQ:$AQ,$C145,[1]BV_Data_An_Prec!$AR:$AR,$L$2)</f>
        <v>362.8799999999992</v>
      </c>
      <c r="R145" s="26"/>
      <c r="S145" s="39">
        <f t="shared" si="28"/>
        <v>-159.92999999999938</v>
      </c>
      <c r="T145" s="7"/>
      <c r="U145" s="6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1:40" ht="15.75" customHeight="1">
      <c r="A146" s="410" t="s">
        <v>259</v>
      </c>
      <c r="B146" s="7" t="s">
        <v>70</v>
      </c>
      <c r="C146" s="26" t="s">
        <v>58</v>
      </c>
      <c r="D146" s="54"/>
      <c r="E146" s="7"/>
      <c r="F146" s="19">
        <f>+INDEX('[1]Budget original'!$A$2:$AO$501,MATCH($A146,'[1]Budget original'!$A$2:$A$501,0),MATCH(F$2,'[1]Budget original'!$A$2:$AO$2,0))</f>
        <v>0</v>
      </c>
      <c r="G146" s="56"/>
      <c r="H146" s="7"/>
      <c r="I146" s="19"/>
      <c r="J146" s="26"/>
      <c r="K146" s="7"/>
      <c r="L146" s="39">
        <f>SUMIFS([1]BV_Data_An_Cour!$AM:$AM,[1]BV_Data_An_Cour!$AP:$AP,$B146,[1]BV_Data_An_Cour!$AQ:$AQ,$C146,[1]BV_Data_An_Cour!$AR:$AR,$L$2)</f>
        <v>420.18000000000029</v>
      </c>
      <c r="M146" s="26"/>
      <c r="N146" s="39">
        <f t="shared" si="27"/>
        <v>420.18000000000029</v>
      </c>
      <c r="O146" s="26"/>
      <c r="P146" s="7"/>
      <c r="Q146" s="39">
        <f>SUMIFS([1]BV_Data_An_Prec!$AM:$AM,[1]BV_Data_An_Prec!$AP:$AP,$B146,[1]BV_Data_An_Prec!$AQ:$AQ,$C146,[1]BV_Data_An_Prec!$AR:$AR,$L$2)</f>
        <v>685.85000000000036</v>
      </c>
      <c r="R146" s="26"/>
      <c r="S146" s="39">
        <f t="shared" si="28"/>
        <v>-265.67000000000007</v>
      </c>
      <c r="T146" s="7"/>
      <c r="U146" s="6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1:40" ht="15.75" customHeight="1">
      <c r="A147" s="410" t="s">
        <v>260</v>
      </c>
      <c r="B147" s="7" t="s">
        <v>70</v>
      </c>
      <c r="C147" s="26" t="s">
        <v>59</v>
      </c>
      <c r="D147" s="54"/>
      <c r="E147" s="7"/>
      <c r="F147" s="19">
        <f>+INDEX('[1]Budget original'!$A$2:$AO$501,MATCH($A147,'[1]Budget original'!$A$2:$A$501,0),MATCH(F$2,'[1]Budget original'!$A$2:$AO$2,0))</f>
        <v>0</v>
      </c>
      <c r="G147" s="56"/>
      <c r="H147" s="7"/>
      <c r="I147" s="19"/>
      <c r="J147" s="26"/>
      <c r="K147" s="7"/>
      <c r="L147" s="39">
        <f>SUMIFS([1]BV_Data_An_Cour!$AM:$AM,[1]BV_Data_An_Cour!$AP:$AP,$B147,[1]BV_Data_An_Cour!$AQ:$AQ,$C147,[1]BV_Data_An_Cour!$AR:$AR,$L$2)</f>
        <v>995.72000000000116</v>
      </c>
      <c r="M147" s="26"/>
      <c r="N147" s="39">
        <f t="shared" si="27"/>
        <v>995.72000000000116</v>
      </c>
      <c r="O147" s="26"/>
      <c r="P147" s="7"/>
      <c r="Q147" s="39">
        <f>SUMIFS([1]BV_Data_An_Prec!$AM:$AM,[1]BV_Data_An_Prec!$AP:$AP,$B147,[1]BV_Data_An_Prec!$AQ:$AQ,$C147,[1]BV_Data_An_Prec!$AR:$AR,$L$2)</f>
        <v>1077.96</v>
      </c>
      <c r="R147" s="26"/>
      <c r="S147" s="39">
        <f t="shared" si="28"/>
        <v>-82.239999999998872</v>
      </c>
      <c r="T147" s="7"/>
      <c r="U147" s="6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1:40" ht="15.75" customHeight="1">
      <c r="A148" s="410" t="s">
        <v>261</v>
      </c>
      <c r="B148" s="7" t="s">
        <v>70</v>
      </c>
      <c r="C148" s="26" t="s">
        <v>60</v>
      </c>
      <c r="D148" s="54"/>
      <c r="E148" s="7"/>
      <c r="F148" s="19">
        <f>+INDEX('[1]Budget original'!$A$2:$AO$501,MATCH($A148,'[1]Budget original'!$A$2:$A$501,0),MATCH(F$2,'[1]Budget original'!$A$2:$AO$2,0))</f>
        <v>0</v>
      </c>
      <c r="G148" s="56"/>
      <c r="H148" s="7"/>
      <c r="I148" s="19"/>
      <c r="J148" s="26"/>
      <c r="K148" s="7"/>
      <c r="L148" s="39">
        <f>SUMIFS([1]BV_Data_An_Cour!$AM:$AM,[1]BV_Data_An_Cour!$AP:$AP,$B148,[1]BV_Data_An_Cour!$AQ:$AQ,$C148,[1]BV_Data_An_Cour!$AR:$AR,$L$2)</f>
        <v>1430.0499999999993</v>
      </c>
      <c r="M148" s="26"/>
      <c r="N148" s="39">
        <f t="shared" si="27"/>
        <v>1430.0499999999993</v>
      </c>
      <c r="O148" s="26"/>
      <c r="P148" s="7"/>
      <c r="Q148" s="39">
        <f>SUMIFS([1]BV_Data_An_Prec!$AM:$AM,[1]BV_Data_An_Prec!$AP:$AP,$B148,[1]BV_Data_An_Prec!$AQ:$AQ,$C148,[1]BV_Data_An_Prec!$AR:$AR,$L$2)</f>
        <v>1993.2299999999996</v>
      </c>
      <c r="R148" s="26"/>
      <c r="S148" s="39">
        <f t="shared" si="28"/>
        <v>-563.18000000000029</v>
      </c>
      <c r="T148" s="7"/>
      <c r="U148" s="6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1:40" ht="15.75" customHeight="1">
      <c r="A149" s="410" t="s">
        <v>262</v>
      </c>
      <c r="B149" s="7" t="s">
        <v>70</v>
      </c>
      <c r="C149" s="26" t="s">
        <v>61</v>
      </c>
      <c r="D149" s="54"/>
      <c r="E149" s="7"/>
      <c r="F149" s="19">
        <f>+INDEX('[1]Budget original'!$A$2:$AO$501,MATCH($A149,'[1]Budget original'!$A$2:$A$501,0),MATCH(F$2,'[1]Budget original'!$A$2:$AO$2,0))</f>
        <v>0</v>
      </c>
      <c r="G149" s="56"/>
      <c r="H149" s="7"/>
      <c r="I149" s="19"/>
      <c r="J149" s="26"/>
      <c r="K149" s="7"/>
      <c r="L149" s="39">
        <f>SUMIFS([1]BV_Data_An_Cour!$AM:$AM,[1]BV_Data_An_Cour!$AP:$AP,$B149,[1]BV_Data_An_Cour!$AQ:$AQ,$C149,[1]BV_Data_An_Cour!$AR:$AR,$L$2)</f>
        <v>0</v>
      </c>
      <c r="M149" s="26"/>
      <c r="N149" s="39">
        <f t="shared" si="27"/>
        <v>0</v>
      </c>
      <c r="O149" s="26"/>
      <c r="P149" s="7"/>
      <c r="Q149" s="39">
        <f>SUMIFS([1]BV_Data_An_Prec!$AM:$AM,[1]BV_Data_An_Prec!$AP:$AP,$B149,[1]BV_Data_An_Prec!$AQ:$AQ,$C149,[1]BV_Data_An_Prec!$AR:$AR,$L$2)</f>
        <v>0</v>
      </c>
      <c r="R149" s="26"/>
      <c r="S149" s="39">
        <f t="shared" si="28"/>
        <v>0</v>
      </c>
      <c r="T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1:40" ht="15.75" customHeight="1">
      <c r="A150" s="410" t="s">
        <v>263</v>
      </c>
      <c r="B150" s="7" t="s">
        <v>70</v>
      </c>
      <c r="C150" s="26" t="s">
        <v>62</v>
      </c>
      <c r="D150" s="54"/>
      <c r="E150" s="7"/>
      <c r="F150" s="19">
        <f>+INDEX('[1]Budget original'!$A$2:$AO$501,MATCH($A150,'[1]Budget original'!$A$2:$A$501,0),MATCH(F$2,'[1]Budget original'!$A$2:$AO$2,0))</f>
        <v>0</v>
      </c>
      <c r="G150" s="56"/>
      <c r="H150" s="7"/>
      <c r="I150" s="19"/>
      <c r="J150" s="26"/>
      <c r="K150" s="7"/>
      <c r="L150" s="39">
        <f>SUMIFS([1]BV_Data_An_Cour!$AM:$AM,[1]BV_Data_An_Cour!$AP:$AP,$B150,[1]BV_Data_An_Cour!$AQ:$AQ,$C150,[1]BV_Data_An_Cour!$AR:$AR,$L$2)</f>
        <v>1132.0200000000004</v>
      </c>
      <c r="M150" s="26"/>
      <c r="N150" s="39">
        <f t="shared" si="27"/>
        <v>1132.0200000000004</v>
      </c>
      <c r="O150" s="26"/>
      <c r="P150" s="7"/>
      <c r="Q150" s="39">
        <f>SUMIFS([1]BV_Data_An_Prec!$AM:$AM,[1]BV_Data_An_Prec!$AP:$AP,$B150,[1]BV_Data_An_Prec!$AQ:$AQ,$C150,[1]BV_Data_An_Prec!$AR:$AR,$L$2)</f>
        <v>266.81000000000017</v>
      </c>
      <c r="R150" s="26"/>
      <c r="S150" s="39">
        <f t="shared" si="28"/>
        <v>865.21000000000026</v>
      </c>
      <c r="T150" s="55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1:40" ht="20.399999999999999" hidden="1" customHeight="1">
      <c r="A151" s="410" t="s">
        <v>239</v>
      </c>
      <c r="B151" s="7" t="s">
        <v>70</v>
      </c>
      <c r="C151" s="26" t="s">
        <v>19</v>
      </c>
      <c r="D151" s="54"/>
      <c r="E151" s="7"/>
      <c r="F151" s="19">
        <f>+INDEX('[1]Budget original'!$A$2:$AO$501,MATCH($A151,'[1]Budget original'!$A$2:$A$501,0),MATCH(F$2,'[1]Budget original'!$A$2:$AO$2,0))</f>
        <v>0</v>
      </c>
      <c r="G151" s="56"/>
      <c r="H151" s="7"/>
      <c r="I151" s="19"/>
      <c r="J151" s="26"/>
      <c r="K151" s="7"/>
      <c r="L151" s="39">
        <f>SUMIFS([1]BV_Data_An_Cour!$AM:$AM,[1]BV_Data_An_Cour!$AP:$AP,$B151,[1]BV_Data_An_Cour!$AQ:$AQ,$C151,[1]BV_Data_An_Cour!$AR:$AR,$L$2)</f>
        <v>0</v>
      </c>
      <c r="M151" s="26"/>
      <c r="N151" s="39">
        <f t="shared" si="27"/>
        <v>0</v>
      </c>
      <c r="O151" s="26"/>
      <c r="P151" s="7"/>
      <c r="Q151" s="39">
        <f>SUMIFS([1]BV_Data_An_Prec!$AM:$AM,[1]BV_Data_An_Prec!$AP:$AP,$B151,[1]BV_Data_An_Prec!$AQ:$AQ,$C151,[1]BV_Data_An_Prec!$AR:$AR,$L$2)</f>
        <v>0</v>
      </c>
      <c r="R151" s="26"/>
      <c r="S151" s="39">
        <f t="shared" si="28"/>
        <v>0</v>
      </c>
      <c r="T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1:40" ht="20.399999999999999" hidden="1" customHeight="1">
      <c r="A152" s="410" t="s">
        <v>239</v>
      </c>
      <c r="B152" s="7" t="s">
        <v>70</v>
      </c>
      <c r="C152" s="26" t="s">
        <v>19</v>
      </c>
      <c r="D152" s="54"/>
      <c r="E152" s="7"/>
      <c r="F152" s="19">
        <f>+INDEX('[1]Budget original'!$A$2:$AO$501,MATCH($A152,'[1]Budget original'!$A$2:$A$501,0),MATCH(F$2,'[1]Budget original'!$A$2:$AO$2,0))</f>
        <v>0</v>
      </c>
      <c r="G152" s="56"/>
      <c r="H152" s="7"/>
      <c r="I152" s="19"/>
      <c r="J152" s="26"/>
      <c r="K152" s="7"/>
      <c r="L152" s="39">
        <f>SUMIFS([1]BV_Data_An_Cour!$AM:$AM,[1]BV_Data_An_Cour!$AP:$AP,$B152,[1]BV_Data_An_Cour!$AQ:$AQ,$C152,[1]BV_Data_An_Cour!$AR:$AR,$L$2)</f>
        <v>0</v>
      </c>
      <c r="M152" s="26"/>
      <c r="N152" s="39">
        <f t="shared" si="27"/>
        <v>0</v>
      </c>
      <c r="O152" s="26"/>
      <c r="P152" s="7"/>
      <c r="Q152" s="39">
        <f>SUMIFS([1]BV_Data_An_Prec!$AM:$AM,[1]BV_Data_An_Prec!$AP:$AP,$B152,[1]BV_Data_An_Prec!$AQ:$AQ,$C152,[1]BV_Data_An_Prec!$AR:$AR,$L$2)</f>
        <v>0</v>
      </c>
      <c r="R152" s="26"/>
      <c r="S152" s="39">
        <f t="shared" si="28"/>
        <v>0</v>
      </c>
      <c r="T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1:40" ht="20.399999999999999" hidden="1" customHeight="1">
      <c r="A153" s="410" t="s">
        <v>239</v>
      </c>
      <c r="B153" s="7" t="s">
        <v>70</v>
      </c>
      <c r="C153" s="26" t="s">
        <v>19</v>
      </c>
      <c r="D153" s="54"/>
      <c r="E153" s="7"/>
      <c r="F153" s="19">
        <f>+INDEX('[1]Budget original'!$A$2:$AO$501,MATCH($A153,'[1]Budget original'!$A$2:$A$501,0),MATCH(F$2,'[1]Budget original'!$A$2:$AO$2,0))</f>
        <v>0</v>
      </c>
      <c r="G153" s="56"/>
      <c r="H153" s="7"/>
      <c r="I153" s="19"/>
      <c r="J153" s="26"/>
      <c r="K153" s="7"/>
      <c r="L153" s="39">
        <f>SUMIFS([1]BV_Data_An_Cour!$AM:$AM,[1]BV_Data_An_Cour!$AP:$AP,$B153,[1]BV_Data_An_Cour!$AQ:$AQ,$C153,[1]BV_Data_An_Cour!$AR:$AR,$L$2)</f>
        <v>0</v>
      </c>
      <c r="M153" s="26"/>
      <c r="N153" s="39">
        <f t="shared" si="27"/>
        <v>0</v>
      </c>
      <c r="O153" s="26"/>
      <c r="P153" s="7"/>
      <c r="Q153" s="39">
        <f>SUMIFS([1]BV_Data_An_Prec!$AM:$AM,[1]BV_Data_An_Prec!$AP:$AP,$B153,[1]BV_Data_An_Prec!$AQ:$AQ,$C153,[1]BV_Data_An_Prec!$AR:$AR,$L$2)</f>
        <v>0</v>
      </c>
      <c r="R153" s="26"/>
      <c r="S153" s="39">
        <f t="shared" si="28"/>
        <v>0</v>
      </c>
      <c r="T153" s="55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1:40" ht="18.600000000000001" customHeight="1">
      <c r="A154" s="410" t="s">
        <v>264</v>
      </c>
      <c r="B154" s="7" t="s">
        <v>70</v>
      </c>
      <c r="C154" s="139" t="s">
        <v>63</v>
      </c>
      <c r="D154" s="62" t="s">
        <v>38</v>
      </c>
      <c r="E154" s="63" t="e">
        <f>F154/F$109</f>
        <v>#DIV/0!</v>
      </c>
      <c r="F154" s="64">
        <f>+SUM(F137:F153)</f>
        <v>0</v>
      </c>
      <c r="G154" s="65"/>
      <c r="H154" s="63"/>
      <c r="I154" s="64"/>
      <c r="J154" s="65" t="s">
        <v>38</v>
      </c>
      <c r="K154" s="63">
        <f>L154/L$109</f>
        <v>0.23163532945533744</v>
      </c>
      <c r="L154" s="64">
        <f>+SUM(L137:L153)</f>
        <v>12444.3</v>
      </c>
      <c r="M154" s="66"/>
      <c r="N154" s="64">
        <f t="shared" si="27"/>
        <v>12444.3</v>
      </c>
      <c r="O154" s="65" t="s">
        <v>38</v>
      </c>
      <c r="P154" s="63">
        <f>Q154/Q$109</f>
        <v>0.24475385386840562</v>
      </c>
      <c r="Q154" s="64">
        <f>+SUM(Q137:Q153)</f>
        <v>15135.85</v>
      </c>
      <c r="R154" s="67"/>
      <c r="S154" s="64">
        <f t="shared" si="28"/>
        <v>-2691.5500000000011</v>
      </c>
      <c r="T154" s="7"/>
      <c r="U154" s="6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1:40" ht="15.75" customHeight="1">
      <c r="A155" s="410" t="s">
        <v>70</v>
      </c>
      <c r="B155" s="7" t="s">
        <v>70</v>
      </c>
      <c r="C155" s="14"/>
      <c r="D155" s="57"/>
      <c r="E155" s="73"/>
      <c r="F155" s="39"/>
      <c r="G155" s="59"/>
      <c r="H155" s="73"/>
      <c r="I155" s="39"/>
      <c r="J155" s="14"/>
      <c r="K155" s="73"/>
      <c r="L155" s="61"/>
      <c r="M155" s="14"/>
      <c r="N155" s="61"/>
      <c r="O155" s="14"/>
      <c r="P155" s="73"/>
      <c r="Q155" s="61"/>
      <c r="R155" s="14"/>
      <c r="S155" s="61"/>
      <c r="T155" s="74"/>
      <c r="U155" s="6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1:40" ht="18.600000000000001" customHeight="1">
      <c r="A156" s="410" t="s">
        <v>265</v>
      </c>
      <c r="B156" s="7" t="s">
        <v>70</v>
      </c>
      <c r="C156" s="139" t="s">
        <v>64</v>
      </c>
      <c r="D156" s="62" t="s">
        <v>38</v>
      </c>
      <c r="E156" s="63" t="e">
        <f>F156/F$109</f>
        <v>#DIV/0!</v>
      </c>
      <c r="F156" s="64">
        <f>F123+F136+F154</f>
        <v>0</v>
      </c>
      <c r="G156" s="65"/>
      <c r="H156" s="63"/>
      <c r="I156" s="64"/>
      <c r="J156" s="65" t="s">
        <v>38</v>
      </c>
      <c r="K156" s="63">
        <f>L156/L$109</f>
        <v>1.2588266959423859</v>
      </c>
      <c r="L156" s="64">
        <f>L123+L136+L154</f>
        <v>67628.790000000008</v>
      </c>
      <c r="M156" s="66"/>
      <c r="N156" s="64">
        <f t="shared" ref="N156:N163" si="29">L156-F156</f>
        <v>67628.790000000008</v>
      </c>
      <c r="O156" s="65" t="s">
        <v>38</v>
      </c>
      <c r="P156" s="63">
        <f>Q156/Q$109</f>
        <v>1.3048206929015336</v>
      </c>
      <c r="Q156" s="64">
        <f>Q123+Q136+Q154</f>
        <v>80691.559999999983</v>
      </c>
      <c r="R156" s="67"/>
      <c r="S156" s="64">
        <f t="shared" si="28"/>
        <v>-13062.769999999975</v>
      </c>
      <c r="T156" s="7"/>
      <c r="U156" s="6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1:40" ht="21" hidden="1" customHeight="1">
      <c r="A157" s="410" t="s">
        <v>266</v>
      </c>
      <c r="B157" s="7" t="s">
        <v>70</v>
      </c>
      <c r="C157" s="300" t="s">
        <v>267</v>
      </c>
      <c r="D157" s="94"/>
      <c r="E157" s="95"/>
      <c r="F157" s="19">
        <f>+INDEX('[1]Budget original'!$A$2:$AO$501,MATCH($A157,'[1]Budget original'!$A$2:$A$501,0),MATCH(F$2,'[1]Budget original'!$A$2:$AO$2,0))</f>
        <v>0</v>
      </c>
      <c r="G157" s="96"/>
      <c r="H157" s="95"/>
      <c r="I157" s="19"/>
      <c r="J157" s="96"/>
      <c r="K157" s="95"/>
      <c r="L157" s="39">
        <v>0</v>
      </c>
      <c r="M157" s="26"/>
      <c r="N157" s="39">
        <f t="shared" si="29"/>
        <v>0</v>
      </c>
      <c r="O157" s="96"/>
      <c r="P157" s="95"/>
      <c r="Q157" s="39">
        <v>0</v>
      </c>
      <c r="R157" s="26"/>
      <c r="S157" s="39">
        <f t="shared" si="28"/>
        <v>0</v>
      </c>
      <c r="T157" s="74"/>
      <c r="U157" s="6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1:40" ht="21" hidden="1" customHeight="1">
      <c r="A158" s="410" t="s">
        <v>268</v>
      </c>
      <c r="B158" s="7" t="s">
        <v>70</v>
      </c>
      <c r="C158" s="300" t="s">
        <v>269</v>
      </c>
      <c r="D158" s="94"/>
      <c r="E158" s="95"/>
      <c r="F158" s="19">
        <f>+INDEX('[1]Budget original'!$A$2:$AO$501,MATCH($A158,'[1]Budget original'!$A$2:$A$501,0),MATCH(F$2,'[1]Budget original'!$A$2:$AO$2,0))</f>
        <v>0</v>
      </c>
      <c r="G158" s="96"/>
      <c r="H158" s="95"/>
      <c r="I158" s="19"/>
      <c r="J158" s="96"/>
      <c r="K158" s="95"/>
      <c r="L158" s="39">
        <f>-SUMIFS([1]BV_Data_An_Cour!$AM:$AM,[1]BV_Data_An_Cour!$AP:$AP,$B158,[1]BV_Data_An_Cour!$AQ:$AQ,$C158,[1]BV_Data_An_Cour!$AR:$AR,$L$2)</f>
        <v>0</v>
      </c>
      <c r="M158" s="26"/>
      <c r="N158" s="39">
        <f t="shared" si="29"/>
        <v>0</v>
      </c>
      <c r="O158" s="96"/>
      <c r="P158" s="95"/>
      <c r="Q158" s="39">
        <f>-SUMIFS([1]BV_Data_An_Prec!$AM:$AM,[1]BV_Data_An_Prec!$AP:$AP,$B158,[1]BV_Data_An_Prec!$AQ:$AQ,$C158,[1]BV_Data_An_Prec!$AR:$AR,$L$2)</f>
        <v>0</v>
      </c>
      <c r="R158" s="26"/>
      <c r="S158" s="39">
        <f t="shared" si="28"/>
        <v>0</v>
      </c>
      <c r="T158" s="74"/>
      <c r="U158" s="6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1:40" ht="21" hidden="1" customHeight="1">
      <c r="A159" s="410" t="s">
        <v>270</v>
      </c>
      <c r="B159" s="7" t="s">
        <v>70</v>
      </c>
      <c r="C159" s="300" t="s">
        <v>77</v>
      </c>
      <c r="D159" s="54"/>
      <c r="E159" s="7"/>
      <c r="F159" s="19">
        <f>+INDEX('[1]Budget original'!$A$2:$AO$501,MATCH($A159,'[1]Budget original'!$A$2:$A$501,0),MATCH(F$2,'[1]Budget original'!$A$2:$AO$2,0))</f>
        <v>0</v>
      </c>
      <c r="G159" s="56"/>
      <c r="H159" s="7"/>
      <c r="I159" s="19"/>
      <c r="J159" s="26"/>
      <c r="K159" s="7"/>
      <c r="L159" s="39">
        <f>-SUMIFS([1]BV_Data_An_Cour!$AM:$AM,[1]BV_Data_An_Cour!$AP:$AP,$B159,[1]BV_Data_An_Cour!$AQ:$AQ,$C159,[1]BV_Data_An_Cour!$AR:$AR,$L$2)</f>
        <v>0</v>
      </c>
      <c r="M159" s="26"/>
      <c r="N159" s="39">
        <f t="shared" si="29"/>
        <v>0</v>
      </c>
      <c r="O159" s="26"/>
      <c r="P159" s="7"/>
      <c r="Q159" s="39">
        <f>-SUMIFS([1]BV_Data_An_Prec!$AM:$AM,[1]BV_Data_An_Prec!$AP:$AP,$B159,[1]BV_Data_An_Prec!$AQ:$AQ,$C159,[1]BV_Data_An_Prec!$AR:$AR,$L$2)</f>
        <v>0</v>
      </c>
      <c r="R159" s="26"/>
      <c r="S159" s="39">
        <f t="shared" si="28"/>
        <v>0</v>
      </c>
      <c r="T159" s="74"/>
      <c r="U159" s="6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1:40" ht="21.6" customHeight="1">
      <c r="A160" s="410" t="s">
        <v>271</v>
      </c>
      <c r="B160" s="7" t="s">
        <v>70</v>
      </c>
      <c r="C160" s="26" t="s">
        <v>67</v>
      </c>
      <c r="D160" s="311" t="e">
        <f>E160/474</f>
        <v>#DIV/0!</v>
      </c>
      <c r="E160" s="274" t="e">
        <f>F160/D97</f>
        <v>#DIV/0!</v>
      </c>
      <c r="F160" s="19">
        <f>+INDEX('[1]Budget original'!$A$2:$AO$501,MATCH($A160,'[1]Budget original'!$A$2:$A$501,0),MATCH(F$2,'[1]Budget original'!$A$2:$AO$2,0))</f>
        <v>0</v>
      </c>
      <c r="G160" s="56"/>
      <c r="H160" s="7"/>
      <c r="I160" s="19"/>
      <c r="J160" s="275">
        <f>K160/500</f>
        <v>0.73913043478260876</v>
      </c>
      <c r="K160" s="274">
        <f>L160/J97</f>
        <v>369.56521739130437</v>
      </c>
      <c r="L160" s="39">
        <f>-SUMIFS([1]BV_Data_An_Cour!$AM:$AM,[1]BV_Data_An_Cour!$AP:$AP,$B160,[1]BV_Data_An_Cour!$AQ:$AQ,$C160,[1]BV_Data_An_Cour!$AR:$AR,L$2)</f>
        <v>8500</v>
      </c>
      <c r="M160" s="26"/>
      <c r="N160" s="39">
        <f t="shared" si="29"/>
        <v>8500</v>
      </c>
      <c r="O160" s="275">
        <f>P160/500</f>
        <v>0</v>
      </c>
      <c r="P160" s="274">
        <f>Q160/O97</f>
        <v>0</v>
      </c>
      <c r="Q160" s="39">
        <f>-SUMIFS([1]BV_Data_An_Prec!$AM:$AM,[1]BV_Data_An_Prec!$AP:$AP,$B160,[1]BV_Data_An_Prec!$AQ:$AQ,$C160,[1]BV_Data_An_Prec!$AR:$AR,Q$2)</f>
        <v>0</v>
      </c>
      <c r="R160" s="26"/>
      <c r="S160" s="39">
        <f t="shared" si="28"/>
        <v>8500</v>
      </c>
      <c r="T160" s="74"/>
      <c r="U160" s="6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1:40" ht="21" hidden="1" customHeight="1">
      <c r="A161" s="410" t="s">
        <v>239</v>
      </c>
      <c r="B161" s="7" t="s">
        <v>70</v>
      </c>
      <c r="C161" s="26" t="s">
        <v>19</v>
      </c>
      <c r="D161" s="54"/>
      <c r="E161" s="7"/>
      <c r="F161" s="19">
        <f>+INDEX('[1]Budget original'!$A$2:$AO$501,MATCH($A161,'[1]Budget original'!$A$2:$A$501,0),MATCH(F$2,'[1]Budget original'!$A$2:$AO$2,0))</f>
        <v>0</v>
      </c>
      <c r="G161" s="56"/>
      <c r="H161" s="7"/>
      <c r="I161" s="19"/>
      <c r="J161" s="26"/>
      <c r="K161" s="7"/>
      <c r="L161" s="39">
        <f>-SUMIFS([1]BV_Data_An_Cour!$AM:$AM,[1]BV_Data_An_Cour!$AP:$AP,$B161,[1]BV_Data_An_Cour!$AQ:$AQ,$C161,[1]BV_Data_An_Cour!$AR:$AR,$L$2)</f>
        <v>0</v>
      </c>
      <c r="M161" s="26"/>
      <c r="N161" s="39">
        <f t="shared" si="29"/>
        <v>0</v>
      </c>
      <c r="O161" s="26"/>
      <c r="P161" s="7"/>
      <c r="Q161" s="39">
        <f>-SUMIFS([1]BV_Data_An_Prec!$AM:$AM,[1]BV_Data_An_Prec!$AP:$AP,$B161,[1]BV_Data_An_Prec!$AQ:$AQ,$C161,[1]BV_Data_An_Prec!$AR:$AR,$L$2)</f>
        <v>0</v>
      </c>
      <c r="R161" s="26"/>
      <c r="S161" s="39">
        <f t="shared" si="28"/>
        <v>0</v>
      </c>
      <c r="T161" s="74"/>
      <c r="U161" s="6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1:40" ht="21" hidden="1" customHeight="1">
      <c r="A162" s="410" t="s">
        <v>239</v>
      </c>
      <c r="B162" s="7" t="s">
        <v>70</v>
      </c>
      <c r="C162" s="26" t="s">
        <v>19</v>
      </c>
      <c r="D162" s="54"/>
      <c r="E162" s="7"/>
      <c r="F162" s="19">
        <f>+INDEX('[1]Budget original'!$A$2:$AO$501,MATCH($A162,'[1]Budget original'!$A$2:$A$501,0),MATCH(F$2,'[1]Budget original'!$A$2:$AO$2,0))</f>
        <v>0</v>
      </c>
      <c r="G162" s="56"/>
      <c r="H162" s="7"/>
      <c r="I162" s="19"/>
      <c r="J162" s="26"/>
      <c r="K162" s="7"/>
      <c r="L162" s="39">
        <f>-SUMIFS([1]BV_Data_An_Cour!$AM:$AM,[1]BV_Data_An_Cour!$AP:$AP,$B162,[1]BV_Data_An_Cour!$AQ:$AQ,$C162,[1]BV_Data_An_Cour!$AR:$AR,$L$2)</f>
        <v>0</v>
      </c>
      <c r="M162" s="26"/>
      <c r="N162" s="39">
        <f t="shared" si="29"/>
        <v>0</v>
      </c>
      <c r="O162" s="26"/>
      <c r="P162" s="7"/>
      <c r="Q162" s="39">
        <f>-SUMIFS([1]BV_Data_An_Prec!$AM:$AM,[1]BV_Data_An_Prec!$AP:$AP,$B162,[1]BV_Data_An_Prec!$AQ:$AQ,$C162,[1]BV_Data_An_Prec!$AR:$AR,$L$2)</f>
        <v>0</v>
      </c>
      <c r="R162" s="26"/>
      <c r="S162" s="39">
        <f t="shared" si="28"/>
        <v>0</v>
      </c>
      <c r="T162" s="74"/>
      <c r="U162" s="6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1:40" ht="21" hidden="1" customHeight="1">
      <c r="A163" s="410" t="s">
        <v>239</v>
      </c>
      <c r="B163" s="7" t="s">
        <v>70</v>
      </c>
      <c r="C163" s="14" t="s">
        <v>19</v>
      </c>
      <c r="D163" s="57"/>
      <c r="E163" s="73"/>
      <c r="F163" s="19">
        <f>+INDEX('[1]Budget original'!$A$2:$AO$501,MATCH($A163,'[1]Budget original'!$A$2:$A$501,0),MATCH(F$2,'[1]Budget original'!$A$2:$AO$2,0))</f>
        <v>0</v>
      </c>
      <c r="G163" s="56"/>
      <c r="H163" s="7"/>
      <c r="I163" s="19"/>
      <c r="J163" s="26"/>
      <c r="K163" s="7"/>
      <c r="L163" s="39">
        <f>-SUMIFS([1]BV_Data_An_Cour!$AM:$AM,[1]BV_Data_An_Cour!$AP:$AP,$B163,[1]BV_Data_An_Cour!$AQ:$AQ,$C163,[1]BV_Data_An_Cour!$AR:$AR,$L$2)</f>
        <v>0</v>
      </c>
      <c r="M163" s="26"/>
      <c r="N163" s="39">
        <f t="shared" si="29"/>
        <v>0</v>
      </c>
      <c r="O163" s="26"/>
      <c r="P163" s="7"/>
      <c r="Q163" s="39">
        <f>-SUMIFS([1]BV_Data_An_Prec!$AM:$AM,[1]BV_Data_An_Prec!$AP:$AP,$B163,[1]BV_Data_An_Prec!$AQ:$AQ,$C163,[1]BV_Data_An_Prec!$AR:$AR,$L$2)</f>
        <v>0</v>
      </c>
      <c r="R163" s="26"/>
      <c r="S163" s="39">
        <f t="shared" si="28"/>
        <v>0</v>
      </c>
      <c r="T163" s="74"/>
      <c r="U163" s="6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1:40" ht="18.600000000000001" customHeight="1">
      <c r="A164" s="410"/>
      <c r="B164" s="7"/>
      <c r="C164" s="139" t="s">
        <v>68</v>
      </c>
      <c r="D164" s="62"/>
      <c r="E164" s="63"/>
      <c r="F164" s="64">
        <f>+SUM(F157:F163)</f>
        <v>0</v>
      </c>
      <c r="G164" s="65"/>
      <c r="H164" s="63"/>
      <c r="I164" s="64"/>
      <c r="J164" s="65"/>
      <c r="K164" s="63"/>
      <c r="L164" s="64">
        <f>+SUM(L157:L163)</f>
        <v>8500</v>
      </c>
      <c r="M164" s="66"/>
      <c r="N164" s="64">
        <f>SUM(N157:N160)</f>
        <v>8500</v>
      </c>
      <c r="O164" s="65"/>
      <c r="P164" s="63"/>
      <c r="Q164" s="64">
        <f>+SUM(Q157:Q163)</f>
        <v>0</v>
      </c>
      <c r="R164" s="67"/>
      <c r="S164" s="64">
        <f t="shared" si="28"/>
        <v>8500</v>
      </c>
      <c r="T164" s="7"/>
      <c r="U164" s="6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1:40" ht="15.75" customHeight="1">
      <c r="B165" s="7"/>
      <c r="C165" s="26"/>
      <c r="D165" s="54"/>
      <c r="E165" s="7"/>
      <c r="F165" s="39"/>
      <c r="G165" s="56"/>
      <c r="H165" s="7"/>
      <c r="I165" s="39"/>
      <c r="J165" s="26"/>
      <c r="K165" s="7"/>
      <c r="L165" s="39"/>
      <c r="M165" s="26"/>
      <c r="N165" s="39"/>
      <c r="O165" s="26"/>
      <c r="P165" s="7"/>
      <c r="Q165" s="39"/>
      <c r="R165" s="26"/>
      <c r="S165" s="39"/>
      <c r="T165" s="95"/>
      <c r="U165" s="6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1:40" ht="18.600000000000001" customHeight="1" thickBot="1">
      <c r="A166" s="410"/>
      <c r="B166" s="7"/>
      <c r="C166" s="276" t="s">
        <v>69</v>
      </c>
      <c r="D166" s="277"/>
      <c r="E166" s="278"/>
      <c r="F166" s="138">
        <f>F109-F156+F164</f>
        <v>0</v>
      </c>
      <c r="G166" s="279"/>
      <c r="H166" s="278"/>
      <c r="I166" s="138"/>
      <c r="J166" s="279"/>
      <c r="K166" s="278"/>
      <c r="L166" s="138">
        <f>L109-L156+L164</f>
        <v>-5405.1199999992677</v>
      </c>
      <c r="M166" s="280"/>
      <c r="N166" s="138">
        <f>L166-F166</f>
        <v>-5405.1199999992677</v>
      </c>
      <c r="O166" s="279"/>
      <c r="P166" s="278"/>
      <c r="Q166" s="138">
        <f>Q109-Q156+Q164</f>
        <v>-18850.449999999968</v>
      </c>
      <c r="R166" s="281"/>
      <c r="S166" s="138">
        <f t="shared" si="28"/>
        <v>13445.3300000007</v>
      </c>
      <c r="T166" s="7"/>
      <c r="U166" s="6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1:40" ht="15.75" customHeight="1" thickTop="1">
      <c r="B167" s="7"/>
      <c r="C167" s="6"/>
      <c r="D167" s="6"/>
      <c r="E167" s="6"/>
      <c r="F167" s="97"/>
      <c r="G167" s="6"/>
      <c r="H167" s="6"/>
      <c r="I167" s="6"/>
      <c r="J167" s="6"/>
      <c r="K167" s="6"/>
      <c r="L167" s="97"/>
      <c r="M167" s="6"/>
      <c r="N167" s="6"/>
      <c r="O167" s="6"/>
      <c r="P167" s="6"/>
      <c r="Q167" s="6"/>
      <c r="R167" s="97"/>
      <c r="S167" s="6"/>
      <c r="T167" s="97"/>
      <c r="U167" s="6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1:40" ht="15.75" customHeight="1">
      <c r="B168" s="7"/>
      <c r="C168" s="6"/>
      <c r="D168" s="6"/>
      <c r="E168" s="6"/>
      <c r="F168" s="97"/>
      <c r="G168" s="6"/>
      <c r="H168" s="6"/>
      <c r="I168" s="6"/>
      <c r="J168" s="6"/>
      <c r="K168" s="6"/>
      <c r="L168" s="97"/>
      <c r="M168" s="6"/>
      <c r="N168" s="6"/>
      <c r="O168" s="6"/>
      <c r="P168" s="6"/>
      <c r="Q168" s="6"/>
      <c r="R168" s="97"/>
      <c r="S168" s="6"/>
      <c r="T168" s="97"/>
      <c r="U168" s="6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1:40" ht="33" customHeight="1">
      <c r="B169" s="2"/>
      <c r="C169" s="251" t="str">
        <f>C1</f>
        <v>Ste-Marie Auto</v>
      </c>
      <c r="D169" s="252"/>
      <c r="E169" s="253"/>
      <c r="F169" s="252"/>
      <c r="G169" s="252"/>
      <c r="H169" s="254"/>
      <c r="I169" s="252"/>
      <c r="J169" s="254"/>
      <c r="K169" s="255" t="s">
        <v>220</v>
      </c>
      <c r="L169" s="252"/>
      <c r="M169" s="252"/>
      <c r="N169" s="256"/>
      <c r="O169" s="251"/>
      <c r="P169" s="257"/>
      <c r="Q169" s="251"/>
      <c r="R169" s="257"/>
      <c r="S169" s="258" t="str">
        <f>$S$1</f>
        <v>Réalisé, Juillet 2026</v>
      </c>
      <c r="T169" s="2"/>
      <c r="U169" s="381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15.75" customHeight="1" thickBot="1">
      <c r="B170" s="3"/>
      <c r="C170" s="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spans="1:40" ht="15.75" customHeight="1" thickTop="1">
      <c r="B171" s="7"/>
      <c r="C171" s="259"/>
      <c r="D171" s="407" t="s">
        <v>5</v>
      </c>
      <c r="E171" s="407"/>
      <c r="F171" s="409"/>
      <c r="G171" s="405"/>
      <c r="H171" s="407"/>
      <c r="I171" s="409"/>
      <c r="J171" s="405" t="s">
        <v>7</v>
      </c>
      <c r="K171" s="407"/>
      <c r="L171" s="409"/>
      <c r="M171" s="405" t="s">
        <v>211</v>
      </c>
      <c r="N171" s="409"/>
      <c r="O171" s="405" t="s">
        <v>8</v>
      </c>
      <c r="P171" s="407"/>
      <c r="Q171" s="409"/>
      <c r="R171" s="405" t="s">
        <v>212</v>
      </c>
      <c r="S171" s="409"/>
      <c r="T171" s="7"/>
      <c r="U171" s="6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1:40" ht="15.75" customHeight="1">
      <c r="B172" s="7"/>
      <c r="C172" s="26"/>
      <c r="D172" s="8" t="s">
        <v>10</v>
      </c>
      <c r="E172" s="9" t="s">
        <v>11</v>
      </c>
      <c r="F172" s="10" t="s">
        <v>12</v>
      </c>
      <c r="G172" s="11"/>
      <c r="H172" s="9"/>
      <c r="I172" s="10"/>
      <c r="J172" s="11" t="s">
        <v>221</v>
      </c>
      <c r="K172" s="9" t="s">
        <v>13</v>
      </c>
      <c r="L172" s="10" t="s">
        <v>12</v>
      </c>
      <c r="M172" s="11" t="s">
        <v>221</v>
      </c>
      <c r="N172" s="10" t="s">
        <v>12</v>
      </c>
      <c r="O172" s="9" t="s">
        <v>10</v>
      </c>
      <c r="P172" s="9" t="s">
        <v>11</v>
      </c>
      <c r="Q172" s="10" t="s">
        <v>12</v>
      </c>
      <c r="R172" s="11" t="s">
        <v>221</v>
      </c>
      <c r="S172" s="10" t="s">
        <v>12</v>
      </c>
      <c r="T172" s="7"/>
      <c r="U172" s="6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1:40" ht="24" customHeight="1">
      <c r="A173" s="410" t="s">
        <v>222</v>
      </c>
      <c r="B173" s="7" t="s">
        <v>223</v>
      </c>
      <c r="C173" s="14" t="s">
        <v>14</v>
      </c>
      <c r="D173" s="30"/>
      <c r="E173" s="30"/>
      <c r="F173" s="31">
        <f>+INDEX('[1]Budget original'!$A$2:$AO$501,MATCH($A173,'[1]Budget original'!$A$2:$A$501,0),MATCH(F$2,'[1]Budget original'!$A$2:$AO$2,0))</f>
        <v>0</v>
      </c>
      <c r="G173" s="34"/>
      <c r="H173" s="30"/>
      <c r="I173" s="31"/>
      <c r="J173" s="14"/>
      <c r="K173" s="58"/>
      <c r="L173" s="61">
        <f>-SUMIFS([1]BV_Data_An_Cour!$AM:$AM,[1]BV_Data_An_Cour!$AS:$AS,"Oui",[1]BV_Data_An_Cour!$AP:$AP,$B173)</f>
        <v>4632656.8400000036</v>
      </c>
      <c r="M173" s="86"/>
      <c r="N173" s="87"/>
      <c r="O173" s="14"/>
      <c r="P173" s="58"/>
      <c r="Q173" s="61">
        <f>-SUMIFS([1]BV_Data_An_Prec!$AM:$AM,[1]BV_Data_An_Prec!$AS:$AS,"Oui",[1]BV_Data_An_Prec!$AP:$AP,$B173)</f>
        <v>4149870.7699999996</v>
      </c>
      <c r="R173" s="86"/>
      <c r="S173" s="87"/>
      <c r="T173" s="6"/>
      <c r="U173" s="411"/>
      <c r="V173" s="412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1:40" ht="24" customHeight="1">
      <c r="A174" s="410"/>
      <c r="B174" s="7" t="s">
        <v>223</v>
      </c>
      <c r="C174" s="26"/>
      <c r="D174" s="19"/>
      <c r="E174" s="19"/>
      <c r="F174" s="19"/>
      <c r="G174" s="20"/>
      <c r="H174" s="19"/>
      <c r="I174" s="19"/>
      <c r="J174" s="26"/>
      <c r="K174" s="55"/>
      <c r="L174" s="39"/>
      <c r="M174" s="85"/>
      <c r="N174" s="84"/>
      <c r="O174" s="26"/>
      <c r="P174" s="55"/>
      <c r="Q174" s="39"/>
      <c r="R174" s="85"/>
      <c r="S174" s="261"/>
      <c r="T174" s="6"/>
      <c r="U174" s="411"/>
      <c r="V174" s="412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1:40" ht="21.75" customHeight="1">
      <c r="A175" s="410" t="s">
        <v>224</v>
      </c>
      <c r="B175" s="7" t="s">
        <v>223</v>
      </c>
      <c r="C175" s="26" t="s">
        <v>225</v>
      </c>
      <c r="D175" s="19">
        <f>+INDEX('[1]Budget original'!$A$2:$AO$501,MATCH($A175,'[1]Budget original'!$A$2:$A$501,0),MATCH(D$2,'[1]Budget original'!$A$2:$AO$2,0))</f>
        <v>0</v>
      </c>
      <c r="E175" s="19">
        <f>IF(D175=0,0,F175/D175)</f>
        <v>0</v>
      </c>
      <c r="F175" s="19">
        <f>+INDEX('[1]Budget original'!$A$2:$AO$501,MATCH($A175,'[1]Budget original'!$A$2:$A$501,0),MATCH(F$2,'[1]Budget original'!$A$2:$AO$2,0))</f>
        <v>0</v>
      </c>
      <c r="G175" s="20"/>
      <c r="H175" s="19"/>
      <c r="I175" s="19"/>
      <c r="J175" s="20">
        <f>SUMIFS([1]BV_Data_An_Cour!$AW:$AW,[1]BV_Data_An_Cour!$AP:$AP,$B175,[1]BV_Data_An_Cour!$AQ:$AQ,$C175,[1]BV_Data_An_Cour!$AY:$AY,J$2)</f>
        <v>45</v>
      </c>
      <c r="K175" s="55">
        <f t="shared" ref="K175:K179" si="30">IF(J175=0,0,L175/J175)</f>
        <v>-853.93644444437496</v>
      </c>
      <c r="L175" s="39">
        <f>-SUMIFS([1]BV_Data_An_Cour!$AM:$AM,[1]BV_Data_An_Cour!$AP:$AP,$B175,[1]BV_Data_An_Cour!$AQ:$AQ,$C175,[1]BV_Data_An_Cour!$AR:$AR,$L2)</f>
        <v>-38427.139999996871</v>
      </c>
      <c r="M175" s="20">
        <f>J175-D175</f>
        <v>45</v>
      </c>
      <c r="N175" s="21">
        <f>L175-F175</f>
        <v>-38427.139999996871</v>
      </c>
      <c r="O175" s="20">
        <f>SUMIFS([1]BV_Data_An_Prec!$AW:$AW,[1]BV_Data_An_Prec!$AP:$AP,$B175,[1]BV_Data_An_Prec!$AQ:$AQ,$C175,[1]BV_Data_An_Prec!$AY:$AY,O$2)</f>
        <v>60</v>
      </c>
      <c r="P175" s="55">
        <f t="shared" ref="P175:P179" si="31">IF(O175=0,0,Q175/O175)</f>
        <v>381.76683333330635</v>
      </c>
      <c r="Q175" s="39">
        <f>-SUMIFS([1]BV_Data_An_Prec!$AM:$AM,[1]BV_Data_An_Prec!$AP:$AP,$B175,[1]BV_Data_An_Prec!$AQ:$AQ,$C175,[1]BV_Data_An_Prec!$AR:$AR,$L2)</f>
        <v>22906.009999998379</v>
      </c>
      <c r="R175" s="20">
        <f t="shared" ref="R175:R177" si="32">J175-O175</f>
        <v>-15</v>
      </c>
      <c r="S175" s="39">
        <f t="shared" ref="S175:S177" si="33">L175-Q175</f>
        <v>-61333.14999999525</v>
      </c>
      <c r="T175" s="6">
        <v>45</v>
      </c>
      <c r="U175" s="413">
        <v>-38427.120000000003</v>
      </c>
      <c r="V175" s="412">
        <f>L175-U175</f>
        <v>-1.9999996868136805E-2</v>
      </c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1:40" ht="21.75" customHeight="1">
      <c r="A176" s="410"/>
      <c r="B176" s="7" t="s">
        <v>223</v>
      </c>
      <c r="C176" s="248"/>
      <c r="D176" s="16"/>
      <c r="E176" s="16"/>
      <c r="F176" s="16"/>
      <c r="G176" s="29"/>
      <c r="H176" s="16"/>
      <c r="I176" s="16"/>
      <c r="J176" s="29"/>
      <c r="K176" s="60"/>
      <c r="L176" s="92"/>
      <c r="M176" s="29"/>
      <c r="N176" s="13"/>
      <c r="O176" s="29"/>
      <c r="P176" s="60"/>
      <c r="Q176" s="92"/>
      <c r="R176" s="262">
        <f>R175/O175</f>
        <v>-0.25</v>
      </c>
      <c r="S176" s="108">
        <f>IF(Q175=0,0,(S175/Q175))</f>
        <v>-2.6776007694050423</v>
      </c>
      <c r="T176" s="6"/>
      <c r="U176" s="411"/>
      <c r="V176" s="412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1:40" ht="18.75" customHeight="1">
      <c r="A177" s="410" t="s">
        <v>226</v>
      </c>
      <c r="B177" s="7" t="s">
        <v>223</v>
      </c>
      <c r="C177" s="26" t="s">
        <v>227</v>
      </c>
      <c r="D177" s="19">
        <f>+INDEX('[1]Budget original'!$A$2:$AO$501,MATCH($A177,'[1]Budget original'!$A$2:$A$501,0),MATCH(D$2,'[1]Budget original'!$A$2:$AO$2,0))</f>
        <v>0</v>
      </c>
      <c r="E177" s="19">
        <f t="shared" ref="E177:E179" si="34">IF(D177=0,0,F177/D177)</f>
        <v>0</v>
      </c>
      <c r="F177" s="19">
        <f>+INDEX('[1]Budget original'!$A$2:$AO$501,MATCH($A177,'[1]Budget original'!$A$2:$A$501,0),MATCH(F$2,'[1]Budget original'!$A$2:$AO$2,0))</f>
        <v>0</v>
      </c>
      <c r="G177" s="20"/>
      <c r="H177" s="19"/>
      <c r="I177" s="19"/>
      <c r="J177" s="20">
        <f>SUMIFS([1]BV_Data_An_Cour!$AW:$AW,[1]BV_Data_An_Cour!$AP:$AP,$B177,[1]BV_Data_An_Cour!$AQ:$AQ,$C177,[1]BV_Data_An_Cour!$AY:$AY,J$2)</f>
        <v>21</v>
      </c>
      <c r="K177" s="55">
        <f t="shared" si="30"/>
        <v>466.92571428573382</v>
      </c>
      <c r="L177" s="39">
        <f>-SUMIFS([1]BV_Data_An_Cour!$AM:$AM,[1]BV_Data_An_Cour!$AP:$AP,$B177,[1]BV_Data_An_Cour!$AQ:$AQ,$C177,[1]BV_Data_An_Cour!$AR:$AR,$L2)</f>
        <v>9805.4400000004098</v>
      </c>
      <c r="M177" s="20">
        <f>J177-D177</f>
        <v>21</v>
      </c>
      <c r="N177" s="21">
        <f>L177-F177</f>
        <v>9805.4400000004098</v>
      </c>
      <c r="O177" s="20">
        <f>SUMIFS([1]BV_Data_An_Prec!$AW:$AW,[1]BV_Data_An_Prec!$AP:$AP,$B177,[1]BV_Data_An_Prec!$AQ:$AQ,$C177,[1]BV_Data_An_Prec!$AY:$AY,O$2)</f>
        <v>0</v>
      </c>
      <c r="P177" s="55">
        <f t="shared" si="31"/>
        <v>0</v>
      </c>
      <c r="Q177" s="39">
        <f>-SUMIFS([1]BV_Data_An_Prec!$AM:$AM,[1]BV_Data_An_Prec!$AP:$AP,$B177,[1]BV_Data_An_Prec!$AQ:$AQ,$C177,[1]BV_Data_An_Prec!$AR:$AR,$L2)</f>
        <v>0</v>
      </c>
      <c r="R177" s="20">
        <f t="shared" si="32"/>
        <v>21</v>
      </c>
      <c r="S177" s="39">
        <f t="shared" si="33"/>
        <v>9805.4400000004098</v>
      </c>
      <c r="T177" s="6">
        <v>20</v>
      </c>
      <c r="U177" s="411">
        <v>9805.44</v>
      </c>
      <c r="V177" s="412">
        <f>L177-U177</f>
        <v>4.0927261579781771E-10</v>
      </c>
      <c r="W177" s="7"/>
      <c r="X177" s="7"/>
      <c r="Y177" s="7"/>
      <c r="Z177" s="7"/>
      <c r="AA177" s="7"/>
      <c r="AB177" s="7"/>
      <c r="AC177" s="7"/>
      <c r="AD177" s="417" t="s">
        <v>508</v>
      </c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1:40" ht="18.75" customHeight="1">
      <c r="A178" s="410"/>
      <c r="B178" s="7" t="s">
        <v>223</v>
      </c>
      <c r="C178" s="248"/>
      <c r="D178" s="16"/>
      <c r="E178" s="16"/>
      <c r="F178" s="16"/>
      <c r="G178" s="29"/>
      <c r="H178" s="16"/>
      <c r="I178" s="16"/>
      <c r="J178" s="29"/>
      <c r="K178" s="60"/>
      <c r="L178" s="92"/>
      <c r="M178" s="29"/>
      <c r="N178" s="13"/>
      <c r="O178" s="29"/>
      <c r="P178" s="60"/>
      <c r="Q178" s="92"/>
      <c r="R178" s="262" t="e">
        <f>R177/O177</f>
        <v>#DIV/0!</v>
      </c>
      <c r="S178" s="108">
        <f>IF(Q177=0,0,(S177/Q177))</f>
        <v>0</v>
      </c>
      <c r="T178" s="7"/>
      <c r="U178" s="411"/>
      <c r="V178" s="414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1:40" ht="18.75" customHeight="1">
      <c r="A179" s="410" t="str">
        <f>B179&amp;C179</f>
        <v>Wholesale autresWholesale Luxueux</v>
      </c>
      <c r="B179" s="7" t="s">
        <v>223</v>
      </c>
      <c r="C179" s="26" t="s">
        <v>228</v>
      </c>
      <c r="D179" s="19" t="e">
        <f>+INDEX('[1]Budget original'!$A$2:$AO$501,MATCH($A179,'[1]Budget original'!$A$2:$A$501,0),MATCH(D$2,'[1]Budget original'!$A$2:$AO$2,0))</f>
        <v>#N/A</v>
      </c>
      <c r="E179" s="19" t="e">
        <f t="shared" si="34"/>
        <v>#N/A</v>
      </c>
      <c r="F179" s="19" t="e">
        <f>+INDEX('[1]Budget original'!$A$2:$AO$501,MATCH($A179,'[1]Budget original'!$A$2:$A$501,0),MATCH(F$2,'[1]Budget original'!$A$2:$AO$2,0))</f>
        <v>#N/A</v>
      </c>
      <c r="G179" s="20"/>
      <c r="H179" s="19"/>
      <c r="I179" s="19"/>
      <c r="J179" s="20">
        <f>SUMIFS([1]BV_Data_An_Cour!$AW:$AW,[1]BV_Data_An_Cour!$AP:$AP,$B179,[1]BV_Data_An_Cour!$AQ:$AQ,$C179,[1]BV_Data_An_Cour!$AY:$AY,J$2)</f>
        <v>11</v>
      </c>
      <c r="K179" s="55">
        <f t="shared" si="30"/>
        <v>2600</v>
      </c>
      <c r="L179" s="39">
        <f>-SUMIFS([1]BV_Data_An_Cour!$AM:$AM,[1]BV_Data_An_Cour!$AP:$AP,$B179,[1]BV_Data_An_Cour!$AQ:$AQ,$C179,[1]BV_Data_An_Cour!$AR:$AR,$L2)</f>
        <v>28600</v>
      </c>
      <c r="M179" s="20" t="e">
        <f>J179-D179</f>
        <v>#N/A</v>
      </c>
      <c r="N179" s="21" t="e">
        <f>L179-F179</f>
        <v>#N/A</v>
      </c>
      <c r="O179" s="20">
        <f>SUMIFS([1]BV_Data_An_Prec!$AW:$AW,[1]BV_Data_An_Prec!$AP:$AP,$B179,[1]BV_Data_An_Prec!$AQ:$AQ,$C179,[1]BV_Data_An_Prec!$AY:$AY,O$2)</f>
        <v>11</v>
      </c>
      <c r="P179" s="55">
        <f t="shared" si="31"/>
        <v>4706.363636363636</v>
      </c>
      <c r="Q179" s="39">
        <f>-SUMIFS([1]BV_Data_An_Prec!$AM:$AM,[1]BV_Data_An_Prec!$AP:$AP,$B179,[1]BV_Data_An_Prec!$AQ:$AQ,$C179,[1]BV_Data_An_Prec!$AR:$AR,$L2)</f>
        <v>51770</v>
      </c>
      <c r="R179" s="20">
        <f>J179-O179</f>
        <v>0</v>
      </c>
      <c r="S179" s="39">
        <f>L179-Q179</f>
        <v>-23170</v>
      </c>
      <c r="T179" s="7">
        <v>11</v>
      </c>
      <c r="U179" s="413">
        <v>28600</v>
      </c>
      <c r="V179" s="412">
        <f>L179-U179</f>
        <v>0</v>
      </c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1:40" ht="15.75" customHeight="1">
      <c r="A180" s="410" t="s">
        <v>70</v>
      </c>
      <c r="B180" s="7" t="s">
        <v>223</v>
      </c>
      <c r="C180" s="26"/>
      <c r="D180" s="7"/>
      <c r="E180" s="7"/>
      <c r="F180" s="39"/>
      <c r="G180" s="26"/>
      <c r="H180" s="91"/>
      <c r="I180" s="39"/>
      <c r="J180" s="26"/>
      <c r="K180" s="55"/>
      <c r="L180" s="39"/>
      <c r="M180" s="27"/>
      <c r="N180" s="28" t="e">
        <f>#REF!/#REF!</f>
        <v>#REF!</v>
      </c>
      <c r="O180" s="26"/>
      <c r="P180" s="55"/>
      <c r="Q180" s="39"/>
      <c r="R180" s="263">
        <f>R179/O179</f>
        <v>0</v>
      </c>
      <c r="S180" s="100">
        <f>IF(Q179=0,0,(S179/Q179))</f>
        <v>-0.44755649990341895</v>
      </c>
      <c r="T180" s="7"/>
      <c r="U180" s="411"/>
      <c r="V180" s="414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1:40" ht="15.75" customHeight="1" thickBot="1">
      <c r="A181" s="410" t="s">
        <v>70</v>
      </c>
      <c r="B181" s="7" t="s">
        <v>223</v>
      </c>
      <c r="C181" s="26"/>
      <c r="D181" s="7"/>
      <c r="E181" s="7"/>
      <c r="F181" s="39"/>
      <c r="G181" s="26"/>
      <c r="H181" s="91"/>
      <c r="I181" s="39"/>
      <c r="J181" s="26"/>
      <c r="K181" s="55"/>
      <c r="L181" s="39"/>
      <c r="M181" s="27"/>
      <c r="N181" s="28"/>
      <c r="O181" s="26"/>
      <c r="P181" s="55"/>
      <c r="Q181" s="39"/>
      <c r="R181" s="40"/>
      <c r="S181" s="112"/>
      <c r="T181" s="7"/>
      <c r="U181" s="411"/>
      <c r="V181" s="414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1:40" ht="18" customHeight="1" thickTop="1">
      <c r="A182" s="410" t="s">
        <v>229</v>
      </c>
      <c r="B182" s="7" t="s">
        <v>223</v>
      </c>
      <c r="C182" s="264" t="s">
        <v>230</v>
      </c>
      <c r="D182" s="41" t="e">
        <f>D175+D177+D179</f>
        <v>#N/A</v>
      </c>
      <c r="E182" s="42" t="e">
        <f>IF(D182&lt;=0,0,F182/D182)</f>
        <v>#N/A</v>
      </c>
      <c r="F182" s="43" t="e">
        <f>#REF!+#REF!+#REF!</f>
        <v>#REF!</v>
      </c>
      <c r="G182" s="44"/>
      <c r="H182" s="42"/>
      <c r="I182" s="43"/>
      <c r="J182" s="44">
        <f>J175+J177+J179</f>
        <v>77</v>
      </c>
      <c r="K182" s="41">
        <f>IF(J182&lt;=0,0,L182/J182)</f>
        <v>-0.28181818177222046</v>
      </c>
      <c r="L182" s="43">
        <f>L175+L179+L177</f>
        <v>-21.699999996460974</v>
      </c>
      <c r="M182" s="44" t="e">
        <f>J182-D182</f>
        <v>#N/A</v>
      </c>
      <c r="N182" s="43" t="e">
        <f>L182-F182</f>
        <v>#REF!</v>
      </c>
      <c r="O182" s="44">
        <f>O175+O177+O179</f>
        <v>71</v>
      </c>
      <c r="P182" s="41">
        <f>IF(O182&lt;=0,0,Q182/O182)</f>
        <v>1051.7747887323715</v>
      </c>
      <c r="Q182" s="43">
        <f>Q175+Q179+Q177</f>
        <v>74676.009999998379</v>
      </c>
      <c r="R182" s="44">
        <f>J182-O182</f>
        <v>6</v>
      </c>
      <c r="S182" s="43">
        <f>L182-Q182</f>
        <v>-74697.70999999484</v>
      </c>
      <c r="T182" s="7"/>
      <c r="U182" s="411">
        <f>SUM(U175:U181)</f>
        <v>-21.680000000000291</v>
      </c>
      <c r="V182" s="412">
        <f>L182-U182</f>
        <v>-1.9999996460683178E-2</v>
      </c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1:40" ht="22.5" customHeight="1" thickBot="1">
      <c r="A183" s="410" t="s">
        <v>70</v>
      </c>
      <c r="B183" s="7" t="s">
        <v>223</v>
      </c>
      <c r="C183" s="47"/>
      <c r="D183" s="45"/>
      <c r="E183" s="45"/>
      <c r="F183" s="46"/>
      <c r="G183" s="47"/>
      <c r="H183" s="45"/>
      <c r="I183" s="46"/>
      <c r="J183" s="47"/>
      <c r="K183" s="265"/>
      <c r="L183" s="266"/>
      <c r="M183" s="48"/>
      <c r="N183" s="49"/>
      <c r="O183" s="47"/>
      <c r="P183" s="265"/>
      <c r="Q183" s="266"/>
      <c r="R183" s="48">
        <f>O182/R182</f>
        <v>11.833333333333334</v>
      </c>
      <c r="S183" s="267">
        <f>IF(Q182=0,0,(S182/Q182))</f>
        <v>-1.0002905886374549</v>
      </c>
      <c r="T183" s="7"/>
      <c r="U183" s="411"/>
      <c r="V183" s="412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1:40" ht="15.75" customHeight="1" thickTop="1">
      <c r="A184" s="410" t="s">
        <v>70</v>
      </c>
      <c r="B184" s="7" t="s">
        <v>223</v>
      </c>
      <c r="C184" s="52"/>
      <c r="D184" s="50"/>
      <c r="E184" s="50"/>
      <c r="F184" s="51"/>
      <c r="G184" s="52"/>
      <c r="H184" s="50"/>
      <c r="I184" s="51"/>
      <c r="J184" s="52"/>
      <c r="K184" s="74"/>
      <c r="L184" s="112"/>
      <c r="M184" s="27"/>
      <c r="N184" s="28"/>
      <c r="O184" s="52"/>
      <c r="P184" s="74"/>
      <c r="Q184" s="112"/>
      <c r="R184" s="27"/>
      <c r="S184" s="28"/>
      <c r="T184" s="7"/>
      <c r="U184" s="411"/>
      <c r="V184" s="412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1:40" ht="15.75" customHeight="1">
      <c r="A185" s="410" t="s">
        <v>231</v>
      </c>
      <c r="B185" s="7" t="s">
        <v>223</v>
      </c>
      <c r="C185" s="268" t="s">
        <v>29</v>
      </c>
      <c r="D185" s="7"/>
      <c r="E185" s="53"/>
      <c r="F185" s="39"/>
      <c r="G185" s="26"/>
      <c r="H185" s="53"/>
      <c r="I185" s="39"/>
      <c r="J185" s="26"/>
      <c r="K185" s="269"/>
      <c r="L185" s="39"/>
      <c r="M185" s="26"/>
      <c r="N185" s="25"/>
      <c r="O185" s="99"/>
      <c r="P185" s="55"/>
      <c r="Q185" s="39"/>
      <c r="R185" s="26"/>
      <c r="S185" s="25"/>
      <c r="T185" s="7"/>
      <c r="U185" s="411"/>
      <c r="V185" s="412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1:40" ht="15.75" customHeight="1">
      <c r="A186" s="410" t="s">
        <v>232</v>
      </c>
      <c r="B186" s="7" t="s">
        <v>223</v>
      </c>
      <c r="C186" s="26" t="s">
        <v>30</v>
      </c>
      <c r="D186" s="99" t="e">
        <f>F186/F182</f>
        <v>#REF!</v>
      </c>
      <c r="E186" s="55" t="e">
        <f>IF($J$97=0,0,F186/(D$94+D$95+D182))</f>
        <v>#N/A</v>
      </c>
      <c r="F186" s="19">
        <f>+INDEX('[1]Budget original'!$A$2:$AO$501,MATCH($A186,'[1]Budget original'!$A$2:$A$501,0),MATCH(F$2,'[1]Budget original'!$A$2:$AO$2,0))</f>
        <v>0</v>
      </c>
      <c r="G186" s="99"/>
      <c r="H186" s="55"/>
      <c r="I186" s="19"/>
      <c r="J186" s="99">
        <f>L186/L182</f>
        <v>-638.30691254649741</v>
      </c>
      <c r="K186" s="55">
        <f>IF($J$97=0,0,L186/(J$94+J$95+J182))</f>
        <v>138.51260000000011</v>
      </c>
      <c r="L186" s="39">
        <f>SUMIFS([1]BV_Data_An_Cour!$AM:$AM,[1]BV_Data_An_Cour!$AP:$AP,$B186,[1]BV_Data_An_Cour!$AQ:$AQ,$C186,[1]BV_Data_An_Cour!$AR:$AR,$L$2)</f>
        <v>13851.260000000009</v>
      </c>
      <c r="M186" s="26"/>
      <c r="N186" s="39">
        <f t="shared" ref="N186:N227" si="35">L186-F186</f>
        <v>13851.260000000009</v>
      </c>
      <c r="O186" s="99">
        <f>Q186/Q182</f>
        <v>0</v>
      </c>
      <c r="P186" s="55">
        <f>IF($J$97=0,0,Q186/(O$94+O$95+O182))</f>
        <v>0</v>
      </c>
      <c r="Q186" s="39">
        <f>SUMIFS([1]BV_Data_An_Prec!$AM:$AM,[1]BV_Data_An_Prec!$AP:$AP,$B186,[1]BV_Data_An_Prec!$AQ:$AQ,$C186,[1]BV_Data_An_Prec!$AR:$AR,$L$2)</f>
        <v>0</v>
      </c>
      <c r="R186" s="26"/>
      <c r="S186" s="39">
        <f t="shared" ref="S186:S227" si="36">L186-Q186</f>
        <v>13851.260000000009</v>
      </c>
      <c r="T186" s="6">
        <v>14631</v>
      </c>
      <c r="U186" s="6" t="s">
        <v>502</v>
      </c>
      <c r="V186" s="6" t="s">
        <v>502</v>
      </c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1:40" ht="15.75" customHeight="1">
      <c r="A187" s="410" t="s">
        <v>233</v>
      </c>
      <c r="B187" s="7" t="s">
        <v>223</v>
      </c>
      <c r="C187" s="14" t="s">
        <v>31</v>
      </c>
      <c r="D187" s="104" t="e">
        <f>F187/(F182)</f>
        <v>#REF!</v>
      </c>
      <c r="E187" s="58" t="e">
        <f>IF($J$97=0,0,F187/(D$94+D$95+D182))</f>
        <v>#N/A</v>
      </c>
      <c r="F187" s="31">
        <f>+INDEX('[1]Budget original'!$A$2:$AO$501,MATCH($A187,'[1]Budget original'!$A$2:$A$501,0),MATCH(F$2,'[1]Budget original'!$A$2:$AO$2,0))</f>
        <v>0</v>
      </c>
      <c r="G187" s="104"/>
      <c r="H187" s="58"/>
      <c r="I187" s="31"/>
      <c r="J187" s="104">
        <f>L187/(L182)</f>
        <v>0</v>
      </c>
      <c r="K187" s="58">
        <f>IF($J$97=0,0,L187/(J$94+J$95+J182))</f>
        <v>0</v>
      </c>
      <c r="L187" s="39">
        <f>SUMIFS([1]BV_Data_An_Cour!$AM:$AM,[1]BV_Data_An_Cour!$AP:$AP,$B187,[1]BV_Data_An_Cour!$AQ:$AQ,$C187,[1]BV_Data_An_Cour!$AR:$AR,$L$2)</f>
        <v>0</v>
      </c>
      <c r="M187" s="14"/>
      <c r="N187" s="61">
        <f t="shared" si="35"/>
        <v>0</v>
      </c>
      <c r="O187" s="104">
        <f>Q187/(Q182)</f>
        <v>0</v>
      </c>
      <c r="P187" s="58">
        <f>IF($J$97=0,0,Q187/(O$94+O$95+O182))</f>
        <v>0</v>
      </c>
      <c r="Q187" s="39">
        <f>SUMIFS([1]BV_Data_An_Prec!$AM:$AM,[1]BV_Data_An_Prec!$AP:$AP,$B187,[1]BV_Data_An_Prec!$AQ:$AQ,$C187,[1]BV_Data_An_Prec!$AR:$AR,$L$2)</f>
        <v>0</v>
      </c>
      <c r="R187" s="14"/>
      <c r="S187" s="61">
        <f t="shared" si="36"/>
        <v>0</v>
      </c>
      <c r="T187" s="6"/>
      <c r="U187" s="6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1:40" ht="15.75" customHeight="1">
      <c r="A188" s="410" t="s">
        <v>234</v>
      </c>
      <c r="B188" s="7" t="s">
        <v>223</v>
      </c>
      <c r="C188" s="26" t="s">
        <v>32</v>
      </c>
      <c r="D188" s="26"/>
      <c r="E188" s="55" t="e">
        <f>IF($J$97=0,0,F188/(D$94+D$95+D182))</f>
        <v>#N/A</v>
      </c>
      <c r="F188" s="19">
        <f>+INDEX('[1]Budget original'!$A$2:$AO$501,MATCH($A188,'[1]Budget original'!$A$2:$A$501,0),MATCH(F$2,'[1]Budget original'!$A$2:$AO$2,0))</f>
        <v>0</v>
      </c>
      <c r="G188" s="56"/>
      <c r="H188" s="55"/>
      <c r="I188" s="19"/>
      <c r="J188" s="26"/>
      <c r="K188" s="55">
        <f>IF($J$97=0,0,L188/(J$94+J$95+J182))</f>
        <v>9.9480000000000111</v>
      </c>
      <c r="L188" s="72">
        <f>SUMIFS([1]BV_Data_An_Cour!$AM:$AM,[1]BV_Data_An_Cour!$AP:$AP,$B188,[1]BV_Data_An_Cour!$AQ:$AQ,$C188,[1]BV_Data_An_Cour!$AR:$AR,$L$2)</f>
        <v>994.80000000000109</v>
      </c>
      <c r="M188" s="26"/>
      <c r="N188" s="39">
        <f t="shared" si="35"/>
        <v>994.80000000000109</v>
      </c>
      <c r="O188" s="26"/>
      <c r="P188" s="55">
        <f>IF($J$97=0,0,Q188/(O$94+O$95+O182))</f>
        <v>-254.43060240963857</v>
      </c>
      <c r="Q188" s="72">
        <f>SUMIFS([1]BV_Data_An_Prec!$AM:$AM,[1]BV_Data_An_Prec!$AP:$AP,$B188,[1]BV_Data_An_Prec!$AQ:$AQ,$C188,[1]BV_Data_An_Prec!$AR:$AR,$L$2)</f>
        <v>-21117.74</v>
      </c>
      <c r="R188" s="26"/>
      <c r="S188" s="39">
        <f t="shared" si="36"/>
        <v>22112.54</v>
      </c>
      <c r="T188" s="6"/>
      <c r="U188" s="6"/>
      <c r="V188" s="7"/>
      <c r="W188" s="19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1:40" ht="15.75" customHeight="1">
      <c r="A189" s="410" t="s">
        <v>235</v>
      </c>
      <c r="B189" s="7" t="s">
        <v>223</v>
      </c>
      <c r="C189" s="26" t="s">
        <v>33</v>
      </c>
      <c r="D189" s="26"/>
      <c r="E189" s="55" t="e">
        <f>IF($J$97=0,0,F189/(D$94+D$95+D182))</f>
        <v>#N/A</v>
      </c>
      <c r="F189" s="19">
        <f>+INDEX('[1]Budget original'!$A$2:$AO$501,MATCH($A189,'[1]Budget original'!$A$2:$A$501,0),MATCH(F$2,'[1]Budget original'!$A$2:$AO$2,0))</f>
        <v>0</v>
      </c>
      <c r="G189" s="56"/>
      <c r="H189" s="55"/>
      <c r="I189" s="19"/>
      <c r="J189" s="26"/>
      <c r="K189" s="55">
        <f>IF($J$97=0,0,L189/(J$94+J$95+J182))</f>
        <v>0</v>
      </c>
      <c r="L189" s="39">
        <f>SUMIFS([1]BV_Data_An_Cour!$AM:$AM,[1]BV_Data_An_Cour!$AP:$AP,$B189,[1]BV_Data_An_Cour!$AQ:$AQ,$C189,[1]BV_Data_An_Cour!$AR:$AR,$L$2)</f>
        <v>0</v>
      </c>
      <c r="M189" s="26"/>
      <c r="N189" s="39">
        <f t="shared" si="35"/>
        <v>0</v>
      </c>
      <c r="O189" s="26"/>
      <c r="P189" s="55">
        <f>IF($J$97=0,0,Q189/(O$94+O$95+O182))</f>
        <v>0</v>
      </c>
      <c r="Q189" s="39">
        <f>SUMIFS([1]BV_Data_An_Prec!$AM:$AM,[1]BV_Data_An_Prec!$AP:$AP,$B189,[1]BV_Data_An_Prec!$AQ:$AQ,$C189,[1]BV_Data_An_Prec!$AR:$AR,$L$2)</f>
        <v>0</v>
      </c>
      <c r="R189" s="26"/>
      <c r="S189" s="39">
        <f t="shared" si="36"/>
        <v>0</v>
      </c>
      <c r="T189" s="6"/>
      <c r="U189" s="6"/>
      <c r="V189" s="7"/>
      <c r="W189" s="19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1:40" ht="15.75" customHeight="1">
      <c r="A190" s="410" t="s">
        <v>236</v>
      </c>
      <c r="B190" s="7" t="s">
        <v>223</v>
      </c>
      <c r="C190" s="14" t="s">
        <v>34</v>
      </c>
      <c r="D190" s="14"/>
      <c r="E190" s="58" t="e">
        <f>IF($J$97=0,0,F190/(D$94+D$95+D182))</f>
        <v>#N/A</v>
      </c>
      <c r="F190" s="31">
        <f>+INDEX('[1]Budget original'!$A$2:$AO$501,MATCH($A190,'[1]Budget original'!$A$2:$A$501,0),MATCH(F$2,'[1]Budget original'!$A$2:$AO$2,0))</f>
        <v>0</v>
      </c>
      <c r="G190" s="59"/>
      <c r="H190" s="58"/>
      <c r="I190" s="31"/>
      <c r="J190" s="14"/>
      <c r="K190" s="58">
        <f>IF($J$97=0,0,L190/(J$94+J$95+J182))</f>
        <v>0</v>
      </c>
      <c r="L190" s="61">
        <f>SUMIFS([1]BV_Data_An_Cour!$AM:$AM,[1]BV_Data_An_Cour!$AP:$AP,$B190,[1]BV_Data_An_Cour!$AQ:$AQ,$C190,[1]BV_Data_An_Cour!$AR:$AR,$L$2)</f>
        <v>0</v>
      </c>
      <c r="M190" s="14"/>
      <c r="N190" s="61">
        <f t="shared" si="35"/>
        <v>0</v>
      </c>
      <c r="O190" s="14"/>
      <c r="P190" s="58">
        <f>IF($J$97=0,0,Q190/(O$94+O$95+O182))</f>
        <v>0</v>
      </c>
      <c r="Q190" s="61">
        <f>SUMIFS([1]BV_Data_An_Prec!$AM:$AM,[1]BV_Data_An_Prec!$AP:$AP,$B190,[1]BV_Data_An_Prec!$AQ:$AQ,$C190,[1]BV_Data_An_Prec!$AR:$AR,$L$2)</f>
        <v>0</v>
      </c>
      <c r="R190" s="14"/>
      <c r="S190" s="61">
        <f t="shared" si="36"/>
        <v>0</v>
      </c>
      <c r="T190" s="97"/>
      <c r="U190" s="6"/>
      <c r="V190" s="7"/>
      <c r="W190" s="19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1:40" ht="19.5" customHeight="1">
      <c r="A191" s="410" t="s">
        <v>237</v>
      </c>
      <c r="B191" s="7" t="s">
        <v>223</v>
      </c>
      <c r="C191" s="26" t="s">
        <v>35</v>
      </c>
      <c r="D191" s="26"/>
      <c r="E191" s="55" t="e">
        <f>IF($J$97=0,0,F191/(D$94+D$95+D182))</f>
        <v>#N/A</v>
      </c>
      <c r="F191" s="19">
        <f>+INDEX('[1]Budget original'!$A$2:$AO$501,MATCH($A191,'[1]Budget original'!$A$2:$A$501,0),MATCH(F$2,'[1]Budget original'!$A$2:$AO$2,0))</f>
        <v>0</v>
      </c>
      <c r="G191" s="56"/>
      <c r="H191" s="55"/>
      <c r="I191" s="19"/>
      <c r="J191" s="26"/>
      <c r="K191" s="55">
        <f>IF($J$97=0,0,L191/(J$94+J$95+J182))</f>
        <v>0</v>
      </c>
      <c r="L191" s="39">
        <f>SUMIFS([1]BV_Data_An_Cour!$AM:$AM,[1]BV_Data_An_Cour!$AP:$AP,$B191,[1]BV_Data_An_Cour!$AQ:$AQ,$C191,[1]BV_Data_An_Cour!$AR:$AR,$L$2)</f>
        <v>0</v>
      </c>
      <c r="M191" s="26"/>
      <c r="N191" s="39">
        <f t="shared" si="35"/>
        <v>0</v>
      </c>
      <c r="O191" s="26"/>
      <c r="P191" s="55">
        <f>IF($J$97=0,0,Q191/(O$94+O$95+O182))</f>
        <v>0</v>
      </c>
      <c r="Q191" s="39">
        <f>SUMIFS([1]BV_Data_An_Prec!$AM:$AM,[1]BV_Data_An_Prec!$AP:$AP,$B191,[1]BV_Data_An_Prec!$AQ:$AQ,$C191,[1]BV_Data_An_Prec!$AR:$AR,$L$2)</f>
        <v>0</v>
      </c>
      <c r="R191" s="26"/>
      <c r="S191" s="39">
        <f t="shared" si="36"/>
        <v>0</v>
      </c>
      <c r="T191" s="97"/>
      <c r="U191" s="6"/>
      <c r="V191" s="7"/>
      <c r="W191" s="19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1:40" ht="15.75" customHeight="1">
      <c r="A192" s="410" t="s">
        <v>238</v>
      </c>
      <c r="B192" s="7" t="s">
        <v>223</v>
      </c>
      <c r="C192" s="26" t="s">
        <v>36</v>
      </c>
      <c r="D192" s="26"/>
      <c r="E192" s="55" t="e">
        <f>IF($J$97=0,0,F192/(D$94+D$95+D182))</f>
        <v>#N/A</v>
      </c>
      <c r="F192" s="19">
        <f>+INDEX('[1]Budget original'!$A$2:$AO$501,MATCH($A192,'[1]Budget original'!$A$2:$A$501,0),MATCH(F$2,'[1]Budget original'!$A$2:$AO$2,0))</f>
        <v>0</v>
      </c>
      <c r="G192" s="56"/>
      <c r="H192" s="55"/>
      <c r="I192" s="19"/>
      <c r="J192" s="26"/>
      <c r="K192" s="55">
        <f>IF($J$97=0,0,L192/(J$94+J$95+J182))</f>
        <v>286.92079999999987</v>
      </c>
      <c r="L192" s="39">
        <f>SUMIFS([1]BV_Data_An_Cour!$AM:$AM,[1]BV_Data_An_Cour!$AP:$AP,$B192,[1]BV_Data_An_Cour!$AQ:$AQ,$C192,[1]BV_Data_An_Cour!$AR:$AR,$L$2)</f>
        <v>28692.079999999987</v>
      </c>
      <c r="M192" s="26"/>
      <c r="N192" s="39">
        <f t="shared" si="35"/>
        <v>28692.079999999987</v>
      </c>
      <c r="O192" s="26"/>
      <c r="P192" s="55">
        <f>IF($J$97=0,0,Q192/(O$94+O$95+O182))</f>
        <v>108.85060240963863</v>
      </c>
      <c r="Q192" s="39">
        <f>SUMIFS([1]BV_Data_An_Prec!$AM:$AM,[1]BV_Data_An_Prec!$AP:$AP,$B192,[1]BV_Data_An_Prec!$AQ:$AQ,$C192,[1]BV_Data_An_Prec!$AR:$AR,$L$2)</f>
        <v>9034.6000000000058</v>
      </c>
      <c r="R192" s="26"/>
      <c r="S192" s="39">
        <f t="shared" si="36"/>
        <v>19657.479999999981</v>
      </c>
      <c r="T192" s="6">
        <v>28842</v>
      </c>
      <c r="U192" s="6"/>
      <c r="V192" s="7"/>
      <c r="W192" s="19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1:40" ht="20.399999999999999" customHeight="1">
      <c r="A193" s="410" t="s">
        <v>239</v>
      </c>
      <c r="B193" s="7" t="s">
        <v>223</v>
      </c>
      <c r="C193" s="26" t="s">
        <v>303</v>
      </c>
      <c r="D193" s="54"/>
      <c r="E193" s="55" t="e">
        <f>F193/D$97</f>
        <v>#DIV/0!</v>
      </c>
      <c r="F193" s="19">
        <f>+INDEX('[1]Budget original'!$A$2:$AO$501,MATCH($A193,'[1]Budget original'!$A$2:$A$501,0),MATCH(F$2,'[1]Budget original'!$A$2:$AO$2,0))</f>
        <v>0</v>
      </c>
      <c r="G193" s="56"/>
      <c r="H193" s="55"/>
      <c r="I193" s="19"/>
      <c r="J193" s="26"/>
      <c r="K193" s="55">
        <f>IF($J$97=0,0,L193/(J$94+J$95))</f>
        <v>0</v>
      </c>
      <c r="L193" s="21">
        <f>SUMIFS([1]BV_Data_An_Cour!$AM:$AM,[1]BV_Data_An_Cour!$AP:$AP,$B193,[1]BV_Data_An_Cour!$AQ:$AQ,$C193,[1]BV_Data_An_Cour!$AR:$AR,$L$2)</f>
        <v>0</v>
      </c>
      <c r="M193" s="26"/>
      <c r="N193" s="39">
        <f t="shared" si="35"/>
        <v>0</v>
      </c>
      <c r="O193" s="26"/>
      <c r="P193" s="55">
        <f>IF($J$97=0,0,Q193/(O$94+O$95))</f>
        <v>0</v>
      </c>
      <c r="Q193" s="21">
        <f>SUMIFS([1]BV_Data_An_Prec!$AM:$AM,[1]BV_Data_An_Prec!$AP:$AP,$B193,[1]BV_Data_An_Prec!$AQ:$AQ,$C193,[1]BV_Data_An_Prec!$AR:$AR,$L$2)</f>
        <v>0</v>
      </c>
      <c r="R193" s="26"/>
      <c r="S193" s="39">
        <f t="shared" si="36"/>
        <v>0</v>
      </c>
      <c r="T193" s="7"/>
      <c r="U193" s="6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1:40" ht="20.399999999999999" customHeight="1">
      <c r="A194" s="410" t="s">
        <v>239</v>
      </c>
      <c r="B194" s="7" t="s">
        <v>223</v>
      </c>
      <c r="C194" s="26" t="s">
        <v>304</v>
      </c>
      <c r="D194" s="54"/>
      <c r="E194" s="55" t="e">
        <f>F194/D$97</f>
        <v>#DIV/0!</v>
      </c>
      <c r="F194" s="19">
        <f>+INDEX('[1]Budget original'!$A$2:$AO$501,MATCH($A194,'[1]Budget original'!$A$2:$A$501,0),MATCH(F$2,'[1]Budget original'!$A$2:$AO$2,0))</f>
        <v>0</v>
      </c>
      <c r="G194" s="56"/>
      <c r="H194" s="55"/>
      <c r="I194" s="19"/>
      <c r="J194" s="26"/>
      <c r="K194" s="55">
        <f>IF($J$97=0,0,L194/(J$94+J$95))</f>
        <v>-206.26608695652175</v>
      </c>
      <c r="L194" s="39">
        <f>SUMIFS([1]BV_Data_An_Cour!$AM:$AM,[1]BV_Data_An_Cour!$AP:$AP,$B194,[1]BV_Data_An_Cour!$AQ:$AQ,$C194,[1]BV_Data_An_Cour!$AR:$AR,$L$2)</f>
        <v>-4744.12</v>
      </c>
      <c r="M194" s="26"/>
      <c r="N194" s="39">
        <f t="shared" si="35"/>
        <v>-4744.12</v>
      </c>
      <c r="O194" s="26"/>
      <c r="P194" s="55">
        <f>IF($J$97=0,0,Q194/(O$94+O$95))</f>
        <v>0</v>
      </c>
      <c r="Q194" s="21">
        <f>SUMIFS([1]BV_Data_An_Prec!$AM:$AM,[1]BV_Data_An_Prec!$AP:$AP,$B194,[1]BV_Data_An_Prec!$AQ:$AQ,$C194,[1]BV_Data_An_Prec!$AR:$AR,$L$2)</f>
        <v>0</v>
      </c>
      <c r="R194" s="26"/>
      <c r="S194" s="39">
        <f t="shared" si="36"/>
        <v>-4744.12</v>
      </c>
      <c r="T194" s="7">
        <v>-4744</v>
      </c>
      <c r="U194" s="6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1:40" ht="20.399999999999999" hidden="1" customHeight="1" thickTop="1">
      <c r="A195" s="410" t="s">
        <v>239</v>
      </c>
      <c r="B195" s="7" t="s">
        <v>223</v>
      </c>
      <c r="C195" s="26" t="s">
        <v>19</v>
      </c>
      <c r="D195" s="54"/>
      <c r="E195" s="55" t="e">
        <f>F195/D$97</f>
        <v>#DIV/0!</v>
      </c>
      <c r="F195" s="19">
        <f>+INDEX('[1]Budget original'!$A$2:$AO$501,MATCH($A195,'[1]Budget original'!$A$2:$A$501,0),MATCH(F$2,'[1]Budget original'!$A$2:$AO$2,0))</f>
        <v>0</v>
      </c>
      <c r="G195" s="56"/>
      <c r="H195" s="55"/>
      <c r="I195" s="19"/>
      <c r="J195" s="26"/>
      <c r="K195" s="55">
        <f>IF($J$97=0,0,L195/(J$94+J$95))</f>
        <v>0</v>
      </c>
      <c r="L195" s="21">
        <f>SUMIFS([1]BV_Data_An_Cour!$AM:$AM,[1]BV_Data_An_Cour!$AP:$AP,$B195,[1]BV_Data_An_Cour!$AQ:$AQ,$C195,[1]BV_Data_An_Cour!$AR:$AR,$L$2)</f>
        <v>0</v>
      </c>
      <c r="M195" s="26"/>
      <c r="N195" s="39">
        <f t="shared" si="35"/>
        <v>0</v>
      </c>
      <c r="O195" s="26"/>
      <c r="P195" s="55">
        <f>IF($J$97=0,0,Q195/(O$94+O$95))</f>
        <v>0</v>
      </c>
      <c r="Q195" s="21">
        <f>SUMIFS([1]BV_Data_An_Prec!$AM:$AM,[1]BV_Data_An_Prec!$AP:$AP,$B195,[1]BV_Data_An_Prec!$AQ:$AQ,$C195,[1]BV_Data_An_Prec!$AR:$AR,$L$2)</f>
        <v>0</v>
      </c>
      <c r="R195" s="26"/>
      <c r="S195" s="39">
        <f t="shared" si="36"/>
        <v>0</v>
      </c>
      <c r="T195" s="7"/>
      <c r="U195" s="6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1:40" ht="18.600000000000001" customHeight="1">
      <c r="A196" s="410" t="s">
        <v>240</v>
      </c>
      <c r="B196" s="7" t="s">
        <v>223</v>
      </c>
      <c r="C196" s="139" t="s">
        <v>37</v>
      </c>
      <c r="D196" s="62" t="s">
        <v>38</v>
      </c>
      <c r="E196" s="63" t="e">
        <f>F196/F$109</f>
        <v>#DIV/0!</v>
      </c>
      <c r="F196" s="64">
        <f>SUM(F186:F195)</f>
        <v>0</v>
      </c>
      <c r="G196" s="65"/>
      <c r="H196" s="63"/>
      <c r="I196" s="64"/>
      <c r="J196" s="65" t="s">
        <v>38</v>
      </c>
      <c r="K196" s="63">
        <f>L196/L$109</f>
        <v>0.72210293898386801</v>
      </c>
      <c r="L196" s="64">
        <f>SUM(L186:L195)</f>
        <v>38794.019999999997</v>
      </c>
      <c r="M196" s="66"/>
      <c r="N196" s="64">
        <f t="shared" si="35"/>
        <v>38794.019999999997</v>
      </c>
      <c r="O196" s="65" t="s">
        <v>38</v>
      </c>
      <c r="P196" s="63">
        <f>Q196/Q$109</f>
        <v>-0.19539008921411652</v>
      </c>
      <c r="Q196" s="64">
        <f>SUM(Q186:Q195)</f>
        <v>-12083.139999999996</v>
      </c>
      <c r="R196" s="67"/>
      <c r="S196" s="64">
        <f t="shared" si="36"/>
        <v>50877.159999999989</v>
      </c>
      <c r="T196" s="7"/>
      <c r="U196" s="6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1:40" ht="15.75" customHeight="1">
      <c r="A197" s="410" t="s">
        <v>241</v>
      </c>
      <c r="B197" s="7" t="s">
        <v>223</v>
      </c>
      <c r="C197" s="271" t="s">
        <v>40</v>
      </c>
      <c r="D197" s="7"/>
      <c r="E197" s="7"/>
      <c r="F197" s="19">
        <f>+INDEX('[1]Budget original'!$A$2:$AO$501,MATCH($A197,'[1]Budget original'!$A$2:$A$501,0),MATCH(F$2,'[1]Budget original'!$A$2:$AO$2,0))</f>
        <v>0</v>
      </c>
      <c r="G197" s="26"/>
      <c r="H197" s="7"/>
      <c r="I197" s="19"/>
      <c r="J197" s="26"/>
      <c r="K197" s="7"/>
      <c r="L197" s="39">
        <f>SUMIFS([1]BV_Data_An_Cour!$AM:$AM,[1]BV_Data_An_Cour!$AP:$AP,$B197,[1]BV_Data_An_Cour!$AQ:$AQ,$C197,[1]BV_Data_An_Cour!$AR:$AR,$L$2)</f>
        <v>-929.38999999999942</v>
      </c>
      <c r="M197" s="26"/>
      <c r="N197" s="39">
        <f t="shared" si="35"/>
        <v>-929.38999999999942</v>
      </c>
      <c r="O197" s="26"/>
      <c r="P197" s="7"/>
      <c r="Q197" s="39">
        <f>SUMIFS([1]BV_Data_An_Prec!$AM:$AM,[1]BV_Data_An_Prec!$AP:$AP,$B197,[1]BV_Data_An_Prec!$AQ:$AQ,$C197,[1]BV_Data_An_Prec!$AR:$AR,$L$2)</f>
        <v>2962.7299999999814</v>
      </c>
      <c r="R197" s="26"/>
      <c r="S197" s="39">
        <f t="shared" si="36"/>
        <v>-3892.1199999999808</v>
      </c>
      <c r="T197" s="7"/>
      <c r="U197" s="6" t="s">
        <v>497</v>
      </c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1:40" ht="15.75" customHeight="1">
      <c r="A198" s="410" t="s">
        <v>242</v>
      </c>
      <c r="B198" s="7" t="s">
        <v>223</v>
      </c>
      <c r="C198" s="272" t="s">
        <v>41</v>
      </c>
      <c r="D198" s="54"/>
      <c r="E198" s="7"/>
      <c r="F198" s="31">
        <f>+INDEX('[1]Budget original'!$A$2:$AO$501,MATCH($A198,'[1]Budget original'!$A$2:$A$501,0),MATCH(F$2,'[1]Budget original'!$A$2:$AO$2,0))</f>
        <v>0</v>
      </c>
      <c r="G198" s="56"/>
      <c r="H198" s="7"/>
      <c r="I198" s="31"/>
      <c r="J198" s="26"/>
      <c r="K198" s="7"/>
      <c r="L198" s="39">
        <f>SUMIFS([1]BV_Data_An_Cour!$AM:$AM,[1]BV_Data_An_Cour!$AP:$AP,$B198,[1]BV_Data_An_Cour!$AQ:$AQ,$C198,[1]BV_Data_An_Cour!$AR:$AR,$L$2)</f>
        <v>3287.7700000000041</v>
      </c>
      <c r="M198" s="26"/>
      <c r="N198" s="39">
        <f t="shared" si="35"/>
        <v>3287.7700000000041</v>
      </c>
      <c r="O198" s="26"/>
      <c r="P198" s="7"/>
      <c r="Q198" s="39">
        <f>SUMIFS([1]BV_Data_An_Prec!$AM:$AM,[1]BV_Data_An_Prec!$AP:$AP,$B198,[1]BV_Data_An_Prec!$AQ:$AQ,$C198,[1]BV_Data_An_Prec!$AR:$AR,$L$2)</f>
        <v>5130.5999999999985</v>
      </c>
      <c r="R198" s="26"/>
      <c r="S198" s="39">
        <f t="shared" si="36"/>
        <v>-1842.8299999999945</v>
      </c>
      <c r="T198" s="7"/>
      <c r="U198" s="6" t="s">
        <v>503</v>
      </c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1:40" ht="15.75" customHeight="1">
      <c r="A199" s="410" t="s">
        <v>243</v>
      </c>
      <c r="B199" s="7" t="s">
        <v>223</v>
      </c>
      <c r="C199" s="271" t="s">
        <v>42</v>
      </c>
      <c r="D199" s="68"/>
      <c r="E199" s="69"/>
      <c r="F199" s="19">
        <f>+INDEX('[1]Budget original'!$A$2:$AO$501,MATCH($A199,'[1]Budget original'!$A$2:$A$501,0),MATCH(F$2,'[1]Budget original'!$A$2:$AO$2,0))</f>
        <v>0</v>
      </c>
      <c r="G199" s="70"/>
      <c r="H199" s="69"/>
      <c r="I199" s="19"/>
      <c r="J199" s="71"/>
      <c r="K199" s="69"/>
      <c r="L199" s="72">
        <f>SUMIFS([1]BV_Data_An_Cour!$AM:$AM,[1]BV_Data_An_Cour!$AP:$AP,$B199,[1]BV_Data_An_Cour!$AQ:$AQ,$C199,[1]BV_Data_An_Cour!$AR:$AR,$L$2)</f>
        <v>0</v>
      </c>
      <c r="M199" s="71"/>
      <c r="N199" s="72">
        <f t="shared" si="35"/>
        <v>0</v>
      </c>
      <c r="O199" s="71"/>
      <c r="P199" s="69"/>
      <c r="Q199" s="72">
        <f>SUMIFS([1]BV_Data_An_Prec!$AM:$AM,[1]BV_Data_An_Prec!$AP:$AP,$B199,[1]BV_Data_An_Prec!$AQ:$AQ,$C199,[1]BV_Data_An_Prec!$AR:$AR,$L$2)</f>
        <v>34960</v>
      </c>
      <c r="R199" s="71"/>
      <c r="S199" s="72">
        <f t="shared" si="36"/>
        <v>-34960</v>
      </c>
      <c r="T199" s="7"/>
      <c r="U199" s="6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1:40" ht="20.399999999999999" hidden="1" customHeight="1">
      <c r="A200" s="410" t="s">
        <v>244</v>
      </c>
      <c r="B200" s="7" t="s">
        <v>223</v>
      </c>
      <c r="C200" s="271" t="s">
        <v>43</v>
      </c>
      <c r="D200" s="54"/>
      <c r="E200" s="7"/>
      <c r="F200" s="19">
        <f>+INDEX('[1]Budget original'!$A$2:$AO$501,MATCH($A200,'[1]Budget original'!$A$2:$A$501,0),MATCH(F$2,'[1]Budget original'!$A$2:$AO$2,0))</f>
        <v>0</v>
      </c>
      <c r="G200" s="56"/>
      <c r="H200" s="7"/>
      <c r="I200" s="19"/>
      <c r="J200" s="26"/>
      <c r="K200" s="7"/>
      <c r="L200" s="39">
        <f>SUMIFS([1]BV_Data_An_Cour!$AM:$AM,[1]BV_Data_An_Cour!$AP:$AP,$B200,[1]BV_Data_An_Cour!$AQ:$AQ,$C200,[1]BV_Data_An_Cour!$AR:$AR,$L$2)</f>
        <v>0</v>
      </c>
      <c r="M200" s="26"/>
      <c r="N200" s="39">
        <f t="shared" si="35"/>
        <v>0</v>
      </c>
      <c r="O200" s="26"/>
      <c r="P200" s="7"/>
      <c r="Q200" s="39">
        <f>SUMIFS([1]BV_Data_An_Prec!$AM:$AM,[1]BV_Data_An_Prec!$AP:$AP,$B200,[1]BV_Data_An_Prec!$AQ:$AQ,$C200,[1]BV_Data_An_Prec!$AR:$AR,$L$2)</f>
        <v>0</v>
      </c>
      <c r="R200" s="26"/>
      <c r="S200" s="39">
        <f t="shared" si="36"/>
        <v>0</v>
      </c>
      <c r="T200" s="7"/>
      <c r="U200" s="6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1:40" ht="20.399999999999999" hidden="1" customHeight="1">
      <c r="A201" s="410" t="s">
        <v>239</v>
      </c>
      <c r="B201" s="7" t="s">
        <v>223</v>
      </c>
      <c r="C201" s="271" t="s">
        <v>19</v>
      </c>
      <c r="D201" s="54"/>
      <c r="E201" s="7"/>
      <c r="F201" s="19">
        <f>+INDEX('[1]Budget original'!$A$2:$AO$501,MATCH($A201,'[1]Budget original'!$A$2:$A$501,0),MATCH(F$2,'[1]Budget original'!$A$2:$AO$2,0))</f>
        <v>0</v>
      </c>
      <c r="G201" s="56"/>
      <c r="H201" s="7"/>
      <c r="I201" s="19"/>
      <c r="J201" s="26"/>
      <c r="K201" s="7"/>
      <c r="L201" s="39">
        <f>SUMIFS([1]BV_Data_An_Cour!$AM:$AM,[1]BV_Data_An_Cour!$AP:$AP,$B201,[1]BV_Data_An_Cour!$AQ:$AQ,$C201,[1]BV_Data_An_Cour!$AR:$AR,$L$2)</f>
        <v>0</v>
      </c>
      <c r="M201" s="26"/>
      <c r="N201" s="39">
        <f t="shared" si="35"/>
        <v>0</v>
      </c>
      <c r="O201" s="26"/>
      <c r="P201" s="7"/>
      <c r="Q201" s="39">
        <f>SUMIFS([1]BV_Data_An_Prec!$AM:$AM,[1]BV_Data_An_Prec!$AP:$AP,$B201,[1]BV_Data_An_Prec!$AQ:$AQ,$C201,[1]BV_Data_An_Prec!$AR:$AR,$L$2)</f>
        <v>0</v>
      </c>
      <c r="R201" s="26"/>
      <c r="S201" s="39">
        <f t="shared" si="36"/>
        <v>0</v>
      </c>
      <c r="T201" s="7"/>
      <c r="U201" s="6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1:40" ht="20.399999999999999" hidden="1" customHeight="1">
      <c r="A202" s="410" t="s">
        <v>239</v>
      </c>
      <c r="B202" s="7" t="s">
        <v>223</v>
      </c>
      <c r="C202" s="271" t="s">
        <v>19</v>
      </c>
      <c r="D202" s="54"/>
      <c r="E202" s="7"/>
      <c r="F202" s="19">
        <f>+INDEX('[1]Budget original'!$A$2:$AO$501,MATCH($A202,'[1]Budget original'!$A$2:$A$501,0),MATCH(F$2,'[1]Budget original'!$A$2:$AO$2,0))</f>
        <v>0</v>
      </c>
      <c r="G202" s="56"/>
      <c r="H202" s="7"/>
      <c r="I202" s="19"/>
      <c r="J202" s="26"/>
      <c r="K202" s="7"/>
      <c r="L202" s="39">
        <f>SUMIFS([1]BV_Data_An_Cour!$AM:$AM,[1]BV_Data_An_Cour!$AP:$AP,$B202,[1]BV_Data_An_Cour!$AQ:$AQ,$C202,[1]BV_Data_An_Cour!$AR:$AR,$L$2)</f>
        <v>0</v>
      </c>
      <c r="M202" s="26"/>
      <c r="N202" s="39">
        <f t="shared" si="35"/>
        <v>0</v>
      </c>
      <c r="O202" s="26"/>
      <c r="P202" s="7"/>
      <c r="Q202" s="39">
        <f>SUMIFS([1]BV_Data_An_Prec!$AM:$AM,[1]BV_Data_An_Prec!$AP:$AP,$B202,[1]BV_Data_An_Prec!$AQ:$AQ,$C202,[1]BV_Data_An_Prec!$AR:$AR,$L$2)</f>
        <v>0</v>
      </c>
      <c r="R202" s="26"/>
      <c r="S202" s="39">
        <f t="shared" si="36"/>
        <v>0</v>
      </c>
      <c r="T202" s="7"/>
      <c r="U202" s="6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1:40" ht="20.399999999999999" hidden="1" customHeight="1">
      <c r="A203" s="410" t="s">
        <v>239</v>
      </c>
      <c r="B203" s="7" t="s">
        <v>223</v>
      </c>
      <c r="C203" s="271" t="s">
        <v>19</v>
      </c>
      <c r="D203" s="54"/>
      <c r="E203" s="7"/>
      <c r="F203" s="19">
        <f>+INDEX('[1]Budget original'!$A$2:$AO$501,MATCH($A203,'[1]Budget original'!$A$2:$A$501,0),MATCH(F$2,'[1]Budget original'!$A$2:$AO$2,0))</f>
        <v>0</v>
      </c>
      <c r="G203" s="56"/>
      <c r="H203" s="7"/>
      <c r="I203" s="19"/>
      <c r="J203" s="26"/>
      <c r="K203" s="7"/>
      <c r="L203" s="39">
        <f>SUMIFS([1]BV_Data_An_Cour!$AM:$AM,[1]BV_Data_An_Cour!$AP:$AP,$B203,[1]BV_Data_An_Cour!$AQ:$AQ,$C203,[1]BV_Data_An_Cour!$AR:$AR,$L$2)</f>
        <v>0</v>
      </c>
      <c r="M203" s="26"/>
      <c r="N203" s="39">
        <f t="shared" si="35"/>
        <v>0</v>
      </c>
      <c r="O203" s="26"/>
      <c r="P203" s="7"/>
      <c r="Q203" s="39">
        <f>SUMIFS([1]BV_Data_An_Prec!$AM:$AM,[1]BV_Data_An_Prec!$AP:$AP,$B203,[1]BV_Data_An_Prec!$AQ:$AQ,$C203,[1]BV_Data_An_Prec!$AR:$AR,$L$2)</f>
        <v>0</v>
      </c>
      <c r="R203" s="26"/>
      <c r="S203" s="39">
        <f t="shared" si="36"/>
        <v>0</v>
      </c>
      <c r="T203" s="7"/>
      <c r="U203" s="6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1:40" ht="15.75" customHeight="1">
      <c r="A204" s="410" t="s">
        <v>245</v>
      </c>
      <c r="B204" s="7" t="s">
        <v>223</v>
      </c>
      <c r="C204" s="272" t="s">
        <v>44</v>
      </c>
      <c r="D204" s="54"/>
      <c r="E204" s="7"/>
      <c r="F204" s="19">
        <f>+INDEX('[1]Budget original'!$A$2:$AO$501,MATCH($A204,'[1]Budget original'!$A$2:$A$501,0),MATCH(F$2,'[1]Budget original'!$A$2:$AO$2,0))</f>
        <v>0</v>
      </c>
      <c r="G204" s="56"/>
      <c r="H204" s="7"/>
      <c r="I204" s="19"/>
      <c r="J204" s="26"/>
      <c r="K204" s="7"/>
      <c r="L204" s="39">
        <f>SUMIFS([1]BV_Data_An_Cour!$AM:$AM,[1]BV_Data_An_Cour!$AP:$AP,$B204,[1]BV_Data_An_Cour!$AQ:$AQ,$C204,[1]BV_Data_An_Cour!$AR:$AR,$L$2)</f>
        <v>1636.8399999999983</v>
      </c>
      <c r="M204" s="26"/>
      <c r="N204" s="39">
        <f t="shared" si="35"/>
        <v>1636.8399999999983</v>
      </c>
      <c r="O204" s="26"/>
      <c r="P204" s="7"/>
      <c r="Q204" s="39">
        <f>SUMIFS([1]BV_Data_An_Prec!$AM:$AM,[1]BV_Data_An_Prec!$AP:$AP,$B204,[1]BV_Data_An_Prec!$AQ:$AQ,$C204,[1]BV_Data_An_Prec!$AR:$AR,$L$2)</f>
        <v>2596.1999999999989</v>
      </c>
      <c r="R204" s="26"/>
      <c r="S204" s="39">
        <f t="shared" si="36"/>
        <v>-959.36000000000058</v>
      </c>
      <c r="T204" s="7"/>
      <c r="U204" s="6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1:40" ht="15.75" customHeight="1">
      <c r="A205" s="410" t="s">
        <v>246</v>
      </c>
      <c r="B205" s="7" t="s">
        <v>223</v>
      </c>
      <c r="C205" s="271" t="s">
        <v>45</v>
      </c>
      <c r="D205" s="68"/>
      <c r="E205" s="69"/>
      <c r="F205" s="35">
        <f>+INDEX('[1]Budget original'!$A$2:$AO$501,MATCH($A205,'[1]Budget original'!$A$2:$A$501,0),MATCH(F$2,'[1]Budget original'!$A$2:$AO$2,0))</f>
        <v>0</v>
      </c>
      <c r="G205" s="70"/>
      <c r="H205" s="69"/>
      <c r="I205" s="35"/>
      <c r="J205" s="71"/>
      <c r="K205" s="69"/>
      <c r="L205" s="72">
        <f>SUMIFS([1]BV_Data_An_Cour!$AM:$AM,[1]BV_Data_An_Cour!$AP:$AP,$B205,[1]BV_Data_An_Cour!$AQ:$AQ,$C205,[1]BV_Data_An_Cour!$AR:$AR,$L$2)</f>
        <v>5941.7900000000009</v>
      </c>
      <c r="M205" s="71"/>
      <c r="N205" s="72">
        <f t="shared" si="35"/>
        <v>5941.7900000000009</v>
      </c>
      <c r="O205" s="71"/>
      <c r="P205" s="69"/>
      <c r="Q205" s="72">
        <f>SUMIFS([1]BV_Data_An_Prec!$AM:$AM,[1]BV_Data_An_Prec!$AP:$AP,$B205,[1]BV_Data_An_Prec!$AQ:$AQ,$C205,[1]BV_Data_An_Prec!$AR:$AR,$L$2)</f>
        <v>2966.3899999999994</v>
      </c>
      <c r="R205" s="71"/>
      <c r="S205" s="72">
        <f t="shared" si="36"/>
        <v>2975.4000000000015</v>
      </c>
      <c r="T205" s="7"/>
      <c r="U205" s="6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1:40" ht="15.75" customHeight="1">
      <c r="A206" s="410" t="s">
        <v>247</v>
      </c>
      <c r="B206" s="7" t="s">
        <v>223</v>
      </c>
      <c r="C206" s="271" t="s">
        <v>46</v>
      </c>
      <c r="D206" s="54"/>
      <c r="E206" s="7"/>
      <c r="F206" s="19">
        <f>+INDEX('[1]Budget original'!$A$2:$AO$501,MATCH($A206,'[1]Budget original'!$A$2:$A$501,0),MATCH(F$2,'[1]Budget original'!$A$2:$AO$2,0))</f>
        <v>0</v>
      </c>
      <c r="G206" s="56"/>
      <c r="H206" s="7"/>
      <c r="I206" s="19"/>
      <c r="J206" s="26"/>
      <c r="K206" s="7"/>
      <c r="L206" s="39">
        <f>SUMIFS([1]BV_Data_An_Cour!$AM:$AM,[1]BV_Data_An_Cour!$AP:$AP,$B206,[1]BV_Data_An_Cour!$AQ:$AQ,$C206,[1]BV_Data_An_Cour!$AR:$AR,$L$2)</f>
        <v>526.39000000000033</v>
      </c>
      <c r="M206" s="26"/>
      <c r="N206" s="39">
        <f t="shared" si="35"/>
        <v>526.39000000000033</v>
      </c>
      <c r="O206" s="26"/>
      <c r="P206" s="7"/>
      <c r="Q206" s="39">
        <f>SUMIFS([1]BV_Data_An_Prec!$AM:$AM,[1]BV_Data_An_Prec!$AP:$AP,$B206,[1]BV_Data_An_Prec!$AQ:$AQ,$C206,[1]BV_Data_An_Prec!$AR:$AR,$L$2)</f>
        <v>328.94000000000051</v>
      </c>
      <c r="R206" s="26"/>
      <c r="S206" s="39">
        <f t="shared" si="36"/>
        <v>197.44999999999982</v>
      </c>
      <c r="T206" s="7"/>
      <c r="U206" s="6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1:40" ht="15.75" customHeight="1">
      <c r="A207" s="410" t="s">
        <v>248</v>
      </c>
      <c r="B207" s="7" t="s">
        <v>223</v>
      </c>
      <c r="C207" s="271" t="s">
        <v>47</v>
      </c>
      <c r="D207" s="54"/>
      <c r="E207" s="7"/>
      <c r="F207" s="19">
        <f>+INDEX('[1]Budget original'!$A$2:$AO$501,MATCH($A207,'[1]Budget original'!$A$2:$A$501,0),MATCH(F$2,'[1]Budget original'!$A$2:$AO$2,0))</f>
        <v>0</v>
      </c>
      <c r="G207" s="56"/>
      <c r="H207" s="7"/>
      <c r="I207" s="19"/>
      <c r="J207" s="26"/>
      <c r="K207" s="7"/>
      <c r="L207" s="39">
        <f>SUMIFS([1]BV_Data_An_Cour!$AM:$AM,[1]BV_Data_An_Cour!$AP:$AP,$B207,[1]BV_Data_An_Cour!$AQ:$AQ,$C207,[1]BV_Data_An_Cour!$AR:$AR,$L$2)</f>
        <v>274.69</v>
      </c>
      <c r="M207" s="26"/>
      <c r="N207" s="39">
        <f t="shared" si="35"/>
        <v>274.69</v>
      </c>
      <c r="O207" s="26"/>
      <c r="P207" s="7"/>
      <c r="Q207" s="39">
        <f>SUMIFS([1]BV_Data_An_Prec!$AM:$AM,[1]BV_Data_An_Prec!$AP:$AP,$B207,[1]BV_Data_An_Prec!$AQ:$AQ,$C207,[1]BV_Data_An_Prec!$AR:$AR,$L$2)</f>
        <v>0</v>
      </c>
      <c r="R207" s="26"/>
      <c r="S207" s="39">
        <f t="shared" si="36"/>
        <v>274.69</v>
      </c>
      <c r="T207" s="7"/>
      <c r="U207" s="6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1:40" ht="20.399999999999999" hidden="1" customHeight="1">
      <c r="A208" s="410" t="s">
        <v>239</v>
      </c>
      <c r="B208" s="7" t="s">
        <v>223</v>
      </c>
      <c r="C208" s="26" t="s">
        <v>19</v>
      </c>
      <c r="D208" s="57"/>
      <c r="E208" s="73"/>
      <c r="F208" s="19">
        <f>+INDEX('[1]Budget original'!$A$2:$AO$501,MATCH($A208,'[1]Budget original'!$A$2:$A$501,0),MATCH(F$2,'[1]Budget original'!$A$2:$AO$2,0))</f>
        <v>0</v>
      </c>
      <c r="G208" s="59"/>
      <c r="H208" s="73"/>
      <c r="I208" s="19"/>
      <c r="J208" s="14"/>
      <c r="K208" s="73"/>
      <c r="L208" s="39">
        <f>SUMIFS([1]BV_Data_An_Cour!$AM:$AM,[1]BV_Data_An_Cour!$AP:$AP,$B208,[1]BV_Data_An_Cour!$AQ:$AQ,$C208,[1]BV_Data_An_Cour!$AR:$AR,$L$2)</f>
        <v>0</v>
      </c>
      <c r="M208" s="14"/>
      <c r="N208" s="61">
        <f t="shared" si="35"/>
        <v>0</v>
      </c>
      <c r="O208" s="14"/>
      <c r="P208" s="73"/>
      <c r="Q208" s="39">
        <f>SUMIFS([1]BV_Data_An_Prec!$AM:$AM,[1]BV_Data_An_Prec!$AP:$AP,$B208,[1]BV_Data_An_Prec!$AQ:$AQ,$C208,[1]BV_Data_An_Prec!$AR:$AR,$L$2)</f>
        <v>0</v>
      </c>
      <c r="R208" s="14"/>
      <c r="S208" s="61">
        <f t="shared" si="36"/>
        <v>0</v>
      </c>
      <c r="T208" s="7"/>
      <c r="U208" s="6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1:40" ht="18.600000000000001" customHeight="1">
      <c r="A209" s="410" t="s">
        <v>249</v>
      </c>
      <c r="B209" s="7" t="s">
        <v>223</v>
      </c>
      <c r="C209" s="139" t="s">
        <v>48</v>
      </c>
      <c r="D209" s="62" t="s">
        <v>38</v>
      </c>
      <c r="E209" s="63" t="e">
        <f>F209/F$109</f>
        <v>#DIV/0!</v>
      </c>
      <c r="F209" s="64">
        <f>+SUM(F197:F208)</f>
        <v>0</v>
      </c>
      <c r="G209" s="65"/>
      <c r="H209" s="63"/>
      <c r="I209" s="64"/>
      <c r="J209" s="65" t="s">
        <v>38</v>
      </c>
      <c r="K209" s="63">
        <f>L209/L$109</f>
        <v>0.19987633011668521</v>
      </c>
      <c r="L209" s="64">
        <f>SUM(L197:L208)</f>
        <v>10738.090000000006</v>
      </c>
      <c r="M209" s="66"/>
      <c r="N209" s="64">
        <f t="shared" si="35"/>
        <v>10738.090000000006</v>
      </c>
      <c r="O209" s="65" t="s">
        <v>38</v>
      </c>
      <c r="P209" s="63">
        <f>Q209/Q$109</f>
        <v>0.79146153747887071</v>
      </c>
      <c r="Q209" s="64">
        <f>SUM(Q197:Q208)</f>
        <v>48944.859999999979</v>
      </c>
      <c r="R209" s="67"/>
      <c r="S209" s="64">
        <f t="shared" si="36"/>
        <v>-38206.769999999975</v>
      </c>
      <c r="T209" s="7"/>
      <c r="U209" s="6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1:40" ht="20.399999999999999" hidden="1" customHeight="1">
      <c r="A210" s="410" t="s">
        <v>250</v>
      </c>
      <c r="B210" s="7" t="s">
        <v>223</v>
      </c>
      <c r="C210" s="26" t="s">
        <v>49</v>
      </c>
      <c r="D210" s="54"/>
      <c r="E210" s="7"/>
      <c r="F210" s="19">
        <f>+INDEX('[1]Budget original'!$A$2:$AO$501,MATCH($A210,'[1]Budget original'!$A$2:$A$501,0),MATCH(F$2,'[1]Budget original'!$A$2:$AO$2,0))</f>
        <v>0</v>
      </c>
      <c r="G210" s="56"/>
      <c r="H210" s="7"/>
      <c r="I210" s="19"/>
      <c r="J210" s="26"/>
      <c r="K210" s="7"/>
      <c r="L210" s="39">
        <f>SUMIFS([1]BV_Data_An_Cour!$AM:$AM,[1]BV_Data_An_Cour!$AP:$AP,$B210,[1]BV_Data_An_Cour!$AQ:$AQ,$C210,[1]BV_Data_An_Cour!$AR:$AR,$L$2)</f>
        <v>0</v>
      </c>
      <c r="M210" s="26"/>
      <c r="N210" s="39">
        <f t="shared" si="35"/>
        <v>0</v>
      </c>
      <c r="O210" s="26"/>
      <c r="P210" s="7"/>
      <c r="Q210" s="39">
        <f>SUMIFS([1]BV_Data_An_Prec!$AM:$AM,[1]BV_Data_An_Prec!$AP:$AP,$B210,[1]BV_Data_An_Prec!$AQ:$AQ,$C210,[1]BV_Data_An_Prec!$AR:$AR,$L$2)</f>
        <v>0</v>
      </c>
      <c r="R210" s="26"/>
      <c r="S210" s="39">
        <f t="shared" si="36"/>
        <v>0</v>
      </c>
      <c r="T210" s="7"/>
      <c r="U210" s="6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1:40" ht="20.399999999999999" hidden="1" customHeight="1">
      <c r="A211" s="410" t="s">
        <v>251</v>
      </c>
      <c r="B211" s="7" t="s">
        <v>223</v>
      </c>
      <c r="C211" s="26" t="s">
        <v>50</v>
      </c>
      <c r="D211" s="54"/>
      <c r="E211" s="7"/>
      <c r="F211" s="19">
        <f>+INDEX('[1]Budget original'!$A$2:$AO$501,MATCH($A211,'[1]Budget original'!$A$2:$A$501,0),MATCH(F$2,'[1]Budget original'!$A$2:$AO$2,0))</f>
        <v>0</v>
      </c>
      <c r="G211" s="56"/>
      <c r="H211" s="7"/>
      <c r="I211" s="19"/>
      <c r="J211" s="26"/>
      <c r="K211" s="7"/>
      <c r="L211" s="39">
        <f>SUMIFS([1]BV_Data_An_Cour!$AM:$AM,[1]BV_Data_An_Cour!$AP:$AP,$B211,[1]BV_Data_An_Cour!$AQ:$AQ,$C211,[1]BV_Data_An_Cour!$AR:$AR,$L$2)</f>
        <v>0</v>
      </c>
      <c r="M211" s="26"/>
      <c r="N211" s="39">
        <f t="shared" si="35"/>
        <v>0</v>
      </c>
      <c r="O211" s="26"/>
      <c r="P211" s="7"/>
      <c r="Q211" s="39">
        <f>SUMIFS([1]BV_Data_An_Prec!$AM:$AM,[1]BV_Data_An_Prec!$AP:$AP,$B211,[1]BV_Data_An_Prec!$AQ:$AQ,$C211,[1]BV_Data_An_Prec!$AR:$AR,$L$2)</f>
        <v>0</v>
      </c>
      <c r="R211" s="26"/>
      <c r="S211" s="39">
        <f t="shared" si="36"/>
        <v>0</v>
      </c>
      <c r="T211" s="7"/>
      <c r="U211" s="6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1:40" ht="15.75" customHeight="1">
      <c r="A212" s="410" t="s">
        <v>252</v>
      </c>
      <c r="B212" s="7" t="s">
        <v>223</v>
      </c>
      <c r="C212" s="14" t="s">
        <v>51</v>
      </c>
      <c r="D212" s="57"/>
      <c r="E212" s="73"/>
      <c r="F212" s="31">
        <f>+INDEX('[1]Budget original'!$A$2:$AO$501,MATCH($A212,'[1]Budget original'!$A$2:$A$501,0),MATCH(F$2,'[1]Budget original'!$A$2:$AO$2,0))</f>
        <v>0</v>
      </c>
      <c r="G212" s="59"/>
      <c r="H212" s="73"/>
      <c r="I212" s="31"/>
      <c r="J212" s="14"/>
      <c r="K212" s="73"/>
      <c r="L212" s="61">
        <f>SUMIFS([1]BV_Data_An_Cour!$AM:$AM,[1]BV_Data_An_Cour!$AP:$AP,$B212,[1]BV_Data_An_Cour!$AQ:$AQ,$C212,[1]BV_Data_An_Cour!$AR:$AR,$L$2)</f>
        <v>1000</v>
      </c>
      <c r="M212" s="14"/>
      <c r="N212" s="61">
        <f t="shared" si="35"/>
        <v>1000</v>
      </c>
      <c r="O212" s="14"/>
      <c r="P212" s="73"/>
      <c r="Q212" s="61">
        <f>SUMIFS([1]BV_Data_An_Prec!$AM:$AM,[1]BV_Data_An_Prec!$AP:$AP,$B212,[1]BV_Data_An_Prec!$AQ:$AQ,$C212,[1]BV_Data_An_Prec!$AR:$AR,$L$2)</f>
        <v>0</v>
      </c>
      <c r="R212" s="14"/>
      <c r="S212" s="61">
        <f t="shared" si="36"/>
        <v>1000</v>
      </c>
      <c r="T212" s="7"/>
      <c r="U212" s="6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1:40" ht="15.75" customHeight="1">
      <c r="A213" s="410" t="s">
        <v>253</v>
      </c>
      <c r="B213" s="7" t="s">
        <v>223</v>
      </c>
      <c r="C213" s="26" t="s">
        <v>52</v>
      </c>
      <c r="D213" s="54"/>
      <c r="E213" s="7"/>
      <c r="F213" s="19">
        <f>+INDEX('[1]Budget original'!$A$2:$AO$501,MATCH($A213,'[1]Budget original'!$A$2:$A$501,0),MATCH(F$2,'[1]Budget original'!$A$2:$AO$2,0))</f>
        <v>0</v>
      </c>
      <c r="G213" s="56"/>
      <c r="H213" s="7"/>
      <c r="I213" s="19"/>
      <c r="J213" s="26"/>
      <c r="K213" s="7"/>
      <c r="L213" s="39">
        <f>SUMIFS([1]BV_Data_An_Cour!$AM:$AM,[1]BV_Data_An_Cour!$AP:$AP,$B213,[1]BV_Data_An_Cour!$AQ:$AQ,$C213,[1]BV_Data_An_Cour!$AR:$AR,$L$2)</f>
        <v>0</v>
      </c>
      <c r="M213" s="26"/>
      <c r="N213" s="39">
        <f t="shared" si="35"/>
        <v>0</v>
      </c>
      <c r="O213" s="26"/>
      <c r="P213" s="7"/>
      <c r="Q213" s="39">
        <f>SUMIFS([1]BV_Data_An_Prec!$AM:$AM,[1]BV_Data_An_Prec!$AP:$AP,$B213,[1]BV_Data_An_Prec!$AQ:$AQ,$C213,[1]BV_Data_An_Prec!$AR:$AR,$L$2)</f>
        <v>0</v>
      </c>
      <c r="R213" s="26"/>
      <c r="S213" s="39">
        <f t="shared" si="36"/>
        <v>0</v>
      </c>
      <c r="T213" s="7"/>
      <c r="U213" s="6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1:40" ht="15.75" customHeight="1">
      <c r="A214" s="410" t="s">
        <v>254</v>
      </c>
      <c r="B214" s="7" t="s">
        <v>223</v>
      </c>
      <c r="C214" s="26" t="s">
        <v>53</v>
      </c>
      <c r="D214" s="54"/>
      <c r="E214" s="7"/>
      <c r="F214" s="19">
        <f>+INDEX('[1]Budget original'!$A$2:$AO$501,MATCH($A214,'[1]Budget original'!$A$2:$A$501,0),MATCH(F$2,'[1]Budget original'!$A$2:$AO$2,0))</f>
        <v>0</v>
      </c>
      <c r="G214" s="56"/>
      <c r="H214" s="7"/>
      <c r="I214" s="19"/>
      <c r="J214" s="26"/>
      <c r="K214" s="7"/>
      <c r="L214" s="39">
        <f>SUMIFS([1]BV_Data_An_Cour!$AM:$AM,[1]BV_Data_An_Cour!$AP:$AP,$B214,[1]BV_Data_An_Cour!$AQ:$AQ,$C214,[1]BV_Data_An_Cour!$AR:$AR,$L$2)</f>
        <v>0</v>
      </c>
      <c r="M214" s="26"/>
      <c r="N214" s="39">
        <f t="shared" si="35"/>
        <v>0</v>
      </c>
      <c r="O214" s="26"/>
      <c r="P214" s="7"/>
      <c r="Q214" s="39">
        <f>SUMIFS([1]BV_Data_An_Prec!$AM:$AM,[1]BV_Data_An_Prec!$AP:$AP,$B214,[1]BV_Data_An_Prec!$AQ:$AQ,$C214,[1]BV_Data_An_Prec!$AR:$AR,$L$2)</f>
        <v>0</v>
      </c>
      <c r="R214" s="26"/>
      <c r="S214" s="39">
        <f t="shared" si="36"/>
        <v>0</v>
      </c>
      <c r="T214" s="93"/>
      <c r="U214" s="6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1:40" ht="15.75" customHeight="1">
      <c r="A215" s="410" t="s">
        <v>255</v>
      </c>
      <c r="B215" s="7" t="s">
        <v>223</v>
      </c>
      <c r="C215" s="14" t="s">
        <v>54</v>
      </c>
      <c r="D215" s="57"/>
      <c r="E215" s="73"/>
      <c r="F215" s="31">
        <f>+INDEX('[1]Budget original'!$A$2:$AO$501,MATCH($A215,'[1]Budget original'!$A$2:$A$501,0),MATCH(F$2,'[1]Budget original'!$A$2:$AO$2,0))</f>
        <v>0</v>
      </c>
      <c r="G215" s="59"/>
      <c r="H215" s="73"/>
      <c r="I215" s="31"/>
      <c r="J215" s="14"/>
      <c r="K215" s="73"/>
      <c r="L215" s="61">
        <f>SUMIFS([1]BV_Data_An_Cour!$AM:$AM,[1]BV_Data_An_Cour!$AP:$AP,$B215,[1]BV_Data_An_Cour!$AQ:$AQ,$C215,[1]BV_Data_An_Cour!$AR:$AR,$L$2)</f>
        <v>0</v>
      </c>
      <c r="M215" s="14"/>
      <c r="N215" s="61">
        <f t="shared" si="35"/>
        <v>0</v>
      </c>
      <c r="O215" s="14"/>
      <c r="P215" s="73"/>
      <c r="Q215" s="61">
        <f>SUMIFS([1]BV_Data_An_Prec!$AM:$AM,[1]BV_Data_An_Prec!$AP:$AP,$B215,[1]BV_Data_An_Prec!$AQ:$AQ,$C215,[1]BV_Data_An_Prec!$AR:$AR,$L$2)</f>
        <v>0</v>
      </c>
      <c r="R215" s="14"/>
      <c r="S215" s="61">
        <f t="shared" si="36"/>
        <v>0</v>
      </c>
      <c r="T215" s="7"/>
      <c r="U215" s="9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1:40" ht="15.75" customHeight="1">
      <c r="A216" s="410" t="s">
        <v>256</v>
      </c>
      <c r="B216" s="7" t="s">
        <v>223</v>
      </c>
      <c r="C216" s="26" t="s">
        <v>55</v>
      </c>
      <c r="D216" s="54"/>
      <c r="E216" s="7"/>
      <c r="F216" s="19">
        <f>+INDEX('[1]Budget original'!$A$2:$AO$501,MATCH($A216,'[1]Budget original'!$A$2:$A$501,0),MATCH(F$2,'[1]Budget original'!$A$2:$AO$2,0))</f>
        <v>0</v>
      </c>
      <c r="G216" s="56"/>
      <c r="H216" s="7"/>
      <c r="I216" s="19"/>
      <c r="J216" s="26"/>
      <c r="K216" s="7"/>
      <c r="L216" s="39">
        <f>SUMIFS([1]BV_Data_An_Cour!$AM:$AM,[1]BV_Data_An_Cour!$AP:$AP,$B216,[1]BV_Data_An_Cour!$AQ:$AQ,$C216,[1]BV_Data_An_Cour!$AR:$AR,$L$2)</f>
        <v>0</v>
      </c>
      <c r="M216" s="26"/>
      <c r="N216" s="39">
        <f t="shared" si="35"/>
        <v>0</v>
      </c>
      <c r="O216" s="26"/>
      <c r="P216" s="7"/>
      <c r="Q216" s="39">
        <f>SUMIFS([1]BV_Data_An_Prec!$AM:$AM,[1]BV_Data_An_Prec!$AP:$AP,$B216,[1]BV_Data_An_Prec!$AQ:$AQ,$C216,[1]BV_Data_An_Prec!$AR:$AR,$L$2)</f>
        <v>0</v>
      </c>
      <c r="R216" s="26"/>
      <c r="S216" s="39">
        <f t="shared" si="36"/>
        <v>0</v>
      </c>
      <c r="T216" s="7"/>
      <c r="U216" s="6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1:40" ht="15.75" customHeight="1">
      <c r="A217" s="410" t="s">
        <v>257</v>
      </c>
      <c r="B217" s="7" t="s">
        <v>223</v>
      </c>
      <c r="C217" s="26" t="s">
        <v>56</v>
      </c>
      <c r="D217" s="54"/>
      <c r="E217" s="7"/>
      <c r="F217" s="19">
        <f>+INDEX('[1]Budget original'!$A$2:$AO$501,MATCH($A217,'[1]Budget original'!$A$2:$A$501,0),MATCH(F$2,'[1]Budget original'!$A$2:$AO$2,0))</f>
        <v>0</v>
      </c>
      <c r="G217" s="56"/>
      <c r="H217" s="7"/>
      <c r="I217" s="19"/>
      <c r="J217" s="26"/>
      <c r="K217" s="7"/>
      <c r="L217" s="39">
        <f>SUMIFS([1]BV_Data_An_Cour!$AM:$AM,[1]BV_Data_An_Cour!$AP:$AP,$B217,[1]BV_Data_An_Cour!$AQ:$AQ,$C217,[1]BV_Data_An_Cour!$AR:$AR,$L$2)</f>
        <v>0</v>
      </c>
      <c r="M217" s="26"/>
      <c r="N217" s="39">
        <f t="shared" si="35"/>
        <v>0</v>
      </c>
      <c r="O217" s="26"/>
      <c r="P217" s="7"/>
      <c r="Q217" s="39">
        <f>SUMIFS([1]BV_Data_An_Prec!$AM:$AM,[1]BV_Data_An_Prec!$AP:$AP,$B217,[1]BV_Data_An_Prec!$AQ:$AQ,$C217,[1]BV_Data_An_Prec!$AR:$AR,$L$2)</f>
        <v>0</v>
      </c>
      <c r="R217" s="26"/>
      <c r="S217" s="39">
        <f t="shared" si="36"/>
        <v>0</v>
      </c>
      <c r="T217" s="7"/>
      <c r="U217" s="9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1:40" ht="15.75" customHeight="1">
      <c r="A218" s="410" t="s">
        <v>258</v>
      </c>
      <c r="B218" s="7" t="s">
        <v>223</v>
      </c>
      <c r="C218" s="26" t="s">
        <v>57</v>
      </c>
      <c r="D218" s="54"/>
      <c r="E218" s="7"/>
      <c r="F218" s="19">
        <f>+INDEX('[1]Budget original'!$A$2:$AO$501,MATCH($A218,'[1]Budget original'!$A$2:$A$501,0),MATCH(F$2,'[1]Budget original'!$A$2:$AO$2,0))</f>
        <v>0</v>
      </c>
      <c r="G218" s="56"/>
      <c r="H218" s="7"/>
      <c r="I218" s="19"/>
      <c r="J218" s="26"/>
      <c r="K218" s="7"/>
      <c r="L218" s="39">
        <f>SUMIFS([1]BV_Data_An_Cour!$AM:$AM,[1]BV_Data_An_Cour!$AP:$AP,$B218,[1]BV_Data_An_Cour!$AQ:$AQ,$C218,[1]BV_Data_An_Cour!$AR:$AR,$L$2)</f>
        <v>250</v>
      </c>
      <c r="M218" s="26"/>
      <c r="N218" s="39">
        <f t="shared" si="35"/>
        <v>250</v>
      </c>
      <c r="O218" s="26"/>
      <c r="P218" s="7"/>
      <c r="Q218" s="39">
        <f>SUMIFS([1]BV_Data_An_Prec!$AM:$AM,[1]BV_Data_An_Prec!$AP:$AP,$B218,[1]BV_Data_An_Prec!$AQ:$AQ,$C218,[1]BV_Data_An_Prec!$AR:$AR,$L$2)</f>
        <v>116</v>
      </c>
      <c r="R218" s="26"/>
      <c r="S218" s="39">
        <f t="shared" si="36"/>
        <v>134</v>
      </c>
      <c r="T218" s="7"/>
      <c r="U218" s="6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1:40" ht="15.75" customHeight="1">
      <c r="A219" s="410" t="s">
        <v>259</v>
      </c>
      <c r="B219" s="7" t="s">
        <v>223</v>
      </c>
      <c r="C219" s="26" t="s">
        <v>58</v>
      </c>
      <c r="D219" s="54"/>
      <c r="E219" s="7"/>
      <c r="F219" s="19">
        <f>+INDEX('[1]Budget original'!$A$2:$AO$501,MATCH($A219,'[1]Budget original'!$A$2:$A$501,0),MATCH(F$2,'[1]Budget original'!$A$2:$AO$2,0))</f>
        <v>0</v>
      </c>
      <c r="G219" s="56"/>
      <c r="H219" s="7"/>
      <c r="I219" s="19"/>
      <c r="J219" s="26"/>
      <c r="K219" s="7"/>
      <c r="L219" s="39">
        <f>SUMIFS([1]BV_Data_An_Cour!$AM:$AM,[1]BV_Data_An_Cour!$AP:$AP,$B219,[1]BV_Data_An_Cour!$AQ:$AQ,$C219,[1]BV_Data_An_Cour!$AR:$AR,$L$2)</f>
        <v>0</v>
      </c>
      <c r="M219" s="26"/>
      <c r="N219" s="39">
        <f t="shared" si="35"/>
        <v>0</v>
      </c>
      <c r="O219" s="26"/>
      <c r="P219" s="7"/>
      <c r="Q219" s="39">
        <f>SUMIFS([1]BV_Data_An_Prec!$AM:$AM,[1]BV_Data_An_Prec!$AP:$AP,$B219,[1]BV_Data_An_Prec!$AQ:$AQ,$C219,[1]BV_Data_An_Prec!$AR:$AR,$L$2)</f>
        <v>0</v>
      </c>
      <c r="R219" s="26"/>
      <c r="S219" s="39">
        <f t="shared" si="36"/>
        <v>0</v>
      </c>
      <c r="T219" s="7"/>
      <c r="U219" s="6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1:40" ht="15.75" customHeight="1">
      <c r="A220" s="410" t="s">
        <v>260</v>
      </c>
      <c r="B220" s="7" t="s">
        <v>223</v>
      </c>
      <c r="C220" s="26" t="s">
        <v>59</v>
      </c>
      <c r="D220" s="54"/>
      <c r="E220" s="7"/>
      <c r="F220" s="19">
        <f>+INDEX('[1]Budget original'!$A$2:$AO$501,MATCH($A220,'[1]Budget original'!$A$2:$A$501,0),MATCH(F$2,'[1]Budget original'!$A$2:$AO$2,0))</f>
        <v>0</v>
      </c>
      <c r="G220" s="56"/>
      <c r="H220" s="7"/>
      <c r="I220" s="19"/>
      <c r="J220" s="26"/>
      <c r="K220" s="7"/>
      <c r="L220" s="39">
        <f>SUMIFS([1]BV_Data_An_Cour!$AM:$AM,[1]BV_Data_An_Cour!$AP:$AP,$B220,[1]BV_Data_An_Cour!$AQ:$AQ,$C220,[1]BV_Data_An_Cour!$AR:$AR,$L$2)</f>
        <v>397.59000000000015</v>
      </c>
      <c r="M220" s="26"/>
      <c r="N220" s="39">
        <f t="shared" si="35"/>
        <v>397.59000000000015</v>
      </c>
      <c r="O220" s="26"/>
      <c r="P220" s="7"/>
      <c r="Q220" s="39">
        <f>SUMIFS([1]BV_Data_An_Prec!$AM:$AM,[1]BV_Data_An_Prec!$AP:$AP,$B220,[1]BV_Data_An_Prec!$AQ:$AQ,$C220,[1]BV_Data_An_Prec!$AR:$AR,$L$2)</f>
        <v>21.070000000000618</v>
      </c>
      <c r="R220" s="26"/>
      <c r="S220" s="39">
        <f t="shared" si="36"/>
        <v>376.51999999999953</v>
      </c>
      <c r="T220" s="7"/>
      <c r="U220" s="6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1:40" ht="15.75" customHeight="1">
      <c r="A221" s="410" t="s">
        <v>261</v>
      </c>
      <c r="B221" s="7" t="s">
        <v>223</v>
      </c>
      <c r="C221" s="26" t="s">
        <v>60</v>
      </c>
      <c r="D221" s="54"/>
      <c r="E221" s="7"/>
      <c r="F221" s="19">
        <f>+INDEX('[1]Budget original'!$A$2:$AO$501,MATCH($A221,'[1]Budget original'!$A$2:$A$501,0),MATCH(F$2,'[1]Budget original'!$A$2:$AO$2,0))</f>
        <v>0</v>
      </c>
      <c r="G221" s="56"/>
      <c r="H221" s="7"/>
      <c r="I221" s="19"/>
      <c r="J221" s="26"/>
      <c r="K221" s="7"/>
      <c r="L221" s="39">
        <f>SUMIFS([1]BV_Data_An_Cour!$AM:$AM,[1]BV_Data_An_Cour!$AP:$AP,$B221,[1]BV_Data_An_Cour!$AQ:$AQ,$C221,[1]BV_Data_An_Cour!$AR:$AR,$L$2)</f>
        <v>0</v>
      </c>
      <c r="M221" s="26"/>
      <c r="N221" s="39">
        <f t="shared" si="35"/>
        <v>0</v>
      </c>
      <c r="O221" s="26"/>
      <c r="P221" s="7"/>
      <c r="Q221" s="39">
        <f>SUMIFS([1]BV_Data_An_Prec!$AM:$AM,[1]BV_Data_An_Prec!$AP:$AP,$B221,[1]BV_Data_An_Prec!$AQ:$AQ,$C221,[1]BV_Data_An_Prec!$AR:$AR,$L$2)</f>
        <v>0</v>
      </c>
      <c r="R221" s="26"/>
      <c r="S221" s="39">
        <f t="shared" si="36"/>
        <v>0</v>
      </c>
      <c r="T221" s="7"/>
      <c r="U221" s="6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1:40" ht="15.75" customHeight="1">
      <c r="A222" s="410" t="s">
        <v>262</v>
      </c>
      <c r="B222" s="7" t="s">
        <v>223</v>
      </c>
      <c r="C222" s="26" t="s">
        <v>61</v>
      </c>
      <c r="D222" s="54"/>
      <c r="E222" s="7"/>
      <c r="F222" s="19">
        <f>+INDEX('[1]Budget original'!$A$2:$AO$501,MATCH($A222,'[1]Budget original'!$A$2:$A$501,0),MATCH(F$2,'[1]Budget original'!$A$2:$AO$2,0))</f>
        <v>0</v>
      </c>
      <c r="G222" s="56"/>
      <c r="H222" s="7"/>
      <c r="I222" s="19"/>
      <c r="J222" s="26"/>
      <c r="K222" s="7"/>
      <c r="L222" s="39">
        <f>SUMIFS([1]BV_Data_An_Cour!$AM:$AM,[1]BV_Data_An_Cour!$AP:$AP,$B222,[1]BV_Data_An_Cour!$AQ:$AQ,$C222,[1]BV_Data_An_Cour!$AR:$AR,$L$2)</f>
        <v>0</v>
      </c>
      <c r="M222" s="26"/>
      <c r="N222" s="39">
        <f t="shared" si="35"/>
        <v>0</v>
      </c>
      <c r="O222" s="26"/>
      <c r="P222" s="7"/>
      <c r="Q222" s="39">
        <f>SUMIFS([1]BV_Data_An_Prec!$AM:$AM,[1]BV_Data_An_Prec!$AP:$AP,$B222,[1]BV_Data_An_Prec!$AQ:$AQ,$C222,[1]BV_Data_An_Prec!$AR:$AR,$L$2)</f>
        <v>0</v>
      </c>
      <c r="R222" s="26"/>
      <c r="S222" s="39">
        <f t="shared" si="36"/>
        <v>0</v>
      </c>
      <c r="T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1:40" ht="15.75" customHeight="1">
      <c r="A223" s="410" t="s">
        <v>263</v>
      </c>
      <c r="B223" s="7" t="s">
        <v>223</v>
      </c>
      <c r="C223" s="26" t="s">
        <v>62</v>
      </c>
      <c r="D223" s="54"/>
      <c r="E223" s="7"/>
      <c r="F223" s="19">
        <f>+INDEX('[1]Budget original'!$A$2:$AO$501,MATCH($A223,'[1]Budget original'!$A$2:$A$501,0),MATCH(F$2,'[1]Budget original'!$A$2:$AO$2,0))</f>
        <v>0</v>
      </c>
      <c r="G223" s="56"/>
      <c r="H223" s="7"/>
      <c r="I223" s="19"/>
      <c r="J223" s="26"/>
      <c r="K223" s="7"/>
      <c r="L223" s="39">
        <f>SUMIFS([1]BV_Data_An_Cour!$AM:$AM,[1]BV_Data_An_Cour!$AP:$AP,$B223,[1]BV_Data_An_Cour!$AQ:$AQ,$C223,[1]BV_Data_An_Cour!$AR:$AR,$L$2)</f>
        <v>17.5</v>
      </c>
      <c r="M223" s="26"/>
      <c r="N223" s="39">
        <f t="shared" si="35"/>
        <v>17.5</v>
      </c>
      <c r="O223" s="26"/>
      <c r="P223" s="7"/>
      <c r="Q223" s="39">
        <f>SUMIFS([1]BV_Data_An_Prec!$AM:$AM,[1]BV_Data_An_Prec!$AP:$AP,$B223,[1]BV_Data_An_Prec!$AQ:$AQ,$C223,[1]BV_Data_An_Prec!$AR:$AR,$L$2)</f>
        <v>0</v>
      </c>
      <c r="R223" s="26"/>
      <c r="S223" s="39">
        <f t="shared" si="36"/>
        <v>17.5</v>
      </c>
      <c r="T223" s="55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1:40" ht="20.399999999999999" hidden="1" customHeight="1">
      <c r="A224" s="410" t="s">
        <v>239</v>
      </c>
      <c r="B224" s="7" t="s">
        <v>223</v>
      </c>
      <c r="C224" s="26" t="s">
        <v>19</v>
      </c>
      <c r="D224" s="54"/>
      <c r="E224" s="7"/>
      <c r="F224" s="19">
        <f>+INDEX('[1]Budget original'!$A$2:$AO$501,MATCH($A224,'[1]Budget original'!$A$2:$A$501,0),MATCH(F$2,'[1]Budget original'!$A$2:$AO$2,0))</f>
        <v>0</v>
      </c>
      <c r="G224" s="56"/>
      <c r="H224" s="7"/>
      <c r="I224" s="19"/>
      <c r="J224" s="26"/>
      <c r="K224" s="7"/>
      <c r="L224" s="39">
        <f>SUMIFS([1]BV_Data_An_Cour!$AM:$AM,[1]BV_Data_An_Cour!$AP:$AP,$B224,[1]BV_Data_An_Cour!$AQ:$AQ,$C224,[1]BV_Data_An_Cour!$AR:$AR,$L$2)</f>
        <v>0</v>
      </c>
      <c r="M224" s="26"/>
      <c r="N224" s="39">
        <f t="shared" si="35"/>
        <v>0</v>
      </c>
      <c r="O224" s="26"/>
      <c r="P224" s="7"/>
      <c r="Q224" s="39">
        <f>SUMIFS([1]BV_Data_An_Prec!$AM:$AM,[1]BV_Data_An_Prec!$AP:$AP,$B224,[1]BV_Data_An_Prec!$AQ:$AQ,$C224,[1]BV_Data_An_Prec!$AR:$AR,$L$2)</f>
        <v>0</v>
      </c>
      <c r="R224" s="26"/>
      <c r="S224" s="39">
        <f t="shared" si="36"/>
        <v>0</v>
      </c>
      <c r="T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1:40" ht="20.399999999999999" hidden="1" customHeight="1">
      <c r="A225" s="410" t="s">
        <v>239</v>
      </c>
      <c r="B225" s="7" t="s">
        <v>223</v>
      </c>
      <c r="C225" s="26" t="s">
        <v>19</v>
      </c>
      <c r="D225" s="54"/>
      <c r="E225" s="7"/>
      <c r="F225" s="19">
        <f>+INDEX('[1]Budget original'!$A$2:$AO$501,MATCH($A225,'[1]Budget original'!$A$2:$A$501,0),MATCH(F$2,'[1]Budget original'!$A$2:$AO$2,0))</f>
        <v>0</v>
      </c>
      <c r="G225" s="56"/>
      <c r="H225" s="7"/>
      <c r="I225" s="19"/>
      <c r="J225" s="26"/>
      <c r="K225" s="7"/>
      <c r="L225" s="39">
        <f>SUMIFS([1]BV_Data_An_Cour!$AM:$AM,[1]BV_Data_An_Cour!$AP:$AP,$B225,[1]BV_Data_An_Cour!$AQ:$AQ,$C225,[1]BV_Data_An_Cour!$AR:$AR,$L$2)</f>
        <v>0</v>
      </c>
      <c r="M225" s="26"/>
      <c r="N225" s="39">
        <f t="shared" si="35"/>
        <v>0</v>
      </c>
      <c r="O225" s="26"/>
      <c r="P225" s="7"/>
      <c r="Q225" s="39">
        <f>SUMIFS([1]BV_Data_An_Prec!$AM:$AM,[1]BV_Data_An_Prec!$AP:$AP,$B225,[1]BV_Data_An_Prec!$AQ:$AQ,$C225,[1]BV_Data_An_Prec!$AR:$AR,$L$2)</f>
        <v>0</v>
      </c>
      <c r="R225" s="26"/>
      <c r="S225" s="39">
        <f t="shared" si="36"/>
        <v>0</v>
      </c>
      <c r="T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1:40" ht="20.399999999999999" hidden="1" customHeight="1">
      <c r="A226" s="410" t="s">
        <v>239</v>
      </c>
      <c r="B226" s="7" t="s">
        <v>223</v>
      </c>
      <c r="C226" s="26" t="s">
        <v>19</v>
      </c>
      <c r="D226" s="54"/>
      <c r="E226" s="7"/>
      <c r="F226" s="19">
        <f>+INDEX('[1]Budget original'!$A$2:$AO$501,MATCH($A226,'[1]Budget original'!$A$2:$A$501,0),MATCH(F$2,'[1]Budget original'!$A$2:$AO$2,0))</f>
        <v>0</v>
      </c>
      <c r="G226" s="56"/>
      <c r="H226" s="7"/>
      <c r="I226" s="19"/>
      <c r="J226" s="26"/>
      <c r="K226" s="7"/>
      <c r="L226" s="39">
        <f>SUMIFS([1]BV_Data_An_Cour!$AM:$AM,[1]BV_Data_An_Cour!$AP:$AP,$B226,[1]BV_Data_An_Cour!$AQ:$AQ,$C226,[1]BV_Data_An_Cour!$AR:$AR,$L$2)</f>
        <v>0</v>
      </c>
      <c r="M226" s="26"/>
      <c r="N226" s="39">
        <f t="shared" si="35"/>
        <v>0</v>
      </c>
      <c r="O226" s="26"/>
      <c r="P226" s="7"/>
      <c r="Q226" s="39">
        <f>SUMIFS([1]BV_Data_An_Prec!$AM:$AM,[1]BV_Data_An_Prec!$AP:$AP,$B226,[1]BV_Data_An_Prec!$AQ:$AQ,$C226,[1]BV_Data_An_Prec!$AR:$AR,$L$2)</f>
        <v>0</v>
      </c>
      <c r="R226" s="26"/>
      <c r="S226" s="39">
        <f t="shared" si="36"/>
        <v>0</v>
      </c>
      <c r="T226" s="55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1:40" ht="18.600000000000001" customHeight="1">
      <c r="A227" s="410" t="s">
        <v>264</v>
      </c>
      <c r="B227" s="7" t="s">
        <v>223</v>
      </c>
      <c r="C227" s="139" t="s">
        <v>63</v>
      </c>
      <c r="D227" s="62" t="s">
        <v>38</v>
      </c>
      <c r="E227" s="63" t="e">
        <f>F227/F$109</f>
        <v>#DIV/0!</v>
      </c>
      <c r="F227" s="64">
        <f>+SUM(F210:F226)</f>
        <v>0</v>
      </c>
      <c r="G227" s="65"/>
      <c r="H227" s="63"/>
      <c r="I227" s="64"/>
      <c r="J227" s="65" t="s">
        <v>38</v>
      </c>
      <c r="K227" s="63">
        <f>L227/L$109</f>
        <v>3.0993601144523025E-2</v>
      </c>
      <c r="L227" s="64">
        <f>+SUM(L210:L226)</f>
        <v>1665.0900000000001</v>
      </c>
      <c r="M227" s="66"/>
      <c r="N227" s="64">
        <f t="shared" si="35"/>
        <v>1665.0900000000001</v>
      </c>
      <c r="O227" s="65" t="s">
        <v>38</v>
      </c>
      <c r="P227" s="63">
        <f>Q227/Q$109</f>
        <v>2.2164867351184446E-3</v>
      </c>
      <c r="Q227" s="64">
        <f>+SUM(Q210:Q226)</f>
        <v>137.07000000000062</v>
      </c>
      <c r="R227" s="67"/>
      <c r="S227" s="64">
        <f t="shared" si="36"/>
        <v>1528.0199999999995</v>
      </c>
      <c r="T227" s="7"/>
      <c r="U227" s="6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1:40" ht="15.75" customHeight="1">
      <c r="A228" s="410" t="s">
        <v>70</v>
      </c>
      <c r="B228" s="7" t="s">
        <v>223</v>
      </c>
      <c r="C228" s="14"/>
      <c r="D228" s="57"/>
      <c r="E228" s="73"/>
      <c r="F228" s="39"/>
      <c r="G228" s="59"/>
      <c r="H228" s="73"/>
      <c r="I228" s="39"/>
      <c r="J228" s="14"/>
      <c r="K228" s="73"/>
      <c r="L228" s="61"/>
      <c r="M228" s="14"/>
      <c r="N228" s="61"/>
      <c r="O228" s="14"/>
      <c r="P228" s="73"/>
      <c r="Q228" s="61"/>
      <c r="R228" s="14"/>
      <c r="S228" s="61"/>
      <c r="T228" s="74"/>
      <c r="U228" s="6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1:40" ht="18.600000000000001" customHeight="1">
      <c r="A229" s="410" t="s">
        <v>265</v>
      </c>
      <c r="B229" s="7" t="s">
        <v>223</v>
      </c>
      <c r="C229" s="139" t="s">
        <v>64</v>
      </c>
      <c r="D229" s="62" t="s">
        <v>38</v>
      </c>
      <c r="E229" s="63" t="e">
        <f>F229/F$109</f>
        <v>#DIV/0!</v>
      </c>
      <c r="F229" s="64">
        <f>F196+F209+F227</f>
        <v>0</v>
      </c>
      <c r="G229" s="65"/>
      <c r="H229" s="63"/>
      <c r="I229" s="64"/>
      <c r="J229" s="65" t="s">
        <v>38</v>
      </c>
      <c r="K229" s="63">
        <f>L229/L$109</f>
        <v>0.95297287024507615</v>
      </c>
      <c r="L229" s="64">
        <f>L196+L209+L227</f>
        <v>51197.2</v>
      </c>
      <c r="M229" s="66"/>
      <c r="N229" s="64">
        <f t="shared" ref="N229:N236" si="37">L229-F229</f>
        <v>51197.2</v>
      </c>
      <c r="O229" s="65" t="s">
        <v>38</v>
      </c>
      <c r="P229" s="63">
        <f>Q229/Q$109</f>
        <v>0.59828793499987265</v>
      </c>
      <c r="Q229" s="64">
        <f>Q196+Q209+Q227</f>
        <v>36998.789999999986</v>
      </c>
      <c r="R229" s="67"/>
      <c r="S229" s="64">
        <f t="shared" ref="S229:S236" si="38">L229-Q229</f>
        <v>14198.410000000011</v>
      </c>
      <c r="T229" s="7"/>
      <c r="U229" s="6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1:40" ht="21" hidden="1" customHeight="1">
      <c r="A230" s="410" t="s">
        <v>266</v>
      </c>
      <c r="B230" s="7" t="s">
        <v>223</v>
      </c>
      <c r="C230" s="26" t="s">
        <v>267</v>
      </c>
      <c r="D230" s="94"/>
      <c r="E230" s="95"/>
      <c r="F230" s="19">
        <f>+INDEX('[1]Budget original'!$A$2:$AO$501,MATCH($A230,'[1]Budget original'!$A$2:$A$501,0),MATCH(F$2,'[1]Budget original'!$A$2:$AO$2,0))</f>
        <v>0</v>
      </c>
      <c r="G230" s="96"/>
      <c r="H230" s="95"/>
      <c r="I230" s="19"/>
      <c r="J230" s="96"/>
      <c r="K230" s="95"/>
      <c r="L230" s="39">
        <v>0</v>
      </c>
      <c r="M230" s="26"/>
      <c r="N230" s="39">
        <f t="shared" si="37"/>
        <v>0</v>
      </c>
      <c r="O230" s="96"/>
      <c r="P230" s="95"/>
      <c r="Q230" s="39">
        <v>0</v>
      </c>
      <c r="R230" s="26"/>
      <c r="S230" s="39">
        <f t="shared" si="38"/>
        <v>0</v>
      </c>
      <c r="T230" s="74"/>
      <c r="U230" s="6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1:40" ht="21" hidden="1" customHeight="1">
      <c r="A231" s="410" t="s">
        <v>268</v>
      </c>
      <c r="B231" s="7" t="s">
        <v>223</v>
      </c>
      <c r="C231" s="26" t="s">
        <v>269</v>
      </c>
      <c r="D231" s="94"/>
      <c r="E231" s="95"/>
      <c r="F231" s="19">
        <f>+INDEX('[1]Budget original'!$A$2:$AO$501,MATCH($A231,'[1]Budget original'!$A$2:$A$501,0),MATCH(F$2,'[1]Budget original'!$A$2:$AO$2,0))</f>
        <v>0</v>
      </c>
      <c r="G231" s="96"/>
      <c r="H231" s="95"/>
      <c r="I231" s="19"/>
      <c r="J231" s="96"/>
      <c r="K231" s="95"/>
      <c r="L231" s="39">
        <f>-SUMIFS([1]BV_Data_An_Cour!$AM:$AM,[1]BV_Data_An_Cour!$AP:$AP,$B231,[1]BV_Data_An_Cour!$AQ:$AQ,$C231,[1]BV_Data_An_Cour!$AR:$AR,$L$2)</f>
        <v>0</v>
      </c>
      <c r="M231" s="26"/>
      <c r="N231" s="39">
        <f t="shared" si="37"/>
        <v>0</v>
      </c>
      <c r="O231" s="96"/>
      <c r="P231" s="95"/>
      <c r="Q231" s="39">
        <f>-SUMIFS([1]BV_Data_An_Prec!$AM:$AM,[1]BV_Data_An_Prec!$AP:$AP,$B231,[1]BV_Data_An_Prec!$AQ:$AQ,$C231,[1]BV_Data_An_Prec!$AR:$AR,$L$2)</f>
        <v>0</v>
      </c>
      <c r="R231" s="26"/>
      <c r="S231" s="39">
        <f t="shared" si="38"/>
        <v>0</v>
      </c>
      <c r="T231" s="74"/>
      <c r="U231" s="6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1:40" ht="21" hidden="1" customHeight="1">
      <c r="A232" s="410" t="s">
        <v>270</v>
      </c>
      <c r="B232" s="7" t="s">
        <v>223</v>
      </c>
      <c r="C232" s="26" t="s">
        <v>77</v>
      </c>
      <c r="D232" s="54"/>
      <c r="E232" s="7"/>
      <c r="F232" s="19">
        <f>+INDEX('[1]Budget original'!$A$2:$AO$501,MATCH($A232,'[1]Budget original'!$A$2:$A$501,0),MATCH(F$2,'[1]Budget original'!$A$2:$AO$2,0))</f>
        <v>0</v>
      </c>
      <c r="G232" s="56"/>
      <c r="H232" s="7"/>
      <c r="I232" s="19"/>
      <c r="J232" s="26"/>
      <c r="K232" s="7"/>
      <c r="L232" s="39">
        <f>-SUMIFS([1]BV_Data_An_Cour!$AM:$AM,[1]BV_Data_An_Cour!$AP:$AP,$B232,[1]BV_Data_An_Cour!$AQ:$AQ,$C232,[1]BV_Data_An_Cour!$AR:$AR,$L$2)</f>
        <v>0</v>
      </c>
      <c r="M232" s="26"/>
      <c r="N232" s="39">
        <f t="shared" si="37"/>
        <v>0</v>
      </c>
      <c r="O232" s="26"/>
      <c r="P232" s="7"/>
      <c r="Q232" s="39">
        <f>-SUMIFS([1]BV_Data_An_Prec!$AM:$AM,[1]BV_Data_An_Prec!$AP:$AP,$B232,[1]BV_Data_An_Prec!$AQ:$AQ,$C232,[1]BV_Data_An_Prec!$AR:$AR,$L$2)</f>
        <v>0</v>
      </c>
      <c r="R232" s="26"/>
      <c r="S232" s="39">
        <f t="shared" si="38"/>
        <v>0</v>
      </c>
      <c r="T232" s="74"/>
      <c r="U232" s="6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1:40" ht="21" hidden="1" customHeight="1">
      <c r="A233" s="410" t="s">
        <v>271</v>
      </c>
      <c r="B233" s="7" t="s">
        <v>223</v>
      </c>
      <c r="C233" s="26" t="s">
        <v>67</v>
      </c>
      <c r="D233" s="273" t="e">
        <f>E233/474</f>
        <v>#REF!</v>
      </c>
      <c r="E233" s="274" t="e">
        <f>F233/#REF!</f>
        <v>#REF!</v>
      </c>
      <c r="F233" s="19">
        <f>+INDEX('[1]Budget original'!$A$2:$AO$501,MATCH($A233,'[1]Budget original'!$A$2:$A$501,0),MATCH(F$2,'[1]Budget original'!$A$2:$AO$2,0))</f>
        <v>0</v>
      </c>
      <c r="G233" s="56"/>
      <c r="H233" s="7"/>
      <c r="I233" s="19"/>
      <c r="J233" s="275"/>
      <c r="K233" s="274"/>
      <c r="L233" s="39">
        <f>-SUMIFS([1]BV_Data_An_Cour!$AM:$AM,[1]BV_Data_An_Cour!$AP:$AP,$B233,[1]BV_Data_An_Cour!$AQ:$AQ,$C233,[1]BV_Data_An_Cour!$AR:$AR,L$2)</f>
        <v>0</v>
      </c>
      <c r="M233" s="26"/>
      <c r="N233" s="39">
        <f t="shared" si="37"/>
        <v>0</v>
      </c>
      <c r="O233" s="275"/>
      <c r="P233" s="274"/>
      <c r="Q233" s="39">
        <f>-SUMIFS([1]BV_Data_An_Prec!$AM:$AM,[1]BV_Data_An_Prec!$AP:$AP,$B233,[1]BV_Data_An_Prec!$AQ:$AQ,$C233,[1]BV_Data_An_Prec!$AR:$AR,Q$2)</f>
        <v>0</v>
      </c>
      <c r="R233" s="26"/>
      <c r="S233" s="39">
        <f t="shared" si="38"/>
        <v>0</v>
      </c>
      <c r="T233" s="74"/>
      <c r="U233" s="6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1:40" ht="21" hidden="1" customHeight="1" thickBot="1">
      <c r="A234" s="410" t="s">
        <v>239</v>
      </c>
      <c r="B234" s="7" t="s">
        <v>70</v>
      </c>
      <c r="C234" s="26" t="s">
        <v>19</v>
      </c>
      <c r="D234" s="54"/>
      <c r="E234" s="7"/>
      <c r="F234" s="19">
        <f>+INDEX('[1]Budget original'!$A$2:$AO$501,MATCH($A234,'[1]Budget original'!$A$2:$A$501,0),MATCH(F$2,'[1]Budget original'!$A$2:$AO$2,0))</f>
        <v>0</v>
      </c>
      <c r="G234" s="56"/>
      <c r="H234" s="7"/>
      <c r="I234" s="19"/>
      <c r="J234" s="26"/>
      <c r="K234" s="7"/>
      <c r="L234" s="39">
        <f>-SUMIFS([1]BV_Data_An_Cour!$AM:$AM,[1]BV_Data_An_Cour!$AP:$AP,$B234,[1]BV_Data_An_Cour!$AQ:$AQ,$C234,[1]BV_Data_An_Cour!$AR:$AR,$L$2)</f>
        <v>0</v>
      </c>
      <c r="M234" s="26"/>
      <c r="N234" s="39">
        <f t="shared" si="37"/>
        <v>0</v>
      </c>
      <c r="O234" s="26"/>
      <c r="P234" s="7"/>
      <c r="Q234" s="39">
        <f>-SUMIFS([1]BV_Data_An_Prec!$AM:$AM,[1]BV_Data_An_Prec!$AP:$AP,$B234,[1]BV_Data_An_Prec!$AQ:$AQ,$C234,[1]BV_Data_An_Prec!$AR:$AR,$L$2)</f>
        <v>0</v>
      </c>
      <c r="R234" s="26"/>
      <c r="S234" s="39">
        <f t="shared" si="38"/>
        <v>0</v>
      </c>
      <c r="T234" s="74"/>
      <c r="U234" s="6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1:40" ht="21" hidden="1" customHeight="1" thickTop="1">
      <c r="A235" s="410" t="s">
        <v>239</v>
      </c>
      <c r="B235" s="7" t="s">
        <v>70</v>
      </c>
      <c r="C235" s="26" t="s">
        <v>19</v>
      </c>
      <c r="D235" s="54"/>
      <c r="E235" s="7"/>
      <c r="F235" s="19">
        <f>+INDEX('[1]Budget original'!$A$2:$AO$501,MATCH($A235,'[1]Budget original'!$A$2:$A$501,0),MATCH(F$2,'[1]Budget original'!$A$2:$AO$2,0))</f>
        <v>0</v>
      </c>
      <c r="G235" s="56"/>
      <c r="H235" s="7"/>
      <c r="I235" s="19"/>
      <c r="J235" s="26"/>
      <c r="K235" s="7"/>
      <c r="L235" s="39">
        <f>-SUMIFS([1]BV_Data_An_Cour!$AM:$AM,[1]BV_Data_An_Cour!$AP:$AP,$B235,[1]BV_Data_An_Cour!$AQ:$AQ,$C235,[1]BV_Data_An_Cour!$AR:$AR,$L$2)</f>
        <v>0</v>
      </c>
      <c r="M235" s="26"/>
      <c r="N235" s="39">
        <f t="shared" si="37"/>
        <v>0</v>
      </c>
      <c r="O235" s="26"/>
      <c r="P235" s="7"/>
      <c r="Q235" s="39">
        <f>-SUMIFS([1]BV_Data_An_Prec!$AM:$AM,[1]BV_Data_An_Prec!$AP:$AP,$B235,[1]BV_Data_An_Prec!$AQ:$AQ,$C235,[1]BV_Data_An_Prec!$AR:$AR,$L$2)</f>
        <v>0</v>
      </c>
      <c r="R235" s="26"/>
      <c r="S235" s="39">
        <f t="shared" si="38"/>
        <v>0</v>
      </c>
      <c r="T235" s="74"/>
      <c r="U235" s="6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1:40" ht="21" hidden="1" customHeight="1">
      <c r="A236" s="410" t="s">
        <v>239</v>
      </c>
      <c r="B236" s="7" t="s">
        <v>70</v>
      </c>
      <c r="C236" s="14" t="s">
        <v>19</v>
      </c>
      <c r="D236" s="57"/>
      <c r="E236" s="73"/>
      <c r="F236" s="19">
        <f>+INDEX('[1]Budget original'!$A$2:$AO$501,MATCH($A236,'[1]Budget original'!$A$2:$A$501,0),MATCH(F$2,'[1]Budget original'!$A$2:$AO$2,0))</f>
        <v>0</v>
      </c>
      <c r="G236" s="56"/>
      <c r="H236" s="7"/>
      <c r="I236" s="19"/>
      <c r="J236" s="26"/>
      <c r="K236" s="7"/>
      <c r="L236" s="39">
        <f>-SUMIFS([1]BV_Data_An_Cour!$AM:$AM,[1]BV_Data_An_Cour!$AP:$AP,$B236,[1]BV_Data_An_Cour!$AQ:$AQ,$C236,[1]BV_Data_An_Cour!$AR:$AR,$L$2)</f>
        <v>0</v>
      </c>
      <c r="M236" s="26"/>
      <c r="N236" s="39">
        <f t="shared" si="37"/>
        <v>0</v>
      </c>
      <c r="O236" s="26"/>
      <c r="P236" s="7"/>
      <c r="Q236" s="39">
        <f>-SUMIFS([1]BV_Data_An_Prec!$AM:$AM,[1]BV_Data_An_Prec!$AP:$AP,$B236,[1]BV_Data_An_Prec!$AQ:$AQ,$C236,[1]BV_Data_An_Prec!$AR:$AR,$L$2)</f>
        <v>0</v>
      </c>
      <c r="R236" s="26"/>
      <c r="S236" s="39">
        <f t="shared" si="38"/>
        <v>0</v>
      </c>
      <c r="T236" s="74"/>
      <c r="U236" s="6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1:40" ht="18.600000000000001" customHeight="1">
      <c r="A237" s="410"/>
      <c r="B237" s="7"/>
      <c r="C237" s="139" t="s">
        <v>68</v>
      </c>
      <c r="D237" s="62"/>
      <c r="E237" s="63"/>
      <c r="F237" s="64">
        <f>+SUM(F230:F236)</f>
        <v>0</v>
      </c>
      <c r="G237" s="65"/>
      <c r="H237" s="63"/>
      <c r="I237" s="64"/>
      <c r="J237" s="65"/>
      <c r="K237" s="63"/>
      <c r="L237" s="64">
        <f>+SUM(L230:L236)</f>
        <v>0</v>
      </c>
      <c r="M237" s="66"/>
      <c r="N237" s="64">
        <f>SUM(N230:N233)</f>
        <v>0</v>
      </c>
      <c r="O237" s="65"/>
      <c r="P237" s="63"/>
      <c r="Q237" s="64">
        <f>+SUM(Q230:Q236)</f>
        <v>0</v>
      </c>
      <c r="R237" s="67"/>
      <c r="S237" s="64">
        <f>+SUM(S230:S236)</f>
        <v>0</v>
      </c>
      <c r="T237" s="7"/>
      <c r="U237" s="6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1:40" ht="15.75" customHeight="1">
      <c r="B238" s="7"/>
      <c r="C238" s="26"/>
      <c r="D238" s="54"/>
      <c r="E238" s="7"/>
      <c r="F238" s="39"/>
      <c r="G238" s="56"/>
      <c r="H238" s="7"/>
      <c r="I238" s="39"/>
      <c r="J238" s="26"/>
      <c r="K238" s="7"/>
      <c r="L238" s="39"/>
      <c r="M238" s="26"/>
      <c r="N238" s="39"/>
      <c r="O238" s="26"/>
      <c r="P238" s="7"/>
      <c r="Q238" s="39"/>
      <c r="R238" s="26"/>
      <c r="S238" s="39"/>
      <c r="T238" s="95"/>
      <c r="U238" s="6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1:40" ht="18.600000000000001" customHeight="1" thickBot="1">
      <c r="A239" s="410"/>
      <c r="B239" s="7"/>
      <c r="C239" s="276" t="s">
        <v>69</v>
      </c>
      <c r="D239" s="277"/>
      <c r="E239" s="278"/>
      <c r="F239" s="138" t="e">
        <f>F182-F229+F237</f>
        <v>#REF!</v>
      </c>
      <c r="G239" s="279"/>
      <c r="H239" s="278"/>
      <c r="I239" s="138"/>
      <c r="J239" s="279"/>
      <c r="K239" s="278"/>
      <c r="L239" s="138">
        <f>L182-L229+L237</f>
        <v>-51218.899999996458</v>
      </c>
      <c r="M239" s="280"/>
      <c r="N239" s="138" t="e">
        <f>L239-F239</f>
        <v>#REF!</v>
      </c>
      <c r="O239" s="279"/>
      <c r="P239" s="278"/>
      <c r="Q239" s="138">
        <f>Q182-Q229+Q237</f>
        <v>37677.219999998393</v>
      </c>
      <c r="R239" s="281"/>
      <c r="S239" s="138">
        <f>L239-Q239</f>
        <v>-88896.119999994844</v>
      </c>
      <c r="T239" s="7"/>
      <c r="U239" s="6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1:40" ht="15.75" customHeight="1" thickTop="1">
      <c r="B240" s="7"/>
      <c r="C240" s="6"/>
      <c r="D240" s="6"/>
      <c r="E240" s="6"/>
      <c r="F240" s="97"/>
      <c r="G240" s="6"/>
      <c r="H240" s="6"/>
      <c r="I240" s="6"/>
      <c r="J240" s="6"/>
      <c r="K240" s="6"/>
      <c r="L240" s="97"/>
      <c r="M240" s="6"/>
      <c r="N240" s="6"/>
      <c r="O240" s="6"/>
      <c r="P240" s="6"/>
      <c r="Q240" s="6"/>
      <c r="R240" s="97"/>
      <c r="S240" s="6"/>
      <c r="T240" s="97"/>
      <c r="U240" s="6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1:40" ht="8.25" customHeight="1"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97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spans="1:40" ht="33.75" customHeight="1">
      <c r="B242" s="7"/>
      <c r="C242" s="251" t="str">
        <f>C1</f>
        <v>Ste-Marie Auto</v>
      </c>
      <c r="D242" s="252"/>
      <c r="E242" s="253"/>
      <c r="F242" s="252"/>
      <c r="G242" s="252"/>
      <c r="H242" s="254"/>
      <c r="I242" s="252"/>
      <c r="J242" s="254"/>
      <c r="K242" s="255" t="s">
        <v>78</v>
      </c>
      <c r="L242" s="252"/>
      <c r="M242" s="252"/>
      <c r="N242" s="256"/>
      <c r="O242" s="251"/>
      <c r="P242" s="257"/>
      <c r="Q242" s="251"/>
      <c r="R242" s="257"/>
      <c r="S242" s="258" t="str">
        <f>$S$1</f>
        <v>Réalisé, Juillet 2026</v>
      </c>
      <c r="T242" s="1"/>
      <c r="U242" s="381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spans="1:40" ht="15.75" customHeight="1" thickBot="1">
      <c r="B243" s="7"/>
      <c r="C243" s="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15.75" customHeight="1" thickTop="1">
      <c r="B244" s="7"/>
      <c r="C244" s="259"/>
      <c r="D244" s="407" t="s">
        <v>5</v>
      </c>
      <c r="E244" s="408"/>
      <c r="F244" s="406"/>
      <c r="G244" s="405"/>
      <c r="H244" s="408"/>
      <c r="I244" s="406"/>
      <c r="J244" s="405" t="s">
        <v>7</v>
      </c>
      <c r="K244" s="408"/>
      <c r="L244" s="406"/>
      <c r="M244" s="405" t="s">
        <v>211</v>
      </c>
      <c r="N244" s="406"/>
      <c r="O244" s="407" t="s">
        <v>8</v>
      </c>
      <c r="P244" s="408"/>
      <c r="Q244" s="406"/>
      <c r="R244" s="405" t="s">
        <v>212</v>
      </c>
      <c r="S244" s="406"/>
      <c r="T244" s="9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spans="1:40" ht="15.75" customHeight="1">
      <c r="A245" s="410" t="s">
        <v>78</v>
      </c>
      <c r="B245" s="7" t="s">
        <v>78</v>
      </c>
      <c r="C245" s="26"/>
      <c r="D245" s="53" t="s">
        <v>39</v>
      </c>
      <c r="E245" s="53" t="s">
        <v>79</v>
      </c>
      <c r="F245" s="84" t="s">
        <v>12</v>
      </c>
      <c r="G245" s="85"/>
      <c r="H245" s="53"/>
      <c r="I245" s="84"/>
      <c r="J245" s="85" t="s">
        <v>39</v>
      </c>
      <c r="K245" s="53" t="s">
        <v>79</v>
      </c>
      <c r="L245" s="84" t="s">
        <v>12</v>
      </c>
      <c r="M245" s="85" t="s">
        <v>218</v>
      </c>
      <c r="N245" s="84" t="s">
        <v>215</v>
      </c>
      <c r="O245" s="85" t="s">
        <v>39</v>
      </c>
      <c r="P245" s="53" t="s">
        <v>79</v>
      </c>
      <c r="Q245" s="84" t="s">
        <v>12</v>
      </c>
      <c r="R245" s="85" t="s">
        <v>80</v>
      </c>
      <c r="S245" s="84" t="s">
        <v>12</v>
      </c>
      <c r="T245" s="53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1:40" ht="15.75" customHeight="1">
      <c r="A246" s="410" t="s">
        <v>345</v>
      </c>
      <c r="B246" s="7" t="s">
        <v>78</v>
      </c>
      <c r="C246" s="26" t="s">
        <v>81</v>
      </c>
      <c r="D246" s="55">
        <f>+INDEX('[1]Budget original'!$A$2:$AO$501,MATCH($A246,'[1]Budget original'!$A$2:$A$501,0),MATCH(D$2,'[1]Budget original'!$A$2:$AO$2,0))</f>
        <v>0</v>
      </c>
      <c r="E246" s="55">
        <f>+INDEX('[1]Budget original'!$A$2:$AO$501,MATCH($A246,'[1]Budget original'!$A$2:$A$501,0),MATCH(E$2,'[1]Budget original'!$A$2:$AO$2,0))</f>
        <v>0</v>
      </c>
      <c r="F246" s="55">
        <f>+INDEX('[1]Budget original'!$A$2:$AO$501,MATCH($A246,'[1]Budget original'!$A$2:$A$501,0),MATCH(F$2,'[1]Budget original'!$A$2:$AO$2,0))</f>
        <v>0</v>
      </c>
      <c r="G246" s="40"/>
      <c r="H246" s="55"/>
      <c r="I246" s="55"/>
      <c r="J246" s="20">
        <f>SUMIFS([1]BV_Data_An_Cour!$AW:$AW,[1]BV_Data_An_Cour!$AP:$AP,$B246,[1]BV_Data_An_Cour!$AQ:$AQ,$C246,[1]BV_Data_An_Cour!$AY:$AY,J$2)</f>
        <v>235</v>
      </c>
      <c r="K246" s="55">
        <f>-SUMIFS([1]BV_Data_An_Cour!$AM:$AM,[1]BV_Data_An_Cour!$AS:$AS,"Oui",[1]BV_Data_An_Cour!$AP:$AP,$B246,[1]BV_Data_An_Cour!$AQ:$AQ,$C246)</f>
        <v>55313.92000000002</v>
      </c>
      <c r="L246" s="39">
        <f>-SUMIFS([1]BV_Data_An_Cour!$AM:$AM,[1]BV_Data_An_Cour!$AP:$AP,$B246,[1]BV_Data_An_Cour!$AQ:$AQ,$C246,[1]BV_Data_An_Cour!$AR:$AR,$L$2)</f>
        <v>37769.390000000007</v>
      </c>
      <c r="M246" s="99" t="e">
        <f>(K246-E246)/E246</f>
        <v>#DIV/0!</v>
      </c>
      <c r="N246" s="39">
        <f>L246-F246</f>
        <v>37769.390000000007</v>
      </c>
      <c r="O246" s="20">
        <f>SUMIFS([1]BV_Data_An_Prec!$AW:$AW,[1]BV_Data_An_Prec!$AP:$AP,$B246,[1]BV_Data_An_Prec!$AQ:$AQ,$C246,[1]BV_Data_An_Prec!$AY:$AY,O$2)</f>
        <v>183</v>
      </c>
      <c r="P246" s="55">
        <f>-SUMIFS([1]BV_Data_An_Prec!$AM:$AM,[1]BV_Data_An_Prec!$AS:$AS,"Oui",[1]BV_Data_An_Prec!$AP:$AP,$B246,[1]BV_Data_An_Prec!$AQ:$AQ,$C246)</f>
        <v>65437.75</v>
      </c>
      <c r="Q246" s="39">
        <f>-SUMIFS([1]BV_Data_An_Prec!$AM:$AM,[1]BV_Data_An_Prec!$AP:$AP,$B246,[1]BV_Data_An_Prec!$AQ:$AQ,$C246,[1]BV_Data_An_Prec!$AR:$AR,$L$2)</f>
        <v>50120.06</v>
      </c>
      <c r="R246" s="99">
        <f>IF(O246=0,0,J246/O246)</f>
        <v>1.284153005464481</v>
      </c>
      <c r="S246" s="39">
        <f>L246-Q246</f>
        <v>-12350.669999999991</v>
      </c>
      <c r="T246" s="55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1:40" ht="15.75" customHeight="1">
      <c r="A247" s="410" t="s">
        <v>346</v>
      </c>
      <c r="B247" s="7" t="s">
        <v>78</v>
      </c>
      <c r="C247" s="26" t="s">
        <v>82</v>
      </c>
      <c r="D247" s="55"/>
      <c r="E247" s="91"/>
      <c r="F247" s="100" t="e">
        <f>F246/E246</f>
        <v>#DIV/0!</v>
      </c>
      <c r="G247" s="40"/>
      <c r="H247" s="91"/>
      <c r="I247" s="100"/>
      <c r="J247" s="40"/>
      <c r="K247" s="7"/>
      <c r="L247" s="100">
        <f>IF(L246=0,0,L246/K246)</f>
        <v>0.68281889983570132</v>
      </c>
      <c r="M247" s="99"/>
      <c r="N247" s="39"/>
      <c r="O247" s="40"/>
      <c r="P247" s="7"/>
      <c r="Q247" s="100">
        <f>IF(Q246=0,0,Q246/P246)</f>
        <v>0.76591967174910502</v>
      </c>
      <c r="R247" s="40"/>
      <c r="S247" s="100">
        <f>IF(Q246=0,0,(S246/Q246))</f>
        <v>-0.24642169223261087</v>
      </c>
      <c r="T247" s="55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1:40" ht="15.75" customHeight="1">
      <c r="A248" s="410" t="s">
        <v>78</v>
      </c>
      <c r="B248" s="7" t="s">
        <v>78</v>
      </c>
      <c r="C248" s="14"/>
      <c r="D248" s="58"/>
      <c r="E248" s="312">
        <f>IFERROR(E246/D246,0)</f>
        <v>0</v>
      </c>
      <c r="F248" s="102"/>
      <c r="G248" s="103"/>
      <c r="H248" s="312"/>
      <c r="I248" s="102"/>
      <c r="J248" s="103"/>
      <c r="K248" s="312">
        <f>IFERROR(K246/J246,0)</f>
        <v>235.37838297872349</v>
      </c>
      <c r="L248" s="102"/>
      <c r="M248" s="104"/>
      <c r="N248" s="61"/>
      <c r="O248" s="103"/>
      <c r="P248" s="312">
        <f>IFERROR(P246/O246,0)</f>
        <v>357.58333333333331</v>
      </c>
      <c r="Q248" s="102"/>
      <c r="R248" s="103"/>
      <c r="S248" s="61"/>
      <c r="T248" s="55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1:40" ht="18" customHeight="1">
      <c r="A249" s="410" t="s">
        <v>347</v>
      </c>
      <c r="B249" s="7" t="s">
        <v>78</v>
      </c>
      <c r="C249" s="71" t="s">
        <v>83</v>
      </c>
      <c r="D249" s="105">
        <f>+INDEX('[1]Budget original'!$A$2:$AO$501,MATCH($A249,'[1]Budget original'!$A$2:$A$501,0),MATCH(D$2,'[1]Budget original'!$A$2:$AO$2,0))</f>
        <v>0</v>
      </c>
      <c r="E249" s="55">
        <f>+INDEX('[1]Budget original'!$A$2:$AO$501,MATCH($A249,'[1]Budget original'!$A$2:$A$501,0),MATCH(E$2,'[1]Budget original'!$A$2:$AO$2,0))</f>
        <v>0</v>
      </c>
      <c r="F249" s="55">
        <f>+INDEX('[1]Budget original'!$A$2:$AO$501,MATCH($A249,'[1]Budget original'!$A$2:$A$501,0),MATCH(F$2,'[1]Budget original'!$A$2:$AO$2,0))</f>
        <v>0</v>
      </c>
      <c r="G249" s="106"/>
      <c r="H249" s="55"/>
      <c r="I249" s="55"/>
      <c r="J249" s="20">
        <f>SUMIFS([1]BV_Data_An_Cour!$AW:$AW,[1]BV_Data_An_Cour!$AP:$AP,$B249,[1]BV_Data_An_Cour!$AQ:$AQ,$C249,[1]BV_Data_An_Cour!$AY:$AY,J$2)</f>
        <v>249</v>
      </c>
      <c r="K249" s="105">
        <f>-SUMIFS([1]BV_Data_An_Cour!$AM:$AM,[1]BV_Data_An_Cour!$AS:$AS,"Oui",[1]BV_Data_An_Cour!$AP:$AP,$B249,[1]BV_Data_An_Cour!$AQ:$AQ,$C249)</f>
        <v>40258.299999999988</v>
      </c>
      <c r="L249" s="39">
        <f>-SUMIFS([1]BV_Data_An_Cour!$AM:$AM,[1]BV_Data_An_Cour!$AP:$AP,$B249,[1]BV_Data_An_Cour!$AQ:$AQ,$C249,[1]BV_Data_An_Cour!$AR:$AR,$L$2)</f>
        <v>25248.279999999984</v>
      </c>
      <c r="M249" s="99" t="e">
        <f>(K249-E249)/E249</f>
        <v>#DIV/0!</v>
      </c>
      <c r="N249" s="72">
        <f>L249-F249</f>
        <v>25248.279999999984</v>
      </c>
      <c r="O249" s="20">
        <f>SUMIFS([1]BV_Data_An_Prec!$AW:$AW,[1]BV_Data_An_Prec!$AP:$AP,$B249,[1]BV_Data_An_Prec!$AQ:$AQ,$C249,[1]BV_Data_An_Prec!$AY:$AY,O$2)</f>
        <v>287</v>
      </c>
      <c r="P249" s="105">
        <f>-SUMIFS([1]BV_Data_An_Prec!$AM:$AM,[1]BV_Data_An_Prec!$AS:$AS,"Oui",[1]BV_Data_An_Prec!$AP:$AP,$B249,[1]BV_Data_An_Prec!$AQ:$AQ,$C249)</f>
        <v>42415.419999999984</v>
      </c>
      <c r="Q249" s="39">
        <f>-SUMIFS([1]BV_Data_An_Prec!$AM:$AM,[1]BV_Data_An_Prec!$AP:$AP,$B249,[1]BV_Data_An_Prec!$AQ:$AQ,$C249,[1]BV_Data_An_Prec!$AR:$AR,$L$2)</f>
        <v>29941.139999999985</v>
      </c>
      <c r="R249" s="99">
        <f>IF(O249=0,0,J249/O249)</f>
        <v>0.86759581881533099</v>
      </c>
      <c r="S249" s="39">
        <f>L249-Q249</f>
        <v>-4692.8600000000006</v>
      </c>
      <c r="T249" s="55"/>
      <c r="U249" s="6"/>
      <c r="V249" s="19"/>
      <c r="W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1:40" ht="15.75" customHeight="1">
      <c r="A250" s="410" t="s">
        <v>346</v>
      </c>
      <c r="B250" s="7" t="s">
        <v>78</v>
      </c>
      <c r="C250" s="26" t="s">
        <v>82</v>
      </c>
      <c r="D250" s="7"/>
      <c r="E250" s="7"/>
      <c r="F250" s="100" t="e">
        <f>F249/E249</f>
        <v>#DIV/0!</v>
      </c>
      <c r="G250" s="26"/>
      <c r="H250" s="7"/>
      <c r="I250" s="100"/>
      <c r="J250" s="26"/>
      <c r="K250" s="7"/>
      <c r="L250" s="100">
        <f>IF(L249=0,0,L249/K249)</f>
        <v>0.62715713281484786</v>
      </c>
      <c r="M250" s="99"/>
      <c r="N250" s="100"/>
      <c r="O250" s="26"/>
      <c r="P250" s="7"/>
      <c r="Q250" s="100">
        <f>IF(Q249=0,0,Q249/P249)</f>
        <v>0.70590224027016579</v>
      </c>
      <c r="R250" s="99"/>
      <c r="S250" s="100">
        <f>IF(Q249=0,0,(S249/Q249))</f>
        <v>-0.15673618305782622</v>
      </c>
      <c r="T250" s="7"/>
      <c r="U250" s="6"/>
      <c r="V250" s="19"/>
      <c r="W250" s="2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1:40" ht="15.75" customHeight="1">
      <c r="A251" s="410" t="s">
        <v>78</v>
      </c>
      <c r="B251" s="7" t="s">
        <v>78</v>
      </c>
      <c r="C251" s="14"/>
      <c r="D251" s="73"/>
      <c r="E251" s="312">
        <f>IFERROR(E249/D249,0)</f>
        <v>0</v>
      </c>
      <c r="F251" s="102"/>
      <c r="G251" s="103"/>
      <c r="H251" s="312"/>
      <c r="I251" s="102"/>
      <c r="J251" s="103"/>
      <c r="K251" s="312">
        <f>IFERROR(K249/J249,0)</f>
        <v>161.67991967871481</v>
      </c>
      <c r="L251" s="102"/>
      <c r="M251" s="104"/>
      <c r="N251" s="61"/>
      <c r="O251" s="103"/>
      <c r="P251" s="312">
        <f>IFERROR(P249/O249,0)</f>
        <v>147.78891986062712</v>
      </c>
      <c r="Q251" s="102"/>
      <c r="R251" s="104"/>
      <c r="S251" s="102"/>
      <c r="T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1:40" ht="15.75" customHeight="1">
      <c r="A252" s="410" t="s">
        <v>348</v>
      </c>
      <c r="B252" s="7" t="s">
        <v>78</v>
      </c>
      <c r="C252" s="26" t="s">
        <v>84</v>
      </c>
      <c r="D252" s="55">
        <f>+INDEX('[1]Budget original'!$A$2:$AO$501,MATCH($A252,'[1]Budget original'!$A$2:$A$501,0),MATCH(D$2,'[1]Budget original'!$A$2:$AO$2,0))</f>
        <v>0</v>
      </c>
      <c r="E252" s="55">
        <f>+INDEX('[1]Budget original'!$A$2:$AO$501,MATCH($A252,'[1]Budget original'!$A$2:$A$501,0),MATCH(E$2,'[1]Budget original'!$A$2:$AO$2,0))</f>
        <v>0</v>
      </c>
      <c r="F252" s="55">
        <f>+INDEX('[1]Budget original'!$A$2:$AO$501,MATCH($A252,'[1]Budget original'!$A$2:$A$501,0),MATCH(F$2,'[1]Budget original'!$A$2:$AO$2,0))</f>
        <v>0</v>
      </c>
      <c r="G252" s="40"/>
      <c r="H252" s="55"/>
      <c r="I252" s="55"/>
      <c r="J252" s="20">
        <f>SUMIFS([1]BV_Data_An_Cour!$AW:$AW,[1]BV_Data_An_Cour!$AP:$AP,$B252,[1]BV_Data_An_Cour!$AQ:$AQ,$C252,[1]BV_Data_An_Cour!$AY:$AY,J$2)</f>
        <v>378</v>
      </c>
      <c r="K252" s="105">
        <f>-SUMIFS([1]BV_Data_An_Cour!$AM:$AM,[1]BV_Data_An_Cour!$AS:$AS,"Oui",[1]BV_Data_An_Cour!$AP:$AP,$B252,[1]BV_Data_An_Cour!$AQ:$AQ,$C252)</f>
        <v>62176.879999999976</v>
      </c>
      <c r="L252" s="39">
        <f>-SUMIFS([1]BV_Data_An_Cour!$AM:$AM,[1]BV_Data_An_Cour!$AP:$AP,$B252,[1]BV_Data_An_Cour!$AQ:$AQ,$C252,[1]BV_Data_An_Cour!$AR:$AR,$L$2)</f>
        <v>45266.029999999977</v>
      </c>
      <c r="M252" s="99" t="e">
        <f>(K252-E252)/E252</f>
        <v>#DIV/0!</v>
      </c>
      <c r="N252" s="39">
        <f>L252-F252</f>
        <v>45266.029999999977</v>
      </c>
      <c r="O252" s="20">
        <f>SUMIFS([1]BV_Data_An_Prec!$AW:$AW,[1]BV_Data_An_Prec!$AP:$AP,$B252,[1]BV_Data_An_Prec!$AQ:$AQ,$C252,[1]BV_Data_An_Prec!$AY:$AY,O$2)</f>
        <v>455</v>
      </c>
      <c r="P252" s="105">
        <f>-SUMIFS([1]BV_Data_An_Prec!$AM:$AM,[1]BV_Data_An_Prec!$AS:$AS,"Oui",[1]BV_Data_An_Prec!$AP:$AP,$B252,[1]BV_Data_An_Prec!$AQ:$AQ,$C252)</f>
        <v>63236.669999999984</v>
      </c>
      <c r="Q252" s="39">
        <f>-SUMIFS([1]BV_Data_An_Prec!$AM:$AM,[1]BV_Data_An_Prec!$AP:$AP,$B252,[1]BV_Data_An_Prec!$AQ:$AQ,$C252,[1]BV_Data_An_Prec!$AR:$AR,$L$2)</f>
        <v>48421.969999999987</v>
      </c>
      <c r="R252" s="99">
        <f>IF(O252=0,0,J252/O252)</f>
        <v>0.83076923076923082</v>
      </c>
      <c r="S252" s="39">
        <f>L252-Q252</f>
        <v>-3155.9400000000096</v>
      </c>
      <c r="T252" s="55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spans="1:40" ht="15.75" customHeight="1">
      <c r="A253" s="410" t="s">
        <v>346</v>
      </c>
      <c r="B253" s="7" t="s">
        <v>78</v>
      </c>
      <c r="C253" s="26" t="s">
        <v>82</v>
      </c>
      <c r="D253" s="55"/>
      <c r="E253" s="91"/>
      <c r="F253" s="100" t="e">
        <f>F252/E252</f>
        <v>#DIV/0!</v>
      </c>
      <c r="G253" s="40"/>
      <c r="H253" s="91"/>
      <c r="I253" s="100"/>
      <c r="J253" s="40"/>
      <c r="K253" s="91"/>
      <c r="L253" s="100">
        <f>IF(L252=0,0,L252/K252)</f>
        <v>0.72802028664030738</v>
      </c>
      <c r="M253" s="99"/>
      <c r="N253" s="39" t="e">
        <f>L253-F253</f>
        <v>#DIV/0!</v>
      </c>
      <c r="O253" s="40"/>
      <c r="P253" s="91"/>
      <c r="Q253" s="100">
        <f>IF(Q252=0,0,Q252/P252)</f>
        <v>0.7657261206195709</v>
      </c>
      <c r="R253" s="40"/>
      <c r="S253" s="100">
        <f>IF(Q252=0,0,(S252/Q252))</f>
        <v>-6.5175786941341102E-2</v>
      </c>
      <c r="T253" s="55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spans="1:40" ht="15.75" customHeight="1">
      <c r="A254" s="410" t="s">
        <v>78</v>
      </c>
      <c r="B254" s="7" t="s">
        <v>78</v>
      </c>
      <c r="C254" s="26"/>
      <c r="D254" s="55"/>
      <c r="E254" s="312">
        <f>IFERROR(E252/D252,0)</f>
        <v>0</v>
      </c>
      <c r="F254" s="102"/>
      <c r="G254" s="103"/>
      <c r="H254" s="312"/>
      <c r="I254" s="102"/>
      <c r="J254" s="103"/>
      <c r="K254" s="312">
        <f>IFERROR(K252/J252,0)</f>
        <v>164.48910052910045</v>
      </c>
      <c r="L254" s="102"/>
      <c r="M254" s="104"/>
      <c r="N254" s="61"/>
      <c r="O254" s="103"/>
      <c r="P254" s="312">
        <f>IFERROR(P252/O252,0)</f>
        <v>138.98169230769227</v>
      </c>
      <c r="Q254" s="102"/>
      <c r="R254" s="103"/>
      <c r="S254" s="39"/>
      <c r="T254" s="55"/>
      <c r="U254" s="38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spans="1:40" ht="15.75" customHeight="1">
      <c r="A255" s="410" t="s">
        <v>349</v>
      </c>
      <c r="B255" s="7" t="s">
        <v>78</v>
      </c>
      <c r="C255" s="71" t="s">
        <v>85</v>
      </c>
      <c r="D255" s="105">
        <f>+INDEX('[1]Budget original'!$A$2:$AO$501,MATCH($A255,'[1]Budget original'!$A$2:$A$501,0),MATCH(D$2,'[1]Budget original'!$A$2:$AO$2,0))</f>
        <v>0</v>
      </c>
      <c r="E255" s="55">
        <f>+INDEX('[1]Budget original'!$A$2:$AO$501,MATCH($A255,'[1]Budget original'!$A$2:$A$501,0),MATCH(E$2,'[1]Budget original'!$A$2:$AO$2,0))</f>
        <v>0</v>
      </c>
      <c r="F255" s="55">
        <f>+INDEX('[1]Budget original'!$A$2:$AO$501,MATCH($A255,'[1]Budget original'!$A$2:$A$501,0),MATCH(F$2,'[1]Budget original'!$A$2:$AO$2,0))</f>
        <v>0</v>
      </c>
      <c r="G255" s="106"/>
      <c r="H255" s="55"/>
      <c r="I255" s="55"/>
      <c r="J255" s="20">
        <f>SUMIFS([1]BV_Data_An_Cour!$AW:$AW,[1]BV_Data_An_Cour!$AP:$AP,$B255,[1]BV_Data_An_Cour!$AQ:$AQ,$C255,[1]BV_Data_An_Cour!$AY:$AY,J$2)</f>
        <v>0</v>
      </c>
      <c r="K255" s="105">
        <f>-SUMIFS([1]BV_Data_An_Cour!$AM:$AM,[1]BV_Data_An_Cour!$AS:$AS,"Oui",[1]BV_Data_An_Cour!$AP:$AP,$B255,[1]BV_Data_An_Cour!$AQ:$AQ,$C255)</f>
        <v>0</v>
      </c>
      <c r="L255" s="72">
        <f>-SUMIFS([1]BV_Data_An_Cour!$AM:$AM,[1]BV_Data_An_Cour!$AP:$AP,$B255,[1]BV_Data_An_Cour!$AQ:$AQ,$C255,[1]BV_Data_An_Cour!$AR:$AR,$L$2)</f>
        <v>0</v>
      </c>
      <c r="M255" s="109">
        <f>IF(E255=0,0,(K255-E255)/E255)</f>
        <v>0</v>
      </c>
      <c r="N255" s="72">
        <f>L255-F255</f>
        <v>0</v>
      </c>
      <c r="O255" s="20">
        <f>SUMIFS([1]BV_Data_An_Prec!$AW:$AW,[1]BV_Data_An_Prec!$AP:$AP,$B255,[1]BV_Data_An_Prec!$AQ:$AQ,$C255,[1]BV_Data_An_Prec!$AY:$AY,O$2)</f>
        <v>0</v>
      </c>
      <c r="P255" s="105">
        <f>-SUMIFS([1]BV_Data_An_Prec!$AM:$AM,[1]BV_Data_An_Prec!$AS:$AS,"Oui",[1]BV_Data_An_Prec!$AP:$AP,$B255,[1]BV_Data_An_Prec!$AQ:$AQ,$C255)</f>
        <v>0</v>
      </c>
      <c r="Q255" s="72">
        <f>-SUMIFS([1]BV_Data_An_Prec!$AM:$AM,[1]BV_Data_An_Prec!$AP:$AP,$B255,[1]BV_Data_An_Prec!$AQ:$AQ,$C255,[1]BV_Data_An_Prec!$AR:$AR,$L$2)</f>
        <v>0</v>
      </c>
      <c r="R255" s="99">
        <f>IF(O255=0,0,J255/O255)</f>
        <v>0</v>
      </c>
      <c r="S255" s="72">
        <f>L255-Q255</f>
        <v>0</v>
      </c>
      <c r="T255" s="55"/>
      <c r="U255" s="6" t="s">
        <v>509</v>
      </c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spans="1:40" ht="15.75" customHeight="1">
      <c r="A256" s="410" t="s">
        <v>346</v>
      </c>
      <c r="B256" s="7" t="s">
        <v>78</v>
      </c>
      <c r="C256" s="26" t="s">
        <v>82</v>
      </c>
      <c r="D256" s="7"/>
      <c r="E256" s="91"/>
      <c r="F256" s="100">
        <f>IFERROR(F255/E255,0)</f>
        <v>0</v>
      </c>
      <c r="G256" s="26"/>
      <c r="H256" s="91"/>
      <c r="I256" s="100"/>
      <c r="J256" s="40"/>
      <c r="K256" s="91"/>
      <c r="L256" s="100">
        <f>IF(L255=0,0,L255/K255)</f>
        <v>0</v>
      </c>
      <c r="M256" s="40">
        <f>J256-D256</f>
        <v>0</v>
      </c>
      <c r="N256" s="39"/>
      <c r="O256" s="40"/>
      <c r="P256" s="91"/>
      <c r="Q256" s="100">
        <f>IF(Q255=0,0,Q255/P255)</f>
        <v>0</v>
      </c>
      <c r="R256" s="26"/>
      <c r="S256" s="100">
        <f>IF(Q255=0,0,(S255/Q255))</f>
        <v>0</v>
      </c>
      <c r="T256" s="74"/>
      <c r="U256" s="38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spans="1:40" ht="15.75" customHeight="1">
      <c r="A257" s="410" t="s">
        <v>78</v>
      </c>
      <c r="B257" s="7" t="s">
        <v>78</v>
      </c>
      <c r="C257" s="14"/>
      <c r="D257" s="73"/>
      <c r="E257" s="101"/>
      <c r="F257" s="102"/>
      <c r="G257" s="14"/>
      <c r="H257" s="101"/>
      <c r="I257" s="102"/>
      <c r="J257" s="103"/>
      <c r="K257" s="312">
        <f>IFERROR(K255/J255,0)</f>
        <v>0</v>
      </c>
      <c r="L257" s="102"/>
      <c r="M257" s="103"/>
      <c r="N257" s="61"/>
      <c r="O257" s="103"/>
      <c r="P257" s="312">
        <f>IFERROR(P255/O255,0)</f>
        <v>0</v>
      </c>
      <c r="Q257" s="102"/>
      <c r="R257" s="14"/>
      <c r="S257" s="61"/>
      <c r="T257" s="7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spans="1:40" ht="26.25" customHeight="1" thickBot="1">
      <c r="A258" s="410" t="s">
        <v>350</v>
      </c>
      <c r="B258" s="7" t="s">
        <v>78</v>
      </c>
      <c r="C258" s="26" t="s">
        <v>86</v>
      </c>
      <c r="D258" s="7"/>
      <c r="E258" s="7"/>
      <c r="F258" s="39">
        <f>+INDEX('[1]Budget original'!$A$2:$AO$501,MATCH($A258,'[1]Budget original'!$A$2:$A$501,0),MATCH(F$2,'[1]Budget original'!$A$2:$AO$2,0))</f>
        <v>0</v>
      </c>
      <c r="G258" s="26"/>
      <c r="H258" s="55"/>
      <c r="I258" s="55"/>
      <c r="J258" s="40"/>
      <c r="K258" s="55"/>
      <c r="L258" s="55">
        <f>-SUMIFS([1]BV_Data_An_Cour!$AM:$AM,[1]BV_Data_An_Cour!$AP:$AP,$B258,[1]BV_Data_An_Cour!$AQ:$AQ,$C258,[1]BV_Data_An_Cour!$AR:$AR,$L$2)</f>
        <v>-159.40999999999985</v>
      </c>
      <c r="M258" s="40"/>
      <c r="N258" s="39">
        <f>L258-F258</f>
        <v>-159.40999999999985</v>
      </c>
      <c r="O258" s="40"/>
      <c r="P258" s="55"/>
      <c r="Q258" s="55">
        <f>-SUMIFS([1]BV_Data_An_Prec!$AM:$AM,[1]BV_Data_An_Prec!$AP:$AP,$B258,[1]BV_Data_An_Prec!$AQ:$AQ,$C258,[1]BV_Data_An_Prec!$AR:$AR,$L$2)</f>
        <v>1791.8900000000031</v>
      </c>
      <c r="R258" s="313"/>
      <c r="S258" s="39">
        <f t="shared" ref="S258:S259" si="39">L258-Q258</f>
        <v>-1951.3000000000029</v>
      </c>
      <c r="T258" s="7"/>
      <c r="U258" s="6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spans="1:40" ht="19.95" customHeight="1" thickTop="1">
      <c r="A259" s="410" t="s">
        <v>351</v>
      </c>
      <c r="B259" s="7" t="s">
        <v>78</v>
      </c>
      <c r="C259" s="314" t="s">
        <v>87</v>
      </c>
      <c r="D259" s="116">
        <f>D246+D249+D252+D255+D258</f>
        <v>0</v>
      </c>
      <c r="E259" s="116">
        <f>E246+E249+E252+E255+E258</f>
        <v>0</v>
      </c>
      <c r="F259" s="117">
        <f>F246+F249+F252+F255+F258</f>
        <v>0</v>
      </c>
      <c r="G259" s="118"/>
      <c r="H259" s="116"/>
      <c r="I259" s="117"/>
      <c r="J259" s="315">
        <f t="shared" ref="J259:K259" si="40">J246+J249+J252+J255+J258</f>
        <v>862</v>
      </c>
      <c r="K259" s="316">
        <f t="shared" si="40"/>
        <v>157749.09999999998</v>
      </c>
      <c r="L259" s="317">
        <f>L246+L249+L252+L255+L258</f>
        <v>108124.28999999996</v>
      </c>
      <c r="M259" s="318" t="e">
        <f>(K259-E259)/E259</f>
        <v>#DIV/0!</v>
      </c>
      <c r="N259" s="317">
        <f>L259-F259</f>
        <v>108124.28999999996</v>
      </c>
      <c r="O259" s="315">
        <f t="shared" ref="O259:P259" si="41">O246+O249+O252+O255+O258</f>
        <v>925</v>
      </c>
      <c r="P259" s="316">
        <f t="shared" si="41"/>
        <v>171089.83999999997</v>
      </c>
      <c r="Q259" s="317">
        <f>Q246+Q249+Q252+Q255+Q258</f>
        <v>130275.05999999997</v>
      </c>
      <c r="R259" s="27">
        <f>IF(O259=0,0,J259/O259)</f>
        <v>0.93189189189189192</v>
      </c>
      <c r="S259" s="117">
        <f t="shared" si="39"/>
        <v>-22150.770000000004</v>
      </c>
      <c r="T259" s="74"/>
      <c r="U259" s="6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spans="1:40" ht="15.75" customHeight="1">
      <c r="A260" s="410" t="s">
        <v>352</v>
      </c>
      <c r="B260" s="7" t="s">
        <v>78</v>
      </c>
      <c r="C260" s="319" t="s">
        <v>88</v>
      </c>
      <c r="D260" s="119"/>
      <c r="E260" s="320"/>
      <c r="F260" s="120" t="e">
        <f>F259/E259</f>
        <v>#DIV/0!</v>
      </c>
      <c r="G260" s="121"/>
      <c r="H260" s="320"/>
      <c r="I260" s="28"/>
      <c r="J260" s="114"/>
      <c r="K260" s="321">
        <f>IF(J259=0,0,K259/J259)</f>
        <v>183.00359628770298</v>
      </c>
      <c r="L260" s="28">
        <f>IF(L259=0,0,L259/K259)</f>
        <v>0.68541937798694241</v>
      </c>
      <c r="M260" s="114"/>
      <c r="N260" s="107" t="e">
        <f>N259/F259</f>
        <v>#DIV/0!</v>
      </c>
      <c r="O260" s="114"/>
      <c r="P260" s="321">
        <f>IF(O259=0,0,P259/O259)</f>
        <v>184.96198918918915</v>
      </c>
      <c r="Q260" s="28">
        <f>IF(Q259=0,0,Q259/P259)</f>
        <v>0.76144240943822261</v>
      </c>
      <c r="R260" s="121"/>
      <c r="S260" s="28">
        <f>S259/Q259</f>
        <v>-0.17003077949071763</v>
      </c>
      <c r="T260" s="74"/>
      <c r="U260" s="6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spans="1:40" ht="15.75" customHeight="1">
      <c r="A261" s="410" t="s">
        <v>78</v>
      </c>
      <c r="B261" s="7" t="s">
        <v>78</v>
      </c>
      <c r="C261" s="71"/>
      <c r="D261" s="105"/>
      <c r="E261" s="322"/>
      <c r="F261" s="72"/>
      <c r="G261" s="106"/>
      <c r="H261" s="322"/>
      <c r="I261" s="72"/>
      <c r="J261" s="106"/>
      <c r="K261" s="322"/>
      <c r="L261" s="72"/>
      <c r="M261" s="106"/>
      <c r="N261" s="72"/>
      <c r="O261" s="106"/>
      <c r="P261" s="322"/>
      <c r="Q261" s="72"/>
      <c r="R261" s="106"/>
      <c r="S261" s="72"/>
      <c r="T261" s="74"/>
      <c r="U261" s="6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spans="1:40" ht="19.5" customHeight="1">
      <c r="A262" s="410" t="s">
        <v>353</v>
      </c>
      <c r="B262" s="7" t="s">
        <v>78</v>
      </c>
      <c r="C262" s="26" t="s">
        <v>89</v>
      </c>
      <c r="D262" s="55"/>
      <c r="E262" s="55">
        <f>+INDEX('[1]Budget original'!$A$2:$AO$501,MATCH($A262,'[1]Budget original'!$A$2:$A$501,0),MATCH(E$2,'[1]Budget original'!$A$2:$AO$2,0))</f>
        <v>0</v>
      </c>
      <c r="F262" s="55">
        <f>+INDEX('[1]Budget original'!$A$2:$AO$501,MATCH($A262,'[1]Budget original'!$A$2:$A$501,0),MATCH(F$2,'[1]Budget original'!$A$2:$AO$2,0))</f>
        <v>0</v>
      </c>
      <c r="G262" s="40"/>
      <c r="H262" s="55"/>
      <c r="I262" s="55"/>
      <c r="J262" s="20">
        <f>SUMIFS([1]BV_Data_An_Cour!$AW:$AW,[1]BV_Data_An_Cour!$AP:$AP,$B262,[1]BV_Data_An_Cour!$AQ:$AQ,$C262,[1]BV_Data_An_Cour!$AY:$AY,J$2)</f>
        <v>269</v>
      </c>
      <c r="K262" s="55">
        <f>-SUMIFS([1]BV_Data_An_Cour!$AM:$AM,[1]BV_Data_An_Cour!$AS:$AS,"Oui",[1]BV_Data_An_Cour!$AP:$AP,$B262,[1]BV_Data_An_Cour!$AQ:$AQ,$C262)</f>
        <v>12594.499999999993</v>
      </c>
      <c r="L262" s="39">
        <f>-SUMIFS([1]BV_Data_An_Cour!$AM:$AM,[1]BV_Data_An_Cour!$AP:$AP,$B262,[1]BV_Data_An_Cour!$AQ:$AQ,$C262,[1]BV_Data_An_Cour!$AR:$AR,$L$2)</f>
        <v>5236.5599999999977</v>
      </c>
      <c r="M262" s="99">
        <f>IF(E262=0,0,(K262-E262)/E262)</f>
        <v>0</v>
      </c>
      <c r="N262" s="39">
        <f>L262-F262</f>
        <v>5236.5599999999977</v>
      </c>
      <c r="O262" s="20">
        <f>SUMIFS([1]BV_Data_An_Prec!$AW:$AW,[1]BV_Data_An_Prec!$AP:$AP,$B262,[1]BV_Data_An_Prec!$AQ:$AQ,$C262,[1]BV_Data_An_Prec!$AY:$AY,O$2)</f>
        <v>298</v>
      </c>
      <c r="P262" s="55">
        <f>-SUMIFS([1]BV_Data_An_Prec!$AM:$AM,[1]BV_Data_An_Prec!$AS:$AS,"Oui",[1]BV_Data_An_Prec!$AP:$AP,$B262,[1]BV_Data_An_Prec!$AQ:$AQ,$C262)</f>
        <v>23416.78999999999</v>
      </c>
      <c r="Q262" s="39">
        <f>-SUMIFS([1]BV_Data_An_Prec!$AM:$AM,[1]BV_Data_An_Prec!$AP:$AP,$B262,[1]BV_Data_An_Prec!$AQ:$AQ,$C262,[1]BV_Data_An_Prec!$AR:$AR,$L$2)</f>
        <v>5207.3999999999978</v>
      </c>
      <c r="R262" s="99">
        <f>IF(O262=0,0,J262/O262)</f>
        <v>0.90268456375838924</v>
      </c>
      <c r="S262" s="39">
        <f>L262-Q262</f>
        <v>29.159999999999854</v>
      </c>
      <c r="T262" s="74"/>
      <c r="U262" s="6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spans="1:40" ht="21" customHeight="1">
      <c r="A263" s="410" t="s">
        <v>346</v>
      </c>
      <c r="B263" s="7" t="s">
        <v>78</v>
      </c>
      <c r="C263" s="26" t="s">
        <v>82</v>
      </c>
      <c r="D263" s="7"/>
      <c r="E263" s="91"/>
      <c r="F263" s="100">
        <f>IFERROR(F262/E262,0)</f>
        <v>0</v>
      </c>
      <c r="G263" s="26"/>
      <c r="H263" s="91"/>
      <c r="I263" s="100"/>
      <c r="J263" s="40"/>
      <c r="K263" s="91"/>
      <c r="L263" s="100">
        <f>IF(L262=0,0,L262/K262)</f>
        <v>0.41578149192107672</v>
      </c>
      <c r="M263" s="40"/>
      <c r="N263" s="39"/>
      <c r="O263" s="40"/>
      <c r="P263" s="91"/>
      <c r="Q263" s="100">
        <f>IF(Q262=0,0,Q262/P262)</f>
        <v>0.22237889992607868</v>
      </c>
      <c r="R263" s="40"/>
      <c r="S263" s="100">
        <f>IF(Q262=0,0,(S262/Q262))</f>
        <v>5.5997234704458785E-3</v>
      </c>
      <c r="T263" s="74"/>
      <c r="U263" s="6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spans="1:40" ht="21" hidden="1" customHeight="1">
      <c r="A264" s="410" t="s">
        <v>78</v>
      </c>
      <c r="B264" s="7" t="s">
        <v>78</v>
      </c>
      <c r="C264" s="26"/>
      <c r="D264" s="7"/>
      <c r="E264" s="91"/>
      <c r="F264" s="100"/>
      <c r="G264" s="26"/>
      <c r="H264" s="91"/>
      <c r="I264" s="100"/>
      <c r="J264" s="111"/>
      <c r="K264" s="110"/>
      <c r="L264" s="100"/>
      <c r="M264" s="111"/>
      <c r="N264" s="112"/>
      <c r="O264" s="111"/>
      <c r="P264" s="110"/>
      <c r="Q264" s="100"/>
      <c r="R264" s="111"/>
      <c r="S264" s="112"/>
      <c r="T264" s="74"/>
      <c r="U264" s="6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spans="1:40" ht="21" hidden="1" customHeight="1">
      <c r="A265" s="410" t="s">
        <v>354</v>
      </c>
      <c r="B265" s="7" t="s">
        <v>78</v>
      </c>
      <c r="C265" s="26" t="s">
        <v>90</v>
      </c>
      <c r="D265" s="7"/>
      <c r="E265" s="55">
        <f>+INDEX('[1]Budget original'!$A$2:$AO$501,MATCH($A265,'[1]Budget original'!$A$2:$A$501,0),MATCH(E$2,'[1]Budget original'!$A$2:$AO$2,0))</f>
        <v>0</v>
      </c>
      <c r="F265" s="55">
        <f>+INDEX('[1]Budget original'!$A$2:$AO$501,MATCH($A265,'[1]Budget original'!$A$2:$A$501,0),MATCH(F$2,'[1]Budget original'!$A$2:$AO$2,0))</f>
        <v>0</v>
      </c>
      <c r="G265" s="26"/>
      <c r="H265" s="55"/>
      <c r="I265" s="55"/>
      <c r="J265" s="20">
        <f>SUMIFS([1]BV_Data_An_Cour!$AW:$AW,[1]BV_Data_An_Cour!$AP:$AP,$B265,[1]BV_Data_An_Cour!$AQ:$AQ,$C265,[1]BV_Data_An_Cour!$AY:$AY,J$2)</f>
        <v>0</v>
      </c>
      <c r="K265" s="19">
        <f>-SUMIFS([1]BV_Data_An_Cour!$AM:$AM,[1]BV_Data_An_Cour!$AS:$AS,"Oui",[1]BV_Data_An_Cour!$AP:$AP,$B265,[1]BV_Data_An_Cour!$AQ:$AQ,$C265)</f>
        <v>0</v>
      </c>
      <c r="L265" s="21">
        <f>-SUMIFS([1]BV_Data_An_Cour!$AM:$AM,[1]BV_Data_An_Cour!$AP:$AP,$B265,[1]BV_Data_An_Cour!$AQ:$AQ,$C265,[1]BV_Data_An_Cour!$AR:$AR,$L$2)</f>
        <v>0</v>
      </c>
      <c r="M265" s="99">
        <f>IF(E265=0,0,(K265-E265)/E265)</f>
        <v>0</v>
      </c>
      <c r="N265" s="39">
        <f>L265-F265</f>
        <v>0</v>
      </c>
      <c r="O265" s="20">
        <f>SUMIFS([1]BV_Data_An_Prec!$AW:$AW,[1]BV_Data_An_Prec!$AP:$AP,$B265,[1]BV_Data_An_Prec!$AQ:$AQ,$C265,[1]BV_Data_An_Prec!$AY:$AY,O$2)</f>
        <v>0</v>
      </c>
      <c r="P265" s="19">
        <f>-SUMIFS([1]BV_Data_An_Prec!$AM:$AM,[1]BV_Data_An_Prec!$AS:$AS,"Oui",[1]BV_Data_An_Prec!$AP:$AP,$B265,[1]BV_Data_An_Prec!$AQ:$AQ,$C265)</f>
        <v>0</v>
      </c>
      <c r="Q265" s="21">
        <f>-SUMIFS([1]BV_Data_An_Prec!$AM:$AM,[1]BV_Data_An_Prec!$AP:$AP,$B265,[1]BV_Data_An_Prec!$AQ:$AQ,$C265,[1]BV_Data_An_Prec!$AR:$AR,$L$2)</f>
        <v>0</v>
      </c>
      <c r="R265" s="99">
        <f>IF(O265=0,0,J265/O265)</f>
        <v>0</v>
      </c>
      <c r="S265" s="39">
        <f>L265-Q265</f>
        <v>0</v>
      </c>
      <c r="T265" s="74"/>
      <c r="U265" s="6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spans="1:40" ht="21" hidden="1" customHeight="1">
      <c r="A266" s="410" t="s">
        <v>346</v>
      </c>
      <c r="B266" s="7" t="s">
        <v>78</v>
      </c>
      <c r="C266" s="26" t="s">
        <v>82</v>
      </c>
      <c r="D266" s="7"/>
      <c r="E266" s="91"/>
      <c r="F266" s="100">
        <f>IF(F265=0,0,F265/E265)</f>
        <v>0</v>
      </c>
      <c r="G266" s="26"/>
      <c r="H266" s="91"/>
      <c r="I266" s="100"/>
      <c r="J266" s="111"/>
      <c r="K266" s="110"/>
      <c r="L266" s="100">
        <f>IF(L265=0,0,L265/K265)</f>
        <v>0</v>
      </c>
      <c r="M266" s="111"/>
      <c r="N266" s="112"/>
      <c r="O266" s="111"/>
      <c r="P266" s="110"/>
      <c r="Q266" s="100">
        <f>IF(Q265=0,0,Q265/P265)</f>
        <v>0</v>
      </c>
      <c r="R266" s="111"/>
      <c r="S266" s="112"/>
      <c r="T266" s="74"/>
      <c r="U266" s="383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spans="1:40" ht="15.75" customHeight="1" thickBot="1">
      <c r="A267" s="410" t="s">
        <v>78</v>
      </c>
      <c r="B267" s="7" t="s">
        <v>78</v>
      </c>
      <c r="C267" s="323"/>
      <c r="D267" s="125"/>
      <c r="E267" s="126"/>
      <c r="F267" s="127"/>
      <c r="G267" s="128"/>
      <c r="H267" s="126"/>
      <c r="I267" s="127"/>
      <c r="J267" s="128"/>
      <c r="K267" s="126"/>
      <c r="L267" s="127"/>
      <c r="M267" s="128"/>
      <c r="N267" s="127"/>
      <c r="O267" s="128"/>
      <c r="P267" s="126"/>
      <c r="Q267" s="127"/>
      <c r="R267" s="128"/>
      <c r="S267" s="127"/>
      <c r="T267" s="74"/>
      <c r="U267" s="6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spans="1:40" ht="18" customHeight="1" thickTop="1">
      <c r="A268" s="410" t="s">
        <v>355</v>
      </c>
      <c r="B268" s="7" t="s">
        <v>78</v>
      </c>
      <c r="C268" s="264" t="s">
        <v>91</v>
      </c>
      <c r="D268" s="41"/>
      <c r="E268" s="42">
        <f>E259+E262+E265</f>
        <v>0</v>
      </c>
      <c r="F268" s="43">
        <f>F259+F262+F265</f>
        <v>0</v>
      </c>
      <c r="G268" s="44"/>
      <c r="H268" s="42"/>
      <c r="I268" s="43"/>
      <c r="J268" s="44"/>
      <c r="K268" s="41">
        <f t="shared" ref="K268" si="42">K259+K262+K265</f>
        <v>170343.59999999998</v>
      </c>
      <c r="L268" s="43">
        <f>L259+L262+L265</f>
        <v>113360.84999999996</v>
      </c>
      <c r="M268" s="44" t="e">
        <f>L269-F269</f>
        <v>#DIV/0!</v>
      </c>
      <c r="N268" s="43">
        <f>L268-F268</f>
        <v>113360.84999999996</v>
      </c>
      <c r="O268" s="44"/>
      <c r="P268" s="41">
        <f t="shared" ref="P268" si="43">P259+P262+P265</f>
        <v>194506.62999999995</v>
      </c>
      <c r="Q268" s="43">
        <f>Q259+Q262+Q265</f>
        <v>135482.45999999996</v>
      </c>
      <c r="R268" s="44"/>
      <c r="S268" s="43">
        <f>L268-Q268</f>
        <v>-22121.61</v>
      </c>
      <c r="T268" s="7"/>
      <c r="U268" s="6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spans="1:40" ht="22.5" customHeight="1" thickBot="1">
      <c r="A269" s="410" t="s">
        <v>78</v>
      </c>
      <c r="B269" s="7" t="s">
        <v>78</v>
      </c>
      <c r="C269" s="47"/>
      <c r="D269" s="45"/>
      <c r="E269" s="45"/>
      <c r="F269" s="46" t="e">
        <f>F268/E268</f>
        <v>#DIV/0!</v>
      </c>
      <c r="G269" s="47"/>
      <c r="H269" s="45"/>
      <c r="I269" s="46"/>
      <c r="J269" s="47"/>
      <c r="K269" s="265"/>
      <c r="L269" s="267">
        <f>L268/K268</f>
        <v>0.66548346988087592</v>
      </c>
      <c r="M269" s="48"/>
      <c r="N269" s="49" t="e">
        <f>N268/F268</f>
        <v>#DIV/0!</v>
      </c>
      <c r="O269" s="47"/>
      <c r="P269" s="265"/>
      <c r="Q269" s="267">
        <f>Q268/P268</f>
        <v>0.6965441743553934</v>
      </c>
      <c r="R269" s="48"/>
      <c r="S269" s="267">
        <f>L268/S268</f>
        <v>-5.1244394056309623</v>
      </c>
      <c r="T269" s="7"/>
      <c r="U269" s="6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spans="1:40" ht="15.75" customHeight="1" thickTop="1">
      <c r="A270" s="410" t="s">
        <v>78</v>
      </c>
      <c r="B270" s="7" t="s">
        <v>78</v>
      </c>
      <c r="C270" s="52"/>
      <c r="D270" s="50"/>
      <c r="E270" s="50"/>
      <c r="F270" s="28"/>
      <c r="G270" s="52"/>
      <c r="H270" s="50"/>
      <c r="I270" s="28"/>
      <c r="J270" s="52"/>
      <c r="K270" s="74"/>
      <c r="L270" s="28"/>
      <c r="M270" s="27"/>
      <c r="N270" s="28"/>
      <c r="O270" s="52"/>
      <c r="P270" s="74"/>
      <c r="Q270" s="28"/>
      <c r="R270" s="27"/>
      <c r="S270" s="28"/>
      <c r="T270" s="50"/>
      <c r="U270" s="6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spans="1:40" ht="15.75" customHeight="1">
      <c r="A271" s="410" t="s">
        <v>356</v>
      </c>
      <c r="B271" s="7" t="s">
        <v>78</v>
      </c>
      <c r="C271" s="268" t="s">
        <v>29</v>
      </c>
      <c r="D271" s="7"/>
      <c r="E271" s="7"/>
      <c r="F271" s="39"/>
      <c r="G271" s="26"/>
      <c r="H271" s="7"/>
      <c r="I271" s="39"/>
      <c r="J271" s="26"/>
      <c r="K271" s="7"/>
      <c r="L271" s="25"/>
      <c r="M271" s="26"/>
      <c r="N271" s="25"/>
      <c r="O271" s="26"/>
      <c r="P271" s="7"/>
      <c r="Q271" s="25"/>
      <c r="R271" s="26"/>
      <c r="S271" s="25"/>
      <c r="T271" s="7"/>
      <c r="U271" s="6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spans="1:40" ht="15.75" customHeight="1">
      <c r="A272" s="410" t="s">
        <v>357</v>
      </c>
      <c r="B272" s="7" t="s">
        <v>78</v>
      </c>
      <c r="C272" s="271" t="s">
        <v>40</v>
      </c>
      <c r="D272" s="7"/>
      <c r="E272" s="7"/>
      <c r="F272" s="19">
        <f>+INDEX('[1]Budget original'!$A$2:$AO$501,MATCH($A272,'[1]Budget original'!$A$2:$A$501,0),MATCH(F$2,'[1]Budget original'!$A$2:$AO$2,0))</f>
        <v>0</v>
      </c>
      <c r="G272" s="26"/>
      <c r="H272" s="7"/>
      <c r="I272" s="19"/>
      <c r="J272" s="26"/>
      <c r="K272" s="7"/>
      <c r="L272" s="39">
        <f>SUMIFS([1]BV_Data_An_Cour!$AM:$AM,[1]BV_Data_An_Cour!$AP:$AP,$B272,[1]BV_Data_An_Cour!$AQ:$AQ,$C272,[1]BV_Data_An_Cour!$AR:$AR,$L$2)</f>
        <v>12853.82</v>
      </c>
      <c r="M272" s="26"/>
      <c r="N272" s="39">
        <f t="shared" ref="N272:N303" si="44">L272-F272</f>
        <v>12853.82</v>
      </c>
      <c r="O272" s="26"/>
      <c r="P272" s="7"/>
      <c r="Q272" s="39">
        <f>SUMIFS([1]BV_Data_An_Prec!$AM:$AM,[1]BV_Data_An_Prec!$AP:$AP,$B272,[1]BV_Data_An_Prec!$AQ:$AQ,$C272,[1]BV_Data_An_Prec!$AR:$AR,$L$2)</f>
        <v>5906.5900000000038</v>
      </c>
      <c r="R272" s="26"/>
      <c r="S272" s="39">
        <f t="shared" ref="S272:S303" si="45">L272-Q272</f>
        <v>6947.2299999999959</v>
      </c>
      <c r="T272" s="7"/>
      <c r="U272" s="6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spans="1:40" ht="15.75" customHeight="1">
      <c r="A273" s="410" t="s">
        <v>358</v>
      </c>
      <c r="B273" s="7" t="s">
        <v>78</v>
      </c>
      <c r="C273" s="272" t="s">
        <v>41</v>
      </c>
      <c r="D273" s="54"/>
      <c r="E273" s="7"/>
      <c r="F273" s="31">
        <f>+INDEX('[1]Budget original'!$A$2:$AO$501,MATCH($A273,'[1]Budget original'!$A$2:$A$501,0),MATCH(F$2,'[1]Budget original'!$A$2:$AO$2,0))</f>
        <v>0</v>
      </c>
      <c r="G273" s="56"/>
      <c r="H273" s="7"/>
      <c r="I273" s="31"/>
      <c r="J273" s="26"/>
      <c r="K273" s="7"/>
      <c r="L273" s="39">
        <f>SUMIFS([1]BV_Data_An_Cour!$AM:$AM,[1]BV_Data_An_Cour!$AP:$AP,$B273,[1]BV_Data_An_Cour!$AQ:$AQ,$C273,[1]BV_Data_An_Cour!$AR:$AR,$L$2)</f>
        <v>7731.890000000014</v>
      </c>
      <c r="M273" s="26"/>
      <c r="N273" s="39">
        <f t="shared" si="44"/>
        <v>7731.890000000014</v>
      </c>
      <c r="O273" s="26"/>
      <c r="P273" s="7"/>
      <c r="Q273" s="39">
        <f>SUMIFS([1]BV_Data_An_Prec!$AM:$AM,[1]BV_Data_An_Prec!$AP:$AP,$B273,[1]BV_Data_An_Prec!$AQ:$AQ,$C273,[1]BV_Data_An_Prec!$AR:$AR,$L$2)</f>
        <v>25872.709999999992</v>
      </c>
      <c r="R273" s="26"/>
      <c r="S273" s="39">
        <f t="shared" si="45"/>
        <v>-18140.819999999978</v>
      </c>
      <c r="T273" s="7"/>
      <c r="U273" s="6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spans="1:40" ht="20.399999999999999">
      <c r="A274" s="410" t="s">
        <v>359</v>
      </c>
      <c r="B274" s="7" t="s">
        <v>78</v>
      </c>
      <c r="C274" s="271" t="s">
        <v>42</v>
      </c>
      <c r="D274" s="68"/>
      <c r="E274" s="69"/>
      <c r="F274" s="19">
        <f>+INDEX('[1]Budget original'!$A$2:$AO$501,MATCH($A274,'[1]Budget original'!$A$2:$A$501,0),MATCH(F$2,'[1]Budget original'!$A$2:$AO$2,0))</f>
        <v>0</v>
      </c>
      <c r="G274" s="70"/>
      <c r="H274" s="69"/>
      <c r="I274" s="19"/>
      <c r="J274" s="71"/>
      <c r="K274" s="69"/>
      <c r="L274" s="72">
        <f>SUMIFS([1]BV_Data_An_Cour!$AM:$AM,[1]BV_Data_An_Cour!$AP:$AP,$B274,[1]BV_Data_An_Cour!$AQ:$AQ,$C274,[1]BV_Data_An_Cour!$AR:$AR,$L$2)</f>
        <v>14189.179999999993</v>
      </c>
      <c r="M274" s="71"/>
      <c r="N274" s="72">
        <f t="shared" si="44"/>
        <v>14189.179999999993</v>
      </c>
      <c r="O274" s="71"/>
      <c r="P274" s="69"/>
      <c r="Q274" s="72">
        <f>SUMIFS([1]BV_Data_An_Prec!$AM:$AM,[1]BV_Data_An_Prec!$AP:$AP,$B274,[1]BV_Data_An_Prec!$AQ:$AQ,$C274,[1]BV_Data_An_Prec!$AR:$AR,$L$2)</f>
        <v>28878.739999999991</v>
      </c>
      <c r="R274" s="71"/>
      <c r="S274" s="72">
        <f t="shared" si="45"/>
        <v>-14689.559999999998</v>
      </c>
      <c r="T274" s="7"/>
      <c r="U274" s="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spans="1:40" ht="20.399999999999999">
      <c r="A275" s="410" t="s">
        <v>360</v>
      </c>
      <c r="B275" s="7" t="s">
        <v>78</v>
      </c>
      <c r="C275" s="271" t="s">
        <v>43</v>
      </c>
      <c r="D275" s="54"/>
      <c r="E275" s="324" t="e">
        <f>F275/E246</f>
        <v>#DIV/0!</v>
      </c>
      <c r="F275" s="19">
        <f>+INDEX('[1]Budget original'!$A$2:$AO$501,MATCH($A275,'[1]Budget original'!$A$2:$A$501,0),MATCH(F$2,'[1]Budget original'!$A$2:$AO$2,0))</f>
        <v>0</v>
      </c>
      <c r="G275" s="56"/>
      <c r="H275" s="7"/>
      <c r="I275" s="19"/>
      <c r="J275" s="26"/>
      <c r="K275" s="325"/>
      <c r="L275" s="39">
        <f>SUMIFS([1]BV_Data_An_Cour!$AM:$AM,[1]BV_Data_An_Cour!$AP:$AP,$B275,[1]BV_Data_An_Cour!$AQ:$AQ,$C275,[1]BV_Data_An_Cour!$AR:$AR,$L$2)</f>
        <v>15574.6</v>
      </c>
      <c r="M275" s="26"/>
      <c r="N275" s="39">
        <f t="shared" si="44"/>
        <v>15574.6</v>
      </c>
      <c r="O275" s="26"/>
      <c r="P275" s="325"/>
      <c r="Q275" s="39">
        <f>SUMIFS([1]BV_Data_An_Prec!$AM:$AM,[1]BV_Data_An_Prec!$AP:$AP,$B275,[1]BV_Data_An_Prec!$AQ:$AQ,$C275,[1]BV_Data_An_Prec!$AR:$AR,$L$2)</f>
        <v>0</v>
      </c>
      <c r="R275" s="26"/>
      <c r="S275" s="39">
        <f t="shared" si="45"/>
        <v>15574.6</v>
      </c>
      <c r="T275" s="7"/>
      <c r="U275" s="6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spans="1:40" ht="20.399999999999999" hidden="1" customHeight="1">
      <c r="A276" s="410" t="s">
        <v>361</v>
      </c>
      <c r="B276" s="7" t="s">
        <v>78</v>
      </c>
      <c r="C276" s="26" t="s">
        <v>19</v>
      </c>
      <c r="D276" s="54"/>
      <c r="E276" s="7"/>
      <c r="F276" s="19">
        <f>+INDEX('[1]Budget original'!$A$2:$AO$501,MATCH($A276,'[1]Budget original'!$A$2:$A$501,0),MATCH(F$2,'[1]Budget original'!$A$2:$AO$2,0))</f>
        <v>0</v>
      </c>
      <c r="G276" s="56"/>
      <c r="H276" s="7"/>
      <c r="I276" s="19"/>
      <c r="J276" s="26"/>
      <c r="K276" s="7"/>
      <c r="L276" s="39">
        <f>SUMIFS([1]BV_Data_An_Cour!$AM:$AM,[1]BV_Data_An_Cour!$AP:$AP,$B276,[1]BV_Data_An_Cour!$AQ:$AQ,$C276,[1]BV_Data_An_Cour!$AR:$AR,$L$2)</f>
        <v>0</v>
      </c>
      <c r="M276" s="26"/>
      <c r="N276" s="39">
        <f t="shared" si="44"/>
        <v>0</v>
      </c>
      <c r="O276" s="26"/>
      <c r="P276" s="7"/>
      <c r="Q276" s="39">
        <f>SUMIFS([1]BV_Data_An_Prec!$AM:$AM,[1]BV_Data_An_Prec!$AP:$AP,$B276,[1]BV_Data_An_Prec!$AQ:$AQ,$C276,[1]BV_Data_An_Prec!$AR:$AR,$L$2)</f>
        <v>0</v>
      </c>
      <c r="R276" s="26"/>
      <c r="S276" s="39">
        <f t="shared" si="45"/>
        <v>0</v>
      </c>
      <c r="T276" s="7"/>
      <c r="U276" s="6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spans="1:40" ht="20.399999999999999" hidden="1" customHeight="1">
      <c r="A277" s="410" t="s">
        <v>361</v>
      </c>
      <c r="B277" s="7" t="s">
        <v>78</v>
      </c>
      <c r="C277" s="26" t="s">
        <v>19</v>
      </c>
      <c r="D277" s="54"/>
      <c r="E277" s="7"/>
      <c r="F277" s="19">
        <f>+INDEX('[1]Budget original'!$A$2:$AO$501,MATCH($A277,'[1]Budget original'!$A$2:$A$501,0),MATCH(F$2,'[1]Budget original'!$A$2:$AO$2,0))</f>
        <v>0</v>
      </c>
      <c r="G277" s="56"/>
      <c r="H277" s="7"/>
      <c r="I277" s="19"/>
      <c r="J277" s="26"/>
      <c r="K277" s="7"/>
      <c r="L277" s="39">
        <f>SUMIFS([1]BV_Data_An_Cour!$AM:$AM,[1]BV_Data_An_Cour!$AP:$AP,$B277,[1]BV_Data_An_Cour!$AQ:$AQ,$C277,[1]BV_Data_An_Cour!$AR:$AR,$L$2)</f>
        <v>0</v>
      </c>
      <c r="M277" s="26"/>
      <c r="N277" s="39">
        <f t="shared" si="44"/>
        <v>0</v>
      </c>
      <c r="O277" s="26"/>
      <c r="P277" s="7"/>
      <c r="Q277" s="39">
        <f>SUMIFS([1]BV_Data_An_Prec!$AM:$AM,[1]BV_Data_An_Prec!$AP:$AP,$B277,[1]BV_Data_An_Prec!$AQ:$AQ,$C277,[1]BV_Data_An_Prec!$AR:$AR,$L$2)</f>
        <v>0</v>
      </c>
      <c r="R277" s="26"/>
      <c r="S277" s="39">
        <f t="shared" si="45"/>
        <v>0</v>
      </c>
      <c r="T277" s="7"/>
      <c r="U277" s="6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spans="1:40" ht="20.399999999999999" hidden="1" customHeight="1">
      <c r="A278" s="410" t="s">
        <v>361</v>
      </c>
      <c r="B278" s="7" t="s">
        <v>78</v>
      </c>
      <c r="C278" s="26" t="s">
        <v>19</v>
      </c>
      <c r="D278" s="54"/>
      <c r="E278" s="7"/>
      <c r="F278" s="19">
        <f>+INDEX('[1]Budget original'!$A$2:$AO$501,MATCH($A278,'[1]Budget original'!$A$2:$A$501,0),MATCH(F$2,'[1]Budget original'!$A$2:$AO$2,0))</f>
        <v>0</v>
      </c>
      <c r="G278" s="56"/>
      <c r="H278" s="7"/>
      <c r="I278" s="19"/>
      <c r="J278" s="26"/>
      <c r="K278" s="7"/>
      <c r="L278" s="39">
        <f>SUMIFS([1]BV_Data_An_Cour!$AM:$AM,[1]BV_Data_An_Cour!$AP:$AP,$B278,[1]BV_Data_An_Cour!$AQ:$AQ,$C278,[1]BV_Data_An_Cour!$AR:$AR,$L$2)</f>
        <v>0</v>
      </c>
      <c r="M278" s="26"/>
      <c r="N278" s="39">
        <f t="shared" si="44"/>
        <v>0</v>
      </c>
      <c r="O278" s="26"/>
      <c r="P278" s="7"/>
      <c r="Q278" s="39">
        <f>SUMIFS([1]BV_Data_An_Prec!$AM:$AM,[1]BV_Data_An_Prec!$AP:$AP,$B278,[1]BV_Data_An_Prec!$AQ:$AQ,$C278,[1]BV_Data_An_Prec!$AR:$AR,$L$2)</f>
        <v>0</v>
      </c>
      <c r="R278" s="26"/>
      <c r="S278" s="39">
        <f t="shared" si="45"/>
        <v>0</v>
      </c>
      <c r="T278" s="7"/>
      <c r="U278" s="6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spans="1:40" ht="20.399999999999999">
      <c r="A279" s="410" t="s">
        <v>362</v>
      </c>
      <c r="B279" s="7" t="s">
        <v>78</v>
      </c>
      <c r="C279" s="272" t="s">
        <v>44</v>
      </c>
      <c r="D279" s="54"/>
      <c r="E279" s="7"/>
      <c r="F279" s="19">
        <f>+INDEX('[1]Budget original'!$A$2:$AO$501,MATCH($A279,'[1]Budget original'!$A$2:$A$501,0),MATCH(F$2,'[1]Budget original'!$A$2:$AO$2,0))</f>
        <v>0</v>
      </c>
      <c r="G279" s="56"/>
      <c r="H279" s="7"/>
      <c r="I279" s="19"/>
      <c r="J279" s="26"/>
      <c r="K279" s="7"/>
      <c r="L279" s="39">
        <f>SUMIFS([1]BV_Data_An_Cour!$AM:$AM,[1]BV_Data_An_Cour!$AP:$AP,$B279,[1]BV_Data_An_Cour!$AQ:$AQ,$C279,[1]BV_Data_An_Cour!$AR:$AR,$L$2)</f>
        <v>15868.100000000006</v>
      </c>
      <c r="M279" s="26"/>
      <c r="N279" s="39">
        <f t="shared" si="44"/>
        <v>15868.100000000006</v>
      </c>
      <c r="O279" s="26"/>
      <c r="P279" s="7"/>
      <c r="Q279" s="39">
        <f>SUMIFS([1]BV_Data_An_Prec!$AM:$AM,[1]BV_Data_An_Prec!$AP:$AP,$B279,[1]BV_Data_An_Prec!$AQ:$AQ,$C279,[1]BV_Data_An_Prec!$AR:$AR,$L$2)</f>
        <v>24874.010000000009</v>
      </c>
      <c r="R279" s="26"/>
      <c r="S279" s="39">
        <f t="shared" si="45"/>
        <v>-9005.9100000000035</v>
      </c>
      <c r="T279" s="7"/>
      <c r="U279" s="6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spans="1:40" ht="15.75" customHeight="1">
      <c r="A280" s="410" t="s">
        <v>363</v>
      </c>
      <c r="B280" s="7" t="s">
        <v>78</v>
      </c>
      <c r="C280" s="271" t="s">
        <v>45</v>
      </c>
      <c r="D280" s="68"/>
      <c r="E280" s="69"/>
      <c r="F280" s="36">
        <f>+INDEX('[1]Budget original'!$A$2:$AO$501,MATCH($A280,'[1]Budget original'!$A$2:$A$501,0),MATCH(F$2,'[1]Budget original'!$A$2:$AO$2,0))</f>
        <v>0</v>
      </c>
      <c r="G280" s="70"/>
      <c r="H280" s="69"/>
      <c r="I280" s="36"/>
      <c r="J280" s="71"/>
      <c r="K280" s="69"/>
      <c r="L280" s="72">
        <f>SUMIFS([1]BV_Data_An_Cour!$AM:$AM,[1]BV_Data_An_Cour!$AP:$AP,$B280,[1]BV_Data_An_Cour!$AQ:$AQ,$C280,[1]BV_Data_An_Cour!$AR:$AR,$L$2)</f>
        <v>13324.739999999991</v>
      </c>
      <c r="M280" s="71"/>
      <c r="N280" s="72">
        <f t="shared" si="44"/>
        <v>13324.739999999991</v>
      </c>
      <c r="O280" s="71"/>
      <c r="P280" s="69"/>
      <c r="Q280" s="72">
        <f>SUMIFS([1]BV_Data_An_Prec!$AM:$AM,[1]BV_Data_An_Prec!$AP:$AP,$B280,[1]BV_Data_An_Prec!$AQ:$AQ,$C280,[1]BV_Data_An_Prec!$AR:$AR,$L$2)</f>
        <v>10851.210000000006</v>
      </c>
      <c r="R280" s="71"/>
      <c r="S280" s="72">
        <f t="shared" si="45"/>
        <v>2473.5299999999843</v>
      </c>
      <c r="T280" s="7"/>
      <c r="U280" s="6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spans="1:40" ht="15.75" customHeight="1">
      <c r="A281" s="410" t="s">
        <v>364</v>
      </c>
      <c r="B281" s="7" t="s">
        <v>78</v>
      </c>
      <c r="C281" s="271" t="s">
        <v>46</v>
      </c>
      <c r="D281" s="54"/>
      <c r="E281" s="7"/>
      <c r="F281" s="19">
        <f>+INDEX('[1]Budget original'!$A$2:$AO$501,MATCH($A281,'[1]Budget original'!$A$2:$A$501,0),MATCH(F$2,'[1]Budget original'!$A$2:$AO$2,0))</f>
        <v>0</v>
      </c>
      <c r="G281" s="56"/>
      <c r="H281" s="7"/>
      <c r="I281" s="19"/>
      <c r="J281" s="26"/>
      <c r="K281" s="7"/>
      <c r="L281" s="39">
        <f>SUMIFS([1]BV_Data_An_Cour!$AM:$AM,[1]BV_Data_An_Cour!$AP:$AP,$B281,[1]BV_Data_An_Cour!$AQ:$AQ,$C281,[1]BV_Data_An_Cour!$AR:$AR,$L$2)</f>
        <v>5623.0500000000029</v>
      </c>
      <c r="M281" s="26"/>
      <c r="N281" s="39">
        <f t="shared" si="44"/>
        <v>5623.0500000000029</v>
      </c>
      <c r="O281" s="26"/>
      <c r="P281" s="7"/>
      <c r="Q281" s="39">
        <f>SUMIFS([1]BV_Data_An_Prec!$AM:$AM,[1]BV_Data_An_Prec!$AP:$AP,$B281,[1]BV_Data_An_Prec!$AQ:$AQ,$C281,[1]BV_Data_An_Prec!$AR:$AR,$L$2)</f>
        <v>9511.3800000000047</v>
      </c>
      <c r="R281" s="26"/>
      <c r="S281" s="39">
        <f t="shared" si="45"/>
        <v>-3888.3300000000017</v>
      </c>
      <c r="T281" s="7"/>
      <c r="U281" s="6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spans="1:40" ht="15.75" customHeight="1">
      <c r="A282" s="410" t="s">
        <v>365</v>
      </c>
      <c r="B282" s="7" t="s">
        <v>78</v>
      </c>
      <c r="C282" s="271" t="s">
        <v>47</v>
      </c>
      <c r="D282" s="54"/>
      <c r="E282" s="7"/>
      <c r="F282" s="19">
        <f>+INDEX('[1]Budget original'!$A$2:$AO$501,MATCH($A282,'[1]Budget original'!$A$2:$A$501,0),MATCH(F$2,'[1]Budget original'!$A$2:$AO$2,0))</f>
        <v>0</v>
      </c>
      <c r="G282" s="56"/>
      <c r="H282" s="7"/>
      <c r="I282" s="19"/>
      <c r="J282" s="26"/>
      <c r="K282" s="7"/>
      <c r="L282" s="39">
        <f>SUMIFS([1]BV_Data_An_Cour!$AM:$AM,[1]BV_Data_An_Cour!$AP:$AP,$B282,[1]BV_Data_An_Cour!$AQ:$AQ,$C282,[1]BV_Data_An_Cour!$AR:$AR,$L$2)</f>
        <v>3712.4700000000012</v>
      </c>
      <c r="M282" s="26"/>
      <c r="N282" s="39">
        <f t="shared" si="44"/>
        <v>3712.4700000000012</v>
      </c>
      <c r="O282" s="26"/>
      <c r="P282" s="7"/>
      <c r="Q282" s="39">
        <f>SUMIFS([1]BV_Data_An_Prec!$AM:$AM,[1]BV_Data_An_Prec!$AP:$AP,$B282,[1]BV_Data_An_Prec!$AQ:$AQ,$C282,[1]BV_Data_An_Prec!$AR:$AR,$L$2)</f>
        <v>1005.04</v>
      </c>
      <c r="R282" s="26"/>
      <c r="S282" s="39">
        <f t="shared" si="45"/>
        <v>2707.4300000000012</v>
      </c>
      <c r="T282" s="7"/>
      <c r="U282" s="6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spans="1:40" ht="20.399999999999999" hidden="1" customHeight="1">
      <c r="A283" s="410" t="s">
        <v>361</v>
      </c>
      <c r="B283" s="7" t="s">
        <v>78</v>
      </c>
      <c r="C283" s="26" t="s">
        <v>19</v>
      </c>
      <c r="D283" s="57"/>
      <c r="E283" s="73"/>
      <c r="F283" s="19">
        <f>+INDEX('[1]Budget original'!$A$2:$AO$501,MATCH($A283,'[1]Budget original'!$A$2:$A$501,0),MATCH(F$2,'[1]Budget original'!$A$2:$AO$2,0))</f>
        <v>0</v>
      </c>
      <c r="G283" s="59"/>
      <c r="H283" s="73"/>
      <c r="I283" s="19"/>
      <c r="J283" s="14"/>
      <c r="K283" s="73"/>
      <c r="L283" s="39">
        <f>SUMIFS([1]BV_Data_An_Cour!$AM:$AM,[1]BV_Data_An_Cour!$AP:$AP,$B283,[1]BV_Data_An_Cour!$AQ:$AQ,$C283,[1]BV_Data_An_Cour!$AR:$AR,$L$2)</f>
        <v>0</v>
      </c>
      <c r="M283" s="14"/>
      <c r="N283" s="21">
        <f t="shared" si="44"/>
        <v>0</v>
      </c>
      <c r="O283" s="14"/>
      <c r="P283" s="73"/>
      <c r="Q283" s="39">
        <f>SUMIFS([1]BV_Data_An_Prec!$AM:$AM,[1]BV_Data_An_Prec!$AP:$AP,$B283,[1]BV_Data_An_Prec!$AQ:$AQ,$C283,[1]BV_Data_An_Prec!$AR:$AR,$L$2)</f>
        <v>0</v>
      </c>
      <c r="R283" s="14"/>
      <c r="S283" s="61">
        <f t="shared" si="45"/>
        <v>0</v>
      </c>
      <c r="T283" s="7"/>
      <c r="U283" s="6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spans="1:40" ht="18.600000000000001" customHeight="1">
      <c r="A284" s="410" t="s">
        <v>366</v>
      </c>
      <c r="B284" s="7" t="s">
        <v>78</v>
      </c>
      <c r="C284" s="139" t="s">
        <v>48</v>
      </c>
      <c r="D284" s="62" t="s">
        <v>92</v>
      </c>
      <c r="E284" s="63" t="e">
        <f>F284/F$268</f>
        <v>#DIV/0!</v>
      </c>
      <c r="F284" s="64">
        <f>+SUM(F272:F283)</f>
        <v>0</v>
      </c>
      <c r="G284" s="65"/>
      <c r="H284" s="63"/>
      <c r="I284" s="64"/>
      <c r="J284" s="65" t="s">
        <v>92</v>
      </c>
      <c r="K284" s="63">
        <f>L284/L$268</f>
        <v>0.78402596663663016</v>
      </c>
      <c r="L284" s="64">
        <f>+SUM(L272:L283)</f>
        <v>88877.85</v>
      </c>
      <c r="M284" s="66"/>
      <c r="N284" s="64">
        <f t="shared" si="44"/>
        <v>88877.85</v>
      </c>
      <c r="O284" s="65" t="s">
        <v>92</v>
      </c>
      <c r="P284" s="63">
        <f>Q284/Q$268</f>
        <v>0.78902966479941405</v>
      </c>
      <c r="Q284" s="64">
        <f>+SUM(Q272:Q283)</f>
        <v>106899.68</v>
      </c>
      <c r="R284" s="67"/>
      <c r="S284" s="64">
        <f t="shared" si="45"/>
        <v>-18021.829999999987</v>
      </c>
      <c r="T284" s="7"/>
      <c r="U284" s="6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spans="1:40" ht="15.75" customHeight="1">
      <c r="A285" s="410" t="s">
        <v>367</v>
      </c>
      <c r="B285" s="7" t="s">
        <v>78</v>
      </c>
      <c r="C285" s="26" t="s">
        <v>49</v>
      </c>
      <c r="D285" s="54"/>
      <c r="E285" s="7"/>
      <c r="F285" s="19">
        <f>+INDEX('[1]Budget original'!$A$2:$AO$501,MATCH($A285,'[1]Budget original'!$A$2:$A$501,0),MATCH(F$2,'[1]Budget original'!$A$2:$AO$2,0))</f>
        <v>0</v>
      </c>
      <c r="G285" s="56"/>
      <c r="H285" s="7"/>
      <c r="I285" s="19"/>
      <c r="J285" s="26"/>
      <c r="K285" s="7"/>
      <c r="L285" s="39">
        <f>SUMIFS([1]BV_Data_An_Cour!$AM:$AM,[1]BV_Data_An_Cour!$AP:$AP,$B285,[1]BV_Data_An_Cour!$AQ:$AQ,$C285,[1]BV_Data_An_Cour!$AR:$AR,$L$2)</f>
        <v>1608.5099999999993</v>
      </c>
      <c r="M285" s="26"/>
      <c r="N285" s="39">
        <f t="shared" si="44"/>
        <v>1608.5099999999993</v>
      </c>
      <c r="O285" s="26"/>
      <c r="P285" s="7"/>
      <c r="Q285" s="39">
        <f>SUMIFS([1]BV_Data_An_Prec!$AM:$AM,[1]BV_Data_An_Prec!$AP:$AP,$B285,[1]BV_Data_An_Prec!$AQ:$AQ,$C285,[1]BV_Data_An_Prec!$AR:$AR,$L$2)</f>
        <v>1188.7200000000003</v>
      </c>
      <c r="R285" s="26"/>
      <c r="S285" s="39">
        <f t="shared" si="45"/>
        <v>419.78999999999905</v>
      </c>
      <c r="T285" s="7"/>
      <c r="U285" s="6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spans="1:40" ht="15.75" customHeight="1">
      <c r="A286" s="410" t="s">
        <v>368</v>
      </c>
      <c r="B286" s="7" t="s">
        <v>78</v>
      </c>
      <c r="C286" s="26" t="s">
        <v>50</v>
      </c>
      <c r="D286" s="54"/>
      <c r="E286" s="7"/>
      <c r="F286" s="19">
        <f>+INDEX('[1]Budget original'!$A$2:$AO$501,MATCH($A286,'[1]Budget original'!$A$2:$A$501,0),MATCH(F$2,'[1]Budget original'!$A$2:$AO$2,0))</f>
        <v>0</v>
      </c>
      <c r="G286" s="56"/>
      <c r="H286" s="7"/>
      <c r="I286" s="19"/>
      <c r="J286" s="26"/>
      <c r="K286" s="7"/>
      <c r="L286" s="39">
        <f>SUMIFS([1]BV_Data_An_Cour!$AM:$AM,[1]BV_Data_An_Cour!$AP:$AP,$B286,[1]BV_Data_An_Cour!$AQ:$AQ,$C286,[1]BV_Data_An_Cour!$AR:$AR,$L$2)</f>
        <v>4598.1100000000006</v>
      </c>
      <c r="M286" s="26"/>
      <c r="N286" s="39">
        <f t="shared" si="44"/>
        <v>4598.1100000000006</v>
      </c>
      <c r="O286" s="26"/>
      <c r="P286" s="7"/>
      <c r="Q286" s="39">
        <f>SUMIFS([1]BV_Data_An_Prec!$AM:$AM,[1]BV_Data_An_Prec!$AP:$AP,$B286,[1]BV_Data_An_Prec!$AQ:$AQ,$C286,[1]BV_Data_An_Prec!$AR:$AR,$L$2)</f>
        <v>1299.6200000000008</v>
      </c>
      <c r="R286" s="26"/>
      <c r="S286" s="39">
        <f t="shared" si="45"/>
        <v>3298.49</v>
      </c>
      <c r="T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spans="1:40" ht="15.75" customHeight="1">
      <c r="A287" s="410" t="s">
        <v>369</v>
      </c>
      <c r="B287" s="7" t="s">
        <v>78</v>
      </c>
      <c r="C287" s="14" t="s">
        <v>51</v>
      </c>
      <c r="D287" s="57"/>
      <c r="E287" s="73"/>
      <c r="F287" s="31">
        <f>+INDEX('[1]Budget original'!$A$2:$AO$501,MATCH($A287,'[1]Budget original'!$A$2:$A$501,0),MATCH(F$2,'[1]Budget original'!$A$2:$AO$2,0))</f>
        <v>0</v>
      </c>
      <c r="G287" s="59"/>
      <c r="H287" s="73"/>
      <c r="I287" s="31"/>
      <c r="J287" s="14"/>
      <c r="K287" s="73"/>
      <c r="L287" s="39">
        <f>SUMIFS([1]BV_Data_An_Cour!$AM:$AM,[1]BV_Data_An_Cour!$AP:$AP,$B287,[1]BV_Data_An_Cour!$AQ:$AQ,$C287,[1]BV_Data_An_Cour!$AR:$AR,$L$2)</f>
        <v>13172.310000000005</v>
      </c>
      <c r="M287" s="14"/>
      <c r="N287" s="61">
        <f t="shared" si="44"/>
        <v>13172.310000000005</v>
      </c>
      <c r="O287" s="14"/>
      <c r="P287" s="73"/>
      <c r="Q287" s="39">
        <f>SUMIFS([1]BV_Data_An_Prec!$AM:$AM,[1]BV_Data_An_Prec!$AP:$AP,$B287,[1]BV_Data_An_Prec!$AQ:$AQ,$C287,[1]BV_Data_An_Prec!$AR:$AR,$L$2)</f>
        <v>10703.549999999996</v>
      </c>
      <c r="R287" s="14"/>
      <c r="S287" s="61">
        <f t="shared" si="45"/>
        <v>2468.7600000000093</v>
      </c>
      <c r="T287" s="7"/>
      <c r="U287" s="6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spans="1:40" ht="15.75" customHeight="1">
      <c r="A288" s="410" t="s">
        <v>370</v>
      </c>
      <c r="B288" s="7" t="s">
        <v>78</v>
      </c>
      <c r="C288" s="26" t="s">
        <v>52</v>
      </c>
      <c r="D288" s="54"/>
      <c r="E288" s="7"/>
      <c r="F288" s="19">
        <f>+INDEX('[1]Budget original'!$A$2:$AO$501,MATCH($A288,'[1]Budget original'!$A$2:$A$501,0),MATCH(F$2,'[1]Budget original'!$A$2:$AO$2,0))</f>
        <v>0</v>
      </c>
      <c r="G288" s="56"/>
      <c r="H288" s="7"/>
      <c r="I288" s="19"/>
      <c r="J288" s="26"/>
      <c r="K288" s="7"/>
      <c r="L288" s="72">
        <f>SUMIFS([1]BV_Data_An_Cour!$AM:$AM,[1]BV_Data_An_Cour!$AP:$AP,$B288,[1]BV_Data_An_Cour!$AQ:$AQ,$C288,[1]BV_Data_An_Cour!$AR:$AR,$L$2)</f>
        <v>4088.59</v>
      </c>
      <c r="M288" s="26"/>
      <c r="N288" s="39">
        <f t="shared" si="44"/>
        <v>4088.59</v>
      </c>
      <c r="O288" s="26"/>
      <c r="P288" s="7"/>
      <c r="Q288" s="72">
        <f>SUMIFS([1]BV_Data_An_Prec!$AM:$AM,[1]BV_Data_An_Prec!$AP:$AP,$B288,[1]BV_Data_An_Prec!$AQ:$AQ,$C288,[1]BV_Data_An_Prec!$AR:$AR,$L$2)</f>
        <v>3059.0899999999983</v>
      </c>
      <c r="R288" s="26"/>
      <c r="S288" s="39">
        <f t="shared" si="45"/>
        <v>1029.5000000000018</v>
      </c>
      <c r="T288" s="7"/>
      <c r="U288" s="6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spans="1:40" ht="15.75" customHeight="1">
      <c r="A289" s="410" t="s">
        <v>371</v>
      </c>
      <c r="B289" s="7" t="s">
        <v>78</v>
      </c>
      <c r="C289" s="26" t="s">
        <v>53</v>
      </c>
      <c r="D289" s="54"/>
      <c r="E289" s="7"/>
      <c r="F289" s="19">
        <f>+INDEX('[1]Budget original'!$A$2:$AO$501,MATCH($A289,'[1]Budget original'!$A$2:$A$501,0),MATCH(F$2,'[1]Budget original'!$A$2:$AO$2,0))</f>
        <v>0</v>
      </c>
      <c r="G289" s="56"/>
      <c r="H289" s="7"/>
      <c r="I289" s="19"/>
      <c r="J289" s="26"/>
      <c r="K289" s="7"/>
      <c r="L289" s="39">
        <f>SUMIFS([1]BV_Data_An_Cour!$AM:$AM,[1]BV_Data_An_Cour!$AP:$AP,$B289,[1]BV_Data_An_Cour!$AQ:$AQ,$C289,[1]BV_Data_An_Cour!$AR:$AR,$L$2)</f>
        <v>555.04000000000087</v>
      </c>
      <c r="M289" s="26"/>
      <c r="N289" s="39">
        <f t="shared" si="44"/>
        <v>555.04000000000087</v>
      </c>
      <c r="O289" s="26"/>
      <c r="P289" s="7"/>
      <c r="Q289" s="39">
        <f>SUMIFS([1]BV_Data_An_Prec!$AM:$AM,[1]BV_Data_An_Prec!$AP:$AP,$B289,[1]BV_Data_An_Prec!$AQ:$AQ,$C289,[1]BV_Data_An_Prec!$AR:$AR,$L$2)</f>
        <v>1541.6200000000022</v>
      </c>
      <c r="R289" s="26"/>
      <c r="S289" s="39">
        <f t="shared" si="45"/>
        <v>-986.58000000000129</v>
      </c>
      <c r="T289" s="7"/>
      <c r="U289" s="6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spans="1:40" ht="15.75" customHeight="1">
      <c r="A290" s="410" t="s">
        <v>372</v>
      </c>
      <c r="B290" s="7" t="s">
        <v>78</v>
      </c>
      <c r="C290" s="14" t="s">
        <v>54</v>
      </c>
      <c r="D290" s="57"/>
      <c r="E290" s="73"/>
      <c r="F290" s="31">
        <f>+INDEX('[1]Budget original'!$A$2:$AO$501,MATCH($A290,'[1]Budget original'!$A$2:$A$501,0),MATCH(F$2,'[1]Budget original'!$A$2:$AO$2,0))</f>
        <v>0</v>
      </c>
      <c r="G290" s="59"/>
      <c r="H290" s="73"/>
      <c r="I290" s="31"/>
      <c r="J290" s="14"/>
      <c r="K290" s="73"/>
      <c r="L290" s="39">
        <f>SUMIFS([1]BV_Data_An_Cour!$AM:$AM,[1]BV_Data_An_Cour!$AP:$AP,$B290,[1]BV_Data_An_Cour!$AQ:$AQ,$C290,[1]BV_Data_An_Cour!$AR:$AR,$L$2)</f>
        <v>10967.330000000002</v>
      </c>
      <c r="M290" s="14"/>
      <c r="N290" s="61">
        <f t="shared" si="44"/>
        <v>10967.330000000002</v>
      </c>
      <c r="O290" s="14"/>
      <c r="P290" s="73"/>
      <c r="Q290" s="39">
        <f>SUMIFS([1]BV_Data_An_Prec!$AM:$AM,[1]BV_Data_An_Prec!$AP:$AP,$B290,[1]BV_Data_An_Prec!$AQ:$AQ,$C290,[1]BV_Data_An_Prec!$AR:$AR,$L$2)</f>
        <v>14019.160000000003</v>
      </c>
      <c r="R290" s="14"/>
      <c r="S290" s="61">
        <f t="shared" si="45"/>
        <v>-3051.8300000000017</v>
      </c>
      <c r="T290" s="7"/>
      <c r="U290" s="6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spans="1:40" ht="15.75" customHeight="1">
      <c r="A291" s="410" t="s">
        <v>373</v>
      </c>
      <c r="B291" s="7" t="s">
        <v>78</v>
      </c>
      <c r="C291" s="26" t="s">
        <v>93</v>
      </c>
      <c r="D291" s="54"/>
      <c r="E291" s="7"/>
      <c r="F291" s="19"/>
      <c r="G291" s="56"/>
      <c r="H291" s="7"/>
      <c r="I291" s="19"/>
      <c r="J291" s="26"/>
      <c r="K291" s="7"/>
      <c r="L291" s="72">
        <f>SUMIFS([1]BV_Data_An_Cour!$AM:$AM,[1]BV_Data_An_Cour!$AP:$AP,$B291,[1]BV_Data_An_Cour!$AQ:$AQ,$C291,[1]BV_Data_An_Cour!$AR:$AR,$L$2)</f>
        <v>0</v>
      </c>
      <c r="M291" s="26"/>
      <c r="N291" s="39">
        <f t="shared" si="44"/>
        <v>0</v>
      </c>
      <c r="O291" s="26"/>
      <c r="P291" s="7"/>
      <c r="Q291" s="72">
        <f>SUMIFS([1]BV_Data_An_Prec!$AM:$AM,[1]BV_Data_An_Prec!$AP:$AP,$B291,[1]BV_Data_An_Prec!$AQ:$AQ,$C291,[1]BV_Data_An_Prec!$AR:$AR,$L$2)</f>
        <v>0</v>
      </c>
      <c r="R291" s="26"/>
      <c r="S291" s="39">
        <f t="shared" si="45"/>
        <v>0</v>
      </c>
      <c r="T291" s="7"/>
      <c r="U291" s="6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spans="1:40" ht="15.75" customHeight="1">
      <c r="A292" s="410" t="s">
        <v>374</v>
      </c>
      <c r="B292" s="7" t="s">
        <v>78</v>
      </c>
      <c r="C292" s="26" t="s">
        <v>55</v>
      </c>
      <c r="D292" s="54"/>
      <c r="E292" s="7"/>
      <c r="F292" s="19">
        <f>+INDEX('[1]Budget original'!$A$2:$AO$501,MATCH($A292,'[1]Budget original'!$A$2:$A$501,0),MATCH(F$2,'[1]Budget original'!$A$2:$AO$2,0))</f>
        <v>0</v>
      </c>
      <c r="G292" s="56"/>
      <c r="H292" s="7"/>
      <c r="I292" s="19"/>
      <c r="J292" s="26"/>
      <c r="K292" s="7"/>
      <c r="L292" s="39">
        <f>SUMIFS([1]BV_Data_An_Cour!$AM:$AM,[1]BV_Data_An_Cour!$AP:$AP,$B292,[1]BV_Data_An_Cour!$AQ:$AQ,$C292,[1]BV_Data_An_Cour!$AR:$AR,$L$2)</f>
        <v>4864.8400000000038</v>
      </c>
      <c r="M292" s="26"/>
      <c r="N292" s="39">
        <f t="shared" si="44"/>
        <v>4864.8400000000038</v>
      </c>
      <c r="O292" s="26"/>
      <c r="P292" s="7"/>
      <c r="Q292" s="39">
        <f>SUMIFS([1]BV_Data_An_Prec!$AM:$AM,[1]BV_Data_An_Prec!$AP:$AP,$B292,[1]BV_Data_An_Prec!$AQ:$AQ,$C292,[1]BV_Data_An_Prec!$AR:$AR,$L$2)</f>
        <v>5690.52</v>
      </c>
      <c r="R292" s="26"/>
      <c r="S292" s="39">
        <f t="shared" si="45"/>
        <v>-825.67999999999665</v>
      </c>
      <c r="T292" s="7"/>
      <c r="U292" s="6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spans="1:40" ht="15.75" customHeight="1">
      <c r="A293" s="410" t="s">
        <v>375</v>
      </c>
      <c r="B293" s="7" t="s">
        <v>78</v>
      </c>
      <c r="C293" s="26" t="s">
        <v>56</v>
      </c>
      <c r="D293" s="54"/>
      <c r="E293" s="7"/>
      <c r="F293" s="19">
        <f>+INDEX('[1]Budget original'!$A$2:$AO$501,MATCH($A293,'[1]Budget original'!$A$2:$A$501,0),MATCH(F$2,'[1]Budget original'!$A$2:$AO$2,0))</f>
        <v>0</v>
      </c>
      <c r="G293" s="56"/>
      <c r="H293" s="7"/>
      <c r="I293" s="19"/>
      <c r="J293" s="26"/>
      <c r="K293" s="7"/>
      <c r="L293" s="39">
        <f>SUMIFS([1]BV_Data_An_Cour!$AM:$AM,[1]BV_Data_An_Cour!$AP:$AP,$B293,[1]BV_Data_An_Cour!$AQ:$AQ,$C293,[1]BV_Data_An_Cour!$AR:$AR,$L$2)</f>
        <v>0</v>
      </c>
      <c r="M293" s="26"/>
      <c r="N293" s="39">
        <f t="shared" si="44"/>
        <v>0</v>
      </c>
      <c r="O293" s="26"/>
      <c r="P293" s="7"/>
      <c r="Q293" s="39">
        <f>SUMIFS([1]BV_Data_An_Prec!$AM:$AM,[1]BV_Data_An_Prec!$AP:$AP,$B293,[1]BV_Data_An_Prec!$AQ:$AQ,$C293,[1]BV_Data_An_Prec!$AR:$AR,$L$2)</f>
        <v>0</v>
      </c>
      <c r="R293" s="26"/>
      <c r="S293" s="39">
        <f t="shared" si="45"/>
        <v>0</v>
      </c>
      <c r="T293" s="7"/>
      <c r="U293" s="6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spans="1:40" ht="15.75" customHeight="1">
      <c r="A294" s="410" t="s">
        <v>376</v>
      </c>
      <c r="B294" s="7" t="s">
        <v>78</v>
      </c>
      <c r="C294" s="26" t="s">
        <v>57</v>
      </c>
      <c r="D294" s="54"/>
      <c r="E294" s="7"/>
      <c r="F294" s="19">
        <f>+INDEX('[1]Budget original'!$A$2:$AO$501,MATCH($A294,'[1]Budget original'!$A$2:$A$501,0),MATCH(F$2,'[1]Budget original'!$A$2:$AO$2,0))</f>
        <v>0</v>
      </c>
      <c r="G294" s="56"/>
      <c r="H294" s="7"/>
      <c r="I294" s="19"/>
      <c r="J294" s="26"/>
      <c r="K294" s="7"/>
      <c r="L294" s="39">
        <f>SUMIFS([1]BV_Data_An_Cour!$AM:$AM,[1]BV_Data_An_Cour!$AP:$AP,$B294,[1]BV_Data_An_Cour!$AQ:$AQ,$C294,[1]BV_Data_An_Cour!$AR:$AR,$L$2)</f>
        <v>383.20999999999913</v>
      </c>
      <c r="M294" s="26"/>
      <c r="N294" s="39">
        <f t="shared" si="44"/>
        <v>383.20999999999913</v>
      </c>
      <c r="O294" s="26"/>
      <c r="P294" s="55"/>
      <c r="Q294" s="39">
        <f>SUMIFS([1]BV_Data_An_Prec!$AM:$AM,[1]BV_Data_An_Prec!$AP:$AP,$B294,[1]BV_Data_An_Prec!$AQ:$AQ,$C294,[1]BV_Data_An_Prec!$AR:$AR,$L$2)</f>
        <v>1456.2999999999993</v>
      </c>
      <c r="R294" s="26"/>
      <c r="S294" s="39">
        <f t="shared" si="45"/>
        <v>-1073.0900000000001</v>
      </c>
      <c r="T294" s="7"/>
      <c r="U294" s="6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spans="1:40" ht="15.75" customHeight="1">
      <c r="A295" s="410" t="s">
        <v>377</v>
      </c>
      <c r="B295" s="7" t="s">
        <v>78</v>
      </c>
      <c r="C295" s="26" t="s">
        <v>58</v>
      </c>
      <c r="D295" s="54"/>
      <c r="E295" s="7"/>
      <c r="F295" s="19">
        <f>+INDEX('[1]Budget original'!$A$2:$AO$501,MATCH($A295,'[1]Budget original'!$A$2:$A$501,0),MATCH(F$2,'[1]Budget original'!$A$2:$AO$2,0))</f>
        <v>0</v>
      </c>
      <c r="G295" s="56"/>
      <c r="H295" s="7"/>
      <c r="I295" s="19"/>
      <c r="J295" s="26"/>
      <c r="K295" s="7"/>
      <c r="L295" s="39">
        <f>SUMIFS([1]BV_Data_An_Cour!$AM:$AM,[1]BV_Data_An_Cour!$AP:$AP,$B295,[1]BV_Data_An_Cour!$AQ:$AQ,$C295,[1]BV_Data_An_Cour!$AR:$AR,$L$2)</f>
        <v>815.04999999999973</v>
      </c>
      <c r="M295" s="26"/>
      <c r="N295" s="39">
        <f t="shared" si="44"/>
        <v>815.04999999999973</v>
      </c>
      <c r="O295" s="26"/>
      <c r="P295" s="7"/>
      <c r="Q295" s="39">
        <f>SUMIFS([1]BV_Data_An_Prec!$AM:$AM,[1]BV_Data_An_Prec!$AP:$AP,$B295,[1]BV_Data_An_Prec!$AQ:$AQ,$C295,[1]BV_Data_An_Prec!$AR:$AR,$L$2)</f>
        <v>1083.7699999999995</v>
      </c>
      <c r="R295" s="26"/>
      <c r="S295" s="39">
        <f t="shared" si="45"/>
        <v>-268.7199999999998</v>
      </c>
      <c r="T295" s="7"/>
      <c r="U295" s="6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spans="1:40" ht="15.75" customHeight="1">
      <c r="A296" s="410" t="s">
        <v>378</v>
      </c>
      <c r="B296" s="7" t="s">
        <v>78</v>
      </c>
      <c r="C296" s="26" t="s">
        <v>59</v>
      </c>
      <c r="D296" s="54"/>
      <c r="E296" s="7"/>
      <c r="F296" s="19">
        <f>+INDEX('[1]Budget original'!$A$2:$AO$501,MATCH($A296,'[1]Budget original'!$A$2:$A$501,0),MATCH(F$2,'[1]Budget original'!$A$2:$AO$2,0))</f>
        <v>0</v>
      </c>
      <c r="G296" s="56"/>
      <c r="H296" s="7"/>
      <c r="I296" s="19"/>
      <c r="J296" s="26"/>
      <c r="K296" s="7"/>
      <c r="L296" s="39">
        <f>SUMIFS([1]BV_Data_An_Cour!$AM:$AM,[1]BV_Data_An_Cour!$AP:$AP,$B296,[1]BV_Data_An_Cour!$AQ:$AQ,$C296,[1]BV_Data_An_Cour!$AR:$AR,$L$2)</f>
        <v>897.17000000000007</v>
      </c>
      <c r="M296" s="26"/>
      <c r="N296" s="39">
        <f t="shared" si="44"/>
        <v>897.17000000000007</v>
      </c>
      <c r="O296" s="26"/>
      <c r="P296" s="7"/>
      <c r="Q296" s="39">
        <f>SUMIFS([1]BV_Data_An_Prec!$AM:$AM,[1]BV_Data_An_Prec!$AP:$AP,$B296,[1]BV_Data_An_Prec!$AQ:$AQ,$C296,[1]BV_Data_An_Prec!$AR:$AR,$L$2)</f>
        <v>715.44</v>
      </c>
      <c r="R296" s="26"/>
      <c r="S296" s="39">
        <f t="shared" si="45"/>
        <v>181.73000000000002</v>
      </c>
      <c r="T296" s="7"/>
      <c r="U296" s="6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spans="1:40" ht="15.75" customHeight="1">
      <c r="A297" s="410" t="s">
        <v>379</v>
      </c>
      <c r="B297" s="7" t="s">
        <v>78</v>
      </c>
      <c r="C297" s="26" t="s">
        <v>60</v>
      </c>
      <c r="D297" s="54"/>
      <c r="E297" s="7"/>
      <c r="F297" s="19">
        <f>+INDEX('[1]Budget original'!$A$2:$AO$501,MATCH($A297,'[1]Budget original'!$A$2:$A$501,0),MATCH(F$2,'[1]Budget original'!$A$2:$AO$2,0))</f>
        <v>0</v>
      </c>
      <c r="G297" s="56"/>
      <c r="H297" s="7"/>
      <c r="I297" s="19"/>
      <c r="J297" s="26"/>
      <c r="K297" s="7"/>
      <c r="L297" s="39">
        <f>SUMIFS([1]BV_Data_An_Cour!$AM:$AM,[1]BV_Data_An_Cour!$AP:$AP,$B297,[1]BV_Data_An_Cour!$AQ:$AQ,$C297,[1]BV_Data_An_Cour!$AR:$AR,$L$2)</f>
        <v>1044.5299999999997</v>
      </c>
      <c r="M297" s="26"/>
      <c r="N297" s="39">
        <f t="shared" si="44"/>
        <v>1044.5299999999997</v>
      </c>
      <c r="O297" s="26"/>
      <c r="P297" s="7"/>
      <c r="Q297" s="39">
        <f>SUMIFS([1]BV_Data_An_Prec!$AM:$AM,[1]BV_Data_An_Prec!$AP:$AP,$B297,[1]BV_Data_An_Prec!$AQ:$AQ,$C297,[1]BV_Data_An_Prec!$AR:$AR,$L$2)</f>
        <v>1464.94</v>
      </c>
      <c r="R297" s="26"/>
      <c r="S297" s="39">
        <f t="shared" si="45"/>
        <v>-420.41000000000031</v>
      </c>
      <c r="T297" s="7"/>
      <c r="U297" s="6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spans="1:40" ht="15.75" customHeight="1">
      <c r="A298" s="410" t="s">
        <v>380</v>
      </c>
      <c r="B298" s="7" t="s">
        <v>78</v>
      </c>
      <c r="C298" s="26" t="s">
        <v>61</v>
      </c>
      <c r="D298" s="54"/>
      <c r="E298" s="7"/>
      <c r="F298" s="19">
        <f>+INDEX('[1]Budget original'!$A$2:$AO$501,MATCH($A298,'[1]Budget original'!$A$2:$A$501,0),MATCH(F$2,'[1]Budget original'!$A$2:$AO$2,0))</f>
        <v>0</v>
      </c>
      <c r="G298" s="56"/>
      <c r="H298" s="7"/>
      <c r="I298" s="19"/>
      <c r="J298" s="26"/>
      <c r="K298" s="7"/>
      <c r="L298" s="39">
        <f>SUMIFS([1]BV_Data_An_Cour!$AM:$AM,[1]BV_Data_An_Cour!$AP:$AP,$B298,[1]BV_Data_An_Cour!$AQ:$AQ,$C298,[1]BV_Data_An_Cour!$AR:$AR,$L$2)</f>
        <v>542.5</v>
      </c>
      <c r="M298" s="26"/>
      <c r="N298" s="39">
        <f t="shared" si="44"/>
        <v>542.5</v>
      </c>
      <c r="O298" s="26"/>
      <c r="P298" s="7"/>
      <c r="Q298" s="39">
        <f>SUMIFS([1]BV_Data_An_Prec!$AM:$AM,[1]BV_Data_An_Prec!$AP:$AP,$B298,[1]BV_Data_An_Prec!$AQ:$AQ,$C298,[1]BV_Data_An_Prec!$AR:$AR,$L$2)</f>
        <v>1293.6000000000004</v>
      </c>
      <c r="R298" s="26"/>
      <c r="S298" s="39">
        <f t="shared" si="45"/>
        <v>-751.10000000000036</v>
      </c>
      <c r="T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spans="1:40" ht="15.75" customHeight="1">
      <c r="A299" s="410" t="s">
        <v>381</v>
      </c>
      <c r="B299" s="7" t="s">
        <v>78</v>
      </c>
      <c r="C299" s="26" t="s">
        <v>62</v>
      </c>
      <c r="D299" s="54"/>
      <c r="E299" s="7"/>
      <c r="F299" s="19">
        <f>+INDEX('[1]Budget original'!$A$2:$AO$501,MATCH($A299,'[1]Budget original'!$A$2:$A$501,0),MATCH(F$2,'[1]Budget original'!$A$2:$AO$2,0))</f>
        <v>0</v>
      </c>
      <c r="G299" s="56"/>
      <c r="H299" s="7"/>
      <c r="I299" s="19"/>
      <c r="J299" s="26"/>
      <c r="K299" s="7"/>
      <c r="L299" s="39">
        <f>SUMIFS([1]BV_Data_An_Cour!$AM:$AM,[1]BV_Data_An_Cour!$AP:$AP,$B299,[1]BV_Data_An_Cour!$AQ:$AQ,$C299,[1]BV_Data_An_Cour!$AR:$AR,$L$2)</f>
        <v>1450.5499999999993</v>
      </c>
      <c r="M299" s="26"/>
      <c r="N299" s="39">
        <f t="shared" si="44"/>
        <v>1450.5499999999993</v>
      </c>
      <c r="O299" s="26"/>
      <c r="P299" s="7"/>
      <c r="Q299" s="39">
        <f>SUMIFS([1]BV_Data_An_Prec!$AM:$AM,[1]BV_Data_An_Prec!$AP:$AP,$B299,[1]BV_Data_An_Prec!$AQ:$AQ,$C299,[1]BV_Data_An_Prec!$AR:$AR,$L$2)</f>
        <v>346.23</v>
      </c>
      <c r="R299" s="26"/>
      <c r="S299" s="39">
        <f t="shared" si="45"/>
        <v>1104.3199999999993</v>
      </c>
      <c r="T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spans="1:40" ht="20.399999999999999" hidden="1" customHeight="1">
      <c r="A300" s="410" t="s">
        <v>361</v>
      </c>
      <c r="B300" s="7" t="s">
        <v>78</v>
      </c>
      <c r="C300" s="26" t="s">
        <v>19</v>
      </c>
      <c r="D300" s="54"/>
      <c r="E300" s="7"/>
      <c r="F300" s="19">
        <f>+INDEX('[1]Budget original'!$A$2:$AO$501,MATCH($A300,'[1]Budget original'!$A$2:$A$501,0),MATCH(F$2,'[1]Budget original'!$A$2:$AO$2,0))</f>
        <v>0</v>
      </c>
      <c r="G300" s="56"/>
      <c r="H300" s="7"/>
      <c r="I300" s="19"/>
      <c r="J300" s="26"/>
      <c r="K300" s="7"/>
      <c r="L300" s="39">
        <f>SUMIFS([1]BV_Data_An_Cour!$AM:$AM,[1]BV_Data_An_Cour!$AP:$AP,$B300,[1]BV_Data_An_Cour!$AQ:$AQ,$C300,[1]BV_Data_An_Cour!$AR:$AR,$L$2)</f>
        <v>0</v>
      </c>
      <c r="M300" s="26"/>
      <c r="N300" s="39">
        <f t="shared" si="44"/>
        <v>0</v>
      </c>
      <c r="O300" s="26"/>
      <c r="P300" s="7"/>
      <c r="Q300" s="39">
        <f>SUMIFS([1]BV_Data_An_Prec!$AM:$AM,[1]BV_Data_An_Prec!$AP:$AP,$B300,[1]BV_Data_An_Prec!$AQ:$AQ,$C300,[1]BV_Data_An_Prec!$AR:$AR,$L$2)</f>
        <v>0</v>
      </c>
      <c r="R300" s="26"/>
      <c r="S300" s="39">
        <f t="shared" si="45"/>
        <v>0</v>
      </c>
      <c r="T300" s="7"/>
      <c r="U300" s="6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spans="1:40" ht="20.399999999999999" hidden="1" customHeight="1">
      <c r="A301" s="410" t="s">
        <v>361</v>
      </c>
      <c r="B301" s="7" t="s">
        <v>78</v>
      </c>
      <c r="C301" s="26" t="s">
        <v>19</v>
      </c>
      <c r="D301" s="54"/>
      <c r="E301" s="7"/>
      <c r="F301" s="19">
        <f>+INDEX('[1]Budget original'!$A$2:$AO$501,MATCH($A301,'[1]Budget original'!$A$2:$A$501,0),MATCH(F$2,'[1]Budget original'!$A$2:$AO$2,0))</f>
        <v>0</v>
      </c>
      <c r="G301" s="56"/>
      <c r="H301" s="7"/>
      <c r="I301" s="19"/>
      <c r="J301" s="26"/>
      <c r="K301" s="7"/>
      <c r="L301" s="39">
        <f>SUMIFS([1]BV_Data_An_Cour!$AM:$AM,[1]BV_Data_An_Cour!$AP:$AP,$B301,[1]BV_Data_An_Cour!$AQ:$AQ,$C301,[1]BV_Data_An_Cour!$AR:$AR,$L$2)</f>
        <v>0</v>
      </c>
      <c r="M301" s="26"/>
      <c r="N301" s="39">
        <f t="shared" si="44"/>
        <v>0</v>
      </c>
      <c r="O301" s="26"/>
      <c r="P301" s="7"/>
      <c r="Q301" s="39">
        <f>SUMIFS([1]BV_Data_An_Prec!$AM:$AM,[1]BV_Data_An_Prec!$AP:$AP,$B301,[1]BV_Data_An_Prec!$AQ:$AQ,$C301,[1]BV_Data_An_Prec!$AR:$AR,$L$2)</f>
        <v>0</v>
      </c>
      <c r="R301" s="26"/>
      <c r="S301" s="39">
        <f t="shared" si="45"/>
        <v>0</v>
      </c>
      <c r="T301" s="7"/>
      <c r="U301" s="6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spans="1:40" ht="20.399999999999999" hidden="1" customHeight="1">
      <c r="A302" s="410" t="s">
        <v>361</v>
      </c>
      <c r="B302" s="7" t="s">
        <v>78</v>
      </c>
      <c r="C302" s="26" t="s">
        <v>19</v>
      </c>
      <c r="D302" s="54"/>
      <c r="E302" s="7"/>
      <c r="F302" s="19">
        <f>+INDEX('[1]Budget original'!$A$2:$AO$501,MATCH($A302,'[1]Budget original'!$A$2:$A$501,0),MATCH(F$2,'[1]Budget original'!$A$2:$AO$2,0))</f>
        <v>0</v>
      </c>
      <c r="G302" s="56"/>
      <c r="H302" s="7"/>
      <c r="I302" s="19"/>
      <c r="J302" s="26"/>
      <c r="K302" s="7"/>
      <c r="L302" s="39">
        <f>SUMIFS([1]BV_Data_An_Cour!$AM:$AM,[1]BV_Data_An_Cour!$AP:$AP,$B302,[1]BV_Data_An_Cour!$AQ:$AQ,$C302,[1]BV_Data_An_Cour!$AR:$AR,$L$2)</f>
        <v>0</v>
      </c>
      <c r="M302" s="26"/>
      <c r="N302" s="39">
        <f t="shared" si="44"/>
        <v>0</v>
      </c>
      <c r="O302" s="26"/>
      <c r="P302" s="7"/>
      <c r="Q302" s="39">
        <f>SUMIFS([1]BV_Data_An_Prec!$AM:$AM,[1]BV_Data_An_Prec!$AP:$AP,$B302,[1]BV_Data_An_Prec!$AQ:$AQ,$C302,[1]BV_Data_An_Prec!$AR:$AR,$L$2)</f>
        <v>0</v>
      </c>
      <c r="R302" s="26"/>
      <c r="S302" s="39">
        <f t="shared" si="45"/>
        <v>0</v>
      </c>
      <c r="T302" s="7"/>
      <c r="U302" s="6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spans="1:40" ht="18.600000000000001" customHeight="1">
      <c r="A303" s="410"/>
      <c r="B303" s="7"/>
      <c r="C303" s="139" t="s">
        <v>63</v>
      </c>
      <c r="D303" s="62" t="s">
        <v>92</v>
      </c>
      <c r="E303" s="63" t="e">
        <f>F303/F$268</f>
        <v>#DIV/0!</v>
      </c>
      <c r="F303" s="64">
        <f>+SUM(F285:F302)</f>
        <v>0</v>
      </c>
      <c r="G303" s="65"/>
      <c r="H303" s="63"/>
      <c r="I303" s="64"/>
      <c r="J303" s="65" t="s">
        <v>92</v>
      </c>
      <c r="K303" s="63">
        <f>L303/L$268</f>
        <v>0.39685429317087884</v>
      </c>
      <c r="L303" s="64">
        <f>+SUM(L285:L302)</f>
        <v>44987.740000000005</v>
      </c>
      <c r="M303" s="66"/>
      <c r="N303" s="64">
        <f t="shared" si="44"/>
        <v>44987.740000000005</v>
      </c>
      <c r="O303" s="65" t="s">
        <v>92</v>
      </c>
      <c r="P303" s="63">
        <f>Q303/Q$268</f>
        <v>0.32375083830039708</v>
      </c>
      <c r="Q303" s="64">
        <f>+SUM(Q285:Q302)</f>
        <v>43862.560000000005</v>
      </c>
      <c r="R303" s="67"/>
      <c r="S303" s="64">
        <f t="shared" si="45"/>
        <v>1125.1800000000003</v>
      </c>
      <c r="T303" s="7"/>
      <c r="U303" s="6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spans="1:40" ht="15.75" customHeight="1">
      <c r="B304" s="7"/>
      <c r="C304" s="14"/>
      <c r="D304" s="57"/>
      <c r="E304" s="73"/>
      <c r="F304" s="39"/>
      <c r="G304" s="59"/>
      <c r="H304" s="73"/>
      <c r="I304" s="39"/>
      <c r="J304" s="14"/>
      <c r="K304" s="73"/>
      <c r="L304" s="61"/>
      <c r="M304" s="14"/>
      <c r="N304" s="61"/>
      <c r="O304" s="14"/>
      <c r="P304" s="73"/>
      <c r="Q304" s="61"/>
      <c r="R304" s="14"/>
      <c r="S304" s="61"/>
      <c r="T304" s="7"/>
      <c r="U304" s="6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spans="1:40" ht="18.600000000000001" customHeight="1">
      <c r="A305" s="410"/>
      <c r="B305" s="7"/>
      <c r="C305" s="139" t="s">
        <v>64</v>
      </c>
      <c r="D305" s="62" t="s">
        <v>38</v>
      </c>
      <c r="E305" s="63" t="e">
        <f>F305/F$268</f>
        <v>#DIV/0!</v>
      </c>
      <c r="F305" s="64">
        <f>F284+F303</f>
        <v>0</v>
      </c>
      <c r="G305" s="65"/>
      <c r="H305" s="63"/>
      <c r="I305" s="64"/>
      <c r="J305" s="65" t="s">
        <v>38</v>
      </c>
      <c r="K305" s="63">
        <f>L305/L$268</f>
        <v>1.1808802598075092</v>
      </c>
      <c r="L305" s="64">
        <f>L284+L303</f>
        <v>133865.59000000003</v>
      </c>
      <c r="M305" s="66"/>
      <c r="N305" s="64">
        <f>L305-F305</f>
        <v>133865.59000000003</v>
      </c>
      <c r="O305" s="65" t="s">
        <v>38</v>
      </c>
      <c r="P305" s="63">
        <f>Q305/Q$268</f>
        <v>1.112780503099811</v>
      </c>
      <c r="Q305" s="64">
        <f>Q284+Q303</f>
        <v>150762.23999999999</v>
      </c>
      <c r="R305" s="67"/>
      <c r="S305" s="64">
        <f>L305-Q305</f>
        <v>-16896.649999999965</v>
      </c>
      <c r="T305" s="7"/>
      <c r="U305" s="6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spans="1:40" ht="15.75" customHeight="1">
      <c r="B306" s="7"/>
      <c r="C306" s="26"/>
      <c r="D306" s="54"/>
      <c r="E306" s="7"/>
      <c r="F306" s="39"/>
      <c r="G306" s="56"/>
      <c r="H306" s="7"/>
      <c r="I306" s="39"/>
      <c r="J306" s="26"/>
      <c r="K306" s="7"/>
      <c r="L306" s="39"/>
      <c r="M306" s="26"/>
      <c r="N306" s="39">
        <f>L306-F306</f>
        <v>0</v>
      </c>
      <c r="O306" s="26"/>
      <c r="P306" s="7"/>
      <c r="Q306" s="39"/>
      <c r="R306" s="26"/>
      <c r="S306" s="39"/>
      <c r="T306" s="7"/>
      <c r="U306" s="6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spans="1:40" ht="18.600000000000001" customHeight="1" thickBot="1">
      <c r="A307" s="410"/>
      <c r="B307" s="7"/>
      <c r="C307" s="276" t="s">
        <v>69</v>
      </c>
      <c r="D307" s="277"/>
      <c r="E307" s="278"/>
      <c r="F307" s="138">
        <f>F268-F305</f>
        <v>0</v>
      </c>
      <c r="G307" s="279"/>
      <c r="H307" s="278"/>
      <c r="I307" s="138"/>
      <c r="J307" s="279"/>
      <c r="K307" s="278"/>
      <c r="L307" s="138">
        <f>L268-L305</f>
        <v>-20504.740000000063</v>
      </c>
      <c r="M307" s="280"/>
      <c r="N307" s="138">
        <f>L307-F307</f>
        <v>-20504.740000000063</v>
      </c>
      <c r="O307" s="279"/>
      <c r="P307" s="278"/>
      <c r="Q307" s="138">
        <f>Q268-Q305</f>
        <v>-15279.780000000028</v>
      </c>
      <c r="R307" s="281"/>
      <c r="S307" s="138">
        <f>L307-Q307</f>
        <v>-5224.9600000000355</v>
      </c>
      <c r="T307" s="7"/>
      <c r="U307" s="6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spans="1:40" ht="15.75" customHeight="1" thickTop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55"/>
      <c r="M308" s="55"/>
      <c r="N308" s="7"/>
      <c r="O308" s="55"/>
      <c r="P308" s="55"/>
      <c r="Q308" s="55"/>
      <c r="R308" s="7"/>
      <c r="S308" s="7"/>
      <c r="T308" s="7"/>
      <c r="U308" s="6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spans="1:40" ht="15.75" customHeight="1"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97"/>
      <c r="M309" s="97"/>
      <c r="N309" s="6"/>
      <c r="O309" s="97"/>
      <c r="P309" s="6"/>
      <c r="Q309" s="97"/>
      <c r="R309" s="6"/>
      <c r="S309" s="6"/>
      <c r="T309" s="6"/>
      <c r="U309" s="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spans="1:40" ht="33" customHeight="1">
      <c r="B310" s="7"/>
      <c r="C310" s="251" t="str">
        <f>C1</f>
        <v>Ste-Marie Auto</v>
      </c>
      <c r="D310" s="252"/>
      <c r="E310" s="253"/>
      <c r="F310" s="252"/>
      <c r="G310" s="252"/>
      <c r="H310" s="254"/>
      <c r="I310" s="252"/>
      <c r="J310" s="254"/>
      <c r="K310" s="255" t="s">
        <v>94</v>
      </c>
      <c r="L310" s="252"/>
      <c r="M310" s="252"/>
      <c r="N310" s="256"/>
      <c r="O310" s="251"/>
      <c r="P310" s="257"/>
      <c r="Q310" s="251"/>
      <c r="R310" s="257"/>
      <c r="S310" s="258" t="str">
        <f>$S$1</f>
        <v>Réalisé, Juillet 2026</v>
      </c>
      <c r="T310" s="1"/>
      <c r="U310" s="381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spans="1:40" ht="24" customHeight="1" thickBot="1">
      <c r="B311" s="7"/>
      <c r="C311" s="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15.75" customHeight="1" thickTop="1">
      <c r="B312" s="7"/>
      <c r="C312" s="259"/>
      <c r="D312" s="407" t="s">
        <v>5</v>
      </c>
      <c r="E312" s="408"/>
      <c r="F312" s="406"/>
      <c r="G312" s="405"/>
      <c r="H312" s="408"/>
      <c r="I312" s="406"/>
      <c r="J312" s="405" t="s">
        <v>7</v>
      </c>
      <c r="K312" s="408"/>
      <c r="L312" s="406"/>
      <c r="M312" s="405" t="s">
        <v>211</v>
      </c>
      <c r="N312" s="406"/>
      <c r="O312" s="407" t="s">
        <v>8</v>
      </c>
      <c r="P312" s="408"/>
      <c r="Q312" s="406"/>
      <c r="R312" s="405" t="s">
        <v>212</v>
      </c>
      <c r="S312" s="406"/>
      <c r="T312" s="94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spans="1:40" ht="15.75" customHeight="1">
      <c r="A313" s="410" t="s">
        <v>94</v>
      </c>
      <c r="B313" s="7" t="s">
        <v>94</v>
      </c>
      <c r="C313" s="26"/>
      <c r="D313" s="53" t="s">
        <v>39</v>
      </c>
      <c r="E313" s="53" t="s">
        <v>79</v>
      </c>
      <c r="F313" s="84" t="s">
        <v>12</v>
      </c>
      <c r="G313" s="85"/>
      <c r="H313" s="53"/>
      <c r="I313" s="84"/>
      <c r="J313" s="85" t="s">
        <v>39</v>
      </c>
      <c r="K313" s="53" t="s">
        <v>79</v>
      </c>
      <c r="L313" s="84" t="s">
        <v>12</v>
      </c>
      <c r="M313" s="85" t="s">
        <v>39</v>
      </c>
      <c r="N313" s="84" t="s">
        <v>215</v>
      </c>
      <c r="O313" s="53" t="s">
        <v>39</v>
      </c>
      <c r="P313" s="53" t="s">
        <v>79</v>
      </c>
      <c r="Q313" s="84" t="s">
        <v>12</v>
      </c>
      <c r="R313" s="85" t="s">
        <v>80</v>
      </c>
      <c r="S313" s="84" t="s">
        <v>12</v>
      </c>
      <c r="T313" s="53"/>
      <c r="U313" s="6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spans="1:40" ht="15.75" customHeight="1">
      <c r="A314" s="410" t="s">
        <v>94</v>
      </c>
      <c r="B314" s="7" t="s">
        <v>94</v>
      </c>
      <c r="C314" s="26"/>
      <c r="D314" s="53"/>
      <c r="E314" s="53"/>
      <c r="F314" s="84"/>
      <c r="G314" s="85"/>
      <c r="H314" s="53"/>
      <c r="I314" s="84"/>
      <c r="J314" s="85"/>
      <c r="K314" s="19"/>
      <c r="L314" s="21"/>
      <c r="M314" s="85"/>
      <c r="N314" s="84"/>
      <c r="O314" s="53"/>
      <c r="P314" s="53"/>
      <c r="Q314" s="84"/>
      <c r="R314" s="85"/>
      <c r="S314" s="84"/>
      <c r="T314" s="53"/>
      <c r="U314" s="6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spans="1:40" ht="15.75" customHeight="1">
      <c r="A315" s="410" t="s">
        <v>382</v>
      </c>
      <c r="B315" s="7" t="s">
        <v>94</v>
      </c>
      <c r="C315" s="26" t="s">
        <v>383</v>
      </c>
      <c r="D315" s="269">
        <f>+INDEX('[1]Budget original'!$A$2:$AO$501,MATCH($A315,'[1]Budget original'!$A$2:$A$501,0),MATCH(D$2,'[1]Budget original'!$A$2:$AO$2,0))</f>
        <v>0</v>
      </c>
      <c r="E315" s="55">
        <f>+INDEX('[1]Budget original'!$A$2:$AO$501,MATCH($A315,'[1]Budget original'!$A$2:$A$501,0),MATCH(E$2,'[1]Budget original'!$A$2:$AO$2,0))</f>
        <v>0</v>
      </c>
      <c r="F315" s="55">
        <f>+INDEX('[1]Budget original'!$A$2:$AO$501,MATCH($A315,'[1]Budget original'!$A$2:$A$501,0),MATCH(F$2,'[1]Budget original'!$A$2:$AO$2,0))</f>
        <v>0</v>
      </c>
      <c r="G315" s="98"/>
      <c r="H315" s="55"/>
      <c r="I315" s="55"/>
      <c r="J315" s="40"/>
      <c r="K315" s="55">
        <f>-SUMIFS([1]BV_Data_An_Cour!$AM:$AM,[1]BV_Data_An_Cour!$AS:$AS,"Oui",[1]BV_Data_An_Cour!$AP:$AP,$B315,[1]BV_Data_An_Cour!$AQ:$AQ,$C315)</f>
        <v>93980.909999999989</v>
      </c>
      <c r="L315" s="39">
        <f>-SUMIFS([1]BV_Data_An_Cour!$AM:$AM,[1]BV_Data_An_Cour!$AP:$AP,$B315,[1]BV_Data_An_Cour!$AQ:$AQ,$C315,[1]BV_Data_An_Cour!$AR:$AR,$L$2)</f>
        <v>36783.020000000033</v>
      </c>
      <c r="M315" s="99">
        <f>IFERROR((K315-E315)/E315,0)</f>
        <v>0</v>
      </c>
      <c r="N315" s="39">
        <f>L315-F315</f>
        <v>36783.020000000033</v>
      </c>
      <c r="O315" s="40"/>
      <c r="P315" s="55">
        <f>-SUMIFS([1]BV_Data_An_Prec!$AM:$AM,[1]BV_Data_An_Prec!$AS:$AS,"Oui",[1]BV_Data_An_Prec!$AP:$AP,$B315,[1]BV_Data_An_Prec!$AQ:$AQ,$C315)</f>
        <v>197825.65000000008</v>
      </c>
      <c r="Q315" s="39">
        <f>-SUMIFS([1]BV_Data_An_Prec!$AM:$AM,[1]BV_Data_An_Prec!$AP:$AP,$B315,[1]BV_Data_An_Prec!$AQ:$AQ,$C315,[1]BV_Data_An_Prec!$AR:$AR,$L$2)</f>
        <v>77781.34000000004</v>
      </c>
      <c r="R315" s="99">
        <f>IF(O315=0,0,J315/O315)</f>
        <v>0</v>
      </c>
      <c r="S315" s="39">
        <f>L315-Q315</f>
        <v>-40998.320000000007</v>
      </c>
      <c r="T315" s="53"/>
      <c r="U315" s="6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spans="1:40" ht="15.75" customHeight="1">
      <c r="A316" s="410" t="s">
        <v>384</v>
      </c>
      <c r="B316" s="7" t="s">
        <v>94</v>
      </c>
      <c r="C316" s="26" t="s">
        <v>82</v>
      </c>
      <c r="D316" s="53"/>
      <c r="E316" s="91"/>
      <c r="F316" s="100">
        <f>IFERROR(F315/E315,0)</f>
        <v>0</v>
      </c>
      <c r="G316" s="26"/>
      <c r="H316" s="91"/>
      <c r="I316" s="100"/>
      <c r="J316" s="40"/>
      <c r="K316" s="7"/>
      <c r="L316" s="100">
        <f>IFERROR(L315/K315,0)</f>
        <v>0.3913882085202201</v>
      </c>
      <c r="M316" s="99"/>
      <c r="N316" s="39">
        <f>IFERROR(N315/M315,0)</f>
        <v>0</v>
      </c>
      <c r="O316" s="40"/>
      <c r="P316" s="7"/>
      <c r="Q316" s="100">
        <f>IFERROR(Q315/P315,0)</f>
        <v>0.39318126845532925</v>
      </c>
      <c r="R316" s="40"/>
      <c r="S316" s="100">
        <f>IF(Q315=0,0,(S315/Q315))</f>
        <v>-0.52709711609493981</v>
      </c>
      <c r="T316" s="53"/>
      <c r="U316" s="6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spans="1:40" ht="15.75" customHeight="1">
      <c r="A317" s="410" t="s">
        <v>94</v>
      </c>
      <c r="B317" s="7" t="s">
        <v>94</v>
      </c>
      <c r="C317" s="26"/>
      <c r="D317" s="53"/>
      <c r="E317" s="141"/>
      <c r="F317" s="87"/>
      <c r="G317" s="85"/>
      <c r="H317" s="141"/>
      <c r="I317" s="87"/>
      <c r="J317" s="85"/>
      <c r="K317" s="53"/>
      <c r="L317" s="84"/>
      <c r="M317" s="85"/>
      <c r="N317" s="84"/>
      <c r="O317" s="85"/>
      <c r="P317" s="53"/>
      <c r="Q317" s="84"/>
      <c r="R317" s="130"/>
      <c r="S317" s="250"/>
      <c r="T317" s="53"/>
      <c r="U317" s="6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spans="1:40" ht="15.75" customHeight="1">
      <c r="A318" s="410" t="s">
        <v>385</v>
      </c>
      <c r="B318" s="7" t="s">
        <v>94</v>
      </c>
      <c r="C318" s="71" t="s">
        <v>386</v>
      </c>
      <c r="D318" s="105">
        <f>+INDEX('[1]Budget original'!$A$2:$AO$501,MATCH($A318,'[1]Budget original'!$A$2:$A$501,0),MATCH(D$2,'[1]Budget original'!$A$2:$AO$2,0))</f>
        <v>0</v>
      </c>
      <c r="E318" s="55">
        <f>+INDEX('[1]Budget original'!$A$2:$AO$501,MATCH($A318,'[1]Budget original'!$A$2:$A$501,0),MATCH(E$2,'[1]Budget original'!$A$2:$AO$2,0))</f>
        <v>0</v>
      </c>
      <c r="F318" s="55">
        <f>+INDEX('[1]Budget original'!$A$2:$AO$501,MATCH($A318,'[1]Budget original'!$A$2:$A$501,0),MATCH(F$2,'[1]Budget original'!$A$2:$AO$2,0))</f>
        <v>0</v>
      </c>
      <c r="G318" s="131"/>
      <c r="H318" s="55"/>
      <c r="I318" s="55"/>
      <c r="J318" s="106"/>
      <c r="K318" s="105">
        <f>-SUMIFS([1]BV_Data_An_Cour!$AM:$AM,[1]BV_Data_An_Cour!$AS:$AS,"Oui",[1]BV_Data_An_Cour!$AP:$AP,$B318,[1]BV_Data_An_Cour!$AQ:$AQ,$C318)</f>
        <v>7242.7199999999993</v>
      </c>
      <c r="L318" s="72">
        <f>-SUMIFS([1]BV_Data_An_Cour!$AM:$AM,[1]BV_Data_An_Cour!$AP:$AP,$B318,[1]BV_Data_An_Cour!$AQ:$AQ,$C318,[1]BV_Data_An_Cour!$AR:$AR,$L$2)</f>
        <v>2757.2199999999984</v>
      </c>
      <c r="M318" s="109">
        <f>IFERROR((K318-E318)/E318,0)</f>
        <v>0</v>
      </c>
      <c r="N318" s="72">
        <f>L318-F318</f>
        <v>2757.2199999999984</v>
      </c>
      <c r="O318" s="106"/>
      <c r="P318" s="105">
        <f>-SUMIFS([1]BV_Data_An_Prec!$AM:$AM,[1]BV_Data_An_Prec!$AS:$AS,"Oui",[1]BV_Data_An_Prec!$AP:$AP,$B318,[1]BV_Data_An_Prec!$AQ:$AQ,$C318)</f>
        <v>6317.7599999999984</v>
      </c>
      <c r="Q318" s="72">
        <f>-SUMIFS([1]BV_Data_An_Prec!$AM:$AM,[1]BV_Data_An_Prec!$AP:$AP,$B318,[1]BV_Data_An_Prec!$AQ:$AQ,$C318,[1]BV_Data_An_Prec!$AR:$AR,$L$2)</f>
        <v>3318.6899999999987</v>
      </c>
      <c r="R318" s="99">
        <f>IF(O318=0,0,J318/O318)</f>
        <v>0</v>
      </c>
      <c r="S318" s="39">
        <f>L318-Q318</f>
        <v>-561.47000000000025</v>
      </c>
      <c r="T318" s="93"/>
      <c r="U318" s="6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spans="1:40" ht="15.75" customHeight="1">
      <c r="A319" s="410" t="s">
        <v>384</v>
      </c>
      <c r="B319" s="7" t="s">
        <v>94</v>
      </c>
      <c r="C319" s="26" t="s">
        <v>82</v>
      </c>
      <c r="D319" s="7"/>
      <c r="E319" s="91"/>
      <c r="F319" s="100" t="e">
        <f>F318/E318</f>
        <v>#DIV/0!</v>
      </c>
      <c r="G319" s="26"/>
      <c r="H319" s="91"/>
      <c r="I319" s="100"/>
      <c r="J319" s="40"/>
      <c r="K319" s="7"/>
      <c r="L319" s="100">
        <f>IFERROR(L318/K318,0)</f>
        <v>0.38068847062981848</v>
      </c>
      <c r="M319" s="99"/>
      <c r="N319" s="39">
        <f>IFERROR(N318/F318,0)</f>
        <v>0</v>
      </c>
      <c r="O319" s="40"/>
      <c r="P319" s="7"/>
      <c r="Q319" s="100">
        <f>IFERROR(Q318/P318,0)</f>
        <v>0.52529535784835124</v>
      </c>
      <c r="R319" s="40"/>
      <c r="S319" s="100">
        <f>IF(Q318=0,0,(S318/Q318))</f>
        <v>-0.16918422630616312</v>
      </c>
      <c r="T319" s="93"/>
      <c r="U319" s="6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spans="1:40" ht="15.75" customHeight="1">
      <c r="A320" s="410" t="s">
        <v>94</v>
      </c>
      <c r="B320" s="7" t="s">
        <v>94</v>
      </c>
      <c r="C320" s="14"/>
      <c r="D320" s="73"/>
      <c r="E320" s="101"/>
      <c r="F320" s="102"/>
      <c r="G320" s="14"/>
      <c r="H320" s="101"/>
      <c r="I320" s="102"/>
      <c r="J320" s="103"/>
      <c r="K320" s="132"/>
      <c r="L320" s="102"/>
      <c r="M320" s="104"/>
      <c r="N320" s="61"/>
      <c r="O320" s="103"/>
      <c r="P320" s="132"/>
      <c r="Q320" s="102"/>
      <c r="R320" s="103"/>
      <c r="S320" s="61"/>
      <c r="T320" s="93"/>
      <c r="U320" s="6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spans="1:40" ht="15.75" customHeight="1">
      <c r="A321" s="410" t="s">
        <v>387</v>
      </c>
      <c r="B321" s="7" t="s">
        <v>94</v>
      </c>
      <c r="C321" s="71" t="s">
        <v>388</v>
      </c>
      <c r="D321" s="105">
        <v>0</v>
      </c>
      <c r="E321" s="55">
        <v>0</v>
      </c>
      <c r="F321" s="55">
        <v>0</v>
      </c>
      <c r="G321" s="106"/>
      <c r="H321" s="55"/>
      <c r="I321" s="55"/>
      <c r="J321" s="106"/>
      <c r="K321" s="55">
        <f>-SUMIFS([1]BV_Data_An_Cour!$AM:$AM,[1]BV_Data_An_Cour!$AS:$AS,"Oui",[1]BV_Data_An_Cour!$AP:$AP,$B321,[1]BV_Data_An_Cour!$AQ:$AQ,$C321)</f>
        <v>38211.5</v>
      </c>
      <c r="L321" s="39">
        <f>-SUMIFS([1]BV_Data_An_Cour!$AM:$AM,[1]BV_Data_An_Cour!$AP:$AP,$B321,[1]BV_Data_An_Cour!$AQ:$AQ,$C321,[1]BV_Data_An_Cour!$AR:$AR,$L$2)</f>
        <v>20863.55</v>
      </c>
      <c r="M321" s="99">
        <f>IFERROR((K321-E321)/E321,0)</f>
        <v>0</v>
      </c>
      <c r="N321" s="72">
        <f>L321-F321</f>
        <v>20863.55</v>
      </c>
      <c r="O321" s="106"/>
      <c r="P321" s="55">
        <f>-SUMIFS([1]BV_Data_An_Prec!$AM:$AM,[1]BV_Data_An_Prec!$AS:$AS,"Oui",[1]BV_Data_An_Prec!$AP:$AP,$B321,[1]BV_Data_An_Prec!$AQ:$AQ,$C321)</f>
        <v>0</v>
      </c>
      <c r="Q321" s="39">
        <f>-SUMIFS([1]BV_Data_An_Prec!$AM:$AM,[1]BV_Data_An_Prec!$AP:$AP,$B321,[1]BV_Data_An_Prec!$AQ:$AQ,$C321,[1]BV_Data_An_Prec!$AR:$AR,$L$2)</f>
        <v>0</v>
      </c>
      <c r="R321" s="99">
        <f>IF(O321=0,0,J321/O321)</f>
        <v>0</v>
      </c>
      <c r="S321" s="39">
        <f>L321-Q321</f>
        <v>20863.55</v>
      </c>
      <c r="T321" s="93"/>
      <c r="U321" s="6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spans="1:40" ht="15.75" customHeight="1">
      <c r="A322" s="410" t="s">
        <v>384</v>
      </c>
      <c r="B322" s="7" t="s">
        <v>94</v>
      </c>
      <c r="C322" s="26" t="s">
        <v>82</v>
      </c>
      <c r="D322" s="7"/>
      <c r="E322" s="7"/>
      <c r="F322" s="100" t="e">
        <f>F321/E321</f>
        <v>#DIV/0!</v>
      </c>
      <c r="G322" s="26"/>
      <c r="H322" s="7"/>
      <c r="I322" s="100"/>
      <c r="J322" s="26"/>
      <c r="K322" s="7"/>
      <c r="L322" s="100">
        <f>IFERROR(L321/K321,0)</f>
        <v>0.54600185807937396</v>
      </c>
      <c r="M322" s="27"/>
      <c r="N322" s="28">
        <f>IF(L321=0,0,N321/L321)</f>
        <v>1</v>
      </c>
      <c r="O322" s="26"/>
      <c r="P322" s="7"/>
      <c r="Q322" s="100">
        <f>IFERROR(Q321/P321,0)</f>
        <v>0</v>
      </c>
      <c r="R322" s="40"/>
      <c r="S322" s="100">
        <f>IF(Q321=0,0,(S321/Q321))</f>
        <v>0</v>
      </c>
      <c r="T322" s="93"/>
      <c r="U322" s="6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spans="1:40" ht="15.75" customHeight="1">
      <c r="A323" s="410"/>
      <c r="B323" s="7" t="s">
        <v>94</v>
      </c>
      <c r="C323" s="248"/>
      <c r="D323" s="249"/>
      <c r="E323" s="249"/>
      <c r="F323" s="108"/>
      <c r="G323" s="248"/>
      <c r="H323" s="249"/>
      <c r="I323" s="108"/>
      <c r="J323" s="248"/>
      <c r="K323" s="249"/>
      <c r="L323" s="92"/>
      <c r="M323" s="326"/>
      <c r="N323" s="327"/>
      <c r="O323" s="248"/>
      <c r="P323" s="249"/>
      <c r="Q323" s="108"/>
      <c r="R323" s="328"/>
      <c r="S323" s="108"/>
      <c r="T323" s="93"/>
      <c r="U323" s="6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spans="1:40" ht="15.75" customHeight="1">
      <c r="A324" s="410"/>
      <c r="B324" s="7" t="s">
        <v>94</v>
      </c>
      <c r="C324" s="26" t="s">
        <v>389</v>
      </c>
      <c r="D324" s="7"/>
      <c r="E324" s="7"/>
      <c r="F324" s="100"/>
      <c r="G324" s="26"/>
      <c r="H324" s="7"/>
      <c r="I324" s="100"/>
      <c r="J324" s="26"/>
      <c r="K324" s="7"/>
      <c r="L324" s="39">
        <f>-SUMIFS([1]BV_Data_An_Cour!$AM:$AM,[1]BV_Data_An_Cour!$AP:$AP,$B324,[1]BV_Data_An_Cour!$AQ:$AQ,$C324,[1]BV_Data_An_Cour!$AR:$AR,$L$2)</f>
        <v>-1014.1700000000001</v>
      </c>
      <c r="M324" s="27"/>
      <c r="N324" s="28"/>
      <c r="O324" s="26"/>
      <c r="P324" s="7"/>
      <c r="Q324" s="39">
        <f>-SUMIFS([1]BV_Data_An_Prec!$AM:$AM,[1]BV_Data_An_Prec!$AP:$AP,$B324,[1]BV_Data_An_Prec!$AQ:$AQ,$C324,[1]BV_Data_An_Prec!$AR:$AR,$L$2)</f>
        <v>4037.2300000000005</v>
      </c>
      <c r="R324" s="99">
        <f>IF(O324=0,0,J324/O324)</f>
        <v>0</v>
      </c>
      <c r="S324" s="39">
        <f>L324-Q324</f>
        <v>-5051.4000000000005</v>
      </c>
      <c r="T324" s="93"/>
      <c r="U324" s="6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spans="1:40" ht="15.75" customHeight="1" thickBot="1">
      <c r="A325" s="410" t="s">
        <v>94</v>
      </c>
      <c r="B325" s="7" t="s">
        <v>94</v>
      </c>
      <c r="C325" s="26"/>
      <c r="D325" s="7"/>
      <c r="E325" s="7"/>
      <c r="F325" s="100"/>
      <c r="G325" s="26"/>
      <c r="H325" s="7"/>
      <c r="I325" s="100"/>
      <c r="J325" s="26"/>
      <c r="K325" s="7"/>
      <c r="L325" s="39"/>
      <c r="M325" s="27"/>
      <c r="N325" s="28"/>
      <c r="O325" s="26"/>
      <c r="P325" s="7"/>
      <c r="Q325" s="39"/>
      <c r="R325" s="27"/>
      <c r="S325" s="28"/>
      <c r="T325" s="93"/>
      <c r="U325" s="6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spans="1:40" ht="18" customHeight="1" thickTop="1">
      <c r="A326" s="410" t="s">
        <v>390</v>
      </c>
      <c r="B326" s="7" t="s">
        <v>94</v>
      </c>
      <c r="C326" s="264" t="s">
        <v>391</v>
      </c>
      <c r="D326" s="41"/>
      <c r="E326" s="42">
        <f>E318+E321+E315</f>
        <v>0</v>
      </c>
      <c r="F326" s="43">
        <f>F318+F321+F315</f>
        <v>0</v>
      </c>
      <c r="G326" s="44"/>
      <c r="H326" s="42"/>
      <c r="I326" s="43"/>
      <c r="J326" s="44"/>
      <c r="K326" s="41">
        <f t="shared" ref="K326" si="46">K318+K321+K315</f>
        <v>139435.13</v>
      </c>
      <c r="L326" s="43">
        <f>L318+L321+L315+L324</f>
        <v>59389.620000000032</v>
      </c>
      <c r="M326" s="44" t="e">
        <f>L327-F327</f>
        <v>#DIV/0!</v>
      </c>
      <c r="N326" s="43">
        <f>L326-F326</f>
        <v>59389.620000000032</v>
      </c>
      <c r="O326" s="44"/>
      <c r="P326" s="41">
        <f t="shared" ref="P326" si="47">P318+P321+P315</f>
        <v>204143.41000000009</v>
      </c>
      <c r="Q326" s="43">
        <f>Q318+Q321+Q315+Q324</f>
        <v>85137.260000000038</v>
      </c>
      <c r="R326" s="44"/>
      <c r="S326" s="43">
        <f>L326-Q326</f>
        <v>-25747.640000000007</v>
      </c>
      <c r="T326" s="7"/>
      <c r="U326" s="6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spans="1:40" ht="22.5" customHeight="1" thickBot="1">
      <c r="A327" s="410" t="s">
        <v>94</v>
      </c>
      <c r="B327" s="7" t="s">
        <v>94</v>
      </c>
      <c r="C327" s="47"/>
      <c r="D327" s="45"/>
      <c r="E327" s="45"/>
      <c r="F327" s="46" t="e">
        <f>F326/E326</f>
        <v>#DIV/0!</v>
      </c>
      <c r="G327" s="47"/>
      <c r="H327" s="45"/>
      <c r="I327" s="46"/>
      <c r="J327" s="47"/>
      <c r="K327" s="265"/>
      <c r="L327" s="267">
        <f>L326/K326</f>
        <v>0.42593010814419602</v>
      </c>
      <c r="M327" s="48"/>
      <c r="N327" s="49" t="e">
        <f>N326/F326</f>
        <v>#DIV/0!</v>
      </c>
      <c r="O327" s="47"/>
      <c r="P327" s="265"/>
      <c r="Q327" s="267">
        <f>Q326/P326</f>
        <v>0.41704633032239447</v>
      </c>
      <c r="R327" s="48"/>
      <c r="S327" s="267">
        <f>S326/Q326</f>
        <v>-0.30242504868021353</v>
      </c>
      <c r="T327" s="7"/>
      <c r="U327" s="6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spans="1:40" ht="15.75" customHeight="1" thickTop="1">
      <c r="A328" s="410" t="s">
        <v>94</v>
      </c>
      <c r="B328" s="7" t="s">
        <v>94</v>
      </c>
      <c r="C328" s="26"/>
      <c r="D328" s="7"/>
      <c r="E328" s="7"/>
      <c r="F328" s="39"/>
      <c r="G328" s="26"/>
      <c r="H328" s="7"/>
      <c r="I328" s="39"/>
      <c r="J328" s="26"/>
      <c r="K328" s="7"/>
      <c r="L328" s="25"/>
      <c r="M328" s="26"/>
      <c r="N328" s="25"/>
      <c r="O328" s="26"/>
      <c r="P328" s="7"/>
      <c r="Q328" s="25"/>
      <c r="R328" s="26"/>
      <c r="S328" s="25"/>
      <c r="T328" s="7"/>
      <c r="U328" s="6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spans="1:40" ht="15.75" customHeight="1">
      <c r="A329" s="410" t="s">
        <v>392</v>
      </c>
      <c r="B329" s="7" t="s">
        <v>94</v>
      </c>
      <c r="C329" s="268" t="s">
        <v>29</v>
      </c>
      <c r="D329" s="7"/>
      <c r="E329" s="7"/>
      <c r="F329" s="39"/>
      <c r="G329" s="26"/>
      <c r="H329" s="7"/>
      <c r="I329" s="39"/>
      <c r="J329" s="26"/>
      <c r="K329" s="7"/>
      <c r="L329" s="25"/>
      <c r="M329" s="26"/>
      <c r="N329" s="25"/>
      <c r="O329" s="26"/>
      <c r="P329" s="7"/>
      <c r="Q329" s="25"/>
      <c r="R329" s="26"/>
      <c r="S329" s="25"/>
      <c r="T329" s="7"/>
      <c r="U329" s="6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spans="1:40" ht="15.75" customHeight="1">
      <c r="A330" s="410" t="s">
        <v>393</v>
      </c>
      <c r="B330" s="7" t="s">
        <v>94</v>
      </c>
      <c r="C330" s="271" t="s">
        <v>40</v>
      </c>
      <c r="D330" s="7"/>
      <c r="E330" s="7"/>
      <c r="F330" s="19">
        <f>+INDEX('[1]Budget original'!$A$2:$AO$501,MATCH($A330,'[1]Budget original'!$A$2:$A$501,0),MATCH(F$2,'[1]Budget original'!$A$2:$AO$2,0))</f>
        <v>0</v>
      </c>
      <c r="G330" s="26"/>
      <c r="H330" s="7"/>
      <c r="I330" s="19"/>
      <c r="J330" s="26"/>
      <c r="K330" s="7"/>
      <c r="L330" s="39">
        <f>SUMIFS([1]BV_Data_An_Cour!$AM:$AM,[1]BV_Data_An_Cour!$AP:$AP,$B330,[1]BV_Data_An_Cour!$AQ:$AQ,$C330,[1]BV_Data_An_Cour!$AR:$AR,$L$2)</f>
        <v>11074.989999999998</v>
      </c>
      <c r="M330" s="26"/>
      <c r="N330" s="39">
        <f t="shared" ref="N330:N360" si="48">L330-F330</f>
        <v>11074.989999999998</v>
      </c>
      <c r="O330" s="26"/>
      <c r="P330" s="7"/>
      <c r="Q330" s="39">
        <f>SUMIFS([1]BV_Data_An_Prec!$AM:$AM,[1]BV_Data_An_Prec!$AP:$AP,$B330,[1]BV_Data_An_Prec!$AQ:$AQ,$C330,[1]BV_Data_An_Prec!$AR:$AR,$L$2)</f>
        <v>8498.7099999999991</v>
      </c>
      <c r="R330" s="26"/>
      <c r="S330" s="39">
        <f t="shared" ref="S330:S361" si="49">L330-Q330</f>
        <v>2576.2799999999988</v>
      </c>
      <c r="T330" s="7"/>
      <c r="U330" s="6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spans="1:40" ht="15.75" customHeight="1">
      <c r="A331" s="410" t="s">
        <v>394</v>
      </c>
      <c r="B331" s="7" t="s">
        <v>94</v>
      </c>
      <c r="C331" s="272" t="s">
        <v>41</v>
      </c>
      <c r="D331" s="54"/>
      <c r="E331" s="7"/>
      <c r="F331" s="31">
        <f>+INDEX('[1]Budget original'!$A$2:$AO$501,MATCH($A331,'[1]Budget original'!$A$2:$A$501,0),MATCH(F$2,'[1]Budget original'!$A$2:$AO$2,0))</f>
        <v>0</v>
      </c>
      <c r="G331" s="56"/>
      <c r="H331" s="7"/>
      <c r="I331" s="31"/>
      <c r="J331" s="26"/>
      <c r="K331" s="7"/>
      <c r="L331" s="39">
        <f>SUMIFS([1]BV_Data_An_Cour!$AM:$AM,[1]BV_Data_An_Cour!$AP:$AP,$B331,[1]BV_Data_An_Cour!$AQ:$AQ,$C331,[1]BV_Data_An_Cour!$AR:$AR,$L$2)</f>
        <v>5325.2300000000032</v>
      </c>
      <c r="M331" s="26"/>
      <c r="N331" s="39">
        <f t="shared" si="48"/>
        <v>5325.2300000000032</v>
      </c>
      <c r="O331" s="26"/>
      <c r="P331" s="7"/>
      <c r="Q331" s="39">
        <f>SUMIFS([1]BV_Data_An_Prec!$AM:$AM,[1]BV_Data_An_Prec!$AP:$AP,$B331,[1]BV_Data_An_Prec!$AQ:$AQ,$C331,[1]BV_Data_An_Prec!$AR:$AR,$L$2)</f>
        <v>5927.8699999999953</v>
      </c>
      <c r="R331" s="26"/>
      <c r="S331" s="39">
        <f t="shared" si="49"/>
        <v>-602.63999999999214</v>
      </c>
      <c r="T331" s="7"/>
      <c r="U331" s="6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spans="1:40" ht="15.75" customHeight="1">
      <c r="A332" s="410" t="s">
        <v>395</v>
      </c>
      <c r="B332" s="7" t="s">
        <v>94</v>
      </c>
      <c r="C332" s="271" t="s">
        <v>42</v>
      </c>
      <c r="D332" s="68"/>
      <c r="E332" s="69"/>
      <c r="F332" s="19">
        <f>+INDEX('[1]Budget original'!$A$2:$AO$501,MATCH($A332,'[1]Budget original'!$A$2:$A$501,0),MATCH(F$2,'[1]Budget original'!$A$2:$AO$2,0))</f>
        <v>0</v>
      </c>
      <c r="G332" s="70"/>
      <c r="H332" s="69"/>
      <c r="I332" s="19"/>
      <c r="J332" s="71"/>
      <c r="K332" s="69"/>
      <c r="L332" s="72">
        <f>SUMIFS([1]BV_Data_An_Cour!$AM:$AM,[1]BV_Data_An_Cour!$AP:$AP,$B332,[1]BV_Data_An_Cour!$AQ:$AQ,$C332,[1]BV_Data_An_Cour!$AR:$AR,$L$2)</f>
        <v>1259.8000000000002</v>
      </c>
      <c r="M332" s="71"/>
      <c r="N332" s="72">
        <f t="shared" si="48"/>
        <v>1259.8000000000002</v>
      </c>
      <c r="O332" s="71"/>
      <c r="P332" s="69"/>
      <c r="Q332" s="72">
        <f>SUMIFS([1]BV_Data_An_Prec!$AM:$AM,[1]BV_Data_An_Prec!$AP:$AP,$B332,[1]BV_Data_An_Prec!$AQ:$AQ,$C332,[1]BV_Data_An_Prec!$AR:$AR,$L$2)</f>
        <v>76</v>
      </c>
      <c r="R332" s="71"/>
      <c r="S332" s="72">
        <f t="shared" si="49"/>
        <v>1183.8000000000002</v>
      </c>
      <c r="T332" s="7"/>
      <c r="U332" s="6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spans="1:40" ht="15.75" customHeight="1">
      <c r="A333" s="410" t="s">
        <v>396</v>
      </c>
      <c r="B333" s="7" t="s">
        <v>94</v>
      </c>
      <c r="C333" s="271" t="s">
        <v>43</v>
      </c>
      <c r="D333" s="54"/>
      <c r="E333" s="7"/>
      <c r="F333" s="19">
        <f>+INDEX('[1]Budget original'!$A$2:$AO$501,MATCH($A333,'[1]Budget original'!$A$2:$A$501,0),MATCH(F$2,'[1]Budget original'!$A$2:$AO$2,0))</f>
        <v>0</v>
      </c>
      <c r="G333" s="56"/>
      <c r="H333" s="7"/>
      <c r="I333" s="19"/>
      <c r="J333" s="26"/>
      <c r="K333" s="7"/>
      <c r="L333" s="39">
        <f>SUMIFS([1]BV_Data_An_Cour!$AM:$AM,[1]BV_Data_An_Cour!$AP:$AP,$B333,[1]BV_Data_An_Cour!$AQ:$AQ,$C333,[1]BV_Data_An_Cour!$AR:$AR,$L$2)</f>
        <v>0</v>
      </c>
      <c r="M333" s="26"/>
      <c r="N333" s="39">
        <f t="shared" si="48"/>
        <v>0</v>
      </c>
      <c r="O333" s="26"/>
      <c r="P333" s="7"/>
      <c r="Q333" s="39">
        <f>SUMIFS([1]BV_Data_An_Prec!$AM:$AM,[1]BV_Data_An_Prec!$AP:$AP,$B333,[1]BV_Data_An_Prec!$AQ:$AQ,$C333,[1]BV_Data_An_Prec!$AR:$AR,$L$2)</f>
        <v>0</v>
      </c>
      <c r="R333" s="26"/>
      <c r="S333" s="39">
        <f t="shared" si="49"/>
        <v>0</v>
      </c>
      <c r="T333" s="7"/>
      <c r="U333" s="6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spans="1:40" ht="20.399999999999999" hidden="1" customHeight="1">
      <c r="A334" s="410" t="s">
        <v>397</v>
      </c>
      <c r="B334" s="7" t="s">
        <v>94</v>
      </c>
      <c r="C334" s="26" t="s">
        <v>19</v>
      </c>
      <c r="D334" s="54"/>
      <c r="E334" s="7"/>
      <c r="F334" s="19">
        <f>+INDEX('[1]Budget original'!$A$2:$AO$501,MATCH($A334,'[1]Budget original'!$A$2:$A$501,0),MATCH(F$2,'[1]Budget original'!$A$2:$AO$2,0))</f>
        <v>0</v>
      </c>
      <c r="G334" s="56"/>
      <c r="H334" s="7"/>
      <c r="I334" s="19"/>
      <c r="J334" s="26"/>
      <c r="K334" s="7"/>
      <c r="L334" s="39">
        <f>SUMIFS([1]BV_Data_An_Cour!$AM:$AM,[1]BV_Data_An_Cour!$AP:$AP,$B334,[1]BV_Data_An_Cour!$AQ:$AQ,$C334,[1]BV_Data_An_Cour!$AR:$AR,$L$2)</f>
        <v>0</v>
      </c>
      <c r="M334" s="26"/>
      <c r="N334" s="39">
        <f t="shared" si="48"/>
        <v>0</v>
      </c>
      <c r="O334" s="26"/>
      <c r="P334" s="7"/>
      <c r="Q334" s="39">
        <f>SUMIFS([1]BV_Data_An_Prec!$AM:$AM,[1]BV_Data_An_Prec!$AP:$AP,$B334,[1]BV_Data_An_Prec!$AQ:$AQ,$C334,[1]BV_Data_An_Prec!$AR:$AR,$L$2)</f>
        <v>0</v>
      </c>
      <c r="R334" s="26"/>
      <c r="S334" s="39">
        <f t="shared" si="49"/>
        <v>0</v>
      </c>
      <c r="T334" s="7"/>
      <c r="U334" s="6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spans="1:40" ht="20.399999999999999" hidden="1" customHeight="1">
      <c r="A335" s="410" t="s">
        <v>397</v>
      </c>
      <c r="B335" s="7" t="s">
        <v>94</v>
      </c>
      <c r="C335" s="26" t="s">
        <v>19</v>
      </c>
      <c r="D335" s="54"/>
      <c r="E335" s="7"/>
      <c r="F335" s="19">
        <f>+INDEX('[1]Budget original'!$A$2:$AO$501,MATCH($A335,'[1]Budget original'!$A$2:$A$501,0),MATCH(F$2,'[1]Budget original'!$A$2:$AO$2,0))</f>
        <v>0</v>
      </c>
      <c r="G335" s="56"/>
      <c r="H335" s="7"/>
      <c r="I335" s="19"/>
      <c r="J335" s="26"/>
      <c r="K335" s="7"/>
      <c r="L335" s="39">
        <f>SUMIFS([1]BV_Data_An_Cour!$AM:$AM,[1]BV_Data_An_Cour!$AP:$AP,$B335,[1]BV_Data_An_Cour!$AQ:$AQ,$C335,[1]BV_Data_An_Cour!$AR:$AR,$L$2)</f>
        <v>0</v>
      </c>
      <c r="M335" s="26"/>
      <c r="N335" s="39">
        <f t="shared" si="48"/>
        <v>0</v>
      </c>
      <c r="O335" s="26"/>
      <c r="P335" s="7"/>
      <c r="Q335" s="39">
        <f>SUMIFS([1]BV_Data_An_Prec!$AM:$AM,[1]BV_Data_An_Prec!$AP:$AP,$B335,[1]BV_Data_An_Prec!$AQ:$AQ,$C335,[1]BV_Data_An_Prec!$AR:$AR,$L$2)</f>
        <v>0</v>
      </c>
      <c r="R335" s="26"/>
      <c r="S335" s="39">
        <f t="shared" si="49"/>
        <v>0</v>
      </c>
      <c r="T335" s="7"/>
      <c r="U335" s="6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spans="1:40" ht="20.399999999999999" hidden="1" customHeight="1">
      <c r="A336" s="410" t="s">
        <v>397</v>
      </c>
      <c r="B336" s="7" t="s">
        <v>94</v>
      </c>
      <c r="C336" s="26" t="s">
        <v>19</v>
      </c>
      <c r="D336" s="54"/>
      <c r="E336" s="7"/>
      <c r="F336" s="19">
        <f>+INDEX('[1]Budget original'!$A$2:$AO$501,MATCH($A336,'[1]Budget original'!$A$2:$A$501,0),MATCH(F$2,'[1]Budget original'!$A$2:$AO$2,0))</f>
        <v>0</v>
      </c>
      <c r="G336" s="56"/>
      <c r="H336" s="7"/>
      <c r="I336" s="19"/>
      <c r="J336" s="26"/>
      <c r="K336" s="7"/>
      <c r="L336" s="39">
        <f>SUMIFS([1]BV_Data_An_Cour!$AM:$AM,[1]BV_Data_An_Cour!$AP:$AP,$B336,[1]BV_Data_An_Cour!$AQ:$AQ,$C336,[1]BV_Data_An_Cour!$AR:$AR,$L$2)</f>
        <v>0</v>
      </c>
      <c r="M336" s="26"/>
      <c r="N336" s="39">
        <f t="shared" si="48"/>
        <v>0</v>
      </c>
      <c r="O336" s="26"/>
      <c r="P336" s="7"/>
      <c r="Q336" s="39">
        <f>SUMIFS([1]BV_Data_An_Prec!$AM:$AM,[1]BV_Data_An_Prec!$AP:$AP,$B336,[1]BV_Data_An_Prec!$AQ:$AQ,$C336,[1]BV_Data_An_Prec!$AR:$AR,$L$2)</f>
        <v>0</v>
      </c>
      <c r="R336" s="26"/>
      <c r="S336" s="39">
        <f t="shared" si="49"/>
        <v>0</v>
      </c>
      <c r="T336" s="7"/>
      <c r="U336" s="6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spans="1:40" ht="15.75" customHeight="1">
      <c r="A337" s="410" t="s">
        <v>398</v>
      </c>
      <c r="B337" s="7" t="s">
        <v>94</v>
      </c>
      <c r="C337" s="272" t="s">
        <v>44</v>
      </c>
      <c r="D337" s="54"/>
      <c r="E337" s="7"/>
      <c r="F337" s="31">
        <f>+INDEX('[1]Budget original'!$A$2:$AO$501,MATCH($A337,'[1]Budget original'!$A$2:$A$501,0),MATCH(F$2,'[1]Budget original'!$A$2:$AO$2,0))</f>
        <v>0</v>
      </c>
      <c r="G337" s="56"/>
      <c r="H337" s="7"/>
      <c r="I337" s="31"/>
      <c r="J337" s="26"/>
      <c r="K337" s="7"/>
      <c r="L337" s="39">
        <f>SUMIFS([1]BV_Data_An_Cour!$AM:$AM,[1]BV_Data_An_Cour!$AP:$AP,$B337,[1]BV_Data_An_Cour!$AQ:$AQ,$C337,[1]BV_Data_An_Cour!$AR:$AR,$L$2)</f>
        <v>5230.25</v>
      </c>
      <c r="M337" s="26"/>
      <c r="N337" s="39">
        <f t="shared" si="48"/>
        <v>5230.25</v>
      </c>
      <c r="O337" s="26"/>
      <c r="P337" s="7"/>
      <c r="Q337" s="39">
        <f>SUMIFS([1]BV_Data_An_Prec!$AM:$AM,[1]BV_Data_An_Prec!$AP:$AP,$B337,[1]BV_Data_An_Prec!$AQ:$AQ,$C337,[1]BV_Data_An_Prec!$AR:$AR,$L$2)</f>
        <v>3416.2299999999996</v>
      </c>
      <c r="R337" s="26"/>
      <c r="S337" s="39">
        <f t="shared" si="49"/>
        <v>1814.0200000000004</v>
      </c>
      <c r="T337" s="7"/>
      <c r="U337" s="6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spans="1:40" ht="15.75" customHeight="1">
      <c r="A338" s="410" t="s">
        <v>399</v>
      </c>
      <c r="B338" s="7" t="s">
        <v>94</v>
      </c>
      <c r="C338" s="271" t="s">
        <v>45</v>
      </c>
      <c r="D338" s="68"/>
      <c r="E338" s="69"/>
      <c r="F338" s="19">
        <f>+INDEX('[1]Budget original'!$A$2:$AO$501,MATCH($A338,'[1]Budget original'!$A$2:$A$501,0),MATCH(F$2,'[1]Budget original'!$A$2:$AO$2,0))</f>
        <v>0</v>
      </c>
      <c r="G338" s="70"/>
      <c r="H338" s="69"/>
      <c r="I338" s="19"/>
      <c r="J338" s="71"/>
      <c r="K338" s="69"/>
      <c r="L338" s="72">
        <f>SUMIFS([1]BV_Data_An_Cour!$AM:$AM,[1]BV_Data_An_Cour!$AP:$AP,$B338,[1]BV_Data_An_Cour!$AQ:$AQ,$C338,[1]BV_Data_An_Cour!$AR:$AR,$L$2)</f>
        <v>6536.739999999998</v>
      </c>
      <c r="M338" s="71"/>
      <c r="N338" s="72">
        <f t="shared" si="48"/>
        <v>6536.739999999998</v>
      </c>
      <c r="O338" s="71"/>
      <c r="P338" s="69"/>
      <c r="Q338" s="72">
        <f>SUMIFS([1]BV_Data_An_Prec!$AM:$AM,[1]BV_Data_An_Prec!$AP:$AP,$B338,[1]BV_Data_An_Prec!$AQ:$AQ,$C338,[1]BV_Data_An_Prec!$AR:$AR,$L$2)</f>
        <v>4038.2000000000007</v>
      </c>
      <c r="R338" s="71"/>
      <c r="S338" s="72">
        <f t="shared" si="49"/>
        <v>2498.5399999999972</v>
      </c>
      <c r="T338" s="7"/>
      <c r="U338" s="6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spans="1:40" ht="15.75" customHeight="1">
      <c r="A339" s="410" t="s">
        <v>400</v>
      </c>
      <c r="B339" s="7" t="s">
        <v>94</v>
      </c>
      <c r="C339" s="271" t="s">
        <v>46</v>
      </c>
      <c r="D339" s="54"/>
      <c r="E339" s="7"/>
      <c r="F339" s="19">
        <f>+INDEX('[1]Budget original'!$A$2:$AO$501,MATCH($A339,'[1]Budget original'!$A$2:$A$501,0),MATCH(F$2,'[1]Budget original'!$A$2:$AO$2,0))</f>
        <v>0</v>
      </c>
      <c r="G339" s="56"/>
      <c r="H339" s="7"/>
      <c r="I339" s="19"/>
      <c r="J339" s="26"/>
      <c r="K339" s="7"/>
      <c r="L339" s="39">
        <f>SUMIFS([1]BV_Data_An_Cour!$AM:$AM,[1]BV_Data_An_Cour!$AP:$AP,$B339,[1]BV_Data_An_Cour!$AQ:$AQ,$C339,[1]BV_Data_An_Cour!$AR:$AR,$L$2)</f>
        <v>1278.3199999999997</v>
      </c>
      <c r="M339" s="26"/>
      <c r="N339" s="39">
        <f t="shared" si="48"/>
        <v>1278.3199999999997</v>
      </c>
      <c r="O339" s="26"/>
      <c r="P339" s="7"/>
      <c r="Q339" s="39">
        <f>SUMIFS([1]BV_Data_An_Prec!$AM:$AM,[1]BV_Data_An_Prec!$AP:$AP,$B339,[1]BV_Data_An_Prec!$AQ:$AQ,$C339,[1]BV_Data_An_Prec!$AR:$AR,$L$2)</f>
        <v>2285.9899999999998</v>
      </c>
      <c r="R339" s="26"/>
      <c r="S339" s="39">
        <f t="shared" si="49"/>
        <v>-1007.6700000000001</v>
      </c>
      <c r="T339" s="7"/>
      <c r="U339" s="6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spans="1:40" ht="15.75" customHeight="1">
      <c r="A340" s="410" t="s">
        <v>401</v>
      </c>
      <c r="B340" s="7" t="s">
        <v>94</v>
      </c>
      <c r="C340" s="271" t="s">
        <v>47</v>
      </c>
      <c r="D340" s="54"/>
      <c r="E340" s="7"/>
      <c r="F340" s="19">
        <f>+INDEX('[1]Budget original'!$A$2:$AO$501,MATCH($A340,'[1]Budget original'!$A$2:$A$501,0),MATCH(F$2,'[1]Budget original'!$A$2:$AO$2,0))</f>
        <v>0</v>
      </c>
      <c r="G340" s="56"/>
      <c r="H340" s="7"/>
      <c r="I340" s="19"/>
      <c r="J340" s="26"/>
      <c r="K340" s="7"/>
      <c r="L340" s="39">
        <f>SUMIFS([1]BV_Data_An_Cour!$AM:$AM,[1]BV_Data_An_Cour!$AP:$AP,$B340,[1]BV_Data_An_Cour!$AQ:$AQ,$C340,[1]BV_Data_An_Cour!$AR:$AR,$L$2)</f>
        <v>1367.4899999999998</v>
      </c>
      <c r="M340" s="26"/>
      <c r="N340" s="39">
        <f t="shared" si="48"/>
        <v>1367.4899999999998</v>
      </c>
      <c r="O340" s="26"/>
      <c r="P340" s="7"/>
      <c r="Q340" s="39">
        <f>SUMIFS([1]BV_Data_An_Prec!$AM:$AM,[1]BV_Data_An_Prec!$AP:$AP,$B340,[1]BV_Data_An_Prec!$AQ:$AQ,$C340,[1]BV_Data_An_Prec!$AR:$AR,$L$2)</f>
        <v>28.150000000000006</v>
      </c>
      <c r="R340" s="26"/>
      <c r="S340" s="39">
        <f t="shared" si="49"/>
        <v>1339.3399999999997</v>
      </c>
      <c r="T340" s="7"/>
      <c r="U340" s="6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spans="1:40" ht="20.399999999999999" hidden="1" customHeight="1">
      <c r="A341" s="410" t="s">
        <v>397</v>
      </c>
      <c r="B341" s="7" t="s">
        <v>94</v>
      </c>
      <c r="C341" s="26" t="s">
        <v>19</v>
      </c>
      <c r="D341" s="57"/>
      <c r="E341" s="73"/>
      <c r="F341" s="19">
        <f>+INDEX('[1]Budget original'!$A$2:$AO$501,MATCH($A341,'[1]Budget original'!$A$2:$A$501,0),MATCH(F$2,'[1]Budget original'!$A$2:$AO$2,0))</f>
        <v>0</v>
      </c>
      <c r="G341" s="59"/>
      <c r="H341" s="73"/>
      <c r="I341" s="19"/>
      <c r="J341" s="14"/>
      <c r="K341" s="73"/>
      <c r="L341" s="39">
        <f>SUMIFS([1]BV_Data_An_Cour!$AM:$AM,[1]BV_Data_An_Cour!$AP:$AP,$B341,[1]BV_Data_An_Cour!$AQ:$AQ,$C341,[1]BV_Data_An_Cour!$AR:$AR,$L$2)</f>
        <v>0</v>
      </c>
      <c r="M341" s="14"/>
      <c r="N341" s="61">
        <f t="shared" si="48"/>
        <v>0</v>
      </c>
      <c r="O341" s="14"/>
      <c r="P341" s="73"/>
      <c r="Q341" s="39">
        <f>SUMIFS([1]BV_Data_An_Prec!$AM:$AM,[1]BV_Data_An_Prec!$AP:$AP,$B341,[1]BV_Data_An_Prec!$AQ:$AQ,$C341,[1]BV_Data_An_Prec!$AR:$AR,$L$2)</f>
        <v>0</v>
      </c>
      <c r="R341" s="14"/>
      <c r="S341" s="61">
        <f t="shared" si="49"/>
        <v>0</v>
      </c>
      <c r="T341" s="7"/>
      <c r="U341" s="6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spans="1:40" ht="18.600000000000001" customHeight="1">
      <c r="A342" s="410" t="s">
        <v>402</v>
      </c>
      <c r="B342" s="7" t="s">
        <v>94</v>
      </c>
      <c r="C342" s="139" t="s">
        <v>48</v>
      </c>
      <c r="D342" s="62" t="s">
        <v>38</v>
      </c>
      <c r="E342" s="63" t="e">
        <f>F342/F$326</f>
        <v>#DIV/0!</v>
      </c>
      <c r="F342" s="64">
        <f>+SUM(F330:F341)</f>
        <v>0</v>
      </c>
      <c r="G342" s="65"/>
      <c r="H342" s="63"/>
      <c r="I342" s="64"/>
      <c r="J342" s="65" t="s">
        <v>38</v>
      </c>
      <c r="K342" s="63">
        <f>IF(L326=0,0,L342/L$326)</f>
        <v>0.54004083541871428</v>
      </c>
      <c r="L342" s="64">
        <f>+SUM(L330:L341)</f>
        <v>32072.82</v>
      </c>
      <c r="M342" s="66"/>
      <c r="N342" s="64">
        <f t="shared" si="48"/>
        <v>32072.82</v>
      </c>
      <c r="O342" s="65" t="s">
        <v>38</v>
      </c>
      <c r="P342" s="63">
        <f>IF(Q326=0,0,Q342/Q$326)</f>
        <v>0.28508258311343332</v>
      </c>
      <c r="Q342" s="64">
        <f>+SUM(Q330:Q341)</f>
        <v>24271.149999999994</v>
      </c>
      <c r="R342" s="67"/>
      <c r="S342" s="64">
        <f t="shared" si="49"/>
        <v>7801.6700000000055</v>
      </c>
      <c r="T342" s="7"/>
      <c r="U342" s="6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spans="1:40" ht="15.75" customHeight="1">
      <c r="A343" s="410" t="s">
        <v>403</v>
      </c>
      <c r="B343" s="7" t="s">
        <v>94</v>
      </c>
      <c r="C343" s="329" t="s">
        <v>49</v>
      </c>
      <c r="D343" s="54"/>
      <c r="E343" s="7"/>
      <c r="F343" s="19">
        <f>+INDEX('[1]Budget original'!$A$2:$AO$501,MATCH($A343,'[1]Budget original'!$A$2:$A$501,0),MATCH(F$2,'[1]Budget original'!$A$2:$AO$2,0))</f>
        <v>0</v>
      </c>
      <c r="G343" s="56"/>
      <c r="H343" s="7"/>
      <c r="I343" s="19"/>
      <c r="J343" s="26"/>
      <c r="K343" s="7"/>
      <c r="L343" s="39">
        <f>SUMIFS([1]BV_Data_An_Cour!$AM:$AM,[1]BV_Data_An_Cour!$AP:$AP,$B343,[1]BV_Data_An_Cour!$AQ:$AQ,$C343,[1]BV_Data_An_Cour!$AR:$AR,$L$2)</f>
        <v>443.38999999999953</v>
      </c>
      <c r="M343" s="26"/>
      <c r="N343" s="39">
        <f t="shared" si="48"/>
        <v>443.38999999999953</v>
      </c>
      <c r="O343" s="26"/>
      <c r="P343" s="7"/>
      <c r="Q343" s="39">
        <f>SUMIFS([1]BV_Data_An_Prec!$AM:$AM,[1]BV_Data_An_Prec!$AP:$AP,$B343,[1]BV_Data_An_Prec!$AQ:$AQ,$C343,[1]BV_Data_An_Prec!$AR:$AR,$L$2)</f>
        <v>-11.639999999999919</v>
      </c>
      <c r="R343" s="26"/>
      <c r="S343" s="39">
        <f t="shared" si="49"/>
        <v>455.02999999999946</v>
      </c>
      <c r="T343" s="7"/>
      <c r="U343" s="6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spans="1:40" ht="15.75" customHeight="1">
      <c r="A344" s="410" t="s">
        <v>404</v>
      </c>
      <c r="B344" s="7" t="s">
        <v>94</v>
      </c>
      <c r="C344" s="271" t="s">
        <v>50</v>
      </c>
      <c r="D344" s="54"/>
      <c r="E344" s="7"/>
      <c r="F344" s="19">
        <f>+INDEX('[1]Budget original'!$A$2:$AO$501,MATCH($A344,'[1]Budget original'!$A$2:$A$501,0),MATCH(F$2,'[1]Budget original'!$A$2:$AO$2,0))</f>
        <v>0</v>
      </c>
      <c r="G344" s="56"/>
      <c r="H344" s="7"/>
      <c r="I344" s="19"/>
      <c r="J344" s="26"/>
      <c r="K344" s="7"/>
      <c r="L344" s="39">
        <f>SUMIFS([1]BV_Data_An_Cour!$AM:$AM,[1]BV_Data_An_Cour!$AP:$AP,$B344,[1]BV_Data_An_Cour!$AQ:$AQ,$C344,[1]BV_Data_An_Cour!$AR:$AR,$L$2)</f>
        <v>4970.3599999999997</v>
      </c>
      <c r="M344" s="26"/>
      <c r="N344" s="39">
        <f t="shared" si="48"/>
        <v>4970.3599999999997</v>
      </c>
      <c r="O344" s="26"/>
      <c r="P344" s="7"/>
      <c r="Q344" s="39">
        <f>SUMIFS([1]BV_Data_An_Prec!$AM:$AM,[1]BV_Data_An_Prec!$AP:$AP,$B344,[1]BV_Data_An_Prec!$AQ:$AQ,$C344,[1]BV_Data_An_Prec!$AR:$AR,$L$2)</f>
        <v>2239.5899999999983</v>
      </c>
      <c r="R344" s="26"/>
      <c r="S344" s="39">
        <f t="shared" si="49"/>
        <v>2730.7700000000013</v>
      </c>
      <c r="T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spans="1:40" ht="15.75" customHeight="1">
      <c r="A345" s="410" t="s">
        <v>405</v>
      </c>
      <c r="B345" s="7" t="s">
        <v>94</v>
      </c>
      <c r="C345" s="272" t="s">
        <v>51</v>
      </c>
      <c r="D345" s="57"/>
      <c r="E345" s="73"/>
      <c r="F345" s="31">
        <f>+INDEX('[1]Budget original'!$A$2:$AO$501,MATCH($A345,'[1]Budget original'!$A$2:$A$501,0),MATCH(F$2,'[1]Budget original'!$A$2:$AO$2,0))</f>
        <v>0</v>
      </c>
      <c r="G345" s="59"/>
      <c r="H345" s="73"/>
      <c r="I345" s="31"/>
      <c r="J345" s="14"/>
      <c r="K345" s="73"/>
      <c r="L345" s="39">
        <f>SUMIFS([1]BV_Data_An_Cour!$AM:$AM,[1]BV_Data_An_Cour!$AP:$AP,$B345,[1]BV_Data_An_Cour!$AQ:$AQ,$C345,[1]BV_Data_An_Cour!$AR:$AR,$L$2)</f>
        <v>-85.25</v>
      </c>
      <c r="M345" s="14"/>
      <c r="N345" s="61">
        <f t="shared" si="48"/>
        <v>-85.25</v>
      </c>
      <c r="O345" s="14"/>
      <c r="P345" s="73"/>
      <c r="Q345" s="39">
        <f>SUMIFS([1]BV_Data_An_Prec!$AM:$AM,[1]BV_Data_An_Prec!$AP:$AP,$B345,[1]BV_Data_An_Prec!$AQ:$AQ,$C345,[1]BV_Data_An_Prec!$AR:$AR,$L$2)</f>
        <v>2576.38</v>
      </c>
      <c r="R345" s="14"/>
      <c r="S345" s="61">
        <f t="shared" si="49"/>
        <v>-2661.63</v>
      </c>
      <c r="T345" s="7"/>
      <c r="U345" s="6" t="s">
        <v>1</v>
      </c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spans="1:40" ht="15.75" customHeight="1">
      <c r="A346" s="410" t="s">
        <v>406</v>
      </c>
      <c r="B346" s="7" t="s">
        <v>94</v>
      </c>
      <c r="C346" s="271" t="s">
        <v>52</v>
      </c>
      <c r="D346" s="54"/>
      <c r="E346" s="7"/>
      <c r="F346" s="19">
        <f>+INDEX('[1]Budget original'!$A$2:$AO$501,MATCH($A346,'[1]Budget original'!$A$2:$A$501,0),MATCH(F$2,'[1]Budget original'!$A$2:$AO$2,0))</f>
        <v>0</v>
      </c>
      <c r="G346" s="56"/>
      <c r="H346" s="7"/>
      <c r="I346" s="19"/>
      <c r="J346" s="26"/>
      <c r="K346" s="7"/>
      <c r="L346" s="72">
        <f>SUMIFS([1]BV_Data_An_Cour!$AM:$AM,[1]BV_Data_An_Cour!$AP:$AP,$B346,[1]BV_Data_An_Cour!$AQ:$AQ,$C346,[1]BV_Data_An_Cour!$AR:$AR,$L$2)</f>
        <v>1799.9799999999996</v>
      </c>
      <c r="M346" s="26"/>
      <c r="N346" s="39">
        <f t="shared" si="48"/>
        <v>1799.9799999999996</v>
      </c>
      <c r="O346" s="26"/>
      <c r="P346" s="7"/>
      <c r="Q346" s="72">
        <f>SUMIFS([1]BV_Data_An_Prec!$AM:$AM,[1]BV_Data_An_Prec!$AP:$AP,$B346,[1]BV_Data_An_Prec!$AQ:$AQ,$C346,[1]BV_Data_An_Prec!$AR:$AR,$L$2)</f>
        <v>775.07999999999993</v>
      </c>
      <c r="R346" s="26"/>
      <c r="S346" s="39">
        <f t="shared" si="49"/>
        <v>1024.8999999999996</v>
      </c>
      <c r="T346" s="7"/>
      <c r="U346" s="6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spans="1:40" ht="15.75" customHeight="1">
      <c r="A347" s="410" t="s">
        <v>407</v>
      </c>
      <c r="B347" s="7" t="s">
        <v>94</v>
      </c>
      <c r="C347" s="271" t="s">
        <v>53</v>
      </c>
      <c r="D347" s="54"/>
      <c r="E347" s="7"/>
      <c r="F347" s="19">
        <f>+INDEX('[1]Budget original'!$A$2:$AO$501,MATCH($A347,'[1]Budget original'!$A$2:$A$501,0),MATCH(F$2,'[1]Budget original'!$A$2:$AO$2,0))</f>
        <v>0</v>
      </c>
      <c r="G347" s="56"/>
      <c r="H347" s="7"/>
      <c r="I347" s="19"/>
      <c r="J347" s="26"/>
      <c r="K347" s="7"/>
      <c r="L347" s="39">
        <f>SUMIFS([1]BV_Data_An_Cour!$AM:$AM,[1]BV_Data_An_Cour!$AP:$AP,$B347,[1]BV_Data_An_Cour!$AQ:$AQ,$C347,[1]BV_Data_An_Cour!$AR:$AR,$L$2)</f>
        <v>185.01000000000022</v>
      </c>
      <c r="M347" s="26"/>
      <c r="N347" s="39">
        <f t="shared" si="48"/>
        <v>185.01000000000022</v>
      </c>
      <c r="O347" s="26"/>
      <c r="P347" s="7"/>
      <c r="Q347" s="39">
        <f>SUMIFS([1]BV_Data_An_Prec!$AM:$AM,[1]BV_Data_An_Prec!$AP:$AP,$B347,[1]BV_Data_An_Prec!$AQ:$AQ,$C347,[1]BV_Data_An_Prec!$AR:$AR,$L$2)</f>
        <v>505.36000000000058</v>
      </c>
      <c r="R347" s="26"/>
      <c r="S347" s="39">
        <f t="shared" si="49"/>
        <v>-320.35000000000036</v>
      </c>
      <c r="T347" s="7"/>
      <c r="U347" s="6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spans="1:40" ht="15.75" customHeight="1">
      <c r="A348" s="410" t="s">
        <v>408</v>
      </c>
      <c r="B348" s="7" t="s">
        <v>94</v>
      </c>
      <c r="C348" s="271" t="s">
        <v>54</v>
      </c>
      <c r="D348" s="57"/>
      <c r="E348" s="73"/>
      <c r="F348" s="31">
        <f>+INDEX('[1]Budget original'!$A$2:$AO$501,MATCH($A348,'[1]Budget original'!$A$2:$A$501,0),MATCH(F$2,'[1]Budget original'!$A$2:$AO$2,0))</f>
        <v>0</v>
      </c>
      <c r="G348" s="59"/>
      <c r="H348" s="73"/>
      <c r="I348" s="31"/>
      <c r="J348" s="14"/>
      <c r="K348" s="73"/>
      <c r="L348" s="39">
        <f>SUMIFS([1]BV_Data_An_Cour!$AM:$AM,[1]BV_Data_An_Cour!$AP:$AP,$B348,[1]BV_Data_An_Cour!$AQ:$AQ,$C348,[1]BV_Data_An_Cour!$AR:$AR,$L$2)</f>
        <v>2154.3499999999985</v>
      </c>
      <c r="M348" s="14"/>
      <c r="N348" s="61">
        <f t="shared" si="48"/>
        <v>2154.3499999999985</v>
      </c>
      <c r="O348" s="14"/>
      <c r="P348" s="73"/>
      <c r="Q348" s="39">
        <f>SUMIFS([1]BV_Data_An_Prec!$AM:$AM,[1]BV_Data_An_Prec!$AP:$AP,$B348,[1]BV_Data_An_Prec!$AQ:$AQ,$C348,[1]BV_Data_An_Prec!$AR:$AR,$L$2)</f>
        <v>5101.5300000000007</v>
      </c>
      <c r="R348" s="14"/>
      <c r="S348" s="61">
        <f t="shared" si="49"/>
        <v>-2947.1800000000021</v>
      </c>
      <c r="T348" s="7"/>
      <c r="U348" s="6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spans="1:40" ht="15.75" customHeight="1">
      <c r="A349" s="410" t="s">
        <v>409</v>
      </c>
      <c r="B349" s="7" t="s">
        <v>94</v>
      </c>
      <c r="C349" s="329" t="s">
        <v>93</v>
      </c>
      <c r="D349" s="54"/>
      <c r="E349" s="7"/>
      <c r="F349" s="19"/>
      <c r="G349" s="56"/>
      <c r="H349" s="7"/>
      <c r="I349" s="19"/>
      <c r="J349" s="26"/>
      <c r="K349" s="7"/>
      <c r="L349" s="72">
        <f>SUMIFS([1]BV_Data_An_Cour!$AM:$AM,[1]BV_Data_An_Cour!$AP:$AP,$B349,[1]BV_Data_An_Cour!$AQ:$AQ,$C349,[1]BV_Data_An_Cour!$AR:$AR,$L$2)</f>
        <v>0</v>
      </c>
      <c r="M349" s="26"/>
      <c r="N349" s="39">
        <f t="shared" si="48"/>
        <v>0</v>
      </c>
      <c r="O349" s="26"/>
      <c r="P349" s="7"/>
      <c r="Q349" s="72">
        <f>SUMIFS([1]BV_Data_An_Prec!$AM:$AM,[1]BV_Data_An_Prec!$AP:$AP,$B349,[1]BV_Data_An_Prec!$AQ:$AQ,$C349,[1]BV_Data_An_Prec!$AR:$AR,$L$2)</f>
        <v>0</v>
      </c>
      <c r="R349" s="26"/>
      <c r="S349" s="39">
        <f t="shared" si="49"/>
        <v>0</v>
      </c>
      <c r="T349" s="7"/>
      <c r="U349" s="6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spans="1:40" ht="15.75" customHeight="1">
      <c r="A350" s="410" t="s">
        <v>410</v>
      </c>
      <c r="B350" s="7" t="s">
        <v>94</v>
      </c>
      <c r="C350" s="271" t="s">
        <v>55</v>
      </c>
      <c r="D350" s="54"/>
      <c r="E350" s="7"/>
      <c r="F350" s="19">
        <f>+INDEX('[1]Budget original'!$A$2:$AO$501,MATCH($A350,'[1]Budget original'!$A$2:$A$501,0),MATCH(F$2,'[1]Budget original'!$A$2:$AO$2,0))</f>
        <v>0</v>
      </c>
      <c r="G350" s="56"/>
      <c r="H350" s="7"/>
      <c r="I350" s="19"/>
      <c r="J350" s="26"/>
      <c r="K350" s="7"/>
      <c r="L350" s="39">
        <f>SUMIFS([1]BV_Data_An_Cour!$AM:$AM,[1]BV_Data_An_Cour!$AP:$AP,$B350,[1]BV_Data_An_Cour!$AQ:$AQ,$C350,[1]BV_Data_An_Cour!$AR:$AR,$L$2)</f>
        <v>6322.929999999993</v>
      </c>
      <c r="M350" s="26"/>
      <c r="N350" s="39">
        <f t="shared" si="48"/>
        <v>6322.929999999993</v>
      </c>
      <c r="O350" s="26"/>
      <c r="P350" s="7"/>
      <c r="Q350" s="39">
        <f>SUMIFS([1]BV_Data_An_Prec!$AM:$AM,[1]BV_Data_An_Prec!$AP:$AP,$B350,[1]BV_Data_An_Prec!$AQ:$AQ,$C350,[1]BV_Data_An_Prec!$AR:$AR,$L$2)</f>
        <v>2281.880000000001</v>
      </c>
      <c r="R350" s="26"/>
      <c r="S350" s="39">
        <f t="shared" si="49"/>
        <v>4041.049999999992</v>
      </c>
      <c r="T350" s="7"/>
      <c r="U350" s="6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spans="1:40" ht="15.75" customHeight="1">
      <c r="A351" s="410" t="s">
        <v>411</v>
      </c>
      <c r="B351" s="7" t="s">
        <v>94</v>
      </c>
      <c r="C351" s="271" t="s">
        <v>56</v>
      </c>
      <c r="D351" s="54"/>
      <c r="E351" s="7"/>
      <c r="F351" s="19">
        <f>+INDEX('[1]Budget original'!$A$2:$AO$501,MATCH($A351,'[1]Budget original'!$A$2:$A$501,0),MATCH(F$2,'[1]Budget original'!$A$2:$AO$2,0))</f>
        <v>0</v>
      </c>
      <c r="G351" s="56"/>
      <c r="H351" s="7"/>
      <c r="I351" s="19"/>
      <c r="J351" s="26"/>
      <c r="K351" s="7"/>
      <c r="L351" s="39">
        <f>SUMIFS([1]BV_Data_An_Cour!$AM:$AM,[1]BV_Data_An_Cour!$AP:$AP,$B351,[1]BV_Data_An_Cour!$AQ:$AQ,$C351,[1]BV_Data_An_Cour!$AR:$AR,$L$2)</f>
        <v>0</v>
      </c>
      <c r="M351" s="26"/>
      <c r="N351" s="39">
        <f t="shared" si="48"/>
        <v>0</v>
      </c>
      <c r="O351" s="26"/>
      <c r="P351" s="7"/>
      <c r="Q351" s="39">
        <f>SUMIFS([1]BV_Data_An_Prec!$AM:$AM,[1]BV_Data_An_Prec!$AP:$AP,$B351,[1]BV_Data_An_Prec!$AQ:$AQ,$C351,[1]BV_Data_An_Prec!$AR:$AR,$L$2)</f>
        <v>0</v>
      </c>
      <c r="R351" s="26"/>
      <c r="S351" s="39">
        <f t="shared" si="49"/>
        <v>0</v>
      </c>
      <c r="T351" s="7"/>
      <c r="U351" s="6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spans="1:40" ht="15.75" customHeight="1">
      <c r="A352" s="410" t="s">
        <v>412</v>
      </c>
      <c r="B352" s="7" t="s">
        <v>94</v>
      </c>
      <c r="C352" s="271" t="s">
        <v>57</v>
      </c>
      <c r="D352" s="54"/>
      <c r="E352" s="7"/>
      <c r="F352" s="19">
        <f>+INDEX('[1]Budget original'!$A$2:$AO$501,MATCH($A352,'[1]Budget original'!$A$2:$A$501,0),MATCH(F$2,'[1]Budget original'!$A$2:$AO$2,0))</f>
        <v>0</v>
      </c>
      <c r="G352" s="56"/>
      <c r="H352" s="7"/>
      <c r="I352" s="19"/>
      <c r="J352" s="26"/>
      <c r="K352" s="7"/>
      <c r="L352" s="39">
        <f>SUMIFS([1]BV_Data_An_Cour!$AM:$AM,[1]BV_Data_An_Cour!$AP:$AP,$B352,[1]BV_Data_An_Cour!$AQ:$AQ,$C352,[1]BV_Data_An_Cour!$AR:$AR,$L$2)</f>
        <v>101.4699999999998</v>
      </c>
      <c r="M352" s="26"/>
      <c r="N352" s="39">
        <f t="shared" si="48"/>
        <v>101.4699999999998</v>
      </c>
      <c r="O352" s="26"/>
      <c r="P352" s="7"/>
      <c r="Q352" s="39">
        <f>SUMIFS([1]BV_Data_An_Prec!$AM:$AM,[1]BV_Data_An_Prec!$AP:$AP,$B352,[1]BV_Data_An_Prec!$AQ:$AQ,$C352,[1]BV_Data_An_Prec!$AR:$AR,$L$2)</f>
        <v>181.46000000000004</v>
      </c>
      <c r="R352" s="26"/>
      <c r="S352" s="39">
        <f t="shared" si="49"/>
        <v>-79.990000000000236</v>
      </c>
      <c r="T352" s="7"/>
      <c r="U352" s="6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spans="1:40" ht="15.75" customHeight="1">
      <c r="A353" s="410" t="s">
        <v>413</v>
      </c>
      <c r="B353" s="7" t="s">
        <v>94</v>
      </c>
      <c r="C353" s="271" t="s">
        <v>58</v>
      </c>
      <c r="D353" s="54"/>
      <c r="E353" s="7"/>
      <c r="F353" s="19">
        <f>+INDEX('[1]Budget original'!$A$2:$AO$501,MATCH($A353,'[1]Budget original'!$A$2:$A$501,0),MATCH(F$2,'[1]Budget original'!$A$2:$AO$2,0))</f>
        <v>0</v>
      </c>
      <c r="G353" s="56"/>
      <c r="H353" s="7"/>
      <c r="I353" s="19"/>
      <c r="J353" s="26"/>
      <c r="K353" s="7"/>
      <c r="L353" s="39">
        <f>SUMIFS([1]BV_Data_An_Cour!$AM:$AM,[1]BV_Data_An_Cour!$AP:$AP,$B353,[1]BV_Data_An_Cour!$AQ:$AQ,$C353,[1]BV_Data_An_Cour!$AR:$AR,$L$2)</f>
        <v>210.09000000000003</v>
      </c>
      <c r="M353" s="26"/>
      <c r="N353" s="39">
        <f t="shared" si="48"/>
        <v>210.09000000000003</v>
      </c>
      <c r="O353" s="26"/>
      <c r="P353" s="7"/>
      <c r="Q353" s="39">
        <f>SUMIFS([1]BV_Data_An_Prec!$AM:$AM,[1]BV_Data_An_Prec!$AP:$AP,$B353,[1]BV_Data_An_Prec!$AQ:$AQ,$C353,[1]BV_Data_An_Prec!$AR:$AR,$L$2)</f>
        <v>342.92000000000007</v>
      </c>
      <c r="R353" s="26"/>
      <c r="S353" s="39">
        <f t="shared" si="49"/>
        <v>-132.83000000000004</v>
      </c>
      <c r="T353" s="7"/>
      <c r="U353" s="6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spans="1:40" ht="15.75" customHeight="1">
      <c r="A354" s="410" t="s">
        <v>414</v>
      </c>
      <c r="B354" s="7" t="s">
        <v>94</v>
      </c>
      <c r="C354" s="271" t="s">
        <v>59</v>
      </c>
      <c r="D354" s="54"/>
      <c r="E354" s="7"/>
      <c r="F354" s="19">
        <f>+INDEX('[1]Budget original'!$A$2:$AO$501,MATCH($A354,'[1]Budget original'!$A$2:$A$501,0),MATCH(F$2,'[1]Budget original'!$A$2:$AO$2,0))</f>
        <v>0</v>
      </c>
      <c r="G354" s="56"/>
      <c r="H354" s="7"/>
      <c r="I354" s="19"/>
      <c r="J354" s="26"/>
      <c r="K354" s="7"/>
      <c r="L354" s="39">
        <f>SUMIFS([1]BV_Data_An_Cour!$AM:$AM,[1]BV_Data_An_Cour!$AP:$AP,$B354,[1]BV_Data_An_Cour!$AQ:$AQ,$C354,[1]BV_Data_An_Cour!$AR:$AR,$L$2)</f>
        <v>294</v>
      </c>
      <c r="M354" s="26"/>
      <c r="N354" s="39">
        <f t="shared" si="48"/>
        <v>294</v>
      </c>
      <c r="O354" s="26"/>
      <c r="P354" s="7"/>
      <c r="Q354" s="39">
        <f>SUMIFS([1]BV_Data_An_Prec!$AM:$AM,[1]BV_Data_An_Prec!$AP:$AP,$B354,[1]BV_Data_An_Prec!$AQ:$AQ,$C354,[1]BV_Data_An_Prec!$AR:$AR,$L$2)</f>
        <v>227.16000000000008</v>
      </c>
      <c r="R354" s="26"/>
      <c r="S354" s="39">
        <f t="shared" si="49"/>
        <v>66.839999999999918</v>
      </c>
      <c r="T354" s="7"/>
      <c r="U354" s="6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spans="1:40" ht="15.75" customHeight="1">
      <c r="A355" s="410" t="s">
        <v>415</v>
      </c>
      <c r="B355" s="7" t="s">
        <v>94</v>
      </c>
      <c r="C355" s="271" t="s">
        <v>60</v>
      </c>
      <c r="D355" s="54"/>
      <c r="E355" s="7"/>
      <c r="F355" s="19">
        <f>+INDEX('[1]Budget original'!$A$2:$AO$501,MATCH($A355,'[1]Budget original'!$A$2:$A$501,0),MATCH(F$2,'[1]Budget original'!$A$2:$AO$2,0))</f>
        <v>0</v>
      </c>
      <c r="G355" s="56"/>
      <c r="H355" s="7"/>
      <c r="I355" s="19"/>
      <c r="J355" s="26"/>
      <c r="K355" s="7"/>
      <c r="L355" s="39">
        <f>SUMIFS([1]BV_Data_An_Cour!$AM:$AM,[1]BV_Data_An_Cour!$AP:$AP,$B355,[1]BV_Data_An_Cour!$AQ:$AQ,$C355,[1]BV_Data_An_Cour!$AR:$AR,$L$2)</f>
        <v>1351.7199999999993</v>
      </c>
      <c r="M355" s="26"/>
      <c r="N355" s="39">
        <f t="shared" si="48"/>
        <v>1351.7199999999993</v>
      </c>
      <c r="O355" s="26"/>
      <c r="P355" s="7"/>
      <c r="Q355" s="39">
        <f>SUMIFS([1]BV_Data_An_Prec!$AM:$AM,[1]BV_Data_An_Prec!$AP:$AP,$B355,[1]BV_Data_An_Prec!$AQ:$AQ,$C355,[1]BV_Data_An_Prec!$AR:$AR,$L$2)</f>
        <v>1368.8900000000003</v>
      </c>
      <c r="R355" s="26"/>
      <c r="S355" s="39">
        <f t="shared" si="49"/>
        <v>-17.170000000000982</v>
      </c>
      <c r="T355" s="7"/>
      <c r="U355" s="6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spans="1:40" ht="15.75" customHeight="1">
      <c r="A356" s="410" t="s">
        <v>416</v>
      </c>
      <c r="B356" s="7" t="s">
        <v>94</v>
      </c>
      <c r="C356" s="271" t="s">
        <v>61</v>
      </c>
      <c r="D356" s="54"/>
      <c r="E356" s="7"/>
      <c r="F356" s="19">
        <f>+INDEX('[1]Budget original'!$A$2:$AO$501,MATCH($A356,'[1]Budget original'!$A$2:$A$501,0),MATCH(F$2,'[1]Budget original'!$A$2:$AO$2,0))</f>
        <v>0</v>
      </c>
      <c r="G356" s="56"/>
      <c r="H356" s="7"/>
      <c r="I356" s="19"/>
      <c r="J356" s="26"/>
      <c r="K356" s="7"/>
      <c r="L356" s="39">
        <f>SUMIFS([1]BV_Data_An_Cour!$AM:$AM,[1]BV_Data_An_Cour!$AP:$AP,$B356,[1]BV_Data_An_Cour!$AQ:$AQ,$C356,[1]BV_Data_An_Cour!$AR:$AR,$L$2)</f>
        <v>473</v>
      </c>
      <c r="M356" s="26"/>
      <c r="N356" s="39">
        <f t="shared" si="48"/>
        <v>473</v>
      </c>
      <c r="O356" s="26"/>
      <c r="P356" s="7"/>
      <c r="Q356" s="39">
        <f>SUMIFS([1]BV_Data_An_Prec!$AM:$AM,[1]BV_Data_An_Prec!$AP:$AP,$B356,[1]BV_Data_An_Prec!$AQ:$AQ,$C356,[1]BV_Data_An_Prec!$AR:$AR,$L$2)</f>
        <v>0</v>
      </c>
      <c r="R356" s="26"/>
      <c r="S356" s="39">
        <f t="shared" si="49"/>
        <v>473</v>
      </c>
      <c r="T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spans="1:40" ht="15.75" customHeight="1">
      <c r="A357" s="410" t="s">
        <v>417</v>
      </c>
      <c r="B357" s="7" t="s">
        <v>94</v>
      </c>
      <c r="C357" s="271" t="s">
        <v>62</v>
      </c>
      <c r="D357" s="54"/>
      <c r="E357" s="7"/>
      <c r="F357" s="19">
        <f>+INDEX('[1]Budget original'!$A$2:$AO$501,MATCH($A357,'[1]Budget original'!$A$2:$A$501,0),MATCH(F$2,'[1]Budget original'!$A$2:$AO$2,0))</f>
        <v>0</v>
      </c>
      <c r="G357" s="56"/>
      <c r="H357" s="7"/>
      <c r="I357" s="19"/>
      <c r="J357" s="26"/>
      <c r="K357" s="7"/>
      <c r="L357" s="39">
        <f>SUMIFS([1]BV_Data_An_Cour!$AM:$AM,[1]BV_Data_An_Cour!$AP:$AP,$B357,[1]BV_Data_An_Cour!$AQ:$AQ,$C357,[1]BV_Data_An_Cour!$AR:$AR,$L$2)</f>
        <v>478.5300000000002</v>
      </c>
      <c r="M357" s="26"/>
      <c r="N357" s="39">
        <f t="shared" si="48"/>
        <v>478.5300000000002</v>
      </c>
      <c r="O357" s="26"/>
      <c r="P357" s="7"/>
      <c r="Q357" s="39">
        <f>SUMIFS([1]BV_Data_An_Prec!$AM:$AM,[1]BV_Data_An_Prec!$AP:$AP,$B357,[1]BV_Data_An_Prec!$AQ:$AQ,$C357,[1]BV_Data_An_Prec!$AR:$AR,$L$2)</f>
        <v>107.16000000000008</v>
      </c>
      <c r="R357" s="26"/>
      <c r="S357" s="39">
        <f t="shared" si="49"/>
        <v>371.37000000000012</v>
      </c>
      <c r="T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spans="1:40" ht="20.399999999999999" customHeight="1">
      <c r="A358" s="410" t="s">
        <v>397</v>
      </c>
      <c r="B358" s="7" t="s">
        <v>94</v>
      </c>
      <c r="C358" s="271" t="s">
        <v>418</v>
      </c>
      <c r="D358" s="54"/>
      <c r="E358" s="7"/>
      <c r="F358" s="19">
        <f>+INDEX('[1]Budget original'!$A$2:$AO$501,MATCH($A358,'[1]Budget original'!$A$2:$A$501,0),MATCH(F$2,'[1]Budget original'!$A$2:$AO$2,0))</f>
        <v>0</v>
      </c>
      <c r="G358" s="56"/>
      <c r="H358" s="7"/>
      <c r="I358" s="19"/>
      <c r="J358" s="26"/>
      <c r="K358" s="7"/>
      <c r="L358" s="39">
        <f>SUMIFS([1]BV_Data_An_Cour!$AM:$AM,[1]BV_Data_An_Cour!$AP:$AP,$B358,[1]BV_Data_An_Cour!$AQ:$AQ,$C358,[1]BV_Data_An_Cour!$AR:$AR,$L$2)</f>
        <v>3075.0000000000009</v>
      </c>
      <c r="M358" s="26"/>
      <c r="N358" s="39">
        <f t="shared" si="48"/>
        <v>3075.0000000000009</v>
      </c>
      <c r="O358" s="26"/>
      <c r="P358" s="7"/>
      <c r="Q358" s="39">
        <f>SUMIFS([1]BV_Data_An_Prec!$AM:$AM,[1]BV_Data_An_Prec!$AP:$AP,$B358,[1]BV_Data_An_Prec!$AQ:$AQ,$C358,[1]BV_Data_An_Prec!$AR:$AR,$L$2)</f>
        <v>0</v>
      </c>
      <c r="R358" s="26"/>
      <c r="S358" s="39">
        <f t="shared" si="49"/>
        <v>3075.0000000000009</v>
      </c>
      <c r="T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spans="1:40" ht="20.399999999999999" hidden="1" customHeight="1" thickTop="1">
      <c r="A359" s="410" t="s">
        <v>397</v>
      </c>
      <c r="B359" s="7" t="s">
        <v>94</v>
      </c>
      <c r="C359" s="271" t="s">
        <v>19</v>
      </c>
      <c r="D359" s="54"/>
      <c r="E359" s="7"/>
      <c r="F359" s="19">
        <f>+INDEX('[1]Budget original'!$A$2:$AO$501,MATCH($A359,'[1]Budget original'!$A$2:$A$501,0),MATCH(F$2,'[1]Budget original'!$A$2:$AO$2,0))</f>
        <v>0</v>
      </c>
      <c r="G359" s="56"/>
      <c r="H359" s="7"/>
      <c r="I359" s="19"/>
      <c r="J359" s="26"/>
      <c r="K359" s="7"/>
      <c r="L359" s="39">
        <f>SUMIFS([1]BV_Data_An_Cour!$AM:$AM,[1]BV_Data_An_Cour!$AP:$AP,$B359,[1]BV_Data_An_Cour!$AQ:$AQ,$C359,[1]BV_Data_An_Cour!$AR:$AR,$L$2)</f>
        <v>0</v>
      </c>
      <c r="M359" s="26"/>
      <c r="N359" s="39">
        <f t="shared" si="48"/>
        <v>0</v>
      </c>
      <c r="O359" s="26"/>
      <c r="P359" s="7"/>
      <c r="Q359" s="39">
        <f>SUMIFS([1]BV_Data_An_Prec!$AM:$AM,[1]BV_Data_An_Prec!$AP:$AP,$B359,[1]BV_Data_An_Prec!$AQ:$AQ,$C359,[1]BV_Data_An_Prec!$AR:$AR,$L$2)</f>
        <v>0</v>
      </c>
      <c r="R359" s="26"/>
      <c r="S359" s="39">
        <f t="shared" si="49"/>
        <v>0</v>
      </c>
      <c r="T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spans="1:40" ht="20.399999999999999" hidden="1" customHeight="1" thickBot="1">
      <c r="A360" s="410" t="s">
        <v>397</v>
      </c>
      <c r="B360" s="7" t="s">
        <v>94</v>
      </c>
      <c r="C360" s="271" t="s">
        <v>19</v>
      </c>
      <c r="D360" s="54"/>
      <c r="E360" s="7"/>
      <c r="F360" s="19">
        <f>+INDEX('[1]Budget original'!$A$2:$AO$501,MATCH($A360,'[1]Budget original'!$A$2:$A$501,0),MATCH(F$2,'[1]Budget original'!$A$2:$AO$2,0))</f>
        <v>0</v>
      </c>
      <c r="G360" s="56"/>
      <c r="H360" s="7"/>
      <c r="I360" s="19"/>
      <c r="J360" s="26"/>
      <c r="K360" s="7"/>
      <c r="L360" s="39">
        <f>SUMIFS([1]BV_Data_An_Cour!$AM:$AM,[1]BV_Data_An_Cour!$AP:$AP,$B360,[1]BV_Data_An_Cour!$AQ:$AQ,$C360,[1]BV_Data_An_Cour!$AR:$AR,$L$2)</f>
        <v>0</v>
      </c>
      <c r="M360" s="26"/>
      <c r="N360" s="39">
        <f t="shared" si="48"/>
        <v>0</v>
      </c>
      <c r="O360" s="26"/>
      <c r="P360" s="7"/>
      <c r="Q360" s="39">
        <f>SUMIFS([1]BV_Data_An_Prec!$AM:$AM,[1]BV_Data_An_Prec!$AP:$AP,$B360,[1]BV_Data_An_Prec!$AQ:$AQ,$C360,[1]BV_Data_An_Prec!$AR:$AR,$L$2)</f>
        <v>0</v>
      </c>
      <c r="R360" s="26"/>
      <c r="S360" s="39">
        <f t="shared" si="49"/>
        <v>0</v>
      </c>
      <c r="T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spans="1:40" ht="18.600000000000001" customHeight="1">
      <c r="A361" s="410"/>
      <c r="B361" s="7"/>
      <c r="C361" s="139" t="s">
        <v>63</v>
      </c>
      <c r="D361" s="62" t="s">
        <v>38</v>
      </c>
      <c r="E361" s="63" t="e">
        <f>F361/F$318</f>
        <v>#DIV/0!</v>
      </c>
      <c r="F361" s="64">
        <f>+SUM(F343:F360)</f>
        <v>0</v>
      </c>
      <c r="G361" s="65"/>
      <c r="H361" s="63"/>
      <c r="I361" s="64"/>
      <c r="J361" s="65" t="s">
        <v>38</v>
      </c>
      <c r="K361" s="63">
        <f>L361/L$326</f>
        <v>0.3666394902004757</v>
      </c>
      <c r="L361" s="64">
        <f>+SUM(L343:L360)</f>
        <v>21774.579999999987</v>
      </c>
      <c r="M361" s="66"/>
      <c r="N361" s="64">
        <f>+SUM(N343:N360)</f>
        <v>21774.579999999987</v>
      </c>
      <c r="O361" s="65" t="s">
        <v>38</v>
      </c>
      <c r="P361" s="63">
        <f>Q361/Q$326</f>
        <v>0.18435841134657133</v>
      </c>
      <c r="Q361" s="64">
        <f>+SUM(Q343:Q360)</f>
        <v>15695.77</v>
      </c>
      <c r="R361" s="67"/>
      <c r="S361" s="64">
        <f t="shared" si="49"/>
        <v>6078.8099999999868</v>
      </c>
      <c r="T361" s="7"/>
      <c r="U361" s="6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spans="1:40" ht="15.75" customHeight="1">
      <c r="B362" s="7"/>
      <c r="C362" s="14"/>
      <c r="D362" s="57"/>
      <c r="E362" s="73"/>
      <c r="F362" s="39"/>
      <c r="G362" s="59"/>
      <c r="H362" s="73"/>
      <c r="I362" s="39"/>
      <c r="J362" s="14"/>
      <c r="K362" s="73"/>
      <c r="L362" s="61"/>
      <c r="M362" s="14"/>
      <c r="N362" s="61"/>
      <c r="O362" s="14"/>
      <c r="P362" s="73"/>
      <c r="Q362" s="61"/>
      <c r="R362" s="14"/>
      <c r="S362" s="61"/>
      <c r="T362" s="50"/>
      <c r="U362" s="6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spans="1:40" ht="18.600000000000001" customHeight="1">
      <c r="A363" s="410"/>
      <c r="B363" s="7"/>
      <c r="C363" s="139" t="s">
        <v>64</v>
      </c>
      <c r="D363" s="62" t="s">
        <v>38</v>
      </c>
      <c r="E363" s="63" t="e">
        <f>F363/F$318</f>
        <v>#DIV/0!</v>
      </c>
      <c r="F363" s="64">
        <f>F342+F361</f>
        <v>0</v>
      </c>
      <c r="G363" s="65"/>
      <c r="H363" s="63"/>
      <c r="I363" s="64"/>
      <c r="J363" s="65" t="s">
        <v>38</v>
      </c>
      <c r="K363" s="63">
        <f>L363/L$326</f>
        <v>0.90668032561918999</v>
      </c>
      <c r="L363" s="64">
        <f>L342+L361</f>
        <v>53847.399999999987</v>
      </c>
      <c r="M363" s="66"/>
      <c r="N363" s="64">
        <f>L363-F363</f>
        <v>53847.399999999987</v>
      </c>
      <c r="O363" s="65" t="s">
        <v>38</v>
      </c>
      <c r="P363" s="63">
        <f>Q363/Q$326</f>
        <v>0.4694409944600047</v>
      </c>
      <c r="Q363" s="64">
        <f>Q342+Q361</f>
        <v>39966.92</v>
      </c>
      <c r="R363" s="67"/>
      <c r="S363" s="64">
        <f>L363-Q363</f>
        <v>13880.479999999989</v>
      </c>
      <c r="T363" s="7"/>
      <c r="U363" s="6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spans="1:40" ht="15.75" customHeight="1">
      <c r="B364" s="7"/>
      <c r="C364" s="26"/>
      <c r="D364" s="54"/>
      <c r="E364" s="7"/>
      <c r="F364" s="39"/>
      <c r="G364" s="56"/>
      <c r="H364" s="7"/>
      <c r="I364" s="39"/>
      <c r="J364" s="26"/>
      <c r="K364" s="7"/>
      <c r="L364" s="39"/>
      <c r="M364" s="26"/>
      <c r="N364" s="39">
        <f>L364-F364</f>
        <v>0</v>
      </c>
      <c r="O364" s="26"/>
      <c r="P364" s="7"/>
      <c r="Q364" s="39"/>
      <c r="R364" s="26"/>
      <c r="S364" s="39"/>
      <c r="T364" s="7"/>
      <c r="U364" s="6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spans="1:40" ht="18.600000000000001" customHeight="1" thickBot="1">
      <c r="A365" s="410"/>
      <c r="B365" s="7"/>
      <c r="C365" s="276" t="s">
        <v>69</v>
      </c>
      <c r="D365" s="277"/>
      <c r="E365" s="278"/>
      <c r="F365" s="138">
        <f>F326-F363</f>
        <v>0</v>
      </c>
      <c r="G365" s="279"/>
      <c r="H365" s="278"/>
      <c r="I365" s="138"/>
      <c r="J365" s="279"/>
      <c r="K365" s="278"/>
      <c r="L365" s="138">
        <f>L326-L363</f>
        <v>5542.2200000000448</v>
      </c>
      <c r="M365" s="280"/>
      <c r="N365" s="138">
        <f>L365-F365</f>
        <v>5542.2200000000448</v>
      </c>
      <c r="O365" s="279"/>
      <c r="P365" s="278"/>
      <c r="Q365" s="138">
        <f>Q326-Q363</f>
        <v>45170.34000000004</v>
      </c>
      <c r="R365" s="281"/>
      <c r="S365" s="138">
        <f>L365-Q365</f>
        <v>-39628.119999999995</v>
      </c>
      <c r="T365" s="7"/>
      <c r="U365" s="6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spans="1:40" ht="15.75" customHeight="1" thickTop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55"/>
      <c r="M366" s="7"/>
      <c r="N366" s="7"/>
      <c r="O366" s="7"/>
      <c r="P366" s="7"/>
      <c r="Q366" s="7"/>
      <c r="R366" s="7"/>
      <c r="S366" s="7"/>
      <c r="T366" s="7"/>
      <c r="U366" s="6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spans="1:40" ht="36" customHeight="1">
      <c r="B367" s="7"/>
      <c r="C367" s="251" t="str">
        <f>C1</f>
        <v>Ste-Marie Auto</v>
      </c>
      <c r="D367" s="252"/>
      <c r="E367" s="253"/>
      <c r="F367" s="252"/>
      <c r="G367" s="252"/>
      <c r="H367" s="254"/>
      <c r="I367" s="252"/>
      <c r="J367" s="254"/>
      <c r="K367" s="255" t="s">
        <v>98</v>
      </c>
      <c r="L367" s="252"/>
      <c r="M367" s="252"/>
      <c r="N367" s="256"/>
      <c r="O367" s="251"/>
      <c r="P367" s="257"/>
      <c r="Q367" s="251"/>
      <c r="R367" s="257"/>
      <c r="S367" s="258" t="str">
        <f>$S$1</f>
        <v>Réalisé, Juillet 2026</v>
      </c>
      <c r="T367" s="7"/>
      <c r="U367" s="6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spans="1:40" ht="15.75" customHeight="1" thickBot="1">
      <c r="B368" s="7"/>
      <c r="C368" s="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7"/>
      <c r="U368" s="6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spans="1:40" ht="15.75" customHeight="1" thickTop="1">
      <c r="B369" s="7"/>
      <c r="C369" s="259"/>
      <c r="D369" s="407" t="s">
        <v>5</v>
      </c>
      <c r="E369" s="408"/>
      <c r="F369" s="406"/>
      <c r="G369" s="405"/>
      <c r="H369" s="408"/>
      <c r="I369" s="406"/>
      <c r="J369" s="405" t="s">
        <v>7</v>
      </c>
      <c r="K369" s="408"/>
      <c r="L369" s="406"/>
      <c r="M369" s="405" t="s">
        <v>211</v>
      </c>
      <c r="N369" s="406"/>
      <c r="O369" s="407" t="s">
        <v>8</v>
      </c>
      <c r="P369" s="408"/>
      <c r="Q369" s="406"/>
      <c r="R369" s="405" t="s">
        <v>212</v>
      </c>
      <c r="S369" s="406"/>
      <c r="T369" s="7"/>
      <c r="U369" s="6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spans="1:40" ht="15.75" customHeight="1">
      <c r="A370" s="410" t="s">
        <v>98</v>
      </c>
      <c r="B370" s="7" t="s">
        <v>98</v>
      </c>
      <c r="C370" s="330"/>
      <c r="D370" s="53" t="s">
        <v>79</v>
      </c>
      <c r="E370" s="53" t="s">
        <v>99</v>
      </c>
      <c r="F370" s="84" t="s">
        <v>12</v>
      </c>
      <c r="G370" s="85"/>
      <c r="H370" s="53"/>
      <c r="I370" s="84"/>
      <c r="J370" s="53" t="s">
        <v>79</v>
      </c>
      <c r="K370" s="53" t="s">
        <v>99</v>
      </c>
      <c r="L370" s="84" t="s">
        <v>12</v>
      </c>
      <c r="M370" s="85" t="s">
        <v>39</v>
      </c>
      <c r="N370" s="84" t="s">
        <v>215</v>
      </c>
      <c r="O370" s="53" t="s">
        <v>79</v>
      </c>
      <c r="P370" s="53" t="s">
        <v>99</v>
      </c>
      <c r="Q370" s="84" t="s">
        <v>12</v>
      </c>
      <c r="R370" s="85" t="s">
        <v>80</v>
      </c>
      <c r="S370" s="84" t="s">
        <v>12</v>
      </c>
      <c r="T370" s="7"/>
      <c r="U370" s="6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spans="1:40" ht="15.75" customHeight="1">
      <c r="A371" s="410" t="s">
        <v>419</v>
      </c>
      <c r="B371" s="7" t="s">
        <v>98</v>
      </c>
      <c r="C371" s="331" t="s">
        <v>100</v>
      </c>
      <c r="D371" s="55">
        <f>+INDEX('[1]Budget original'!$A$2:$AO$501,MATCH($A371,'[1]Budget original'!$A$2:$A$501,0),MATCH(D$2,'[1]Budget original'!$A$2:$AO$2,0))</f>
        <v>0</v>
      </c>
      <c r="E371" s="93">
        <f>IF(D371=0,0,F371/D371)</f>
        <v>0</v>
      </c>
      <c r="F371" s="39">
        <f>+INDEX('[1]Budget original'!$A$2:$AO$501,MATCH($A371,'[1]Budget original'!$A$2:$A$501,0),MATCH(F$2,'[1]Budget original'!$A$2:$AO$2,0))</f>
        <v>0</v>
      </c>
      <c r="G371" s="55"/>
      <c r="H371" s="93"/>
      <c r="I371" s="39"/>
      <c r="J371" s="55">
        <f>-SUMIFS([1]BV_Data_An_Cour!$AM:$AM,[1]BV_Data_An_Cour!$AS:$AS,"Oui",[1]BV_Data_An_Cour!$AP:$AP,$B371,[1]BV_Data_An_Cour!$AQ:$AQ,$C371)</f>
        <v>52184.369999999995</v>
      </c>
      <c r="K371" s="93">
        <f t="shared" ref="K371:K380" si="50">IF(J371&lt;=0,0,L371/J371)</f>
        <v>0.34519895516607735</v>
      </c>
      <c r="L371" s="39">
        <f>-SUMIFS([1]BV_Data_An_Cour!$AM:$AM,[1]BV_Data_An_Cour!$AP:$AP,$B371,[1]BV_Data_An_Cour!$AQ:$AQ,$C371,[1]BV_Data_An_Cour!$AR:$AR,$L$2)</f>
        <v>18013.989999999991</v>
      </c>
      <c r="M371" s="99" t="e">
        <f t="shared" ref="M371:M377" si="51">(+J371-D371)/D371</f>
        <v>#DIV/0!</v>
      </c>
      <c r="N371" s="39">
        <f t="shared" ref="N371:N380" si="52">L371-F371</f>
        <v>18013.989999999991</v>
      </c>
      <c r="O371" s="55">
        <f>-SUMIFS([1]BV_Data_An_Prec!$AM:$AM,[1]BV_Data_An_Prec!$AS:$AS,"Oui",[1]BV_Data_An_Prec!$AP:$AP,$B371,[1]BV_Data_An_Prec!$AQ:$AQ,$C371)</f>
        <v>56069.880000000005</v>
      </c>
      <c r="P371" s="93">
        <f t="shared" ref="P371:P380" si="53">IF(O371&lt;=0,0,Q371/O371)</f>
        <v>0.37750749600320249</v>
      </c>
      <c r="Q371" s="39">
        <f>-SUMIFS([1]BV_Data_An_Prec!$AM:$AM,[1]BV_Data_An_Prec!$AP:$AP,$B371,[1]BV_Data_An_Prec!$AQ:$AQ,$C371,[1]BV_Data_An_Prec!$AR:$AR,$L$2)</f>
        <v>21166.800000000047</v>
      </c>
      <c r="R371" s="99">
        <f t="shared" ref="R371:R380" si="54">IF(O371=0,0,(J371-O371)/O371)</f>
        <v>-6.9297633595791691E-2</v>
      </c>
      <c r="S371" s="39">
        <f t="shared" ref="S371:S380" si="55">L371-Q371</f>
        <v>-3152.8100000000559</v>
      </c>
      <c r="T371" s="7"/>
      <c r="U371" s="6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spans="1:40" ht="15.75" customHeight="1">
      <c r="A372" s="410" t="s">
        <v>420</v>
      </c>
      <c r="B372" s="7" t="s">
        <v>98</v>
      </c>
      <c r="C372" s="331" t="s">
        <v>101</v>
      </c>
      <c r="D372" s="55">
        <f>+INDEX('[1]Budget original'!$A$2:$AO$501,MATCH($A372,'[1]Budget original'!$A$2:$A$501,0),MATCH(D$2,'[1]Budget original'!$A$2:$AO$2,0))</f>
        <v>0</v>
      </c>
      <c r="E372" s="93">
        <f t="shared" ref="E372:E379" si="56">IF(D372=0,0,F372/D372)</f>
        <v>0</v>
      </c>
      <c r="F372" s="39">
        <f>+INDEX('[1]Budget original'!$A$2:$AO$501,MATCH($A372,'[1]Budget original'!$A$2:$A$501,0),MATCH(F$2,'[1]Budget original'!$A$2:$AO$2,0))</f>
        <v>0</v>
      </c>
      <c r="G372" s="55"/>
      <c r="H372" s="93"/>
      <c r="I372" s="39"/>
      <c r="J372" s="55">
        <f>-SUMIFS([1]BV_Data_An_Cour!$AM:$AM,[1]BV_Data_An_Cour!$AS:$AS,"Oui",[1]BV_Data_An_Cour!$AP:$AP,$B372,[1]BV_Data_An_Cour!$AQ:$AQ,$C372)</f>
        <v>0</v>
      </c>
      <c r="K372" s="93">
        <f t="shared" si="50"/>
        <v>0</v>
      </c>
      <c r="L372" s="39">
        <f>-SUMIFS([1]BV_Data_An_Cour!$AM:$AM,[1]BV_Data_An_Cour!$AP:$AP,$B372,[1]BV_Data_An_Cour!$AQ:$AQ,$C372,[1]BV_Data_An_Cour!$AR:$AR,$L$2)</f>
        <v>0</v>
      </c>
      <c r="M372" s="99" t="e">
        <f t="shared" si="51"/>
        <v>#DIV/0!</v>
      </c>
      <c r="N372" s="39">
        <f t="shared" si="52"/>
        <v>0</v>
      </c>
      <c r="O372" s="55">
        <f>-SUMIFS([1]BV_Data_An_Prec!$AM:$AM,[1]BV_Data_An_Prec!$AS:$AS,"Oui",[1]BV_Data_An_Prec!$AP:$AP,$B372,[1]BV_Data_An_Prec!$AQ:$AQ,$C372)</f>
        <v>0</v>
      </c>
      <c r="P372" s="93">
        <f t="shared" si="53"/>
        <v>0</v>
      </c>
      <c r="Q372" s="39">
        <f>-SUMIFS([1]BV_Data_An_Prec!$AM:$AM,[1]BV_Data_An_Prec!$AP:$AP,$B372,[1]BV_Data_An_Prec!$AQ:$AQ,$C372,[1]BV_Data_An_Prec!$AR:$AR,$L$2)</f>
        <v>0</v>
      </c>
      <c r="R372" s="99">
        <f t="shared" si="54"/>
        <v>0</v>
      </c>
      <c r="S372" s="39">
        <f t="shared" si="55"/>
        <v>0</v>
      </c>
      <c r="T372" s="7"/>
      <c r="U372" s="6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spans="1:40" ht="15.75" customHeight="1">
      <c r="A373" s="410" t="s">
        <v>421</v>
      </c>
      <c r="B373" s="7" t="s">
        <v>98</v>
      </c>
      <c r="C373" s="331" t="s">
        <v>102</v>
      </c>
      <c r="D373" s="55">
        <f>+INDEX('[1]Budget original'!$A$2:$AO$501,MATCH($A373,'[1]Budget original'!$A$2:$A$501,0),MATCH(D$2,'[1]Budget original'!$A$2:$AO$2,0))</f>
        <v>0</v>
      </c>
      <c r="E373" s="93">
        <f t="shared" si="56"/>
        <v>0</v>
      </c>
      <c r="F373" s="39">
        <f>+INDEX('[1]Budget original'!$A$2:$AO$501,MATCH($A373,'[1]Budget original'!$A$2:$A$501,0),MATCH(F$2,'[1]Budget original'!$A$2:$AO$2,0))</f>
        <v>0</v>
      </c>
      <c r="G373" s="55"/>
      <c r="H373" s="93"/>
      <c r="I373" s="39"/>
      <c r="J373" s="55">
        <f>-SUMIFS([1]BV_Data_An_Cour!$AM:$AM,[1]BV_Data_An_Cour!$AS:$AS,"Oui",[1]BV_Data_An_Cour!$AP:$AP,$B373,[1]BV_Data_An_Cour!$AQ:$AQ,$C373)</f>
        <v>53893.919999999984</v>
      </c>
      <c r="K373" s="93">
        <f t="shared" si="50"/>
        <v>0.27661450493859052</v>
      </c>
      <c r="L373" s="39">
        <f>-SUMIFS([1]BV_Data_An_Cour!$AM:$AM,[1]BV_Data_An_Cour!$AP:$AP,$B373,[1]BV_Data_An_Cour!$AQ:$AQ,$C373,[1]BV_Data_An_Cour!$AR:$AR,$L$2)</f>
        <v>14907.839999999997</v>
      </c>
      <c r="M373" s="99" t="e">
        <f t="shared" si="51"/>
        <v>#DIV/0!</v>
      </c>
      <c r="N373" s="39">
        <f t="shared" si="52"/>
        <v>14907.839999999997</v>
      </c>
      <c r="O373" s="55">
        <f>-SUMIFS([1]BV_Data_An_Prec!$AM:$AM,[1]BV_Data_An_Prec!$AS:$AS,"Oui",[1]BV_Data_An_Prec!$AP:$AP,$B373,[1]BV_Data_An_Prec!$AQ:$AQ,$C373)</f>
        <v>33016.760000000009</v>
      </c>
      <c r="P373" s="93">
        <f t="shared" si="53"/>
        <v>0.30535976273868232</v>
      </c>
      <c r="Q373" s="39">
        <f>-SUMIFS([1]BV_Data_An_Prec!$AM:$AM,[1]BV_Data_An_Prec!$AP:$AP,$B373,[1]BV_Data_An_Prec!$AQ:$AQ,$C373,[1]BV_Data_An_Prec!$AR:$AR,$L$2)</f>
        <v>10081.99000000002</v>
      </c>
      <c r="R373" s="99">
        <f t="shared" si="54"/>
        <v>0.63232007017042158</v>
      </c>
      <c r="S373" s="39">
        <f t="shared" si="55"/>
        <v>4825.8499999999767</v>
      </c>
      <c r="T373" s="7"/>
      <c r="U373" s="6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spans="1:40" ht="15.75" customHeight="1">
      <c r="A374" s="410" t="s">
        <v>422</v>
      </c>
      <c r="B374" s="7" t="s">
        <v>98</v>
      </c>
      <c r="C374" s="331" t="s">
        <v>103</v>
      </c>
      <c r="D374" s="55">
        <f>+INDEX('[1]Budget original'!$A$2:$AO$501,MATCH($A374,'[1]Budget original'!$A$2:$A$501,0),MATCH(D$2,'[1]Budget original'!$A$2:$AO$2,0))</f>
        <v>0</v>
      </c>
      <c r="E374" s="93">
        <f t="shared" si="56"/>
        <v>0</v>
      </c>
      <c r="F374" s="39">
        <f>+INDEX('[1]Budget original'!$A$2:$AO$501,MATCH($A374,'[1]Budget original'!$A$2:$A$501,0),MATCH(F$2,'[1]Budget original'!$A$2:$AO$2,0))</f>
        <v>0</v>
      </c>
      <c r="G374" s="55"/>
      <c r="H374" s="93"/>
      <c r="I374" s="39"/>
      <c r="J374" s="55">
        <f>-SUMIFS([1]BV_Data_An_Cour!$AM:$AM,[1]BV_Data_An_Cour!$AS:$AS,"Oui",[1]BV_Data_An_Cour!$AP:$AP,$B374,[1]BV_Data_An_Cour!$AQ:$AQ,$C374)</f>
        <v>42397.270000000019</v>
      </c>
      <c r="K374" s="93">
        <f t="shared" si="50"/>
        <v>0.30565269886480945</v>
      </c>
      <c r="L374" s="39">
        <f>-SUMIFS([1]BV_Data_An_Cour!$AM:$AM,[1]BV_Data_An_Cour!$AP:$AP,$B374,[1]BV_Data_An_Cour!$AQ:$AQ,$C374,[1]BV_Data_An_Cour!$AR:$AR,$L$2)</f>
        <v>12958.840000000026</v>
      </c>
      <c r="M374" s="99" t="e">
        <f t="shared" si="51"/>
        <v>#DIV/0!</v>
      </c>
      <c r="N374" s="39">
        <f t="shared" si="52"/>
        <v>12958.840000000026</v>
      </c>
      <c r="O374" s="55">
        <f>-SUMIFS([1]BV_Data_An_Prec!$AM:$AM,[1]BV_Data_An_Prec!$AS:$AS,"Oui",[1]BV_Data_An_Prec!$AP:$AP,$B374,[1]BV_Data_An_Prec!$AQ:$AQ,$C374)</f>
        <v>63526.010000000009</v>
      </c>
      <c r="P374" s="93">
        <f t="shared" si="53"/>
        <v>0.30675702755454093</v>
      </c>
      <c r="Q374" s="39">
        <f>-SUMIFS([1]BV_Data_An_Prec!$AM:$AM,[1]BV_Data_An_Prec!$AP:$AP,$B374,[1]BV_Data_An_Prec!$AQ:$AQ,$C374,[1]BV_Data_An_Prec!$AR:$AR,$L$2)</f>
        <v>19487.050000000047</v>
      </c>
      <c r="R374" s="99">
        <f t="shared" si="54"/>
        <v>-0.33259982800745691</v>
      </c>
      <c r="S374" s="39">
        <f t="shared" si="55"/>
        <v>-6528.210000000021</v>
      </c>
      <c r="T374" s="7"/>
      <c r="U374" s="6"/>
      <c r="V374" s="6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spans="1:40" ht="15.75" customHeight="1">
      <c r="A375" s="410" t="s">
        <v>423</v>
      </c>
      <c r="B375" s="7" t="s">
        <v>98</v>
      </c>
      <c r="C375" s="331" t="s">
        <v>104</v>
      </c>
      <c r="D375" s="55">
        <f>+INDEX('[1]Budget original'!$A$2:$AO$501,MATCH($A375,'[1]Budget original'!$A$2:$A$501,0),MATCH(D$2,'[1]Budget original'!$A$2:$AO$2,0))</f>
        <v>0</v>
      </c>
      <c r="E375" s="93">
        <f t="shared" si="56"/>
        <v>0</v>
      </c>
      <c r="F375" s="39">
        <f>+INDEX('[1]Budget original'!$A$2:$AO$501,MATCH($A375,'[1]Budget original'!$A$2:$A$501,0),MATCH(F$2,'[1]Budget original'!$A$2:$AO$2,0))</f>
        <v>0</v>
      </c>
      <c r="G375" s="55"/>
      <c r="H375" s="93"/>
      <c r="I375" s="39"/>
      <c r="J375" s="55">
        <f>-SUMIFS([1]BV_Data_An_Cour!$AM:$AM,[1]BV_Data_An_Cour!$AS:$AS,"Oui",[1]BV_Data_An_Cour!$AP:$AP,$B375,[1]BV_Data_An_Cour!$AQ:$AQ,$C375)</f>
        <v>53971.639999999985</v>
      </c>
      <c r="K375" s="93">
        <f t="shared" si="50"/>
        <v>0.16372709815747619</v>
      </c>
      <c r="L375" s="39">
        <f>-SUMIFS([1]BV_Data_An_Cour!$AM:$AM,[1]BV_Data_An_Cour!$AP:$AP,$B375,[1]BV_Data_An_Cour!$AQ:$AQ,$C375,[1]BV_Data_An_Cour!$AR:$AR,$L$2)</f>
        <v>8836.6199999999662</v>
      </c>
      <c r="M375" s="99" t="e">
        <f t="shared" si="51"/>
        <v>#DIV/0!</v>
      </c>
      <c r="N375" s="39">
        <f t="shared" si="52"/>
        <v>8836.6199999999662</v>
      </c>
      <c r="O375" s="55">
        <f>-SUMIFS([1]BV_Data_An_Prec!$AM:$AM,[1]BV_Data_An_Prec!$AS:$AS,"Oui",[1]BV_Data_An_Prec!$AP:$AP,$B375,[1]BV_Data_An_Prec!$AQ:$AQ,$C375)</f>
        <v>22368.210000000021</v>
      </c>
      <c r="P375" s="93">
        <f t="shared" si="53"/>
        <v>0.18856403798068874</v>
      </c>
      <c r="Q375" s="39">
        <f>-SUMIFS([1]BV_Data_An_Prec!$AM:$AM,[1]BV_Data_An_Prec!$AP:$AP,$B375,[1]BV_Data_An_Prec!$AQ:$AQ,$C375,[1]BV_Data_An_Prec!$AR:$AR,$L$2)</f>
        <v>4217.8400000000256</v>
      </c>
      <c r="R375" s="99">
        <f t="shared" si="54"/>
        <v>1.4128725543975102</v>
      </c>
      <c r="S375" s="39">
        <f t="shared" si="55"/>
        <v>4618.7799999999406</v>
      </c>
      <c r="T375" s="7"/>
      <c r="U375" s="6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spans="1:40" ht="15.75" customHeight="1">
      <c r="A376" s="410" t="s">
        <v>424</v>
      </c>
      <c r="B376" s="7" t="s">
        <v>98</v>
      </c>
      <c r="C376" s="331" t="s">
        <v>105</v>
      </c>
      <c r="D376" s="55">
        <f>+INDEX('[1]Budget original'!$A$2:$AO$501,MATCH($A376,'[1]Budget original'!$A$2:$A$501,0),MATCH(D$2,'[1]Budget original'!$A$2:$AO$2,0))</f>
        <v>0</v>
      </c>
      <c r="E376" s="93">
        <f t="shared" si="56"/>
        <v>0</v>
      </c>
      <c r="F376" s="39">
        <f>+INDEX('[1]Budget original'!$A$2:$AO$501,MATCH($A376,'[1]Budget original'!$A$2:$A$501,0),MATCH(F$2,'[1]Budget original'!$A$2:$AO$2,0))</f>
        <v>0</v>
      </c>
      <c r="G376" s="55"/>
      <c r="H376" s="93"/>
      <c r="I376" s="39"/>
      <c r="J376" s="55">
        <f>-SUMIFS([1]BV_Data_An_Cour!$AM:$AM,[1]BV_Data_An_Cour!$AS:$AS,"Oui",[1]BV_Data_An_Cour!$AP:$AP,$B376,[1]BV_Data_An_Cour!$AQ:$AQ,$C376)</f>
        <v>138088.62</v>
      </c>
      <c r="K376" s="93">
        <f t="shared" si="50"/>
        <v>0.1735633247692677</v>
      </c>
      <c r="L376" s="39">
        <f>-SUMIFS([1]BV_Data_An_Cour!$AM:$AM,[1]BV_Data_An_Cour!$AP:$AP,$B376,[1]BV_Data_An_Cour!$AQ:$AQ,$C376,[1]BV_Data_An_Cour!$AR:$AR,$L$2)</f>
        <v>23967.119999999995</v>
      </c>
      <c r="M376" s="99" t="e">
        <f t="shared" si="51"/>
        <v>#DIV/0!</v>
      </c>
      <c r="N376" s="39">
        <f t="shared" si="52"/>
        <v>23967.119999999995</v>
      </c>
      <c r="O376" s="55">
        <f>-SUMIFS([1]BV_Data_An_Prec!$AM:$AM,[1]BV_Data_An_Prec!$AS:$AS,"Oui",[1]BV_Data_An_Prec!$AP:$AP,$B376,[1]BV_Data_An_Prec!$AQ:$AQ,$C376)</f>
        <v>130237.25</v>
      </c>
      <c r="P376" s="93">
        <f t="shared" si="53"/>
        <v>0.28734997091845788</v>
      </c>
      <c r="Q376" s="39">
        <f>-SUMIFS([1]BV_Data_An_Prec!$AM:$AM,[1]BV_Data_An_Prec!$AP:$AP,$B376,[1]BV_Data_An_Prec!$AQ:$AQ,$C376,[1]BV_Data_An_Prec!$AR:$AR,$L$2)</f>
        <v>37423.669999999925</v>
      </c>
      <c r="R376" s="99">
        <f t="shared" si="54"/>
        <v>6.0285133477557269E-2</v>
      </c>
      <c r="S376" s="39">
        <f t="shared" si="55"/>
        <v>-13456.54999999993</v>
      </c>
      <c r="T376" s="7"/>
      <c r="U376" s="6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spans="1:40" ht="20.399999999999999" hidden="1" customHeight="1">
      <c r="A377" s="410" t="s">
        <v>425</v>
      </c>
      <c r="B377" s="7" t="s">
        <v>98</v>
      </c>
      <c r="C377" s="331" t="s">
        <v>19</v>
      </c>
      <c r="D377" s="55">
        <f>+INDEX('[1]Budget original'!$A$2:$AO$501,MATCH($A377,'[1]Budget original'!$A$2:$A$501,0),MATCH(D$2,'[1]Budget original'!$A$2:$AO$2,0))</f>
        <v>0</v>
      </c>
      <c r="E377" s="93">
        <f>IF(D377=0,0,F377/D377)</f>
        <v>0</v>
      </c>
      <c r="F377" s="39">
        <f>+INDEX('[1]Budget original'!$A$2:$AO$501,MATCH($A377,'[1]Budget original'!$A$2:$A$501,0),MATCH(F$2,'[1]Budget original'!$A$2:$AO$2,0))</f>
        <v>0</v>
      </c>
      <c r="G377" s="55"/>
      <c r="H377" s="93"/>
      <c r="I377" s="39"/>
      <c r="J377" s="55">
        <f>-SUMIFS([1]BV_Data_An_Cour!$AM:$AM,[1]BV_Data_An_Cour!$AS:$AS,"Oui",[1]BV_Data_An_Cour!$AP:$AP,$B377,[1]BV_Data_An_Cour!$AQ:$AQ,$C377)</f>
        <v>0</v>
      </c>
      <c r="K377" s="93">
        <f t="shared" si="50"/>
        <v>0</v>
      </c>
      <c r="L377" s="39">
        <f>-SUMIFS([1]BV_Data_An_Cour!$AM:$AM,[1]BV_Data_An_Cour!$AP:$AP,$B377,[1]BV_Data_An_Cour!$AQ:$AQ,$C377,[1]BV_Data_An_Cour!$AR:$AR,$L$2)</f>
        <v>0</v>
      </c>
      <c r="M377" s="99" t="e">
        <f t="shared" si="51"/>
        <v>#DIV/0!</v>
      </c>
      <c r="N377" s="39">
        <f t="shared" si="52"/>
        <v>0</v>
      </c>
      <c r="O377" s="55">
        <f>-SUMIFS([1]BV_Data_An_Prec!$AM:$AM,[1]BV_Data_An_Prec!$AS:$AS,"Oui",[1]BV_Data_An_Prec!$AP:$AP,$B377,[1]BV_Data_An_Prec!$AQ:$AQ,$C377)</f>
        <v>0</v>
      </c>
      <c r="P377" s="93">
        <f t="shared" si="53"/>
        <v>0</v>
      </c>
      <c r="Q377" s="39">
        <f>-SUMIFS([1]BV_Data_An_Prec!$AM:$AM,[1]BV_Data_An_Prec!$AP:$AP,$B377,[1]BV_Data_An_Prec!$AQ:$AQ,$C377,[1]BV_Data_An_Prec!$AR:$AR,$L$2)</f>
        <v>0</v>
      </c>
      <c r="R377" s="99">
        <f t="shared" si="54"/>
        <v>0</v>
      </c>
      <c r="S377" s="39">
        <f t="shared" si="55"/>
        <v>0</v>
      </c>
      <c r="T377" s="7"/>
      <c r="U377" s="6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spans="1:40" ht="15.75" customHeight="1">
      <c r="A378" s="410" t="s">
        <v>426</v>
      </c>
      <c r="B378" s="7" t="s">
        <v>98</v>
      </c>
      <c r="C378" s="331" t="s">
        <v>106</v>
      </c>
      <c r="D378" s="55">
        <f>+INDEX('[1]Budget original'!$A$2:$AO$501,MATCH($A378,'[1]Budget original'!$A$2:$A$501,0),MATCH(D$2,'[1]Budget original'!$A$2:$AO$2,0))</f>
        <v>0</v>
      </c>
      <c r="E378" s="93">
        <f t="shared" si="56"/>
        <v>0</v>
      </c>
      <c r="F378" s="39">
        <f>+INDEX('[1]Budget original'!$A$2:$AO$501,MATCH($A378,'[1]Budget original'!$A$2:$A$501,0),MATCH(F$2,'[1]Budget original'!$A$2:$AO$2,0))</f>
        <v>0</v>
      </c>
      <c r="G378" s="55"/>
      <c r="H378" s="93"/>
      <c r="I378" s="39"/>
      <c r="J378" s="55">
        <f>-SUMIFS([1]BV_Data_An_Cour!$AM:$AM,[1]BV_Data_An_Cour!$AS:$AS,"Oui",[1]BV_Data_An_Cour!$AP:$AP,$B378,[1]BV_Data_An_Cour!$AQ:$AQ,$C378)</f>
        <v>0</v>
      </c>
      <c r="K378" s="93">
        <f t="shared" si="50"/>
        <v>0</v>
      </c>
      <c r="L378" s="39">
        <f>-SUMIFS([1]BV_Data_An_Cour!$AM:$AM,[1]BV_Data_An_Cour!$AP:$AP,$B378,[1]BV_Data_An_Cour!$AQ:$AQ,$C378,[1]BV_Data_An_Cour!$AR:$AR,$L$2)</f>
        <v>16459.300000000003</v>
      </c>
      <c r="M378" s="99"/>
      <c r="N378" s="39">
        <f t="shared" si="52"/>
        <v>16459.300000000003</v>
      </c>
      <c r="O378" s="55">
        <f>-SUMIFS([1]BV_Data_An_Prec!$AM:$AM,[1]BV_Data_An_Prec!$AS:$AS,"Oui",[1]BV_Data_An_Prec!$AP:$AP,$B378,[1]BV_Data_An_Prec!$AQ:$AQ,$C378)</f>
        <v>0</v>
      </c>
      <c r="P378" s="93">
        <f t="shared" si="53"/>
        <v>0</v>
      </c>
      <c r="Q378" s="39">
        <f>-SUMIFS([1]BV_Data_An_Prec!$AM:$AM,[1]BV_Data_An_Prec!$AP:$AP,$B378,[1]BV_Data_An_Prec!$AQ:$AQ,$C378,[1]BV_Data_An_Prec!$AR:$AR,$L$2)</f>
        <v>15825.900000000001</v>
      </c>
      <c r="R378" s="99">
        <f t="shared" si="54"/>
        <v>0</v>
      </c>
      <c r="S378" s="39">
        <f t="shared" si="55"/>
        <v>633.40000000000146</v>
      </c>
      <c r="T378" s="7"/>
      <c r="U378" s="6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spans="1:40" ht="15.75" customHeight="1">
      <c r="A379" s="410" t="s">
        <v>427</v>
      </c>
      <c r="B379" s="7" t="s">
        <v>98</v>
      </c>
      <c r="C379" s="332" t="s">
        <v>107</v>
      </c>
      <c r="D379" s="55">
        <f>+INDEX('[1]Budget original'!$A$2:$AO$501,MATCH($A379,'[1]Budget original'!$A$2:$A$501,0),MATCH(D$2,'[1]Budget original'!$A$2:$AO$2,0))</f>
        <v>0</v>
      </c>
      <c r="E379" s="93">
        <f t="shared" si="56"/>
        <v>0</v>
      </c>
      <c r="F379" s="39">
        <f>+INDEX('[1]Budget original'!$A$2:$AO$501,MATCH($A379,'[1]Budget original'!$A$2:$A$501,0),MATCH(F$2,'[1]Budget original'!$A$2:$AO$2,0))</f>
        <v>0</v>
      </c>
      <c r="G379" s="55"/>
      <c r="H379" s="93"/>
      <c r="I379" s="39"/>
      <c r="J379" s="55">
        <f>-SUMIFS([1]BV_Data_An_Cour!$AM:$AM,[1]BV_Data_An_Cour!$AS:$AS,"Oui",[1]BV_Data_An_Cour!$AP:$AP,$B379,[1]BV_Data_An_Cour!$AQ:$AQ,$C379)</f>
        <v>0</v>
      </c>
      <c r="K379" s="93">
        <f t="shared" si="50"/>
        <v>0</v>
      </c>
      <c r="L379" s="39">
        <f>-SUMIFS([1]BV_Data_An_Cour!$AM:$AM,[1]BV_Data_An_Cour!$AP:$AP,$B379,[1]BV_Data_An_Cour!$AQ:$AQ,$C379,[1]BV_Data_An_Cour!$AR:$AR,$L$2)</f>
        <v>1121.25</v>
      </c>
      <c r="M379" s="99"/>
      <c r="N379" s="39">
        <f t="shared" si="52"/>
        <v>1121.25</v>
      </c>
      <c r="O379" s="55">
        <f>-SUMIFS([1]BV_Data_An_Prec!$AM:$AM,[1]BV_Data_An_Prec!$AS:$AS,"Oui",[1]BV_Data_An_Prec!$AP:$AP,$B379,[1]BV_Data_An_Prec!$AQ:$AQ,$C379)</f>
        <v>0</v>
      </c>
      <c r="P379" s="93">
        <f t="shared" si="53"/>
        <v>0</v>
      </c>
      <c r="Q379" s="39">
        <f>-SUMIFS([1]BV_Data_An_Prec!$AM:$AM,[1]BV_Data_An_Prec!$AP:$AP,$B379,[1]BV_Data_An_Prec!$AQ:$AQ,$C379,[1]BV_Data_An_Prec!$AR:$AR,$L$2)</f>
        <v>2669.91</v>
      </c>
      <c r="R379" s="99">
        <f t="shared" si="54"/>
        <v>0</v>
      </c>
      <c r="S379" s="39">
        <f t="shared" si="55"/>
        <v>-1548.6599999999999</v>
      </c>
      <c r="T379" s="7"/>
      <c r="U379" s="6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spans="1:40" ht="15.75" customHeight="1">
      <c r="A380" s="410" t="s">
        <v>428</v>
      </c>
      <c r="B380" s="7" t="s">
        <v>98</v>
      </c>
      <c r="C380" s="333" t="s">
        <v>108</v>
      </c>
      <c r="D380" s="122">
        <f>SUM(D371:D379)</f>
        <v>0</v>
      </c>
      <c r="E380" s="133">
        <f>IF(D380&lt;=0,0,F380/D380)</f>
        <v>0</v>
      </c>
      <c r="F380" s="123">
        <f>SUM(F371:F379)</f>
        <v>0</v>
      </c>
      <c r="G380" s="122"/>
      <c r="H380" s="133"/>
      <c r="I380" s="123"/>
      <c r="J380" s="122">
        <f t="shared" ref="J380" si="57">SUM(J371:J379)</f>
        <v>340535.81999999995</v>
      </c>
      <c r="K380" s="133">
        <f t="shared" si="50"/>
        <v>0.28268673762425345</v>
      </c>
      <c r="L380" s="123">
        <f>SUM(L371:L379)</f>
        <v>96264.959999999977</v>
      </c>
      <c r="M380" s="134" t="e">
        <f>(+J380-D380)/D380</f>
        <v>#DIV/0!</v>
      </c>
      <c r="N380" s="123">
        <f t="shared" si="52"/>
        <v>96264.959999999977</v>
      </c>
      <c r="O380" s="122">
        <f t="shared" ref="O380" si="58">SUM(O371:O379)</f>
        <v>305218.11000000004</v>
      </c>
      <c r="P380" s="133">
        <f t="shared" si="53"/>
        <v>0.36325878565986808</v>
      </c>
      <c r="Q380" s="123">
        <f>SUM(Q371:Q379)</f>
        <v>110873.16000000006</v>
      </c>
      <c r="R380" s="134">
        <f t="shared" si="54"/>
        <v>0.11571302240224179</v>
      </c>
      <c r="S380" s="123">
        <f t="shared" si="55"/>
        <v>-14608.200000000084</v>
      </c>
      <c r="T380" s="7"/>
      <c r="U380" s="6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spans="1:40" ht="15.75" customHeight="1">
      <c r="A381" s="410" t="s">
        <v>98</v>
      </c>
      <c r="B381" s="7" t="s">
        <v>98</v>
      </c>
      <c r="C381" s="331"/>
      <c r="D381" s="7"/>
      <c r="E381" s="7"/>
      <c r="F381" s="25"/>
      <c r="G381" s="26"/>
      <c r="H381" s="7"/>
      <c r="I381" s="25"/>
      <c r="J381" s="40"/>
      <c r="K381" s="7"/>
      <c r="L381" s="39"/>
      <c r="M381" s="26"/>
      <c r="N381" s="28" t="e">
        <f>N380/F380</f>
        <v>#DIV/0!</v>
      </c>
      <c r="O381" s="40"/>
      <c r="P381" s="7"/>
      <c r="Q381" s="39"/>
      <c r="R381" s="26"/>
      <c r="S381" s="28">
        <f>IF(Q380=0,0,S380/Q380)</f>
        <v>-0.13175596330076708</v>
      </c>
      <c r="T381" s="7"/>
      <c r="U381" s="6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spans="1:40" ht="15.75" customHeight="1">
      <c r="A382" s="410" t="s">
        <v>98</v>
      </c>
      <c r="B382" s="7" t="s">
        <v>98</v>
      </c>
      <c r="C382" s="332"/>
      <c r="D382" s="73"/>
      <c r="E382" s="73"/>
      <c r="F382" s="135"/>
      <c r="G382" s="14"/>
      <c r="H382" s="73"/>
      <c r="I382" s="135"/>
      <c r="J382" s="103"/>
      <c r="K382" s="73"/>
      <c r="L382" s="61"/>
      <c r="M382" s="14"/>
      <c r="N382" s="107"/>
      <c r="O382" s="103"/>
      <c r="P382" s="73"/>
      <c r="Q382" s="61"/>
      <c r="R382" s="14"/>
      <c r="S382" s="115"/>
      <c r="T382" s="7"/>
      <c r="U382" s="6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spans="1:40" ht="15.75" customHeight="1">
      <c r="A383" s="410" t="s">
        <v>429</v>
      </c>
      <c r="B383" s="7" t="s">
        <v>98</v>
      </c>
      <c r="C383" s="331" t="s">
        <v>109</v>
      </c>
      <c r="D383" s="55">
        <f>+INDEX('[1]Budget original'!$A$2:$AO$501,MATCH($A383,'[1]Budget original'!$A$2:$A$501,0),MATCH(D$2,'[1]Budget original'!$A$2:$AO$2,0))</f>
        <v>0</v>
      </c>
      <c r="E383" s="93">
        <f>IF(D383=0,0,F383/D383)</f>
        <v>0</v>
      </c>
      <c r="F383" s="72">
        <f>+INDEX('[1]Budget original'!$A$2:$AO$501,MATCH($A383,'[1]Budget original'!$A$2:$A$501,0),MATCH(F$2,'[1]Budget original'!$A$2:$AO$2,0))</f>
        <v>0</v>
      </c>
      <c r="G383" s="55"/>
      <c r="H383" s="93"/>
      <c r="I383" s="72"/>
      <c r="J383" s="55">
        <f>-SUMIFS([1]BV_Data_An_Cour!$AM:$AM,[1]BV_Data_An_Cour!$AS:$AS,"Oui",[1]BV_Data_An_Cour!$AP:$AP,$B383,[1]BV_Data_An_Cour!$AQ:$AQ,$C383)</f>
        <v>12605.040000000008</v>
      </c>
      <c r="K383" s="93">
        <f t="shared" ref="K383:K385" si="59">IF(J383&lt;=0,0,L383/J383)</f>
        <v>0.15404076464652242</v>
      </c>
      <c r="L383" s="72">
        <f>-SUMIFS([1]BV_Data_An_Cour!$AM:$AM,[1]BV_Data_An_Cour!$AP:$AP,$B383,[1]BV_Data_An_Cour!$AQ:$AQ,$C383,[1]BV_Data_An_Cour!$AR:$AR,$L$2)</f>
        <v>1941.6900000000023</v>
      </c>
      <c r="M383" s="99" t="e">
        <f>(+J383-D383)/D383</f>
        <v>#DIV/0!</v>
      </c>
      <c r="N383" s="39">
        <f>L383-F383</f>
        <v>1941.6900000000023</v>
      </c>
      <c r="O383" s="55">
        <f>-SUMIFS([1]BV_Data_An_Prec!$AM:$AM,[1]BV_Data_An_Prec!$AS:$AS,"Oui",[1]BV_Data_An_Prec!$AP:$AP,$B383,[1]BV_Data_An_Prec!$AQ:$AQ,$C383)</f>
        <v>3728.3699999999953</v>
      </c>
      <c r="P383" s="93">
        <f t="shared" ref="P383:P385" si="60">IF(O383&lt;=0,0,Q383/O383)</f>
        <v>0.12058620791391333</v>
      </c>
      <c r="Q383" s="72">
        <f>-SUMIFS([1]BV_Data_An_Prec!$AM:$AM,[1]BV_Data_An_Prec!$AP:$AP,$B383,[1]BV_Data_An_Prec!$AQ:$AQ,$C383,[1]BV_Data_An_Prec!$AR:$AR,$L$2)</f>
        <v>449.58999999999651</v>
      </c>
      <c r="R383" s="99">
        <f t="shared" ref="R383:R385" si="61">IF(O383=0,0,(J383-O383)/O383)</f>
        <v>2.3808447123005561</v>
      </c>
      <c r="S383" s="39">
        <f t="shared" ref="S383:S385" si="62">L383-Q383</f>
        <v>1492.1000000000058</v>
      </c>
      <c r="T383" s="7"/>
      <c r="U383" s="6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spans="1:40" ht="15.75" customHeight="1">
      <c r="A384" s="410" t="s">
        <v>430</v>
      </c>
      <c r="B384" s="7" t="s">
        <v>98</v>
      </c>
      <c r="C384" s="332" t="s">
        <v>110</v>
      </c>
      <c r="D384" s="55">
        <f>+INDEX('[1]Budget original'!$A$2:$AO$501,MATCH($A384,'[1]Budget original'!$A$2:$A$501,0),MATCH(D$2,'[1]Budget original'!$A$2:$AO$2,0))</f>
        <v>0</v>
      </c>
      <c r="E384" s="93">
        <f>IF(D384=0,0,F384/D384)</f>
        <v>0</v>
      </c>
      <c r="F384" s="61">
        <f>+INDEX('[1]Budget original'!$A$2:$AO$501,MATCH($A384,'[1]Budget original'!$A$2:$A$501,0),MATCH(F$2,'[1]Budget original'!$A$2:$AO$2,0))</f>
        <v>0</v>
      </c>
      <c r="G384" s="55"/>
      <c r="H384" s="93"/>
      <c r="I384" s="61"/>
      <c r="J384" s="55">
        <f>-SUMIFS([1]BV_Data_An_Cour!$AM:$AM,[1]BV_Data_An_Cour!$AS:$AS,"Oui",[1]BV_Data_An_Cour!$AP:$AP,$B384,[1]BV_Data_An_Cour!$AQ:$AQ,$C384)</f>
        <v>12665.369999999995</v>
      </c>
      <c r="K384" s="93">
        <f t="shared" si="59"/>
        <v>0.2730761122651762</v>
      </c>
      <c r="L384" s="61">
        <f>-SUMIFS([1]BV_Data_An_Cour!$AM:$AM,[1]BV_Data_An_Cour!$AP:$AP,$B384,[1]BV_Data_An_Cour!$AQ:$AQ,$C384,[1]BV_Data_An_Cour!$AR:$AR,$L$2)</f>
        <v>3458.6099999999933</v>
      </c>
      <c r="M384" s="99" t="e">
        <f>(+J384-D384)/D384</f>
        <v>#DIV/0!</v>
      </c>
      <c r="N384" s="39">
        <f>L384-F384</f>
        <v>3458.6099999999933</v>
      </c>
      <c r="O384" s="55">
        <f>-SUMIFS([1]BV_Data_An_Prec!$AM:$AM,[1]BV_Data_An_Prec!$AS:$AS,"Oui",[1]BV_Data_An_Prec!$AP:$AP,$B384,[1]BV_Data_An_Prec!$AQ:$AQ,$C384)</f>
        <v>14938.45</v>
      </c>
      <c r="P384" s="93">
        <f t="shared" si="60"/>
        <v>0.25565704607907774</v>
      </c>
      <c r="Q384" s="61">
        <f>-SUMIFS([1]BV_Data_An_Prec!$AM:$AM,[1]BV_Data_An_Prec!$AP:$AP,$B384,[1]BV_Data_An_Prec!$AQ:$AQ,$C384,[1]BV_Data_An_Prec!$AR:$AR,$L$2)</f>
        <v>3819.119999999999</v>
      </c>
      <c r="R384" s="99">
        <f t="shared" si="61"/>
        <v>-0.152163042350445</v>
      </c>
      <c r="S384" s="39">
        <f t="shared" si="62"/>
        <v>-360.51000000000568</v>
      </c>
      <c r="T384" s="7"/>
      <c r="U384" s="6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spans="1:40" ht="15.75" customHeight="1">
      <c r="A385" s="410" t="s">
        <v>431</v>
      </c>
      <c r="B385" s="7" t="s">
        <v>98</v>
      </c>
      <c r="C385" s="52" t="s">
        <v>111</v>
      </c>
      <c r="D385" s="122">
        <f>D380+D383+D384</f>
        <v>0</v>
      </c>
      <c r="E385" s="133">
        <f>IF(D385&lt;=0,0,F385/D385)</f>
        <v>0</v>
      </c>
      <c r="F385" s="123">
        <f>F380+F383+F384</f>
        <v>0</v>
      </c>
      <c r="G385" s="124"/>
      <c r="H385" s="133"/>
      <c r="I385" s="123"/>
      <c r="J385" s="124">
        <f t="shared" ref="J385" si="63">J380+J383+J384</f>
        <v>365806.23</v>
      </c>
      <c r="K385" s="133">
        <f t="shared" si="59"/>
        <v>0.27792107313207864</v>
      </c>
      <c r="L385" s="123">
        <f>L380+L383+L384</f>
        <v>101665.25999999998</v>
      </c>
      <c r="M385" s="134" t="e">
        <f>(+J385-D385)/D385</f>
        <v>#DIV/0!</v>
      </c>
      <c r="N385" s="123">
        <f>L385-F385</f>
        <v>101665.25999999998</v>
      </c>
      <c r="O385" s="124">
        <f t="shared" ref="O385" si="64">O380+O383+O384</f>
        <v>323884.93000000005</v>
      </c>
      <c r="P385" s="133">
        <f t="shared" si="60"/>
        <v>0.35550240018885731</v>
      </c>
      <c r="Q385" s="123">
        <f>Q380+Q383+Q384</f>
        <v>115141.87000000005</v>
      </c>
      <c r="R385" s="134">
        <f t="shared" si="61"/>
        <v>0.12943269697666984</v>
      </c>
      <c r="S385" s="123">
        <f t="shared" si="62"/>
        <v>-13476.610000000073</v>
      </c>
      <c r="T385" s="7"/>
      <c r="U385" s="9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spans="1:40" ht="21" hidden="1" customHeight="1">
      <c r="A386" s="410" t="s">
        <v>98</v>
      </c>
      <c r="B386" s="7" t="s">
        <v>98</v>
      </c>
      <c r="C386" s="26"/>
      <c r="D386" s="7"/>
      <c r="E386" s="7"/>
      <c r="F386" s="25"/>
      <c r="G386" s="26"/>
      <c r="H386" s="7"/>
      <c r="I386" s="25"/>
      <c r="J386" s="40"/>
      <c r="K386" s="7"/>
      <c r="L386" s="39"/>
      <c r="M386" s="26"/>
      <c r="N386" s="28" t="e">
        <f>N385/F385</f>
        <v>#DIV/0!</v>
      </c>
      <c r="O386" s="40"/>
      <c r="P386" s="7"/>
      <c r="Q386" s="39"/>
      <c r="R386" s="26"/>
      <c r="S386" s="112">
        <f>IF(Q385=0,0,S385/Q385)</f>
        <v>-0.11704352204806182</v>
      </c>
      <c r="T386" s="7"/>
      <c r="U386" s="6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spans="1:40" ht="21" hidden="1" customHeight="1">
      <c r="A387" s="410" t="s">
        <v>98</v>
      </c>
      <c r="B387" s="7" t="s">
        <v>98</v>
      </c>
      <c r="C387" s="26"/>
      <c r="D387" s="7"/>
      <c r="E387" s="7"/>
      <c r="F387" s="25"/>
      <c r="G387" s="26"/>
      <c r="H387" s="7"/>
      <c r="I387" s="25"/>
      <c r="J387" s="40"/>
      <c r="K387" s="7"/>
      <c r="L387" s="39"/>
      <c r="M387" s="26"/>
      <c r="N387" s="28"/>
      <c r="O387" s="40"/>
      <c r="P387" s="7"/>
      <c r="Q387" s="39"/>
      <c r="R387" s="26"/>
      <c r="S387" s="112"/>
      <c r="T387" s="7"/>
      <c r="U387" s="6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spans="1:40" ht="20.399999999999999" hidden="1" customHeight="1">
      <c r="A388" s="410" t="s">
        <v>432</v>
      </c>
      <c r="B388" s="7" t="s">
        <v>98</v>
      </c>
      <c r="C388" s="14" t="s">
        <v>112</v>
      </c>
      <c r="D388" s="58">
        <f>+INDEX('[1]Budget original'!$A$2:$AO$501,MATCH($A388,'[1]Budget original'!$A$2:$A$501,0),MATCH(D$2,'[1]Budget original'!$A$2:$AO$2,0))</f>
        <v>0</v>
      </c>
      <c r="E388" s="136">
        <f>IF(D388=0,0,F388/D388)</f>
        <v>0</v>
      </c>
      <c r="F388" s="61">
        <f>+INDEX('[1]Budget original'!$A$2:$AO$501,MATCH($A388,'[1]Budget original'!$A$2:$A$501,0),MATCH(F$2,'[1]Budget original'!$A$2:$AO$2,0))</f>
        <v>0</v>
      </c>
      <c r="G388" s="103"/>
      <c r="H388" s="136"/>
      <c r="I388" s="61"/>
      <c r="J388" s="103">
        <f>-SUMIFS([1]BV_Data_An_Cour!$AM:$AM,[1]BV_Data_An_Cour!$AS:$AS,"Oui",[1]BV_Data_An_Cour!$AP:$AP,$B388,[1]BV_Data_An_Cour!$AQ:$AQ,$C388)</f>
        <v>0</v>
      </c>
      <c r="K388" s="136">
        <f>IF(J388&lt;=0,0,L388/J388)</f>
        <v>0</v>
      </c>
      <c r="L388" s="61">
        <f>-SUMIFS([1]BV_Data_An_Cour!$AM:$AM,[1]BV_Data_An_Cour!$AP:$AP,$B388,[1]BV_Data_An_Cour!$AQ:$AQ,$C388,[1]BV_Data_An_Cour!$AR:$AR,$L$2)</f>
        <v>0</v>
      </c>
      <c r="M388" s="136">
        <f>IF(F388=0,0,(+L388-F388)/F388)</f>
        <v>0</v>
      </c>
      <c r="N388" s="61">
        <f>L388-F388</f>
        <v>0</v>
      </c>
      <c r="O388" s="103">
        <f>-SUMIFS([1]BV_Data_An_Prec!$AM:$AM,[1]BV_Data_An_Prec!$AS:$AS,"Oui",[1]BV_Data_An_Prec!$AP:$AP,$B388,[1]BV_Data_An_Prec!$AQ:$AQ,$C388)</f>
        <v>0</v>
      </c>
      <c r="P388" s="136">
        <f>IF(O388&lt;=0,0,Q388/O388)</f>
        <v>0</v>
      </c>
      <c r="Q388" s="61">
        <f>-SUMIFS([1]BV_Data_An_Prec!$AM:$AM,[1]BV_Data_An_Prec!$AP:$AP,$B388,[1]BV_Data_An_Prec!$AQ:$AQ,$C388,[1]BV_Data_An_Prec!$AR:$AR,$L$2)</f>
        <v>0</v>
      </c>
      <c r="R388" s="136">
        <f>IF(S388=0,0,(+O388-K388)/K388)</f>
        <v>0</v>
      </c>
      <c r="S388" s="61">
        <f>L388-Q388</f>
        <v>0</v>
      </c>
      <c r="T388" s="7"/>
      <c r="U388" s="9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spans="1:40" ht="15.75" customHeight="1" thickBot="1">
      <c r="A389" s="410" t="s">
        <v>98</v>
      </c>
      <c r="B389" s="7" t="s">
        <v>98</v>
      </c>
      <c r="C389" s="26"/>
      <c r="D389" s="55"/>
      <c r="E389" s="93"/>
      <c r="F389" s="39"/>
      <c r="G389" s="40"/>
      <c r="H389" s="93"/>
      <c r="I389" s="39"/>
      <c r="J389" s="40"/>
      <c r="K389" s="93"/>
      <c r="L389" s="39"/>
      <c r="M389" s="99"/>
      <c r="N389" s="39"/>
      <c r="O389" s="40"/>
      <c r="P389" s="93"/>
      <c r="Q389" s="39"/>
      <c r="R389" s="99"/>
      <c r="S389" s="39"/>
      <c r="T389" s="7"/>
      <c r="U389" s="6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spans="1:40" ht="18" customHeight="1" thickTop="1">
      <c r="A390" s="410" t="s">
        <v>433</v>
      </c>
      <c r="B390" s="7" t="s">
        <v>98</v>
      </c>
      <c r="C390" s="264" t="s">
        <v>113</v>
      </c>
      <c r="D390" s="41">
        <f>D385+D388</f>
        <v>0</v>
      </c>
      <c r="E390" s="42">
        <f>IF(D390&lt;=0,0,F390/D390)</f>
        <v>0</v>
      </c>
      <c r="F390" s="43">
        <f>F385+F388</f>
        <v>0</v>
      </c>
      <c r="G390" s="44"/>
      <c r="H390" s="42"/>
      <c r="I390" s="43"/>
      <c r="J390" s="44">
        <f>J385+J388</f>
        <v>365806.23</v>
      </c>
      <c r="K390" s="137">
        <f>IF(J390&lt;=0,0,L390/J390)</f>
        <v>0.27792107313207864</v>
      </c>
      <c r="L390" s="43">
        <f>L385+L388</f>
        <v>101665.25999999998</v>
      </c>
      <c r="M390" s="44" t="e">
        <f>(+J390-D390)/D390</f>
        <v>#DIV/0!</v>
      </c>
      <c r="N390" s="43">
        <f>L390-F390</f>
        <v>101665.25999999998</v>
      </c>
      <c r="O390" s="44">
        <f t="shared" ref="O390" si="65">O385+O388</f>
        <v>323884.93000000005</v>
      </c>
      <c r="P390" s="137">
        <f>IF(O390&lt;=0,0,Q390/O390)</f>
        <v>0.35550240018885731</v>
      </c>
      <c r="Q390" s="43">
        <f>Q385+Q388</f>
        <v>115141.87000000005</v>
      </c>
      <c r="R390" s="129">
        <f>IF(O390=0,0,(J390-O390)/O390)</f>
        <v>0.12943269697666984</v>
      </c>
      <c r="S390" s="43">
        <f>L390-Q390</f>
        <v>-13476.610000000073</v>
      </c>
      <c r="T390" s="7"/>
      <c r="U390" s="6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spans="1:40" ht="22.5" customHeight="1" thickBot="1">
      <c r="A391" s="410" t="s">
        <v>98</v>
      </c>
      <c r="B391" s="7" t="s">
        <v>98</v>
      </c>
      <c r="C391" s="47"/>
      <c r="D391" s="45"/>
      <c r="E391" s="45"/>
      <c r="F391" s="46"/>
      <c r="G391" s="47"/>
      <c r="H391" s="45"/>
      <c r="I391" s="46"/>
      <c r="J391" s="47"/>
      <c r="K391" s="265"/>
      <c r="L391" s="266"/>
      <c r="M391" s="48"/>
      <c r="N391" s="49" t="e">
        <f>N390/F390</f>
        <v>#DIV/0!</v>
      </c>
      <c r="O391" s="47"/>
      <c r="P391" s="265"/>
      <c r="Q391" s="267"/>
      <c r="R391" s="48"/>
      <c r="S391" s="267">
        <f>IF(Q390=0,0,S390/Q390)</f>
        <v>-0.11704352204806182</v>
      </c>
      <c r="T391" s="7"/>
      <c r="U391" s="6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spans="1:40" ht="15.75" customHeight="1" thickTop="1">
      <c r="A392" s="410" t="s">
        <v>98</v>
      </c>
      <c r="B392" s="7" t="s">
        <v>98</v>
      </c>
      <c r="C392" s="52"/>
      <c r="D392" s="74"/>
      <c r="E392" s="110"/>
      <c r="F392" s="112"/>
      <c r="G392" s="111"/>
      <c r="H392" s="110"/>
      <c r="I392" s="112"/>
      <c r="J392" s="111"/>
      <c r="K392" s="110"/>
      <c r="L392" s="112"/>
      <c r="M392" s="26"/>
      <c r="N392" s="28"/>
      <c r="O392" s="111"/>
      <c r="P392" s="110"/>
      <c r="Q392" s="112"/>
      <c r="R392" s="26"/>
      <c r="S392" s="28"/>
      <c r="T392" s="7"/>
      <c r="U392" s="6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spans="1:40" ht="15.75" customHeight="1">
      <c r="A393" s="410" t="s">
        <v>434</v>
      </c>
      <c r="B393" s="7" t="s">
        <v>98</v>
      </c>
      <c r="C393" s="268" t="s">
        <v>29</v>
      </c>
      <c r="D393" s="7"/>
      <c r="E393" s="7"/>
      <c r="F393" s="39"/>
      <c r="G393" s="26"/>
      <c r="H393" s="7"/>
      <c r="I393" s="39"/>
      <c r="J393" s="26"/>
      <c r="K393" s="7"/>
      <c r="L393" s="25"/>
      <c r="M393" s="26"/>
      <c r="N393" s="25"/>
      <c r="O393" s="26"/>
      <c r="P393" s="7"/>
      <c r="Q393" s="25"/>
      <c r="R393" s="26"/>
      <c r="S393" s="25"/>
      <c r="T393" s="7"/>
      <c r="U393" s="6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spans="1:40" ht="15.75" customHeight="1">
      <c r="A394" s="410" t="s">
        <v>435</v>
      </c>
      <c r="B394" s="7" t="s">
        <v>98</v>
      </c>
      <c r="C394" s="271" t="s">
        <v>40</v>
      </c>
      <c r="D394" s="7"/>
      <c r="E394" s="7"/>
      <c r="F394" s="19">
        <f>+INDEX('[1]Budget original'!$A$2:$AO$501,MATCH($A394,'[1]Budget original'!$A$2:$A$501,0),MATCH(F$2,'[1]Budget original'!$A$2:$AO$2,0))</f>
        <v>0</v>
      </c>
      <c r="G394" s="26"/>
      <c r="H394" s="7"/>
      <c r="I394" s="19"/>
      <c r="J394" s="26"/>
      <c r="K394" s="7"/>
      <c r="L394" s="39">
        <f>SUMIFS([1]BV_Data_An_Cour!$AM:$AM,[1]BV_Data_An_Cour!$AP:$AP,$B394,[1]BV_Data_An_Cour!$AQ:$AQ,$C394,[1]BV_Data_An_Cour!$AR:$AR,$L$2)</f>
        <v>6751.489999999998</v>
      </c>
      <c r="M394" s="26"/>
      <c r="N394" s="21">
        <f t="shared" ref="N394:N424" si="66">L394-F394</f>
        <v>6751.489999999998</v>
      </c>
      <c r="O394" s="26"/>
      <c r="P394" s="7"/>
      <c r="Q394" s="39">
        <f>SUMIFS([1]BV_Data_An_Prec!$AM:$AM,[1]BV_Data_An_Prec!$AP:$AP,$B394,[1]BV_Data_An_Prec!$AQ:$AQ,$C394,[1]BV_Data_An_Prec!$AR:$AR,$L$2)</f>
        <v>1404.4300000000003</v>
      </c>
      <c r="R394" s="26"/>
      <c r="S394" s="39">
        <f t="shared" ref="S394:S424" si="67">L394-Q394</f>
        <v>5347.0599999999977</v>
      </c>
      <c r="T394" s="7"/>
      <c r="U394" s="6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spans="1:40" ht="15.75" customHeight="1">
      <c r="A395" s="410" t="s">
        <v>436</v>
      </c>
      <c r="B395" s="7" t="s">
        <v>98</v>
      </c>
      <c r="C395" s="272" t="s">
        <v>41</v>
      </c>
      <c r="D395" s="54"/>
      <c r="E395" s="7"/>
      <c r="F395" s="31">
        <f>+INDEX('[1]Budget original'!$A$2:$AO$501,MATCH($A395,'[1]Budget original'!$A$2:$A$501,0),MATCH(F$2,'[1]Budget original'!$A$2:$AO$2,0))</f>
        <v>0</v>
      </c>
      <c r="G395" s="56"/>
      <c r="H395" s="7"/>
      <c r="I395" s="31"/>
      <c r="J395" s="26"/>
      <c r="K395" s="7"/>
      <c r="L395" s="39">
        <f>SUMIFS([1]BV_Data_An_Cour!$AM:$AM,[1]BV_Data_An_Cour!$AP:$AP,$B395,[1]BV_Data_An_Cour!$AQ:$AQ,$C395,[1]BV_Data_An_Cour!$AR:$AR,$L$2)</f>
        <v>2577.3100000000013</v>
      </c>
      <c r="M395" s="26"/>
      <c r="N395" s="21">
        <f t="shared" si="66"/>
        <v>2577.3100000000013</v>
      </c>
      <c r="O395" s="26"/>
      <c r="P395" s="7"/>
      <c r="Q395" s="39">
        <f>SUMIFS([1]BV_Data_An_Prec!$AM:$AM,[1]BV_Data_An_Prec!$AP:$AP,$B395,[1]BV_Data_An_Prec!$AQ:$AQ,$C395,[1]BV_Data_An_Prec!$AR:$AR,$L$2)</f>
        <v>2792.75</v>
      </c>
      <c r="R395" s="26"/>
      <c r="S395" s="39">
        <f t="shared" si="67"/>
        <v>-215.43999999999869</v>
      </c>
      <c r="T395" s="7"/>
      <c r="U395" s="6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spans="1:40" ht="15.75" customHeight="1">
      <c r="A396" s="410" t="s">
        <v>437</v>
      </c>
      <c r="B396" s="7" t="s">
        <v>98</v>
      </c>
      <c r="C396" s="271" t="s">
        <v>42</v>
      </c>
      <c r="D396" s="68"/>
      <c r="E396" s="69"/>
      <c r="F396" s="19">
        <f>+INDEX('[1]Budget original'!$A$2:$AO$501,MATCH($A396,'[1]Budget original'!$A$2:$A$501,0),MATCH(F$2,'[1]Budget original'!$A$2:$AO$2,0))</f>
        <v>0</v>
      </c>
      <c r="G396" s="70"/>
      <c r="H396" s="69"/>
      <c r="I396" s="19"/>
      <c r="J396" s="71"/>
      <c r="K396" s="69"/>
      <c r="L396" s="72">
        <f>SUMIFS([1]BV_Data_An_Cour!$AM:$AM,[1]BV_Data_An_Cour!$AP:$AP,$B396,[1]BV_Data_An_Cour!$AQ:$AQ,$C396,[1]BV_Data_An_Cour!$AR:$AR,$L$2)</f>
        <v>13617.36</v>
      </c>
      <c r="M396" s="71"/>
      <c r="N396" s="36">
        <f t="shared" si="66"/>
        <v>13617.36</v>
      </c>
      <c r="O396" s="71"/>
      <c r="P396" s="69"/>
      <c r="Q396" s="72">
        <f>SUMIFS([1]BV_Data_An_Prec!$AM:$AM,[1]BV_Data_An_Prec!$AP:$AP,$B396,[1]BV_Data_An_Prec!$AQ:$AQ,$C396,[1]BV_Data_An_Prec!$AR:$AR,$L$2)</f>
        <v>20178.540000000008</v>
      </c>
      <c r="R396" s="71"/>
      <c r="S396" s="72">
        <f t="shared" si="67"/>
        <v>-6561.1800000000076</v>
      </c>
      <c r="T396" s="7"/>
      <c r="U396" s="385"/>
      <c r="V396" s="334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spans="1:40" ht="20.399999999999999" hidden="1" customHeight="1">
      <c r="A397" s="410" t="s">
        <v>438</v>
      </c>
      <c r="B397" s="7" t="s">
        <v>98</v>
      </c>
      <c r="C397" s="271" t="s">
        <v>43</v>
      </c>
      <c r="D397" s="54"/>
      <c r="E397" s="7"/>
      <c r="F397" s="19">
        <f>+INDEX('[1]Budget original'!$A$2:$AO$501,MATCH($A397,'[1]Budget original'!$A$2:$A$501,0),MATCH(F$2,'[1]Budget original'!$A$2:$AO$2,0))</f>
        <v>0</v>
      </c>
      <c r="G397" s="56"/>
      <c r="H397" s="7"/>
      <c r="I397" s="19"/>
      <c r="J397" s="26"/>
      <c r="K397" s="7"/>
      <c r="L397" s="39">
        <f>SUMIFS([1]BV_Data_An_Cour!$AM:$AM,[1]BV_Data_An_Cour!$AP:$AP,$B397,[1]BV_Data_An_Cour!$AQ:$AQ,$C397,[1]BV_Data_An_Cour!$AR:$AR,$L$2)</f>
        <v>0</v>
      </c>
      <c r="M397" s="26"/>
      <c r="N397" s="21">
        <f t="shared" si="66"/>
        <v>0</v>
      </c>
      <c r="O397" s="26"/>
      <c r="P397" s="7"/>
      <c r="Q397" s="39">
        <f>SUMIFS([1]BV_Data_An_Prec!$AM:$AM,[1]BV_Data_An_Prec!$AP:$AP,$B397,[1]BV_Data_An_Prec!$AQ:$AQ,$C397,[1]BV_Data_An_Prec!$AR:$AR,$L$2)</f>
        <v>0</v>
      </c>
      <c r="R397" s="26"/>
      <c r="S397" s="39">
        <f t="shared" si="67"/>
        <v>0</v>
      </c>
      <c r="T397" s="7"/>
      <c r="U397" s="6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spans="1:40" ht="20.399999999999999" hidden="1" customHeight="1">
      <c r="A398" s="410" t="s">
        <v>425</v>
      </c>
      <c r="B398" s="7" t="s">
        <v>98</v>
      </c>
      <c r="C398" s="26" t="s">
        <v>19</v>
      </c>
      <c r="D398" s="54"/>
      <c r="E398" s="7"/>
      <c r="F398" s="19">
        <f>+INDEX('[1]Budget original'!$A$2:$AO$501,MATCH($A398,'[1]Budget original'!$A$2:$A$501,0),MATCH(F$2,'[1]Budget original'!$A$2:$AO$2,0))</f>
        <v>0</v>
      </c>
      <c r="G398" s="56"/>
      <c r="H398" s="7"/>
      <c r="I398" s="19"/>
      <c r="J398" s="26"/>
      <c r="K398" s="7"/>
      <c r="L398" s="39">
        <f>SUMIFS([1]BV_Data_An_Cour!$AM:$AM,[1]BV_Data_An_Cour!$AP:$AP,$B398,[1]BV_Data_An_Cour!$AQ:$AQ,$C398,[1]BV_Data_An_Cour!$AR:$AR,$L$2)</f>
        <v>0</v>
      </c>
      <c r="M398" s="26"/>
      <c r="N398" s="21">
        <f t="shared" si="66"/>
        <v>0</v>
      </c>
      <c r="O398" s="26"/>
      <c r="P398" s="7"/>
      <c r="Q398" s="39">
        <f>SUMIFS([1]BV_Data_An_Prec!$AM:$AM,[1]BV_Data_An_Prec!$AP:$AP,$B398,[1]BV_Data_An_Prec!$AQ:$AQ,$C398,[1]BV_Data_An_Prec!$AR:$AR,$L$2)</f>
        <v>0</v>
      </c>
      <c r="R398" s="26"/>
      <c r="S398" s="39">
        <f t="shared" si="67"/>
        <v>0</v>
      </c>
      <c r="T398" s="7"/>
      <c r="U398" s="6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spans="1:40" ht="20.399999999999999" hidden="1" customHeight="1">
      <c r="A399" s="410" t="s">
        <v>425</v>
      </c>
      <c r="B399" s="7" t="s">
        <v>98</v>
      </c>
      <c r="C399" s="26" t="s">
        <v>19</v>
      </c>
      <c r="D399" s="54"/>
      <c r="E399" s="7"/>
      <c r="F399" s="19">
        <f>+INDEX('[1]Budget original'!$A$2:$AO$501,MATCH($A399,'[1]Budget original'!$A$2:$A$501,0),MATCH(F$2,'[1]Budget original'!$A$2:$AO$2,0))</f>
        <v>0</v>
      </c>
      <c r="G399" s="56"/>
      <c r="H399" s="7"/>
      <c r="I399" s="19"/>
      <c r="J399" s="26"/>
      <c r="K399" s="7"/>
      <c r="L399" s="39">
        <f>SUMIFS([1]BV_Data_An_Cour!$AM:$AM,[1]BV_Data_An_Cour!$AP:$AP,$B399,[1]BV_Data_An_Cour!$AQ:$AQ,$C399,[1]BV_Data_An_Cour!$AR:$AR,$L$2)</f>
        <v>0</v>
      </c>
      <c r="M399" s="26"/>
      <c r="N399" s="21">
        <f t="shared" si="66"/>
        <v>0</v>
      </c>
      <c r="O399" s="26"/>
      <c r="P399" s="7"/>
      <c r="Q399" s="39">
        <f>SUMIFS([1]BV_Data_An_Prec!$AM:$AM,[1]BV_Data_An_Prec!$AP:$AP,$B399,[1]BV_Data_An_Prec!$AQ:$AQ,$C399,[1]BV_Data_An_Prec!$AR:$AR,$L$2)</f>
        <v>0</v>
      </c>
      <c r="R399" s="26"/>
      <c r="S399" s="39">
        <f t="shared" si="67"/>
        <v>0</v>
      </c>
      <c r="T399" s="7"/>
      <c r="U399" s="6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spans="1:40" ht="20.399999999999999" hidden="1" customHeight="1" thickTop="1" thickBot="1">
      <c r="A400" s="410" t="s">
        <v>425</v>
      </c>
      <c r="B400" s="7" t="s">
        <v>98</v>
      </c>
      <c r="C400" s="26" t="s">
        <v>19</v>
      </c>
      <c r="D400" s="54"/>
      <c r="E400" s="7"/>
      <c r="F400" s="19">
        <f>+INDEX('[1]Budget original'!$A$2:$AO$501,MATCH($A400,'[1]Budget original'!$A$2:$A$501,0),MATCH(F$2,'[1]Budget original'!$A$2:$AO$2,0))</f>
        <v>0</v>
      </c>
      <c r="G400" s="56"/>
      <c r="H400" s="7"/>
      <c r="I400" s="19"/>
      <c r="J400" s="26"/>
      <c r="K400" s="7"/>
      <c r="L400" s="39">
        <f>SUMIFS([1]BV_Data_An_Cour!$AM:$AM,[1]BV_Data_An_Cour!$AP:$AP,$B400,[1]BV_Data_An_Cour!$AQ:$AQ,$C400,[1]BV_Data_An_Cour!$AR:$AR,$L$2)</f>
        <v>0</v>
      </c>
      <c r="M400" s="26"/>
      <c r="N400" s="21">
        <f t="shared" si="66"/>
        <v>0</v>
      </c>
      <c r="O400" s="26"/>
      <c r="P400" s="7"/>
      <c r="Q400" s="39">
        <f>SUMIFS([1]BV_Data_An_Prec!$AM:$AM,[1]BV_Data_An_Prec!$AP:$AP,$B400,[1]BV_Data_An_Prec!$AQ:$AQ,$C400,[1]BV_Data_An_Prec!$AR:$AR,$L$2)</f>
        <v>0</v>
      </c>
      <c r="R400" s="26"/>
      <c r="S400" s="39">
        <f t="shared" si="67"/>
        <v>0</v>
      </c>
      <c r="T400" s="7"/>
      <c r="U400" s="6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spans="1:40" ht="15.75" customHeight="1">
      <c r="A401" s="410" t="s">
        <v>439</v>
      </c>
      <c r="B401" s="7" t="s">
        <v>98</v>
      </c>
      <c r="C401" s="272" t="s">
        <v>44</v>
      </c>
      <c r="D401" s="54"/>
      <c r="E401" s="7"/>
      <c r="F401" s="31">
        <f>+INDEX('[1]Budget original'!$A$2:$AO$501,MATCH($A401,'[1]Budget original'!$A$2:$A$501,0),MATCH(F$2,'[1]Budget original'!$A$2:$AO$2,0))</f>
        <v>0</v>
      </c>
      <c r="G401" s="56"/>
      <c r="H401" s="7"/>
      <c r="I401" s="31"/>
      <c r="J401" s="26"/>
      <c r="K401" s="7"/>
      <c r="L401" s="39">
        <f>SUMIFS([1]BV_Data_An_Cour!$AM:$AM,[1]BV_Data_An_Cour!$AP:$AP,$B401,[1]BV_Data_An_Cour!$AQ:$AQ,$C401,[1]BV_Data_An_Cour!$AR:$AR,$L$2)</f>
        <v>2899.6400000000012</v>
      </c>
      <c r="M401" s="26"/>
      <c r="N401" s="21">
        <f t="shared" si="66"/>
        <v>2899.6400000000012</v>
      </c>
      <c r="O401" s="26"/>
      <c r="P401" s="7"/>
      <c r="Q401" s="39">
        <f>SUMIFS([1]BV_Data_An_Prec!$AM:$AM,[1]BV_Data_An_Prec!$AP:$AP,$B401,[1]BV_Data_An_Prec!$AQ:$AQ,$C401,[1]BV_Data_An_Prec!$AR:$AR,$L$2)</f>
        <v>2698.4500000000007</v>
      </c>
      <c r="R401" s="26"/>
      <c r="S401" s="39">
        <f t="shared" si="67"/>
        <v>201.19000000000051</v>
      </c>
      <c r="T401" s="7"/>
      <c r="U401" s="6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spans="1:40" ht="15.75" customHeight="1">
      <c r="A402" s="410" t="s">
        <v>440</v>
      </c>
      <c r="B402" s="7" t="s">
        <v>98</v>
      </c>
      <c r="C402" s="271" t="s">
        <v>45</v>
      </c>
      <c r="D402" s="68"/>
      <c r="E402" s="69"/>
      <c r="F402" s="19">
        <f>+INDEX('[1]Budget original'!$A$2:$AO$501,MATCH($A402,'[1]Budget original'!$A$2:$A$501,0),MATCH(F$2,'[1]Budget original'!$A$2:$AO$2,0))</f>
        <v>0</v>
      </c>
      <c r="G402" s="70"/>
      <c r="H402" s="69"/>
      <c r="I402" s="19"/>
      <c r="J402" s="71"/>
      <c r="K402" s="69"/>
      <c r="L402" s="72">
        <f>SUMIFS([1]BV_Data_An_Cour!$AM:$AM,[1]BV_Data_An_Cour!$AP:$AP,$B402,[1]BV_Data_An_Cour!$AQ:$AQ,$C402,[1]BV_Data_An_Cour!$AR:$AR,$L$2)</f>
        <v>3642.5799999999981</v>
      </c>
      <c r="M402" s="71"/>
      <c r="N402" s="36">
        <f t="shared" si="66"/>
        <v>3642.5799999999981</v>
      </c>
      <c r="O402" s="71"/>
      <c r="P402" s="69"/>
      <c r="Q402" s="72">
        <f>SUMIFS([1]BV_Data_An_Prec!$AM:$AM,[1]BV_Data_An_Prec!$AP:$AP,$B402,[1]BV_Data_An_Prec!$AQ:$AQ,$C402,[1]BV_Data_An_Prec!$AR:$AR,$L$2)</f>
        <v>2709.0499999999993</v>
      </c>
      <c r="R402" s="71"/>
      <c r="S402" s="72">
        <f t="shared" si="67"/>
        <v>933.52999999999884</v>
      </c>
      <c r="T402" s="7"/>
      <c r="U402" s="6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spans="1:40" ht="15.75" customHeight="1">
      <c r="A403" s="410" t="s">
        <v>441</v>
      </c>
      <c r="B403" s="7" t="s">
        <v>98</v>
      </c>
      <c r="C403" s="271" t="s">
        <v>46</v>
      </c>
      <c r="D403" s="54"/>
      <c r="E403" s="7"/>
      <c r="F403" s="19">
        <f>+INDEX('[1]Budget original'!$A$2:$AO$501,MATCH($A403,'[1]Budget original'!$A$2:$A$501,0),MATCH(F$2,'[1]Budget original'!$A$2:$AO$2,0))</f>
        <v>0</v>
      </c>
      <c r="G403" s="56"/>
      <c r="H403" s="7"/>
      <c r="I403" s="19"/>
      <c r="J403" s="26"/>
      <c r="K403" s="7"/>
      <c r="L403" s="39">
        <f>SUMIFS([1]BV_Data_An_Cour!$AM:$AM,[1]BV_Data_An_Cour!$AP:$AP,$B403,[1]BV_Data_An_Cour!$AQ:$AQ,$C403,[1]BV_Data_An_Cour!$AR:$AR,$L$2)</f>
        <v>435.78000000000065</v>
      </c>
      <c r="M403" s="26"/>
      <c r="N403" s="21">
        <f t="shared" si="66"/>
        <v>435.78000000000065</v>
      </c>
      <c r="O403" s="26"/>
      <c r="P403" s="7"/>
      <c r="Q403" s="39">
        <f>SUMIFS([1]BV_Data_An_Prec!$AM:$AM,[1]BV_Data_An_Prec!$AP:$AP,$B403,[1]BV_Data_An_Prec!$AQ:$AQ,$C403,[1]BV_Data_An_Prec!$AR:$AR,$L$2)</f>
        <v>871.92000000000007</v>
      </c>
      <c r="R403" s="26"/>
      <c r="S403" s="39">
        <f t="shared" si="67"/>
        <v>-436.13999999999942</v>
      </c>
      <c r="T403" s="7"/>
      <c r="U403" s="6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spans="1:40" ht="15.75" customHeight="1">
      <c r="A404" s="410" t="s">
        <v>442</v>
      </c>
      <c r="B404" s="7" t="s">
        <v>98</v>
      </c>
      <c r="C404" s="271" t="s">
        <v>47</v>
      </c>
      <c r="D404" s="54"/>
      <c r="E404" s="7"/>
      <c r="F404" s="19">
        <f>+INDEX('[1]Budget original'!$A$2:$AO$501,MATCH($A404,'[1]Budget original'!$A$2:$A$501,0),MATCH(F$2,'[1]Budget original'!$A$2:$AO$2,0))</f>
        <v>0</v>
      </c>
      <c r="G404" s="56"/>
      <c r="H404" s="7"/>
      <c r="I404" s="19"/>
      <c r="J404" s="26"/>
      <c r="K404" s="7"/>
      <c r="L404" s="39">
        <f>SUMIFS([1]BV_Data_An_Cour!$AM:$AM,[1]BV_Data_An_Cour!$AP:$AP,$B404,[1]BV_Data_An_Cour!$AQ:$AQ,$C404,[1]BV_Data_An_Cour!$AR:$AR,$L$2)</f>
        <v>985.23999999999978</v>
      </c>
      <c r="M404" s="26"/>
      <c r="N404" s="21">
        <f t="shared" si="66"/>
        <v>985.23999999999978</v>
      </c>
      <c r="O404" s="26"/>
      <c r="P404" s="7"/>
      <c r="Q404" s="39">
        <f>SUMIFS([1]BV_Data_An_Prec!$AM:$AM,[1]BV_Data_An_Prec!$AP:$AP,$B404,[1]BV_Data_An_Prec!$AQ:$AQ,$C404,[1]BV_Data_An_Prec!$AR:$AR,$L$2)</f>
        <v>159.55999999999995</v>
      </c>
      <c r="R404" s="26"/>
      <c r="S404" s="39">
        <f t="shared" si="67"/>
        <v>825.67999999999984</v>
      </c>
      <c r="T404" s="7"/>
      <c r="U404" s="6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spans="1:40" ht="20.399999999999999" hidden="1" customHeight="1" thickTop="1" thickBot="1">
      <c r="A405" s="410" t="s">
        <v>425</v>
      </c>
      <c r="B405" s="7" t="s">
        <v>98</v>
      </c>
      <c r="C405" s="26" t="s">
        <v>19</v>
      </c>
      <c r="D405" s="57"/>
      <c r="E405" s="73"/>
      <c r="F405" s="19">
        <f>+INDEX('[1]Budget original'!$A$2:$AO$501,MATCH($A405,'[1]Budget original'!$A$2:$A$501,0),MATCH(F$2,'[1]Budget original'!$A$2:$AO$2,0))</f>
        <v>0</v>
      </c>
      <c r="G405" s="59"/>
      <c r="H405" s="73"/>
      <c r="I405" s="19"/>
      <c r="J405" s="14"/>
      <c r="K405" s="73"/>
      <c r="L405" s="39">
        <f>SUMIFS([1]BV_Data_An_Cour!$AM:$AM,[1]BV_Data_An_Cour!$AP:$AP,$B405,[1]BV_Data_An_Cour!$AQ:$AQ,$C405,[1]BV_Data_An_Cour!$AR:$AR,$L$2)</f>
        <v>0</v>
      </c>
      <c r="M405" s="14"/>
      <c r="N405" s="61">
        <f t="shared" si="66"/>
        <v>0</v>
      </c>
      <c r="O405" s="14"/>
      <c r="P405" s="73"/>
      <c r="Q405" s="39">
        <f>SUMIFS([1]BV_Data_An_Prec!$AM:$AM,[1]BV_Data_An_Prec!$AP:$AP,$B405,[1]BV_Data_An_Prec!$AQ:$AQ,$C405,[1]BV_Data_An_Prec!$AR:$AR,$L$2)</f>
        <v>0</v>
      </c>
      <c r="R405" s="14"/>
      <c r="S405" s="61">
        <f t="shared" si="67"/>
        <v>0</v>
      </c>
      <c r="T405" s="7"/>
      <c r="U405" s="6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spans="1:40" ht="18.600000000000001" customHeight="1">
      <c r="A406" s="410" t="s">
        <v>443</v>
      </c>
      <c r="B406" s="7" t="s">
        <v>98</v>
      </c>
      <c r="C406" s="139" t="s">
        <v>48</v>
      </c>
      <c r="D406" s="62" t="s">
        <v>38</v>
      </c>
      <c r="E406" s="63" t="e">
        <f>F406/F$390</f>
        <v>#DIV/0!</v>
      </c>
      <c r="F406" s="64">
        <f>+SUM(F394:F405)</f>
        <v>0</v>
      </c>
      <c r="G406" s="65"/>
      <c r="H406" s="63"/>
      <c r="I406" s="64"/>
      <c r="J406" s="65" t="s">
        <v>38</v>
      </c>
      <c r="K406" s="63">
        <f>L406/L$390</f>
        <v>0.30403109184002486</v>
      </c>
      <c r="L406" s="64">
        <f>+SUM(L394:L405)</f>
        <v>30909.4</v>
      </c>
      <c r="M406" s="66"/>
      <c r="N406" s="64">
        <f t="shared" si="66"/>
        <v>30909.4</v>
      </c>
      <c r="O406" s="65" t="s">
        <v>38</v>
      </c>
      <c r="P406" s="63">
        <f>Q406/Q$390</f>
        <v>0.26762375841212233</v>
      </c>
      <c r="Q406" s="64">
        <f>+SUM(Q394:Q405)</f>
        <v>30814.700000000008</v>
      </c>
      <c r="R406" s="67"/>
      <c r="S406" s="64">
        <f t="shared" si="67"/>
        <v>94.699999999993452</v>
      </c>
      <c r="T406" s="7"/>
      <c r="U406" s="6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spans="1:40" ht="15.75" customHeight="1">
      <c r="A407" s="410" t="s">
        <v>444</v>
      </c>
      <c r="B407" s="7" t="s">
        <v>98</v>
      </c>
      <c r="C407" s="329" t="s">
        <v>49</v>
      </c>
      <c r="D407" s="54"/>
      <c r="E407" s="7"/>
      <c r="F407" s="19">
        <f>+INDEX('[1]Budget original'!$A$2:$AO$501,MATCH($A407,'[1]Budget original'!$A$2:$A$501,0),MATCH(F$2,'[1]Budget original'!$A$2:$AO$2,0))</f>
        <v>0</v>
      </c>
      <c r="G407" s="56"/>
      <c r="H407" s="7"/>
      <c r="I407" s="19"/>
      <c r="J407" s="26"/>
      <c r="K407" s="7"/>
      <c r="L407" s="39">
        <f>SUMIFS([1]BV_Data_An_Cour!$AM:$AM,[1]BV_Data_An_Cour!$AP:$AP,$B407,[1]BV_Data_An_Cour!$AQ:$AQ,$C407,[1]BV_Data_An_Cour!$AR:$AR,$L$2)</f>
        <v>460.05999999999995</v>
      </c>
      <c r="M407" s="26"/>
      <c r="N407" s="39">
        <f t="shared" si="66"/>
        <v>460.05999999999995</v>
      </c>
      <c r="O407" s="26"/>
      <c r="P407" s="7"/>
      <c r="Q407" s="39">
        <f>SUMIFS([1]BV_Data_An_Prec!$AM:$AM,[1]BV_Data_An_Prec!$AP:$AP,$B407,[1]BV_Data_An_Prec!$AQ:$AQ,$C407,[1]BV_Data_An_Prec!$AR:$AR,$L$2)</f>
        <v>1058.0199999999998</v>
      </c>
      <c r="R407" s="26"/>
      <c r="S407" s="39">
        <f t="shared" si="67"/>
        <v>-597.95999999999981</v>
      </c>
      <c r="T407" s="7"/>
      <c r="U407" s="6"/>
      <c r="V407" s="7"/>
      <c r="W407" s="55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spans="1:40" ht="15.75" customHeight="1">
      <c r="A408" s="410" t="s">
        <v>445</v>
      </c>
      <c r="B408" s="7" t="s">
        <v>98</v>
      </c>
      <c r="C408" s="271" t="s">
        <v>50</v>
      </c>
      <c r="D408" s="54"/>
      <c r="E408" s="7"/>
      <c r="F408" s="19">
        <f>+INDEX('[1]Budget original'!$A$2:$AO$501,MATCH($A408,'[1]Budget original'!$A$2:$A$501,0),MATCH(F$2,'[1]Budget original'!$A$2:$AO$2,0))</f>
        <v>0</v>
      </c>
      <c r="G408" s="56"/>
      <c r="H408" s="7"/>
      <c r="I408" s="19"/>
      <c r="J408" s="26"/>
      <c r="K408" s="7"/>
      <c r="L408" s="39">
        <f>SUMIFS([1]BV_Data_An_Cour!$AM:$AM,[1]BV_Data_An_Cour!$AP:$AP,$B408,[1]BV_Data_An_Cour!$AQ:$AQ,$C408,[1]BV_Data_An_Cour!$AR:$AR,$L$2)</f>
        <v>53.47</v>
      </c>
      <c r="M408" s="26"/>
      <c r="N408" s="39">
        <f t="shared" si="66"/>
        <v>53.47</v>
      </c>
      <c r="O408" s="26"/>
      <c r="P408" s="7"/>
      <c r="Q408" s="39">
        <f>SUMIFS([1]BV_Data_An_Prec!$AM:$AM,[1]BV_Data_An_Prec!$AP:$AP,$B408,[1]BV_Data_An_Prec!$AQ:$AQ,$C408,[1]BV_Data_An_Prec!$AR:$AR,$L$2)</f>
        <v>170.20999999999992</v>
      </c>
      <c r="R408" s="26"/>
      <c r="S408" s="39">
        <f t="shared" si="67"/>
        <v>-116.73999999999992</v>
      </c>
      <c r="T408" s="7"/>
      <c r="U408" s="6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spans="1:40" ht="15.75" customHeight="1">
      <c r="A409" s="410" t="s">
        <v>446</v>
      </c>
      <c r="B409" s="7" t="s">
        <v>98</v>
      </c>
      <c r="C409" s="272" t="s">
        <v>51</v>
      </c>
      <c r="D409" s="57"/>
      <c r="E409" s="73"/>
      <c r="F409" s="31">
        <f>+INDEX('[1]Budget original'!$A$2:$AO$501,MATCH($A409,'[1]Budget original'!$A$2:$A$501,0),MATCH(F$2,'[1]Budget original'!$A$2:$AO$2,0))</f>
        <v>0</v>
      </c>
      <c r="G409" s="59"/>
      <c r="H409" s="73"/>
      <c r="I409" s="31"/>
      <c r="J409" s="14"/>
      <c r="K409" s="73"/>
      <c r="L409" s="61">
        <f>SUMIFS([1]BV_Data_An_Cour!$AM:$AM,[1]BV_Data_An_Cour!$AP:$AP,$B409,[1]BV_Data_An_Cour!$AQ:$AQ,$C409,[1]BV_Data_An_Cour!$AR:$AR,$L$2)</f>
        <v>1882.2999999999993</v>
      </c>
      <c r="M409" s="14"/>
      <c r="N409" s="61">
        <f t="shared" si="66"/>
        <v>1882.2999999999993</v>
      </c>
      <c r="O409" s="14"/>
      <c r="P409" s="73"/>
      <c r="Q409" s="61">
        <f>SUMIFS([1]BV_Data_An_Prec!$AM:$AM,[1]BV_Data_An_Prec!$AP:$AP,$B409,[1]BV_Data_An_Prec!$AQ:$AQ,$C409,[1]BV_Data_An_Prec!$AR:$AR,$L$2)</f>
        <v>2479.7599999999984</v>
      </c>
      <c r="R409" s="14"/>
      <c r="S409" s="61">
        <f t="shared" si="67"/>
        <v>-597.45999999999913</v>
      </c>
      <c r="T409" s="7"/>
      <c r="U409" s="6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spans="1:40" ht="15.75" customHeight="1">
      <c r="A410" s="410" t="s">
        <v>447</v>
      </c>
      <c r="B410" s="7" t="s">
        <v>98</v>
      </c>
      <c r="C410" s="271" t="s">
        <v>52</v>
      </c>
      <c r="D410" s="54"/>
      <c r="E410" s="7"/>
      <c r="F410" s="19">
        <f>+INDEX('[1]Budget original'!$A$2:$AO$501,MATCH($A410,'[1]Budget original'!$A$2:$A$501,0),MATCH(F$2,'[1]Budget original'!$A$2:$AO$2,0))</f>
        <v>0</v>
      </c>
      <c r="G410" s="56"/>
      <c r="H410" s="7"/>
      <c r="I410" s="19"/>
      <c r="J410" s="26"/>
      <c r="K410" s="7"/>
      <c r="L410" s="39">
        <f>SUMIFS([1]BV_Data_An_Cour!$AM:$AM,[1]BV_Data_An_Cour!$AP:$AP,$B410,[1]BV_Data_An_Cour!$AQ:$AQ,$C410,[1]BV_Data_An_Cour!$AR:$AR,$L$2)</f>
        <v>2969.33</v>
      </c>
      <c r="M410" s="26"/>
      <c r="N410" s="39">
        <f t="shared" si="66"/>
        <v>2969.33</v>
      </c>
      <c r="O410" s="26"/>
      <c r="P410" s="7"/>
      <c r="Q410" s="39">
        <f>SUMIFS([1]BV_Data_An_Prec!$AM:$AM,[1]BV_Data_An_Prec!$AP:$AP,$B410,[1]BV_Data_An_Prec!$AQ:$AQ,$C410,[1]BV_Data_An_Prec!$AR:$AR,$L$2)</f>
        <v>1886.3899999999994</v>
      </c>
      <c r="R410" s="26"/>
      <c r="S410" s="39">
        <f t="shared" si="67"/>
        <v>1082.9400000000005</v>
      </c>
      <c r="T410" s="7"/>
      <c r="U410" s="6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spans="1:40" ht="15.75" customHeight="1">
      <c r="A411" s="410" t="s">
        <v>448</v>
      </c>
      <c r="B411" s="7" t="s">
        <v>98</v>
      </c>
      <c r="C411" s="271" t="s">
        <v>53</v>
      </c>
      <c r="D411" s="54"/>
      <c r="E411" s="7"/>
      <c r="F411" s="19">
        <f>+INDEX('[1]Budget original'!$A$2:$AO$501,MATCH($A411,'[1]Budget original'!$A$2:$A$501,0),MATCH(F$2,'[1]Budget original'!$A$2:$AO$2,0))</f>
        <v>0</v>
      </c>
      <c r="G411" s="56"/>
      <c r="H411" s="7"/>
      <c r="I411" s="19"/>
      <c r="J411" s="26"/>
      <c r="K411" s="7"/>
      <c r="L411" s="39">
        <f>SUMIFS([1]BV_Data_An_Cour!$AM:$AM,[1]BV_Data_An_Cour!$AP:$AP,$B411,[1]BV_Data_An_Cour!$AQ:$AQ,$C411,[1]BV_Data_An_Cour!$AR:$AR,$L$2)</f>
        <v>185.01000000000022</v>
      </c>
      <c r="M411" s="26"/>
      <c r="N411" s="39">
        <f t="shared" si="66"/>
        <v>185.01000000000022</v>
      </c>
      <c r="O411" s="26"/>
      <c r="P411" s="7"/>
      <c r="Q411" s="39">
        <f>SUMIFS([1]BV_Data_An_Prec!$AM:$AM,[1]BV_Data_An_Prec!$AP:$AP,$B411,[1]BV_Data_An_Prec!$AQ:$AQ,$C411,[1]BV_Data_An_Prec!$AR:$AR,$L$2)</f>
        <v>505.38000000000011</v>
      </c>
      <c r="R411" s="26"/>
      <c r="S411" s="39">
        <f t="shared" si="67"/>
        <v>-320.36999999999989</v>
      </c>
      <c r="T411" s="7"/>
      <c r="U411" s="6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spans="1:40" ht="15.75" customHeight="1">
      <c r="A412" s="410" t="s">
        <v>449</v>
      </c>
      <c r="B412" s="7" t="s">
        <v>98</v>
      </c>
      <c r="C412" s="272" t="s">
        <v>54</v>
      </c>
      <c r="D412" s="57"/>
      <c r="E412" s="73"/>
      <c r="F412" s="31">
        <f>+INDEX('[1]Budget original'!$A$2:$AO$501,MATCH($A412,'[1]Budget original'!$A$2:$A$501,0),MATCH(F$2,'[1]Budget original'!$A$2:$AO$2,0))</f>
        <v>0</v>
      </c>
      <c r="G412" s="59"/>
      <c r="H412" s="73"/>
      <c r="I412" s="31"/>
      <c r="J412" s="14"/>
      <c r="K412" s="73"/>
      <c r="L412" s="61">
        <f>SUMIFS([1]BV_Data_An_Cour!$AM:$AM,[1]BV_Data_An_Cour!$AP:$AP,$B412,[1]BV_Data_An_Cour!$AQ:$AQ,$C412,[1]BV_Data_An_Cour!$AR:$AR,$L$2)</f>
        <v>1431.3500000000004</v>
      </c>
      <c r="M412" s="14"/>
      <c r="N412" s="61">
        <f t="shared" si="66"/>
        <v>1431.3500000000004</v>
      </c>
      <c r="O412" s="14"/>
      <c r="P412" s="73"/>
      <c r="Q412" s="61">
        <f>SUMIFS([1]BV_Data_An_Prec!$AM:$AM,[1]BV_Data_An_Prec!$AP:$AP,$B412,[1]BV_Data_An_Prec!$AQ:$AQ,$C412,[1]BV_Data_An_Prec!$AR:$AR,$L$2)</f>
        <v>2809.9799999999996</v>
      </c>
      <c r="R412" s="14"/>
      <c r="S412" s="61">
        <f t="shared" si="67"/>
        <v>-1378.6299999999992</v>
      </c>
      <c r="T412" s="7"/>
      <c r="U412" s="6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spans="1:40" ht="15.75" customHeight="1">
      <c r="A413" s="410" t="s">
        <v>450</v>
      </c>
      <c r="B413" s="7" t="s">
        <v>98</v>
      </c>
      <c r="C413" s="271" t="s">
        <v>93</v>
      </c>
      <c r="D413" s="54"/>
      <c r="E413" s="7"/>
      <c r="F413" s="19"/>
      <c r="G413" s="56"/>
      <c r="H413" s="7"/>
      <c r="I413" s="19"/>
      <c r="J413" s="26"/>
      <c r="K413" s="7"/>
      <c r="L413" s="39">
        <f>SUMIFS([1]BV_Data_An_Cour!$AM:$AM,[1]BV_Data_An_Cour!$AP:$AP,$B413,[1]BV_Data_An_Cour!$AQ:$AQ,$C413,[1]BV_Data_An_Cour!$AR:$AR,$L$2)</f>
        <v>0</v>
      </c>
      <c r="M413" s="26"/>
      <c r="N413" s="39">
        <f t="shared" si="66"/>
        <v>0</v>
      </c>
      <c r="O413" s="26"/>
      <c r="P413" s="7"/>
      <c r="Q413" s="39">
        <f>SUMIFS([1]BV_Data_An_Prec!$AM:$AM,[1]BV_Data_An_Prec!$AP:$AP,$B413,[1]BV_Data_An_Prec!$AQ:$AQ,$C413,[1]BV_Data_An_Prec!$AR:$AR,$L$2)</f>
        <v>0</v>
      </c>
      <c r="R413" s="26"/>
      <c r="S413" s="39">
        <f t="shared" si="67"/>
        <v>0</v>
      </c>
      <c r="T413" s="7"/>
      <c r="U413" s="6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spans="1:40" ht="15.75" customHeight="1">
      <c r="A414" s="410" t="s">
        <v>451</v>
      </c>
      <c r="B414" s="7" t="s">
        <v>98</v>
      </c>
      <c r="C414" s="271" t="s">
        <v>55</v>
      </c>
      <c r="D414" s="54"/>
      <c r="E414" s="7"/>
      <c r="F414" s="19">
        <f>+INDEX('[1]Budget original'!$A$2:$AO$501,MATCH($A414,'[1]Budget original'!$A$2:$A$501,0),MATCH(F$2,'[1]Budget original'!$A$2:$AO$2,0))</f>
        <v>0</v>
      </c>
      <c r="G414" s="56"/>
      <c r="H414" s="7"/>
      <c r="I414" s="19"/>
      <c r="J414" s="26"/>
      <c r="K414" s="7"/>
      <c r="L414" s="39">
        <f>SUMIFS([1]BV_Data_An_Cour!$AM:$AM,[1]BV_Data_An_Cour!$AP:$AP,$B414,[1]BV_Data_An_Cour!$AQ:$AQ,$C414,[1]BV_Data_An_Cour!$AR:$AR,$L$2)</f>
        <v>89.660000000000082</v>
      </c>
      <c r="M414" s="26"/>
      <c r="N414" s="39">
        <f t="shared" si="66"/>
        <v>89.660000000000082</v>
      </c>
      <c r="O414" s="26"/>
      <c r="P414" s="7"/>
      <c r="Q414" s="39">
        <f>SUMIFS([1]BV_Data_An_Prec!$AM:$AM,[1]BV_Data_An_Prec!$AP:$AP,$B414,[1]BV_Data_An_Prec!$AQ:$AQ,$C414,[1]BV_Data_An_Prec!$AR:$AR,$L$2)</f>
        <v>34.969999999999914</v>
      </c>
      <c r="R414" s="26"/>
      <c r="S414" s="39">
        <f t="shared" si="67"/>
        <v>54.690000000000168</v>
      </c>
      <c r="T414" s="7"/>
      <c r="U414" s="6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spans="1:40" ht="15.75" customHeight="1">
      <c r="A415" s="410" t="s">
        <v>452</v>
      </c>
      <c r="B415" s="7" t="s">
        <v>98</v>
      </c>
      <c r="C415" s="271" t="s">
        <v>56</v>
      </c>
      <c r="D415" s="54"/>
      <c r="E415" s="7"/>
      <c r="F415" s="19">
        <f>+INDEX('[1]Budget original'!$A$2:$AO$501,MATCH($A415,'[1]Budget original'!$A$2:$A$501,0),MATCH(F$2,'[1]Budget original'!$A$2:$AO$2,0))</f>
        <v>0</v>
      </c>
      <c r="G415" s="56"/>
      <c r="H415" s="7"/>
      <c r="I415" s="19"/>
      <c r="J415" s="26"/>
      <c r="K415" s="7"/>
      <c r="L415" s="39">
        <f>SUMIFS([1]BV_Data_An_Cour!$AM:$AM,[1]BV_Data_An_Cour!$AP:$AP,$B415,[1]BV_Data_An_Cour!$AQ:$AQ,$C415,[1]BV_Data_An_Cour!$AR:$AR,$L$2)</f>
        <v>0</v>
      </c>
      <c r="M415" s="26"/>
      <c r="N415" s="39">
        <f t="shared" si="66"/>
        <v>0</v>
      </c>
      <c r="O415" s="26"/>
      <c r="P415" s="7"/>
      <c r="Q415" s="39">
        <f>SUMIFS([1]BV_Data_An_Prec!$AM:$AM,[1]BV_Data_An_Prec!$AP:$AP,$B415,[1]BV_Data_An_Prec!$AQ:$AQ,$C415,[1]BV_Data_An_Prec!$AR:$AR,$L$2)</f>
        <v>0</v>
      </c>
      <c r="R415" s="26"/>
      <c r="S415" s="39">
        <f t="shared" si="67"/>
        <v>0</v>
      </c>
      <c r="T415" s="7"/>
      <c r="U415" s="6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spans="1:40" ht="15.75" customHeight="1">
      <c r="A416" s="410" t="s">
        <v>453</v>
      </c>
      <c r="B416" s="7" t="s">
        <v>98</v>
      </c>
      <c r="C416" s="271" t="s">
        <v>57</v>
      </c>
      <c r="D416" s="54"/>
      <c r="E416" s="7"/>
      <c r="F416" s="19">
        <f>+INDEX('[1]Budget original'!$A$2:$AO$501,MATCH($A416,'[1]Budget original'!$A$2:$A$501,0),MATCH(F$2,'[1]Budget original'!$A$2:$AO$2,0))</f>
        <v>0</v>
      </c>
      <c r="G416" s="56"/>
      <c r="H416" s="7"/>
      <c r="I416" s="19"/>
      <c r="J416" s="26"/>
      <c r="K416" s="7"/>
      <c r="L416" s="39">
        <f>SUMIFS([1]BV_Data_An_Cour!$AM:$AM,[1]BV_Data_An_Cour!$AP:$AP,$B416,[1]BV_Data_An_Cour!$AQ:$AQ,$C416,[1]BV_Data_An_Cour!$AR:$AR,$L$2)</f>
        <v>101.46000000000004</v>
      </c>
      <c r="M416" s="26"/>
      <c r="N416" s="39">
        <f t="shared" si="66"/>
        <v>101.46000000000004</v>
      </c>
      <c r="O416" s="26"/>
      <c r="P416" s="7"/>
      <c r="Q416" s="39">
        <f>SUMIFS([1]BV_Data_An_Prec!$AM:$AM,[1]BV_Data_An_Prec!$AP:$AP,$B416,[1]BV_Data_An_Prec!$AQ:$AQ,$C416,[1]BV_Data_An_Prec!$AR:$AR,$L$2)</f>
        <v>480.9699999999998</v>
      </c>
      <c r="R416" s="26"/>
      <c r="S416" s="39">
        <f t="shared" si="67"/>
        <v>-379.50999999999976</v>
      </c>
      <c r="T416" s="7"/>
      <c r="U416" s="6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spans="1:40" ht="15.75" customHeight="1">
      <c r="A417" s="410" t="s">
        <v>454</v>
      </c>
      <c r="B417" s="7" t="s">
        <v>98</v>
      </c>
      <c r="C417" s="271" t="s">
        <v>58</v>
      </c>
      <c r="D417" s="54"/>
      <c r="E417" s="7"/>
      <c r="F417" s="19">
        <f>+INDEX('[1]Budget original'!$A$2:$AO$501,MATCH($A417,'[1]Budget original'!$A$2:$A$501,0),MATCH(F$2,'[1]Budget original'!$A$2:$AO$2,0))</f>
        <v>0</v>
      </c>
      <c r="G417" s="56"/>
      <c r="H417" s="7"/>
      <c r="I417" s="19"/>
      <c r="J417" s="26"/>
      <c r="K417" s="7"/>
      <c r="L417" s="39">
        <f>SUMIFS([1]BV_Data_An_Cour!$AM:$AM,[1]BV_Data_An_Cour!$AP:$AP,$B417,[1]BV_Data_An_Cour!$AQ:$AQ,$C417,[1]BV_Data_An_Cour!$AR:$AR,$L$2)</f>
        <v>210.08000000000004</v>
      </c>
      <c r="M417" s="26"/>
      <c r="N417" s="39">
        <f t="shared" si="66"/>
        <v>210.08000000000004</v>
      </c>
      <c r="O417" s="26"/>
      <c r="P417" s="7"/>
      <c r="Q417" s="39">
        <f>SUMIFS([1]BV_Data_An_Prec!$AM:$AM,[1]BV_Data_An_Prec!$AP:$AP,$B417,[1]BV_Data_An_Prec!$AQ:$AQ,$C417,[1]BV_Data_An_Prec!$AR:$AR,$L$2)</f>
        <v>342.91000000000031</v>
      </c>
      <c r="R417" s="26"/>
      <c r="S417" s="39">
        <f t="shared" si="67"/>
        <v>-132.83000000000027</v>
      </c>
      <c r="T417" s="7"/>
      <c r="U417" s="6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spans="1:40" ht="15.75" customHeight="1">
      <c r="A418" s="410" t="s">
        <v>455</v>
      </c>
      <c r="B418" s="7" t="s">
        <v>98</v>
      </c>
      <c r="C418" s="271" t="s">
        <v>59</v>
      </c>
      <c r="D418" s="54"/>
      <c r="E418" s="7"/>
      <c r="F418" s="19">
        <f>+INDEX('[1]Budget original'!$A$2:$AO$501,MATCH($A418,'[1]Budget original'!$A$2:$A$501,0),MATCH(F$2,'[1]Budget original'!$A$2:$AO$2,0))</f>
        <v>0</v>
      </c>
      <c r="G418" s="56"/>
      <c r="H418" s="7"/>
      <c r="I418" s="19"/>
      <c r="J418" s="26"/>
      <c r="K418" s="7"/>
      <c r="L418" s="39">
        <f>SUMIFS([1]BV_Data_An_Cour!$AM:$AM,[1]BV_Data_An_Cour!$AP:$AP,$B418,[1]BV_Data_An_Cour!$AQ:$AQ,$C418,[1]BV_Data_An_Cour!$AR:$AR,$L$2)</f>
        <v>1239.3599999999997</v>
      </c>
      <c r="M418" s="26"/>
      <c r="N418" s="39">
        <f t="shared" si="66"/>
        <v>1239.3599999999997</v>
      </c>
      <c r="O418" s="26"/>
      <c r="P418" s="7"/>
      <c r="Q418" s="39">
        <f>SUMIFS([1]BV_Data_An_Prec!$AM:$AM,[1]BV_Data_An_Prec!$AP:$AP,$B418,[1]BV_Data_An_Prec!$AQ:$AQ,$C418,[1]BV_Data_An_Prec!$AR:$AR,$L$2)</f>
        <v>548.92000000000007</v>
      </c>
      <c r="R418" s="26"/>
      <c r="S418" s="39">
        <f t="shared" si="67"/>
        <v>690.4399999999996</v>
      </c>
      <c r="T418" s="7"/>
      <c r="U418" s="6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spans="1:40" ht="15.75" customHeight="1">
      <c r="A419" s="410" t="s">
        <v>456</v>
      </c>
      <c r="B419" s="7" t="s">
        <v>98</v>
      </c>
      <c r="C419" s="271" t="s">
        <v>60</v>
      </c>
      <c r="D419" s="54"/>
      <c r="E419" s="7"/>
      <c r="F419" s="19">
        <f>+INDEX('[1]Budget original'!$A$2:$AO$501,MATCH($A419,'[1]Budget original'!$A$2:$A$501,0),MATCH(F$2,'[1]Budget original'!$A$2:$AO$2,0))</f>
        <v>0</v>
      </c>
      <c r="G419" s="56"/>
      <c r="H419" s="7"/>
      <c r="I419" s="19"/>
      <c r="J419" s="26"/>
      <c r="K419" s="7"/>
      <c r="L419" s="39">
        <f>SUMIFS([1]BV_Data_An_Cour!$AM:$AM,[1]BV_Data_An_Cour!$AP:$AP,$B419,[1]BV_Data_An_Cour!$AQ:$AQ,$C419,[1]BV_Data_An_Cour!$AR:$AR,$L$2)</f>
        <v>1090.46</v>
      </c>
      <c r="M419" s="26"/>
      <c r="N419" s="39">
        <f t="shared" si="66"/>
        <v>1090.46</v>
      </c>
      <c r="O419" s="26"/>
      <c r="P419" s="7"/>
      <c r="Q419" s="39">
        <f>SUMIFS([1]BV_Data_An_Prec!$AM:$AM,[1]BV_Data_An_Prec!$AP:$AP,$B419,[1]BV_Data_An_Prec!$AQ:$AQ,$C419,[1]BV_Data_An_Prec!$AR:$AR,$L$2)</f>
        <v>1285.3300000000004</v>
      </c>
      <c r="R419" s="26"/>
      <c r="S419" s="39">
        <f t="shared" si="67"/>
        <v>-194.87000000000035</v>
      </c>
      <c r="T419" s="7"/>
      <c r="U419" s="6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spans="1:40" ht="15.75" customHeight="1">
      <c r="A420" s="410" t="s">
        <v>457</v>
      </c>
      <c r="B420" s="7" t="s">
        <v>98</v>
      </c>
      <c r="C420" s="271" t="s">
        <v>61</v>
      </c>
      <c r="D420" s="54"/>
      <c r="E420" s="7"/>
      <c r="F420" s="19">
        <f>+INDEX('[1]Budget original'!$A$2:$AO$501,MATCH($A420,'[1]Budget original'!$A$2:$A$501,0),MATCH(F$2,'[1]Budget original'!$A$2:$AO$2,0))</f>
        <v>0</v>
      </c>
      <c r="G420" s="56"/>
      <c r="H420" s="7"/>
      <c r="I420" s="19"/>
      <c r="J420" s="26"/>
      <c r="K420" s="7"/>
      <c r="L420" s="39">
        <f>SUMIFS([1]BV_Data_An_Cour!$AM:$AM,[1]BV_Data_An_Cour!$AP:$AP,$B420,[1]BV_Data_An_Cour!$AQ:$AQ,$C420,[1]BV_Data_An_Cour!$AR:$AR,$L$2)</f>
        <v>0</v>
      </c>
      <c r="M420" s="26"/>
      <c r="N420" s="39">
        <f t="shared" si="66"/>
        <v>0</v>
      </c>
      <c r="O420" s="26"/>
      <c r="P420" s="7"/>
      <c r="Q420" s="39">
        <f>SUMIFS([1]BV_Data_An_Prec!$AM:$AM,[1]BV_Data_An_Prec!$AP:$AP,$B420,[1]BV_Data_An_Prec!$AQ:$AQ,$C420,[1]BV_Data_An_Prec!$AR:$AR,$L$2)</f>
        <v>0</v>
      </c>
      <c r="R420" s="26"/>
      <c r="S420" s="39">
        <f t="shared" si="67"/>
        <v>0</v>
      </c>
      <c r="T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spans="1:40" ht="15.75" customHeight="1">
      <c r="A421" s="410" t="s">
        <v>458</v>
      </c>
      <c r="B421" s="7" t="s">
        <v>98</v>
      </c>
      <c r="C421" s="271" t="s">
        <v>62</v>
      </c>
      <c r="D421" s="54"/>
      <c r="E421" s="7"/>
      <c r="F421" s="19">
        <f>+INDEX('[1]Budget original'!$A$2:$AO$501,MATCH($A421,'[1]Budget original'!$A$2:$A$501,0),MATCH(F$2,'[1]Budget original'!$A$2:$AO$2,0))</f>
        <v>0</v>
      </c>
      <c r="G421" s="56"/>
      <c r="H421" s="7"/>
      <c r="I421" s="19"/>
      <c r="J421" s="26"/>
      <c r="K421" s="7"/>
      <c r="L421" s="39">
        <f>SUMIFS([1]BV_Data_An_Cour!$AM:$AM,[1]BV_Data_An_Cour!$AP:$AP,$B421,[1]BV_Data_An_Cour!$AQ:$AQ,$C421,[1]BV_Data_An_Cour!$AR:$AR,$L$2)</f>
        <v>478.49000000000024</v>
      </c>
      <c r="M421" s="26"/>
      <c r="N421" s="39">
        <f t="shared" si="66"/>
        <v>478.49000000000024</v>
      </c>
      <c r="O421" s="26"/>
      <c r="P421" s="7"/>
      <c r="Q421" s="39">
        <f>SUMIFS([1]BV_Data_An_Prec!$AM:$AM,[1]BV_Data_An_Prec!$AP:$AP,$B421,[1]BV_Data_An_Prec!$AQ:$AQ,$C421,[1]BV_Data_An_Prec!$AR:$AR,$L$2)</f>
        <v>107.15000000000009</v>
      </c>
      <c r="R421" s="26"/>
      <c r="S421" s="39">
        <f t="shared" si="67"/>
        <v>371.34000000000015</v>
      </c>
      <c r="T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spans="1:40" ht="20.399999999999999" hidden="1" customHeight="1">
      <c r="A422" s="410" t="s">
        <v>425</v>
      </c>
      <c r="B422" s="7" t="s">
        <v>98</v>
      </c>
      <c r="C422" s="271" t="s">
        <v>19</v>
      </c>
      <c r="D422" s="54"/>
      <c r="E422" s="7"/>
      <c r="F422" s="19">
        <f>+INDEX('[1]Budget original'!$A$2:$AO$501,MATCH($A422,'[1]Budget original'!$A$2:$A$501,0),MATCH(F$2,'[1]Budget original'!$A$2:$AO$2,0))</f>
        <v>0</v>
      </c>
      <c r="G422" s="56"/>
      <c r="H422" s="7"/>
      <c r="I422" s="19"/>
      <c r="J422" s="26"/>
      <c r="K422" s="7"/>
      <c r="L422" s="39">
        <f>SUMIFS([1]BV_Data_An_Cour!$AM:$AM,[1]BV_Data_An_Cour!$AP:$AP,$B422,[1]BV_Data_An_Cour!$AQ:$AQ,$C422,[1]BV_Data_An_Cour!$AR:$AR,$L$2)</f>
        <v>0</v>
      </c>
      <c r="M422" s="26"/>
      <c r="N422" s="39">
        <f t="shared" si="66"/>
        <v>0</v>
      </c>
      <c r="O422" s="26"/>
      <c r="P422" s="7"/>
      <c r="Q422" s="39">
        <f>SUMIFS([1]BV_Data_An_Prec!$AM:$AM,[1]BV_Data_An_Prec!$AP:$AP,$B422,[1]BV_Data_An_Prec!$AQ:$AQ,$C422,[1]BV_Data_An_Prec!$AR:$AR,$L$2)</f>
        <v>0</v>
      </c>
      <c r="R422" s="26"/>
      <c r="S422" s="39">
        <f t="shared" si="67"/>
        <v>0</v>
      </c>
      <c r="T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spans="1:40" ht="20.399999999999999" hidden="1" customHeight="1">
      <c r="A423" s="410" t="s">
        <v>425</v>
      </c>
      <c r="B423" s="7" t="s">
        <v>98</v>
      </c>
      <c r="C423" s="271" t="s">
        <v>19</v>
      </c>
      <c r="D423" s="54"/>
      <c r="E423" s="7"/>
      <c r="F423" s="19">
        <f>+INDEX('[1]Budget original'!$A$2:$AO$501,MATCH($A423,'[1]Budget original'!$A$2:$A$501,0),MATCH(F$2,'[1]Budget original'!$A$2:$AO$2,0))</f>
        <v>0</v>
      </c>
      <c r="G423" s="56"/>
      <c r="H423" s="7"/>
      <c r="I423" s="19"/>
      <c r="J423" s="26"/>
      <c r="K423" s="7"/>
      <c r="L423" s="39">
        <f>SUMIFS([1]BV_Data_An_Cour!$AM:$AM,[1]BV_Data_An_Cour!$AP:$AP,$B423,[1]BV_Data_An_Cour!$AQ:$AQ,$C423,[1]BV_Data_An_Cour!$AR:$AR,$L$2)</f>
        <v>0</v>
      </c>
      <c r="M423" s="26"/>
      <c r="N423" s="39">
        <f t="shared" si="66"/>
        <v>0</v>
      </c>
      <c r="O423" s="26"/>
      <c r="P423" s="7"/>
      <c r="Q423" s="39">
        <f>SUMIFS([1]BV_Data_An_Prec!$AM:$AM,[1]BV_Data_An_Prec!$AP:$AP,$B423,[1]BV_Data_An_Prec!$AQ:$AQ,$C423,[1]BV_Data_An_Prec!$AR:$AR,$L$2)</f>
        <v>0</v>
      </c>
      <c r="R423" s="26"/>
      <c r="S423" s="39">
        <f t="shared" si="67"/>
        <v>0</v>
      </c>
      <c r="T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spans="1:40" ht="20.399999999999999" hidden="1" customHeight="1">
      <c r="A424" s="410" t="s">
        <v>425</v>
      </c>
      <c r="B424" s="7" t="s">
        <v>98</v>
      </c>
      <c r="C424" s="271" t="s">
        <v>19</v>
      </c>
      <c r="D424" s="54"/>
      <c r="E424" s="7"/>
      <c r="F424" s="19">
        <f>+INDEX('[1]Budget original'!$A$2:$AO$501,MATCH($A424,'[1]Budget original'!$A$2:$A$501,0),MATCH(F$2,'[1]Budget original'!$A$2:$AO$2,0))</f>
        <v>0</v>
      </c>
      <c r="G424" s="56"/>
      <c r="H424" s="7"/>
      <c r="I424" s="19"/>
      <c r="J424" s="26"/>
      <c r="K424" s="7"/>
      <c r="L424" s="39">
        <f>SUMIFS([1]BV_Data_An_Cour!$AM:$AM,[1]BV_Data_An_Cour!$AP:$AP,$B424,[1]BV_Data_An_Cour!$AQ:$AQ,$C424,[1]BV_Data_An_Cour!$AR:$AR,$L$2)</f>
        <v>0</v>
      </c>
      <c r="M424" s="26"/>
      <c r="N424" s="39">
        <f t="shared" si="66"/>
        <v>0</v>
      </c>
      <c r="O424" s="26"/>
      <c r="P424" s="7"/>
      <c r="Q424" s="39">
        <f>SUMIFS([1]BV_Data_An_Prec!$AM:$AM,[1]BV_Data_An_Prec!$AP:$AP,$B424,[1]BV_Data_An_Prec!$AQ:$AQ,$C424,[1]BV_Data_An_Prec!$AR:$AR,$L$2)</f>
        <v>0</v>
      </c>
      <c r="R424" s="26"/>
      <c r="S424" s="39">
        <f t="shared" si="67"/>
        <v>0</v>
      </c>
      <c r="T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spans="1:40" ht="18.600000000000001" customHeight="1">
      <c r="A425" s="410"/>
      <c r="B425" s="7"/>
      <c r="C425" s="139" t="s">
        <v>63</v>
      </c>
      <c r="D425" s="62" t="s">
        <v>38</v>
      </c>
      <c r="E425" s="63" t="e">
        <f>F425/F$390</f>
        <v>#DIV/0!</v>
      </c>
      <c r="F425" s="64">
        <f>+SUM(F407:F424)</f>
        <v>0</v>
      </c>
      <c r="G425" s="65"/>
      <c r="H425" s="63"/>
      <c r="I425" s="64"/>
      <c r="J425" s="65" t="s">
        <v>38</v>
      </c>
      <c r="K425" s="63">
        <f>L425/L$390</f>
        <v>0.10024102628567516</v>
      </c>
      <c r="L425" s="64">
        <f>+SUM(L407:L424)</f>
        <v>10191.029999999997</v>
      </c>
      <c r="M425" s="66"/>
      <c r="N425" s="64">
        <f>+SUM(N407:N424)</f>
        <v>10191.029999999997</v>
      </c>
      <c r="O425" s="65" t="s">
        <v>38</v>
      </c>
      <c r="P425" s="63">
        <f>Q425/Q$390</f>
        <v>0.10170053691155086</v>
      </c>
      <c r="Q425" s="64">
        <f>+SUM(Q407:Q424)</f>
        <v>11709.989999999996</v>
      </c>
      <c r="R425" s="67"/>
      <c r="S425" s="64">
        <f>+SUM(S407:S424)</f>
        <v>-1518.9599999999982</v>
      </c>
      <c r="T425" s="7"/>
      <c r="U425" s="6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spans="1:40" ht="15.75" customHeight="1">
      <c r="B426" s="3"/>
      <c r="C426" s="14"/>
      <c r="D426" s="57"/>
      <c r="E426" s="73"/>
      <c r="F426" s="39"/>
      <c r="G426" s="59"/>
      <c r="H426" s="73"/>
      <c r="I426" s="39"/>
      <c r="J426" s="14"/>
      <c r="K426" s="73"/>
      <c r="L426" s="61"/>
      <c r="M426" s="14"/>
      <c r="N426" s="61"/>
      <c r="O426" s="14"/>
      <c r="P426" s="73"/>
      <c r="Q426" s="61"/>
      <c r="R426" s="14"/>
      <c r="S426" s="61"/>
      <c r="T426" s="7"/>
      <c r="U426" s="6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spans="1:40" ht="18.600000000000001" customHeight="1">
      <c r="A427" s="410"/>
      <c r="B427" s="7"/>
      <c r="C427" s="139" t="s">
        <v>64</v>
      </c>
      <c r="D427" s="62" t="s">
        <v>38</v>
      </c>
      <c r="E427" s="63" t="e">
        <f>F427/F$390</f>
        <v>#DIV/0!</v>
      </c>
      <c r="F427" s="64">
        <f>F406+F425</f>
        <v>0</v>
      </c>
      <c r="G427" s="65"/>
      <c r="H427" s="63"/>
      <c r="I427" s="64"/>
      <c r="J427" s="65" t="s">
        <v>38</v>
      </c>
      <c r="K427" s="63">
        <f>L427/L$390</f>
        <v>0.40427211812570008</v>
      </c>
      <c r="L427" s="64">
        <f>L406+L425</f>
        <v>41100.43</v>
      </c>
      <c r="M427" s="66"/>
      <c r="N427" s="64">
        <f>L427-F427</f>
        <v>41100.43</v>
      </c>
      <c r="O427" s="65" t="s">
        <v>38</v>
      </c>
      <c r="P427" s="63">
        <f>Q427/Q$390</f>
        <v>0.36932429532367317</v>
      </c>
      <c r="Q427" s="64">
        <f>Q406+Q425</f>
        <v>42524.69</v>
      </c>
      <c r="R427" s="67"/>
      <c r="S427" s="64">
        <f>L427-Q427</f>
        <v>-1424.260000000002</v>
      </c>
      <c r="T427" s="7"/>
      <c r="U427" s="6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spans="1:40" ht="15.75" customHeight="1">
      <c r="B428" s="3"/>
      <c r="C428" s="26"/>
      <c r="D428" s="54"/>
      <c r="E428" s="7"/>
      <c r="F428" s="39"/>
      <c r="G428" s="56"/>
      <c r="H428" s="7"/>
      <c r="I428" s="39"/>
      <c r="J428" s="26"/>
      <c r="K428" s="7"/>
      <c r="L428" s="39"/>
      <c r="M428" s="26"/>
      <c r="N428" s="39">
        <f>L428-F428</f>
        <v>0</v>
      </c>
      <c r="O428" s="26"/>
      <c r="P428" s="7"/>
      <c r="Q428" s="39"/>
      <c r="R428" s="26"/>
      <c r="S428" s="39"/>
      <c r="T428" s="7"/>
      <c r="U428" s="6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spans="1:40" ht="18.600000000000001" customHeight="1" thickBot="1">
      <c r="A429" s="410"/>
      <c r="B429" s="7"/>
      <c r="C429" s="276" t="s">
        <v>69</v>
      </c>
      <c r="D429" s="277"/>
      <c r="E429" s="278"/>
      <c r="F429" s="138">
        <f>F390-F427</f>
        <v>0</v>
      </c>
      <c r="G429" s="279"/>
      <c r="H429" s="278"/>
      <c r="I429" s="138"/>
      <c r="J429" s="279"/>
      <c r="K429" s="278"/>
      <c r="L429" s="138">
        <f>L390-L427</f>
        <v>60564.82999999998</v>
      </c>
      <c r="M429" s="280"/>
      <c r="N429" s="138">
        <f>L429-F429</f>
        <v>60564.82999999998</v>
      </c>
      <c r="O429" s="279"/>
      <c r="P429" s="278"/>
      <c r="Q429" s="138">
        <f>Q390-Q427</f>
        <v>72617.180000000051</v>
      </c>
      <c r="R429" s="281"/>
      <c r="S429" s="138">
        <f>L429-Q429</f>
        <v>-12052.350000000071</v>
      </c>
      <c r="T429" s="7"/>
      <c r="U429" s="6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spans="1:40" ht="15.75" customHeight="1" thickTop="1">
      <c r="B430" s="3"/>
      <c r="C430" s="50"/>
      <c r="D430" s="54"/>
      <c r="E430" s="7"/>
      <c r="F430" s="74"/>
      <c r="G430" s="54"/>
      <c r="H430" s="7"/>
      <c r="I430" s="74"/>
      <c r="J430" s="50"/>
      <c r="K430" s="50"/>
      <c r="L430" s="74"/>
      <c r="M430" s="50"/>
      <c r="N430" s="74"/>
      <c r="O430" s="50"/>
      <c r="P430" s="50"/>
      <c r="Q430" s="74"/>
      <c r="R430" s="50"/>
      <c r="S430" s="74"/>
      <c r="T430" s="7"/>
      <c r="U430" s="6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spans="1:40" ht="15.75" customHeight="1">
      <c r="B431" s="3"/>
      <c r="C431" s="50"/>
      <c r="D431" s="54"/>
      <c r="E431" s="7"/>
      <c r="F431" s="74"/>
      <c r="G431" s="54"/>
      <c r="H431" s="7"/>
      <c r="I431" s="74"/>
      <c r="J431" s="50"/>
      <c r="K431" s="50"/>
      <c r="L431" s="74"/>
      <c r="M431" s="50"/>
      <c r="N431" s="74"/>
      <c r="O431" s="50"/>
      <c r="P431" s="50"/>
      <c r="Q431" s="74"/>
      <c r="R431" s="50"/>
      <c r="S431" s="74"/>
      <c r="T431" s="7"/>
      <c r="U431" s="6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spans="1:40" ht="34.5" customHeight="1">
      <c r="B432" s="3"/>
      <c r="C432" s="251" t="str">
        <f>+C367</f>
        <v>Ste-Marie Auto</v>
      </c>
      <c r="D432" s="252"/>
      <c r="E432" s="253"/>
      <c r="F432" s="252"/>
      <c r="G432" s="252"/>
      <c r="H432" s="254"/>
      <c r="I432" s="252"/>
      <c r="J432" s="254"/>
      <c r="K432" s="255" t="s">
        <v>459</v>
      </c>
      <c r="L432" s="252"/>
      <c r="M432" s="252"/>
      <c r="N432" s="256"/>
      <c r="O432" s="251"/>
      <c r="P432" s="257"/>
      <c r="Q432" s="251"/>
      <c r="R432" s="257"/>
      <c r="S432" s="258" t="str">
        <f>$S$1</f>
        <v>Réalisé, Juillet 2026</v>
      </c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spans="1:40" ht="15.75" customHeight="1" thickBot="1">
      <c r="B433" s="3"/>
      <c r="C433" s="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spans="1:40" ht="15.75" customHeight="1" thickTop="1">
      <c r="B434" s="3"/>
      <c r="C434" s="259"/>
      <c r="D434" s="407" t="s">
        <v>5</v>
      </c>
      <c r="E434" s="408"/>
      <c r="F434" s="406"/>
      <c r="G434" s="405"/>
      <c r="H434" s="408"/>
      <c r="I434" s="406"/>
      <c r="J434" s="405" t="s">
        <v>7</v>
      </c>
      <c r="K434" s="408"/>
      <c r="L434" s="406"/>
      <c r="M434" s="405"/>
      <c r="N434" s="406"/>
      <c r="O434" s="407" t="s">
        <v>8</v>
      </c>
      <c r="P434" s="408"/>
      <c r="Q434" s="406"/>
      <c r="R434" s="405" t="s">
        <v>9</v>
      </c>
      <c r="S434" s="406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spans="1:40" ht="15.75" customHeight="1">
      <c r="A435" s="410" t="s">
        <v>114</v>
      </c>
      <c r="B435" s="7" t="s">
        <v>459</v>
      </c>
      <c r="C435" s="330"/>
      <c r="D435" s="53" t="s">
        <v>79</v>
      </c>
      <c r="E435" s="53" t="s">
        <v>99</v>
      </c>
      <c r="F435" s="84" t="s">
        <v>12</v>
      </c>
      <c r="G435" s="85"/>
      <c r="H435" s="53"/>
      <c r="I435" s="84"/>
      <c r="J435" s="85" t="s">
        <v>39</v>
      </c>
      <c r="K435" s="53" t="s">
        <v>79</v>
      </c>
      <c r="L435" s="84" t="s">
        <v>12</v>
      </c>
      <c r="M435" s="85" t="s">
        <v>39</v>
      </c>
      <c r="N435" s="84" t="s">
        <v>215</v>
      </c>
      <c r="O435" s="53" t="s">
        <v>39</v>
      </c>
      <c r="P435" s="53" t="s">
        <v>79</v>
      </c>
      <c r="Q435" s="84" t="s">
        <v>12</v>
      </c>
      <c r="R435" s="85" t="s">
        <v>80</v>
      </c>
      <c r="S435" s="84" t="s">
        <v>12</v>
      </c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spans="1:40" ht="15.75" customHeight="1">
      <c r="A436" s="410"/>
      <c r="B436" s="7" t="s">
        <v>459</v>
      </c>
      <c r="C436" s="26"/>
      <c r="D436" s="53"/>
      <c r="E436" s="53"/>
      <c r="F436" s="84"/>
      <c r="G436" s="53"/>
      <c r="H436" s="53"/>
      <c r="I436" s="53"/>
      <c r="J436" s="85"/>
      <c r="K436" s="53"/>
      <c r="L436" s="84"/>
      <c r="M436" s="85"/>
      <c r="N436" s="84"/>
      <c r="O436" s="85"/>
      <c r="P436" s="53"/>
      <c r="Q436" s="84"/>
      <c r="R436" s="85"/>
      <c r="S436" s="84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spans="1:40" ht="15.75" customHeight="1">
      <c r="A437" s="410"/>
      <c r="B437" s="7" t="s">
        <v>459</v>
      </c>
      <c r="C437" s="26" t="s">
        <v>460</v>
      </c>
      <c r="D437" s="55">
        <f>+INDEX('[1]Budget original'!$A$2:$AO$501,MATCH($A437,'[1]Budget original'!$A$2:$A$501,0),MATCH(D$2,'[1]Budget original'!$A$2:$AO$2,0))</f>
        <v>0</v>
      </c>
      <c r="E437" s="55">
        <f>+INDEX('[1]Budget original'!$A$2:$AO$501,MATCH($A437,'[1]Budget original'!$A$2:$A$501,0),MATCH(E$2,'[1]Budget original'!$A$2:$AO$2,0))</f>
        <v>0</v>
      </c>
      <c r="F437" s="55">
        <f>+INDEX('[1]Budget original'!$A$2:$AO$501,MATCH($A437,'[1]Budget original'!$A$2:$A$501,0),MATCH(F$2,'[1]Budget original'!$A$2:$AO$2,0))</f>
        <v>0</v>
      </c>
      <c r="G437" s="98"/>
      <c r="H437" s="55"/>
      <c r="I437" s="55"/>
      <c r="J437" s="40">
        <f>SUMIFS([1]BV_Data_An_Cour!$AW:$AW,[1]BV_Data_An_Cour!$AP:$AP,$B437,[1]BV_Data_An_Cour!$AQ:$AQ,$C437,[1]BV_Data_An_Cour!$AY:$AY,J$2)</f>
        <v>393</v>
      </c>
      <c r="K437" s="55">
        <f>-SUMIFS([1]BV_Data_An_Cour!$AM:$AM,[1]BV_Data_An_Cour!$AS:$AS,"Oui",[1]BV_Data_An_Cour!$AP:$AP,$B437,[1]BV_Data_An_Cour!$AQ:$AQ,$C437)</f>
        <v>69525</v>
      </c>
      <c r="L437" s="39">
        <f>-SUMIFS([1]BV_Data_An_Cour!$AM:$AM,[1]BV_Data_An_Cour!$AP:$AP,$B437,[1]BV_Data_An_Cour!$AQ:$AQ,$C437,[1]BV_Data_An_Cour!$AR:$AR,$L$2)</f>
        <v>50590.67</v>
      </c>
      <c r="M437" s="99">
        <f>IFERROR((K437-E437)/E437,0)</f>
        <v>0</v>
      </c>
      <c r="N437" s="39">
        <f>L437-F437</f>
        <v>50590.67</v>
      </c>
      <c r="O437" s="40">
        <f>SUMIFS([1]BV_Data_An_Prec!$AW:$AW,[1]BV_Data_An_Prec!$AP:$AP,$B437,[1]BV_Data_An_Prec!$AQ:$AQ,$C437,[1]BV_Data_An_Prec!$AY:$AY,O$2)</f>
        <v>0</v>
      </c>
      <c r="P437" s="55">
        <f>-SUMIFS([1]BV_Data_An_Prec!$AM:$AM,[1]BV_Data_An_Prec!$AS:$AS,"Oui",[1]BV_Data_An_Prec!$AP:$AP,$B437,[1]BV_Data_An_Prec!$AQ:$AQ,$C437)</f>
        <v>0</v>
      </c>
      <c r="Q437" s="39">
        <f>-SUMIFS([1]BV_Data_An_Prec!$AM:$AM,[1]BV_Data_An_Prec!$AP:$AP,$B437,[1]BV_Data_An_Prec!$AQ:$AQ,$C437,[1]BV_Data_An_Prec!$AR:$AR,$L$2)</f>
        <v>0</v>
      </c>
      <c r="R437" s="99">
        <f>IF(O437=0,0,J437/O437)</f>
        <v>0</v>
      </c>
      <c r="S437" s="39">
        <f>L437-Q437</f>
        <v>50590.67</v>
      </c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spans="1:40" ht="15.75" customHeight="1">
      <c r="A438" s="410"/>
      <c r="B438" s="7" t="s">
        <v>459</v>
      </c>
      <c r="C438" s="26" t="s">
        <v>82</v>
      </c>
      <c r="D438" s="53"/>
      <c r="E438" s="91"/>
      <c r="F438" s="100">
        <f>IFERROR(F437/E437,0)</f>
        <v>0</v>
      </c>
      <c r="G438" s="26"/>
      <c r="H438" s="91"/>
      <c r="I438" s="100"/>
      <c r="J438" s="40"/>
      <c r="K438" s="7"/>
      <c r="L438" s="100">
        <f>IFERROR(L437/K437,0)</f>
        <v>0.72766156058971587</v>
      </c>
      <c r="M438" s="99"/>
      <c r="N438" s="39">
        <f>IFERROR(N437/M437,0)</f>
        <v>0</v>
      </c>
      <c r="O438" s="40"/>
      <c r="P438" s="7"/>
      <c r="Q438" s="100">
        <f>IFERROR(Q437/P437,0)</f>
        <v>0</v>
      </c>
      <c r="R438" s="40"/>
      <c r="S438" s="39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spans="1:40" ht="15.75" customHeight="1">
      <c r="A439" s="410"/>
      <c r="B439" s="7" t="s">
        <v>459</v>
      </c>
      <c r="C439" s="26"/>
      <c r="D439" s="53"/>
      <c r="E439" s="141"/>
      <c r="F439" s="87"/>
      <c r="G439" s="85"/>
      <c r="H439" s="141"/>
      <c r="I439" s="87"/>
      <c r="J439" s="85"/>
      <c r="K439" s="312">
        <f>IFERROR(K437/J437,0)</f>
        <v>176.90839694656489</v>
      </c>
      <c r="L439" s="84"/>
      <c r="M439" s="85"/>
      <c r="N439" s="84"/>
      <c r="O439" s="85"/>
      <c r="P439" s="312">
        <f>IFERROR(P437/O437,0)</f>
        <v>0</v>
      </c>
      <c r="Q439" s="84"/>
      <c r="R439" s="86"/>
      <c r="S439" s="250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spans="1:40" ht="15.75" customHeight="1">
      <c r="A440" s="410"/>
      <c r="B440" s="7" t="s">
        <v>459</v>
      </c>
      <c r="C440" s="335" t="s">
        <v>461</v>
      </c>
      <c r="D440" s="105">
        <f>+INDEX('[1]Budget original'!$A$2:$AO$501,MATCH($A440,'[1]Budget original'!$A$2:$A$501,0),MATCH(D$2,'[1]Budget original'!$A$2:$AO$2,0))</f>
        <v>0</v>
      </c>
      <c r="E440" s="55">
        <f>+INDEX('[1]Budget original'!$A$2:$AO$501,MATCH($A440,'[1]Budget original'!$A$2:$A$501,0),MATCH(E$2,'[1]Budget original'!$A$2:$AO$2,0))</f>
        <v>0</v>
      </c>
      <c r="F440" s="55">
        <f>+INDEX('[1]Budget original'!$A$2:$AO$501,MATCH($A440,'[1]Budget original'!$A$2:$A$501,0),MATCH(F$2,'[1]Budget original'!$A$2:$AO$2,0))</f>
        <v>0</v>
      </c>
      <c r="G440" s="131"/>
      <c r="H440" s="55"/>
      <c r="I440" s="55"/>
      <c r="J440" s="106">
        <f>SUMIFS([1]BV_Data_An_Cour!$AW:$AW,[1]BV_Data_An_Cour!$AP:$AP,$B440,[1]BV_Data_An_Cour!$AQ:$AQ,$C440,[1]BV_Data_An_Cour!$AY:$AY,J$2)</f>
        <v>193</v>
      </c>
      <c r="K440" s="105">
        <f>-SUMIFS([1]BV_Data_An_Cour!$AM:$AM,[1]BV_Data_An_Cour!$AS:$AS,"Oui",[1]BV_Data_An_Cour!$AP:$AP,$B440,[1]BV_Data_An_Cour!$AQ:$AQ,$C440)</f>
        <v>23700</v>
      </c>
      <c r="L440" s="72">
        <f>-SUMIFS([1]BV_Data_An_Cour!$AM:$AM,[1]BV_Data_An_Cour!$AP:$AP,$B440,[1]BV_Data_An_Cour!$AQ:$AQ,$C440,[1]BV_Data_An_Cour!$AR:$AR,$L$2)</f>
        <v>17337</v>
      </c>
      <c r="M440" s="109">
        <f>IFERROR((K440-E440)/E440,0)</f>
        <v>0</v>
      </c>
      <c r="N440" s="72">
        <f>L440-F440</f>
        <v>17337</v>
      </c>
      <c r="O440" s="106">
        <f>SUMIFS([1]BV_Data_An_Prec!$AW:$AW,[1]BV_Data_An_Prec!$AP:$AP,$B440,[1]BV_Data_An_Prec!$AQ:$AQ,$C440,[1]BV_Data_An_Prec!$AY:$AY,O$2)</f>
        <v>611</v>
      </c>
      <c r="P440" s="105">
        <f>-SUMIFS([1]BV_Data_An_Prec!$AM:$AM,[1]BV_Data_An_Prec!$AS:$AS,"Oui",[1]BV_Data_An_Prec!$AP:$AP,$B440,[1]BV_Data_An_Prec!$AQ:$AQ,$C440)</f>
        <v>84875</v>
      </c>
      <c r="Q440" s="72">
        <f>-SUMIFS([1]BV_Data_An_Prec!$AM:$AM,[1]BV_Data_An_Prec!$AP:$AP,$B440,[1]BV_Data_An_Prec!$AQ:$AQ,$C440,[1]BV_Data_An_Prec!$AR:$AR,$L$2)</f>
        <v>63790.569999999992</v>
      </c>
      <c r="R440" s="99">
        <f>IF(O440=0,0,J440/O440)</f>
        <v>0.3158756137479542</v>
      </c>
      <c r="S440" s="39">
        <f>L440-Q440</f>
        <v>-46453.569999999992</v>
      </c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spans="1:40" ht="15.75" customHeight="1">
      <c r="A441" s="410"/>
      <c r="B441" s="7" t="s">
        <v>459</v>
      </c>
      <c r="C441" s="26" t="s">
        <v>82</v>
      </c>
      <c r="D441" s="7"/>
      <c r="E441" s="91"/>
      <c r="F441" s="100">
        <f>IFERROR(F440/E440,0)</f>
        <v>0</v>
      </c>
      <c r="G441" s="26"/>
      <c r="H441" s="91"/>
      <c r="I441" s="100"/>
      <c r="J441" s="40"/>
      <c r="K441" s="7"/>
      <c r="L441" s="100">
        <f>IFERROR(L440/K440,0)</f>
        <v>0.73151898734177212</v>
      </c>
      <c r="M441" s="99"/>
      <c r="N441" s="39">
        <f>IFERROR(N440/M440,0)</f>
        <v>0</v>
      </c>
      <c r="O441" s="40"/>
      <c r="P441" s="7"/>
      <c r="Q441" s="100">
        <f>IFERROR(Q440/P440,0)</f>
        <v>0.75158256259204703</v>
      </c>
      <c r="R441" s="40"/>
      <c r="S441" s="39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spans="1:40" ht="15.75" customHeight="1">
      <c r="A442" s="410"/>
      <c r="B442" s="7" t="s">
        <v>459</v>
      </c>
      <c r="C442" s="14"/>
      <c r="D442" s="73"/>
      <c r="E442" s="101"/>
      <c r="F442" s="102"/>
      <c r="G442" s="14"/>
      <c r="H442" s="101"/>
      <c r="I442" s="102"/>
      <c r="J442" s="103"/>
      <c r="K442" s="312">
        <f>IFERROR(K440/J440,0)</f>
        <v>122.79792746113989</v>
      </c>
      <c r="L442" s="102"/>
      <c r="M442" s="104"/>
      <c r="N442" s="61"/>
      <c r="O442" s="103"/>
      <c r="P442" s="312">
        <f>IFERROR(P440/O440,0)</f>
        <v>138.911620294599</v>
      </c>
      <c r="Q442" s="102"/>
      <c r="R442" s="103"/>
      <c r="S442" s="61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spans="1:40" ht="15.75" customHeight="1">
      <c r="A443" s="410"/>
      <c r="B443" s="7" t="s">
        <v>459</v>
      </c>
      <c r="C443" s="335" t="s">
        <v>462</v>
      </c>
      <c r="D443" s="105">
        <v>0</v>
      </c>
      <c r="E443" s="55">
        <v>0</v>
      </c>
      <c r="F443" s="55">
        <v>0</v>
      </c>
      <c r="G443" s="106"/>
      <c r="H443" s="55"/>
      <c r="I443" s="55"/>
      <c r="J443" s="106">
        <f>SUMIFS([1]BV_Data_An_Cour!$AW:$AW,[1]BV_Data_An_Cour!$AP:$AP,$B443,[1]BV_Data_An_Cour!$AQ:$AQ,$C443,[1]BV_Data_An_Cour!$AY:$AY,J$2)</f>
        <v>5</v>
      </c>
      <c r="K443" s="55">
        <f>-SUMIFS([1]BV_Data_An_Cour!$AM:$AM,[1]BV_Data_An_Cour!$AS:$AS,"Oui",[1]BV_Data_An_Cour!$AP:$AP,$B443,[1]BV_Data_An_Cour!$AQ:$AQ,$C443)</f>
        <v>630.5</v>
      </c>
      <c r="L443" s="39">
        <f>-SUMIFS([1]BV_Data_An_Cour!$AM:$AM,[1]BV_Data_An_Cour!$AP:$AP,$B443,[1]BV_Data_An_Cour!$AQ:$AQ,$C443,[1]BV_Data_An_Cour!$AR:$AR,$L$2)</f>
        <v>453.29999999999995</v>
      </c>
      <c r="M443" s="99">
        <f>IFERROR((K443-E443)/E443,0)</f>
        <v>0</v>
      </c>
      <c r="N443" s="72">
        <f>L443-F443</f>
        <v>453.29999999999995</v>
      </c>
      <c r="O443" s="106">
        <f>SUMIFS([1]BV_Data_An_Prec!$AW:$AW,[1]BV_Data_An_Prec!$AP:$AP,$B443,[1]BV_Data_An_Prec!$AQ:$AQ,$C443,[1]BV_Data_An_Prec!$AY:$AY,O$2)</f>
        <v>26</v>
      </c>
      <c r="P443" s="55">
        <f>-SUMIFS([1]BV_Data_An_Prec!$AM:$AM,[1]BV_Data_An_Prec!$AS:$AS,"Oui",[1]BV_Data_An_Prec!$AP:$AP,$B443,[1]BV_Data_An_Prec!$AQ:$AQ,$C443)</f>
        <v>3260</v>
      </c>
      <c r="Q443" s="39">
        <f>-SUMIFS([1]BV_Data_An_Prec!$AM:$AM,[1]BV_Data_An_Prec!$AP:$AP,$B443,[1]BV_Data_An_Prec!$AQ:$AQ,$C443,[1]BV_Data_An_Prec!$AR:$AR,$L$2)</f>
        <v>2529.9700000000003</v>
      </c>
      <c r="R443" s="99">
        <f>IF(O443=0,0,J443/O443)</f>
        <v>0.19230769230769232</v>
      </c>
      <c r="S443" s="39">
        <f>L443-Q443</f>
        <v>-2076.67</v>
      </c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spans="1:40" ht="15.75" customHeight="1">
      <c r="A444" s="410"/>
      <c r="B444" s="7" t="s">
        <v>459</v>
      </c>
      <c r="C444" s="26" t="s">
        <v>82</v>
      </c>
      <c r="D444" s="7"/>
      <c r="E444" s="7"/>
      <c r="F444" s="100">
        <f>IFERROR(F443/E443,0)</f>
        <v>0</v>
      </c>
      <c r="G444" s="26"/>
      <c r="H444" s="91"/>
      <c r="I444" s="100"/>
      <c r="J444" s="40"/>
      <c r="K444" s="7"/>
      <c r="L444" s="100">
        <f>IFERROR(L443/K443,0)</f>
        <v>0.71895321173671678</v>
      </c>
      <c r="M444" s="99"/>
      <c r="N444" s="39">
        <f>IFERROR(N443/M443,0)</f>
        <v>0</v>
      </c>
      <c r="O444" s="40"/>
      <c r="P444" s="7"/>
      <c r="Q444" s="100">
        <f>IFERROR(Q443/P443,0)</f>
        <v>0.77606441717791419</v>
      </c>
      <c r="R444" s="40"/>
      <c r="S444" s="39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spans="1:40" ht="15.75" customHeight="1">
      <c r="A445" s="410"/>
      <c r="B445" s="7" t="s">
        <v>459</v>
      </c>
      <c r="C445" s="26"/>
      <c r="D445" s="7"/>
      <c r="E445" s="7"/>
      <c r="F445" s="100"/>
      <c r="G445" s="7"/>
      <c r="H445" s="91"/>
      <c r="I445" s="93"/>
      <c r="J445" s="40"/>
      <c r="K445" s="418">
        <f>IFERROR(K443/J443,0)</f>
        <v>126.1</v>
      </c>
      <c r="L445" s="100"/>
      <c r="M445" s="99"/>
      <c r="N445" s="39"/>
      <c r="O445" s="40"/>
      <c r="P445" s="418">
        <f>IFERROR(P443/O443,0)</f>
        <v>125.38461538461539</v>
      </c>
      <c r="Q445" s="100"/>
      <c r="R445" s="40"/>
      <c r="S445" s="39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spans="1:40" ht="15.75" customHeight="1">
      <c r="A446" s="410"/>
      <c r="B446" s="7" t="s">
        <v>459</v>
      </c>
      <c r="C446" s="26" t="s">
        <v>463</v>
      </c>
      <c r="D446" s="7"/>
      <c r="E446" s="7"/>
      <c r="F446" s="100"/>
      <c r="G446" s="7"/>
      <c r="H446" s="91"/>
      <c r="I446" s="93"/>
      <c r="J446" s="40"/>
      <c r="K446" s="7"/>
      <c r="L446" s="39">
        <f>-SUMIFS([1]BV_Data_An_Cour!$AM:$AM,[1]BV_Data_An_Cour!$AP:$AP,$B446,[1]BV_Data_An_Cour!$AQ:$AQ,$C446,[1]BV_Data_An_Cour!$AR:$AR,$L$2)</f>
        <v>-1417.39</v>
      </c>
      <c r="M446" s="99"/>
      <c r="N446" s="39"/>
      <c r="O446" s="40"/>
      <c r="P446" s="7"/>
      <c r="Q446" s="39">
        <f>-SUMIFS([1]BV_Data_An_Prec!$AM:$AM,[1]BV_Data_An_Prec!$AP:$AP,$B446,[1]BV_Data_An_Prec!$AQ:$AQ,$C446,[1]BV_Data_An_Prec!$AR:$AR,$L$2)</f>
        <v>0</v>
      </c>
      <c r="R446" s="40"/>
      <c r="S446" s="39">
        <f>L446-Q446</f>
        <v>-1417.39</v>
      </c>
      <c r="T446" s="6"/>
      <c r="U446" s="6" t="s">
        <v>504</v>
      </c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spans="1:40" ht="15.75" customHeight="1" thickBot="1">
      <c r="A447" s="410"/>
      <c r="B447" s="7" t="s">
        <v>459</v>
      </c>
      <c r="C447" s="26"/>
      <c r="D447" s="53"/>
      <c r="E447" s="53"/>
      <c r="F447" s="84"/>
      <c r="G447" s="53"/>
      <c r="H447" s="53"/>
      <c r="I447" s="53"/>
      <c r="J447" s="85"/>
      <c r="K447" s="53"/>
      <c r="L447" s="84"/>
      <c r="M447" s="85"/>
      <c r="N447" s="84"/>
      <c r="O447" s="85"/>
      <c r="P447" s="53"/>
      <c r="Q447" s="84"/>
      <c r="R447" s="85"/>
      <c r="S447" s="84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spans="1:40" ht="18" customHeight="1" thickTop="1">
      <c r="A448" s="410" t="s">
        <v>464</v>
      </c>
      <c r="B448" s="7" t="s">
        <v>459</v>
      </c>
      <c r="C448" s="264" t="s">
        <v>465</v>
      </c>
      <c r="D448" s="41">
        <f>+INDEX('[1]Budget original'!$A$2:$AO$501,MATCH($A448,'[1]Budget original'!$A$2:$A$501,0),MATCH(D$2,'[1]Budget original'!$A$2:$AO$2,0))</f>
        <v>0</v>
      </c>
      <c r="E448" s="42">
        <f>IFERROR(F448/D448,0)</f>
        <v>0</v>
      </c>
      <c r="F448" s="43">
        <f>+INDEX('[1]Budget original'!$A$2:$AO$501,MATCH($A448,'[1]Budget original'!$A$2:$A$501,0),MATCH(F$2,'[1]Budget original'!$A$2:$AO$2,0))</f>
        <v>0</v>
      </c>
      <c r="G448" s="44"/>
      <c r="H448" s="42"/>
      <c r="I448" s="43"/>
      <c r="J448" s="44"/>
      <c r="K448" s="41">
        <f>K437+K440+K443</f>
        <v>93855.5</v>
      </c>
      <c r="L448" s="43">
        <f>L437+L440+L443+L446</f>
        <v>66963.58</v>
      </c>
      <c r="M448" s="44"/>
      <c r="N448" s="43"/>
      <c r="O448" s="44"/>
      <c r="P448" s="41">
        <f>P437+P440+P443</f>
        <v>88135</v>
      </c>
      <c r="Q448" s="43">
        <f>Q437+Q440+Q443+Q446</f>
        <v>66320.539999999994</v>
      </c>
      <c r="R448" s="44">
        <f>IF(O448=0,0,(J448-O448)/O448)</f>
        <v>0</v>
      </c>
      <c r="S448" s="43">
        <f>S437+S440+S443+S446</f>
        <v>643.04000000000565</v>
      </c>
      <c r="T448" s="7"/>
      <c r="U448" s="6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spans="1:40" ht="22.5" customHeight="1" thickBot="1">
      <c r="A449" s="410" t="s">
        <v>114</v>
      </c>
      <c r="B449" s="7" t="s">
        <v>459</v>
      </c>
      <c r="C449" s="47"/>
      <c r="D449" s="45"/>
      <c r="E449" s="45"/>
      <c r="F449" s="46"/>
      <c r="G449" s="47"/>
      <c r="H449" s="45"/>
      <c r="I449" s="46"/>
      <c r="J449" s="47"/>
      <c r="K449" s="265"/>
      <c r="L449" s="267">
        <f>L448/K448</f>
        <v>0.71347528914128633</v>
      </c>
      <c r="M449" s="48"/>
      <c r="N449" s="49"/>
      <c r="O449" s="47"/>
      <c r="P449" s="265"/>
      <c r="Q449" s="267">
        <f>Q448/P448</f>
        <v>0.7524881148238497</v>
      </c>
      <c r="R449" s="48"/>
      <c r="S449" s="267">
        <f>IF(Q448=0,0,S448/Q448)</f>
        <v>9.6959403527173589E-3</v>
      </c>
      <c r="T449" s="7"/>
      <c r="U449" s="6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spans="1:40" ht="15.75" customHeight="1" thickTop="1">
      <c r="A450" s="410" t="s">
        <v>114</v>
      </c>
      <c r="B450" s="7" t="s">
        <v>459</v>
      </c>
      <c r="C450" s="268"/>
      <c r="D450" s="7"/>
      <c r="E450" s="7"/>
      <c r="F450" s="39"/>
      <c r="G450" s="26"/>
      <c r="H450" s="7"/>
      <c r="I450" s="39"/>
      <c r="J450" s="26"/>
      <c r="K450" s="7"/>
      <c r="L450" s="25"/>
      <c r="M450" s="26"/>
      <c r="N450" s="100"/>
      <c r="O450" s="26"/>
      <c r="P450" s="7"/>
      <c r="Q450" s="25"/>
      <c r="R450" s="26"/>
      <c r="S450" s="25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spans="1:40" ht="15.75" customHeight="1">
      <c r="A451" s="410" t="s">
        <v>466</v>
      </c>
      <c r="B451" s="7" t="s">
        <v>459</v>
      </c>
      <c r="C451" s="268" t="s">
        <v>29</v>
      </c>
      <c r="D451" s="7"/>
      <c r="E451" s="7"/>
      <c r="F451" s="39"/>
      <c r="G451" s="26"/>
      <c r="H451" s="7"/>
      <c r="I451" s="39"/>
      <c r="J451" s="26"/>
      <c r="K451" s="7"/>
      <c r="L451" s="25"/>
      <c r="M451" s="26"/>
      <c r="N451" s="25"/>
      <c r="O451" s="26"/>
      <c r="P451" s="7"/>
      <c r="Q451" s="25"/>
      <c r="R451" s="26"/>
      <c r="S451" s="25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spans="1:40" ht="15.75" customHeight="1">
      <c r="A452" s="410" t="s">
        <v>467</v>
      </c>
      <c r="B452" s="7" t="s">
        <v>459</v>
      </c>
      <c r="C452" s="271" t="s">
        <v>40</v>
      </c>
      <c r="D452" s="7"/>
      <c r="E452" s="7"/>
      <c r="F452" s="19">
        <f>+INDEX('[1]Budget original'!$A$2:$AO$501,MATCH($A452,'[1]Budget original'!$A$2:$A$501,0),MATCH(F$2,'[1]Budget original'!$A$2:$AO$2,0))</f>
        <v>0</v>
      </c>
      <c r="G452" s="26"/>
      <c r="H452" s="7"/>
      <c r="I452" s="19"/>
      <c r="J452" s="26"/>
      <c r="K452" s="7"/>
      <c r="L452" s="39">
        <f>SUMIFS([1]BV_Data_An_Cour!$AM:$AM,[1]BV_Data_An_Cour!$AP:$AP,$B452,[1]BV_Data_An_Cour!$AQ:$AQ,$C452,[1]BV_Data_An_Cour!$AR:$AR,$L$2)</f>
        <v>540</v>
      </c>
      <c r="M452" s="26"/>
      <c r="N452" s="25"/>
      <c r="O452" s="26"/>
      <c r="P452" s="7"/>
      <c r="Q452" s="39">
        <f>SUMIFS([1]BV_Data_An_Prec!$AM:$AM,[1]BV_Data_An_Prec!$AP:$AP,$B452,[1]BV_Data_An_Prec!$AQ:$AQ,$C452,[1]BV_Data_An_Prec!$AR:$AR,$L$2)</f>
        <v>0</v>
      </c>
      <c r="R452" s="26"/>
      <c r="S452" s="39">
        <f t="shared" ref="S452:S481" si="68">L452-Q452</f>
        <v>540</v>
      </c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spans="1:40" ht="15.75" customHeight="1">
      <c r="A453" s="410" t="s">
        <v>468</v>
      </c>
      <c r="B453" s="7" t="s">
        <v>459</v>
      </c>
      <c r="C453" s="272" t="s">
        <v>41</v>
      </c>
      <c r="D453" s="54"/>
      <c r="E453" s="7"/>
      <c r="F453" s="31">
        <f>+INDEX('[1]Budget original'!$A$2:$AO$501,MATCH($A453,'[1]Budget original'!$A$2:$A$501,0),MATCH(F$2,'[1]Budget original'!$A$2:$AO$2,0))</f>
        <v>0</v>
      </c>
      <c r="G453" s="56"/>
      <c r="H453" s="7"/>
      <c r="I453" s="31"/>
      <c r="J453" s="26"/>
      <c r="K453" s="7"/>
      <c r="L453" s="61">
        <f>SUMIFS([1]BV_Data_An_Cour!$AM:$AM,[1]BV_Data_An_Cour!$AP:$AP,$B453,[1]BV_Data_An_Cour!$AQ:$AQ,$C453,[1]BV_Data_An_Cour!$AR:$AR,$L$2)</f>
        <v>8742.9399999999987</v>
      </c>
      <c r="M453" s="26"/>
      <c r="N453" s="39"/>
      <c r="O453" s="26"/>
      <c r="P453" s="7"/>
      <c r="Q453" s="61">
        <f>SUMIFS([1]BV_Data_An_Prec!$AM:$AM,[1]BV_Data_An_Prec!$AP:$AP,$B453,[1]BV_Data_An_Prec!$AQ:$AQ,$C453,[1]BV_Data_An_Prec!$AR:$AR,$L$2)</f>
        <v>0</v>
      </c>
      <c r="R453" s="26"/>
      <c r="S453" s="39">
        <f t="shared" si="68"/>
        <v>8742.9399999999987</v>
      </c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spans="1:40" ht="15.75" customHeight="1">
      <c r="A454" s="410" t="s">
        <v>469</v>
      </c>
      <c r="B454" s="7" t="s">
        <v>459</v>
      </c>
      <c r="C454" s="271" t="s">
        <v>42</v>
      </c>
      <c r="D454" s="68"/>
      <c r="E454" s="69"/>
      <c r="F454" s="19">
        <f>+INDEX('[1]Budget original'!$A$2:$AO$501,MATCH($A454,'[1]Budget original'!$A$2:$A$501,0),MATCH(F$2,'[1]Budget original'!$A$2:$AO$2,0))</f>
        <v>0</v>
      </c>
      <c r="G454" s="70"/>
      <c r="H454" s="69"/>
      <c r="I454" s="19"/>
      <c r="J454" s="71"/>
      <c r="K454" s="69"/>
      <c r="L454" s="39">
        <f>SUMIFS([1]BV_Data_An_Cour!$AM:$AM,[1]BV_Data_An_Cour!$AP:$AP,$B454,[1]BV_Data_An_Cour!$AQ:$AQ,$C454,[1]BV_Data_An_Cour!$AR:$AR,$L$2)</f>
        <v>1646.34</v>
      </c>
      <c r="M454" s="71"/>
      <c r="N454" s="72"/>
      <c r="O454" s="71"/>
      <c r="P454" s="69"/>
      <c r="Q454" s="39">
        <f>SUMIFS([1]BV_Data_An_Prec!$AM:$AM,[1]BV_Data_An_Prec!$AP:$AP,$B454,[1]BV_Data_An_Prec!$AQ:$AQ,$C454,[1]BV_Data_An_Prec!$AR:$AR,$L$2)</f>
        <v>0</v>
      </c>
      <c r="R454" s="71"/>
      <c r="S454" s="72">
        <f t="shared" si="68"/>
        <v>1646.34</v>
      </c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spans="1:40" ht="15.75" customHeight="1">
      <c r="A455" s="410" t="s">
        <v>470</v>
      </c>
      <c r="B455" s="7" t="s">
        <v>459</v>
      </c>
      <c r="C455" s="271" t="s">
        <v>43</v>
      </c>
      <c r="D455" s="54"/>
      <c r="E455" s="7"/>
      <c r="F455" s="19">
        <f>+INDEX('[1]Budget original'!$A$2:$AO$501,MATCH($A455,'[1]Budget original'!$A$2:$A$501,0),MATCH(F$2,'[1]Budget original'!$A$2:$AO$2,0))</f>
        <v>0</v>
      </c>
      <c r="G455" s="56"/>
      <c r="H455" s="7"/>
      <c r="I455" s="19"/>
      <c r="J455" s="26"/>
      <c r="K455" s="7"/>
      <c r="L455" s="39">
        <f>SUMIFS([1]BV_Data_An_Cour!$AM:$AM,[1]BV_Data_An_Cour!$AP:$AP,$B455,[1]BV_Data_An_Cour!$AQ:$AQ,$C455,[1]BV_Data_An_Cour!$AR:$AR,$L$2)</f>
        <v>0</v>
      </c>
      <c r="M455" s="26"/>
      <c r="N455" s="39"/>
      <c r="O455" s="26"/>
      <c r="P455" s="7"/>
      <c r="Q455" s="39">
        <f>SUMIFS([1]BV_Data_An_Prec!$AM:$AM,[1]BV_Data_An_Prec!$AP:$AP,$B455,[1]BV_Data_An_Prec!$AQ:$AQ,$C455,[1]BV_Data_An_Prec!$AR:$AR,$L$2)</f>
        <v>0</v>
      </c>
      <c r="R455" s="26"/>
      <c r="S455" s="39">
        <f t="shared" si="68"/>
        <v>0</v>
      </c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spans="1:40" ht="20.399999999999999" hidden="1" customHeight="1">
      <c r="A456" s="410" t="s">
        <v>471</v>
      </c>
      <c r="B456" s="7" t="s">
        <v>459</v>
      </c>
      <c r="C456" s="26" t="s">
        <v>19</v>
      </c>
      <c r="D456" s="54"/>
      <c r="E456" s="7"/>
      <c r="F456" s="19">
        <f>+INDEX('[1]Budget original'!$A$2:$AO$501,MATCH($A456,'[1]Budget original'!$A$2:$A$501,0),MATCH(F$2,'[1]Budget original'!$A$2:$AO$2,0))</f>
        <v>0</v>
      </c>
      <c r="G456" s="56"/>
      <c r="H456" s="7"/>
      <c r="I456" s="19"/>
      <c r="J456" s="26"/>
      <c r="K456" s="7"/>
      <c r="L456" s="39">
        <f>SUMIFS([1]BV_Data_An_Cour!$AM:$AM,[1]BV_Data_An_Cour!$AP:$AP,$B456,[1]BV_Data_An_Cour!$AQ:$AQ,$C456,[1]BV_Data_An_Cour!$AR:$AR,$L$2)</f>
        <v>0</v>
      </c>
      <c r="M456" s="26"/>
      <c r="N456" s="39"/>
      <c r="O456" s="26"/>
      <c r="P456" s="7"/>
      <c r="Q456" s="39">
        <f>SUMIFS([1]BV_Data_An_Prec!$AM:$AM,[1]BV_Data_An_Prec!$AP:$AP,$B456,[1]BV_Data_An_Prec!$AQ:$AQ,$C456,[1]BV_Data_An_Prec!$AR:$AR,$L$2)</f>
        <v>0</v>
      </c>
      <c r="R456" s="26"/>
      <c r="S456" s="39">
        <f t="shared" si="68"/>
        <v>0</v>
      </c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spans="1:40" ht="20.399999999999999" hidden="1" customHeight="1">
      <c r="A457" s="410" t="s">
        <v>471</v>
      </c>
      <c r="B457" s="7" t="s">
        <v>459</v>
      </c>
      <c r="C457" s="26" t="s">
        <v>19</v>
      </c>
      <c r="D457" s="54"/>
      <c r="E457" s="7"/>
      <c r="F457" s="19">
        <f>+INDEX('[1]Budget original'!$A$2:$AO$501,MATCH($A457,'[1]Budget original'!$A$2:$A$501,0),MATCH(F$2,'[1]Budget original'!$A$2:$AO$2,0))</f>
        <v>0</v>
      </c>
      <c r="G457" s="56"/>
      <c r="H457" s="7"/>
      <c r="I457" s="19"/>
      <c r="J457" s="26"/>
      <c r="K457" s="7"/>
      <c r="L457" s="39">
        <f>SUMIFS([1]BV_Data_An_Cour!$AM:$AM,[1]BV_Data_An_Cour!$AP:$AP,$B457,[1]BV_Data_An_Cour!$AQ:$AQ,$C457,[1]BV_Data_An_Cour!$AR:$AR,$L$2)</f>
        <v>0</v>
      </c>
      <c r="M457" s="26"/>
      <c r="N457" s="39"/>
      <c r="O457" s="26"/>
      <c r="P457" s="7"/>
      <c r="Q457" s="39">
        <f>SUMIFS([1]BV_Data_An_Prec!$AM:$AM,[1]BV_Data_An_Prec!$AP:$AP,$B457,[1]BV_Data_An_Prec!$AQ:$AQ,$C457,[1]BV_Data_An_Prec!$AR:$AR,$L$2)</f>
        <v>0</v>
      </c>
      <c r="R457" s="26"/>
      <c r="S457" s="39">
        <f t="shared" si="68"/>
        <v>0</v>
      </c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spans="1:40" ht="20.399999999999999" hidden="1" customHeight="1">
      <c r="A458" s="410" t="s">
        <v>471</v>
      </c>
      <c r="B458" s="7" t="s">
        <v>459</v>
      </c>
      <c r="C458" s="26" t="s">
        <v>19</v>
      </c>
      <c r="D458" s="54"/>
      <c r="E458" s="7"/>
      <c r="F458" s="19">
        <f>+INDEX('[1]Budget original'!$A$2:$AO$501,MATCH($A458,'[1]Budget original'!$A$2:$A$501,0),MATCH(F$2,'[1]Budget original'!$A$2:$AO$2,0))</f>
        <v>0</v>
      </c>
      <c r="G458" s="56"/>
      <c r="H458" s="7"/>
      <c r="I458" s="19"/>
      <c r="J458" s="26"/>
      <c r="K458" s="7"/>
      <c r="L458" s="39">
        <f>SUMIFS([1]BV_Data_An_Cour!$AM:$AM,[1]BV_Data_An_Cour!$AP:$AP,$B458,[1]BV_Data_An_Cour!$AQ:$AQ,$C458,[1]BV_Data_An_Cour!$AR:$AR,$L$2)</f>
        <v>0</v>
      </c>
      <c r="M458" s="26"/>
      <c r="N458" s="39"/>
      <c r="O458" s="26"/>
      <c r="P458" s="7"/>
      <c r="Q458" s="39">
        <f>SUMIFS([1]BV_Data_An_Prec!$AM:$AM,[1]BV_Data_An_Prec!$AP:$AP,$B458,[1]BV_Data_An_Prec!$AQ:$AQ,$C458,[1]BV_Data_An_Prec!$AR:$AR,$L$2)</f>
        <v>0</v>
      </c>
      <c r="R458" s="26"/>
      <c r="S458" s="39">
        <f t="shared" si="68"/>
        <v>0</v>
      </c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spans="1:40" ht="15.75" customHeight="1">
      <c r="A459" s="410" t="s">
        <v>472</v>
      </c>
      <c r="B459" s="7" t="s">
        <v>459</v>
      </c>
      <c r="C459" s="272" t="s">
        <v>44</v>
      </c>
      <c r="D459" s="54"/>
      <c r="E459" s="7"/>
      <c r="F459" s="31">
        <f>+INDEX('[1]Budget original'!$A$2:$AO$501,MATCH($A459,'[1]Budget original'!$A$2:$A$501,0),MATCH(F$2,'[1]Budget original'!$A$2:$AO$2,0))</f>
        <v>0</v>
      </c>
      <c r="G459" s="56"/>
      <c r="H459" s="7"/>
      <c r="I459" s="31"/>
      <c r="J459" s="26"/>
      <c r="K459" s="7"/>
      <c r="L459" s="61">
        <f>SUMIFS([1]BV_Data_An_Cour!$AM:$AM,[1]BV_Data_An_Cour!$AP:$AP,$B459,[1]BV_Data_An_Cour!$AQ:$AQ,$C459,[1]BV_Data_An_Cour!$AR:$AR,$L$2)</f>
        <v>5220.0199999999995</v>
      </c>
      <c r="M459" s="26"/>
      <c r="N459" s="39"/>
      <c r="O459" s="26"/>
      <c r="P459" s="7"/>
      <c r="Q459" s="61">
        <f>SUMIFS([1]BV_Data_An_Prec!$AM:$AM,[1]BV_Data_An_Prec!$AP:$AP,$B459,[1]BV_Data_An_Prec!$AQ:$AQ,$C459,[1]BV_Data_An_Prec!$AR:$AR,$L$2)</f>
        <v>0</v>
      </c>
      <c r="R459" s="26"/>
      <c r="S459" s="39">
        <f t="shared" si="68"/>
        <v>5220.0199999999995</v>
      </c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spans="1:40" ht="15.75" customHeight="1">
      <c r="A460" s="410" t="s">
        <v>473</v>
      </c>
      <c r="B460" s="7" t="s">
        <v>459</v>
      </c>
      <c r="C460" s="271" t="s">
        <v>45</v>
      </c>
      <c r="D460" s="68"/>
      <c r="E460" s="69"/>
      <c r="F460" s="19">
        <f>+INDEX('[1]Budget original'!$A$2:$AO$501,MATCH($A460,'[1]Budget original'!$A$2:$A$501,0),MATCH(F$2,'[1]Budget original'!$A$2:$AO$2,0))</f>
        <v>0</v>
      </c>
      <c r="G460" s="70"/>
      <c r="H460" s="69"/>
      <c r="I460" s="19"/>
      <c r="J460" s="71"/>
      <c r="K460" s="69"/>
      <c r="L460" s="39">
        <f>SUMIFS([1]BV_Data_An_Cour!$AM:$AM,[1]BV_Data_An_Cour!$AP:$AP,$B460,[1]BV_Data_An_Cour!$AQ:$AQ,$C460,[1]BV_Data_An_Cour!$AR:$AR,$L$2)</f>
        <v>5081.0700000000006</v>
      </c>
      <c r="M460" s="71"/>
      <c r="N460" s="72"/>
      <c r="O460" s="71"/>
      <c r="P460" s="69"/>
      <c r="Q460" s="39">
        <f>SUMIFS([1]BV_Data_An_Prec!$AM:$AM,[1]BV_Data_An_Prec!$AP:$AP,$B460,[1]BV_Data_An_Prec!$AQ:$AQ,$C460,[1]BV_Data_An_Prec!$AR:$AR,$L$2)</f>
        <v>0</v>
      </c>
      <c r="R460" s="71"/>
      <c r="S460" s="72">
        <f t="shared" si="68"/>
        <v>5081.0700000000006</v>
      </c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spans="1:40" ht="15.75" customHeight="1">
      <c r="A461" s="410" t="s">
        <v>474</v>
      </c>
      <c r="B461" s="7" t="s">
        <v>459</v>
      </c>
      <c r="C461" s="271" t="s">
        <v>46</v>
      </c>
      <c r="D461" s="54"/>
      <c r="E461" s="7"/>
      <c r="F461" s="19">
        <f>+INDEX('[1]Budget original'!$A$2:$AO$501,MATCH($A461,'[1]Budget original'!$A$2:$A$501,0),MATCH(F$2,'[1]Budget original'!$A$2:$AO$2,0))</f>
        <v>0</v>
      </c>
      <c r="G461" s="56"/>
      <c r="H461" s="7"/>
      <c r="I461" s="19"/>
      <c r="J461" s="26"/>
      <c r="K461" s="7"/>
      <c r="L461" s="39">
        <f>SUMIFS([1]BV_Data_An_Cour!$AM:$AM,[1]BV_Data_An_Cour!$AP:$AP,$B461,[1]BV_Data_An_Cour!$AQ:$AQ,$C461,[1]BV_Data_An_Cour!$AR:$AR,$L$2)</f>
        <v>1069.58</v>
      </c>
      <c r="M461" s="26"/>
      <c r="N461" s="39"/>
      <c r="O461" s="26"/>
      <c r="P461" s="7"/>
      <c r="Q461" s="39">
        <f>SUMIFS([1]BV_Data_An_Prec!$AM:$AM,[1]BV_Data_An_Prec!$AP:$AP,$B461,[1]BV_Data_An_Prec!$AQ:$AQ,$C461,[1]BV_Data_An_Prec!$AR:$AR,$L$2)</f>
        <v>0</v>
      </c>
      <c r="R461" s="26"/>
      <c r="S461" s="39">
        <f t="shared" si="68"/>
        <v>1069.58</v>
      </c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spans="1:40" ht="15.75" customHeight="1">
      <c r="A462" s="410" t="s">
        <v>475</v>
      </c>
      <c r="B462" s="7" t="s">
        <v>459</v>
      </c>
      <c r="C462" s="271" t="s">
        <v>47</v>
      </c>
      <c r="D462" s="54"/>
      <c r="E462" s="7"/>
      <c r="F462" s="19">
        <f>+INDEX('[1]Budget original'!$A$2:$AO$501,MATCH($A462,'[1]Budget original'!$A$2:$A$501,0),MATCH(F$2,'[1]Budget original'!$A$2:$AO$2,0))</f>
        <v>0</v>
      </c>
      <c r="G462" s="56"/>
      <c r="H462" s="7"/>
      <c r="I462" s="19"/>
      <c r="J462" s="26"/>
      <c r="K462" s="7"/>
      <c r="L462" s="39">
        <f>SUMIFS([1]BV_Data_An_Cour!$AM:$AM,[1]BV_Data_An_Cour!$AP:$AP,$B462,[1]BV_Data_An_Cour!$AQ:$AQ,$C462,[1]BV_Data_An_Cour!$AR:$AR,$L$2)</f>
        <v>669.43000000000006</v>
      </c>
      <c r="M462" s="26"/>
      <c r="N462" s="39"/>
      <c r="O462" s="26"/>
      <c r="P462" s="7"/>
      <c r="Q462" s="39">
        <f>SUMIFS([1]BV_Data_An_Prec!$AM:$AM,[1]BV_Data_An_Prec!$AP:$AP,$B462,[1]BV_Data_An_Prec!$AQ:$AQ,$C462,[1]BV_Data_An_Prec!$AR:$AR,$L$2)</f>
        <v>0</v>
      </c>
      <c r="R462" s="26"/>
      <c r="S462" s="39">
        <f t="shared" si="68"/>
        <v>669.43000000000006</v>
      </c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spans="1:40" ht="20.399999999999999" hidden="1" customHeight="1">
      <c r="A463" s="410" t="s">
        <v>471</v>
      </c>
      <c r="B463" s="7" t="s">
        <v>459</v>
      </c>
      <c r="C463" s="26" t="s">
        <v>19</v>
      </c>
      <c r="D463" s="57"/>
      <c r="E463" s="73"/>
      <c r="F463" s="19">
        <f>+INDEX('[1]Budget original'!$A$2:$AO$501,MATCH($A463,'[1]Budget original'!$A$2:$A$501,0),MATCH(F$2,'[1]Budget original'!$A$2:$AO$2,0))</f>
        <v>0</v>
      </c>
      <c r="G463" s="59"/>
      <c r="H463" s="73"/>
      <c r="I463" s="19"/>
      <c r="J463" s="14"/>
      <c r="K463" s="73"/>
      <c r="L463" s="39">
        <f>-SUMIFS([1]BV_Data_An_Cour!$AM:$AM,[1]BV_Data_An_Cour!$AP:$AP,$B463,[1]BV_Data_An_Cour!$AQ:$AQ,$C463,[1]BV_Data_An_Cour!$AR:$AR,$L$2)</f>
        <v>0</v>
      </c>
      <c r="M463" s="14"/>
      <c r="N463" s="61"/>
      <c r="O463" s="14"/>
      <c r="P463" s="73"/>
      <c r="Q463" s="39">
        <f>-SUMIFS([1]BV_Data_An_Prec!$AM:$AM,[1]BV_Data_An_Prec!$AP:$AP,$B463,[1]BV_Data_An_Prec!$AQ:$AQ,$C463,[1]BV_Data_An_Prec!$AR:$AR,$L$2)</f>
        <v>0</v>
      </c>
      <c r="R463" s="14"/>
      <c r="S463" s="61">
        <f t="shared" si="68"/>
        <v>0</v>
      </c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spans="1:40" ht="18.600000000000001" customHeight="1">
      <c r="A464" s="410" t="s">
        <v>476</v>
      </c>
      <c r="B464" s="7" t="s">
        <v>459</v>
      </c>
      <c r="C464" s="139" t="s">
        <v>48</v>
      </c>
      <c r="D464" s="62" t="s">
        <v>38</v>
      </c>
      <c r="E464" s="63">
        <f>IFERROR(F464/F$448,0)</f>
        <v>0</v>
      </c>
      <c r="F464" s="64">
        <f>+SUM(F452:F463)</f>
        <v>0</v>
      </c>
      <c r="G464" s="65"/>
      <c r="H464" s="63"/>
      <c r="I464" s="64"/>
      <c r="J464" s="65" t="s">
        <v>38</v>
      </c>
      <c r="K464" s="63">
        <f>IFERROR(L464/L$448,0)</f>
        <v>0.34301302289991065</v>
      </c>
      <c r="L464" s="64">
        <f>+SUM(L452:L463)</f>
        <v>22969.379999999997</v>
      </c>
      <c r="M464" s="66"/>
      <c r="N464" s="64"/>
      <c r="O464" s="65" t="s">
        <v>38</v>
      </c>
      <c r="P464" s="63">
        <f>IFERROR(Q464/Q$448,0)</f>
        <v>0</v>
      </c>
      <c r="Q464" s="64">
        <f>+SUM(Q452:Q463)</f>
        <v>0</v>
      </c>
      <c r="R464" s="67"/>
      <c r="S464" s="64">
        <f t="shared" si="68"/>
        <v>22969.379999999997</v>
      </c>
      <c r="T464" s="7"/>
      <c r="U464" s="6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spans="1:40" ht="15.75" customHeight="1">
      <c r="A465" s="410" t="s">
        <v>477</v>
      </c>
      <c r="B465" s="7" t="s">
        <v>459</v>
      </c>
      <c r="C465" s="329" t="s">
        <v>49</v>
      </c>
      <c r="D465" s="54"/>
      <c r="E465" s="7"/>
      <c r="F465" s="19">
        <f>+INDEX('[1]Budget original'!$A$2:$AO$501,MATCH($A465,'[1]Budget original'!$A$2:$A$501,0),MATCH(F$2,'[1]Budget original'!$A$2:$AO$2,0))</f>
        <v>0</v>
      </c>
      <c r="G465" s="56"/>
      <c r="H465" s="7"/>
      <c r="I465" s="19"/>
      <c r="J465" s="26"/>
      <c r="K465" s="7"/>
      <c r="L465" s="39">
        <f>SUMIFS([1]BV_Data_An_Cour!$AM:$AM,[1]BV_Data_An_Cour!$AP:$AP,$B465,[1]BV_Data_An_Cour!$AQ:$AQ,$C465,[1]BV_Data_An_Cour!$AR:$AR,$L$2)</f>
        <v>0</v>
      </c>
      <c r="M465" s="26"/>
      <c r="N465" s="39"/>
      <c r="O465" s="26"/>
      <c r="P465" s="7"/>
      <c r="Q465" s="39">
        <f>SUMIFS([1]BV_Data_An_Prec!$AM:$AM,[1]BV_Data_An_Prec!$AP:$AP,$B465,[1]BV_Data_An_Prec!$AQ:$AQ,$C465,[1]BV_Data_An_Prec!$AR:$AR,$L$2)</f>
        <v>0</v>
      </c>
      <c r="R465" s="26"/>
      <c r="S465" s="39">
        <f t="shared" si="68"/>
        <v>0</v>
      </c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spans="1:40" ht="15.75" customHeight="1">
      <c r="A466" s="410" t="s">
        <v>478</v>
      </c>
      <c r="B466" s="7" t="s">
        <v>459</v>
      </c>
      <c r="C466" s="271" t="s">
        <v>50</v>
      </c>
      <c r="D466" s="54"/>
      <c r="E466" s="7"/>
      <c r="F466" s="19">
        <f>+INDEX('[1]Budget original'!$A$2:$AO$501,MATCH($A466,'[1]Budget original'!$A$2:$A$501,0),MATCH(F$2,'[1]Budget original'!$A$2:$AO$2,0))</f>
        <v>0</v>
      </c>
      <c r="G466" s="56"/>
      <c r="H466" s="7"/>
      <c r="I466" s="19"/>
      <c r="J466" s="26"/>
      <c r="K466" s="7"/>
      <c r="L466" s="39">
        <f>SUMIFS([1]BV_Data_An_Cour!$AM:$AM,[1]BV_Data_An_Cour!$AP:$AP,$B466,[1]BV_Data_An_Cour!$AQ:$AQ,$C466,[1]BV_Data_An_Cour!$AR:$AR,$L$2)</f>
        <v>0</v>
      </c>
      <c r="M466" s="26"/>
      <c r="N466" s="39"/>
      <c r="O466" s="26"/>
      <c r="P466" s="7"/>
      <c r="Q466" s="39">
        <f>SUMIFS([1]BV_Data_An_Prec!$AM:$AM,[1]BV_Data_An_Prec!$AP:$AP,$B466,[1]BV_Data_An_Prec!$AQ:$AQ,$C466,[1]BV_Data_An_Prec!$AR:$AR,$L$2)</f>
        <v>0</v>
      </c>
      <c r="R466" s="26"/>
      <c r="S466" s="39">
        <f t="shared" si="68"/>
        <v>0</v>
      </c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spans="1:40" ht="15.75" customHeight="1">
      <c r="A467" s="410" t="s">
        <v>479</v>
      </c>
      <c r="B467" s="7" t="s">
        <v>459</v>
      </c>
      <c r="C467" s="272" t="s">
        <v>51</v>
      </c>
      <c r="D467" s="57"/>
      <c r="E467" s="73"/>
      <c r="F467" s="31">
        <f>+INDEX('[1]Budget original'!$A$2:$AO$501,MATCH($A467,'[1]Budget original'!$A$2:$A$501,0),MATCH(F$2,'[1]Budget original'!$A$2:$AO$2,0))</f>
        <v>0</v>
      </c>
      <c r="G467" s="59"/>
      <c r="H467" s="73"/>
      <c r="I467" s="31"/>
      <c r="J467" s="14"/>
      <c r="K467" s="73"/>
      <c r="L467" s="61">
        <f>SUMIFS([1]BV_Data_An_Cour!$AM:$AM,[1]BV_Data_An_Cour!$AP:$AP,$B467,[1]BV_Data_An_Cour!$AQ:$AQ,$C467,[1]BV_Data_An_Cour!$AR:$AR,$L$2)</f>
        <v>0</v>
      </c>
      <c r="M467" s="14"/>
      <c r="N467" s="61"/>
      <c r="O467" s="14"/>
      <c r="P467" s="73"/>
      <c r="Q467" s="61">
        <f>SUMIFS([1]BV_Data_An_Prec!$AM:$AM,[1]BV_Data_An_Prec!$AP:$AP,$B467,[1]BV_Data_An_Prec!$AQ:$AQ,$C467,[1]BV_Data_An_Prec!$AR:$AR,$L$2)</f>
        <v>0</v>
      </c>
      <c r="R467" s="14"/>
      <c r="S467" s="61">
        <f t="shared" si="68"/>
        <v>0</v>
      </c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spans="1:40" ht="15.75" customHeight="1">
      <c r="A468" s="410" t="s">
        <v>480</v>
      </c>
      <c r="B468" s="7" t="s">
        <v>459</v>
      </c>
      <c r="C468" s="271" t="s">
        <v>52</v>
      </c>
      <c r="D468" s="54"/>
      <c r="E468" s="7"/>
      <c r="F468" s="19">
        <f>+INDEX('[1]Budget original'!$A$2:$AO$501,MATCH($A468,'[1]Budget original'!$A$2:$A$501,0),MATCH(F$2,'[1]Budget original'!$A$2:$AO$2,0))</f>
        <v>0</v>
      </c>
      <c r="G468" s="56"/>
      <c r="H468" s="7"/>
      <c r="I468" s="19"/>
      <c r="J468" s="26"/>
      <c r="K468" s="7"/>
      <c r="L468" s="39">
        <f>SUMIFS([1]BV_Data_An_Cour!$AM:$AM,[1]BV_Data_An_Cour!$AP:$AP,$B468,[1]BV_Data_An_Cour!$AQ:$AQ,$C468,[1]BV_Data_An_Cour!$AR:$AR,$L$2)</f>
        <v>0</v>
      </c>
      <c r="M468" s="26"/>
      <c r="N468" s="39"/>
      <c r="O468" s="26"/>
      <c r="P468" s="7"/>
      <c r="Q468" s="39">
        <f>SUMIFS([1]BV_Data_An_Prec!$AM:$AM,[1]BV_Data_An_Prec!$AP:$AP,$B468,[1]BV_Data_An_Prec!$AQ:$AQ,$C468,[1]BV_Data_An_Prec!$AR:$AR,$L$2)</f>
        <v>0</v>
      </c>
      <c r="R468" s="26"/>
      <c r="S468" s="39">
        <f t="shared" si="68"/>
        <v>0</v>
      </c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spans="1:40" ht="15.75" customHeight="1">
      <c r="A469" s="410" t="s">
        <v>481</v>
      </c>
      <c r="B469" s="7" t="s">
        <v>459</v>
      </c>
      <c r="C469" s="271" t="s">
        <v>53</v>
      </c>
      <c r="D469" s="54"/>
      <c r="E469" s="7"/>
      <c r="F469" s="19">
        <f>+INDEX('[1]Budget original'!$A$2:$AO$501,MATCH($A469,'[1]Budget original'!$A$2:$A$501,0),MATCH(F$2,'[1]Budget original'!$A$2:$AO$2,0))</f>
        <v>0</v>
      </c>
      <c r="G469" s="56"/>
      <c r="H469" s="7"/>
      <c r="I469" s="19"/>
      <c r="J469" s="26"/>
      <c r="K469" s="7"/>
      <c r="L469" s="39">
        <f>SUMIFS([1]BV_Data_An_Cour!$AM:$AM,[1]BV_Data_An_Cour!$AP:$AP,$B469,[1]BV_Data_An_Cour!$AQ:$AQ,$C469,[1]BV_Data_An_Cour!$AR:$AR,$L$2)</f>
        <v>0</v>
      </c>
      <c r="M469" s="26"/>
      <c r="N469" s="39"/>
      <c r="O469" s="26"/>
      <c r="P469" s="7"/>
      <c r="Q469" s="39">
        <f>SUMIFS([1]BV_Data_An_Prec!$AM:$AM,[1]BV_Data_An_Prec!$AP:$AP,$B469,[1]BV_Data_An_Prec!$AQ:$AQ,$C469,[1]BV_Data_An_Prec!$AR:$AR,$L$2)</f>
        <v>0</v>
      </c>
      <c r="R469" s="26"/>
      <c r="S469" s="39">
        <f t="shared" si="68"/>
        <v>0</v>
      </c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spans="1:40" ht="15.75" customHeight="1">
      <c r="A470" s="410" t="s">
        <v>482</v>
      </c>
      <c r="B470" s="7" t="s">
        <v>459</v>
      </c>
      <c r="C470" s="271" t="s">
        <v>54</v>
      </c>
      <c r="D470" s="57"/>
      <c r="E470" s="73"/>
      <c r="F470" s="31">
        <f>+INDEX('[1]Budget original'!$A$2:$AO$501,MATCH($A470,'[1]Budget original'!$A$2:$A$501,0),MATCH(F$2,'[1]Budget original'!$A$2:$AO$2,0))</f>
        <v>0</v>
      </c>
      <c r="G470" s="59"/>
      <c r="H470" s="73"/>
      <c r="I470" s="31"/>
      <c r="J470" s="14"/>
      <c r="K470" s="73"/>
      <c r="L470" s="61">
        <f>SUMIFS([1]BV_Data_An_Cour!$AM:$AM,[1]BV_Data_An_Cour!$AP:$AP,$B470,[1]BV_Data_An_Cour!$AQ:$AQ,$C470,[1]BV_Data_An_Cour!$AR:$AR,$L$2)</f>
        <v>0</v>
      </c>
      <c r="M470" s="14"/>
      <c r="N470" s="61"/>
      <c r="O470" s="14"/>
      <c r="P470" s="73"/>
      <c r="Q470" s="61">
        <f>SUMIFS([1]BV_Data_An_Prec!$AM:$AM,[1]BV_Data_An_Prec!$AP:$AP,$B470,[1]BV_Data_An_Prec!$AQ:$AQ,$C470,[1]BV_Data_An_Prec!$AR:$AR,$L$2)</f>
        <v>0</v>
      </c>
      <c r="R470" s="14"/>
      <c r="S470" s="61">
        <f t="shared" si="68"/>
        <v>0</v>
      </c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spans="1:40" ht="20.25" customHeight="1">
      <c r="A471" s="410" t="s">
        <v>483</v>
      </c>
      <c r="B471" s="7" t="s">
        <v>459</v>
      </c>
      <c r="C471" s="329" t="s">
        <v>55</v>
      </c>
      <c r="D471" s="54"/>
      <c r="E471" s="7"/>
      <c r="F471" s="19">
        <f>+INDEX('[1]Budget original'!$A$2:$AO$501,MATCH($A471,'[1]Budget original'!$A$2:$A$501,0),MATCH(F$2,'[1]Budget original'!$A$2:$AO$2,0))</f>
        <v>0</v>
      </c>
      <c r="G471" s="56"/>
      <c r="H471" s="7"/>
      <c r="I471" s="19"/>
      <c r="J471" s="26"/>
      <c r="K471" s="7"/>
      <c r="L471" s="39">
        <f>SUMIFS([1]BV_Data_An_Cour!$AM:$AM,[1]BV_Data_An_Cour!$AP:$AP,$B471,[1]BV_Data_An_Cour!$AQ:$AQ,$C471,[1]BV_Data_An_Cour!$AR:$AR,$L$2)</f>
        <v>0</v>
      </c>
      <c r="M471" s="26"/>
      <c r="N471" s="39"/>
      <c r="O471" s="26"/>
      <c r="P471" s="7"/>
      <c r="Q471" s="39">
        <f>SUMIFS([1]BV_Data_An_Prec!$AM:$AM,[1]BV_Data_An_Prec!$AP:$AP,$B471,[1]BV_Data_An_Prec!$AQ:$AQ,$C471,[1]BV_Data_An_Prec!$AR:$AR,$L$2)</f>
        <v>0</v>
      </c>
      <c r="R471" s="26"/>
      <c r="S471" s="39">
        <f t="shared" si="68"/>
        <v>0</v>
      </c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spans="1:40" ht="20.25" customHeight="1">
      <c r="A472" s="410" t="s">
        <v>484</v>
      </c>
      <c r="B472" s="7" t="s">
        <v>459</v>
      </c>
      <c r="C472" s="271" t="s">
        <v>56</v>
      </c>
      <c r="D472" s="54"/>
      <c r="E472" s="7"/>
      <c r="F472" s="19">
        <f>+INDEX('[1]Budget original'!$A$2:$AO$501,MATCH($A472,'[1]Budget original'!$A$2:$A$501,0),MATCH(F$2,'[1]Budget original'!$A$2:$AO$2,0))</f>
        <v>0</v>
      </c>
      <c r="G472" s="56"/>
      <c r="H472" s="7"/>
      <c r="I472" s="19"/>
      <c r="J472" s="26"/>
      <c r="K472" s="7"/>
      <c r="L472" s="39">
        <f>SUMIFS([1]BV_Data_An_Cour!$AM:$AM,[1]BV_Data_An_Cour!$AP:$AP,$B472,[1]BV_Data_An_Cour!$AQ:$AQ,$C472,[1]BV_Data_An_Cour!$AR:$AR,$L$2)</f>
        <v>0</v>
      </c>
      <c r="M472" s="26"/>
      <c r="N472" s="39"/>
      <c r="O472" s="26"/>
      <c r="P472" s="7"/>
      <c r="Q472" s="39">
        <f>SUMIFS([1]BV_Data_An_Prec!$AM:$AM,[1]BV_Data_An_Prec!$AP:$AP,$B472,[1]BV_Data_An_Prec!$AQ:$AQ,$C472,[1]BV_Data_An_Prec!$AR:$AR,$L$2)</f>
        <v>0</v>
      </c>
      <c r="R472" s="26"/>
      <c r="S472" s="39">
        <f t="shared" si="68"/>
        <v>0</v>
      </c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spans="1:40" ht="20.25" customHeight="1">
      <c r="A473" s="410" t="s">
        <v>485</v>
      </c>
      <c r="B473" s="7" t="s">
        <v>459</v>
      </c>
      <c r="C473" s="271" t="s">
        <v>57</v>
      </c>
      <c r="D473" s="54"/>
      <c r="E473" s="7"/>
      <c r="F473" s="19">
        <f>+INDEX('[1]Budget original'!$A$2:$AO$501,MATCH($A473,'[1]Budget original'!$A$2:$A$501,0),MATCH(F$2,'[1]Budget original'!$A$2:$AO$2,0))</f>
        <v>0</v>
      </c>
      <c r="G473" s="56"/>
      <c r="H473" s="7"/>
      <c r="I473" s="19"/>
      <c r="J473" s="26"/>
      <c r="K473" s="7"/>
      <c r="L473" s="39">
        <f>SUMIFS([1]BV_Data_An_Cour!$AM:$AM,[1]BV_Data_An_Cour!$AP:$AP,$B473,[1]BV_Data_An_Cour!$AQ:$AQ,$C473,[1]BV_Data_An_Cour!$AR:$AR,$L$2)</f>
        <v>0</v>
      </c>
      <c r="M473" s="26"/>
      <c r="N473" s="39"/>
      <c r="O473" s="26"/>
      <c r="P473" s="7"/>
      <c r="Q473" s="39">
        <f>SUMIFS([1]BV_Data_An_Prec!$AM:$AM,[1]BV_Data_An_Prec!$AP:$AP,$B473,[1]BV_Data_An_Prec!$AQ:$AQ,$C473,[1]BV_Data_An_Prec!$AR:$AR,$L$2)</f>
        <v>0</v>
      </c>
      <c r="R473" s="26"/>
      <c r="S473" s="39">
        <f t="shared" si="68"/>
        <v>0</v>
      </c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spans="1:40" ht="20.25" customHeight="1">
      <c r="A474" s="410" t="s">
        <v>486</v>
      </c>
      <c r="B474" s="7" t="s">
        <v>459</v>
      </c>
      <c r="C474" s="271" t="s">
        <v>58</v>
      </c>
      <c r="D474" s="54"/>
      <c r="E474" s="7"/>
      <c r="F474" s="19">
        <f>+INDEX('[1]Budget original'!$A$2:$AO$501,MATCH($A474,'[1]Budget original'!$A$2:$A$501,0),MATCH(F$2,'[1]Budget original'!$A$2:$AO$2,0))</f>
        <v>0</v>
      </c>
      <c r="G474" s="56"/>
      <c r="H474" s="7"/>
      <c r="I474" s="19"/>
      <c r="J474" s="26"/>
      <c r="K474" s="7"/>
      <c r="L474" s="39">
        <f>SUMIFS([1]BV_Data_An_Cour!$AM:$AM,[1]BV_Data_An_Cour!$AP:$AP,$B474,[1]BV_Data_An_Cour!$AQ:$AQ,$C474,[1]BV_Data_An_Cour!$AR:$AR,$L$2)</f>
        <v>0</v>
      </c>
      <c r="M474" s="26"/>
      <c r="N474" s="39"/>
      <c r="O474" s="26"/>
      <c r="P474" s="7"/>
      <c r="Q474" s="39">
        <f>SUMIFS([1]BV_Data_An_Prec!$AM:$AM,[1]BV_Data_An_Prec!$AP:$AP,$B474,[1]BV_Data_An_Prec!$AQ:$AQ,$C474,[1]BV_Data_An_Prec!$AR:$AR,$L$2)</f>
        <v>0</v>
      </c>
      <c r="R474" s="26"/>
      <c r="S474" s="39">
        <f t="shared" si="68"/>
        <v>0</v>
      </c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spans="1:40" ht="20.25" customHeight="1">
      <c r="A475" s="410" t="s">
        <v>487</v>
      </c>
      <c r="B475" s="7" t="s">
        <v>459</v>
      </c>
      <c r="C475" s="271" t="s">
        <v>59</v>
      </c>
      <c r="D475" s="54"/>
      <c r="E475" s="7"/>
      <c r="F475" s="19">
        <f>+INDEX('[1]Budget original'!$A$2:$AO$501,MATCH($A475,'[1]Budget original'!$A$2:$A$501,0),MATCH(F$2,'[1]Budget original'!$A$2:$AO$2,0))</f>
        <v>0</v>
      </c>
      <c r="G475" s="56"/>
      <c r="H475" s="7"/>
      <c r="I475" s="19"/>
      <c r="J475" s="26"/>
      <c r="K475" s="7"/>
      <c r="L475" s="39">
        <f>SUMIFS([1]BV_Data_An_Cour!$AM:$AM,[1]BV_Data_An_Cour!$AP:$AP,$B475,[1]BV_Data_An_Cour!$AQ:$AQ,$C475,[1]BV_Data_An_Cour!$AR:$AR,$L$2)</f>
        <v>0</v>
      </c>
      <c r="M475" s="26"/>
      <c r="N475" s="39"/>
      <c r="O475" s="26"/>
      <c r="P475" s="7"/>
      <c r="Q475" s="39">
        <f>SUMIFS([1]BV_Data_An_Prec!$AM:$AM,[1]BV_Data_An_Prec!$AP:$AP,$B475,[1]BV_Data_An_Prec!$AQ:$AQ,$C475,[1]BV_Data_An_Prec!$AR:$AR,$L$2)</f>
        <v>0</v>
      </c>
      <c r="R475" s="26"/>
      <c r="S475" s="39">
        <f t="shared" si="68"/>
        <v>0</v>
      </c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spans="1:40" ht="20.25" customHeight="1">
      <c r="A476" s="410" t="s">
        <v>488</v>
      </c>
      <c r="B476" s="7" t="s">
        <v>459</v>
      </c>
      <c r="C476" s="271" t="s">
        <v>60</v>
      </c>
      <c r="D476" s="54"/>
      <c r="E476" s="7"/>
      <c r="F476" s="19">
        <f>+INDEX('[1]Budget original'!$A$2:$AO$501,MATCH($A476,'[1]Budget original'!$A$2:$A$501,0),MATCH(F$2,'[1]Budget original'!$A$2:$AO$2,0))</f>
        <v>0</v>
      </c>
      <c r="G476" s="56"/>
      <c r="H476" s="7"/>
      <c r="I476" s="19"/>
      <c r="J476" s="26"/>
      <c r="K476" s="7"/>
      <c r="L476" s="39">
        <f>SUMIFS([1]BV_Data_An_Cour!$AM:$AM,[1]BV_Data_An_Cour!$AP:$AP,$B476,[1]BV_Data_An_Cour!$AQ:$AQ,$C476,[1]BV_Data_An_Cour!$AR:$AR,$L$2)</f>
        <v>0</v>
      </c>
      <c r="M476" s="26"/>
      <c r="N476" s="39"/>
      <c r="O476" s="26"/>
      <c r="P476" s="7"/>
      <c r="Q476" s="39">
        <f>SUMIFS([1]BV_Data_An_Prec!$AM:$AM,[1]BV_Data_An_Prec!$AP:$AP,$B476,[1]BV_Data_An_Prec!$AQ:$AQ,$C476,[1]BV_Data_An_Prec!$AR:$AR,$L$2)</f>
        <v>0</v>
      </c>
      <c r="R476" s="26"/>
      <c r="S476" s="39">
        <f t="shared" si="68"/>
        <v>0</v>
      </c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spans="1:40" ht="20.25" customHeight="1">
      <c r="A477" s="410" t="s">
        <v>489</v>
      </c>
      <c r="B477" s="7" t="s">
        <v>459</v>
      </c>
      <c r="C477" s="271" t="s">
        <v>61</v>
      </c>
      <c r="D477" s="54"/>
      <c r="E477" s="7"/>
      <c r="F477" s="19">
        <f>+INDEX('[1]Budget original'!$A$2:$AO$501,MATCH($A477,'[1]Budget original'!$A$2:$A$501,0),MATCH(F$2,'[1]Budget original'!$A$2:$AO$2,0))</f>
        <v>0</v>
      </c>
      <c r="G477" s="56"/>
      <c r="H477" s="7"/>
      <c r="I477" s="19"/>
      <c r="J477" s="26"/>
      <c r="K477" s="7"/>
      <c r="L477" s="39">
        <f>SUMIFS([1]BV_Data_An_Cour!$AM:$AM,[1]BV_Data_An_Cour!$AP:$AP,$B477,[1]BV_Data_An_Cour!$AQ:$AQ,$C477,[1]BV_Data_An_Cour!$AR:$AR,$L$2)</f>
        <v>2256.2399999999998</v>
      </c>
      <c r="M477" s="26"/>
      <c r="N477" s="39"/>
      <c r="O477" s="26"/>
      <c r="P477" s="7"/>
      <c r="Q477" s="39">
        <f>SUMIFS([1]BV_Data_An_Prec!$AM:$AM,[1]BV_Data_An_Prec!$AP:$AP,$B477,[1]BV_Data_An_Prec!$AQ:$AQ,$C477,[1]BV_Data_An_Prec!$AR:$AR,$L$2)</f>
        <v>0</v>
      </c>
      <c r="R477" s="26"/>
      <c r="S477" s="39">
        <f t="shared" si="68"/>
        <v>2256.2399999999998</v>
      </c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spans="1:40" ht="19.95" customHeight="1">
      <c r="A478" s="410" t="s">
        <v>490</v>
      </c>
      <c r="B478" s="7" t="s">
        <v>459</v>
      </c>
      <c r="C478" s="271" t="s">
        <v>62</v>
      </c>
      <c r="D478" s="54"/>
      <c r="E478" s="7"/>
      <c r="F478" s="19">
        <f>+INDEX('[1]Budget original'!$A$2:$AO$501,MATCH($A478,'[1]Budget original'!$A$2:$A$501,0),MATCH(F$2,'[1]Budget original'!$A$2:$AO$2,0))</f>
        <v>0</v>
      </c>
      <c r="G478" s="56"/>
      <c r="H478" s="7"/>
      <c r="I478" s="19"/>
      <c r="J478" s="26"/>
      <c r="K478" s="7"/>
      <c r="L478" s="39">
        <f>SUMIFS([1]BV_Data_An_Cour!$AM:$AM,[1]BV_Data_An_Cour!$AP:$AP,$B478,[1]BV_Data_An_Cour!$AQ:$AQ,$C478,[1]BV_Data_An_Cour!$AR:$AR,$L$2)</f>
        <v>0</v>
      </c>
      <c r="M478" s="26"/>
      <c r="N478" s="39"/>
      <c r="O478" s="26"/>
      <c r="P478" s="7"/>
      <c r="Q478" s="39">
        <f>SUMIFS([1]BV_Data_An_Prec!$AM:$AM,[1]BV_Data_An_Prec!$AP:$AP,$B478,[1]BV_Data_An_Prec!$AQ:$AQ,$C478,[1]BV_Data_An_Prec!$AR:$AR,$L$2)</f>
        <v>0</v>
      </c>
      <c r="R478" s="26"/>
      <c r="S478" s="39">
        <f t="shared" si="68"/>
        <v>0</v>
      </c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spans="1:40" ht="20.399999999999999" hidden="1" customHeight="1">
      <c r="A479" s="410" t="s">
        <v>471</v>
      </c>
      <c r="B479" s="7" t="s">
        <v>459</v>
      </c>
      <c r="C479" s="271" t="s">
        <v>19</v>
      </c>
      <c r="D479" s="54"/>
      <c r="E479" s="7"/>
      <c r="F479" s="19">
        <f>+INDEX('[1]Budget original'!$A$2:$AO$501,MATCH($A479,'[1]Budget original'!$A$2:$A$501,0),MATCH(F$2,'[1]Budget original'!$A$2:$AO$2,0))</f>
        <v>0</v>
      </c>
      <c r="G479" s="56"/>
      <c r="H479" s="7"/>
      <c r="I479" s="19"/>
      <c r="J479" s="26"/>
      <c r="K479" s="7"/>
      <c r="L479" s="39">
        <f>-SUMIFS([1]BV_Data_An_Cour!$AM:$AM,[1]BV_Data_An_Cour!$AP:$AP,$B479,[1]BV_Data_An_Cour!$AQ:$AQ,$C479,[1]BV_Data_An_Cour!$AR:$AR,$L$2)</f>
        <v>0</v>
      </c>
      <c r="M479" s="26"/>
      <c r="N479" s="39"/>
      <c r="O479" s="26"/>
      <c r="P479" s="7"/>
      <c r="Q479" s="39">
        <f>-SUMIFS([1]BV_Data_An_Prec!$AM:$AM,[1]BV_Data_An_Prec!$AP:$AP,$B479,[1]BV_Data_An_Prec!$AQ:$AQ,$C479,[1]BV_Data_An_Prec!$AR:$AR,$L$2)</f>
        <v>0</v>
      </c>
      <c r="R479" s="26"/>
      <c r="S479" s="39">
        <f t="shared" si="68"/>
        <v>0</v>
      </c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spans="1:40" ht="20.399999999999999" hidden="1" customHeight="1">
      <c r="A480" s="410" t="s">
        <v>471</v>
      </c>
      <c r="B480" s="7" t="s">
        <v>459</v>
      </c>
      <c r="C480" s="271" t="s">
        <v>19</v>
      </c>
      <c r="D480" s="54"/>
      <c r="E480" s="7"/>
      <c r="F480" s="19">
        <f>+INDEX('[1]Budget original'!$A$2:$AO$501,MATCH($A480,'[1]Budget original'!$A$2:$A$501,0),MATCH(F$2,'[1]Budget original'!$A$2:$AO$2,0))</f>
        <v>0</v>
      </c>
      <c r="G480" s="56"/>
      <c r="H480" s="7"/>
      <c r="I480" s="19"/>
      <c r="J480" s="26"/>
      <c r="K480" s="7"/>
      <c r="L480" s="39">
        <f>-SUMIFS([1]BV_Data_An_Cour!$AM:$AM,[1]BV_Data_An_Cour!$AP:$AP,$B480,[1]BV_Data_An_Cour!$AQ:$AQ,$C480,[1]BV_Data_An_Cour!$AR:$AR,$L$2)</f>
        <v>0</v>
      </c>
      <c r="M480" s="26"/>
      <c r="N480" s="39"/>
      <c r="O480" s="26"/>
      <c r="P480" s="7"/>
      <c r="Q480" s="39">
        <f>-SUMIFS([1]BV_Data_An_Prec!$AM:$AM,[1]BV_Data_An_Prec!$AP:$AP,$B480,[1]BV_Data_An_Prec!$AQ:$AQ,$C480,[1]BV_Data_An_Prec!$AR:$AR,$L$2)</f>
        <v>0</v>
      </c>
      <c r="R480" s="26"/>
      <c r="S480" s="39">
        <f t="shared" si="68"/>
        <v>0</v>
      </c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spans="1:61" ht="20.399999999999999" hidden="1" customHeight="1">
      <c r="A481" s="410" t="s">
        <v>471</v>
      </c>
      <c r="B481" s="7" t="s">
        <v>459</v>
      </c>
      <c r="C481" s="271" t="s">
        <v>19</v>
      </c>
      <c r="D481" s="57"/>
      <c r="E481" s="73"/>
      <c r="F481" s="19">
        <f>+INDEX('[1]Budget original'!$A$2:$AO$501,MATCH($A481,'[1]Budget original'!$A$2:$A$501,0),MATCH(F$2,'[1]Budget original'!$A$2:$AO$2,0))</f>
        <v>0</v>
      </c>
      <c r="G481" s="59"/>
      <c r="H481" s="73"/>
      <c r="I481" s="19"/>
      <c r="J481" s="14"/>
      <c r="K481" s="73"/>
      <c r="L481" s="39">
        <f>-SUMIFS([1]BV_Data_An_Cour!$AM:$AM,[1]BV_Data_An_Cour!$AP:$AP,$B481,[1]BV_Data_An_Cour!$AQ:$AQ,$C481,[1]BV_Data_An_Cour!$AR:$AR,$L$2)</f>
        <v>0</v>
      </c>
      <c r="M481" s="14"/>
      <c r="N481" s="61"/>
      <c r="O481" s="14"/>
      <c r="P481" s="73"/>
      <c r="Q481" s="39">
        <f>-SUMIFS([1]BV_Data_An_Prec!$AM:$AM,[1]BV_Data_An_Prec!$AP:$AP,$B481,[1]BV_Data_An_Prec!$AQ:$AQ,$C481,[1]BV_Data_An_Prec!$AR:$AR,$L$2)</f>
        <v>0</v>
      </c>
      <c r="R481" s="14"/>
      <c r="S481" s="61">
        <f t="shared" si="68"/>
        <v>0</v>
      </c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spans="1:61" ht="18.600000000000001" customHeight="1">
      <c r="A482" s="410"/>
      <c r="B482" s="7"/>
      <c r="C482" s="139" t="s">
        <v>63</v>
      </c>
      <c r="D482" s="62" t="s">
        <v>38</v>
      </c>
      <c r="E482" s="63">
        <f>IFERROR(F482/F$448,0)</f>
        <v>0</v>
      </c>
      <c r="F482" s="64">
        <f>+SUM(F465:F481)</f>
        <v>0</v>
      </c>
      <c r="G482" s="65"/>
      <c r="H482" s="63"/>
      <c r="I482" s="64"/>
      <c r="J482" s="65" t="s">
        <v>38</v>
      </c>
      <c r="K482" s="63">
        <f>IFERROR(L482/L$448,0)</f>
        <v>3.3693539084977235E-2</v>
      </c>
      <c r="L482" s="64">
        <f>+SUM(L465:L481)</f>
        <v>2256.2399999999998</v>
      </c>
      <c r="M482" s="66"/>
      <c r="N482" s="64"/>
      <c r="O482" s="65" t="s">
        <v>38</v>
      </c>
      <c r="P482" s="63">
        <f>IFERROR(Q482/Q$448,0)</f>
        <v>0</v>
      </c>
      <c r="Q482" s="64">
        <f>+SUM(Q465:Q481)</f>
        <v>0</v>
      </c>
      <c r="R482" s="67"/>
      <c r="S482" s="64">
        <f>+SUM(S465:S481)</f>
        <v>2256.2399999999998</v>
      </c>
      <c r="T482" s="7"/>
      <c r="U482" s="6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spans="1:61" ht="15.75" customHeight="1">
      <c r="B483" s="3"/>
      <c r="C483" s="26"/>
      <c r="D483" s="7"/>
      <c r="E483" s="7"/>
      <c r="F483" s="25"/>
      <c r="G483" s="26"/>
      <c r="H483" s="7"/>
      <c r="I483" s="25"/>
      <c r="J483" s="26"/>
      <c r="K483" s="7"/>
      <c r="L483" s="39"/>
      <c r="M483" s="52"/>
      <c r="N483" s="51"/>
      <c r="O483" s="26"/>
      <c r="P483" s="7"/>
      <c r="Q483" s="39"/>
      <c r="R483" s="26"/>
      <c r="S483" s="112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spans="1:61" ht="18.600000000000001" customHeight="1">
      <c r="A484" s="410"/>
      <c r="B484" s="7"/>
      <c r="C484" s="139" t="s">
        <v>64</v>
      </c>
      <c r="D484" s="62" t="s">
        <v>38</v>
      </c>
      <c r="E484" s="63">
        <f>IFERROR(F484/F$448,0)</f>
        <v>0</v>
      </c>
      <c r="F484" s="64">
        <f>F464+F482</f>
        <v>0</v>
      </c>
      <c r="G484" s="65"/>
      <c r="H484" s="63"/>
      <c r="I484" s="64"/>
      <c r="J484" s="65" t="s">
        <v>38</v>
      </c>
      <c r="K484" s="63">
        <f>IFERROR(L484/L$448,0)</f>
        <v>0.37670656198488783</v>
      </c>
      <c r="L484" s="64">
        <f>L464+L482</f>
        <v>25225.619999999995</v>
      </c>
      <c r="M484" s="66"/>
      <c r="N484" s="64"/>
      <c r="O484" s="65" t="s">
        <v>38</v>
      </c>
      <c r="P484" s="63">
        <f>IFERROR(Q484/Q$448,0)</f>
        <v>0</v>
      </c>
      <c r="Q484" s="64">
        <f>Q464+Q482</f>
        <v>0</v>
      </c>
      <c r="R484" s="67"/>
      <c r="S484" s="64">
        <f>L484-Q484</f>
        <v>25225.619999999995</v>
      </c>
      <c r="T484" s="7"/>
      <c r="U484" s="6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spans="1:61" ht="15.75" customHeight="1">
      <c r="B485" s="3"/>
      <c r="C485" s="26"/>
      <c r="D485" s="7"/>
      <c r="E485" s="7"/>
      <c r="F485" s="39"/>
      <c r="G485" s="26"/>
      <c r="H485" s="7"/>
      <c r="I485" s="39"/>
      <c r="J485" s="26"/>
      <c r="K485" s="7"/>
      <c r="L485" s="39"/>
      <c r="M485" s="52"/>
      <c r="N485" s="51"/>
      <c r="O485" s="26"/>
      <c r="P485" s="7"/>
      <c r="Q485" s="39"/>
      <c r="R485" s="26"/>
      <c r="S485" s="112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spans="1:61" ht="18.600000000000001" customHeight="1" thickBot="1">
      <c r="A486" s="410"/>
      <c r="B486" s="7"/>
      <c r="C486" s="276" t="s">
        <v>69</v>
      </c>
      <c r="D486" s="277"/>
      <c r="E486" s="278"/>
      <c r="F486" s="138" t="e">
        <f>#REF!-F484</f>
        <v>#REF!</v>
      </c>
      <c r="G486" s="279"/>
      <c r="H486" s="278"/>
      <c r="I486" s="138"/>
      <c r="J486" s="279"/>
      <c r="K486" s="278"/>
      <c r="L486" s="138">
        <f>L448-L484</f>
        <v>41737.960000000006</v>
      </c>
      <c r="M486" s="280"/>
      <c r="N486" s="138"/>
      <c r="O486" s="279"/>
      <c r="P486" s="278"/>
      <c r="Q486" s="138">
        <f>Q448-Q484</f>
        <v>66320.539999999994</v>
      </c>
      <c r="R486" s="281"/>
      <c r="S486" s="138">
        <f>L486-Q486</f>
        <v>-24582.579999999987</v>
      </c>
      <c r="T486" s="7"/>
      <c r="U486" s="6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55"/>
      <c r="AG486" s="7"/>
      <c r="AH486" s="7"/>
      <c r="AI486" s="7"/>
      <c r="AJ486" s="55"/>
      <c r="AK486" s="7"/>
      <c r="AL486" s="7"/>
      <c r="AM486" s="7"/>
      <c r="AN486" s="7"/>
    </row>
    <row r="487" spans="1:61" ht="15.75" customHeight="1" thickTop="1">
      <c r="B487" s="3"/>
      <c r="C487" s="50"/>
      <c r="D487" s="290"/>
      <c r="E487" s="7"/>
      <c r="F487" s="74">
        <f>F390+F326+F268</f>
        <v>0</v>
      </c>
      <c r="G487" s="54"/>
      <c r="H487" s="7"/>
      <c r="I487" s="74"/>
      <c r="J487" s="290"/>
      <c r="K487" s="50"/>
      <c r="L487" s="74"/>
      <c r="M487" s="50"/>
      <c r="N487" s="74"/>
      <c r="O487" s="50"/>
      <c r="P487" s="50"/>
      <c r="Q487" s="74"/>
      <c r="R487" s="50"/>
      <c r="S487" s="74"/>
      <c r="T487" s="7"/>
      <c r="U487" s="6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55"/>
      <c r="AG487" s="7"/>
      <c r="AH487" s="7"/>
      <c r="AI487" s="7"/>
      <c r="AJ487" s="7"/>
      <c r="AK487" s="7"/>
      <c r="AL487" s="7"/>
      <c r="AM487" s="7"/>
      <c r="AN487" s="7"/>
    </row>
    <row r="488" spans="1:61" ht="15.75" customHeight="1">
      <c r="B488" s="3"/>
      <c r="F488" s="74">
        <f>F429+F307+F365</f>
        <v>0</v>
      </c>
      <c r="L488" s="74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spans="1:61" ht="35.4">
      <c r="B489" s="3"/>
      <c r="C489" s="336" t="s">
        <v>491</v>
      </c>
      <c r="F489" s="337"/>
      <c r="L489" s="337"/>
      <c r="V489" s="338" t="str">
        <f>C1</f>
        <v>Ste-Marie Auto</v>
      </c>
      <c r="W489" s="254"/>
      <c r="X489" s="254"/>
      <c r="Y489" s="254"/>
      <c r="Z489" s="254"/>
      <c r="AA489" s="254"/>
      <c r="AB489" s="254"/>
      <c r="AC489" s="254"/>
      <c r="AD489" s="254"/>
      <c r="AE489" s="339"/>
      <c r="AF489" s="339" t="s">
        <v>492</v>
      </c>
      <c r="AG489" s="254"/>
      <c r="AH489" s="254"/>
      <c r="AI489" s="254"/>
      <c r="AJ489" s="340"/>
      <c r="AK489" s="252"/>
      <c r="AL489" s="254"/>
      <c r="AM489" s="254"/>
      <c r="AN489" s="254"/>
      <c r="AO489" s="340" t="str">
        <f>$S$1</f>
        <v>Réalisé, Juillet 2026</v>
      </c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</row>
    <row r="490" spans="1:61" ht="15.75" customHeight="1" thickBot="1">
      <c r="B490" s="3"/>
      <c r="C490" s="336" t="s">
        <v>491</v>
      </c>
      <c r="V490" s="140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</row>
    <row r="491" spans="1:61" ht="15.75" customHeight="1" thickTop="1" thickBot="1">
      <c r="A491" s="410" t="s">
        <v>493</v>
      </c>
      <c r="B491" s="3"/>
      <c r="C491" s="336" t="s">
        <v>491</v>
      </c>
      <c r="V491" s="341"/>
      <c r="W491" s="342"/>
      <c r="X491" s="403" t="s">
        <v>116</v>
      </c>
      <c r="Y491" s="401"/>
      <c r="Z491" s="404"/>
      <c r="AA491" s="400"/>
      <c r="AB491" s="401"/>
      <c r="AC491" s="404"/>
      <c r="AD491" s="400" t="s">
        <v>7</v>
      </c>
      <c r="AE491" s="401"/>
      <c r="AF491" s="404"/>
      <c r="AG491" s="400" t="s">
        <v>211</v>
      </c>
      <c r="AH491" s="401"/>
      <c r="AI491" s="404"/>
      <c r="AJ491" s="400" t="s">
        <v>117</v>
      </c>
      <c r="AK491" s="401"/>
      <c r="AL491" s="401"/>
      <c r="AM491" s="400" t="s">
        <v>118</v>
      </c>
      <c r="AN491" s="401"/>
      <c r="AO491" s="402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</row>
    <row r="492" spans="1:61" ht="15.75" customHeight="1">
      <c r="A492" s="410" t="s">
        <v>493</v>
      </c>
      <c r="B492" s="3"/>
      <c r="C492" s="336" t="s">
        <v>491</v>
      </c>
      <c r="V492" s="14"/>
      <c r="W492" s="141" t="s">
        <v>119</v>
      </c>
      <c r="X492" s="141" t="s">
        <v>120</v>
      </c>
      <c r="Y492" s="141" t="s">
        <v>121</v>
      </c>
      <c r="Z492" s="142" t="s">
        <v>122</v>
      </c>
      <c r="AA492" s="141"/>
      <c r="AB492" s="141"/>
      <c r="AC492" s="142"/>
      <c r="AD492" s="143" t="s">
        <v>120</v>
      </c>
      <c r="AE492" s="141" t="s">
        <v>121</v>
      </c>
      <c r="AF492" s="141" t="s">
        <v>122</v>
      </c>
      <c r="AG492" s="143" t="s">
        <v>123</v>
      </c>
      <c r="AH492" s="141" t="s">
        <v>124</v>
      </c>
      <c r="AI492" s="141" t="s">
        <v>125</v>
      </c>
      <c r="AJ492" s="143" t="s">
        <v>120</v>
      </c>
      <c r="AK492" s="141" t="s">
        <v>121</v>
      </c>
      <c r="AL492" s="141" t="s">
        <v>122</v>
      </c>
      <c r="AM492" s="144" t="s">
        <v>123</v>
      </c>
      <c r="AN492" s="141" t="s">
        <v>124</v>
      </c>
      <c r="AO492" s="87" t="s">
        <v>125</v>
      </c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</row>
    <row r="493" spans="1:61" ht="15.75" customHeight="1">
      <c r="A493" s="410" t="s">
        <v>14</v>
      </c>
      <c r="B493" s="3"/>
      <c r="C493" s="336" t="s">
        <v>491</v>
      </c>
      <c r="V493" s="272" t="s">
        <v>14</v>
      </c>
      <c r="W493" s="145"/>
      <c r="X493" s="145"/>
      <c r="Y493" s="145"/>
      <c r="Z493" s="146" t="e">
        <f>F5+F93+E268+E326+D390+#REF!</f>
        <v>#REF!</v>
      </c>
      <c r="AA493" s="145"/>
      <c r="AB493" s="145"/>
      <c r="AC493" s="146"/>
      <c r="AD493" s="147"/>
      <c r="AE493" s="148"/>
      <c r="AF493" s="146">
        <f>L5+L93+L173+K268+K326+J390+K448</f>
        <v>14416748.130000003</v>
      </c>
      <c r="AG493" s="147"/>
      <c r="AH493" s="148"/>
      <c r="AI493" s="149"/>
      <c r="AJ493" s="147"/>
      <c r="AK493" s="148"/>
      <c r="AL493" s="146">
        <f>Q5+Q93+Q173+P268+P326+O390+P448</f>
        <v>18385299.320000004</v>
      </c>
      <c r="AM493" s="150"/>
      <c r="AN493" s="148"/>
      <c r="AO493" s="343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</row>
    <row r="494" spans="1:61" ht="21" customHeight="1">
      <c r="A494" s="410" t="s">
        <v>126</v>
      </c>
      <c r="B494" s="3"/>
      <c r="C494" s="336" t="s">
        <v>491</v>
      </c>
      <c r="V494" s="344" t="s">
        <v>126</v>
      </c>
      <c r="W494" s="151"/>
      <c r="X494" s="345" t="e">
        <f>Z494/Z493</f>
        <v>#REF!</v>
      </c>
      <c r="Y494" s="151"/>
      <c r="Z494" s="152" t="e">
        <f>F27+F109+F268+F326+F390+#REF!</f>
        <v>#REF!</v>
      </c>
      <c r="AA494" s="151"/>
      <c r="AB494" s="151"/>
      <c r="AC494" s="152"/>
      <c r="AD494" s="345">
        <f>AF494/AF493</f>
        <v>4.0959150751286907E-2</v>
      </c>
      <c r="AE494" s="154"/>
      <c r="AF494" s="152">
        <f>L27+L109+L182+L268+L326+L390+L448</f>
        <v>590497.76000000373</v>
      </c>
      <c r="AG494" s="153"/>
      <c r="AH494" s="154" t="e">
        <f>AF494-Z494</f>
        <v>#REF!</v>
      </c>
      <c r="AI494" s="155" t="e">
        <f>AH494/Z494</f>
        <v>#REF!</v>
      </c>
      <c r="AJ494" s="345">
        <f>AL494/AL493</f>
        <v>4.6182039531788795E-2</v>
      </c>
      <c r="AK494" s="154"/>
      <c r="AL494" s="152">
        <f>Q27+Q109+Q182+Q268+Q326+Q390+Q448</f>
        <v>849070.62000000989</v>
      </c>
      <c r="AM494" s="156"/>
      <c r="AN494" s="154">
        <f>AF494-AL494</f>
        <v>-258572.86000000616</v>
      </c>
      <c r="AO494" s="346">
        <f>IF(AL494=0,0,AN494/AL494)</f>
        <v>-0.30453634115852829</v>
      </c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</row>
    <row r="495" spans="1:61" ht="15.75" customHeight="1">
      <c r="A495" s="410" t="s">
        <v>127</v>
      </c>
      <c r="B495" s="3"/>
      <c r="C495" s="336" t="s">
        <v>491</v>
      </c>
      <c r="V495" s="347" t="s">
        <v>127</v>
      </c>
      <c r="W495" s="157"/>
      <c r="X495" s="157"/>
      <c r="Y495" s="157"/>
      <c r="Z495" s="158"/>
      <c r="AA495" s="157"/>
      <c r="AB495" s="157"/>
      <c r="AC495" s="158"/>
      <c r="AD495" s="159"/>
      <c r="AE495" s="160"/>
      <c r="AF495" s="158"/>
      <c r="AG495" s="159"/>
      <c r="AH495" s="160"/>
      <c r="AI495" s="161"/>
      <c r="AJ495" s="159"/>
      <c r="AK495" s="160"/>
      <c r="AL495" s="158"/>
      <c r="AM495" s="162"/>
      <c r="AN495" s="160"/>
      <c r="AO495" s="348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</row>
    <row r="496" spans="1:61" ht="15.75" customHeight="1">
      <c r="A496" s="410" t="s">
        <v>30</v>
      </c>
      <c r="B496" s="3"/>
      <c r="C496" s="336" t="s">
        <v>491</v>
      </c>
      <c r="V496" s="271" t="s">
        <v>30</v>
      </c>
      <c r="W496" s="163" t="s">
        <v>128</v>
      </c>
      <c r="X496" s="157"/>
      <c r="Y496" s="164" t="e">
        <f t="shared" ref="Y496:Y505" si="69">Z496/(D$13+D$97)</f>
        <v>#DIV/0!</v>
      </c>
      <c r="Z496" s="158">
        <f t="shared" ref="Z496:Z502" si="70">+SUMIF($C:$C,$V496,F:F)</f>
        <v>0</v>
      </c>
      <c r="AA496" s="157"/>
      <c r="AB496" s="164"/>
      <c r="AC496" s="158"/>
      <c r="AD496" s="165"/>
      <c r="AE496" s="160">
        <f>IF(AF496=0,0,AF496/(J$13+J$97))</f>
        <v>819.80961038961095</v>
      </c>
      <c r="AF496" s="158">
        <f t="shared" ref="AF496:AF502" si="71">+SUMIF($C:$C,$V496,L:L)</f>
        <v>63125.34000000004</v>
      </c>
      <c r="AG496" s="159" t="e">
        <f t="shared" ref="AG496:AH511" si="72">AE496-Y496</f>
        <v>#DIV/0!</v>
      </c>
      <c r="AH496" s="160">
        <f t="shared" si="72"/>
        <v>63125.34000000004</v>
      </c>
      <c r="AI496" s="161">
        <f t="shared" ref="AI496:AI505" si="73">IF(Z496=0,0,AH496/Z496)</f>
        <v>0</v>
      </c>
      <c r="AJ496" s="165"/>
      <c r="AK496" s="160">
        <f>IF(AL496=0,0,AL496/(O$13+O$97))</f>
        <v>768.99808988764028</v>
      </c>
      <c r="AL496" s="158">
        <f>SUMIFS([1]BV_Data_An_Prec!$AM:$AM,[1]BV_Data_An_Prec!$AQ:$AQ,$V496)</f>
        <v>68440.829999999987</v>
      </c>
      <c r="AM496" s="162">
        <f>AE496-AK496</f>
        <v>50.811520501970676</v>
      </c>
      <c r="AN496" s="160">
        <f>AF496-AL496</f>
        <v>-5315.489999999947</v>
      </c>
      <c r="AO496" s="349">
        <f>IF(AL496=0,0,AN496/AL496)</f>
        <v>-7.7665481263157504E-2</v>
      </c>
      <c r="AP496" s="6"/>
      <c r="AQ496" s="6"/>
      <c r="AR496" s="3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</row>
    <row r="497" spans="1:61" ht="15.75" customHeight="1">
      <c r="A497" s="410" t="s">
        <v>31</v>
      </c>
      <c r="B497" s="3"/>
      <c r="C497" s="336" t="s">
        <v>491</v>
      </c>
      <c r="V497" s="272" t="s">
        <v>31</v>
      </c>
      <c r="W497" s="166" t="s">
        <v>129</v>
      </c>
      <c r="X497" s="145"/>
      <c r="Y497" s="167" t="e">
        <f t="shared" si="69"/>
        <v>#DIV/0!</v>
      </c>
      <c r="Z497" s="146">
        <f t="shared" si="70"/>
        <v>0</v>
      </c>
      <c r="AA497" s="145"/>
      <c r="AB497" s="167"/>
      <c r="AC497" s="146"/>
      <c r="AD497" s="168"/>
      <c r="AE497" s="148">
        <f t="shared" ref="AE497:AE504" si="74">IF(AF497=0,0,AF497/(J$13+J$97))</f>
        <v>223.60961038961037</v>
      </c>
      <c r="AF497" s="146">
        <f t="shared" si="71"/>
        <v>17217.939999999999</v>
      </c>
      <c r="AG497" s="147" t="e">
        <f t="shared" si="72"/>
        <v>#DIV/0!</v>
      </c>
      <c r="AH497" s="148">
        <f t="shared" si="72"/>
        <v>17217.939999999999</v>
      </c>
      <c r="AI497" s="169">
        <f t="shared" si="73"/>
        <v>0</v>
      </c>
      <c r="AJ497" s="168"/>
      <c r="AK497" s="148">
        <f t="shared" ref="AK497:AK504" si="75">IF(AL497=0,0,AL497/(O$13+O$97))</f>
        <v>159.97460674157313</v>
      </c>
      <c r="AL497" s="146">
        <f>SUMIFS([1]BV_Data_An_Prec!$AM:$AM,[1]BV_Data_An_Prec!$AQ:$AQ,$V497)</f>
        <v>14237.740000000009</v>
      </c>
      <c r="AM497" s="350">
        <f t="shared" ref="AM497:AN512" si="76">AE497-AK497</f>
        <v>63.635003648037241</v>
      </c>
      <c r="AN497" s="148">
        <f t="shared" si="76"/>
        <v>2980.1999999999898</v>
      </c>
      <c r="AO497" s="343">
        <f t="shared" ref="AO497:AO553" si="77">IF(AL497=0,0,AN497/AL497)</f>
        <v>0.20931692810797134</v>
      </c>
      <c r="AP497" s="6"/>
      <c r="AQ497" s="6"/>
      <c r="AR497" s="7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</row>
    <row r="498" spans="1:61" ht="15.75" customHeight="1">
      <c r="A498" s="410" t="s">
        <v>32</v>
      </c>
      <c r="B498" s="3"/>
      <c r="C498" s="336" t="s">
        <v>491</v>
      </c>
      <c r="V498" s="271" t="s">
        <v>32</v>
      </c>
      <c r="W498" s="163" t="s">
        <v>130</v>
      </c>
      <c r="X498" s="157"/>
      <c r="Y498" s="164" t="e">
        <f t="shared" si="69"/>
        <v>#DIV/0!</v>
      </c>
      <c r="Z498" s="158">
        <f t="shared" si="70"/>
        <v>0</v>
      </c>
      <c r="AA498" s="157"/>
      <c r="AB498" s="164"/>
      <c r="AC498" s="158"/>
      <c r="AD498" s="165"/>
      <c r="AE498" s="160">
        <f t="shared" si="74"/>
        <v>704.05467532467526</v>
      </c>
      <c r="AF498" s="158">
        <f t="shared" si="71"/>
        <v>54212.21</v>
      </c>
      <c r="AG498" s="159" t="e">
        <f t="shared" si="72"/>
        <v>#DIV/0!</v>
      </c>
      <c r="AH498" s="160">
        <f t="shared" si="72"/>
        <v>54212.21</v>
      </c>
      <c r="AI498" s="161">
        <f t="shared" si="73"/>
        <v>0</v>
      </c>
      <c r="AJ498" s="165"/>
      <c r="AK498" s="160">
        <f t="shared" si="75"/>
        <v>-445.03910112359546</v>
      </c>
      <c r="AL498" s="158">
        <f>SUMIFS([1]BV_Data_An_Prec!$AM:$AM,[1]BV_Data_An_Prec!$AQ:$AQ,$V498)</f>
        <v>-39608.479999999996</v>
      </c>
      <c r="AM498" s="162">
        <f t="shared" si="76"/>
        <v>1149.0937764482708</v>
      </c>
      <c r="AN498" s="160">
        <f t="shared" si="76"/>
        <v>93820.69</v>
      </c>
      <c r="AO498" s="349">
        <f t="shared" si="77"/>
        <v>-2.3687021062156388</v>
      </c>
      <c r="AP498" s="6"/>
      <c r="AQ498" s="6"/>
      <c r="AR498" s="7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</row>
    <row r="499" spans="1:61" ht="15.75" customHeight="1">
      <c r="A499" s="410" t="s">
        <v>33</v>
      </c>
      <c r="B499" s="3"/>
      <c r="C499" s="336" t="s">
        <v>491</v>
      </c>
      <c r="V499" s="271" t="s">
        <v>33</v>
      </c>
      <c r="W499" s="163" t="s">
        <v>131</v>
      </c>
      <c r="X499" s="157"/>
      <c r="Y499" s="164" t="e">
        <f t="shared" si="69"/>
        <v>#DIV/0!</v>
      </c>
      <c r="Z499" s="158">
        <f t="shared" si="70"/>
        <v>0</v>
      </c>
      <c r="AA499" s="157"/>
      <c r="AB499" s="164"/>
      <c r="AC499" s="158"/>
      <c r="AD499" s="165"/>
      <c r="AE499" s="160">
        <f t="shared" si="74"/>
        <v>23.45064935064935</v>
      </c>
      <c r="AF499" s="158">
        <f t="shared" si="71"/>
        <v>1805.6999999999998</v>
      </c>
      <c r="AG499" s="159" t="e">
        <f t="shared" si="72"/>
        <v>#DIV/0!</v>
      </c>
      <c r="AH499" s="160">
        <f t="shared" si="72"/>
        <v>1805.6999999999998</v>
      </c>
      <c r="AI499" s="161">
        <f t="shared" si="73"/>
        <v>0</v>
      </c>
      <c r="AJ499" s="165"/>
      <c r="AK499" s="160">
        <f t="shared" si="75"/>
        <v>15.251797752808987</v>
      </c>
      <c r="AL499" s="158">
        <f>SUMIFS([1]BV_Data_An_Prec!$AM:$AM,[1]BV_Data_An_Prec!$AQ:$AQ,$V499)</f>
        <v>1357.4099999999999</v>
      </c>
      <c r="AM499" s="162">
        <f t="shared" si="76"/>
        <v>8.1988515978403633</v>
      </c>
      <c r="AN499" s="160">
        <f t="shared" si="76"/>
        <v>448.28999999999996</v>
      </c>
      <c r="AO499" s="349">
        <f t="shared" si="77"/>
        <v>0.33025393948770088</v>
      </c>
      <c r="AP499" s="6"/>
      <c r="AQ499" s="6"/>
      <c r="AR499" s="7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</row>
    <row r="500" spans="1:61" ht="15.75" customHeight="1">
      <c r="A500" s="410" t="s">
        <v>34</v>
      </c>
      <c r="B500" s="3"/>
      <c r="C500" s="336" t="s">
        <v>491</v>
      </c>
      <c r="V500" s="272" t="s">
        <v>34</v>
      </c>
      <c r="W500" s="166"/>
      <c r="X500" s="145"/>
      <c r="Y500" s="167" t="e">
        <f t="shared" si="69"/>
        <v>#DIV/0!</v>
      </c>
      <c r="Z500" s="146">
        <f t="shared" si="70"/>
        <v>0</v>
      </c>
      <c r="AA500" s="145"/>
      <c r="AB500" s="167"/>
      <c r="AC500" s="146"/>
      <c r="AD500" s="168"/>
      <c r="AE500" s="148">
        <f t="shared" si="74"/>
        <v>69.732597402597406</v>
      </c>
      <c r="AF500" s="146">
        <f t="shared" si="71"/>
        <v>5369.41</v>
      </c>
      <c r="AG500" s="147" t="e">
        <f t="shared" si="72"/>
        <v>#DIV/0!</v>
      </c>
      <c r="AH500" s="148">
        <f t="shared" si="72"/>
        <v>5369.41</v>
      </c>
      <c r="AI500" s="169">
        <f t="shared" si="73"/>
        <v>0</v>
      </c>
      <c r="AJ500" s="168"/>
      <c r="AK500" s="148">
        <f t="shared" si="75"/>
        <v>0</v>
      </c>
      <c r="AL500" s="146">
        <f>SUMIFS([1]BV_Data_An_Prec!$AM:$AM,[1]BV_Data_An_Prec!$AQ:$AQ,$V500)</f>
        <v>0</v>
      </c>
      <c r="AM500" s="350">
        <f t="shared" si="76"/>
        <v>69.732597402597406</v>
      </c>
      <c r="AN500" s="148">
        <f t="shared" si="76"/>
        <v>5369.41</v>
      </c>
      <c r="AO500" s="343">
        <f t="shared" si="77"/>
        <v>0</v>
      </c>
      <c r="AP500" s="6"/>
      <c r="AQ500" s="6"/>
      <c r="AR500" s="7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</row>
    <row r="501" spans="1:61" ht="15.75" customHeight="1">
      <c r="A501" s="410" t="s">
        <v>35</v>
      </c>
      <c r="B501" s="3"/>
      <c r="C501" s="336" t="s">
        <v>491</v>
      </c>
      <c r="V501" s="271" t="s">
        <v>35</v>
      </c>
      <c r="W501" s="163" t="s">
        <v>132</v>
      </c>
      <c r="X501" s="161"/>
      <c r="Y501" s="164" t="e">
        <f t="shared" si="69"/>
        <v>#DIV/0!</v>
      </c>
      <c r="Z501" s="158">
        <f t="shared" si="70"/>
        <v>0</v>
      </c>
      <c r="AA501" s="161"/>
      <c r="AB501" s="164"/>
      <c r="AC501" s="158"/>
      <c r="AD501" s="165"/>
      <c r="AE501" s="160">
        <f t="shared" si="74"/>
        <v>350.50220779220786</v>
      </c>
      <c r="AF501" s="158">
        <f t="shared" si="71"/>
        <v>26988.670000000006</v>
      </c>
      <c r="AG501" s="159" t="e">
        <f t="shared" si="72"/>
        <v>#DIV/0!</v>
      </c>
      <c r="AH501" s="160">
        <f t="shared" si="72"/>
        <v>26988.670000000006</v>
      </c>
      <c r="AI501" s="161">
        <f t="shared" si="73"/>
        <v>0</v>
      </c>
      <c r="AJ501" s="165"/>
      <c r="AK501" s="160">
        <f t="shared" si="75"/>
        <v>239.77123595505617</v>
      </c>
      <c r="AL501" s="158">
        <f>SUMIFS([1]BV_Data_An_Prec!$AM:$AM,[1]BV_Data_An_Prec!$AQ:$AQ,$V501)</f>
        <v>21339.64</v>
      </c>
      <c r="AM501" s="162">
        <f t="shared" si="76"/>
        <v>110.73097183715169</v>
      </c>
      <c r="AN501" s="160">
        <f t="shared" si="76"/>
        <v>5649.0300000000061</v>
      </c>
      <c r="AO501" s="349">
        <f t="shared" si="77"/>
        <v>0.2647200233930847</v>
      </c>
      <c r="AP501" s="6"/>
      <c r="AQ501" s="6"/>
      <c r="AR501" s="7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</row>
    <row r="502" spans="1:61" ht="15.75" customHeight="1">
      <c r="A502" s="410" t="s">
        <v>36</v>
      </c>
      <c r="B502" s="3"/>
      <c r="C502" s="336" t="s">
        <v>491</v>
      </c>
      <c r="V502" s="271" t="s">
        <v>36</v>
      </c>
      <c r="W502" s="163" t="s">
        <v>133</v>
      </c>
      <c r="X502" s="157"/>
      <c r="Y502" s="164" t="e">
        <f t="shared" si="69"/>
        <v>#DIV/0!</v>
      </c>
      <c r="Z502" s="158">
        <f t="shared" si="70"/>
        <v>0</v>
      </c>
      <c r="AA502" s="157"/>
      <c r="AB502" s="164"/>
      <c r="AC502" s="158"/>
      <c r="AD502" s="165"/>
      <c r="AE502" s="160">
        <f t="shared" si="74"/>
        <v>1125.7574025974022</v>
      </c>
      <c r="AF502" s="158">
        <f t="shared" si="71"/>
        <v>86683.319999999978</v>
      </c>
      <c r="AG502" s="159" t="e">
        <f t="shared" si="72"/>
        <v>#DIV/0!</v>
      </c>
      <c r="AH502" s="160">
        <f t="shared" si="72"/>
        <v>86683.319999999978</v>
      </c>
      <c r="AI502" s="161">
        <f t="shared" si="73"/>
        <v>0</v>
      </c>
      <c r="AJ502" s="165"/>
      <c r="AK502" s="160">
        <f t="shared" si="75"/>
        <v>1064.6433707865167</v>
      </c>
      <c r="AL502" s="158">
        <f>SUMIFS([1]BV_Data_An_Prec!$AM:$AM,[1]BV_Data_An_Prec!$AQ:$AQ,$V502)</f>
        <v>94753.25999999998</v>
      </c>
      <c r="AM502" s="162">
        <f t="shared" si="76"/>
        <v>61.114031810885535</v>
      </c>
      <c r="AN502" s="160">
        <f t="shared" si="76"/>
        <v>-8069.9400000000023</v>
      </c>
      <c r="AO502" s="349">
        <f t="shared" si="77"/>
        <v>-8.5167940395929426E-2</v>
      </c>
      <c r="AP502" s="6"/>
      <c r="AQ502" s="6"/>
      <c r="AR502" s="7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</row>
    <row r="503" spans="1:61" ht="15.75" customHeight="1">
      <c r="A503" s="410" t="s">
        <v>19</v>
      </c>
      <c r="B503" s="3"/>
      <c r="C503" s="336" t="s">
        <v>491</v>
      </c>
      <c r="V503" s="271" t="s">
        <v>303</v>
      </c>
      <c r="W503" s="163"/>
      <c r="X503" s="161"/>
      <c r="Y503" s="164" t="e">
        <f t="shared" si="69"/>
        <v>#DIV/0!</v>
      </c>
      <c r="Z503" s="158">
        <f>IFERROR(SUMIF($C:$C,$V503,F:F),0)</f>
        <v>0</v>
      </c>
      <c r="AA503" s="157"/>
      <c r="AB503" s="164"/>
      <c r="AC503" s="158"/>
      <c r="AD503" s="165"/>
      <c r="AE503" s="160">
        <f>IF(AF503=0,0,AF503/(J$13+J$97))</f>
        <v>-1709.5550649350648</v>
      </c>
      <c r="AF503" s="158">
        <f>IFERROR(SUMIF($C:$C,$V503,L:L),0)</f>
        <v>-131635.74</v>
      </c>
      <c r="AG503" s="159" t="e">
        <f t="shared" si="72"/>
        <v>#DIV/0!</v>
      </c>
      <c r="AH503" s="160">
        <f t="shared" si="72"/>
        <v>-131635.74</v>
      </c>
      <c r="AI503" s="161">
        <f t="shared" si="73"/>
        <v>0</v>
      </c>
      <c r="AJ503" s="165"/>
      <c r="AK503" s="160">
        <f t="shared" si="75"/>
        <v>-1319.0044943820239</v>
      </c>
      <c r="AL503" s="158">
        <f>SUMIFS([1]BV_Data_An_Prec!$AM:$AM,[1]BV_Data_An_Prec!$AQ:$AQ,$V503)</f>
        <v>-117391.40000000014</v>
      </c>
      <c r="AM503" s="162">
        <f>AE503-AK503</f>
        <v>-390.55057055304087</v>
      </c>
      <c r="AN503" s="160">
        <f t="shared" si="76"/>
        <v>-14244.339999999851</v>
      </c>
      <c r="AO503" s="349">
        <f t="shared" si="77"/>
        <v>0.12134057520397434</v>
      </c>
      <c r="AP503" s="6"/>
      <c r="AQ503" s="6"/>
      <c r="AR503" s="7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</row>
    <row r="504" spans="1:61" ht="15.75" customHeight="1">
      <c r="A504" s="410" t="s">
        <v>19</v>
      </c>
      <c r="B504" s="3"/>
      <c r="C504" s="336" t="s">
        <v>491</v>
      </c>
      <c r="V504" s="271" t="s">
        <v>304</v>
      </c>
      <c r="W504" s="163"/>
      <c r="X504" s="161"/>
      <c r="Y504" s="164" t="e">
        <f t="shared" si="69"/>
        <v>#DIV/0!</v>
      </c>
      <c r="Z504" s="158">
        <f>IFERROR(SUMIF($C:$C,$V504,F:F),0)</f>
        <v>0</v>
      </c>
      <c r="AA504" s="157"/>
      <c r="AB504" s="164"/>
      <c r="AC504" s="158"/>
      <c r="AD504" s="165"/>
      <c r="AE504" s="160">
        <f t="shared" si="74"/>
        <v>-218.52181818181813</v>
      </c>
      <c r="AF504" s="158">
        <f>IFERROR(SUMIF($C:$C,$V504,L:L),0)</f>
        <v>-16826.179999999997</v>
      </c>
      <c r="AG504" s="159" t="e">
        <f t="shared" si="72"/>
        <v>#DIV/0!</v>
      </c>
      <c r="AH504" s="160">
        <f t="shared" si="72"/>
        <v>-16826.179999999997</v>
      </c>
      <c r="AI504" s="161">
        <f t="shared" si="73"/>
        <v>0</v>
      </c>
      <c r="AJ504" s="165"/>
      <c r="AK504" s="160">
        <f t="shared" si="75"/>
        <v>0</v>
      </c>
      <c r="AL504" s="158">
        <f>SUMIFS([1]BV_Data_An_Prec!$AM:$AM,[1]BV_Data_An_Prec!$AQ:$AQ,$V504)</f>
        <v>0</v>
      </c>
      <c r="AM504" s="162">
        <f t="shared" si="76"/>
        <v>-218.52181818181813</v>
      </c>
      <c r="AN504" s="160">
        <f t="shared" si="76"/>
        <v>-16826.179999999997</v>
      </c>
      <c r="AO504" s="349">
        <f t="shared" si="77"/>
        <v>0</v>
      </c>
      <c r="AP504" s="6"/>
      <c r="AQ504" s="6"/>
      <c r="AR504" s="7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</row>
    <row r="505" spans="1:61" ht="20.399999999999999" hidden="1" customHeight="1">
      <c r="A505" s="410" t="s">
        <v>19</v>
      </c>
      <c r="B505" s="3"/>
      <c r="C505" s="336" t="s">
        <v>491</v>
      </c>
      <c r="V505" s="271" t="s">
        <v>19</v>
      </c>
      <c r="W505" s="163" t="s">
        <v>133</v>
      </c>
      <c r="X505" s="157"/>
      <c r="Y505" s="164" t="e">
        <f t="shared" si="69"/>
        <v>#DIV/0!</v>
      </c>
      <c r="Z505" s="158">
        <f>IFERROR(SUMIF($C:$C,$V505,F:F),0)</f>
        <v>0</v>
      </c>
      <c r="AA505" s="157"/>
      <c r="AB505" s="164"/>
      <c r="AC505" s="158"/>
      <c r="AD505" s="165"/>
      <c r="AE505" s="160">
        <f>IF(AF505=0,0,AF505/(J$13+J$13))</f>
        <v>0</v>
      </c>
      <c r="AF505" s="158">
        <f>IFERROR(SUMIF($C:$C,$V505,L:L),0)</f>
        <v>0</v>
      </c>
      <c r="AG505" s="159" t="e">
        <f t="shared" si="72"/>
        <v>#DIV/0!</v>
      </c>
      <c r="AH505" s="160">
        <f t="shared" si="72"/>
        <v>0</v>
      </c>
      <c r="AI505" s="161">
        <f t="shared" si="73"/>
        <v>0</v>
      </c>
      <c r="AJ505" s="165"/>
      <c r="AK505" s="160">
        <f>IF(AL505=0,0,AL505/(P$13+P$13))</f>
        <v>0</v>
      </c>
      <c r="AL505" s="158">
        <f>IFERROR(SUMIF($C:$C,$V505,R:R),0)</f>
        <v>0</v>
      </c>
      <c r="AM505" s="162" t="e">
        <f t="shared" ref="AM505" si="78">AE505-Y505</f>
        <v>#DIV/0!</v>
      </c>
      <c r="AN505" s="160">
        <f t="shared" si="76"/>
        <v>0</v>
      </c>
      <c r="AO505" s="349">
        <f t="shared" si="77"/>
        <v>0</v>
      </c>
      <c r="AP505" s="6"/>
      <c r="AQ505" s="6"/>
      <c r="AR505" s="7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</row>
    <row r="506" spans="1:61" ht="21" customHeight="1">
      <c r="A506" s="410" t="s">
        <v>37</v>
      </c>
      <c r="B506" s="3"/>
      <c r="C506" s="336" t="s">
        <v>491</v>
      </c>
      <c r="V506" s="351" t="s">
        <v>37</v>
      </c>
      <c r="W506" s="170"/>
      <c r="X506" s="171" t="e">
        <f>Z506/Z494</f>
        <v>#REF!</v>
      </c>
      <c r="Y506" s="170"/>
      <c r="Z506" s="172">
        <f>SUM(Z496:Z505)</f>
        <v>0</v>
      </c>
      <c r="AA506" s="171"/>
      <c r="AB506" s="170"/>
      <c r="AC506" s="172"/>
      <c r="AD506" s="173">
        <f>AF506/AF494</f>
        <v>0.18110258369142568</v>
      </c>
      <c r="AE506" s="175"/>
      <c r="AF506" s="172">
        <f>SUM(AF496:AF505)</f>
        <v>106940.67000000007</v>
      </c>
      <c r="AG506" s="174"/>
      <c r="AH506" s="175">
        <f t="shared" si="72"/>
        <v>106940.67000000007</v>
      </c>
      <c r="AI506" s="171" t="e">
        <f>AH506/Z506</f>
        <v>#DIV/0!</v>
      </c>
      <c r="AJ506" s="173">
        <f>AL506/AL494</f>
        <v>5.0795539245015127E-2</v>
      </c>
      <c r="AK506" s="175"/>
      <c r="AL506" s="172">
        <f>SUM(AL496:AL505)</f>
        <v>43128.999999999825</v>
      </c>
      <c r="AM506" s="180"/>
      <c r="AN506" s="175">
        <f t="shared" si="76"/>
        <v>63811.670000000246</v>
      </c>
      <c r="AO506" s="346">
        <f t="shared" si="77"/>
        <v>1.4795536645876441</v>
      </c>
      <c r="AP506" s="6"/>
      <c r="AQ506" s="6"/>
      <c r="AR506" s="7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</row>
    <row r="507" spans="1:61" ht="15.75" customHeight="1">
      <c r="A507" s="410" t="s">
        <v>134</v>
      </c>
      <c r="B507" s="3"/>
      <c r="C507" s="336" t="s">
        <v>491</v>
      </c>
      <c r="V507" s="271" t="s">
        <v>134</v>
      </c>
      <c r="W507" s="163" t="s">
        <v>135</v>
      </c>
      <c r="X507" s="157"/>
      <c r="Y507" s="157"/>
      <c r="Z507" s="158">
        <f>+INDEX('[1]Budget original'!$A$2:$AO$501,MATCH($A507,'[1]Budget original'!$A$2:$A$501,0),MATCH(F$2,'[1]Budget original'!$A$2:$AO$2,0))</f>
        <v>0</v>
      </c>
      <c r="AA507" s="157"/>
      <c r="AB507" s="157"/>
      <c r="AC507" s="158"/>
      <c r="AD507" s="165"/>
      <c r="AE507" s="164"/>
      <c r="AF507" s="158">
        <f>SUMIFS([1]BV_Data_An_Cour!$AM:$AM,[1]BV_Data_An_Cour!$AQ:$AQ,$V507)</f>
        <v>5596.1700000000037</v>
      </c>
      <c r="AG507" s="159"/>
      <c r="AH507" s="160">
        <f t="shared" si="72"/>
        <v>5596.1700000000037</v>
      </c>
      <c r="AI507" s="161">
        <f t="shared" ref="AI507:AI519" si="79">IF(Z507=0,0,AH507/Z507)</f>
        <v>0</v>
      </c>
      <c r="AJ507" s="165"/>
      <c r="AK507" s="164"/>
      <c r="AL507" s="158">
        <f>SUMIFS([1]BV_Data_An_Prec!$AM:$AM,[1]BV_Data_An_Prec!$AQ:$AQ,$V507)</f>
        <v>8094.380000000001</v>
      </c>
      <c r="AM507" s="162"/>
      <c r="AN507" s="160">
        <f t="shared" si="76"/>
        <v>-2498.2099999999973</v>
      </c>
      <c r="AO507" s="349">
        <f t="shared" si="77"/>
        <v>-0.30863512708817686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</row>
    <row r="508" spans="1:61" ht="15.75" customHeight="1">
      <c r="A508" s="410" t="s">
        <v>40</v>
      </c>
      <c r="B508" s="3"/>
      <c r="C508" s="336" t="s">
        <v>491</v>
      </c>
      <c r="V508" s="271" t="s">
        <v>40</v>
      </c>
      <c r="W508" s="163" t="s">
        <v>136</v>
      </c>
      <c r="X508" s="157"/>
      <c r="Y508" s="157"/>
      <c r="Z508" s="158">
        <f t="shared" ref="Z508:Z518" si="80">+SUMIF($C:$C,$V508,F:F)</f>
        <v>0</v>
      </c>
      <c r="AA508" s="157"/>
      <c r="AB508" s="157"/>
      <c r="AC508" s="158"/>
      <c r="AD508" s="165"/>
      <c r="AE508" s="164"/>
      <c r="AF508" s="158">
        <f>+SUMIF($C:$C,$V508,L:L)</f>
        <v>55698.840000000011</v>
      </c>
      <c r="AG508" s="159"/>
      <c r="AH508" s="160">
        <f t="shared" si="72"/>
        <v>55698.840000000011</v>
      </c>
      <c r="AI508" s="161">
        <f t="shared" si="79"/>
        <v>0</v>
      </c>
      <c r="AJ508" s="165"/>
      <c r="AK508" s="164"/>
      <c r="AL508" s="158">
        <f>SUMIFS([1]BV_Data_An_Prec!$AM:$AM,[1]BV_Data_An_Prec!$AQ:$AQ,$V508)</f>
        <v>45072.549999999996</v>
      </c>
      <c r="AM508" s="162"/>
      <c r="AN508" s="160">
        <f t="shared" si="76"/>
        <v>10626.290000000015</v>
      </c>
      <c r="AO508" s="349">
        <f t="shared" si="77"/>
        <v>0.23575968078131848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</row>
    <row r="509" spans="1:61" ht="15.75" customHeight="1">
      <c r="A509" s="410" t="s">
        <v>41</v>
      </c>
      <c r="B509" s="3"/>
      <c r="C509" s="336" t="s">
        <v>491</v>
      </c>
      <c r="V509" s="272" t="s">
        <v>41</v>
      </c>
      <c r="W509" s="166" t="s">
        <v>137</v>
      </c>
      <c r="X509" s="145"/>
      <c r="Y509" s="145"/>
      <c r="Z509" s="146">
        <f t="shared" si="80"/>
        <v>0</v>
      </c>
      <c r="AA509" s="145"/>
      <c r="AB509" s="145"/>
      <c r="AC509" s="146"/>
      <c r="AD509" s="168"/>
      <c r="AE509" s="167"/>
      <c r="AF509" s="146">
        <f>+SUMIF($C:$C,$V509,L:L)</f>
        <v>44713.920000000013</v>
      </c>
      <c r="AG509" s="147"/>
      <c r="AH509" s="148">
        <f t="shared" si="72"/>
        <v>44713.920000000013</v>
      </c>
      <c r="AI509" s="169">
        <f t="shared" si="79"/>
        <v>0</v>
      </c>
      <c r="AJ509" s="168"/>
      <c r="AK509" s="167"/>
      <c r="AL509" s="146">
        <f>SUMIFS([1]BV_Data_An_Prec!$AM:$AM,[1]BV_Data_An_Prec!$AQ:$AQ,$V509)</f>
        <v>72337.109999999971</v>
      </c>
      <c r="AM509" s="150"/>
      <c r="AN509" s="148">
        <f t="shared" si="76"/>
        <v>-27623.189999999959</v>
      </c>
      <c r="AO509" s="343">
        <f t="shared" si="77"/>
        <v>-0.38186748129694387</v>
      </c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</row>
    <row r="510" spans="1:61" ht="15.75" customHeight="1">
      <c r="A510" s="410" t="s">
        <v>42</v>
      </c>
      <c r="B510" s="3"/>
      <c r="C510" s="336" t="s">
        <v>491</v>
      </c>
      <c r="V510" s="271" t="s">
        <v>42</v>
      </c>
      <c r="W510" s="163" t="s">
        <v>138</v>
      </c>
      <c r="X510" s="157"/>
      <c r="Y510" s="157"/>
      <c r="Z510" s="158">
        <f t="shared" si="80"/>
        <v>0</v>
      </c>
      <c r="AA510" s="157"/>
      <c r="AB510" s="157"/>
      <c r="AC510" s="158"/>
      <c r="AD510" s="165"/>
      <c r="AE510" s="164"/>
      <c r="AF510" s="158">
        <f>+SUMIF($C:$C,$V510,L:L)</f>
        <v>39199.399999999987</v>
      </c>
      <c r="AG510" s="159"/>
      <c r="AH510" s="160">
        <f t="shared" si="72"/>
        <v>39199.399999999987</v>
      </c>
      <c r="AI510" s="161">
        <f t="shared" si="79"/>
        <v>0</v>
      </c>
      <c r="AJ510" s="165"/>
      <c r="AK510" s="164"/>
      <c r="AL510" s="158">
        <f>SUMIFS([1]BV_Data_An_Prec!$AM:$AM,[1]BV_Data_An_Prec!$AQ:$AQ,$V510)</f>
        <v>89649.07</v>
      </c>
      <c r="AM510" s="162"/>
      <c r="AN510" s="160">
        <f t="shared" si="76"/>
        <v>-50449.67000000002</v>
      </c>
      <c r="AO510" s="349">
        <f t="shared" si="77"/>
        <v>-0.56274616122621257</v>
      </c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</row>
    <row r="511" spans="1:61" ht="15.75" customHeight="1">
      <c r="A511" s="410" t="s">
        <v>43</v>
      </c>
      <c r="B511" s="3"/>
      <c r="C511" s="336" t="s">
        <v>491</v>
      </c>
      <c r="V511" s="271" t="s">
        <v>43</v>
      </c>
      <c r="W511" s="163" t="s">
        <v>139</v>
      </c>
      <c r="X511" s="157"/>
      <c r="Y511" s="157"/>
      <c r="Z511" s="158">
        <f t="shared" si="80"/>
        <v>0</v>
      </c>
      <c r="AA511" s="157"/>
      <c r="AB511" s="157"/>
      <c r="AC511" s="158"/>
      <c r="AD511" s="165"/>
      <c r="AE511" s="164"/>
      <c r="AF511" s="158">
        <f>+SUMIF($C:$C,$V511,L:L)</f>
        <v>15574.6</v>
      </c>
      <c r="AG511" s="159"/>
      <c r="AH511" s="160">
        <f t="shared" si="72"/>
        <v>15574.6</v>
      </c>
      <c r="AI511" s="161">
        <f t="shared" si="79"/>
        <v>0</v>
      </c>
      <c r="AJ511" s="165"/>
      <c r="AK511" s="164"/>
      <c r="AL511" s="158">
        <f>SUMIFS([1]BV_Data_An_Prec!$AM:$AM,[1]BV_Data_An_Prec!$AQ:$AQ,$V511)</f>
        <v>0</v>
      </c>
      <c r="AM511" s="162"/>
      <c r="AN511" s="160">
        <f t="shared" si="76"/>
        <v>15574.6</v>
      </c>
      <c r="AO511" s="349">
        <f t="shared" si="77"/>
        <v>0</v>
      </c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</row>
    <row r="512" spans="1:61" ht="17.399999999999999" hidden="1" customHeight="1">
      <c r="A512" s="410" t="s">
        <v>19</v>
      </c>
      <c r="B512" s="3"/>
      <c r="C512" s="336" t="s">
        <v>491</v>
      </c>
      <c r="V512" s="271" t="s">
        <v>19</v>
      </c>
      <c r="W512" s="163"/>
      <c r="X512" s="157"/>
      <c r="Y512" s="157"/>
      <c r="Z512" s="158">
        <f t="shared" si="80"/>
        <v>0</v>
      </c>
      <c r="AA512" s="157"/>
      <c r="AB512" s="157"/>
      <c r="AC512" s="158"/>
      <c r="AD512" s="165"/>
      <c r="AE512" s="164"/>
      <c r="AF512" s="158">
        <f>IFERROR(SUMIF($C:$C,$V512,L:L),0)</f>
        <v>0</v>
      </c>
      <c r="AG512" s="159"/>
      <c r="AH512" s="160">
        <f t="shared" ref="AH512:AH544" si="81">AF512-Z512</f>
        <v>0</v>
      </c>
      <c r="AI512" s="161">
        <f t="shared" si="79"/>
        <v>0</v>
      </c>
      <c r="AJ512" s="165"/>
      <c r="AK512" s="164"/>
      <c r="AL512" s="158">
        <f>SUMIFS([1]BV_Data_An_Prec!$AM:$AM,[1]BV_Data_An_Prec!$AQ:$AQ,$V512)</f>
        <v>0</v>
      </c>
      <c r="AM512" s="162"/>
      <c r="AN512" s="160">
        <f t="shared" si="76"/>
        <v>0</v>
      </c>
      <c r="AO512" s="349">
        <f t="shared" si="77"/>
        <v>0</v>
      </c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</row>
    <row r="513" spans="1:62" ht="17.399999999999999" hidden="1" customHeight="1">
      <c r="A513" s="410" t="s">
        <v>19</v>
      </c>
      <c r="B513" s="3"/>
      <c r="C513" s="336" t="s">
        <v>491</v>
      </c>
      <c r="V513" s="271" t="s">
        <v>19</v>
      </c>
      <c r="W513" s="163"/>
      <c r="X513" s="157"/>
      <c r="Y513" s="157"/>
      <c r="Z513" s="158">
        <f t="shared" si="80"/>
        <v>0</v>
      </c>
      <c r="AA513" s="157"/>
      <c r="AB513" s="157"/>
      <c r="AC513" s="158"/>
      <c r="AD513" s="165"/>
      <c r="AE513" s="164"/>
      <c r="AF513" s="158">
        <f>IFERROR(SUMIF($C:$C,$V513,L:L),0)</f>
        <v>0</v>
      </c>
      <c r="AG513" s="159"/>
      <c r="AH513" s="160">
        <f t="shared" si="81"/>
        <v>0</v>
      </c>
      <c r="AI513" s="161">
        <f t="shared" si="79"/>
        <v>0</v>
      </c>
      <c r="AJ513" s="165"/>
      <c r="AK513" s="164"/>
      <c r="AL513" s="158">
        <f>SUMIFS([1]BV_Data_An_Prec!$AM:$AM,[1]BV_Data_An_Prec!$AQ:$AQ,$V513)</f>
        <v>0</v>
      </c>
      <c r="AM513" s="162"/>
      <c r="AN513" s="160">
        <f t="shared" ref="AN513:AN561" si="82">AF513-AL513</f>
        <v>0</v>
      </c>
      <c r="AO513" s="349">
        <f t="shared" si="77"/>
        <v>0</v>
      </c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</row>
    <row r="514" spans="1:62" ht="17.399999999999999" hidden="1" customHeight="1">
      <c r="A514" s="410" t="s">
        <v>19</v>
      </c>
      <c r="B514" s="3"/>
      <c r="C514" s="336" t="s">
        <v>491</v>
      </c>
      <c r="V514" s="271" t="s">
        <v>19</v>
      </c>
      <c r="W514" s="163"/>
      <c r="X514" s="157"/>
      <c r="Y514" s="157"/>
      <c r="Z514" s="158">
        <f t="shared" si="80"/>
        <v>0</v>
      </c>
      <c r="AA514" s="157"/>
      <c r="AB514" s="157"/>
      <c r="AC514" s="158"/>
      <c r="AD514" s="165"/>
      <c r="AE514" s="164"/>
      <c r="AF514" s="158">
        <f>IFERROR(SUMIF($C:$C,$V514,L:L),0)</f>
        <v>0</v>
      </c>
      <c r="AG514" s="159"/>
      <c r="AH514" s="160">
        <f t="shared" si="81"/>
        <v>0</v>
      </c>
      <c r="AI514" s="161">
        <f t="shared" si="79"/>
        <v>0</v>
      </c>
      <c r="AJ514" s="165"/>
      <c r="AK514" s="164"/>
      <c r="AL514" s="158">
        <f>SUMIFS([1]BV_Data_An_Prec!$AM:$AM,[1]BV_Data_An_Prec!$AQ:$AQ,$V514)</f>
        <v>0</v>
      </c>
      <c r="AM514" s="162"/>
      <c r="AN514" s="160">
        <f t="shared" si="82"/>
        <v>0</v>
      </c>
      <c r="AO514" s="349">
        <f t="shared" si="77"/>
        <v>0</v>
      </c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</row>
    <row r="515" spans="1:62" ht="15.75" customHeight="1">
      <c r="A515" s="410" t="s">
        <v>44</v>
      </c>
      <c r="B515" s="3"/>
      <c r="C515" s="336" t="s">
        <v>491</v>
      </c>
      <c r="V515" s="272" t="s">
        <v>44</v>
      </c>
      <c r="W515" s="166" t="s">
        <v>140</v>
      </c>
      <c r="X515" s="145"/>
      <c r="Y515" s="352" t="e">
        <f>Z515/(SUM(Z507:Z511)+E268-F268+Z496+Z497)</f>
        <v>#DIV/0!</v>
      </c>
      <c r="Z515" s="146">
        <f t="shared" si="80"/>
        <v>0</v>
      </c>
      <c r="AA515" s="145"/>
      <c r="AB515" s="145"/>
      <c r="AC515" s="146"/>
      <c r="AD515" s="168"/>
      <c r="AE515" s="167"/>
      <c r="AF515" s="146">
        <f>+SUMIF($C:$C,$V515,L:L)</f>
        <v>40786.89</v>
      </c>
      <c r="AG515" s="147"/>
      <c r="AH515" s="148">
        <f t="shared" si="81"/>
        <v>40786.89</v>
      </c>
      <c r="AI515" s="169">
        <f t="shared" si="79"/>
        <v>0</v>
      </c>
      <c r="AJ515" s="168"/>
      <c r="AK515" s="167"/>
      <c r="AL515" s="146">
        <f>SUMIFS([1]BV_Data_An_Prec!$AM:$AM,[1]BV_Data_An_Prec!$AQ:$AQ,$V515)</f>
        <v>53444.460000000006</v>
      </c>
      <c r="AM515" s="150"/>
      <c r="AN515" s="148">
        <f t="shared" si="82"/>
        <v>-12657.570000000007</v>
      </c>
      <c r="AO515" s="343">
        <f t="shared" si="77"/>
        <v>-0.2368359601724857</v>
      </c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</row>
    <row r="516" spans="1:62" ht="15.75" customHeight="1">
      <c r="A516" s="410" t="s">
        <v>45</v>
      </c>
      <c r="B516" s="3"/>
      <c r="C516" s="336" t="s">
        <v>491</v>
      </c>
      <c r="V516" s="271" t="s">
        <v>45</v>
      </c>
      <c r="W516" s="163" t="s">
        <v>141</v>
      </c>
      <c r="X516" s="157"/>
      <c r="Y516" s="353" t="e">
        <f>Z516/(SUM(Z507:Z511)+E268-F268+Z496+Z497)</f>
        <v>#DIV/0!</v>
      </c>
      <c r="Z516" s="158">
        <f t="shared" si="80"/>
        <v>0</v>
      </c>
      <c r="AA516" s="157"/>
      <c r="AB516" s="157"/>
      <c r="AC516" s="158"/>
      <c r="AD516" s="165"/>
      <c r="AE516" s="164"/>
      <c r="AF516" s="158">
        <f>+SUMIF($C:$C,$V516,L:L)</f>
        <v>50179.549999999996</v>
      </c>
      <c r="AG516" s="159"/>
      <c r="AH516" s="160">
        <f t="shared" si="81"/>
        <v>50179.549999999996</v>
      </c>
      <c r="AI516" s="161">
        <f t="shared" si="79"/>
        <v>0</v>
      </c>
      <c r="AJ516" s="165"/>
      <c r="AK516" s="164"/>
      <c r="AL516" s="158">
        <f>SUMIFS([1]BV_Data_An_Prec!$AM:$AM,[1]BV_Data_An_Prec!$AQ:$AQ,$V516)</f>
        <v>43676.28</v>
      </c>
      <c r="AM516" s="162"/>
      <c r="AN516" s="160">
        <f t="shared" si="82"/>
        <v>6503.2699999999968</v>
      </c>
      <c r="AO516" s="349">
        <f t="shared" si="77"/>
        <v>0.14889706724107449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</row>
    <row r="517" spans="1:62" ht="15.75" customHeight="1">
      <c r="A517" s="410" t="s">
        <v>46</v>
      </c>
      <c r="B517" s="3"/>
      <c r="C517" s="336" t="s">
        <v>491</v>
      </c>
      <c r="V517" s="271" t="s">
        <v>46</v>
      </c>
      <c r="W517" s="163" t="s">
        <v>142</v>
      </c>
      <c r="X517" s="157"/>
      <c r="Y517" s="353" t="e">
        <f>Z517/(SUM(Z507:Z511)+E268-F268+Z497+Z496)</f>
        <v>#DIV/0!</v>
      </c>
      <c r="Z517" s="158">
        <f t="shared" si="80"/>
        <v>0</v>
      </c>
      <c r="AA517" s="157"/>
      <c r="AB517" s="157"/>
      <c r="AC517" s="158"/>
      <c r="AD517" s="165"/>
      <c r="AE517" s="164"/>
      <c r="AF517" s="158">
        <f>+SUMIF($C:$C,$V517,L:L)</f>
        <v>10900.640000000003</v>
      </c>
      <c r="AG517" s="159"/>
      <c r="AH517" s="160">
        <f t="shared" si="81"/>
        <v>10900.640000000003</v>
      </c>
      <c r="AI517" s="161">
        <f t="shared" si="79"/>
        <v>0</v>
      </c>
      <c r="AJ517" s="165"/>
      <c r="AK517" s="164"/>
      <c r="AL517" s="158">
        <f>SUMIFS([1]BV_Data_An_Prec!$AM:$AM,[1]BV_Data_An_Prec!$AQ:$AQ,$V517)</f>
        <v>17620.96</v>
      </c>
      <c r="AM517" s="162"/>
      <c r="AN517" s="160">
        <f t="shared" si="82"/>
        <v>-6720.3199999999961</v>
      </c>
      <c r="AO517" s="349">
        <f t="shared" si="77"/>
        <v>-0.38138217214045073</v>
      </c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</row>
    <row r="518" spans="1:62" ht="15.75" customHeight="1">
      <c r="A518" s="410" t="s">
        <v>47</v>
      </c>
      <c r="B518" s="3"/>
      <c r="C518" s="336" t="s">
        <v>491</v>
      </c>
      <c r="V518" s="271" t="s">
        <v>47</v>
      </c>
      <c r="W518" s="163"/>
      <c r="X518" s="157"/>
      <c r="Y518" s="157"/>
      <c r="Z518" s="158">
        <f t="shared" si="80"/>
        <v>0</v>
      </c>
      <c r="AA518" s="157"/>
      <c r="AB518" s="157"/>
      <c r="AC518" s="158"/>
      <c r="AD518" s="165"/>
      <c r="AE518" s="164"/>
      <c r="AF518" s="158">
        <f>+SUMIF($C:$C,$V518,L:L)</f>
        <v>11635.760000000002</v>
      </c>
      <c r="AG518" s="159"/>
      <c r="AH518" s="160">
        <f t="shared" si="81"/>
        <v>11635.760000000002</v>
      </c>
      <c r="AI518" s="177">
        <f t="shared" si="79"/>
        <v>0</v>
      </c>
      <c r="AJ518" s="165"/>
      <c r="AK518" s="164"/>
      <c r="AL518" s="158">
        <f>SUMIFS([1]BV_Data_An_Prec!$AM:$AM,[1]BV_Data_An_Prec!$AQ:$AQ,$V518)</f>
        <v>1233.23</v>
      </c>
      <c r="AM518" s="162"/>
      <c r="AN518" s="160">
        <f t="shared" si="82"/>
        <v>10402.530000000002</v>
      </c>
      <c r="AO518" s="349">
        <f t="shared" si="77"/>
        <v>8.4351905159621499</v>
      </c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</row>
    <row r="519" spans="1:62" ht="20.399999999999999" hidden="1" customHeight="1">
      <c r="A519" s="410" t="s">
        <v>19</v>
      </c>
      <c r="B519" s="3"/>
      <c r="C519" s="336" t="s">
        <v>491</v>
      </c>
      <c r="V519" s="26" t="s">
        <v>19</v>
      </c>
      <c r="W519" s="163"/>
      <c r="X519" s="157"/>
      <c r="Y519" s="164"/>
      <c r="Z519" s="158">
        <f>IFERROR(SUMIF($C:$C,$V519,F:F),0)</f>
        <v>0</v>
      </c>
      <c r="AA519" s="157"/>
      <c r="AB519" s="157"/>
      <c r="AC519" s="158"/>
      <c r="AD519" s="165"/>
      <c r="AE519" s="164"/>
      <c r="AF519" s="158">
        <f>IFERROR(SUMIF($C:$C,$V519,L:L),0)</f>
        <v>0</v>
      </c>
      <c r="AG519" s="159"/>
      <c r="AH519" s="160">
        <f t="shared" si="81"/>
        <v>0</v>
      </c>
      <c r="AI519" s="161">
        <f t="shared" si="79"/>
        <v>0</v>
      </c>
      <c r="AJ519" s="165"/>
      <c r="AK519" s="164"/>
      <c r="AL519" s="158">
        <f>IFERROR(SUMIF($C:$C,$V519,R:R),0)</f>
        <v>0</v>
      </c>
      <c r="AM519" s="162"/>
      <c r="AN519" s="160">
        <f t="shared" si="82"/>
        <v>0</v>
      </c>
      <c r="AO519" s="343">
        <f t="shared" si="77"/>
        <v>0</v>
      </c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</row>
    <row r="520" spans="1:62" ht="21" customHeight="1">
      <c r="A520" s="410" t="s">
        <v>48</v>
      </c>
      <c r="B520" s="3"/>
      <c r="C520" s="336" t="s">
        <v>491</v>
      </c>
      <c r="V520" s="351" t="s">
        <v>48</v>
      </c>
      <c r="W520" s="170"/>
      <c r="X520" s="171" t="e">
        <f>Z520/Z494</f>
        <v>#REF!</v>
      </c>
      <c r="Y520" s="170"/>
      <c r="Z520" s="172">
        <f>SUM(Z507:Z519)</f>
        <v>0</v>
      </c>
      <c r="AA520" s="171"/>
      <c r="AB520" s="170"/>
      <c r="AC520" s="172"/>
      <c r="AD520" s="173">
        <f>AF520/AF494</f>
        <v>0.46449925567879935</v>
      </c>
      <c r="AE520" s="178"/>
      <c r="AF520" s="172">
        <f>SUM(AF507:AF519)</f>
        <v>274285.77</v>
      </c>
      <c r="AG520" s="174"/>
      <c r="AH520" s="175">
        <f t="shared" si="81"/>
        <v>274285.77</v>
      </c>
      <c r="AI520" s="171" t="e">
        <f>AH520/Z520</f>
        <v>#DIV/0!</v>
      </c>
      <c r="AJ520" s="173">
        <f>AL520/AL494</f>
        <v>0.38998880917584466</v>
      </c>
      <c r="AK520" s="178"/>
      <c r="AL520" s="172">
        <f>SUM(AL507:AL519)</f>
        <v>331128.03999999998</v>
      </c>
      <c r="AM520" s="180"/>
      <c r="AN520" s="175">
        <f t="shared" si="82"/>
        <v>-56842.26999999996</v>
      </c>
      <c r="AO520" s="346">
        <f t="shared" si="77"/>
        <v>-0.17166250855711274</v>
      </c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</row>
    <row r="521" spans="1:62" ht="15.75" customHeight="1">
      <c r="A521" s="410" t="s">
        <v>49</v>
      </c>
      <c r="B521" s="3"/>
      <c r="C521" s="336" t="s">
        <v>491</v>
      </c>
      <c r="V521" s="329" t="s">
        <v>49</v>
      </c>
      <c r="W521" s="181" t="s">
        <v>132</v>
      </c>
      <c r="X521" s="182"/>
      <c r="Y521" s="182"/>
      <c r="Z521" s="183">
        <f t="shared" ref="Z521:Z535" si="83">+SUMIF($C:$C,$V521,F:F)</f>
        <v>0</v>
      </c>
      <c r="AA521" s="182"/>
      <c r="AB521" s="182"/>
      <c r="AC521" s="183"/>
      <c r="AD521" s="184"/>
      <c r="AE521" s="185"/>
      <c r="AF521" s="183">
        <f>+SUMIF($C:$C,$V521,L:L)</f>
        <v>2511.9599999999987</v>
      </c>
      <c r="AG521" s="184"/>
      <c r="AH521" s="186">
        <f t="shared" si="81"/>
        <v>2511.9599999999987</v>
      </c>
      <c r="AI521" s="187">
        <f t="shared" ref="AI521:AI538" si="84">IF(Z521=0,0,AH521/Z521)</f>
        <v>0</v>
      </c>
      <c r="AJ521" s="184"/>
      <c r="AK521" s="185"/>
      <c r="AL521" s="183">
        <f>SUMIFS([1]BV_Data_An_Prec!$AM:$AM,[1]BV_Data_An_Prec!$AQ:$AQ,$V521)</f>
        <v>2235.0999999999995</v>
      </c>
      <c r="AM521" s="188"/>
      <c r="AN521" s="186">
        <f t="shared" si="82"/>
        <v>276.85999999999922</v>
      </c>
      <c r="AO521" s="348">
        <f t="shared" si="77"/>
        <v>0.12386917811283579</v>
      </c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</row>
    <row r="522" spans="1:62" ht="15.75" customHeight="1">
      <c r="A522" s="410" t="s">
        <v>50</v>
      </c>
      <c r="B522" s="3"/>
      <c r="C522" s="336" t="s">
        <v>491</v>
      </c>
      <c r="V522" s="271" t="s">
        <v>50</v>
      </c>
      <c r="W522" s="163" t="s">
        <v>143</v>
      </c>
      <c r="X522" s="157"/>
      <c r="Y522" s="157"/>
      <c r="Z522" s="158">
        <f t="shared" si="83"/>
        <v>0</v>
      </c>
      <c r="AA522" s="157"/>
      <c r="AB522" s="157"/>
      <c r="AC522" s="158"/>
      <c r="AD522" s="165"/>
      <c r="AE522" s="164"/>
      <c r="AF522" s="158">
        <f>+SUMIF($C:$C,$V522,L:L)</f>
        <v>9621.94</v>
      </c>
      <c r="AG522" s="159"/>
      <c r="AH522" s="160">
        <f t="shared" si="81"/>
        <v>9621.94</v>
      </c>
      <c r="AI522" s="161">
        <f t="shared" si="84"/>
        <v>0</v>
      </c>
      <c r="AJ522" s="165"/>
      <c r="AK522" s="164"/>
      <c r="AL522" s="158">
        <f>SUMIFS([1]BV_Data_An_Prec!$AM:$AM,[1]BV_Data_An_Prec!$AQ:$AQ,$V522)</f>
        <v>3709.4199999999992</v>
      </c>
      <c r="AM522" s="162"/>
      <c r="AN522" s="160">
        <f t="shared" si="82"/>
        <v>5912.5200000000013</v>
      </c>
      <c r="AO522" s="349">
        <f t="shared" si="77"/>
        <v>1.5939203433420865</v>
      </c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</row>
    <row r="523" spans="1:62" ht="15.75" customHeight="1">
      <c r="A523" s="410" t="s">
        <v>51</v>
      </c>
      <c r="B523" s="3"/>
      <c r="C523" s="336" t="s">
        <v>491</v>
      </c>
      <c r="U523" s="386"/>
      <c r="V523" s="272" t="s">
        <v>51</v>
      </c>
      <c r="W523" s="166" t="s">
        <v>144</v>
      </c>
      <c r="X523" s="145"/>
      <c r="Y523" s="145"/>
      <c r="Z523" s="146">
        <f t="shared" si="83"/>
        <v>0</v>
      </c>
      <c r="AA523" s="145"/>
      <c r="AB523" s="145"/>
      <c r="AC523" s="146"/>
      <c r="AD523" s="168"/>
      <c r="AE523" s="167"/>
      <c r="AF523" s="146">
        <f>+SUMIF($C:$C,$V523,L:L)</f>
        <v>23770.319999999992</v>
      </c>
      <c r="AG523" s="147"/>
      <c r="AH523" s="148">
        <f t="shared" si="81"/>
        <v>23770.319999999992</v>
      </c>
      <c r="AI523" s="169">
        <f t="shared" si="84"/>
        <v>0</v>
      </c>
      <c r="AJ523" s="168"/>
      <c r="AK523" s="167"/>
      <c r="AL523" s="146">
        <f>SUMIFS([1]BV_Data_An_Prec!$AM:$AM,[1]BV_Data_An_Prec!$AQ:$AQ,$V523)</f>
        <v>35756.459999999992</v>
      </c>
      <c r="AM523" s="150"/>
      <c r="AN523" s="148">
        <f t="shared" si="82"/>
        <v>-11986.14</v>
      </c>
      <c r="AO523" s="343">
        <f t="shared" si="77"/>
        <v>-0.33521607004720272</v>
      </c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</row>
    <row r="524" spans="1:62" ht="15.75" customHeight="1">
      <c r="A524" s="410" t="s">
        <v>52</v>
      </c>
      <c r="B524" s="3"/>
      <c r="C524" s="336" t="s">
        <v>491</v>
      </c>
      <c r="U524" s="386"/>
      <c r="V524" s="271" t="s">
        <v>52</v>
      </c>
      <c r="W524" s="163" t="s">
        <v>145</v>
      </c>
      <c r="X524" s="157"/>
      <c r="Y524" s="157"/>
      <c r="Z524" s="158">
        <f t="shared" si="83"/>
        <v>0</v>
      </c>
      <c r="AA524" s="157"/>
      <c r="AB524" s="157"/>
      <c r="AC524" s="158"/>
      <c r="AD524" s="165"/>
      <c r="AE524" s="164"/>
      <c r="AF524" s="158">
        <f>+SUMIF($C:$C,$V524,L:L)</f>
        <v>14959.69</v>
      </c>
      <c r="AG524" s="159"/>
      <c r="AH524" s="160">
        <f t="shared" si="81"/>
        <v>14959.69</v>
      </c>
      <c r="AI524" s="161">
        <f t="shared" si="84"/>
        <v>0</v>
      </c>
      <c r="AJ524" s="165"/>
      <c r="AK524" s="164"/>
      <c r="AL524" s="158">
        <f>SUMIFS([1]BV_Data_An_Prec!$AM:$AM,[1]BV_Data_An_Prec!$AQ:$AQ,$V524)</f>
        <v>12222.409999999998</v>
      </c>
      <c r="AM524" s="162"/>
      <c r="AN524" s="160">
        <f t="shared" si="82"/>
        <v>2737.2800000000025</v>
      </c>
      <c r="AO524" s="349">
        <f t="shared" si="77"/>
        <v>0.22395583195130936</v>
      </c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</row>
    <row r="525" spans="1:62" ht="15.75" customHeight="1">
      <c r="A525" s="410" t="s">
        <v>53</v>
      </c>
      <c r="B525" s="3"/>
      <c r="C525" s="336" t="s">
        <v>491</v>
      </c>
      <c r="U525" s="386"/>
      <c r="V525" s="271" t="s">
        <v>53</v>
      </c>
      <c r="W525" s="163" t="s">
        <v>146</v>
      </c>
      <c r="X525" s="157"/>
      <c r="Y525" s="157"/>
      <c r="Z525" s="158">
        <f t="shared" si="83"/>
        <v>0</v>
      </c>
      <c r="AA525" s="157"/>
      <c r="AB525" s="157"/>
      <c r="AC525" s="158"/>
      <c r="AD525" s="165"/>
      <c r="AE525" s="164"/>
      <c r="AF525" s="158">
        <f>+SUMIF($C:$C,$V525,L:L)</f>
        <v>2282.8000000000025</v>
      </c>
      <c r="AG525" s="159"/>
      <c r="AH525" s="160">
        <f t="shared" si="81"/>
        <v>2282.8000000000025</v>
      </c>
      <c r="AI525" s="161">
        <f t="shared" si="84"/>
        <v>0</v>
      </c>
      <c r="AJ525" s="165"/>
      <c r="AK525" s="164"/>
      <c r="AL525" s="158">
        <f>SUMIFS([1]BV_Data_An_Prec!$AM:$AM,[1]BV_Data_An_Prec!$AQ:$AQ,$V525)</f>
        <v>7068.2400000000061</v>
      </c>
      <c r="AM525" s="162"/>
      <c r="AN525" s="160">
        <f t="shared" si="82"/>
        <v>-4785.4400000000041</v>
      </c>
      <c r="AO525" s="349">
        <f t="shared" si="77"/>
        <v>-0.67703416975088559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</row>
    <row r="526" spans="1:62" ht="15.75" customHeight="1">
      <c r="A526" s="410" t="s">
        <v>54</v>
      </c>
      <c r="B526" s="3"/>
      <c r="C526" s="336" t="s">
        <v>491</v>
      </c>
      <c r="V526" s="271" t="s">
        <v>54</v>
      </c>
      <c r="W526" s="163" t="s">
        <v>147</v>
      </c>
      <c r="X526" s="157"/>
      <c r="Y526" s="157"/>
      <c r="Z526" s="158">
        <f t="shared" si="83"/>
        <v>0</v>
      </c>
      <c r="AA526" s="157"/>
      <c r="AB526" s="157"/>
      <c r="AC526" s="158"/>
      <c r="AD526" s="165"/>
      <c r="AE526" s="164"/>
      <c r="AF526" s="158">
        <f>SUMIFS([1]BV_Data_An_Cour!$AM:$AM,[1]BV_Data_An_Cour!$AQ:$AQ,$V526)</f>
        <v>22492.410000000007</v>
      </c>
      <c r="AG526" s="159"/>
      <c r="AH526" s="160">
        <f t="shared" si="81"/>
        <v>22492.410000000007</v>
      </c>
      <c r="AI526" s="161">
        <f t="shared" si="84"/>
        <v>0</v>
      </c>
      <c r="AJ526" s="165"/>
      <c r="AK526" s="164"/>
      <c r="AL526" s="158">
        <f>SUMIFS([1]BV_Data_An_Prec!$AM:$AM,[1]BV_Data_An_Prec!$AQ:$AQ,$V526)</f>
        <v>34695.480000000003</v>
      </c>
      <c r="AM526" s="162"/>
      <c r="AN526" s="160">
        <f t="shared" si="82"/>
        <v>-12203.069999999996</v>
      </c>
      <c r="AO526" s="349">
        <f t="shared" si="77"/>
        <v>-0.35171930176495597</v>
      </c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</row>
    <row r="527" spans="1:62" ht="15.75" customHeight="1">
      <c r="B527" s="3"/>
      <c r="C527" s="336" t="s">
        <v>491</v>
      </c>
      <c r="V527" s="329" t="s">
        <v>93</v>
      </c>
      <c r="W527" s="181"/>
      <c r="X527" s="182"/>
      <c r="Y527" s="182"/>
      <c r="Z527" s="183">
        <f t="shared" si="83"/>
        <v>0</v>
      </c>
      <c r="AA527" s="182"/>
      <c r="AB527" s="182"/>
      <c r="AC527" s="183"/>
      <c r="AD527" s="184"/>
      <c r="AE527" s="185"/>
      <c r="AF527" s="183">
        <f t="shared" ref="AF527:AF532" si="85">+SUMIF($C:$C,$V527,L:L)</f>
        <v>0</v>
      </c>
      <c r="AG527" s="355"/>
      <c r="AH527" s="186">
        <f t="shared" si="81"/>
        <v>0</v>
      </c>
      <c r="AI527" s="187">
        <f t="shared" si="84"/>
        <v>0</v>
      </c>
      <c r="AJ527" s="184"/>
      <c r="AK527" s="185"/>
      <c r="AL527" s="183">
        <f>SUMIFS([1]BV_Data_An_Prec!$AM:$AM,[1]BV_Data_An_Prec!$AQ:$AQ,$V527)</f>
        <v>0</v>
      </c>
      <c r="AM527" s="188"/>
      <c r="AN527" s="186">
        <f t="shared" si="82"/>
        <v>0</v>
      </c>
      <c r="AO527" s="348">
        <f t="shared" si="77"/>
        <v>0</v>
      </c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</row>
    <row r="528" spans="1:62" ht="15.75" customHeight="1">
      <c r="A528" s="410" t="s">
        <v>55</v>
      </c>
      <c r="B528" s="3"/>
      <c r="C528" s="336" t="s">
        <v>491</v>
      </c>
      <c r="V528" s="271" t="s">
        <v>55</v>
      </c>
      <c r="W528" s="163" t="s">
        <v>148</v>
      </c>
      <c r="X528" s="157"/>
      <c r="Y528" s="164"/>
      <c r="Z528" s="158">
        <f t="shared" si="83"/>
        <v>0</v>
      </c>
      <c r="AA528" s="157"/>
      <c r="AB528" s="164"/>
      <c r="AC528" s="158"/>
      <c r="AD528" s="165"/>
      <c r="AE528" s="164"/>
      <c r="AF528" s="158">
        <f t="shared" si="85"/>
        <v>11835.479999999996</v>
      </c>
      <c r="AG528" s="159"/>
      <c r="AH528" s="160">
        <f t="shared" si="81"/>
        <v>11835.479999999996</v>
      </c>
      <c r="AI528" s="161">
        <f t="shared" si="84"/>
        <v>0</v>
      </c>
      <c r="AJ528" s="165"/>
      <c r="AK528" s="164"/>
      <c r="AL528" s="158">
        <f>SUMIFS([1]BV_Data_An_Prec!$AM:$AM,[1]BV_Data_An_Prec!$AQ:$AQ,$V528)</f>
        <v>9011.630000000001</v>
      </c>
      <c r="AM528" s="162"/>
      <c r="AN528" s="160">
        <f t="shared" si="82"/>
        <v>2823.8499999999949</v>
      </c>
      <c r="AO528" s="349">
        <f t="shared" si="77"/>
        <v>0.31335618528501441</v>
      </c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spans="1:62" ht="15.75" customHeight="1">
      <c r="A529" s="410" t="s">
        <v>56</v>
      </c>
      <c r="B529" s="3"/>
      <c r="C529" s="336" t="s">
        <v>491</v>
      </c>
      <c r="U529" s="6"/>
      <c r="V529" s="271" t="s">
        <v>56</v>
      </c>
      <c r="W529" s="163" t="s">
        <v>149</v>
      </c>
      <c r="X529" s="157"/>
      <c r="Y529" s="157"/>
      <c r="Z529" s="158">
        <f t="shared" si="83"/>
        <v>0</v>
      </c>
      <c r="AA529" s="157"/>
      <c r="AB529" s="157"/>
      <c r="AC529" s="158"/>
      <c r="AD529" s="165"/>
      <c r="AE529" s="164"/>
      <c r="AF529" s="158">
        <f t="shared" si="85"/>
        <v>0</v>
      </c>
      <c r="AG529" s="159"/>
      <c r="AH529" s="160">
        <f t="shared" si="81"/>
        <v>0</v>
      </c>
      <c r="AI529" s="177">
        <f t="shared" si="84"/>
        <v>0</v>
      </c>
      <c r="AJ529" s="165"/>
      <c r="AK529" s="164"/>
      <c r="AL529" s="158">
        <f>SUMIFS([1]BV_Data_An_Prec!$AM:$AM,[1]BV_Data_An_Prec!$AQ:$AQ,$V529)</f>
        <v>0</v>
      </c>
      <c r="AM529" s="162"/>
      <c r="AN529" s="160">
        <f t="shared" si="82"/>
        <v>0</v>
      </c>
      <c r="AO529" s="349">
        <f t="shared" si="77"/>
        <v>0</v>
      </c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spans="1:62" ht="15.75" customHeight="1">
      <c r="A530" s="410" t="s">
        <v>57</v>
      </c>
      <c r="B530" s="3"/>
      <c r="C530" s="336" t="s">
        <v>491</v>
      </c>
      <c r="T530" s="6"/>
      <c r="U530" s="6"/>
      <c r="V530" s="271" t="s">
        <v>57</v>
      </c>
      <c r="W530" s="163" t="s">
        <v>150</v>
      </c>
      <c r="X530" s="157"/>
      <c r="Y530" s="157"/>
      <c r="Z530" s="158">
        <f t="shared" si="83"/>
        <v>0</v>
      </c>
      <c r="AA530" s="157"/>
      <c r="AB530" s="157"/>
      <c r="AC530" s="158"/>
      <c r="AD530" s="165"/>
      <c r="AE530" s="164"/>
      <c r="AF530" s="158">
        <f t="shared" si="85"/>
        <v>2223.4799999999982</v>
      </c>
      <c r="AG530" s="159"/>
      <c r="AH530" s="160">
        <f t="shared" si="81"/>
        <v>2223.4799999999982</v>
      </c>
      <c r="AI530" s="161">
        <f t="shared" si="84"/>
        <v>0</v>
      </c>
      <c r="AJ530" s="165"/>
      <c r="AK530" s="164"/>
      <c r="AL530" s="158">
        <f>SUMIFS([1]BV_Data_An_Prec!$AM:$AM,[1]BV_Data_An_Prec!$AQ:$AQ,$V530)</f>
        <v>3388.9999999999977</v>
      </c>
      <c r="AM530" s="162"/>
      <c r="AN530" s="160">
        <f t="shared" si="82"/>
        <v>-1165.5199999999995</v>
      </c>
      <c r="AO530" s="349">
        <f t="shared" si="77"/>
        <v>-0.34391265860135745</v>
      </c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spans="1:62" ht="15.75" customHeight="1">
      <c r="A531" s="410" t="s">
        <v>58</v>
      </c>
      <c r="B531" s="3"/>
      <c r="C531" s="336" t="s">
        <v>491</v>
      </c>
      <c r="T531" s="6"/>
      <c r="U531" s="6"/>
      <c r="V531" s="271" t="s">
        <v>58</v>
      </c>
      <c r="W531" s="163" t="s">
        <v>151</v>
      </c>
      <c r="X531" s="157"/>
      <c r="Y531" s="157"/>
      <c r="Z531" s="158">
        <f t="shared" si="83"/>
        <v>0</v>
      </c>
      <c r="AA531" s="157"/>
      <c r="AB531" s="157"/>
      <c r="AC531" s="158"/>
      <c r="AD531" s="165"/>
      <c r="AE531" s="164"/>
      <c r="AF531" s="158">
        <f t="shared" si="85"/>
        <v>2285.6500000000005</v>
      </c>
      <c r="AG531" s="159"/>
      <c r="AH531" s="160">
        <f t="shared" si="81"/>
        <v>2285.6500000000005</v>
      </c>
      <c r="AI531" s="177">
        <f t="shared" si="84"/>
        <v>0</v>
      </c>
      <c r="AJ531" s="165"/>
      <c r="AK531" s="164"/>
      <c r="AL531" s="158">
        <f>SUMIFS([1]BV_Data_An_Prec!$AM:$AM,[1]BV_Data_An_Prec!$AQ:$AQ,$V531)</f>
        <v>3484.2200000000007</v>
      </c>
      <c r="AM531" s="162"/>
      <c r="AN531" s="160">
        <f t="shared" si="82"/>
        <v>-1198.5700000000002</v>
      </c>
      <c r="AO531" s="349">
        <f t="shared" si="77"/>
        <v>-0.34399951782608446</v>
      </c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spans="1:62" ht="15.75" customHeight="1">
      <c r="A532" s="410" t="s">
        <v>59</v>
      </c>
      <c r="B532" s="3"/>
      <c r="C532" s="336" t="s">
        <v>491</v>
      </c>
      <c r="T532" s="6"/>
      <c r="U532" s="6"/>
      <c r="V532" s="271" t="s">
        <v>59</v>
      </c>
      <c r="W532" s="163" t="s">
        <v>152</v>
      </c>
      <c r="X532" s="157"/>
      <c r="Y532" s="157"/>
      <c r="Z532" s="158">
        <f t="shared" si="83"/>
        <v>0</v>
      </c>
      <c r="AA532" s="157"/>
      <c r="AB532" s="157"/>
      <c r="AC532" s="158"/>
      <c r="AD532" s="165"/>
      <c r="AE532" s="164"/>
      <c r="AF532" s="158">
        <f t="shared" si="85"/>
        <v>4919.7100000000019</v>
      </c>
      <c r="AG532" s="159"/>
      <c r="AH532" s="160">
        <f t="shared" si="81"/>
        <v>4919.7100000000019</v>
      </c>
      <c r="AI532" s="161">
        <f t="shared" si="84"/>
        <v>0</v>
      </c>
      <c r="AJ532" s="165"/>
      <c r="AK532" s="164"/>
      <c r="AL532" s="158">
        <f>SUMIFS([1]BV_Data_An_Prec!$AM:$AM,[1]BV_Data_An_Prec!$AQ:$AQ,$V532)</f>
        <v>3595.4400000000014</v>
      </c>
      <c r="AM532" s="162"/>
      <c r="AN532" s="160">
        <f t="shared" si="82"/>
        <v>1324.2700000000004</v>
      </c>
      <c r="AO532" s="349">
        <f t="shared" si="77"/>
        <v>0.36831931557750924</v>
      </c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spans="1:62" ht="15.75" customHeight="1">
      <c r="A533" s="410" t="s">
        <v>60</v>
      </c>
      <c r="B533" s="3"/>
      <c r="C533" s="336" t="s">
        <v>491</v>
      </c>
      <c r="T533" s="6"/>
      <c r="U533" s="6"/>
      <c r="V533" s="271" t="s">
        <v>60</v>
      </c>
      <c r="W533" s="163" t="s">
        <v>153</v>
      </c>
      <c r="X533" s="157"/>
      <c r="Y533" s="164"/>
      <c r="Z533" s="158">
        <f t="shared" si="83"/>
        <v>0</v>
      </c>
      <c r="AA533" s="157"/>
      <c r="AB533" s="164"/>
      <c r="AC533" s="158"/>
      <c r="AD533" s="165"/>
      <c r="AE533" s="164"/>
      <c r="AF533" s="158">
        <f>SUMIFS([1]BV_Data_An_Cour!$AM:$AM,[1]BV_Data_An_Cour!$AQ:$AQ,$V533)</f>
        <v>7530.1099999999979</v>
      </c>
      <c r="AG533" s="159"/>
      <c r="AH533" s="160">
        <f t="shared" si="81"/>
        <v>7530.1099999999979</v>
      </c>
      <c r="AI533" s="177">
        <f t="shared" si="84"/>
        <v>0</v>
      </c>
      <c r="AJ533" s="165"/>
      <c r="AK533" s="164"/>
      <c r="AL533" s="158">
        <f>SUMIFS([1]BV_Data_An_Prec!$AM:$AM,[1]BV_Data_An_Prec!$AQ:$AQ,$V533)</f>
        <v>8306.07</v>
      </c>
      <c r="AM533" s="162"/>
      <c r="AN533" s="160">
        <f t="shared" si="82"/>
        <v>-775.96000000000186</v>
      </c>
      <c r="AO533" s="349">
        <f t="shared" si="77"/>
        <v>-9.3420835605768054E-2</v>
      </c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spans="1:62" ht="15.75" customHeight="1">
      <c r="A534" s="410" t="s">
        <v>61</v>
      </c>
      <c r="B534" s="3"/>
      <c r="C534" s="336" t="s">
        <v>491</v>
      </c>
      <c r="T534" s="6"/>
      <c r="U534" s="6"/>
      <c r="V534" s="271" t="s">
        <v>61</v>
      </c>
      <c r="W534" s="163" t="s">
        <v>154</v>
      </c>
      <c r="X534" s="157"/>
      <c r="Y534" s="164"/>
      <c r="Z534" s="158">
        <f t="shared" si="83"/>
        <v>0</v>
      </c>
      <c r="AA534" s="157"/>
      <c r="AB534" s="164"/>
      <c r="AC534" s="158"/>
      <c r="AD534" s="165"/>
      <c r="AE534" s="164"/>
      <c r="AF534" s="158">
        <f>+SUMIF($C:$C,$V534,L:L)</f>
        <v>3841.74</v>
      </c>
      <c r="AG534" s="159"/>
      <c r="AH534" s="160">
        <f t="shared" si="81"/>
        <v>3841.74</v>
      </c>
      <c r="AI534" s="161">
        <f t="shared" si="84"/>
        <v>0</v>
      </c>
      <c r="AJ534" s="165"/>
      <c r="AK534" s="164"/>
      <c r="AL534" s="158">
        <f>SUMIFS([1]BV_Data_An_Prec!$AM:$AM,[1]BV_Data_An_Prec!$AQ:$AQ,$V534)</f>
        <v>1958.6000000000004</v>
      </c>
      <c r="AM534" s="162"/>
      <c r="AN534" s="160">
        <f t="shared" si="82"/>
        <v>1883.1399999999994</v>
      </c>
      <c r="AO534" s="349">
        <f t="shared" si="77"/>
        <v>0.96147248034310173</v>
      </c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spans="1:62" ht="15.75" customHeight="1">
      <c r="A535" s="410" t="s">
        <v>62</v>
      </c>
      <c r="B535" s="3"/>
      <c r="C535" s="336" t="s">
        <v>491</v>
      </c>
      <c r="T535" s="6"/>
      <c r="U535" s="6"/>
      <c r="V535" s="271" t="s">
        <v>62</v>
      </c>
      <c r="W535" s="163" t="s">
        <v>155</v>
      </c>
      <c r="X535" s="157"/>
      <c r="Y535" s="353" t="e">
        <f>Z535/Z493</f>
        <v>#REF!</v>
      </c>
      <c r="Z535" s="158">
        <f t="shared" si="83"/>
        <v>0</v>
      </c>
      <c r="AA535" s="157"/>
      <c r="AB535" s="164"/>
      <c r="AC535" s="158"/>
      <c r="AD535" s="165"/>
      <c r="AE535" s="164"/>
      <c r="AF535" s="158">
        <f>SUMIFS([1]BV_Data_An_Cour!$AM:$AM,[1]BV_Data_An_Cour!$AQ:$AQ,$V535)</f>
        <v>4992.6399999999994</v>
      </c>
      <c r="AG535" s="159"/>
      <c r="AH535" s="160">
        <f t="shared" si="81"/>
        <v>4992.6399999999994</v>
      </c>
      <c r="AI535" s="161">
        <f t="shared" si="84"/>
        <v>0</v>
      </c>
      <c r="AJ535" s="165"/>
      <c r="AK535" s="164"/>
      <c r="AL535" s="158">
        <f>SUMIFS([1]BV_Data_An_Prec!$AM:$AM,[1]BV_Data_An_Prec!$AQ:$AQ,$V535)</f>
        <v>1168.8300000000004</v>
      </c>
      <c r="AM535" s="162"/>
      <c r="AN535" s="160">
        <f t="shared" si="82"/>
        <v>3823.809999999999</v>
      </c>
      <c r="AO535" s="349">
        <f t="shared" si="77"/>
        <v>3.2714851603740476</v>
      </c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spans="1:62" ht="17.399999999999999" customHeight="1">
      <c r="A536" s="410" t="s">
        <v>19</v>
      </c>
      <c r="B536" s="3"/>
      <c r="C536" s="336" t="s">
        <v>491</v>
      </c>
      <c r="T536" s="6"/>
      <c r="U536" s="6"/>
      <c r="V536" s="271" t="s">
        <v>418</v>
      </c>
      <c r="W536" s="163"/>
      <c r="X536" s="157"/>
      <c r="Y536" s="164"/>
      <c r="Z536" s="158">
        <f>IFERROR(SUMIF($C:$C,$V536,F:F),0)</f>
        <v>0</v>
      </c>
      <c r="AA536" s="157"/>
      <c r="AB536" s="157"/>
      <c r="AC536" s="158"/>
      <c r="AD536" s="165"/>
      <c r="AE536" s="164"/>
      <c r="AF536" s="158">
        <f>IFERROR(SUMIF($C:$C,$V536,L:L),0)</f>
        <v>3075.0000000000009</v>
      </c>
      <c r="AG536" s="159"/>
      <c r="AH536" s="160">
        <f t="shared" si="81"/>
        <v>3075.0000000000009</v>
      </c>
      <c r="AI536" s="161">
        <f t="shared" si="84"/>
        <v>0</v>
      </c>
      <c r="AJ536" s="165"/>
      <c r="AK536" s="164"/>
      <c r="AL536" s="158">
        <f>IFERROR(SUMIF($C:$C,$V536,R:R),0)</f>
        <v>0</v>
      </c>
      <c r="AM536" s="162"/>
      <c r="AN536" s="160">
        <f t="shared" si="82"/>
        <v>3075.0000000000009</v>
      </c>
      <c r="AO536" s="349">
        <f t="shared" si="77"/>
        <v>0</v>
      </c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spans="1:62" ht="17.399999999999999" hidden="1" customHeight="1">
      <c r="A537" s="410" t="s">
        <v>19</v>
      </c>
      <c r="B537" s="3"/>
      <c r="C537" s="336" t="s">
        <v>491</v>
      </c>
      <c r="T537" s="6"/>
      <c r="U537" s="6"/>
      <c r="V537" s="271" t="s">
        <v>19</v>
      </c>
      <c r="W537" s="163"/>
      <c r="X537" s="157"/>
      <c r="Y537" s="164"/>
      <c r="Z537" s="158">
        <f>IFERROR(SUMIF($C:$C,$V537,F:F),0)</f>
        <v>0</v>
      </c>
      <c r="AA537" s="157"/>
      <c r="AB537" s="157"/>
      <c r="AC537" s="158"/>
      <c r="AD537" s="165"/>
      <c r="AE537" s="164"/>
      <c r="AF537" s="158">
        <f>IFERROR(SUMIF($C:$C,$V537,L:L),0)</f>
        <v>0</v>
      </c>
      <c r="AG537" s="159"/>
      <c r="AH537" s="160">
        <f t="shared" si="81"/>
        <v>0</v>
      </c>
      <c r="AI537" s="161">
        <f t="shared" si="84"/>
        <v>0</v>
      </c>
      <c r="AJ537" s="165"/>
      <c r="AK537" s="164"/>
      <c r="AL537" s="158">
        <f>IFERROR(SUMIF($C:$C,$V537,R:R),0)</f>
        <v>0</v>
      </c>
      <c r="AM537" s="162"/>
      <c r="AN537" s="160">
        <f t="shared" si="82"/>
        <v>0</v>
      </c>
      <c r="AO537" s="349">
        <f t="shared" si="77"/>
        <v>0</v>
      </c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spans="1:62" ht="17.399999999999999" hidden="1" customHeight="1">
      <c r="A538" s="410" t="s">
        <v>19</v>
      </c>
      <c r="B538" s="3"/>
      <c r="C538" s="336" t="s">
        <v>491</v>
      </c>
      <c r="T538" s="6"/>
      <c r="U538" s="6"/>
      <c r="V538" s="271" t="s">
        <v>19</v>
      </c>
      <c r="W538" s="163"/>
      <c r="X538" s="157"/>
      <c r="Y538" s="164"/>
      <c r="Z538" s="158">
        <f>IFERROR(SUMIF($C:$C,$V538,F:F),0)</f>
        <v>0</v>
      </c>
      <c r="AA538" s="157"/>
      <c r="AB538" s="157"/>
      <c r="AC538" s="158"/>
      <c r="AD538" s="165"/>
      <c r="AE538" s="164"/>
      <c r="AF538" s="158">
        <f>IFERROR(SUMIF($C:$C,$V538,L:L),0)</f>
        <v>0</v>
      </c>
      <c r="AG538" s="159"/>
      <c r="AH538" s="160">
        <f t="shared" si="81"/>
        <v>0</v>
      </c>
      <c r="AI538" s="161">
        <f t="shared" si="84"/>
        <v>0</v>
      </c>
      <c r="AJ538" s="165"/>
      <c r="AK538" s="164"/>
      <c r="AL538" s="158">
        <f>IFERROR(SUMIF($C:$C,$V538,R:R),0)</f>
        <v>0</v>
      </c>
      <c r="AM538" s="162"/>
      <c r="AN538" s="160">
        <f t="shared" si="82"/>
        <v>0</v>
      </c>
      <c r="AO538" s="349">
        <f t="shared" si="77"/>
        <v>0</v>
      </c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spans="1:62" ht="21" customHeight="1">
      <c r="A539" s="410" t="s">
        <v>63</v>
      </c>
      <c r="B539" s="3"/>
      <c r="C539" s="336" t="s">
        <v>491</v>
      </c>
      <c r="T539" s="6"/>
      <c r="U539" s="6"/>
      <c r="V539" s="351" t="s">
        <v>63</v>
      </c>
      <c r="W539" s="189"/>
      <c r="X539" s="171" t="e">
        <f>Z539/+Z494</f>
        <v>#REF!</v>
      </c>
      <c r="Y539" s="170"/>
      <c r="Z539" s="172">
        <f>+SUM(Z521:Z538)</f>
        <v>0</v>
      </c>
      <c r="AA539" s="171"/>
      <c r="AB539" s="170"/>
      <c r="AC539" s="172"/>
      <c r="AD539" s="173">
        <f>AF539/AF494</f>
        <v>0.19702518431229826</v>
      </c>
      <c r="AE539" s="170"/>
      <c r="AF539" s="172">
        <f>+SUM(AF521:AF538)</f>
        <v>116342.93000000001</v>
      </c>
      <c r="AG539" s="179"/>
      <c r="AH539" s="356">
        <f>+SUM(AH521:AH538)</f>
        <v>116342.93000000001</v>
      </c>
      <c r="AI539" s="171" t="e">
        <f>AH539/Z539</f>
        <v>#DIV/0!</v>
      </c>
      <c r="AJ539" s="173">
        <f>AL539/AL494</f>
        <v>0.14910526523694642</v>
      </c>
      <c r="AK539" s="170"/>
      <c r="AL539" s="172">
        <f>+SUM(AL521:AL538)</f>
        <v>126600.90000000001</v>
      </c>
      <c r="AM539" s="180"/>
      <c r="AN539" s="175">
        <f t="shared" si="82"/>
        <v>-10257.970000000001</v>
      </c>
      <c r="AO539" s="357">
        <f t="shared" si="77"/>
        <v>-8.1026043258776201E-2</v>
      </c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spans="1:62" ht="15.75" customHeight="1">
      <c r="A540" s="410" t="s">
        <v>156</v>
      </c>
      <c r="B540" s="3"/>
      <c r="C540" s="336" t="s">
        <v>491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271" t="s">
        <v>156</v>
      </c>
      <c r="W540" s="163" t="s">
        <v>157</v>
      </c>
      <c r="X540" s="157"/>
      <c r="Y540" s="164"/>
      <c r="Z540" s="158">
        <f>+INDEX('[1]Budget original'!$A$2:$AO$501,MATCH($A540,'[1]Budget original'!$A$2:$A$501,0),MATCH(F$2,'[1]Budget original'!$A$2:$AO$2,0))</f>
        <v>0</v>
      </c>
      <c r="AA540" s="157"/>
      <c r="AB540" s="164"/>
      <c r="AC540" s="158"/>
      <c r="AD540" s="165"/>
      <c r="AE540" s="164"/>
      <c r="AF540" s="158">
        <f>SUMIFS([1]BV_Data_An_Cour!$AM:$AM,[1]BV_Data_An_Cour!$AQ:$AQ,$V540)</f>
        <v>71050</v>
      </c>
      <c r="AG540" s="159"/>
      <c r="AH540" s="160">
        <f t="shared" ref="AH540:AH548" si="86">AF540-Z540</f>
        <v>71050</v>
      </c>
      <c r="AI540" s="161">
        <f t="shared" ref="AI540:AI548" si="87">IF(Z540=0,0,AH540/Z540)</f>
        <v>0</v>
      </c>
      <c r="AJ540" s="165"/>
      <c r="AK540" s="164"/>
      <c r="AL540" s="158">
        <f>SUMIFS([1]BV_Data_An_Prec!$AM:$AM,[1]BV_Data_An_Prec!$AQ:$AQ,$V540)</f>
        <v>112450</v>
      </c>
      <c r="AM540" s="162"/>
      <c r="AN540" s="160">
        <f t="shared" si="82"/>
        <v>-41400</v>
      </c>
      <c r="AO540" s="349">
        <f t="shared" si="77"/>
        <v>-0.36816362827923521</v>
      </c>
      <c r="AP540" s="6"/>
      <c r="AQ540" s="392">
        <v>71050</v>
      </c>
      <c r="AR540" s="6" t="s">
        <v>510</v>
      </c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spans="1:62" ht="15.75" customHeight="1">
      <c r="A541" s="410" t="s">
        <v>158</v>
      </c>
      <c r="B541" s="3"/>
      <c r="C541" s="336" t="s">
        <v>491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271" t="s">
        <v>158</v>
      </c>
      <c r="W541" s="163" t="s">
        <v>159</v>
      </c>
      <c r="X541" s="157"/>
      <c r="Y541" s="164"/>
      <c r="Z541" s="158">
        <f>+INDEX('[1]Budget original'!$A$2:$AO$501,MATCH($A541,'[1]Budget original'!$A$2:$A$501,0),MATCH(F$2,'[1]Budget original'!$A$2:$AO$2,0))</f>
        <v>0</v>
      </c>
      <c r="AA541" s="157"/>
      <c r="AB541" s="164"/>
      <c r="AC541" s="158"/>
      <c r="AD541" s="165"/>
      <c r="AE541" s="164"/>
      <c r="AF541" s="158">
        <f>SUMIFS([1]BV_Data_An_Cour!$AM:$AM,[1]BV_Data_An_Cour!$AQ:$AQ,$V541)</f>
        <v>7053.8899999999976</v>
      </c>
      <c r="AG541" s="159"/>
      <c r="AH541" s="160">
        <f t="shared" si="86"/>
        <v>7053.8899999999976</v>
      </c>
      <c r="AI541" s="161">
        <f t="shared" si="87"/>
        <v>0</v>
      </c>
      <c r="AJ541" s="165"/>
      <c r="AK541" s="164"/>
      <c r="AL541" s="158">
        <f>SUMIFS([1]BV_Data_An_Prec!$AM:$AM,[1]BV_Data_An_Prec!$AQ:$AQ,$V541)</f>
        <v>32158</v>
      </c>
      <c r="AM541" s="162"/>
      <c r="AN541" s="160">
        <f t="shared" si="82"/>
        <v>-25104.11</v>
      </c>
      <c r="AO541" s="349">
        <f t="shared" si="77"/>
        <v>-0.78064898314571807</v>
      </c>
      <c r="AP541" s="6"/>
      <c r="AQ541" s="392">
        <v>7054</v>
      </c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spans="1:62" ht="15.75" customHeight="1">
      <c r="A542" s="410" t="s">
        <v>160</v>
      </c>
      <c r="B542" s="3"/>
      <c r="C542" s="336" t="s">
        <v>491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272" t="s">
        <v>160</v>
      </c>
      <c r="W542" s="166" t="s">
        <v>161</v>
      </c>
      <c r="X542" s="145"/>
      <c r="Y542" s="167"/>
      <c r="Z542" s="146">
        <f>+INDEX('[1]Budget original'!$A$2:$AO$501,MATCH($A542,'[1]Budget original'!$A$2:$A$501,0),MATCH(F$2,'[1]Budget original'!$A$2:$AO$2,0))</f>
        <v>0</v>
      </c>
      <c r="AA542" s="145"/>
      <c r="AB542" s="167"/>
      <c r="AC542" s="146"/>
      <c r="AD542" s="168"/>
      <c r="AE542" s="167"/>
      <c r="AF542" s="146">
        <f>SUMIFS([1]BV_Data_An_Cour!$AM:$AM,[1]BV_Data_An_Cour!$AQ:$AQ,$V542)</f>
        <v>14727.61</v>
      </c>
      <c r="AG542" s="147"/>
      <c r="AH542" s="148">
        <f t="shared" si="86"/>
        <v>14727.61</v>
      </c>
      <c r="AI542" s="169">
        <f t="shared" si="87"/>
        <v>0</v>
      </c>
      <c r="AJ542" s="168"/>
      <c r="AK542" s="167"/>
      <c r="AL542" s="146">
        <f>SUMIFS([1]BV_Data_An_Prec!$AM:$AM,[1]BV_Data_An_Prec!$AQ:$AQ,$V542)</f>
        <v>10000</v>
      </c>
      <c r="AM542" s="150"/>
      <c r="AN542" s="148">
        <f t="shared" si="82"/>
        <v>4727.6100000000006</v>
      </c>
      <c r="AO542" s="343">
        <f t="shared" si="77"/>
        <v>0.47276100000000004</v>
      </c>
      <c r="AP542" s="6"/>
      <c r="AQ542" s="392">
        <v>14728</v>
      </c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spans="1:62" ht="17.399999999999999" hidden="1" customHeight="1">
      <c r="A543" s="410" t="s">
        <v>162</v>
      </c>
      <c r="B543" s="3"/>
      <c r="C543" s="336" t="s">
        <v>491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271" t="s">
        <v>162</v>
      </c>
      <c r="W543" s="163"/>
      <c r="X543" s="157"/>
      <c r="Y543" s="164"/>
      <c r="Z543" s="158">
        <f>+INDEX('[1]Budget original'!$A$2:$AO$501,MATCH($A543,'[1]Budget original'!$A$2:$A$501,0),MATCH(F$2,'[1]Budget original'!$A$2:$AO$2,0))</f>
        <v>0</v>
      </c>
      <c r="AA543" s="157"/>
      <c r="AB543" s="164"/>
      <c r="AC543" s="158"/>
      <c r="AD543" s="165"/>
      <c r="AE543" s="164"/>
      <c r="AF543" s="158">
        <f>SUMIFS([1]BV_Data_An_Cour!$AM:$AM,[1]BV_Data_An_Cour!$AQ:$AQ,$V543)</f>
        <v>0</v>
      </c>
      <c r="AG543" s="159"/>
      <c r="AH543" s="160">
        <f t="shared" si="86"/>
        <v>0</v>
      </c>
      <c r="AI543" s="161">
        <f t="shared" si="87"/>
        <v>0</v>
      </c>
      <c r="AJ543" s="165"/>
      <c r="AK543" s="164"/>
      <c r="AL543" s="158">
        <f>SUMIFS([1]BV_Data_An_Prec!$AM:$AM,[1]BV_Data_An_Prec!$AQ:$AQ,$V543)</f>
        <v>0</v>
      </c>
      <c r="AM543" s="162"/>
      <c r="AN543" s="160">
        <f t="shared" si="82"/>
        <v>0</v>
      </c>
      <c r="AO543" s="349">
        <f t="shared" si="77"/>
        <v>0</v>
      </c>
      <c r="AP543" s="6"/>
      <c r="AQ543" s="392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spans="1:62" ht="15.75" customHeight="1">
      <c r="A544" s="410" t="s">
        <v>163</v>
      </c>
      <c r="B544" s="3"/>
      <c r="C544" s="336" t="s">
        <v>491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272" t="s">
        <v>163</v>
      </c>
      <c r="W544" s="166" t="s">
        <v>164</v>
      </c>
      <c r="X544" s="145"/>
      <c r="Y544" s="167"/>
      <c r="Z544" s="146">
        <f>+INDEX('[1]Budget original'!$A$2:$AO$501,MATCH($A544,'[1]Budget original'!$A$2:$A$501,0),MATCH(F$2,'[1]Budget original'!$A$2:$AO$2,0))</f>
        <v>0</v>
      </c>
      <c r="AA544" s="145"/>
      <c r="AB544" s="167"/>
      <c r="AC544" s="146"/>
      <c r="AD544" s="168"/>
      <c r="AE544" s="167"/>
      <c r="AF544" s="146">
        <f>SUMIF([1]BV_Data_An_Cour!$AQ:$AQ,[1]Print_Mois!$V544,[1]BV_Data_An_Cour!$AM:$AM)</f>
        <v>7841.3099999999986</v>
      </c>
      <c r="AG544" s="147"/>
      <c r="AH544" s="148">
        <f t="shared" si="86"/>
        <v>7841.3099999999986</v>
      </c>
      <c r="AI544" s="169">
        <f t="shared" si="87"/>
        <v>0</v>
      </c>
      <c r="AJ544" s="168"/>
      <c r="AK544" s="167"/>
      <c r="AL544" s="146">
        <f>SUMIFS([1]BV_Data_An_Prec!$AM:$AM,[1]BV_Data_An_Prec!$AQ:$AQ,$V544)</f>
        <v>13073.610000000004</v>
      </c>
      <c r="AM544" s="150"/>
      <c r="AN544" s="148">
        <f t="shared" si="82"/>
        <v>-5232.3000000000056</v>
      </c>
      <c r="AO544" s="343">
        <f t="shared" si="77"/>
        <v>-0.40021845534630479</v>
      </c>
      <c r="AP544" s="6"/>
      <c r="AQ544" s="392">
        <v>7841</v>
      </c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spans="1:62" ht="15.75" customHeight="1">
      <c r="A545" s="410" t="s">
        <v>165</v>
      </c>
      <c r="B545" s="3"/>
      <c r="C545" s="336" t="s">
        <v>491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271" t="s">
        <v>165</v>
      </c>
      <c r="W545" s="163" t="s">
        <v>166</v>
      </c>
      <c r="X545" s="190"/>
      <c r="Y545" s="191"/>
      <c r="Z545" s="158">
        <f>+INDEX('[1]Budget original'!$A$2:$AO$501,MATCH($A545,'[1]Budget original'!$A$2:$A$501,0),MATCH(F$2,'[1]Budget original'!$A$2:$AO$2,0))</f>
        <v>0</v>
      </c>
      <c r="AA545" s="190"/>
      <c r="AB545" s="191"/>
      <c r="AC545" s="158"/>
      <c r="AD545" s="165"/>
      <c r="AE545" s="164"/>
      <c r="AF545" s="158">
        <f>SUMIFS([1]BV_Data_An_Cour!$AM:$AM,[1]BV_Data_An_Cour!$AQ:$AQ,$V545)</f>
        <v>11100</v>
      </c>
      <c r="AG545" s="159"/>
      <c r="AH545" s="160">
        <f t="shared" si="86"/>
        <v>11100</v>
      </c>
      <c r="AI545" s="161">
        <f t="shared" si="87"/>
        <v>0</v>
      </c>
      <c r="AJ545" s="165"/>
      <c r="AK545" s="164"/>
      <c r="AL545" s="158">
        <f>SUMIFS([1]BV_Data_An_Prec!$AM:$AM,[1]BV_Data_An_Prec!$AQ:$AQ,$V545)</f>
        <v>9104.9099999999962</v>
      </c>
      <c r="AM545" s="162"/>
      <c r="AN545" s="160">
        <f t="shared" si="82"/>
        <v>1995.0900000000038</v>
      </c>
      <c r="AO545" s="349">
        <f t="shared" si="77"/>
        <v>0.21912242954625633</v>
      </c>
      <c r="AP545" s="6"/>
      <c r="AQ545" s="392">
        <v>11100</v>
      </c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spans="1:62" ht="15.75" customHeight="1">
      <c r="A546" s="410" t="s">
        <v>167</v>
      </c>
      <c r="B546" s="3"/>
      <c r="C546" s="336" t="s">
        <v>491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271" t="s">
        <v>167</v>
      </c>
      <c r="W546" s="163" t="s">
        <v>168</v>
      </c>
      <c r="X546" s="157"/>
      <c r="Y546" s="164"/>
      <c r="Z546" s="158">
        <f>+INDEX('[1]Budget original'!$A$2:$AO$501,MATCH($A546,'[1]Budget original'!$A$2:$A$501,0),MATCH(F$2,'[1]Budget original'!$A$2:$AO$2,0))</f>
        <v>0</v>
      </c>
      <c r="AA546" s="157"/>
      <c r="AB546" s="164"/>
      <c r="AC546" s="158"/>
      <c r="AD546" s="165"/>
      <c r="AE546" s="164"/>
      <c r="AF546" s="158">
        <f>SUMIFS([1]BV_Data_An_Cour!$AM:$AM,[1]BV_Data_An_Cour!$AQ:$AQ,$V546)</f>
        <v>5602.85</v>
      </c>
      <c r="AG546" s="159"/>
      <c r="AH546" s="160">
        <f t="shared" si="86"/>
        <v>5602.85</v>
      </c>
      <c r="AI546" s="161">
        <f t="shared" si="87"/>
        <v>0</v>
      </c>
      <c r="AJ546" s="165"/>
      <c r="AK546" s="164"/>
      <c r="AL546" s="158">
        <f>SUMIFS([1]BV_Data_An_Prec!$AM:$AM,[1]BV_Data_An_Prec!$AQ:$AQ,$V546)</f>
        <v>4434.3500000000004</v>
      </c>
      <c r="AM546" s="162"/>
      <c r="AN546" s="160">
        <f t="shared" si="82"/>
        <v>1168.5</v>
      </c>
      <c r="AO546" s="349">
        <f t="shared" si="77"/>
        <v>0.26351099935729022</v>
      </c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spans="1:62" ht="15.75" customHeight="1">
      <c r="A547" s="410" t="s">
        <v>169</v>
      </c>
      <c r="B547" s="3"/>
      <c r="C547" s="336" t="s">
        <v>491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272" t="s">
        <v>169</v>
      </c>
      <c r="W547" s="166" t="s">
        <v>170</v>
      </c>
      <c r="X547" s="145"/>
      <c r="Y547" s="167"/>
      <c r="Z547" s="146">
        <f>+INDEX('[1]Budget original'!$A$2:$AO$501,MATCH($A547,'[1]Budget original'!$A$2:$A$501,0),MATCH(F$2,'[1]Budget original'!$A$2:$AO$2,0))</f>
        <v>0</v>
      </c>
      <c r="AA547" s="145"/>
      <c r="AB547" s="167"/>
      <c r="AC547" s="146"/>
      <c r="AD547" s="168"/>
      <c r="AE547" s="167"/>
      <c r="AF547" s="146">
        <f>SUMIFS([1]BV_Data_An_Cour!$AM:$AM,[1]BV_Data_An_Cour!$AQ:$AQ,$V547)</f>
        <v>3340.13</v>
      </c>
      <c r="AG547" s="147"/>
      <c r="AH547" s="148">
        <f t="shared" si="86"/>
        <v>3340.13</v>
      </c>
      <c r="AI547" s="169">
        <f t="shared" si="87"/>
        <v>0</v>
      </c>
      <c r="AJ547" s="168"/>
      <c r="AK547" s="167"/>
      <c r="AL547" s="146">
        <f>SUMIFS([1]BV_Data_An_Prec!$AM:$AM,[1]BV_Data_An_Prec!$AQ:$AQ,$V547)</f>
        <v>5958.01</v>
      </c>
      <c r="AM547" s="150"/>
      <c r="AN547" s="148">
        <f t="shared" si="82"/>
        <v>-2617.88</v>
      </c>
      <c r="AO547" s="343">
        <f t="shared" si="77"/>
        <v>-0.43938831925424765</v>
      </c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spans="1:62" ht="15.75" customHeight="1">
      <c r="A548" s="410" t="s">
        <v>171</v>
      </c>
      <c r="B548" s="3"/>
      <c r="C548" s="336" t="s">
        <v>491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271" t="s">
        <v>171</v>
      </c>
      <c r="W548" s="163" t="s">
        <v>172</v>
      </c>
      <c r="X548" s="157"/>
      <c r="Y548" s="164"/>
      <c r="Z548" s="158">
        <f>+INDEX('[1]Budget original'!$A$2:$AO$501,MATCH($A548,'[1]Budget original'!$A$2:$A$501,0),MATCH(F$2,'[1]Budget original'!$A$2:$AO$2,0))</f>
        <v>0</v>
      </c>
      <c r="AA548" s="157"/>
      <c r="AB548" s="164"/>
      <c r="AC548" s="158"/>
      <c r="AD548" s="165"/>
      <c r="AE548" s="164"/>
      <c r="AF548" s="158">
        <f>SUMIFS([1]BV_Data_An_Cour!$AM:$AM,[1]BV_Data_An_Cour!$AQ:$AQ,$V548)</f>
        <v>2773.24</v>
      </c>
      <c r="AG548" s="159"/>
      <c r="AH548" s="160">
        <f t="shared" si="86"/>
        <v>2773.24</v>
      </c>
      <c r="AI548" s="192">
        <f t="shared" si="87"/>
        <v>0</v>
      </c>
      <c r="AJ548" s="165"/>
      <c r="AK548" s="164"/>
      <c r="AL548" s="158">
        <f>SUMIFS([1]BV_Data_An_Prec!$AM:$AM,[1]BV_Data_An_Prec!$AQ:$AQ,$V548)</f>
        <v>166.44999999999982</v>
      </c>
      <c r="AM548" s="162"/>
      <c r="AN548" s="160">
        <f t="shared" si="82"/>
        <v>2606.79</v>
      </c>
      <c r="AO548" s="349">
        <f t="shared" si="77"/>
        <v>15.661099429258053</v>
      </c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spans="1:62" ht="17.399999999999999" hidden="1" customHeight="1">
      <c r="A549" s="410" t="s">
        <v>173</v>
      </c>
      <c r="B549" s="3"/>
      <c r="C549" s="336" t="s">
        <v>491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271" t="s">
        <v>173</v>
      </c>
      <c r="W549" s="163" t="s">
        <v>174</v>
      </c>
      <c r="X549" s="157"/>
      <c r="Y549" s="164"/>
      <c r="Z549" s="158">
        <v>0</v>
      </c>
      <c r="AA549" s="157"/>
      <c r="AB549" s="164"/>
      <c r="AC549" s="158"/>
      <c r="AD549" s="165"/>
      <c r="AE549" s="164"/>
      <c r="AF549" s="158">
        <f>SUMIFS([1]BV_Data_An_Cour!$AM:$AM,[1]BV_Data_An_Cour!$AQ:$AQ,$V549)</f>
        <v>0</v>
      </c>
      <c r="AG549" s="159"/>
      <c r="AH549" s="160">
        <v>0</v>
      </c>
      <c r="AI549" s="177">
        <v>0</v>
      </c>
      <c r="AJ549" s="165"/>
      <c r="AK549" s="164"/>
      <c r="AL549" s="158">
        <f>SUMIFS([1]BV_Data_An_Prec!$AM:$AM,[1]BV_Data_An_Prec!$AQ:$AQ,$V549)</f>
        <v>0</v>
      </c>
      <c r="AM549" s="162"/>
      <c r="AN549" s="160">
        <f t="shared" si="82"/>
        <v>0</v>
      </c>
      <c r="AO549" s="349">
        <f t="shared" si="77"/>
        <v>0</v>
      </c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spans="1:62" ht="17.399999999999999" hidden="1" customHeight="1">
      <c r="A550" s="410" t="s">
        <v>19</v>
      </c>
      <c r="B550" s="3"/>
      <c r="C550" s="336" t="s">
        <v>491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271" t="s">
        <v>19</v>
      </c>
      <c r="W550" s="163"/>
      <c r="X550" s="157"/>
      <c r="Y550" s="164"/>
      <c r="Z550" s="158">
        <f>IFERROR(SUMIF($C:$C,$V550,F:F),0)</f>
        <v>0</v>
      </c>
      <c r="AA550" s="157"/>
      <c r="AB550" s="157"/>
      <c r="AC550" s="158"/>
      <c r="AD550" s="165"/>
      <c r="AE550" s="164"/>
      <c r="AF550" s="158">
        <f>IFERROR(SUMIF($C:$C,$V550,L:L),0)</f>
        <v>0</v>
      </c>
      <c r="AG550" s="159"/>
      <c r="AH550" s="160">
        <f>AF550-Z550</f>
        <v>0</v>
      </c>
      <c r="AI550" s="161">
        <f>IF(Z550=0,0,AH550/Z550)</f>
        <v>0</v>
      </c>
      <c r="AJ550" s="165"/>
      <c r="AK550" s="164"/>
      <c r="AL550" s="158">
        <f>SUMIFS([1]BV_Data_An_Prec!$AM:$AM,[1]BV_Data_An_Prec!$AQ:$AQ,$V550)</f>
        <v>0</v>
      </c>
      <c r="AM550" s="162"/>
      <c r="AN550" s="160">
        <f t="shared" si="82"/>
        <v>0</v>
      </c>
      <c r="AO550" s="349">
        <f t="shared" si="77"/>
        <v>0</v>
      </c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spans="1:62" ht="17.399999999999999" hidden="1" customHeight="1">
      <c r="A551" s="410" t="s">
        <v>19</v>
      </c>
      <c r="B551" s="3"/>
      <c r="C551" s="336" t="s">
        <v>491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271" t="s">
        <v>19</v>
      </c>
      <c r="W551" s="163"/>
      <c r="X551" s="157"/>
      <c r="Y551" s="164"/>
      <c r="Z551" s="158">
        <f>IFERROR(SUMIF($C:$C,$V551,F:F),0)</f>
        <v>0</v>
      </c>
      <c r="AA551" s="157"/>
      <c r="AB551" s="157"/>
      <c r="AC551" s="158"/>
      <c r="AD551" s="165"/>
      <c r="AE551" s="164"/>
      <c r="AF551" s="158">
        <f>IFERROR(SUMIF($C:$C,$V551,L:L),0)</f>
        <v>0</v>
      </c>
      <c r="AG551" s="159"/>
      <c r="AH551" s="160">
        <f>AF551-Z551</f>
        <v>0</v>
      </c>
      <c r="AI551" s="161">
        <f>IF(Z551=0,0,AH551/Z551)</f>
        <v>0</v>
      </c>
      <c r="AJ551" s="165"/>
      <c r="AK551" s="164"/>
      <c r="AL551" s="158">
        <f>SUMIFS([1]BV_Data_An_Prec!$AM:$AM,[1]BV_Data_An_Prec!$AQ:$AQ,$V551)</f>
        <v>0</v>
      </c>
      <c r="AM551" s="162"/>
      <c r="AN551" s="160">
        <f t="shared" si="82"/>
        <v>0</v>
      </c>
      <c r="AO551" s="349">
        <f t="shared" si="77"/>
        <v>0</v>
      </c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spans="1:62" ht="17.399999999999999" hidden="1" customHeight="1">
      <c r="A552" s="410" t="s">
        <v>19</v>
      </c>
      <c r="B552" s="3"/>
      <c r="C552" s="336" t="s">
        <v>491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271" t="s">
        <v>19</v>
      </c>
      <c r="W552" s="163"/>
      <c r="X552" s="157"/>
      <c r="Y552" s="164"/>
      <c r="Z552" s="158">
        <f>IFERROR(SUMIF($C:$C,$V552,F:F),0)</f>
        <v>0</v>
      </c>
      <c r="AA552" s="157"/>
      <c r="AB552" s="157"/>
      <c r="AC552" s="158"/>
      <c r="AD552" s="165"/>
      <c r="AE552" s="164"/>
      <c r="AF552" s="158">
        <f>IFERROR(SUMIF($C:$C,$V552,L:L),0)</f>
        <v>0</v>
      </c>
      <c r="AG552" s="159"/>
      <c r="AH552" s="160">
        <f>AF552-Z552</f>
        <v>0</v>
      </c>
      <c r="AI552" s="161">
        <f>IF(Z552=0,0,AH552/Z552)</f>
        <v>0</v>
      </c>
      <c r="AJ552" s="165"/>
      <c r="AK552" s="164"/>
      <c r="AL552" s="158">
        <f>SUMIFS([1]BV_Data_An_Prec!$AM:$AM,[1]BV_Data_An_Prec!$AQ:$AQ,$V552)</f>
        <v>0</v>
      </c>
      <c r="AM552" s="162"/>
      <c r="AN552" s="160">
        <f t="shared" si="82"/>
        <v>0</v>
      </c>
      <c r="AO552" s="349">
        <f t="shared" si="77"/>
        <v>0</v>
      </c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spans="1:62" ht="21" customHeight="1">
      <c r="A553" s="410" t="s">
        <v>175</v>
      </c>
      <c r="B553" s="3"/>
      <c r="C553" s="336" t="s">
        <v>491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351" t="s">
        <v>175</v>
      </c>
      <c r="W553" s="170"/>
      <c r="X553" s="171" t="e">
        <f>Z553/+Z494</f>
        <v>#REF!</v>
      </c>
      <c r="Y553" s="170"/>
      <c r="Z553" s="172">
        <f>SUM(Z540:Z552)</f>
        <v>0</v>
      </c>
      <c r="AA553" s="171"/>
      <c r="AB553" s="170"/>
      <c r="AC553" s="172"/>
      <c r="AD553" s="173">
        <f>AF553/AF494</f>
        <v>0.20912700837340895</v>
      </c>
      <c r="AE553" s="170"/>
      <c r="AF553" s="172">
        <f>SUM(AF540:AF552)</f>
        <v>123489.03000000001</v>
      </c>
      <c r="AG553" s="179"/>
      <c r="AH553" s="356">
        <f>SUM(AH540:AH552)</f>
        <v>123489.03000000001</v>
      </c>
      <c r="AI553" s="171">
        <f>IF(Z553=0,0,AH553/Z553)</f>
        <v>0</v>
      </c>
      <c r="AJ553" s="173">
        <f>AL553/AL494</f>
        <v>0.22064752399511581</v>
      </c>
      <c r="AK553" s="170"/>
      <c r="AL553" s="172">
        <f>SUM(AL540:AL552)</f>
        <v>187345.33000000005</v>
      </c>
      <c r="AM553" s="180"/>
      <c r="AN553" s="175">
        <f t="shared" si="82"/>
        <v>-63856.300000000032</v>
      </c>
      <c r="AO553" s="357">
        <f t="shared" si="77"/>
        <v>-0.34084810120433756</v>
      </c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spans="1:62" ht="15.75" customHeight="1">
      <c r="A554" s="410" t="s">
        <v>493</v>
      </c>
      <c r="B554" s="3"/>
      <c r="C554" s="336" t="s">
        <v>491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271"/>
      <c r="W554" s="157"/>
      <c r="X554" s="157"/>
      <c r="Y554" s="157"/>
      <c r="Z554" s="193"/>
      <c r="AA554" s="157"/>
      <c r="AB554" s="157"/>
      <c r="AC554" s="193"/>
      <c r="AD554" s="165"/>
      <c r="AE554" s="157"/>
      <c r="AF554" s="158"/>
      <c r="AG554" s="165"/>
      <c r="AH554" s="160">
        <f t="shared" ref="AH554:AH568" si="88">AF554-Z554</f>
        <v>0</v>
      </c>
      <c r="AI554" s="161"/>
      <c r="AJ554" s="165"/>
      <c r="AK554" s="157"/>
      <c r="AL554" s="158"/>
      <c r="AM554" s="194"/>
      <c r="AN554" s="160"/>
      <c r="AO554" s="359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spans="1:62" ht="21" customHeight="1">
      <c r="A555" s="410" t="s">
        <v>64</v>
      </c>
      <c r="B555" s="3"/>
      <c r="C555" s="336" t="s">
        <v>491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351" t="s">
        <v>64</v>
      </c>
      <c r="W555" s="170"/>
      <c r="X555" s="171" t="e">
        <f>Z555/+Z494</f>
        <v>#REF!</v>
      </c>
      <c r="Y555" s="170"/>
      <c r="Z555" s="172">
        <f>Z506+Z520+Z539+Z553</f>
        <v>0</v>
      </c>
      <c r="AA555" s="171"/>
      <c r="AB555" s="170"/>
      <c r="AC555" s="172"/>
      <c r="AD555" s="173">
        <f>AF555/AF494</f>
        <v>1.051754032055932</v>
      </c>
      <c r="AE555" s="170"/>
      <c r="AF555" s="172">
        <f>AF506+AF520+AF539+AF553</f>
        <v>621058.4</v>
      </c>
      <c r="AG555" s="179"/>
      <c r="AH555" s="356">
        <f t="shared" si="88"/>
        <v>621058.4</v>
      </c>
      <c r="AI555" s="171" t="e">
        <f>AH555/Z555</f>
        <v>#DIV/0!</v>
      </c>
      <c r="AJ555" s="173">
        <f>AL555/AL494</f>
        <v>0.81053713765292212</v>
      </c>
      <c r="AK555" s="170"/>
      <c r="AL555" s="172">
        <f>AL506+AL520+AL539+AL553</f>
        <v>688203.2699999999</v>
      </c>
      <c r="AM555" s="180"/>
      <c r="AN555" s="175">
        <f t="shared" ref="AN555:AN568" si="89">AF555-AL555</f>
        <v>-67144.869999999879</v>
      </c>
      <c r="AO555" s="346">
        <f t="shared" ref="AO555:AO568" si="90">IF(AL555=0,0,AN555/AL555)</f>
        <v>-9.7565462018220125E-2</v>
      </c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spans="1:62" ht="15.75" customHeight="1">
      <c r="A556" s="410" t="s">
        <v>176</v>
      </c>
      <c r="B556" s="3"/>
      <c r="C556" s="336" t="s">
        <v>491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271" t="s">
        <v>176</v>
      </c>
      <c r="W556" s="191"/>
      <c r="X556" s="191"/>
      <c r="Y556" s="157"/>
      <c r="Z556" s="183">
        <f>+INDEX('[1]Budget original'!$A$2:$AO$501,MATCH($A556,'[1]Budget original'!$A$2:$A$501,0),MATCH(F$2,'[1]Budget original'!$A$2:$AO$2,0))</f>
        <v>0</v>
      </c>
      <c r="AA556" s="195"/>
      <c r="AB556" s="196"/>
      <c r="AC556" s="183"/>
      <c r="AD556" s="197"/>
      <c r="AE556" s="196"/>
      <c r="AF556" s="183">
        <f>-SUMIFS([1]BV_Data_An_Cour!$AM:$AM,[1]BV_Data_An_Cour!$AQ:$AQ,$V556)</f>
        <v>9504.7100000000028</v>
      </c>
      <c r="AG556" s="198"/>
      <c r="AH556" s="160">
        <f t="shared" si="88"/>
        <v>9504.7100000000028</v>
      </c>
      <c r="AI556" s="192" t="e">
        <f>IF(AH556=0,0,AH556/Z556)</f>
        <v>#DIV/0!</v>
      </c>
      <c r="AJ556" s="197"/>
      <c r="AK556" s="196"/>
      <c r="AL556" s="183">
        <f>-SUMIFS([1]BV_Data_An_Prec!$AM:$AM,[1]BV_Data_An_Prec!$AQ:$AQ,$V556)</f>
        <v>38328.320000000036</v>
      </c>
      <c r="AM556" s="199"/>
      <c r="AN556" s="160">
        <f t="shared" si="89"/>
        <v>-28823.610000000033</v>
      </c>
      <c r="AO556" s="349">
        <f t="shared" si="90"/>
        <v>-0.75201861182540763</v>
      </c>
      <c r="AP556" s="6" t="s">
        <v>511</v>
      </c>
      <c r="AQ556" s="387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spans="1:62" ht="17.399999999999999" hidden="1" customHeight="1">
      <c r="A557" s="410" t="s">
        <v>66</v>
      </c>
      <c r="B557" s="3"/>
      <c r="C557" s="336" t="s">
        <v>491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271" t="s">
        <v>66</v>
      </c>
      <c r="W557" s="157"/>
      <c r="X557" s="157"/>
      <c r="Y557" s="157"/>
      <c r="Z557" s="158">
        <f t="shared" ref="Z557:Z563" si="91">+SUMIF($C:$C,$V557,F:F)</f>
        <v>0</v>
      </c>
      <c r="AA557" s="190"/>
      <c r="AB557" s="160"/>
      <c r="AC557" s="158"/>
      <c r="AD557" s="202"/>
      <c r="AE557" s="360"/>
      <c r="AF557" s="158">
        <f t="shared" ref="AF557:AF563" si="92">+SUMIF($C:$C,$V557,L:L)</f>
        <v>0</v>
      </c>
      <c r="AG557" s="201"/>
      <c r="AH557" s="160">
        <f t="shared" si="88"/>
        <v>0</v>
      </c>
      <c r="AI557" s="177">
        <f>IF(Z557=0,0,AH557/Z557)</f>
        <v>0</v>
      </c>
      <c r="AJ557" s="202"/>
      <c r="AK557" s="360"/>
      <c r="AL557" s="158">
        <f>-SUMIFS([1]BV_Data_An_Prec!$AM:$AM,[1]BV_Data_An_Prec!$AQ:$AQ,$V557)</f>
        <v>0</v>
      </c>
      <c r="AM557" s="202"/>
      <c r="AN557" s="160">
        <f t="shared" si="89"/>
        <v>0</v>
      </c>
      <c r="AO557" s="349">
        <f t="shared" si="90"/>
        <v>0</v>
      </c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spans="1:62" ht="15.75" customHeight="1">
      <c r="A558" s="410" t="s">
        <v>494</v>
      </c>
      <c r="B558" s="3"/>
      <c r="C558" s="336" t="s">
        <v>491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271" t="s">
        <v>332</v>
      </c>
      <c r="W558" s="157"/>
      <c r="X558" s="157"/>
      <c r="Y558" s="157"/>
      <c r="Z558" s="158">
        <f t="shared" si="91"/>
        <v>0</v>
      </c>
      <c r="AA558" s="190"/>
      <c r="AB558" s="191"/>
      <c r="AC558" s="158"/>
      <c r="AD558" s="200"/>
      <c r="AF558" s="158">
        <f t="shared" si="92"/>
        <v>2794.3899999999994</v>
      </c>
      <c r="AG558" s="201"/>
      <c r="AH558" s="160">
        <f t="shared" si="88"/>
        <v>2794.3899999999994</v>
      </c>
      <c r="AI558" s="177" t="e">
        <f t="shared" ref="AI558:AI567" si="93">IF(AH558=0,0,AH558/Z558)</f>
        <v>#DIV/0!</v>
      </c>
      <c r="AJ558" s="200"/>
      <c r="AL558" s="158">
        <f>-SUMIFS([1]BV_Data_An_Prec!$AM:$AM,[1]BV_Data_An_Prec!$AQ:$AQ,$V558)</f>
        <v>25095</v>
      </c>
      <c r="AM558" s="202"/>
      <c r="AN558" s="160">
        <f t="shared" si="89"/>
        <v>-22300.61</v>
      </c>
      <c r="AO558" s="349">
        <f t="shared" si="90"/>
        <v>-0.88864753935046825</v>
      </c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spans="1:62" ht="17.399999999999999" hidden="1" customHeight="1">
      <c r="A559" s="410" t="s">
        <v>187</v>
      </c>
      <c r="B559" s="3"/>
      <c r="C559" s="336" t="s">
        <v>491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271" t="s">
        <v>187</v>
      </c>
      <c r="W559" s="157"/>
      <c r="X559" s="157"/>
      <c r="Y559" s="157"/>
      <c r="Z559" s="158">
        <f t="shared" si="91"/>
        <v>0</v>
      </c>
      <c r="AA559" s="190"/>
      <c r="AB559" s="191"/>
      <c r="AC559" s="158"/>
      <c r="AD559" s="200"/>
      <c r="AE559" s="191"/>
      <c r="AF559" s="158">
        <f t="shared" si="92"/>
        <v>0</v>
      </c>
      <c r="AG559" s="201"/>
      <c r="AH559" s="160">
        <f t="shared" si="88"/>
        <v>0</v>
      </c>
      <c r="AI559" s="177">
        <f t="shared" si="93"/>
        <v>0</v>
      </c>
      <c r="AJ559" s="200"/>
      <c r="AK559" s="191"/>
      <c r="AL559" s="158">
        <f>-SUMIFS([1]BV_Data_An_Prec!$AM:$AM,[1]BV_Data_An_Prec!$AQ:$AQ,$V559)</f>
        <v>0</v>
      </c>
      <c r="AM559" s="202"/>
      <c r="AN559" s="160">
        <f t="shared" si="89"/>
        <v>0</v>
      </c>
      <c r="AO559" s="349">
        <f t="shared" si="90"/>
        <v>0</v>
      </c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spans="1:62" ht="17.399999999999999" hidden="1" customHeight="1">
      <c r="A560" s="410" t="s">
        <v>65</v>
      </c>
      <c r="B560" s="3"/>
      <c r="C560" s="336" t="s">
        <v>491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271" t="s">
        <v>65</v>
      </c>
      <c r="W560" s="157"/>
      <c r="X560" s="157"/>
      <c r="Y560" s="157"/>
      <c r="Z560" s="158">
        <f t="shared" si="91"/>
        <v>0</v>
      </c>
      <c r="AA560" s="190"/>
      <c r="AB560" s="191"/>
      <c r="AC560" s="158"/>
      <c r="AD560" s="200"/>
      <c r="AE560" s="191"/>
      <c r="AF560" s="158">
        <f t="shared" si="92"/>
        <v>0</v>
      </c>
      <c r="AG560" s="201"/>
      <c r="AH560" s="160">
        <f t="shared" si="88"/>
        <v>0</v>
      </c>
      <c r="AI560" s="177">
        <f t="shared" si="93"/>
        <v>0</v>
      </c>
      <c r="AJ560" s="200"/>
      <c r="AK560" s="191"/>
      <c r="AL560" s="158">
        <f>-SUMIFS([1]BV_Data_An_Prec!$AM:$AM,[1]BV_Data_An_Prec!$AQ:$AQ,$V560)</f>
        <v>0</v>
      </c>
      <c r="AM560" s="202"/>
      <c r="AN560" s="160">
        <f t="shared" si="89"/>
        <v>0</v>
      </c>
      <c r="AO560" s="349">
        <f t="shared" si="90"/>
        <v>0</v>
      </c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spans="1:62" ht="17.399999999999999" hidden="1" customHeight="1">
      <c r="A561" s="410" t="s">
        <v>267</v>
      </c>
      <c r="B561" s="3"/>
      <c r="C561" s="336" t="s">
        <v>491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271" t="s">
        <v>267</v>
      </c>
      <c r="W561" s="157"/>
      <c r="X561" s="157"/>
      <c r="Y561" s="157"/>
      <c r="Z561" s="158">
        <f t="shared" si="91"/>
        <v>0</v>
      </c>
      <c r="AA561" s="190"/>
      <c r="AB561" s="191"/>
      <c r="AC561" s="158"/>
      <c r="AD561" s="200"/>
      <c r="AE561" s="191"/>
      <c r="AF561" s="158">
        <f t="shared" si="92"/>
        <v>0</v>
      </c>
      <c r="AG561" s="201"/>
      <c r="AH561" s="160">
        <f t="shared" si="88"/>
        <v>0</v>
      </c>
      <c r="AI561" s="177">
        <f t="shared" si="93"/>
        <v>0</v>
      </c>
      <c r="AJ561" s="200"/>
      <c r="AK561" s="191"/>
      <c r="AL561" s="158">
        <f>-SUMIFS([1]BV_Data_An_Prec!$AM:$AM,[1]BV_Data_An_Prec!$AQ:$AQ,$V561)</f>
        <v>0</v>
      </c>
      <c r="AM561" s="202"/>
      <c r="AN561" s="160">
        <f t="shared" si="89"/>
        <v>0</v>
      </c>
      <c r="AO561" s="349">
        <f t="shared" si="90"/>
        <v>0</v>
      </c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spans="1:62" ht="17.399999999999999" hidden="1" customHeight="1">
      <c r="A562" s="410" t="s">
        <v>269</v>
      </c>
      <c r="B562" s="3"/>
      <c r="C562" s="336" t="s">
        <v>491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271" t="s">
        <v>269</v>
      </c>
      <c r="W562" s="157"/>
      <c r="X562" s="157"/>
      <c r="Y562" s="157"/>
      <c r="Z562" s="158">
        <f t="shared" si="91"/>
        <v>0</v>
      </c>
      <c r="AA562" s="190"/>
      <c r="AB562" s="191"/>
      <c r="AC562" s="158"/>
      <c r="AD562" s="200"/>
      <c r="AE562" s="191"/>
      <c r="AF562" s="158">
        <f t="shared" si="92"/>
        <v>0</v>
      </c>
      <c r="AG562" s="201"/>
      <c r="AH562" s="160">
        <f t="shared" si="88"/>
        <v>0</v>
      </c>
      <c r="AI562" s="177">
        <f t="shared" si="93"/>
        <v>0</v>
      </c>
      <c r="AJ562" s="200"/>
      <c r="AK562" s="191"/>
      <c r="AL562" s="158">
        <f>-SUMIFS([1]BV_Data_An_Prec!$AM:$AM,[1]BV_Data_An_Prec!$AQ:$AQ,$V562)</f>
        <v>0</v>
      </c>
      <c r="AM562" s="202"/>
      <c r="AN562" s="160">
        <f t="shared" si="89"/>
        <v>0</v>
      </c>
      <c r="AO562" s="349">
        <f t="shared" si="90"/>
        <v>0</v>
      </c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spans="1:62" ht="17.399999999999999" hidden="1" customHeight="1">
      <c r="A563" s="410" t="s">
        <v>77</v>
      </c>
      <c r="B563" s="3"/>
      <c r="C563" s="336" t="s">
        <v>491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271" t="s">
        <v>77</v>
      </c>
      <c r="W563" s="157"/>
      <c r="X563" s="157"/>
      <c r="Y563" s="157"/>
      <c r="Z563" s="158">
        <f t="shared" si="91"/>
        <v>0</v>
      </c>
      <c r="AA563" s="190"/>
      <c r="AB563" s="191"/>
      <c r="AC563" s="158"/>
      <c r="AD563" s="200"/>
      <c r="AE563" s="191"/>
      <c r="AF563" s="158">
        <f t="shared" si="92"/>
        <v>0</v>
      </c>
      <c r="AG563" s="201"/>
      <c r="AH563" s="160">
        <f t="shared" si="88"/>
        <v>0</v>
      </c>
      <c r="AI563" s="177">
        <f t="shared" si="93"/>
        <v>0</v>
      </c>
      <c r="AJ563" s="200"/>
      <c r="AK563" s="191"/>
      <c r="AL563" s="158">
        <f>-SUMIFS([1]BV_Data_An_Prec!$AM:$AM,[1]BV_Data_An_Prec!$AQ:$AQ,$V563)</f>
        <v>0</v>
      </c>
      <c r="AM563" s="202"/>
      <c r="AN563" s="160">
        <f t="shared" si="89"/>
        <v>0</v>
      </c>
      <c r="AO563" s="349">
        <f t="shared" si="90"/>
        <v>0</v>
      </c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spans="1:62" ht="17.399999999999999" hidden="1" customHeight="1">
      <c r="A564" s="410" t="s">
        <v>19</v>
      </c>
      <c r="B564" s="3"/>
      <c r="C564" s="336" t="s">
        <v>491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271" t="s">
        <v>19</v>
      </c>
      <c r="W564" s="157"/>
      <c r="X564" s="157"/>
      <c r="Y564" s="157"/>
      <c r="Z564" s="158">
        <f>+INDEX('[1]Budget original'!$A$2:$AO$501,MATCH($A564,'[1]Budget original'!$A$2:$A$501,0),MATCH(F$2,'[1]Budget original'!$A$2:$AO$2,0))</f>
        <v>0</v>
      </c>
      <c r="AA564" s="157"/>
      <c r="AB564" s="157"/>
      <c r="AC564" s="158"/>
      <c r="AD564" s="165"/>
      <c r="AE564" s="164"/>
      <c r="AF564" s="158">
        <f>IFERROR(SUMIF($C:$C,$V564,L:L),0)</f>
        <v>0</v>
      </c>
      <c r="AG564" s="159"/>
      <c r="AH564" s="160">
        <f t="shared" si="88"/>
        <v>0</v>
      </c>
      <c r="AI564" s="161">
        <f t="shared" si="93"/>
        <v>0</v>
      </c>
      <c r="AJ564" s="165"/>
      <c r="AK564" s="164"/>
      <c r="AL564" s="158">
        <f>-SUMIFS([1]BV_Data_An_Prec!$AM:$AM,[1]BV_Data_An_Prec!$AQ:$AQ,$V564)</f>
        <v>0</v>
      </c>
      <c r="AM564" s="202"/>
      <c r="AN564" s="160">
        <f t="shared" si="89"/>
        <v>0</v>
      </c>
      <c r="AO564" s="349">
        <f t="shared" si="90"/>
        <v>0</v>
      </c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spans="1:62" ht="17.399999999999999" hidden="1" customHeight="1">
      <c r="A565" s="410" t="s">
        <v>19</v>
      </c>
      <c r="B565" s="3"/>
      <c r="C565" s="336" t="s">
        <v>491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271" t="s">
        <v>19</v>
      </c>
      <c r="W565" s="157"/>
      <c r="X565" s="157"/>
      <c r="Y565" s="157"/>
      <c r="Z565" s="158">
        <f>IFERROR(SUMIF($C:$C,$V565,F:F),0)</f>
        <v>0</v>
      </c>
      <c r="AA565" s="157"/>
      <c r="AB565" s="157"/>
      <c r="AC565" s="158"/>
      <c r="AD565" s="165"/>
      <c r="AE565" s="164"/>
      <c r="AF565" s="158">
        <f>IFERROR(SUMIF($C:$C,$V565,L:L),0)</f>
        <v>0</v>
      </c>
      <c r="AG565" s="159"/>
      <c r="AH565" s="160">
        <f t="shared" si="88"/>
        <v>0</v>
      </c>
      <c r="AI565" s="161">
        <f t="shared" si="93"/>
        <v>0</v>
      </c>
      <c r="AJ565" s="165"/>
      <c r="AK565" s="164"/>
      <c r="AL565" s="158">
        <f>-SUMIFS([1]BV_Data_An_Prec!$AM:$AM,[1]BV_Data_An_Prec!$AQ:$AQ,$V565)</f>
        <v>0</v>
      </c>
      <c r="AM565" s="202"/>
      <c r="AN565" s="160">
        <f t="shared" si="89"/>
        <v>0</v>
      </c>
      <c r="AO565" s="349">
        <f t="shared" si="90"/>
        <v>0</v>
      </c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spans="1:62" ht="17.399999999999999" hidden="1" customHeight="1">
      <c r="A566" s="410" t="s">
        <v>19</v>
      </c>
      <c r="B566" s="3"/>
      <c r="C566" s="336" t="s">
        <v>491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271" t="s">
        <v>19</v>
      </c>
      <c r="W566" s="157"/>
      <c r="X566" s="157"/>
      <c r="Y566" s="157"/>
      <c r="Z566" s="158">
        <f>IFERROR(SUMIF($C:$C,$V566,F:F),0)</f>
        <v>0</v>
      </c>
      <c r="AA566" s="157"/>
      <c r="AB566" s="157"/>
      <c r="AC566" s="158"/>
      <c r="AD566" s="165"/>
      <c r="AE566" s="164"/>
      <c r="AF566" s="158">
        <f>IFERROR(SUMIF($C:$C,$V566,L:L),0)</f>
        <v>0</v>
      </c>
      <c r="AG566" s="159"/>
      <c r="AH566" s="160">
        <f t="shared" si="88"/>
        <v>0</v>
      </c>
      <c r="AI566" s="161">
        <f t="shared" si="93"/>
        <v>0</v>
      </c>
      <c r="AJ566" s="165"/>
      <c r="AK566" s="164"/>
      <c r="AL566" s="158">
        <f>-SUMIFS([1]BV_Data_An_Prec!$AM:$AM,[1]BV_Data_An_Prec!$AQ:$AQ,$V566)</f>
        <v>0</v>
      </c>
      <c r="AM566" s="202"/>
      <c r="AN566" s="160">
        <f t="shared" si="89"/>
        <v>0</v>
      </c>
      <c r="AO566" s="349">
        <f t="shared" si="90"/>
        <v>0</v>
      </c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spans="1:62" ht="15.75" customHeight="1">
      <c r="A567" s="410" t="s">
        <v>67</v>
      </c>
      <c r="B567" s="3"/>
      <c r="C567" s="336" t="s">
        <v>491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272" t="s">
        <v>67</v>
      </c>
      <c r="W567" s="157"/>
      <c r="X567" s="157"/>
      <c r="Y567" s="157"/>
      <c r="Z567" s="158">
        <f>+SUMIF($C:$C,$V567,F:F)</f>
        <v>0</v>
      </c>
      <c r="AA567" s="190"/>
      <c r="AB567" s="191"/>
      <c r="AC567" s="158"/>
      <c r="AD567" s="361">
        <f>AF567/499</f>
        <v>77.478957915831657</v>
      </c>
      <c r="AE567" s="190">
        <f>(AF567/399)/(J13+J15+J97)</f>
        <v>1.2584057546463563</v>
      </c>
      <c r="AF567" s="158">
        <f>+SUMIF($C:$C,$V567,L:L)</f>
        <v>38662</v>
      </c>
      <c r="AG567" s="201"/>
      <c r="AH567" s="160">
        <f t="shared" si="88"/>
        <v>38662</v>
      </c>
      <c r="AI567" s="177" t="e">
        <f t="shared" si="93"/>
        <v>#DIV/0!</v>
      </c>
      <c r="AJ567" s="361">
        <f>AL567/499</f>
        <v>0</v>
      </c>
      <c r="AK567" s="190">
        <f>(AL567/399)/(P13+P15+P97)</f>
        <v>0</v>
      </c>
      <c r="AL567" s="158">
        <f>-SUMIFS([1]BV_Data_An_Prec!$AM:$AM,[1]BV_Data_An_Prec!$AQ:$AQ,$V567)</f>
        <v>0</v>
      </c>
      <c r="AM567" s="202"/>
      <c r="AN567" s="160">
        <f t="shared" si="89"/>
        <v>38662</v>
      </c>
      <c r="AO567" s="349">
        <f t="shared" si="90"/>
        <v>0</v>
      </c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spans="1:62" ht="21" customHeight="1">
      <c r="A568" s="410" t="s">
        <v>177</v>
      </c>
      <c r="B568" s="3"/>
      <c r="C568" s="336" t="s">
        <v>491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351" t="s">
        <v>177</v>
      </c>
      <c r="W568" s="170"/>
      <c r="X568" s="171" t="e">
        <f>Z568/+Z494</f>
        <v>#REF!</v>
      </c>
      <c r="Y568" s="189"/>
      <c r="Z568" s="172">
        <f>SUM(Z556:Z567)</f>
        <v>0</v>
      </c>
      <c r="AA568" s="171"/>
      <c r="AB568" s="189"/>
      <c r="AC568" s="172"/>
      <c r="AD568" s="171">
        <f>AF568/+AF494</f>
        <v>8.6301936183466099E-2</v>
      </c>
      <c r="AE568" s="189"/>
      <c r="AF568" s="172">
        <f>SUM(AF556:AF567)</f>
        <v>50961.100000000006</v>
      </c>
      <c r="AG568" s="179"/>
      <c r="AH568" s="175">
        <f t="shared" si="88"/>
        <v>50961.100000000006</v>
      </c>
      <c r="AI568" s="171" t="e">
        <f>AH568/Z568</f>
        <v>#DIV/0!</v>
      </c>
      <c r="AJ568" s="171">
        <f>AL568/+AL494</f>
        <v>7.4697343785136858E-2</v>
      </c>
      <c r="AK568" s="189"/>
      <c r="AL568" s="172">
        <f>SUM(AL556:AL567)</f>
        <v>63423.320000000036</v>
      </c>
      <c r="AM568" s="203"/>
      <c r="AN568" s="175">
        <f t="shared" si="89"/>
        <v>-12462.22000000003</v>
      </c>
      <c r="AO568" s="357">
        <f t="shared" si="90"/>
        <v>-0.19649270962163481</v>
      </c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spans="1:62" ht="6" customHeight="1" thickBot="1">
      <c r="A569" s="410" t="s">
        <v>493</v>
      </c>
      <c r="B569" s="3"/>
      <c r="C569" s="336" t="s">
        <v>491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362"/>
      <c r="W569" s="204"/>
      <c r="X569" s="204"/>
      <c r="Y569" s="205"/>
      <c r="Z569" s="206"/>
      <c r="AA569" s="204"/>
      <c r="AB569" s="207"/>
      <c r="AC569" s="206"/>
      <c r="AD569" s="204"/>
      <c r="AE569" s="207"/>
      <c r="AF569" s="206"/>
      <c r="AG569" s="208"/>
      <c r="AH569" s="209"/>
      <c r="AI569" s="210"/>
      <c r="AJ569" s="204"/>
      <c r="AK569" s="207"/>
      <c r="AL569" s="206"/>
      <c r="AM569" s="211"/>
      <c r="AN569" s="209"/>
      <c r="AO569" s="363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spans="1:62" ht="21" customHeight="1" thickTop="1" thickBot="1">
      <c r="A570" s="410" t="s">
        <v>178</v>
      </c>
      <c r="B570" s="3"/>
      <c r="C570" s="336" t="s">
        <v>491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237" t="s">
        <v>178</v>
      </c>
      <c r="W570" s="238"/>
      <c r="X570" s="239" t="s">
        <v>179</v>
      </c>
      <c r="Y570" s="240" t="e">
        <f>Z570/Z493</f>
        <v>#REF!</v>
      </c>
      <c r="Z570" s="241" t="e">
        <f>Z494-Z555+Z568</f>
        <v>#REF!</v>
      </c>
      <c r="AA570" s="239"/>
      <c r="AB570" s="240"/>
      <c r="AC570" s="241"/>
      <c r="AD570" s="239" t="s">
        <v>179</v>
      </c>
      <c r="AE570" s="240">
        <f>AF570/AF493</f>
        <v>1.4150528133006729E-3</v>
      </c>
      <c r="AF570" s="241">
        <f>AF494-AF555+AF568</f>
        <v>20400.460000003717</v>
      </c>
      <c r="AG570" s="243"/>
      <c r="AH570" s="243" t="e">
        <f>AF570-Z570</f>
        <v>#REF!</v>
      </c>
      <c r="AI570" s="244" t="e">
        <f>AH570/Z570</f>
        <v>#REF!</v>
      </c>
      <c r="AJ570" s="239" t="s">
        <v>179</v>
      </c>
      <c r="AK570" s="240">
        <f>AL570/AL493</f>
        <v>1.2199457082323421E-2</v>
      </c>
      <c r="AL570" s="241">
        <f>AL494-AL555+AL568</f>
        <v>224290.67000001002</v>
      </c>
      <c r="AM570" s="245"/>
      <c r="AN570" s="242">
        <f>AF570-AL570</f>
        <v>-203890.21000000631</v>
      </c>
      <c r="AO570" s="364">
        <f>IF(AL570=0,0,AN570/AL570)</f>
        <v>-0.90904454474186192</v>
      </c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spans="1:62" ht="8.25" customHeight="1" thickTop="1">
      <c r="A571" s="410" t="s">
        <v>493</v>
      </c>
      <c r="B571" s="3"/>
      <c r="C571" s="336" t="s">
        <v>491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2"/>
      <c r="W571" s="2"/>
      <c r="X571" s="2"/>
      <c r="Y571" s="2"/>
      <c r="Z571" s="55"/>
      <c r="AA571" s="7"/>
      <c r="AB571" s="7"/>
      <c r="AC571" s="55"/>
      <c r="AD571" s="7"/>
      <c r="AE571" s="7"/>
      <c r="AF571" s="55"/>
      <c r="AG571" s="7"/>
      <c r="AH571" s="7"/>
      <c r="AI571" s="7"/>
      <c r="AJ571" s="7"/>
      <c r="AK571" s="7"/>
      <c r="AL571" s="55"/>
      <c r="AM571" s="7"/>
      <c r="AN571" s="7"/>
      <c r="AO571" s="7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spans="1:62" ht="22.8">
      <c r="A572" s="410" t="s">
        <v>495</v>
      </c>
      <c r="B572" s="3"/>
      <c r="C572" s="336" t="s">
        <v>491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365" t="str">
        <f>C1</f>
        <v>Ste-Marie Auto</v>
      </c>
      <c r="W572" s="365"/>
      <c r="X572" s="365"/>
      <c r="Y572" s="365"/>
      <c r="Z572" s="365"/>
      <c r="AA572" s="365"/>
      <c r="AB572" s="365"/>
      <c r="AC572" s="365"/>
      <c r="AD572" s="365"/>
      <c r="AE572" s="366" t="s">
        <v>180</v>
      </c>
      <c r="AF572" s="365"/>
      <c r="AG572" s="365"/>
      <c r="AH572" s="365"/>
      <c r="AI572" s="365"/>
      <c r="AJ572" s="365"/>
      <c r="AK572" s="366"/>
      <c r="AL572" s="365"/>
      <c r="AM572" s="365"/>
      <c r="AN572" s="365"/>
      <c r="AO572" s="367" t="str">
        <f>$S$1</f>
        <v>Réalisé, Juillet 2026</v>
      </c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spans="1:62" ht="19.5" customHeight="1">
      <c r="A573" s="410" t="s">
        <v>493</v>
      </c>
      <c r="B573" s="3"/>
      <c r="C573" s="336" t="s">
        <v>491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2"/>
      <c r="W573" s="2"/>
      <c r="X573" s="2"/>
      <c r="Y573" s="2"/>
      <c r="Z573" s="55"/>
      <c r="AA573" s="7"/>
      <c r="AB573" s="7"/>
      <c r="AC573" s="55"/>
      <c r="AD573" s="7"/>
      <c r="AE573" s="7"/>
      <c r="AF573" s="55"/>
      <c r="AG573" s="7"/>
      <c r="AH573" s="7"/>
      <c r="AI573" s="7"/>
      <c r="AJ573" s="7"/>
      <c r="AK573" s="7"/>
      <c r="AL573" s="55"/>
      <c r="AM573" s="7"/>
      <c r="AN573" s="7"/>
      <c r="AO573" s="7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spans="1:62" ht="19.5" customHeight="1" thickBot="1">
      <c r="A574" s="410" t="s">
        <v>493</v>
      </c>
      <c r="B574" s="3"/>
      <c r="C574" s="336" t="s">
        <v>491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2"/>
      <c r="W574" s="2"/>
      <c r="X574" s="2"/>
      <c r="Y574" s="2"/>
      <c r="Z574" s="55"/>
      <c r="AA574" s="7"/>
      <c r="AB574" s="7"/>
      <c r="AC574" s="55"/>
      <c r="AD574" s="7"/>
      <c r="AE574" s="7"/>
      <c r="AF574" s="55"/>
      <c r="AG574" s="7"/>
      <c r="AH574" s="7"/>
      <c r="AI574" s="7"/>
      <c r="AJ574" s="7"/>
      <c r="AK574" s="7"/>
      <c r="AL574" s="55"/>
      <c r="AM574" s="7"/>
      <c r="AN574" s="7"/>
      <c r="AO574" s="7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spans="1:62" ht="19.2" hidden="1" customHeight="1">
      <c r="A575" s="410" t="s">
        <v>493</v>
      </c>
      <c r="B575" s="3"/>
      <c r="C575" s="336" t="s">
        <v>491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237" t="s">
        <v>208</v>
      </c>
      <c r="W575" s="238"/>
      <c r="X575" s="239" t="s">
        <v>179</v>
      </c>
      <c r="Y575" s="240" t="e">
        <f>Z575/Z493</f>
        <v>#REF!</v>
      </c>
      <c r="Z575" s="242" t="e">
        <f>Z576+Z502</f>
        <v>#REF!</v>
      </c>
      <c r="AA575" s="239"/>
      <c r="AB575" s="240"/>
      <c r="AC575" s="241"/>
      <c r="AD575" s="239" t="s">
        <v>179</v>
      </c>
      <c r="AE575" s="240">
        <f>AF575/AF493</f>
        <v>7.4277346759753426E-3</v>
      </c>
      <c r="AF575" s="242">
        <f>AF576+AF502</f>
        <v>107083.7800000037</v>
      </c>
      <c r="AG575" s="243"/>
      <c r="AH575" s="243" t="e">
        <f t="shared" ref="AH575" si="94">AF575-Z575</f>
        <v>#REF!</v>
      </c>
      <c r="AI575" s="244" t="e">
        <f>AH575/Z575</f>
        <v>#REF!</v>
      </c>
      <c r="AJ575" s="239" t="s">
        <v>179</v>
      </c>
      <c r="AK575" s="240">
        <f>IF($AL$493=0,0,AL575/$AL$493)</f>
        <v>1.7353208367564935E-2</v>
      </c>
      <c r="AL575" s="242">
        <f>AL576+AL502</f>
        <v>319043.93000001</v>
      </c>
      <c r="AM575" s="245"/>
      <c r="AN575" s="242">
        <f t="shared" ref="AN575:AN585" si="95">AF575-AL575</f>
        <v>-211960.15000000631</v>
      </c>
      <c r="AO575" s="246">
        <f t="shared" ref="AO575:AO585" si="96">IF(AL575=0,0,AN575/AL575)</f>
        <v>-0.66436039074618869</v>
      </c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spans="1:62" ht="21" customHeight="1" thickTop="1" thickBot="1">
      <c r="A576" s="410" t="s">
        <v>178</v>
      </c>
      <c r="B576" s="3"/>
      <c r="C576" s="336" t="s">
        <v>491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237" t="s">
        <v>178</v>
      </c>
      <c r="W576" s="238"/>
      <c r="X576" s="239" t="s">
        <v>179</v>
      </c>
      <c r="Y576" s="240" t="e">
        <f>Z576/Z493</f>
        <v>#REF!</v>
      </c>
      <c r="Z576" s="241" t="e">
        <f>Z570</f>
        <v>#REF!</v>
      </c>
      <c r="AA576" s="239"/>
      <c r="AB576" s="240"/>
      <c r="AC576" s="241"/>
      <c r="AD576" s="239" t="s">
        <v>179</v>
      </c>
      <c r="AE576" s="240">
        <f>AF576/AF493</f>
        <v>1.4150528133006729E-3</v>
      </c>
      <c r="AF576" s="241">
        <f>AF570</f>
        <v>20400.460000003717</v>
      </c>
      <c r="AG576" s="242"/>
      <c r="AH576" s="243" t="e">
        <f>AF576-Z576</f>
        <v>#REF!</v>
      </c>
      <c r="AI576" s="244" t="e">
        <f>AH576/Z576</f>
        <v>#REF!</v>
      </c>
      <c r="AJ576" s="239" t="s">
        <v>179</v>
      </c>
      <c r="AK576" s="240">
        <f>IF($AL$493=0,0,AL576/$AL$493)</f>
        <v>1.2199457082323421E-2</v>
      </c>
      <c r="AL576" s="241">
        <f>AL570</f>
        <v>224290.67000001002</v>
      </c>
      <c r="AM576" s="368"/>
      <c r="AN576" s="369">
        <f t="shared" si="95"/>
        <v>-203890.21000000631</v>
      </c>
      <c r="AO576" s="370">
        <f t="shared" si="96"/>
        <v>-0.90904454474186192</v>
      </c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spans="1:62" ht="15.75" customHeight="1" thickTop="1">
      <c r="A577" s="410" t="s">
        <v>493</v>
      </c>
      <c r="B577" s="3"/>
      <c r="C577" s="336" t="s">
        <v>491</v>
      </c>
      <c r="D577" s="6"/>
      <c r="E577" s="6"/>
      <c r="F577" s="97"/>
      <c r="G577" s="6"/>
      <c r="H577" s="6"/>
      <c r="I577" s="97"/>
      <c r="J577" s="6"/>
      <c r="K577" s="6"/>
      <c r="L577" s="6"/>
      <c r="M577" s="97"/>
      <c r="N577" s="6"/>
      <c r="O577" s="6"/>
      <c r="P577" s="6"/>
      <c r="Q577" s="97"/>
      <c r="R577" s="97"/>
      <c r="S577" s="97"/>
      <c r="T577" s="358"/>
      <c r="U577" s="6"/>
      <c r="V577" s="371"/>
      <c r="W577" s="6"/>
      <c r="X577" s="6"/>
      <c r="Y577" s="6"/>
      <c r="Z577" s="372"/>
      <c r="AA577" s="6"/>
      <c r="AB577" s="6"/>
      <c r="AC577" s="6"/>
      <c r="AD577" s="388"/>
      <c r="AE577" s="6"/>
      <c r="AF577" s="372"/>
      <c r="AG577" s="6"/>
      <c r="AH577" s="6"/>
      <c r="AI577" s="373"/>
      <c r="AJ577" s="6"/>
      <c r="AK577" s="6"/>
      <c r="AL577" s="372"/>
      <c r="AM577" s="212"/>
      <c r="AN577" s="97"/>
      <c r="AO577" s="374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spans="1:62" ht="15.75" customHeight="1">
      <c r="A578" s="410" t="s">
        <v>181</v>
      </c>
      <c r="B578" s="3"/>
      <c r="C578" s="336" t="s">
        <v>491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271" t="s">
        <v>181</v>
      </c>
      <c r="W578" s="163"/>
      <c r="X578" s="157"/>
      <c r="Y578" s="164"/>
      <c r="Z578" s="158">
        <f>+INDEX('[1]Budget original'!$A$2:$AO$501,MATCH($A578,'[1]Budget original'!$A$2:$A$501,0),MATCH(F$2,'[1]Budget original'!$A$2:$AO$2,0))</f>
        <v>0</v>
      </c>
      <c r="AA578" s="157"/>
      <c r="AB578" s="164"/>
      <c r="AC578" s="160"/>
      <c r="AD578" s="389"/>
      <c r="AE578" s="164"/>
      <c r="AF578" s="158">
        <f>SUMIFS([1]BV_Data_An_Cour!$AM:$AM,[1]BV_Data_An_Cour!$AQ:$AQ,$V578)</f>
        <v>10810</v>
      </c>
      <c r="AG578" s="157"/>
      <c r="AH578" s="160">
        <f t="shared" ref="AH578:AH585" si="97">AF578-Z578</f>
        <v>10810</v>
      </c>
      <c r="AI578" s="177">
        <f t="shared" ref="AI578:AI584" si="98">IF(Z578=0,0,AH578/Z578)</f>
        <v>0</v>
      </c>
      <c r="AJ578" s="157"/>
      <c r="AK578" s="164"/>
      <c r="AL578" s="158">
        <f>SUMIFS([1]BV_Data_An_Prec!$AM:$AM,[1]BV_Data_An_Prec!$AQ:$AQ,$V578)</f>
        <v>11547.109999999999</v>
      </c>
      <c r="AM578" s="162"/>
      <c r="AN578" s="160">
        <f t="shared" si="95"/>
        <v>-737.10999999999876</v>
      </c>
      <c r="AO578" s="349">
        <f t="shared" si="96"/>
        <v>-6.3835020191199257E-2</v>
      </c>
      <c r="AP578" s="6"/>
      <c r="AQ578" s="6"/>
      <c r="AR578" s="6" t="s">
        <v>498</v>
      </c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spans="1:62" ht="15.75" customHeight="1">
      <c r="A579" s="410" t="s">
        <v>182</v>
      </c>
      <c r="B579" s="3"/>
      <c r="C579" s="336" t="s">
        <v>491</v>
      </c>
      <c r="D579" s="6"/>
      <c r="E579" s="6"/>
      <c r="F579" s="97"/>
      <c r="G579" s="6"/>
      <c r="H579" s="6"/>
      <c r="I579" s="97"/>
      <c r="J579" s="6"/>
      <c r="K579" s="6"/>
      <c r="L579" s="6"/>
      <c r="M579" s="97"/>
      <c r="N579" s="6"/>
      <c r="O579" s="6"/>
      <c r="P579" s="6"/>
      <c r="Q579" s="97"/>
      <c r="R579" s="97"/>
      <c r="S579" s="97"/>
      <c r="T579" s="6"/>
      <c r="U579" s="6"/>
      <c r="V579" s="271" t="s">
        <v>182</v>
      </c>
      <c r="W579" s="6"/>
      <c r="X579" s="6"/>
      <c r="Y579" s="6"/>
      <c r="Z579" s="158">
        <f>+INDEX('[1]Budget original'!$A$2:$AO$501,MATCH($A579,'[1]Budget original'!$A$2:$A$501,0),MATCH(F$2,'[1]Budget original'!$A$2:$AO$2,0))</f>
        <v>0</v>
      </c>
      <c r="AA579" s="6"/>
      <c r="AB579" s="6"/>
      <c r="AC579" s="160"/>
      <c r="AD579" s="390"/>
      <c r="AE579" s="7"/>
      <c r="AF579" s="158">
        <f>SUMIFS([1]BV_Data_An_Cour!$AM:$AM,[1]BV_Data_An_Cour!$AQ:$AQ,$V579)</f>
        <v>0</v>
      </c>
      <c r="AG579" s="6"/>
      <c r="AH579" s="160">
        <f t="shared" si="97"/>
        <v>0</v>
      </c>
      <c r="AI579" s="177">
        <f t="shared" si="98"/>
        <v>0</v>
      </c>
      <c r="AJ579" s="6"/>
      <c r="AK579" s="7"/>
      <c r="AL579" s="158">
        <f>SUMIFS([1]BV_Data_An_Prec!$AM:$AM,[1]BV_Data_An_Prec!$AQ:$AQ,$V579)</f>
        <v>0</v>
      </c>
      <c r="AM579" s="212"/>
      <c r="AN579" s="160">
        <f t="shared" si="95"/>
        <v>0</v>
      </c>
      <c r="AO579" s="349">
        <f t="shared" si="96"/>
        <v>0</v>
      </c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spans="1:62" ht="15.75" customHeight="1">
      <c r="A580" s="410" t="s">
        <v>183</v>
      </c>
      <c r="B580" s="3"/>
      <c r="C580" s="336" t="s">
        <v>491</v>
      </c>
      <c r="D580" s="6"/>
      <c r="E580" s="6"/>
      <c r="F580" s="97"/>
      <c r="G580" s="6"/>
      <c r="H580" s="6"/>
      <c r="I580" s="97"/>
      <c r="J580" s="6"/>
      <c r="K580" s="6"/>
      <c r="L580" s="6"/>
      <c r="M580" s="97"/>
      <c r="N580" s="6"/>
      <c r="O580" s="6"/>
      <c r="P580" s="6"/>
      <c r="Q580" s="97"/>
      <c r="R580" s="97"/>
      <c r="S580" s="97"/>
      <c r="T580" s="6"/>
      <c r="U580" s="6"/>
      <c r="V580" s="271" t="s">
        <v>183</v>
      </c>
      <c r="W580" s="7"/>
      <c r="X580" s="7"/>
      <c r="Y580" s="7"/>
      <c r="Z580" s="158">
        <f>+INDEX('[1]Budget original'!$A$2:$AO$501,MATCH($A580,'[1]Budget original'!$A$2:$A$501,0),MATCH(F$2,'[1]Budget original'!$A$2:$AO$2,0))</f>
        <v>0</v>
      </c>
      <c r="AA580" s="6"/>
      <c r="AB580" s="6"/>
      <c r="AC580" s="160"/>
      <c r="AD580" s="390"/>
      <c r="AE580" s="7"/>
      <c r="AF580" s="158">
        <f>SUMIFS([1]BV_Data_An_Cour!$AM:$AM,[1]BV_Data_An_Cour!$AQ:$AQ,$V580)</f>
        <v>7995</v>
      </c>
      <c r="AG580" s="6"/>
      <c r="AH580" s="160">
        <f t="shared" si="97"/>
        <v>7995</v>
      </c>
      <c r="AI580" s="177">
        <f t="shared" si="98"/>
        <v>0</v>
      </c>
      <c r="AJ580" s="6"/>
      <c r="AK580" s="7"/>
      <c r="AL580" s="158">
        <f>SUMIFS([1]BV_Data_An_Prec!$AM:$AM,[1]BV_Data_An_Prec!$AQ:$AQ,$V580)</f>
        <v>0</v>
      </c>
      <c r="AM580" s="212"/>
      <c r="AN580" s="160">
        <f t="shared" si="95"/>
        <v>7995</v>
      </c>
      <c r="AO580" s="349">
        <f t="shared" si="96"/>
        <v>0</v>
      </c>
      <c r="AP580" s="6"/>
      <c r="AQ580" s="6">
        <v>7995</v>
      </c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spans="1:62" ht="15.75" customHeight="1">
      <c r="A581" s="410" t="s">
        <v>184</v>
      </c>
      <c r="B581" s="3"/>
      <c r="C581" s="336" t="s">
        <v>491</v>
      </c>
      <c r="D581" s="6"/>
      <c r="E581" s="6"/>
      <c r="F581" s="97"/>
      <c r="G581" s="6"/>
      <c r="H581" s="6"/>
      <c r="I581" s="97"/>
      <c r="J581" s="6"/>
      <c r="K581" s="6"/>
      <c r="L581" s="6"/>
      <c r="M581" s="97"/>
      <c r="N581" s="6"/>
      <c r="O581" s="6"/>
      <c r="P581" s="6"/>
      <c r="Q581" s="97"/>
      <c r="R581" s="97"/>
      <c r="S581" s="97"/>
      <c r="T581" s="6"/>
      <c r="U581" s="6"/>
      <c r="V581" s="271" t="s">
        <v>184</v>
      </c>
      <c r="W581" s="7"/>
      <c r="X581" s="7"/>
      <c r="Y581" s="7"/>
      <c r="Z581" s="158">
        <f>+INDEX('[1]Budget original'!$A$2:$AO$501,MATCH($A581,'[1]Budget original'!$A$2:$A$501,0),MATCH(F$2,'[1]Budget original'!$A$2:$AO$2,0))</f>
        <v>0</v>
      </c>
      <c r="AA581" s="6"/>
      <c r="AB581" s="6"/>
      <c r="AC581" s="160"/>
      <c r="AD581" s="390"/>
      <c r="AE581" s="7"/>
      <c r="AF581" s="158">
        <f>SUMIFS([1]BV_Data_An_Cour!$AM:$AM,[1]BV_Data_An_Cour!$AQ:$AQ,$V581)</f>
        <v>0</v>
      </c>
      <c r="AG581" s="6"/>
      <c r="AH581" s="160">
        <f t="shared" si="97"/>
        <v>0</v>
      </c>
      <c r="AI581" s="177">
        <f t="shared" si="98"/>
        <v>0</v>
      </c>
      <c r="AJ581" s="6"/>
      <c r="AK581" s="7"/>
      <c r="AL581" s="158">
        <f>SUMIFS([1]BV_Data_An_Prec!$AM:$AM,[1]BV_Data_An_Prec!$AQ:$AQ,$V581)</f>
        <v>0</v>
      </c>
      <c r="AM581" s="212"/>
      <c r="AN581" s="160">
        <f t="shared" si="95"/>
        <v>0</v>
      </c>
      <c r="AO581" s="349">
        <f t="shared" si="96"/>
        <v>0</v>
      </c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spans="1:62" ht="20.399999999999999" hidden="1" customHeight="1">
      <c r="A582" s="410" t="s">
        <v>19</v>
      </c>
      <c r="B582" s="3"/>
      <c r="C582" s="336" t="s">
        <v>491</v>
      </c>
      <c r="D582" s="6"/>
      <c r="E582" s="6"/>
      <c r="F582" s="97"/>
      <c r="G582" s="6"/>
      <c r="H582" s="6"/>
      <c r="I582" s="97"/>
      <c r="J582" s="6"/>
      <c r="K582" s="6"/>
      <c r="L582" s="6"/>
      <c r="M582" s="97"/>
      <c r="N582" s="6"/>
      <c r="O582" s="6"/>
      <c r="P582" s="6"/>
      <c r="Q582" s="97"/>
      <c r="R582" s="97"/>
      <c r="S582" s="97"/>
      <c r="T582" s="6"/>
      <c r="U582" s="6"/>
      <c r="V582" s="271" t="s">
        <v>19</v>
      </c>
      <c r="W582" s="7"/>
      <c r="X582" s="7"/>
      <c r="Y582" s="7"/>
      <c r="Z582" s="158">
        <f>IFERROR(SUMIF($C:$C,$V582,F:F),0)</f>
        <v>0</v>
      </c>
      <c r="AA582" s="157"/>
      <c r="AB582" s="157"/>
      <c r="AC582" s="160"/>
      <c r="AD582" s="389"/>
      <c r="AE582" s="164"/>
      <c r="AF582" s="158">
        <f>IFERROR(SUMIF($C:$C,$V582,L:L),0)</f>
        <v>0</v>
      </c>
      <c r="AG582" s="159"/>
      <c r="AH582" s="160">
        <f t="shared" si="97"/>
        <v>0</v>
      </c>
      <c r="AI582" s="161">
        <f t="shared" si="98"/>
        <v>0</v>
      </c>
      <c r="AJ582" s="165"/>
      <c r="AK582" s="164"/>
      <c r="AL582" s="158">
        <f>SUMIFS([1]BV_Data_An_Prec!$AM:$AM,[1]BV_Data_An_Prec!$AQ:$AQ,$V582)</f>
        <v>0</v>
      </c>
      <c r="AM582" s="212"/>
      <c r="AN582" s="160">
        <f t="shared" si="95"/>
        <v>0</v>
      </c>
      <c r="AO582" s="349">
        <f t="shared" si="96"/>
        <v>0</v>
      </c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spans="1:62" ht="15.75" customHeight="1" thickBot="1">
      <c r="A583" s="271" t="str">
        <f>V583</f>
        <v>Revenus d'intérêts Floor plan</v>
      </c>
      <c r="B583" s="3"/>
      <c r="C583" s="336" t="s">
        <v>491</v>
      </c>
      <c r="D583" s="6"/>
      <c r="E583" s="6"/>
      <c r="F583" s="97"/>
      <c r="G583" s="6"/>
      <c r="H583" s="6"/>
      <c r="I583" s="97"/>
      <c r="J583" s="6"/>
      <c r="K583" s="6"/>
      <c r="L583" s="6"/>
      <c r="M583" s="97"/>
      <c r="N583" s="6"/>
      <c r="O583" s="6"/>
      <c r="P583" s="6"/>
      <c r="Q583" s="97"/>
      <c r="R583" s="97"/>
      <c r="S583" s="97"/>
      <c r="T583" s="6"/>
      <c r="U583" s="6"/>
      <c r="V583" s="271" t="s">
        <v>207</v>
      </c>
      <c r="W583" s="7"/>
      <c r="X583" s="7"/>
      <c r="Y583" s="7"/>
      <c r="Z583" s="158">
        <f>+INDEX('[1]Budget original'!$A$2:$AO$501,MATCH($A583,'[1]Budget original'!$A$2:$A$501,0),MATCH(F$2,'[1]Budget original'!$A$2:$AO$2,0))</f>
        <v>0</v>
      </c>
      <c r="AA583" s="157"/>
      <c r="AB583" s="157"/>
      <c r="AC583" s="160"/>
      <c r="AD583" s="389"/>
      <c r="AE583" s="164"/>
      <c r="AF583" s="158">
        <f>SUMIFS([1]BV_Data_An_Cour!$AM:$AM,[1]BV_Data_An_Cour!$AQ:$AQ,$V583)</f>
        <v>-50.679999999999382</v>
      </c>
      <c r="AG583" s="159"/>
      <c r="AH583" s="160">
        <f t="shared" si="97"/>
        <v>-50.679999999999382</v>
      </c>
      <c r="AI583" s="161">
        <f t="shared" si="98"/>
        <v>0</v>
      </c>
      <c r="AJ583" s="165"/>
      <c r="AK583" s="164"/>
      <c r="AL583" s="158">
        <f>SUMIFS([1]BV_Data_An_Prec!$AM:$AM,[1]BV_Data_An_Prec!$AQ:$AQ,$V583)</f>
        <v>0</v>
      </c>
      <c r="AM583" s="212"/>
      <c r="AN583" s="160">
        <f t="shared" si="95"/>
        <v>-50.679999999999382</v>
      </c>
      <c r="AO583" s="349">
        <f t="shared" si="96"/>
        <v>0</v>
      </c>
      <c r="AP583" s="6"/>
      <c r="AQ583" s="6">
        <v>-50.68</v>
      </c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spans="1:62" ht="21" hidden="1" customHeight="1">
      <c r="A584" s="410" t="s">
        <v>19</v>
      </c>
      <c r="B584" s="3"/>
      <c r="C584" s="336" t="s">
        <v>491</v>
      </c>
      <c r="D584" s="6"/>
      <c r="E584" s="6"/>
      <c r="F584" s="97"/>
      <c r="G584" s="6"/>
      <c r="H584" s="6"/>
      <c r="I584" s="97"/>
      <c r="J584" s="6"/>
      <c r="K584" s="6"/>
      <c r="L584" s="6"/>
      <c r="M584" s="97"/>
      <c r="N584" s="6"/>
      <c r="O584" s="6"/>
      <c r="P584" s="6"/>
      <c r="Q584" s="97"/>
      <c r="R584" s="97"/>
      <c r="S584" s="97"/>
      <c r="T584" s="6"/>
      <c r="U584" s="6"/>
      <c r="V584" s="271" t="s">
        <v>19</v>
      </c>
      <c r="W584" s="7"/>
      <c r="X584" s="6"/>
      <c r="Y584" s="7"/>
      <c r="Z584" s="158">
        <f>IFERROR(SUMIF($C:$C,$V584,F:F),0)</f>
        <v>0</v>
      </c>
      <c r="AA584" s="157"/>
      <c r="AB584" s="157"/>
      <c r="AC584" s="158"/>
      <c r="AD584" s="165"/>
      <c r="AE584" s="164"/>
      <c r="AF584" s="158">
        <f>IFERROR(SUMIF($C:$C,$V584,L:L),0)</f>
        <v>0</v>
      </c>
      <c r="AG584" s="159"/>
      <c r="AH584" s="160">
        <f t="shared" si="97"/>
        <v>0</v>
      </c>
      <c r="AI584" s="161">
        <f t="shared" si="98"/>
        <v>0</v>
      </c>
      <c r="AJ584" s="165"/>
      <c r="AK584" s="164"/>
      <c r="AL584" s="158">
        <f>+INDEX('[1]Réel 2024'!$A$2:$AO$501,MATCH($A584,'[1]Réel 2024'!$A$2:$A$501,0),MATCH(F$2,'[1]Réel 2024'!$A$2:$AO$2,0))</f>
        <v>0</v>
      </c>
      <c r="AM584" s="212"/>
      <c r="AN584" s="160">
        <f t="shared" si="95"/>
        <v>0</v>
      </c>
      <c r="AO584" s="349">
        <f t="shared" si="96"/>
        <v>0</v>
      </c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spans="1:62" ht="21" customHeight="1" thickTop="1" thickBot="1">
      <c r="A585" s="410" t="s">
        <v>185</v>
      </c>
      <c r="B585" s="3"/>
      <c r="C585" s="336" t="s">
        <v>491</v>
      </c>
      <c r="D585" s="6"/>
      <c r="E585" s="6"/>
      <c r="F585" s="97"/>
      <c r="G585" s="6"/>
      <c r="H585" s="6"/>
      <c r="I585" s="97"/>
      <c r="J585" s="6"/>
      <c r="K585" s="6"/>
      <c r="L585" s="6"/>
      <c r="M585" s="97"/>
      <c r="N585" s="6"/>
      <c r="O585" s="6"/>
      <c r="P585" s="6"/>
      <c r="Q585" s="97"/>
      <c r="R585" s="97"/>
      <c r="S585" s="97"/>
      <c r="T585" s="6"/>
      <c r="U585" s="6"/>
      <c r="V585" s="237" t="s">
        <v>185</v>
      </c>
      <c r="W585" s="238"/>
      <c r="X585" s="239" t="s">
        <v>179</v>
      </c>
      <c r="Y585" s="240" t="e">
        <f>Z585/Z493</f>
        <v>#REF!</v>
      </c>
      <c r="Z585" s="241" t="e">
        <f>Z576-Z578-Z579-Z580-Z584-Z583</f>
        <v>#REF!</v>
      </c>
      <c r="AA585" s="239"/>
      <c r="AB585" s="240"/>
      <c r="AC585" s="241"/>
      <c r="AD585" s="239" t="s">
        <v>179</v>
      </c>
      <c r="AE585" s="240">
        <f>AF585/AF493</f>
        <v>1.14182476183949E-4</v>
      </c>
      <c r="AF585" s="241">
        <f>AF576-AF578-AF579-AF580-AF584-AF583</f>
        <v>1646.1400000037165</v>
      </c>
      <c r="AG585" s="243"/>
      <c r="AH585" s="243" t="e">
        <f t="shared" si="97"/>
        <v>#REF!</v>
      </c>
      <c r="AI585" s="244" t="e">
        <f>AH585/Z585</f>
        <v>#REF!</v>
      </c>
      <c r="AJ585" s="239" t="s">
        <v>179</v>
      </c>
      <c r="AK585" s="240">
        <f>IF($AL$493=0,0,AL585/$AL$493)</f>
        <v>1.1571394966008636E-2</v>
      </c>
      <c r="AL585" s="241">
        <f>AL576-AL578-AL579-AL580-AL584-AL583</f>
        <v>212743.56000001004</v>
      </c>
      <c r="AM585" s="245"/>
      <c r="AN585" s="242">
        <f t="shared" si="95"/>
        <v>-211097.42000000633</v>
      </c>
      <c r="AO585" s="246">
        <f t="shared" si="96"/>
        <v>-0.99226232747067111</v>
      </c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spans="1:62" ht="15.75" customHeight="1" thickTop="1">
      <c r="A586" s="410" t="s">
        <v>493</v>
      </c>
      <c r="B586" s="3"/>
      <c r="C586" s="6"/>
      <c r="D586" s="6"/>
      <c r="E586" s="6"/>
      <c r="F586" s="97"/>
      <c r="G586" s="6"/>
      <c r="H586" s="6"/>
      <c r="I586" s="97"/>
      <c r="J586" s="6"/>
      <c r="K586" s="6"/>
      <c r="L586" s="6"/>
      <c r="M586" s="97"/>
      <c r="N586" s="6"/>
      <c r="O586" s="6"/>
      <c r="P586" s="6"/>
      <c r="Q586" s="97"/>
      <c r="R586" s="97"/>
      <c r="S586" s="97"/>
      <c r="T586" s="6"/>
      <c r="U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spans="1:62" ht="15.75" customHeight="1">
      <c r="B587" s="3"/>
      <c r="T587" s="6"/>
      <c r="U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spans="1:62" ht="15.75" customHeight="1">
      <c r="B588" s="3"/>
      <c r="C588" s="6"/>
      <c r="S588" s="97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spans="1:62" ht="15.75" customHeight="1">
      <c r="B589" s="3"/>
      <c r="C589" s="157"/>
      <c r="V589" s="6" t="s">
        <v>499</v>
      </c>
      <c r="W589" s="6"/>
      <c r="X589" s="6"/>
      <c r="Y589" s="6"/>
      <c r="Z589" s="97"/>
      <c r="AA589" s="6"/>
      <c r="AB589" s="6"/>
      <c r="AC589" s="97"/>
      <c r="AE589" s="176"/>
      <c r="AF589" s="176">
        <v>1644</v>
      </c>
      <c r="AG589" s="6"/>
      <c r="AH589" s="6"/>
      <c r="AI589" s="6"/>
      <c r="AJ589" s="375"/>
      <c r="AK589" s="376"/>
      <c r="AL589" s="377">
        <v>212748</v>
      </c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spans="1:62" ht="15.75" customHeight="1">
      <c r="B590" s="3"/>
      <c r="C590" s="157"/>
      <c r="W590" s="6"/>
      <c r="X590" s="6"/>
      <c r="Y590" s="6"/>
      <c r="Z590" s="97"/>
      <c r="AA590" s="6"/>
      <c r="AB590" s="6"/>
      <c r="AC590" s="97"/>
      <c r="AD590" s="6"/>
      <c r="AE590" s="6"/>
      <c r="AF590" s="176"/>
      <c r="AG590" s="6"/>
      <c r="AH590" s="6"/>
      <c r="AI590" s="6"/>
      <c r="AJ590" s="6"/>
      <c r="AL590" s="377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spans="1:62" ht="15.75" customHeight="1">
      <c r="B591" s="3"/>
      <c r="C591" s="157"/>
      <c r="W591" s="6"/>
      <c r="X591" s="6"/>
      <c r="Y591" s="6"/>
      <c r="AE591" s="6"/>
      <c r="AF591" s="378">
        <f>AF589-AF585</f>
        <v>-2.1400000037165228</v>
      </c>
      <c r="AL591" s="378">
        <f>AL589-AL585</f>
        <v>4.4399999899615068</v>
      </c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spans="1:62" ht="15.75" customHeight="1">
      <c r="B592" s="3"/>
      <c r="C592" s="157"/>
      <c r="W592" s="6"/>
      <c r="X592" s="6"/>
      <c r="Y592" s="6"/>
      <c r="Z592" s="6"/>
      <c r="AA592" s="6"/>
      <c r="AB592" s="6"/>
      <c r="AC592" s="6"/>
      <c r="AD592" s="6"/>
      <c r="AE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spans="2:62" ht="15.75" customHeight="1">
      <c r="B593" s="3"/>
      <c r="C593" s="157"/>
      <c r="W593" s="6"/>
      <c r="X593" s="6"/>
      <c r="Y593" s="6"/>
      <c r="Z593" s="6"/>
      <c r="AA593" s="6"/>
      <c r="AB593" s="6"/>
      <c r="AC593" s="6"/>
      <c r="AD593" s="6"/>
      <c r="AE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spans="2:62" ht="15.75" customHeight="1">
      <c r="B594" s="3"/>
      <c r="C594" s="157"/>
      <c r="W594" s="6"/>
      <c r="X594" s="6"/>
      <c r="Y594" s="6"/>
      <c r="Z594" s="6"/>
      <c r="AA594" s="6"/>
      <c r="AB594" s="6"/>
      <c r="AC594" s="6"/>
      <c r="AD594" s="6"/>
      <c r="AE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spans="2:62" ht="15.75" customHeight="1">
      <c r="B595" s="3"/>
      <c r="C595" s="157"/>
      <c r="W595" s="6"/>
      <c r="X595" s="6"/>
      <c r="Y595" s="6"/>
      <c r="Z595" s="6"/>
      <c r="AA595" s="6"/>
      <c r="AB595" s="6"/>
      <c r="AC595" s="6"/>
      <c r="AD595" s="6"/>
      <c r="AE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spans="2:62" ht="15.75" customHeight="1">
      <c r="B596" s="3"/>
      <c r="C596" s="157"/>
      <c r="W596" s="6"/>
      <c r="X596" s="6"/>
      <c r="Y596" s="6"/>
      <c r="Z596" s="6"/>
      <c r="AA596" s="6"/>
      <c r="AB596" s="6"/>
      <c r="AC596" s="6"/>
      <c r="AD596" s="6"/>
      <c r="AE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spans="2:62" ht="15.75" customHeight="1">
      <c r="B597" s="3"/>
      <c r="C597" s="157"/>
      <c r="W597" s="6"/>
      <c r="X597" s="6"/>
      <c r="Y597" s="6"/>
      <c r="Z597" s="6"/>
      <c r="AA597" s="6"/>
      <c r="AB597" s="6"/>
      <c r="AC597" s="6"/>
      <c r="AD597" s="6"/>
      <c r="AE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spans="2:62" ht="15.75" customHeight="1">
      <c r="B598" s="3"/>
      <c r="C598" s="157"/>
      <c r="W598" s="6"/>
      <c r="X598" s="6"/>
      <c r="Y598" s="6"/>
      <c r="Z598" s="6"/>
      <c r="AA598" s="6"/>
      <c r="AB598" s="6"/>
      <c r="AC598" s="6"/>
      <c r="AD598" s="6"/>
      <c r="AE598" s="6"/>
      <c r="AF598" s="17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spans="2:62" ht="15.75" customHeight="1">
      <c r="B599" s="3"/>
      <c r="C599" s="157"/>
      <c r="W599" s="6"/>
      <c r="X599" s="6"/>
      <c r="Y599" s="6"/>
      <c r="Z599" s="6"/>
      <c r="AA599" s="6"/>
      <c r="AB599" s="6"/>
      <c r="AC599" s="6"/>
      <c r="AD599" s="6"/>
      <c r="AE599" s="6"/>
      <c r="AF599" s="380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spans="2:62" ht="15.75" customHeight="1">
      <c r="B600" s="3"/>
      <c r="C600" s="157"/>
      <c r="W600" s="6"/>
      <c r="X600" s="6"/>
      <c r="Y600" s="6"/>
      <c r="Z600" s="6"/>
      <c r="AA600" s="6"/>
      <c r="AB600" s="6"/>
      <c r="AC600" s="6"/>
      <c r="AD600" s="6"/>
      <c r="AE600" s="6"/>
      <c r="AF600" s="380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spans="2:62" ht="15.75" customHeight="1">
      <c r="B601" s="3"/>
      <c r="C601" s="157"/>
      <c r="W601" s="6"/>
      <c r="X601" s="6"/>
      <c r="Y601" s="6"/>
      <c r="Z601" s="6"/>
      <c r="AA601" s="6"/>
      <c r="AB601" s="6"/>
      <c r="AC601" s="6"/>
      <c r="AD601" s="6"/>
      <c r="AE601" s="6"/>
      <c r="AF601" s="380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spans="2:62" ht="15.75" customHeight="1">
      <c r="B602" s="3"/>
      <c r="C602" s="15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spans="2:62" ht="15.75" customHeight="1">
      <c r="B603" s="3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spans="2:62" ht="15.75" customHeight="1">
      <c r="B604" s="3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spans="2:62" ht="15.75" customHeight="1">
      <c r="B605" s="3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spans="2:62" ht="15.75" customHeight="1">
      <c r="B606" s="3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spans="2:62" ht="15.75" customHeight="1">
      <c r="B607" s="3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spans="2:62" ht="15.75" customHeight="1">
      <c r="B608" s="3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spans="2:62" ht="15.75" customHeight="1">
      <c r="B609" s="3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spans="2:62" ht="15.75" customHeight="1">
      <c r="B610" s="3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spans="2:62" ht="15.75" customHeight="1">
      <c r="B611" s="3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spans="2:62" ht="15.75" customHeight="1">
      <c r="B612" s="3"/>
      <c r="C612" s="15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spans="2:62" ht="15.75" customHeight="1">
      <c r="B613" s="3"/>
      <c r="C613" s="15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spans="2:62" ht="15.75" customHeight="1">
      <c r="B614" s="3"/>
      <c r="C614" s="15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spans="2:62" ht="15.75" customHeight="1">
      <c r="B615" s="3"/>
      <c r="C615" s="15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spans="2:62" ht="15.75" customHeight="1">
      <c r="B616" s="3"/>
      <c r="C616" s="15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spans="2:62" ht="15.75" customHeight="1">
      <c r="B617" s="3"/>
      <c r="C617" s="15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spans="2:62" ht="15.75" customHeight="1">
      <c r="B618" s="3"/>
      <c r="C618" s="15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spans="2:62" ht="15.75" customHeight="1">
      <c r="B619" s="3"/>
      <c r="C619" s="15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spans="2:62" ht="15.75" customHeight="1">
      <c r="B620" s="3"/>
      <c r="C620" s="15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spans="2:62" ht="15.75" customHeight="1">
      <c r="B621" s="3"/>
      <c r="C621" s="15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spans="2:62" ht="15.75" customHeight="1">
      <c r="B622" s="3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spans="2:62" ht="15.75" customHeight="1">
      <c r="B623" s="3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spans="2:62" ht="15.75" customHeight="1">
      <c r="B624" s="3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spans="2:62" ht="15.75" customHeight="1">
      <c r="B625" s="3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spans="2:62" ht="15.75" customHeight="1"/>
    <row r="627" spans="2:62" ht="15.75" customHeight="1"/>
    <row r="628" spans="2:62" ht="15.75" customHeight="1"/>
    <row r="629" spans="2:62" ht="15.75" customHeight="1"/>
    <row r="630" spans="2:62" ht="15.75" customHeight="1"/>
    <row r="631" spans="2:62" ht="15.75" customHeight="1"/>
    <row r="632" spans="2:62" ht="15.75" customHeight="1"/>
    <row r="633" spans="2:62" ht="15.75" customHeight="1"/>
    <row r="634" spans="2:62" ht="15.75" customHeight="1"/>
    <row r="635" spans="2:62" ht="15.75" customHeight="1"/>
    <row r="636" spans="2:62" ht="15.75" customHeight="1"/>
    <row r="637" spans="2:62" ht="15.75" customHeight="1"/>
    <row r="638" spans="2:62" ht="15.75" customHeight="1"/>
    <row r="639" spans="2:62" ht="15.75" customHeight="1"/>
    <row r="640" spans="2:62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</sheetData>
  <mergeCells count="48">
    <mergeCell ref="M91:N91"/>
    <mergeCell ref="O91:Q91"/>
    <mergeCell ref="R3:S3"/>
    <mergeCell ref="D3:F3"/>
    <mergeCell ref="G3:I3"/>
    <mergeCell ref="J3:L3"/>
    <mergeCell ref="M3:N3"/>
    <mergeCell ref="O3:Q3"/>
    <mergeCell ref="R91:S91"/>
    <mergeCell ref="D91:F91"/>
    <mergeCell ref="G91:I91"/>
    <mergeCell ref="J91:L91"/>
    <mergeCell ref="O171:Q171"/>
    <mergeCell ref="R171:S171"/>
    <mergeCell ref="D171:F171"/>
    <mergeCell ref="G171:I171"/>
    <mergeCell ref="J171:L171"/>
    <mergeCell ref="M171:N171"/>
    <mergeCell ref="R244:S244"/>
    <mergeCell ref="D312:F312"/>
    <mergeCell ref="G312:I312"/>
    <mergeCell ref="J312:L312"/>
    <mergeCell ref="M312:N312"/>
    <mergeCell ref="O312:Q312"/>
    <mergeCell ref="R312:S312"/>
    <mergeCell ref="D244:F244"/>
    <mergeCell ref="G244:I244"/>
    <mergeCell ref="J244:L244"/>
    <mergeCell ref="M244:N244"/>
    <mergeCell ref="O244:Q244"/>
    <mergeCell ref="M369:N369"/>
    <mergeCell ref="O369:Q369"/>
    <mergeCell ref="R369:S369"/>
    <mergeCell ref="D434:F434"/>
    <mergeCell ref="G434:I434"/>
    <mergeCell ref="J434:L434"/>
    <mergeCell ref="M434:N434"/>
    <mergeCell ref="O434:Q434"/>
    <mergeCell ref="R434:S434"/>
    <mergeCell ref="D369:F369"/>
    <mergeCell ref="G369:I369"/>
    <mergeCell ref="J369:L369"/>
    <mergeCell ref="AM491:AO491"/>
    <mergeCell ref="X491:Z491"/>
    <mergeCell ref="AA491:AC491"/>
    <mergeCell ref="AD491:AF491"/>
    <mergeCell ref="AG491:AI491"/>
    <mergeCell ref="AJ491:AL491"/>
  </mergeCells>
  <conditionalFormatting sqref="D113 H180:L181 I184:L185">
    <cfRule type="expression" dxfId="511" priority="137" stopIfTrue="1">
      <formula>"esterreur(reference)"</formula>
    </cfRule>
  </conditionalFormatting>
  <conditionalFormatting sqref="D246:D255">
    <cfRule type="expression" dxfId="510" priority="167" stopIfTrue="1">
      <formula>"esterreur(reference)"</formula>
    </cfRule>
  </conditionalFormatting>
  <conditionalFormatting sqref="D487">
    <cfRule type="expression" dxfId="509" priority="139" stopIfTrue="1">
      <formula>"esterreur(reference)"</formula>
    </cfRule>
  </conditionalFormatting>
  <conditionalFormatting sqref="D186:E192">
    <cfRule type="expression" dxfId="508" priority="110" stopIfTrue="1">
      <formula>"esterreur(reference)"</formula>
    </cfRule>
  </conditionalFormatting>
  <conditionalFormatting sqref="E260">
    <cfRule type="expression" dxfId="507" priority="168" stopIfTrue="1">
      <formula>"esterreur(reference)"</formula>
    </cfRule>
  </conditionalFormatting>
  <conditionalFormatting sqref="F5">
    <cfRule type="expression" dxfId="506" priority="165" stopIfTrue="1">
      <formula>"esterreur(reference)"</formula>
    </cfRule>
  </conditionalFormatting>
  <conditionalFormatting sqref="F84">
    <cfRule type="expression" dxfId="505" priority="164" stopIfTrue="1">
      <formula>"esterreur(reference)"</formula>
    </cfRule>
  </conditionalFormatting>
  <conditionalFormatting sqref="F102">
    <cfRule type="expression" dxfId="504" priority="169" stopIfTrue="1">
      <formula>"esterreur(reference)"</formula>
    </cfRule>
  </conditionalFormatting>
  <conditionalFormatting sqref="F258">
    <cfRule type="expression" dxfId="503" priority="156" stopIfTrue="1">
      <formula>"esterreur(reference)"</formula>
    </cfRule>
  </conditionalFormatting>
  <conditionalFormatting sqref="G31:G32">
    <cfRule type="expression" dxfId="502" priority="162" stopIfTrue="1">
      <formula>"esterreur(reference)"</formula>
    </cfRule>
  </conditionalFormatting>
  <conditionalFormatting sqref="G113:G114">
    <cfRule type="expression" dxfId="501" priority="159" stopIfTrue="1">
      <formula>"esterreur(reference)"</formula>
    </cfRule>
  </conditionalFormatting>
  <conditionalFormatting sqref="G186:G187">
    <cfRule type="expression" dxfId="500" priority="115" stopIfTrue="1">
      <formula>"esterreur(reference)"</formula>
    </cfRule>
  </conditionalFormatting>
  <conditionalFormatting sqref="G246:G255">
    <cfRule type="expression" dxfId="499" priority="166" stopIfTrue="1">
      <formula>"esterreur(reference)"</formula>
    </cfRule>
  </conditionalFormatting>
  <conditionalFormatting sqref="H25:H26 H28:H72">
    <cfRule type="expression" dxfId="498" priority="161" stopIfTrue="1">
      <formula>"esterreur(reference)"</formula>
    </cfRule>
  </conditionalFormatting>
  <conditionalFormatting sqref="H74">
    <cfRule type="expression" dxfId="497" priority="92" stopIfTrue="1">
      <formula>"esterreur(reference)"</formula>
    </cfRule>
  </conditionalFormatting>
  <conditionalFormatting sqref="H83">
    <cfRule type="expression" dxfId="496" priority="89" stopIfTrue="1">
      <formula>"esterreur(reference)"</formula>
    </cfRule>
  </conditionalFormatting>
  <conditionalFormatting sqref="H85">
    <cfRule type="expression" dxfId="495" priority="28" stopIfTrue="1">
      <formula>"esterreur(reference)"</formula>
    </cfRule>
  </conditionalFormatting>
  <conditionalFormatting sqref="H110:H154">
    <cfRule type="expression" dxfId="494" priority="23" stopIfTrue="1">
      <formula>"esterreur(reference)"</formula>
    </cfRule>
  </conditionalFormatting>
  <conditionalFormatting sqref="H156:H158">
    <cfRule type="expression" dxfId="493" priority="85" stopIfTrue="1">
      <formula>"esterreur(reference)"</formula>
    </cfRule>
  </conditionalFormatting>
  <conditionalFormatting sqref="H164">
    <cfRule type="expression" dxfId="492" priority="82" stopIfTrue="1">
      <formula>"esterreur(reference)"</formula>
    </cfRule>
  </conditionalFormatting>
  <conditionalFormatting sqref="H166">
    <cfRule type="expression" dxfId="491" priority="31" stopIfTrue="1">
      <formula>"esterreur(reference)"</formula>
    </cfRule>
  </conditionalFormatting>
  <conditionalFormatting sqref="H183:H227">
    <cfRule type="expression" dxfId="490" priority="19" stopIfTrue="1">
      <formula>"esterreur(reference)"</formula>
    </cfRule>
  </conditionalFormatting>
  <conditionalFormatting sqref="H229:H231">
    <cfRule type="expression" dxfId="489" priority="76" stopIfTrue="1">
      <formula>"esterreur(reference)"</formula>
    </cfRule>
  </conditionalFormatting>
  <conditionalFormatting sqref="H237">
    <cfRule type="expression" dxfId="488" priority="73" stopIfTrue="1">
      <formula>"esterreur(reference)"</formula>
    </cfRule>
  </conditionalFormatting>
  <conditionalFormatting sqref="H239">
    <cfRule type="expression" dxfId="487" priority="34" stopIfTrue="1">
      <formula>"esterreur(reference)"</formula>
    </cfRule>
  </conditionalFormatting>
  <conditionalFormatting sqref="H269">
    <cfRule type="expression" dxfId="486" priority="16" stopIfTrue="1">
      <formula>"esterreur(reference)"</formula>
    </cfRule>
  </conditionalFormatting>
  <conditionalFormatting sqref="H272:H303">
    <cfRule type="expression" dxfId="485" priority="70" stopIfTrue="1">
      <formula>"esterreur(reference)"</formula>
    </cfRule>
  </conditionalFormatting>
  <conditionalFormatting sqref="H305">
    <cfRule type="expression" dxfId="484" priority="68" stopIfTrue="1">
      <formula>"esterreur(reference)"</formula>
    </cfRule>
  </conditionalFormatting>
  <conditionalFormatting sqref="H307">
    <cfRule type="expression" dxfId="483" priority="37" stopIfTrue="1">
      <formula>"esterreur(reference)"</formula>
    </cfRule>
  </conditionalFormatting>
  <conditionalFormatting sqref="H327">
    <cfRule type="expression" dxfId="482" priority="12" stopIfTrue="1">
      <formula>"esterreur(reference)"</formula>
    </cfRule>
  </conditionalFormatting>
  <conditionalFormatting sqref="H330:H361">
    <cfRule type="expression" dxfId="481" priority="64" stopIfTrue="1">
      <formula>"esterreur(reference)"</formula>
    </cfRule>
  </conditionalFormatting>
  <conditionalFormatting sqref="H363">
    <cfRule type="expression" dxfId="480" priority="62" stopIfTrue="1">
      <formula>"esterreur(reference)"</formula>
    </cfRule>
  </conditionalFormatting>
  <conditionalFormatting sqref="H365">
    <cfRule type="expression" dxfId="479" priority="40" stopIfTrue="1">
      <formula>"esterreur(reference)"</formula>
    </cfRule>
  </conditionalFormatting>
  <conditionalFormatting sqref="H391">
    <cfRule type="expression" dxfId="478" priority="9" stopIfTrue="1">
      <formula>"esterreur(reference)"</formula>
    </cfRule>
  </conditionalFormatting>
  <conditionalFormatting sqref="H394:H425">
    <cfRule type="expression" dxfId="477" priority="59" stopIfTrue="1">
      <formula>"esterreur(reference)"</formula>
    </cfRule>
  </conditionalFormatting>
  <conditionalFormatting sqref="H427">
    <cfRule type="expression" dxfId="476" priority="57" stopIfTrue="1">
      <formula>"esterreur(reference)"</formula>
    </cfRule>
  </conditionalFormatting>
  <conditionalFormatting sqref="H429:H431">
    <cfRule type="expression" dxfId="475" priority="43" stopIfTrue="1">
      <formula>"esterreur(reference)"</formula>
    </cfRule>
  </conditionalFormatting>
  <conditionalFormatting sqref="H449">
    <cfRule type="expression" dxfId="474" priority="5" stopIfTrue="1">
      <formula>"esterreur(reference)"</formula>
    </cfRule>
  </conditionalFormatting>
  <conditionalFormatting sqref="H452:H482">
    <cfRule type="expression" dxfId="473" priority="52" stopIfTrue="1">
      <formula>"esterreur(reference)"</formula>
    </cfRule>
  </conditionalFormatting>
  <conditionalFormatting sqref="H484">
    <cfRule type="expression" dxfId="472" priority="49" stopIfTrue="1">
      <formula>"esterreur(reference)"</formula>
    </cfRule>
  </conditionalFormatting>
  <conditionalFormatting sqref="H486:H487">
    <cfRule type="expression" dxfId="471" priority="46" stopIfTrue="1">
      <formula>"esterreur(reference)"</formula>
    </cfRule>
  </conditionalFormatting>
  <conditionalFormatting sqref="H433:I433 K433:L433 J433:J434">
    <cfRule type="expression" dxfId="470" priority="146" stopIfTrue="1">
      <formula>"esterreur(reference)"</formula>
    </cfRule>
  </conditionalFormatting>
  <conditionalFormatting sqref="H317:J317">
    <cfRule type="expression" dxfId="469" priority="133" stopIfTrue="1">
      <formula>"esterreur(reference)"</formula>
    </cfRule>
  </conditionalFormatting>
  <conditionalFormatting sqref="H439:J439">
    <cfRule type="expression" dxfId="468" priority="107" stopIfTrue="1">
      <formula>"esterreur(reference)"</formula>
    </cfRule>
  </conditionalFormatting>
  <conditionalFormatting sqref="H435:L436">
    <cfRule type="expression" dxfId="467" priority="103" stopIfTrue="1">
      <formula>"esterreur(reference)"</formula>
    </cfRule>
  </conditionalFormatting>
  <conditionalFormatting sqref="H447:L447 H450:L451">
    <cfRule type="expression" dxfId="466" priority="102" stopIfTrue="1">
      <formula>"esterreur(reference)"</formula>
    </cfRule>
  </conditionalFormatting>
  <conditionalFormatting sqref="H483:L483 H485:L485">
    <cfRule type="expression" dxfId="465" priority="147" stopIfTrue="1">
      <formula>"esterreur(reference)"</formula>
    </cfRule>
  </conditionalFormatting>
  <conditionalFormatting sqref="I16:I18 I20 I24:I30">
    <cfRule type="expression" dxfId="464" priority="163" stopIfTrue="1">
      <formula>"esterreur(reference)"</formula>
    </cfRule>
  </conditionalFormatting>
  <conditionalFormatting sqref="I109:I110">
    <cfRule type="expression" dxfId="463" priority="24" stopIfTrue="1">
      <formula>"esterreur(reference)"</formula>
    </cfRule>
  </conditionalFormatting>
  <conditionalFormatting sqref="I182:I183">
    <cfRule type="expression" dxfId="462" priority="20" stopIfTrue="1">
      <formula>"esterreur(reference)"</formula>
    </cfRule>
  </conditionalFormatting>
  <conditionalFormatting sqref="I268:I269">
    <cfRule type="expression" dxfId="461" priority="17" stopIfTrue="1">
      <formula>"esterreur(reference)"</formula>
    </cfRule>
  </conditionalFormatting>
  <conditionalFormatting sqref="I326:I327">
    <cfRule type="expression" dxfId="460" priority="13" stopIfTrue="1">
      <formula>"esterreur(reference)"</formula>
    </cfRule>
  </conditionalFormatting>
  <conditionalFormatting sqref="I390:I391">
    <cfRule type="expression" dxfId="459" priority="10" stopIfTrue="1">
      <formula>"esterreur(reference)"</formula>
    </cfRule>
  </conditionalFormatting>
  <conditionalFormatting sqref="I448:I449">
    <cfRule type="expression" dxfId="458" priority="6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457" priority="140" stopIfTrue="1">
      <formula>"esterreur(reference)"</formula>
    </cfRule>
  </conditionalFormatting>
  <conditionalFormatting sqref="J16 L16:L24">
    <cfRule type="expression" dxfId="456" priority="135" stopIfTrue="1">
      <formula>"esterreur(reference)"</formula>
    </cfRule>
  </conditionalFormatting>
  <conditionalFormatting sqref="J182 J183:L183">
    <cfRule type="expression" dxfId="455" priority="21" stopIfTrue="1">
      <formula>"esterreur(reference)"</formula>
    </cfRule>
  </conditionalFormatting>
  <conditionalFormatting sqref="J326 J327:K327">
    <cfRule type="expression" dxfId="454" priority="14" stopIfTrue="1">
      <formula>"esterreur(reference)"</formula>
    </cfRule>
  </conditionalFormatting>
  <conditionalFormatting sqref="J371:J390">
    <cfRule type="expression" dxfId="453" priority="3" stopIfTrue="1">
      <formula>"esterreur(reference)"</formula>
    </cfRule>
  </conditionalFormatting>
  <conditionalFormatting sqref="J448 J449:K449">
    <cfRule type="expression" dxfId="452" priority="7" stopIfTrue="1">
      <formula>"esterreur(reference)"</formula>
    </cfRule>
  </conditionalFormatting>
  <conditionalFormatting sqref="J54:K54">
    <cfRule type="expression" dxfId="451" priority="96" stopIfTrue="1">
      <formula>"esterreur(reference)"</formula>
    </cfRule>
  </conditionalFormatting>
  <conditionalFormatting sqref="J72:K72">
    <cfRule type="expression" dxfId="450" priority="94" stopIfTrue="1">
      <formula>"esterreur(reference)"</formula>
    </cfRule>
  </conditionalFormatting>
  <conditionalFormatting sqref="J74:K74">
    <cfRule type="expression" dxfId="449" priority="91" stopIfTrue="1">
      <formula>"esterreur(reference)"</formula>
    </cfRule>
  </conditionalFormatting>
  <conditionalFormatting sqref="J85:K85">
    <cfRule type="expression" dxfId="448" priority="27" stopIfTrue="1">
      <formula>"esterreur(reference)"</formula>
    </cfRule>
  </conditionalFormatting>
  <conditionalFormatting sqref="J156:K158">
    <cfRule type="expression" dxfId="447" priority="84" stopIfTrue="1">
      <formula>"esterreur(reference)"</formula>
    </cfRule>
  </conditionalFormatting>
  <conditionalFormatting sqref="J164:K164">
    <cfRule type="expression" dxfId="446" priority="81" stopIfTrue="1">
      <formula>"esterreur(reference)"</formula>
    </cfRule>
  </conditionalFormatting>
  <conditionalFormatting sqref="J166:K166">
    <cfRule type="expression" dxfId="445" priority="30" stopIfTrue="1">
      <formula>"esterreur(reference)"</formula>
    </cfRule>
  </conditionalFormatting>
  <conditionalFormatting sqref="J229:K231">
    <cfRule type="expression" dxfId="444" priority="75" stopIfTrue="1">
      <formula>"esterreur(reference)"</formula>
    </cfRule>
  </conditionalFormatting>
  <conditionalFormatting sqref="J237:K237">
    <cfRule type="expression" dxfId="443" priority="72" stopIfTrue="1">
      <formula>"esterreur(reference)"</formula>
    </cfRule>
  </conditionalFormatting>
  <conditionalFormatting sqref="J239:K239">
    <cfRule type="expression" dxfId="442" priority="33" stopIfTrue="1">
      <formula>"esterreur(reference)"</formula>
    </cfRule>
  </conditionalFormatting>
  <conditionalFormatting sqref="J305:K305">
    <cfRule type="expression" dxfId="441" priority="67" stopIfTrue="1">
      <formula>"esterreur(reference)"</formula>
    </cfRule>
  </conditionalFormatting>
  <conditionalFormatting sqref="J307:K307">
    <cfRule type="expression" dxfId="440" priority="36" stopIfTrue="1">
      <formula>"esterreur(reference)"</formula>
    </cfRule>
  </conditionalFormatting>
  <conditionalFormatting sqref="J363:K363">
    <cfRule type="expression" dxfId="439" priority="61" stopIfTrue="1">
      <formula>"esterreur(reference)"</formula>
    </cfRule>
  </conditionalFormatting>
  <conditionalFormatting sqref="J365:K365">
    <cfRule type="expression" dxfId="438" priority="39" stopIfTrue="1">
      <formula>"esterreur(reference)"</formula>
    </cfRule>
  </conditionalFormatting>
  <conditionalFormatting sqref="J427:K427">
    <cfRule type="expression" dxfId="437" priority="56" stopIfTrue="1">
      <formula>"esterreur(reference)"</formula>
    </cfRule>
  </conditionalFormatting>
  <conditionalFormatting sqref="J429:K431">
    <cfRule type="expression" dxfId="436" priority="42" stopIfTrue="1">
      <formula>"esterreur(reference)"</formula>
    </cfRule>
  </conditionalFormatting>
  <conditionalFormatting sqref="J464:K464">
    <cfRule type="expression" dxfId="435" priority="54" stopIfTrue="1">
      <formula>"esterreur(reference)"</formula>
    </cfRule>
  </conditionalFormatting>
  <conditionalFormatting sqref="J482:K482">
    <cfRule type="expression" dxfId="434" priority="51" stopIfTrue="1">
      <formula>"esterreur(reference)"</formula>
    </cfRule>
  </conditionalFormatting>
  <conditionalFormatting sqref="J484:K484">
    <cfRule type="expression" dxfId="433" priority="48" stopIfTrue="1">
      <formula>"esterreur(reference)"</formula>
    </cfRule>
  </conditionalFormatting>
  <conditionalFormatting sqref="J486:K487">
    <cfRule type="expression" dxfId="432" priority="45" stopIfTrue="1">
      <formula>"esterreur(reference)"</formula>
    </cfRule>
  </conditionalFormatting>
  <conditionalFormatting sqref="J53:L53 J55:L71">
    <cfRule type="expression" dxfId="431" priority="134" stopIfTrue="1">
      <formula>"esterreur(reference)"</formula>
    </cfRule>
  </conditionalFormatting>
  <conditionalFormatting sqref="J465:L481">
    <cfRule type="expression" dxfId="430" priority="148" stopIfTrue="1">
      <formula>"esterreur(reference)"</formula>
    </cfRule>
  </conditionalFormatting>
  <conditionalFormatting sqref="K5">
    <cfRule type="expression" dxfId="429" priority="155" stopIfTrue="1">
      <formula>"esterreur(reference)"</formula>
    </cfRule>
  </conditionalFormatting>
  <conditionalFormatting sqref="K321:L321">
    <cfRule type="expression" dxfId="428" priority="153" stopIfTrue="1">
      <formula>"esterreur(reference)"</formula>
    </cfRule>
  </conditionalFormatting>
  <conditionalFormatting sqref="K437:L437 L439 K440:L440">
    <cfRule type="expression" dxfId="427" priority="108" stopIfTrue="1">
      <formula>"esterreur(reference)"</formula>
    </cfRule>
  </conditionalFormatting>
  <conditionalFormatting sqref="K443:L443">
    <cfRule type="expression" dxfId="426" priority="109" stopIfTrue="1">
      <formula>"esterreur(reference)"</formula>
    </cfRule>
  </conditionalFormatting>
  <conditionalFormatting sqref="L5:L14">
    <cfRule type="expression" dxfId="425" priority="25" stopIfTrue="1">
      <formula>"esterreur(reference)"</formula>
    </cfRule>
  </conditionalFormatting>
  <conditionalFormatting sqref="L75:L82">
    <cfRule type="expression" dxfId="424" priority="142" stopIfTrue="1">
      <formula>"esterreur(reference)"</formula>
    </cfRule>
  </conditionalFormatting>
  <conditionalFormatting sqref="L157:L163">
    <cfRule type="expression" dxfId="423" priority="152" stopIfTrue="1">
      <formula>"esterreur(reference)"</formula>
    </cfRule>
  </conditionalFormatting>
  <conditionalFormatting sqref="L230:L236">
    <cfRule type="expression" dxfId="422" priority="114" stopIfTrue="1">
      <formula>"esterreur(reference)"</formula>
    </cfRule>
  </conditionalFormatting>
  <conditionalFormatting sqref="L272:L283">
    <cfRule type="expression" dxfId="421" priority="150" stopIfTrue="1">
      <formula>"esterreur(reference)"</formula>
    </cfRule>
  </conditionalFormatting>
  <conditionalFormatting sqref="L285:L302">
    <cfRule type="expression" dxfId="420" priority="151" stopIfTrue="1">
      <formula>"esterreur(reference)"</formula>
    </cfRule>
  </conditionalFormatting>
  <conditionalFormatting sqref="L324">
    <cfRule type="expression" dxfId="419" priority="99" stopIfTrue="1">
      <formula>"esterreur(reference)"</formula>
    </cfRule>
  </conditionalFormatting>
  <conditionalFormatting sqref="L330:L341">
    <cfRule type="expression" dxfId="418" priority="154" stopIfTrue="1">
      <formula>"esterreur(reference)"</formula>
    </cfRule>
  </conditionalFormatting>
  <conditionalFormatting sqref="L422:L424">
    <cfRule type="expression" dxfId="417" priority="149" stopIfTrue="1">
      <formula>"esterreur(reference)"</formula>
    </cfRule>
  </conditionalFormatting>
  <conditionalFormatting sqref="L446">
    <cfRule type="expression" dxfId="416" priority="2" stopIfTrue="1">
      <formula>"esterreur(reference)"</formula>
    </cfRule>
  </conditionalFormatting>
  <conditionalFormatting sqref="M95:M97">
    <cfRule type="expression" dxfId="415" priority="141" stopIfTrue="1">
      <formula>"esterreur(reference)"</formula>
    </cfRule>
  </conditionalFormatting>
  <conditionalFormatting sqref="M177:M179">
    <cfRule type="expression" dxfId="414" priority="113" stopIfTrue="1">
      <formula>"esterreur(reference)"</formula>
    </cfRule>
  </conditionalFormatting>
  <conditionalFormatting sqref="N283">
    <cfRule type="expression" dxfId="413" priority="136" stopIfTrue="1">
      <formula>"esterreur(reference)"</formula>
    </cfRule>
  </conditionalFormatting>
  <conditionalFormatting sqref="N394:N404">
    <cfRule type="expression" dxfId="412" priority="138" stopIfTrue="1">
      <formula>"esterreur(reference)"</formula>
    </cfRule>
  </conditionalFormatting>
  <conditionalFormatting sqref="N271:Q271">
    <cfRule type="expression" dxfId="411" priority="124" stopIfTrue="1">
      <formula>"esterreur(reference)"</formula>
    </cfRule>
  </conditionalFormatting>
  <conditionalFormatting sqref="O16 Q16:Q24">
    <cfRule type="expression" dxfId="410" priority="129" stopIfTrue="1">
      <formula>"esterreur(reference)"</formula>
    </cfRule>
  </conditionalFormatting>
  <conditionalFormatting sqref="O109 O110:Q122">
    <cfRule type="expression" dxfId="409" priority="22" stopIfTrue="1">
      <formula>"esterreur(reference)"</formula>
    </cfRule>
  </conditionalFormatting>
  <conditionalFormatting sqref="O182 O183:Q195">
    <cfRule type="expression" dxfId="408" priority="18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407" priority="123" stopIfTrue="1">
      <formula>"esterreur(reference)"</formula>
    </cfRule>
  </conditionalFormatting>
  <conditionalFormatting sqref="O266:O268 O269:P269">
    <cfRule type="expression" dxfId="406" priority="15" stopIfTrue="1">
      <formula>"esterreur(reference)"</formula>
    </cfRule>
  </conditionalFormatting>
  <conditionalFormatting sqref="O317">
    <cfRule type="expression" dxfId="405" priority="119" stopIfTrue="1">
      <formula>"esterreur(reference)"</formula>
    </cfRule>
  </conditionalFormatting>
  <conditionalFormatting sqref="O326 O327:P327">
    <cfRule type="expression" dxfId="404" priority="11" stopIfTrue="1">
      <formula>"esterreur(reference)"</formula>
    </cfRule>
  </conditionalFormatting>
  <conditionalFormatting sqref="O390 O391:P391">
    <cfRule type="expression" dxfId="403" priority="8" stopIfTrue="1">
      <formula>"esterreur(reference)"</formula>
    </cfRule>
  </conditionalFormatting>
  <conditionalFormatting sqref="O439">
    <cfRule type="expression" dxfId="402" priority="104" stopIfTrue="1">
      <formula>"esterreur(reference)"</formula>
    </cfRule>
  </conditionalFormatting>
  <conditionalFormatting sqref="O448 O449:P449">
    <cfRule type="expression" dxfId="401" priority="4" stopIfTrue="1">
      <formula>"esterreur(reference)"</formula>
    </cfRule>
  </conditionalFormatting>
  <conditionalFormatting sqref="O54:P54">
    <cfRule type="expression" dxfId="400" priority="95" stopIfTrue="1">
      <formula>"esterreur(reference)"</formula>
    </cfRule>
  </conditionalFormatting>
  <conditionalFormatting sqref="O72:P72">
    <cfRule type="expression" dxfId="399" priority="93" stopIfTrue="1">
      <formula>"esterreur(reference)"</formula>
    </cfRule>
  </conditionalFormatting>
  <conditionalFormatting sqref="O74:P74">
    <cfRule type="expression" dxfId="398" priority="90" stopIfTrue="1">
      <formula>"esterreur(reference)"</formula>
    </cfRule>
  </conditionalFormatting>
  <conditionalFormatting sqref="O85:P85">
    <cfRule type="expression" dxfId="397" priority="26" stopIfTrue="1">
      <formula>"esterreur(reference)"</formula>
    </cfRule>
  </conditionalFormatting>
  <conditionalFormatting sqref="O123:P133">
    <cfRule type="expression" dxfId="396" priority="88" stopIfTrue="1">
      <formula>"esterreur(reference)"</formula>
    </cfRule>
  </conditionalFormatting>
  <conditionalFormatting sqref="O136:P136">
    <cfRule type="expression" dxfId="395" priority="87" stopIfTrue="1">
      <formula>"esterreur(reference)"</formula>
    </cfRule>
  </conditionalFormatting>
  <conditionalFormatting sqref="O154:P154">
    <cfRule type="expression" dxfId="394" priority="86" stopIfTrue="1">
      <formula>"esterreur(reference)"</formula>
    </cfRule>
  </conditionalFormatting>
  <conditionalFormatting sqref="O156:P158">
    <cfRule type="expression" dxfId="393" priority="83" stopIfTrue="1">
      <formula>"esterreur(reference)"</formula>
    </cfRule>
  </conditionalFormatting>
  <conditionalFormatting sqref="O164:P164">
    <cfRule type="expression" dxfId="392" priority="80" stopIfTrue="1">
      <formula>"esterreur(reference)"</formula>
    </cfRule>
  </conditionalFormatting>
  <conditionalFormatting sqref="O166:P166">
    <cfRule type="expression" dxfId="391" priority="29" stopIfTrue="1">
      <formula>"esterreur(reference)"</formula>
    </cfRule>
  </conditionalFormatting>
  <conditionalFormatting sqref="O196:P206">
    <cfRule type="expression" dxfId="390" priority="79" stopIfTrue="1">
      <formula>"esterreur(reference)"</formula>
    </cfRule>
  </conditionalFormatting>
  <conditionalFormatting sqref="O209:P209">
    <cfRule type="expression" dxfId="389" priority="78" stopIfTrue="1">
      <formula>"esterreur(reference)"</formula>
    </cfRule>
  </conditionalFormatting>
  <conditionalFormatting sqref="O227:P227">
    <cfRule type="expression" dxfId="388" priority="77" stopIfTrue="1">
      <formula>"esterreur(reference)"</formula>
    </cfRule>
  </conditionalFormatting>
  <conditionalFormatting sqref="O229:P231">
    <cfRule type="expression" dxfId="387" priority="74" stopIfTrue="1">
      <formula>"esterreur(reference)"</formula>
    </cfRule>
  </conditionalFormatting>
  <conditionalFormatting sqref="O237:P237">
    <cfRule type="expression" dxfId="386" priority="71" stopIfTrue="1">
      <formula>"esterreur(reference)"</formula>
    </cfRule>
  </conditionalFormatting>
  <conditionalFormatting sqref="O239:P239">
    <cfRule type="expression" dxfId="385" priority="32" stopIfTrue="1">
      <formula>"esterreur(reference)"</formula>
    </cfRule>
  </conditionalFormatting>
  <conditionalFormatting sqref="O276:P303">
    <cfRule type="expression" dxfId="384" priority="69" stopIfTrue="1">
      <formula>"esterreur(reference)"</formula>
    </cfRule>
  </conditionalFormatting>
  <conditionalFormatting sqref="O305:P305">
    <cfRule type="expression" dxfId="383" priority="66" stopIfTrue="1">
      <formula>"esterreur(reference)"</formula>
    </cfRule>
  </conditionalFormatting>
  <conditionalFormatting sqref="O307:P307">
    <cfRule type="expression" dxfId="382" priority="35" stopIfTrue="1">
      <formula>"esterreur(reference)"</formula>
    </cfRule>
  </conditionalFormatting>
  <conditionalFormatting sqref="O330:P342">
    <cfRule type="expression" dxfId="381" priority="65" stopIfTrue="1">
      <formula>"esterreur(reference)"</formula>
    </cfRule>
  </conditionalFormatting>
  <conditionalFormatting sqref="O361:P361">
    <cfRule type="expression" dxfId="380" priority="63" stopIfTrue="1">
      <formula>"esterreur(reference)"</formula>
    </cfRule>
  </conditionalFormatting>
  <conditionalFormatting sqref="O363:P363">
    <cfRule type="expression" dxfId="379" priority="60" stopIfTrue="1">
      <formula>"esterreur(reference)"</formula>
    </cfRule>
  </conditionalFormatting>
  <conditionalFormatting sqref="O365:P365">
    <cfRule type="expression" dxfId="378" priority="38" stopIfTrue="1">
      <formula>"esterreur(reference)"</formula>
    </cfRule>
  </conditionalFormatting>
  <conditionalFormatting sqref="O371:P379 O380:Q382 O383:P384 O385:Q389 O392:Q405 O428:Q428">
    <cfRule type="expression" dxfId="377" priority="117" stopIfTrue="1">
      <formula>"esterreur(reference)"</formula>
    </cfRule>
  </conditionalFormatting>
  <conditionalFormatting sqref="O406:P425">
    <cfRule type="expression" dxfId="376" priority="58" stopIfTrue="1">
      <formula>"esterreur(reference)"</formula>
    </cfRule>
  </conditionalFormatting>
  <conditionalFormatting sqref="O427:P427">
    <cfRule type="expression" dxfId="375" priority="55" stopIfTrue="1">
      <formula>"esterreur(reference)"</formula>
    </cfRule>
  </conditionalFormatting>
  <conditionalFormatting sqref="O429:P429">
    <cfRule type="expression" dxfId="374" priority="41" stopIfTrue="1">
      <formula>"esterreur(reference)"</formula>
    </cfRule>
  </conditionalFormatting>
  <conditionalFormatting sqref="O464:P464">
    <cfRule type="expression" dxfId="373" priority="53" stopIfTrue="1">
      <formula>"esterreur(reference)"</formula>
    </cfRule>
  </conditionalFormatting>
  <conditionalFormatting sqref="O482:P482">
    <cfRule type="expression" dxfId="372" priority="50" stopIfTrue="1">
      <formula>"esterreur(reference)"</formula>
    </cfRule>
  </conditionalFormatting>
  <conditionalFormatting sqref="O484:P484">
    <cfRule type="expression" dxfId="371" priority="47" stopIfTrue="1">
      <formula>"esterreur(reference)"</formula>
    </cfRule>
  </conditionalFormatting>
  <conditionalFormatting sqref="O486:P486">
    <cfRule type="expression" dxfId="370" priority="44" stopIfTrue="1">
      <formula>"esterreur(reference)"</formula>
    </cfRule>
  </conditionalFormatting>
  <conditionalFormatting sqref="O53:Q53 O55:Q71">
    <cfRule type="expression" dxfId="369" priority="128" stopIfTrue="1">
      <formula>"esterreur(reference)"</formula>
    </cfRule>
  </conditionalFormatting>
  <conditionalFormatting sqref="O180:Q181">
    <cfRule type="expression" dxfId="368" priority="111" stopIfTrue="1">
      <formula>"esterreur(reference)"</formula>
    </cfRule>
  </conditionalFormatting>
  <conditionalFormatting sqref="O436:Q436">
    <cfRule type="expression" dxfId="367" priority="116" stopIfTrue="1">
      <formula>"esterreur(reference)"</formula>
    </cfRule>
  </conditionalFormatting>
  <conditionalFormatting sqref="O447:Q447 O450:Q463 O465:Q481">
    <cfRule type="expression" dxfId="366" priority="101" stopIfTrue="1">
      <formula>"esterreur(reference)"</formula>
    </cfRule>
  </conditionalFormatting>
  <conditionalFormatting sqref="O483:Q483 O485:Q485">
    <cfRule type="expression" dxfId="365" priority="100" stopIfTrue="1">
      <formula>"esterreur(reference)"</formula>
    </cfRule>
  </conditionalFormatting>
  <conditionalFormatting sqref="P5:Q5">
    <cfRule type="expression" dxfId="364" priority="132" stopIfTrue="1">
      <formula>"esterreur(reference)"</formula>
    </cfRule>
  </conditionalFormatting>
  <conditionalFormatting sqref="P315:Q315 P317:Q318 O328:Q329 O343:Q360 O364:Q364">
    <cfRule type="expression" dxfId="363" priority="120" stopIfTrue="1">
      <formula>"esterreur(reference)"</formula>
    </cfRule>
  </conditionalFormatting>
  <conditionalFormatting sqref="P321:Q321">
    <cfRule type="expression" dxfId="362" priority="121" stopIfTrue="1">
      <formula>"esterreur(reference)"</formula>
    </cfRule>
  </conditionalFormatting>
  <conditionalFormatting sqref="P437:Q437 Q439 P440:Q440">
    <cfRule type="expression" dxfId="361" priority="105" stopIfTrue="1">
      <formula>"esterreur(reference)"</formula>
    </cfRule>
  </conditionalFormatting>
  <conditionalFormatting sqref="P443:Q443">
    <cfRule type="expression" dxfId="360" priority="106" stopIfTrue="1">
      <formula>"esterreur(reference)"</formula>
    </cfRule>
  </conditionalFormatting>
  <conditionalFormatting sqref="Q6:Q14 O13:O14 O18:O24 O25:Q26 O27 O28:Q30 O31:P36 O37 O38:P52 O83:P83 O84:Q84">
    <cfRule type="expression" dxfId="359" priority="130" stopIfTrue="1">
      <formula>"esterreur(reference)"</formula>
    </cfRule>
  </conditionalFormatting>
  <conditionalFormatting sqref="Q75:Q82">
    <cfRule type="expression" dxfId="358" priority="131" stopIfTrue="1">
      <formula>"esterreur(reference)"</formula>
    </cfRule>
  </conditionalFormatting>
  <conditionalFormatting sqref="Q157:Q163">
    <cfRule type="expression" dxfId="357" priority="127" stopIfTrue="1">
      <formula>"esterreur(reference)"</formula>
    </cfRule>
  </conditionalFormatting>
  <conditionalFormatting sqref="Q230:Q236">
    <cfRule type="expression" dxfId="356" priority="112" stopIfTrue="1">
      <formula>"esterreur(reference)"</formula>
    </cfRule>
  </conditionalFormatting>
  <conditionalFormatting sqref="Q259">
    <cfRule type="expression" dxfId="355" priority="97" stopIfTrue="1">
      <formula>"esterreur(reference)"</formula>
    </cfRule>
  </conditionalFormatting>
  <conditionalFormatting sqref="Q272:Q283">
    <cfRule type="expression" dxfId="354" priority="125" stopIfTrue="1">
      <formula>"esterreur(reference)"</formula>
    </cfRule>
  </conditionalFormatting>
  <conditionalFormatting sqref="Q285:Q302">
    <cfRule type="expression" dxfId="353" priority="126" stopIfTrue="1">
      <formula>"esterreur(reference)"</formula>
    </cfRule>
  </conditionalFormatting>
  <conditionalFormatting sqref="Q324">
    <cfRule type="expression" dxfId="352" priority="98" stopIfTrue="1">
      <formula>"esterreur(reference)"</formula>
    </cfRule>
  </conditionalFormatting>
  <conditionalFormatting sqref="Q330:Q341">
    <cfRule type="expression" dxfId="351" priority="122" stopIfTrue="1">
      <formula>"esterreur(reference)"</formula>
    </cfRule>
  </conditionalFormatting>
  <conditionalFormatting sqref="Q422:Q424">
    <cfRule type="expression" dxfId="350" priority="118" stopIfTrue="1">
      <formula>"esterreur(reference)"</formula>
    </cfRule>
  </conditionalFormatting>
  <conditionalFormatting sqref="Q446">
    <cfRule type="expression" dxfId="349" priority="1" stopIfTrue="1">
      <formula>"esterreur(reference)"</formula>
    </cfRule>
  </conditionalFormatting>
  <conditionalFormatting sqref="R388">
    <cfRule type="expression" dxfId="348" priority="143" stopIfTrue="1">
      <formula>"esterreur(reference)"</formula>
    </cfRule>
  </conditionalFormatting>
  <conditionalFormatting sqref="S260">
    <cfRule type="expression" dxfId="347" priority="157" stopIfTrue="1">
      <formula>"esterreur(reference)"</formula>
    </cfRule>
  </conditionalFormatting>
  <conditionalFormatting sqref="AG496:AI505 AH507:AI519 AH521:AI538 AH540:AI547 AH548:AH549 AH550:AI552 AH554:AI554 AH578:AI584">
    <cfRule type="cellIs" dxfId="346" priority="144" operator="greaterThan">
      <formula>0</formula>
    </cfRule>
  </conditionalFormatting>
  <conditionalFormatting sqref="AH556:AI563 AH567:AI567">
    <cfRule type="cellIs" dxfId="345" priority="145" operator="lessThan">
      <formula>0</formula>
    </cfRule>
  </conditionalFormatting>
  <conditionalFormatting sqref="AH564:AI566">
    <cfRule type="cellIs" dxfId="344" priority="160" operator="greaterThan">
      <formula>0</formula>
    </cfRule>
  </conditionalFormatting>
  <conditionalFormatting sqref="AO496:AO505">
    <cfRule type="cellIs" dxfId="343" priority="158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8"/>
  <dimension ref="A1:BJ780"/>
  <sheetViews>
    <sheetView zoomScale="60" zoomScaleNormal="60" workbookViewId="0">
      <selection activeCellId="3" sqref="A586:XFD1048576 AG585:XFD585 A585:AE585 A1:XFD584"/>
    </sheetView>
  </sheetViews>
  <sheetFormatPr baseColWidth="10" defaultColWidth="11.59765625" defaultRowHeight="15" customHeight="1"/>
  <cols>
    <col min="1" max="1" width="5.3984375" customWidth="1"/>
    <col min="2" max="2" width="22.59765625" bestFit="1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0" max="21" width="11.59765625" style="382"/>
    <col min="22" max="22" width="42.3984375" bestFit="1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0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</cols>
  <sheetData>
    <row r="1" spans="1:40" ht="36" thickBot="1">
      <c r="B1" s="2"/>
      <c r="C1" s="251" t="str">
        <f>[2]Parametres!B1</f>
        <v>Ste-Marie Auto</v>
      </c>
      <c r="D1" s="252"/>
      <c r="E1" s="253"/>
      <c r="F1" s="252"/>
      <c r="G1" s="252"/>
      <c r="H1" s="254"/>
      <c r="I1" s="252"/>
      <c r="J1" s="254"/>
      <c r="K1" s="255" t="s">
        <v>0</v>
      </c>
      <c r="L1" s="252"/>
      <c r="M1" s="252"/>
      <c r="N1" s="256"/>
      <c r="O1" s="251"/>
      <c r="P1" s="257"/>
      <c r="Q1" s="251"/>
      <c r="R1" s="257"/>
      <c r="S1" s="258" t="str">
        <f>CONCATENATE("Réalisé,"," ",[2]Parametres!B3," ",[2]Parametres!B4)</f>
        <v>Réalisé, Aout 2026</v>
      </c>
      <c r="T1" s="419" t="s">
        <v>1</v>
      </c>
      <c r="U1" s="38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5" customHeight="1" thickTop="1" thickBot="1">
      <c r="B2" s="3"/>
      <c r="C2" s="4"/>
      <c r="D2" s="5" t="s">
        <v>2</v>
      </c>
      <c r="E2" s="5" t="s">
        <v>3</v>
      </c>
      <c r="F2" s="5" t="s">
        <v>4</v>
      </c>
      <c r="G2" s="5"/>
      <c r="H2" s="5"/>
      <c r="I2" s="5"/>
      <c r="J2" s="5" t="s">
        <v>209</v>
      </c>
      <c r="K2" s="5"/>
      <c r="L2" s="5" t="s">
        <v>210</v>
      </c>
      <c r="M2" s="6"/>
      <c r="N2" s="6"/>
      <c r="O2" s="5" t="s">
        <v>209</v>
      </c>
      <c r="P2" s="5"/>
      <c r="Q2" s="5" t="s">
        <v>210</v>
      </c>
      <c r="R2" s="6"/>
      <c r="S2" s="6"/>
      <c r="T2" s="6"/>
      <c r="U2" s="6"/>
      <c r="V2" s="282" t="s">
        <v>272</v>
      </c>
      <c r="W2" s="283"/>
    </row>
    <row r="3" spans="1:40" ht="21.6" thickTop="1">
      <c r="B3" s="7"/>
      <c r="C3" s="259"/>
      <c r="D3" s="407" t="s">
        <v>5</v>
      </c>
      <c r="E3" s="408"/>
      <c r="F3" s="406"/>
      <c r="G3" s="405"/>
      <c r="H3" s="408"/>
      <c r="I3" s="406"/>
      <c r="J3" s="405" t="s">
        <v>7</v>
      </c>
      <c r="K3" s="408"/>
      <c r="L3" s="406"/>
      <c r="M3" s="405" t="s">
        <v>211</v>
      </c>
      <c r="N3" s="406"/>
      <c r="O3" s="407" t="s">
        <v>8</v>
      </c>
      <c r="P3" s="408"/>
      <c r="Q3" s="406"/>
      <c r="R3" s="405" t="s">
        <v>212</v>
      </c>
      <c r="S3" s="406"/>
      <c r="T3" s="6"/>
      <c r="U3" s="6"/>
      <c r="V3" s="284" t="s">
        <v>273</v>
      </c>
      <c r="W3" s="285">
        <v>0.45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ht="20.399999999999999">
      <c r="B4" s="7"/>
      <c r="C4" s="71"/>
      <c r="D4" s="8" t="s">
        <v>10</v>
      </c>
      <c r="E4" s="9" t="s">
        <v>11</v>
      </c>
      <c r="F4" s="10" t="s">
        <v>12</v>
      </c>
      <c r="G4" s="11"/>
      <c r="H4" s="9"/>
      <c r="I4" s="10"/>
      <c r="J4" s="11" t="s">
        <v>221</v>
      </c>
      <c r="K4" s="9" t="s">
        <v>13</v>
      </c>
      <c r="L4" s="10" t="s">
        <v>12</v>
      </c>
      <c r="M4" s="11" t="s">
        <v>221</v>
      </c>
      <c r="N4" s="10" t="s">
        <v>12</v>
      </c>
      <c r="O4" s="11" t="s">
        <v>221</v>
      </c>
      <c r="P4" s="9" t="s">
        <v>13</v>
      </c>
      <c r="Q4" s="10" t="s">
        <v>12</v>
      </c>
      <c r="R4" s="11" t="s">
        <v>221</v>
      </c>
      <c r="S4" s="10" t="s">
        <v>12</v>
      </c>
      <c r="T4" s="6"/>
      <c r="U4" s="6"/>
      <c r="V4" s="284" t="s">
        <v>274</v>
      </c>
      <c r="W4" s="285">
        <v>0.1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ht="20.399999999999999">
      <c r="A5" s="410" t="s">
        <v>275</v>
      </c>
      <c r="B5" s="7" t="s">
        <v>0</v>
      </c>
      <c r="C5" s="14" t="s">
        <v>14</v>
      </c>
      <c r="D5" s="12"/>
      <c r="E5" s="12"/>
      <c r="F5" s="31" t="e">
        <f>+INDEX('[2]Budget original'!$A$2:$AO$501,MATCH($A5,'[2]Budget original'!$A$2:$A$501,0),MATCH(F$2,'[2]Budget original'!$A$2:$AO$2,0))</f>
        <v>#N/A</v>
      </c>
      <c r="G5" s="12"/>
      <c r="H5" s="12"/>
      <c r="I5" s="15"/>
      <c r="J5" s="14"/>
      <c r="K5" s="30"/>
      <c r="L5" s="61">
        <f>-SUMIFS([2]BV_Data_An_Cour!$AM:$AM,[2]BV_Data_An_Cour!$AS:$AS,"Oui",[2]BV_Data_An_Cour!$AP:$AP,$B5)</f>
        <v>5549753.3899999959</v>
      </c>
      <c r="M5" s="17"/>
      <c r="N5" s="18"/>
      <c r="O5" s="14"/>
      <c r="P5" s="30"/>
      <c r="Q5" s="61">
        <f>-SUMIFS([2]BV_Data_An_Prec!$AM:$AM,[2]BV_Data_An_Prec!$AS:$AS,"Oui",[2]BV_Data_An_Prec!$AP:$AP,$B5)</f>
        <v>8048046.4199999925</v>
      </c>
      <c r="R5" s="17"/>
      <c r="S5" s="286"/>
      <c r="T5" s="6"/>
      <c r="U5" s="6">
        <f>L5/AF493</f>
        <v>0.39786619894257724</v>
      </c>
      <c r="V5" s="284" t="s">
        <v>276</v>
      </c>
      <c r="W5" s="285">
        <v>0.22500000000000001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ht="20.399999999999999">
      <c r="A6" s="410" t="s">
        <v>277</v>
      </c>
      <c r="B6" s="7" t="s">
        <v>0</v>
      </c>
      <c r="C6" s="26" t="s">
        <v>15</v>
      </c>
      <c r="D6" s="19" t="e">
        <f>+INDEX('[2]Budget original'!$A$2:$AO$501,MATCH($A6,'[2]Budget original'!$A$2:$A$501,0),MATCH(D$2,'[2]Budget original'!$A$2:$AO$2,0))</f>
        <v>#N/A</v>
      </c>
      <c r="E6" s="19" t="e">
        <f>IF(D6=0,0,F6/D6)</f>
        <v>#N/A</v>
      </c>
      <c r="F6" s="19" t="e">
        <f>+INDEX('[2]Budget original'!$A$2:$AO$501,MATCH($A6,'[2]Budget original'!$A$2:$A$501,0),MATCH(F$2,'[2]Budget original'!$A$2:$AO$2,0))</f>
        <v>#N/A</v>
      </c>
      <c r="G6" s="20"/>
      <c r="H6" s="19"/>
      <c r="I6" s="19"/>
      <c r="J6" s="20">
        <f>SUMIFS([2]BV_Data_An_Cour!$AW:$AW,[2]BV_Data_An_Cour!$AP:$AP,$B6,[2]BV_Data_An_Cour!$AQ:$AQ,$C6,[2]BV_Data_An_Cour!$AY:$AY,J$2)</f>
        <v>0</v>
      </c>
      <c r="K6" s="55">
        <f t="shared" ref="K6:K12" si="0">IF(J6=0,0,L6/J6)</f>
        <v>0</v>
      </c>
      <c r="L6" s="39">
        <f>-SUMIFS([2]BV_Data_An_Cour!$AM:$AM,[2]BV_Data_An_Cour!$AP:$AP,$B6,[2]BV_Data_An_Cour!$AQ:$AQ,$C6,[2]BV_Data_An_Cour!$AR:$AR,L$2)</f>
        <v>0</v>
      </c>
      <c r="M6" s="20" t="e">
        <f t="shared" ref="M6:M12" si="1">J6-D6</f>
        <v>#N/A</v>
      </c>
      <c r="N6" s="21" t="e">
        <f t="shared" ref="N6:N12" si="2">L6-F6</f>
        <v>#N/A</v>
      </c>
      <c r="O6" s="20">
        <f>SUMIFS([2]BV_Data_An_Prec!$AW:$AW,[2]BV_Data_An_Prec!$AP:$AP,$B6,[2]BV_Data_An_Prec!$AQ:$AQ,$C6,[2]BV_Data_An_Prec!$AY:$AY,O$2)</f>
        <v>2</v>
      </c>
      <c r="P6" s="55">
        <f t="shared" ref="P6:P12" si="3">IF(O6=0,0,Q6/O6)</f>
        <v>5561</v>
      </c>
      <c r="Q6" s="39">
        <f>-SUMIFS([2]BV_Data_An_Prec!$AM:$AM,[2]BV_Data_An_Prec!$AP:$AP,$B6,[2]BV_Data_An_Prec!$AQ:$AQ,$C6,[2]BV_Data_An_Prec!$AR:$AR,Q$2)</f>
        <v>11122</v>
      </c>
      <c r="R6" s="40">
        <f>J6-O6</f>
        <v>-2</v>
      </c>
      <c r="S6" s="39">
        <f>L6-Q6</f>
        <v>-11122</v>
      </c>
      <c r="T6" s="6"/>
      <c r="U6" s="6"/>
      <c r="V6" s="284" t="s">
        <v>278</v>
      </c>
      <c r="W6" s="285">
        <v>2.5000000000000001E-2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ht="20.399999999999999">
      <c r="A7" s="410" t="s">
        <v>279</v>
      </c>
      <c r="B7" s="7" t="s">
        <v>0</v>
      </c>
      <c r="C7" s="26" t="s">
        <v>16</v>
      </c>
      <c r="D7" s="19" t="e">
        <f>+INDEX('[2]Budget original'!$A$2:$AO$501,MATCH($A7,'[2]Budget original'!$A$2:$A$501,0),MATCH(D$2,'[2]Budget original'!$A$2:$AO$2,0))</f>
        <v>#N/A</v>
      </c>
      <c r="E7" s="19" t="e">
        <f t="shared" ref="E7:E12" si="4">IF(D7=0,0,F7/D7)</f>
        <v>#N/A</v>
      </c>
      <c r="F7" s="19" t="e">
        <f>+INDEX('[2]Budget original'!$A$2:$AO$501,MATCH($A7,'[2]Budget original'!$A$2:$A$501,0),MATCH(F$2,'[2]Budget original'!$A$2:$AO$2,0))</f>
        <v>#N/A</v>
      </c>
      <c r="G7" s="20"/>
      <c r="H7" s="19"/>
      <c r="I7" s="19"/>
      <c r="J7" s="20">
        <f>SUMIFS([2]BV_Data_An_Cour!$AW:$AW,[2]BV_Data_An_Cour!$AP:$AP,$B7,[2]BV_Data_An_Cour!$AQ:$AQ,$C7,[2]BV_Data_An_Cour!$AY:$AY,J$2)</f>
        <v>26</v>
      </c>
      <c r="K7" s="55">
        <f t="shared" si="0"/>
        <v>2497.6038461538546</v>
      </c>
      <c r="L7" s="39">
        <f>-SUMIFS([2]BV_Data_An_Cour!$AM:$AM,[2]BV_Data_An_Cour!$AP:$AP,$B7,[2]BV_Data_An_Cour!$AQ:$AQ,$C7,[2]BV_Data_An_Cour!$AR:$AR,L$2)</f>
        <v>64937.700000000215</v>
      </c>
      <c r="M7" s="20" t="e">
        <f t="shared" si="1"/>
        <v>#N/A</v>
      </c>
      <c r="N7" s="21" t="e">
        <f t="shared" si="2"/>
        <v>#N/A</v>
      </c>
      <c r="O7" s="20">
        <f>SUMIFS([2]BV_Data_An_Prec!$AW:$AW,[2]BV_Data_An_Prec!$AP:$AP,$B7,[2]BV_Data_An_Prec!$AQ:$AQ,$C7,[2]BV_Data_An_Prec!$AY:$AY,O$2)</f>
        <v>67</v>
      </c>
      <c r="P7" s="55">
        <f t="shared" si="3"/>
        <v>2643.7070149253668</v>
      </c>
      <c r="Q7" s="39">
        <f>-SUMIFS([2]BV_Data_An_Prec!$AM:$AM,[2]BV_Data_An_Prec!$AP:$AP,$B7,[2]BV_Data_An_Prec!$AQ:$AQ,$C7,[2]BV_Data_An_Prec!$AR:$AR,Q$2)</f>
        <v>177128.36999999959</v>
      </c>
      <c r="R7" s="40">
        <f>J7-O7</f>
        <v>-41</v>
      </c>
      <c r="S7" s="39">
        <f>L7-Q7</f>
        <v>-112190.66999999937</v>
      </c>
      <c r="T7" s="6"/>
      <c r="U7" s="6"/>
      <c r="V7" s="284" t="s">
        <v>280</v>
      </c>
      <c r="W7" s="285">
        <v>0.2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ht="21" thickBot="1">
      <c r="A8" s="410" t="s">
        <v>281</v>
      </c>
      <c r="B8" s="7" t="s">
        <v>0</v>
      </c>
      <c r="C8" s="26" t="s">
        <v>282</v>
      </c>
      <c r="D8" s="19" t="e">
        <f>+INDEX('[2]Budget original'!$A$2:$AO$501,MATCH($A8,'[2]Budget original'!$A$2:$A$501,0),MATCH(D$2,'[2]Budget original'!$A$2:$AO$2,0))</f>
        <v>#N/A</v>
      </c>
      <c r="E8" s="19" t="e">
        <f t="shared" si="4"/>
        <v>#N/A</v>
      </c>
      <c r="F8" s="19" t="e">
        <f>+INDEX('[2]Budget original'!$A$2:$AO$501,MATCH($A8,'[2]Budget original'!$A$2:$A$501,0),MATCH(F$2,'[2]Budget original'!$A$2:$AO$2,0))</f>
        <v>#N/A</v>
      </c>
      <c r="G8" s="20"/>
      <c r="H8" s="19"/>
      <c r="I8" s="19"/>
      <c r="J8" s="20">
        <f>SUMIFS([2]BV_Data_An_Cour!$AW:$AW,[2]BV_Data_An_Cour!$AP:$AP,$B8,[2]BV_Data_An_Cour!$AQ:$AQ,$C8,[2]BV_Data_An_Cour!$AY:$AY,J$2)</f>
        <v>0</v>
      </c>
      <c r="K8" s="55">
        <f t="shared" si="0"/>
        <v>0</v>
      </c>
      <c r="L8" s="39">
        <f>-SUMIFS([2]BV_Data_An_Cour!$AM:$AM,[2]BV_Data_An_Cour!$AP:$AP,$B8,[2]BV_Data_An_Cour!$AQ:$AQ,$C8,[2]BV_Data_An_Cour!$AR:$AR,L$2)</f>
        <v>0</v>
      </c>
      <c r="M8" s="20" t="e">
        <f t="shared" si="1"/>
        <v>#N/A</v>
      </c>
      <c r="N8" s="21" t="e">
        <f t="shared" si="2"/>
        <v>#N/A</v>
      </c>
      <c r="O8" s="20">
        <f>SUMIFS([2]BV_Data_An_Prec!$AW:$AW,[2]BV_Data_An_Prec!$AP:$AP,$B8,[2]BV_Data_An_Prec!$AQ:$AQ,$C8,[2]BV_Data_An_Prec!$AY:$AY,O$2)</f>
        <v>0</v>
      </c>
      <c r="P8" s="55">
        <f t="shared" si="3"/>
        <v>0</v>
      </c>
      <c r="Q8" s="39">
        <f>-SUMIFS([2]BV_Data_An_Prec!$AM:$AM,[2]BV_Data_An_Prec!$AP:$AP,$B8,[2]BV_Data_An_Prec!$AQ:$AQ,$C8,[2]BV_Data_An_Prec!$AR:$AR,Q$2)</f>
        <v>0</v>
      </c>
      <c r="R8" s="40">
        <f>J8-O8</f>
        <v>0</v>
      </c>
      <c r="S8" s="39">
        <f>L8-Q8</f>
        <v>0</v>
      </c>
      <c r="T8" s="6"/>
      <c r="U8" s="6"/>
      <c r="V8" s="287"/>
      <c r="W8" s="288">
        <f>SUM(W3:W7)</f>
        <v>1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ht="21" thickTop="1">
      <c r="A9" s="410" t="s">
        <v>283</v>
      </c>
      <c r="B9" s="7" t="s">
        <v>0</v>
      </c>
      <c r="C9" s="26" t="s">
        <v>284</v>
      </c>
      <c r="D9" s="19" t="e">
        <f>+INDEX('[2]Budget original'!$A$2:$AO$501,MATCH($A9,'[2]Budget original'!$A$2:$A$501,0),MATCH(D$2,'[2]Budget original'!$A$2:$AO$2,0))</f>
        <v>#N/A</v>
      </c>
      <c r="E9" s="19" t="e">
        <f t="shared" si="4"/>
        <v>#N/A</v>
      </c>
      <c r="F9" s="19" t="e">
        <f>+INDEX('[2]Budget original'!$A$2:$AO$501,MATCH($A9,'[2]Budget original'!$A$2:$A$501,0),MATCH(F$2,'[2]Budget original'!$A$2:$AO$2,0))</f>
        <v>#N/A</v>
      </c>
      <c r="G9" s="20"/>
      <c r="H9" s="19"/>
      <c r="I9" s="19"/>
      <c r="J9" s="20">
        <f>SUMIFS([2]BV_Data_An_Cour!$AW:$AW,[2]BV_Data_An_Cour!$AP:$AP,$B9,[2]BV_Data_An_Cour!$AQ:$AQ,$C9,[2]BV_Data_An_Cour!$AY:$AY,J$2)</f>
        <v>27</v>
      </c>
      <c r="K9" s="55">
        <f t="shared" si="0"/>
        <v>1229.7707407407515</v>
      </c>
      <c r="L9" s="39">
        <f>-SUMIFS([2]BV_Data_An_Cour!$AM:$AM,[2]BV_Data_An_Cour!$AP:$AP,$B9,[2]BV_Data_An_Cour!$AQ:$AQ,$C9,[2]BV_Data_An_Cour!$AR:$AR,L$2)</f>
        <v>33203.810000000289</v>
      </c>
      <c r="M9" s="20" t="e">
        <f t="shared" si="1"/>
        <v>#N/A</v>
      </c>
      <c r="N9" s="21" t="e">
        <f t="shared" si="2"/>
        <v>#N/A</v>
      </c>
      <c r="O9" s="20">
        <f>SUMIFS([2]BV_Data_An_Prec!$AW:$AW,[2]BV_Data_An_Prec!$AP:$AP,$B9,[2]BV_Data_An_Prec!$AQ:$AQ,$C9,[2]BV_Data_An_Prec!$AY:$AY,O$2)</f>
        <v>11</v>
      </c>
      <c r="P9" s="55">
        <f t="shared" si="3"/>
        <v>900.2372727273455</v>
      </c>
      <c r="Q9" s="39">
        <f>-SUMIFS([2]BV_Data_An_Prec!$AM:$AM,[2]BV_Data_An_Prec!$AP:$AP,$B9,[2]BV_Data_An_Prec!$AQ:$AQ,$C9,[2]BV_Data_An_Prec!$AR:$AR,Q$2)</f>
        <v>9902.6100000008009</v>
      </c>
      <c r="R9" s="40">
        <f>J9-O9</f>
        <v>16</v>
      </c>
      <c r="S9" s="39">
        <f t="shared" ref="S9:S12" si="5">L9-Q9</f>
        <v>23301.199999999488</v>
      </c>
      <c r="T9" s="6"/>
      <c r="U9" s="6" t="s">
        <v>506</v>
      </c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ht="20.399999999999999" hidden="1" customHeight="1">
      <c r="A10" s="410" t="s">
        <v>285</v>
      </c>
      <c r="B10" s="7" t="s">
        <v>0</v>
      </c>
      <c r="C10" s="26" t="s">
        <v>19</v>
      </c>
      <c r="D10" s="19" t="e">
        <f>+INDEX('[2]Budget original'!$A$2:$AO$501,MATCH($A10,'[2]Budget original'!$A$2:$A$501,0),MATCH(D$2,'[2]Budget original'!$A$2:$AO$2,0))</f>
        <v>#N/A</v>
      </c>
      <c r="E10" s="19" t="e">
        <f t="shared" si="4"/>
        <v>#N/A</v>
      </c>
      <c r="F10" s="19" t="e">
        <f>+INDEX('[2]Budget original'!$A$2:$AO$501,MATCH($A10,'[2]Budget original'!$A$2:$A$501,0),MATCH(F$2,'[2]Budget original'!$A$2:$AO$2,0))</f>
        <v>#N/A</v>
      </c>
      <c r="G10" s="20"/>
      <c r="H10" s="19"/>
      <c r="I10" s="19"/>
      <c r="J10" s="20">
        <f>-SUMIFS([2]BV_Data_An_Cour!$AM:$AM,[2]BV_Data_An_Cour!$AP:$AP,$B10,[2]BV_Data_An_Cour!$AQ:$AQ,$C10,[2]BV_Data_An_Cour!$AR:$AR,J$2)</f>
        <v>0</v>
      </c>
      <c r="K10" s="55">
        <f t="shared" si="0"/>
        <v>0</v>
      </c>
      <c r="L10" s="39">
        <f>-SUMIFS([2]BV_Data_An_Cour!$AM:$AM,[2]BV_Data_An_Cour!$AP:$AP,$B10,[2]BV_Data_An_Cour!$AQ:$AQ,$C10,[2]BV_Data_An_Cour!$AR:$AR,L$2)</f>
        <v>0</v>
      </c>
      <c r="M10" s="20" t="e">
        <f t="shared" si="1"/>
        <v>#N/A</v>
      </c>
      <c r="N10" s="21" t="e">
        <f t="shared" si="2"/>
        <v>#N/A</v>
      </c>
      <c r="O10" s="20">
        <f>-SUMIFS([2]BV_Data_An_Prec!$AM:$AM,[2]BV_Data_An_Prec!$AP:$AP,$B10,[2]BV_Data_An_Prec!$AQ:$AQ,$C10,[2]BV_Data_An_Prec!$AR:$AR,O$2)</f>
        <v>0</v>
      </c>
      <c r="P10" s="55">
        <f t="shared" si="3"/>
        <v>0</v>
      </c>
      <c r="Q10" s="39">
        <f>-SUMIFS([2]BV_Data_An_Prec!$AM:$AM,[2]BV_Data_An_Prec!$AP:$AP,$B10,[2]BV_Data_An_Prec!$AQ:$AQ,$C10,[2]BV_Data_An_Prec!$AR:$AR,Q$2)</f>
        <v>0</v>
      </c>
      <c r="R10" s="124">
        <f t="shared" ref="R10:R12" si="6">J10-O10</f>
        <v>0</v>
      </c>
      <c r="S10" s="39">
        <f t="shared" si="5"/>
        <v>0</v>
      </c>
      <c r="T10" s="6"/>
      <c r="U10" s="6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ht="20.399999999999999" hidden="1" customHeight="1">
      <c r="A11" s="410" t="s">
        <v>285</v>
      </c>
      <c r="B11" s="7" t="s">
        <v>0</v>
      </c>
      <c r="C11" s="26" t="s">
        <v>19</v>
      </c>
      <c r="D11" s="19" t="e">
        <f>+INDEX('[2]Budget original'!$A$2:$AO$501,MATCH($A11,'[2]Budget original'!$A$2:$A$501,0),MATCH(D$2,'[2]Budget original'!$A$2:$AO$2,0))</f>
        <v>#N/A</v>
      </c>
      <c r="E11" s="19" t="e">
        <f t="shared" si="4"/>
        <v>#N/A</v>
      </c>
      <c r="F11" s="19" t="e">
        <f>+INDEX('[2]Budget original'!$A$2:$AO$501,MATCH($A11,'[2]Budget original'!$A$2:$A$501,0),MATCH(F$2,'[2]Budget original'!$A$2:$AO$2,0))</f>
        <v>#N/A</v>
      </c>
      <c r="G11" s="20"/>
      <c r="H11" s="19"/>
      <c r="I11" s="19"/>
      <c r="J11" s="20">
        <f>-SUMIFS([2]BV_Data_An_Cour!$AM:$AM,[2]BV_Data_An_Cour!$AP:$AP,$B11,[2]BV_Data_An_Cour!$AQ:$AQ,$C11,[2]BV_Data_An_Cour!$AR:$AR,J$2)</f>
        <v>0</v>
      </c>
      <c r="K11" s="55">
        <f t="shared" si="0"/>
        <v>0</v>
      </c>
      <c r="L11" s="39">
        <f>-SUMIFS([2]BV_Data_An_Cour!$AM:$AM,[2]BV_Data_An_Cour!$AP:$AP,$B11,[2]BV_Data_An_Cour!$AQ:$AQ,$C11,[2]BV_Data_An_Cour!$AR:$AR,L$2)</f>
        <v>0</v>
      </c>
      <c r="M11" s="20" t="e">
        <f t="shared" si="1"/>
        <v>#N/A</v>
      </c>
      <c r="N11" s="21" t="e">
        <f t="shared" si="2"/>
        <v>#N/A</v>
      </c>
      <c r="O11" s="20">
        <f>-SUMIFS([2]BV_Data_An_Prec!$AM:$AM,[2]BV_Data_An_Prec!$AP:$AP,$B11,[2]BV_Data_An_Prec!$AQ:$AQ,$C11,[2]BV_Data_An_Prec!$AR:$AR,O$2)</f>
        <v>0</v>
      </c>
      <c r="P11" s="55">
        <f t="shared" si="3"/>
        <v>0</v>
      </c>
      <c r="Q11" s="39">
        <f>-SUMIFS([2]BV_Data_An_Prec!$AM:$AM,[2]BV_Data_An_Prec!$AP:$AP,$B11,[2]BV_Data_An_Prec!$AQ:$AQ,$C11,[2]BV_Data_An_Prec!$AR:$AR,Q$2)</f>
        <v>0</v>
      </c>
      <c r="R11" s="20">
        <f t="shared" si="6"/>
        <v>0</v>
      </c>
      <c r="S11" s="39">
        <f t="shared" si="5"/>
        <v>0</v>
      </c>
      <c r="T11" s="6"/>
      <c r="U11" s="6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ht="20.399999999999999" hidden="1" customHeight="1">
      <c r="A12" s="410" t="s">
        <v>285</v>
      </c>
      <c r="B12" s="7" t="s">
        <v>0</v>
      </c>
      <c r="C12" s="26" t="s">
        <v>19</v>
      </c>
      <c r="D12" s="19" t="e">
        <f>+INDEX('[2]Budget original'!$A$2:$AO$501,MATCH($A12,'[2]Budget original'!$A$2:$A$501,0),MATCH(D$2,'[2]Budget original'!$A$2:$AO$2,0))</f>
        <v>#N/A</v>
      </c>
      <c r="E12" s="19" t="e">
        <f t="shared" si="4"/>
        <v>#N/A</v>
      </c>
      <c r="F12" s="19" t="e">
        <f>+INDEX('[2]Budget original'!$A$2:$AO$501,MATCH($A12,'[2]Budget original'!$A$2:$A$501,0),MATCH(F$2,'[2]Budget original'!$A$2:$AO$2,0))</f>
        <v>#N/A</v>
      </c>
      <c r="G12" s="20"/>
      <c r="H12" s="19"/>
      <c r="I12" s="19"/>
      <c r="J12" s="20">
        <f>-SUMIFS([2]BV_Data_An_Cour!$AM:$AM,[2]BV_Data_An_Cour!$AP:$AP,$B12,[2]BV_Data_An_Cour!$AQ:$AQ,$C12,[2]BV_Data_An_Cour!$AR:$AR,J$2)</f>
        <v>0</v>
      </c>
      <c r="K12" s="55">
        <f t="shared" si="0"/>
        <v>0</v>
      </c>
      <c r="L12" s="39">
        <f>-SUMIFS([2]BV_Data_An_Cour!$AM:$AM,[2]BV_Data_An_Cour!$AP:$AP,$B12,[2]BV_Data_An_Cour!$AQ:$AQ,$C12,[2]BV_Data_An_Cour!$AR:$AR,L$2)</f>
        <v>0</v>
      </c>
      <c r="M12" s="20" t="e">
        <f t="shared" si="1"/>
        <v>#N/A</v>
      </c>
      <c r="N12" s="21" t="e">
        <f t="shared" si="2"/>
        <v>#N/A</v>
      </c>
      <c r="O12" s="20">
        <f>-SUMIFS([2]BV_Data_An_Prec!$AM:$AM,[2]BV_Data_An_Prec!$AP:$AP,$B12,[2]BV_Data_An_Prec!$AQ:$AQ,$C12,[2]BV_Data_An_Prec!$AR:$AR,O$2)</f>
        <v>0</v>
      </c>
      <c r="P12" s="55">
        <f t="shared" si="3"/>
        <v>0</v>
      </c>
      <c r="Q12" s="39">
        <f>-SUMIFS([2]BV_Data_An_Prec!$AM:$AM,[2]BV_Data_An_Prec!$AP:$AP,$B12,[2]BV_Data_An_Prec!$AQ:$AQ,$C12,[2]BV_Data_An_Prec!$AR:$AR,Q$2)</f>
        <v>0</v>
      </c>
      <c r="R12" s="20">
        <f t="shared" si="6"/>
        <v>0</v>
      </c>
      <c r="S12" s="39">
        <f t="shared" si="5"/>
        <v>0</v>
      </c>
      <c r="T12" s="6"/>
      <c r="U12" s="6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ht="21">
      <c r="A13" s="410" t="s">
        <v>286</v>
      </c>
      <c r="B13" s="7" t="s">
        <v>0</v>
      </c>
      <c r="C13" s="289" t="s">
        <v>20</v>
      </c>
      <c r="D13" s="22" t="e">
        <f>+SUM(D6:D12)</f>
        <v>#N/A</v>
      </c>
      <c r="E13" s="22" t="e">
        <f>IF(D13&lt;=0,0,F13/D13)</f>
        <v>#N/A</v>
      </c>
      <c r="F13" s="23" t="e">
        <f>+SUM(F6:F12)</f>
        <v>#N/A</v>
      </c>
      <c r="G13" s="24"/>
      <c r="H13" s="22"/>
      <c r="I13" s="23"/>
      <c r="J13" s="24">
        <f>+SUM(J6:J12)</f>
        <v>53</v>
      </c>
      <c r="K13" s="122">
        <f>IF(J13&lt;=0,0,L13/J13)</f>
        <v>1851.7266037735944</v>
      </c>
      <c r="L13" s="123">
        <f>+SUM(L6:L12)</f>
        <v>98141.510000000504</v>
      </c>
      <c r="M13" s="24" t="e">
        <f>+SUM(M6:M12)</f>
        <v>#N/A</v>
      </c>
      <c r="N13" s="23" t="e">
        <f>+SUM(N6:N12)</f>
        <v>#N/A</v>
      </c>
      <c r="O13" s="24">
        <f>+SUM(O6:O12)</f>
        <v>80</v>
      </c>
      <c r="P13" s="122">
        <f>IF(O13&lt;=0,0,Q13/O13)</f>
        <v>2476.9122500000049</v>
      </c>
      <c r="Q13" s="123">
        <f>+SUM(Q6:Q12)</f>
        <v>198152.98000000039</v>
      </c>
      <c r="R13" s="124">
        <f>+SUM(R6:R12)</f>
        <v>-27</v>
      </c>
      <c r="S13" s="123">
        <f>+SUM(S6:S12)</f>
        <v>-100011.46999999988</v>
      </c>
      <c r="T13" s="6">
        <v>53</v>
      </c>
      <c r="U13" s="411">
        <v>98142</v>
      </c>
      <c r="V13" s="412">
        <f>L13-U13</f>
        <v>-0.48999999949592166</v>
      </c>
      <c r="W13" s="7"/>
      <c r="X13" s="7"/>
      <c r="Y13" s="7"/>
      <c r="Z13" s="7"/>
      <c r="AA13" s="7"/>
      <c r="AB13" s="7"/>
      <c r="AC13" s="7"/>
      <c r="AD13" s="55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ht="21">
      <c r="A14" s="410" t="s">
        <v>0</v>
      </c>
      <c r="B14" s="7" t="s">
        <v>0</v>
      </c>
      <c r="C14" s="52"/>
      <c r="D14" s="50"/>
      <c r="E14" s="290"/>
      <c r="F14" s="51"/>
      <c r="G14" s="52"/>
      <c r="H14" s="290"/>
      <c r="I14" s="51"/>
      <c r="J14" s="52"/>
      <c r="K14" s="74"/>
      <c r="L14" s="112"/>
      <c r="M14" s="291" t="e">
        <f>IF(D13=0,0,M13/D13)</f>
        <v>#N/A</v>
      </c>
      <c r="N14" s="292" t="e">
        <f>IF(F13=0,0,N13/F13)</f>
        <v>#N/A</v>
      </c>
      <c r="O14" s="52"/>
      <c r="P14" s="74"/>
      <c r="Q14" s="112"/>
      <c r="R14" s="291">
        <f>R13/O13</f>
        <v>-0.33750000000000002</v>
      </c>
      <c r="S14" s="28">
        <f>IF(Q13=0,0,(S13/Q13))</f>
        <v>-0.50471847559395622</v>
      </c>
      <c r="T14" s="6"/>
      <c r="U14" s="411"/>
      <c r="V14" s="412"/>
      <c r="W14" s="19"/>
      <c r="X14" s="19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ht="21">
      <c r="A15" s="410" t="s">
        <v>287</v>
      </c>
      <c r="B15" s="7" t="s">
        <v>0</v>
      </c>
      <c r="C15" s="113" t="s">
        <v>21</v>
      </c>
      <c r="D15" s="33" t="e">
        <f>+INDEX('[2]Budget original'!$A$2:$AO$501,MATCH($A15,'[2]Budget original'!$A$2:$A$501,0),MATCH(D$2,'[2]Budget original'!$A$2:$AO$2,0))</f>
        <v>#N/A</v>
      </c>
      <c r="E15" s="33" t="e">
        <f>IF(D15=0,0,F15/D15)</f>
        <v>#N/A</v>
      </c>
      <c r="F15" s="90" t="e">
        <f>+INDEX('[2]Budget original'!$A$2:$AO$501,MATCH($A15,'[2]Budget original'!$A$2:$A$501,0),MATCH(F$2,'[2]Budget original'!$A$2:$AO$2,0))</f>
        <v>#N/A</v>
      </c>
      <c r="G15" s="32"/>
      <c r="H15" s="33"/>
      <c r="I15" s="90"/>
      <c r="J15" s="34">
        <f>SUMIFS([2]BV_Data_An_Cour!$AW:$AW,[2]BV_Data_An_Cour!$AP:$AP,$B15,[2]BV_Data_An_Cour!$AQ:$AQ,$C15,[2]BV_Data_An_Cour!$AY:$AY,J$2)</f>
        <v>0</v>
      </c>
      <c r="K15" s="58">
        <f>IF(J15=0,0,L15/J15)</f>
        <v>0</v>
      </c>
      <c r="L15" s="58">
        <f>-SUMIFS([2]BV_Data_An_Cour!$AM:$AM,[2]BV_Data_An_Cour!$AP:$AP,$B15,[2]BV_Data_An_Cour!$AQ:$AQ,$C15,[2]BV_Data_An_Cour!$AR:$AR,L$2)</f>
        <v>0</v>
      </c>
      <c r="M15" s="34" t="e">
        <f>J15-D15</f>
        <v>#N/A</v>
      </c>
      <c r="N15" s="31" t="e">
        <f>L15-F15</f>
        <v>#N/A</v>
      </c>
      <c r="O15" s="34">
        <f>SUMIFS([2]BV_Data_An_Prec!$AW:$AW,[2]BV_Data_An_Prec!$AP:$AP,$B15,[2]BV_Data_An_Prec!$AQ:$AQ,$C15,[2]BV_Data_An_Prec!$AY:$AY,O$2)</f>
        <v>0</v>
      </c>
      <c r="P15" s="58">
        <f>IF(O15=0,0,Q15/O15)</f>
        <v>0</v>
      </c>
      <c r="Q15" s="58">
        <f>-SUMIFS([2]BV_Data_An_Prec!$AM:$AM,[2]BV_Data_An_Prec!$AP:$AP,$B15,[2]BV_Data_An_Prec!$AQ:$AQ,$C15,[2]BV_Data_An_Prec!$AR:$AR,Q$2)</f>
        <v>0</v>
      </c>
      <c r="R15" s="34">
        <f>J15-O15</f>
        <v>0</v>
      </c>
      <c r="S15" s="61">
        <f>L15-Q15</f>
        <v>0</v>
      </c>
      <c r="T15" s="6"/>
      <c r="U15" s="413"/>
      <c r="V15" s="412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ht="20.399999999999999">
      <c r="A16" s="410" t="s">
        <v>0</v>
      </c>
      <c r="B16" s="7" t="s">
        <v>0</v>
      </c>
      <c r="C16" s="26"/>
      <c r="D16" s="7"/>
      <c r="E16" s="19"/>
      <c r="F16" s="25"/>
      <c r="G16" s="26"/>
      <c r="H16" s="19"/>
      <c r="I16" s="25"/>
      <c r="J16" s="26"/>
      <c r="K16" s="55"/>
      <c r="L16" s="39"/>
      <c r="M16" s="99"/>
      <c r="N16" s="100"/>
      <c r="O16" s="26"/>
      <c r="P16" s="55"/>
      <c r="Q16" s="39"/>
      <c r="R16" s="99"/>
      <c r="S16" s="39"/>
      <c r="T16" s="6"/>
      <c r="U16" s="411"/>
      <c r="V16" s="412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ht="21">
      <c r="A17" s="410" t="s">
        <v>288</v>
      </c>
      <c r="B17" s="7" t="s">
        <v>0</v>
      </c>
      <c r="C17" s="52" t="s">
        <v>22</v>
      </c>
      <c r="D17" s="290" t="e">
        <f>+INDEX('[2]Budget original'!$A$2:$AO$501,MATCH($A17,'[2]Budget original'!$A$2:$A$501,0),MATCH(D$2,'[2]Budget original'!$A$2:$AO$2,0))</f>
        <v>#N/A</v>
      </c>
      <c r="E17" s="290" t="e">
        <f>IF(D17=0,0,F17/D17)</f>
        <v>#N/A</v>
      </c>
      <c r="F17" s="290" t="e">
        <f>+INDEX('[2]Budget original'!$A$2:$AO$501,MATCH($A17,'[2]Budget original'!$A$2:$A$501,0),MATCH(F$2,'[2]Budget original'!$A$2:$AO$2,0))</f>
        <v>#N/A</v>
      </c>
      <c r="G17" s="38"/>
      <c r="H17" s="290"/>
      <c r="I17" s="290"/>
      <c r="J17" s="34">
        <f>SUMIFS([2]BV_Data_An_Cour!$AW:$AW,[2]BV_Data_An_Cour!$AP:$AP,$B17,[2]BV_Data_An_Cour!$AQ:$AQ,$C17,[2]BV_Data_An_Cour!$AY:$AY,J$2)</f>
        <v>34</v>
      </c>
      <c r="K17" s="55">
        <f>IF(J17=0,0,L17/J17)</f>
        <v>587.26382352937674</v>
      </c>
      <c r="L17" s="39">
        <f>-SUMIFS([2]BV_Data_An_Cour!$AM:$AM,[2]BV_Data_An_Cour!$AP:$AP,$B17,[2]BV_Data_An_Cour!$AQ:$AQ,$C17,[2]BV_Data_An_Cour!$AR:$AR,L$2)</f>
        <v>19966.969999998808</v>
      </c>
      <c r="M17" s="34" t="e">
        <f>J17-D17</f>
        <v>#N/A</v>
      </c>
      <c r="N17" s="21" t="e">
        <f>L17-F17</f>
        <v>#N/A</v>
      </c>
      <c r="O17" s="34">
        <f>SUMIFS([2]BV_Data_An_Prec!$AW:$AW,[2]BV_Data_An_Prec!$AP:$AP,$B17,[2]BV_Data_An_Prec!$AQ:$AQ,$C17,[2]BV_Data_An_Prec!$AY:$AY,O$2)</f>
        <v>54</v>
      </c>
      <c r="P17" s="55">
        <f>IF(O17=0,0,Q17/O17)</f>
        <v>617.89629629613069</v>
      </c>
      <c r="Q17" s="39">
        <f>-SUMIFS([2]BV_Data_An_Prec!$AM:$AM,[2]BV_Data_An_Prec!$AP:$AP,$B17,[2]BV_Data_An_Prec!$AQ:$AQ,$C17,[2]BV_Data_An_Prec!$AR:$AR,Q$2)</f>
        <v>33366.399999991059</v>
      </c>
      <c r="R17" s="40">
        <f>J17-O17</f>
        <v>-20</v>
      </c>
      <c r="S17" s="39">
        <f>L17-Q17</f>
        <v>-13399.429999992251</v>
      </c>
      <c r="T17" s="6">
        <v>34</v>
      </c>
      <c r="U17" s="411">
        <v>18817</v>
      </c>
      <c r="V17" s="412">
        <f>L17-U17</f>
        <v>1149.9699999988079</v>
      </c>
      <c r="W17" s="7"/>
      <c r="X17" s="7"/>
      <c r="Y17" s="7"/>
      <c r="Z17" s="7"/>
      <c r="AA17" s="19"/>
      <c r="AB17" s="7"/>
      <c r="AC17" s="7"/>
      <c r="AD17" s="55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ht="21" hidden="1">
      <c r="A18" s="410" t="s">
        <v>0</v>
      </c>
      <c r="B18" s="7" t="s">
        <v>0</v>
      </c>
      <c r="C18" s="289"/>
      <c r="D18" s="35"/>
      <c r="E18" s="35"/>
      <c r="F18" s="36"/>
      <c r="G18" s="37"/>
      <c r="H18" s="35"/>
      <c r="I18" s="36"/>
      <c r="J18" s="20"/>
      <c r="K18" s="105"/>
      <c r="L18" s="72"/>
      <c r="M18" s="20"/>
      <c r="N18" s="36"/>
      <c r="O18" s="20"/>
      <c r="P18" s="105"/>
      <c r="Q18" s="72"/>
      <c r="R18" s="37"/>
      <c r="S18" s="72"/>
      <c r="T18" s="6"/>
      <c r="U18" s="411"/>
      <c r="V18" s="414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ht="21" hidden="1">
      <c r="A19" s="410" t="s">
        <v>289</v>
      </c>
      <c r="B19" s="7" t="s">
        <v>0</v>
      </c>
      <c r="C19" s="113"/>
      <c r="D19" s="19"/>
      <c r="E19" s="19"/>
      <c r="F19" s="19"/>
      <c r="G19" s="20"/>
      <c r="H19" s="19"/>
      <c r="I19" s="19"/>
      <c r="J19" s="34"/>
      <c r="K19" s="55"/>
      <c r="L19" s="39"/>
      <c r="M19" s="20"/>
      <c r="N19" s="21"/>
      <c r="O19" s="34"/>
      <c r="P19" s="55"/>
      <c r="Q19" s="39"/>
      <c r="R19" s="20"/>
      <c r="S19" s="39"/>
      <c r="T19" s="6"/>
      <c r="U19" s="413"/>
      <c r="V19" s="414"/>
      <c r="W19" s="19"/>
      <c r="X19" s="29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ht="21">
      <c r="A20" s="410" t="s">
        <v>0</v>
      </c>
      <c r="B20" s="7" t="s">
        <v>0</v>
      </c>
      <c r="C20" s="289"/>
      <c r="D20" s="35"/>
      <c r="E20" s="35"/>
      <c r="F20" s="36"/>
      <c r="G20" s="37"/>
      <c r="H20" s="35"/>
      <c r="I20" s="36"/>
      <c r="J20" s="20"/>
      <c r="K20" s="105"/>
      <c r="L20" s="72"/>
      <c r="M20" s="37"/>
      <c r="N20" s="36"/>
      <c r="O20" s="20"/>
      <c r="P20" s="105"/>
      <c r="Q20" s="72"/>
      <c r="R20" s="37"/>
      <c r="S20" s="72"/>
      <c r="T20" s="6"/>
      <c r="U20" s="411"/>
      <c r="V20" s="414"/>
      <c r="W20" s="19"/>
      <c r="X20" s="29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ht="15.75" customHeight="1">
      <c r="A21" s="410" t="s">
        <v>290</v>
      </c>
      <c r="B21" s="7" t="s">
        <v>0</v>
      </c>
      <c r="C21" s="26" t="s">
        <v>24</v>
      </c>
      <c r="D21" s="19" t="e">
        <f>+INDEX('[2]Budget original'!$A$2:$AO$501,MATCH($A21,'[2]Budget original'!$A$2:$A$501,0),MATCH(D$2,'[2]Budget original'!$A$2:$AO$2,0))</f>
        <v>#N/A</v>
      </c>
      <c r="E21" s="19" t="e">
        <f>IF(D21=0,0,F21/D21)</f>
        <v>#N/A</v>
      </c>
      <c r="F21" s="19" t="e">
        <f>+INDEX('[2]Budget original'!$A$2:$AO$501,MATCH($A21,'[2]Budget original'!$A$2:$A$501,0),MATCH(F$2,'[2]Budget original'!$A$2:$AO$2,0))</f>
        <v>#N/A</v>
      </c>
      <c r="G21" s="20"/>
      <c r="H21" s="19"/>
      <c r="I21" s="19"/>
      <c r="J21" s="20"/>
      <c r="K21" s="55">
        <f>IF(J13=0,0,L21/(J13+J15))</f>
        <v>0</v>
      </c>
      <c r="L21" s="39">
        <f>-SUMIFS([2]BV_Data_An_Cour!$AM:$AM,[2]BV_Data_An_Cour!$AP:$AP,$B21,[2]BV_Data_An_Cour!$AQ:$AQ,$C21,[2]BV_Data_An_Cour!$AR:$AR,L$2)</f>
        <v>0</v>
      </c>
      <c r="M21" s="20"/>
      <c r="N21" s="21" t="e">
        <f>L21-F21</f>
        <v>#N/A</v>
      </c>
      <c r="O21" s="20"/>
      <c r="P21" s="55">
        <f>IF(O13=0,0,Q21/(O13+O15))</f>
        <v>1.3224999999999909</v>
      </c>
      <c r="Q21" s="39">
        <f>-SUMIFS([2]BV_Data_An_Prec!$AM:$AM,[2]BV_Data_An_Prec!$AP:$AP,$B21,[2]BV_Data_An_Prec!$AQ:$AQ,$C21,[2]BV_Data_An_Prec!$AR:$AR,Q$2)</f>
        <v>105.79999999999927</v>
      </c>
      <c r="R21" s="40">
        <f>P21-K21</f>
        <v>1.3224999999999909</v>
      </c>
      <c r="S21" s="39">
        <f t="shared" ref="S21:S23" si="7">L21-Q21</f>
        <v>-105.79999999999927</v>
      </c>
      <c r="T21" s="6"/>
      <c r="U21" s="411"/>
      <c r="V21" s="414"/>
      <c r="W21" s="7"/>
      <c r="X21" s="29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ht="18" customHeight="1">
      <c r="A22" s="410" t="s">
        <v>291</v>
      </c>
      <c r="B22" s="7" t="s">
        <v>0</v>
      </c>
      <c r="C22" s="26" t="s">
        <v>25</v>
      </c>
      <c r="D22" s="19" t="e">
        <f>+INDEX('[2]Budget original'!$A$2:$AO$501,MATCH($A22,'[2]Budget original'!$A$2:$A$501,0),MATCH(D$2,'[2]Budget original'!$A$2:$AO$2,0))</f>
        <v>#N/A</v>
      </c>
      <c r="E22" s="19" t="e">
        <f>IF(D22=0,0,F22/D22)</f>
        <v>#N/A</v>
      </c>
      <c r="F22" s="19" t="e">
        <f>+INDEX('[2]Budget original'!$A$2:$AO$501,MATCH($A22,'[2]Budget original'!$A$2:$A$501,0),MATCH(F$2,'[2]Budget original'!$A$2:$AO$2,0))</f>
        <v>#N/A</v>
      </c>
      <c r="G22" s="20"/>
      <c r="H22" s="19"/>
      <c r="I22" s="19"/>
      <c r="J22" s="20"/>
      <c r="K22" s="55">
        <f>IF(J13=0,0,L22/(J13+J15))</f>
        <v>538.27320754717005</v>
      </c>
      <c r="L22" s="39">
        <f>-SUMIFS([2]BV_Data_An_Cour!$AM:$AM,[2]BV_Data_An_Cour!$AP:$AP,$B22,[2]BV_Data_An_Cour!$AQ:$AQ,$C22,[2]BV_Data_An_Cour!$AR:$AR,L$2)</f>
        <v>28528.48000000001</v>
      </c>
      <c r="M22" s="20"/>
      <c r="N22" s="21" t="e">
        <f>L22-F22</f>
        <v>#N/A</v>
      </c>
      <c r="O22" s="20"/>
      <c r="P22" s="55">
        <f>IF(O13=0,0,Q22/(O13+O15))</f>
        <v>752.63387500000044</v>
      </c>
      <c r="Q22" s="39">
        <f>-SUMIFS([2]BV_Data_An_Prec!$AM:$AM,[2]BV_Data_An_Prec!$AP:$AP,$B22,[2]BV_Data_An_Prec!$AQ:$AQ,$C22,[2]BV_Data_An_Prec!$AR:$AR,Q$2)</f>
        <v>60210.710000000036</v>
      </c>
      <c r="R22" s="40">
        <f t="shared" ref="R22:R23" si="8">P22-K22</f>
        <v>214.3606674528304</v>
      </c>
      <c r="S22" s="39">
        <f t="shared" si="7"/>
        <v>-31682.230000000025</v>
      </c>
      <c r="T22" s="6"/>
      <c r="U22" s="411"/>
      <c r="V22" s="412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ht="19.5" customHeight="1">
      <c r="A23" s="410" t="s">
        <v>292</v>
      </c>
      <c r="B23" s="7" t="s">
        <v>0</v>
      </c>
      <c r="C23" s="26" t="s">
        <v>26</v>
      </c>
      <c r="D23" s="19" t="e">
        <f>+INDEX('[2]Budget original'!$A$2:$AO$501,MATCH($A23,'[2]Budget original'!$A$2:$A$501,0),MATCH(D$2,'[2]Budget original'!$A$2:$AO$2,0))</f>
        <v>#N/A</v>
      </c>
      <c r="E23" s="19" t="e">
        <f>IF(D23=0,0,F23/D23)</f>
        <v>#N/A</v>
      </c>
      <c r="F23" s="19" t="e">
        <f>+INDEX('[2]Budget original'!$A$2:$AO$501,MATCH($A23,'[2]Budget original'!$A$2:$A$501,0),MATCH(F$2,'[2]Budget original'!$A$2:$AO$2,0))</f>
        <v>#N/A</v>
      </c>
      <c r="G23" s="20"/>
      <c r="H23" s="19"/>
      <c r="I23" s="19"/>
      <c r="J23" s="20"/>
      <c r="K23" s="55">
        <f>IF(J13=0,0,L23/(J13+J15))</f>
        <v>-21.713396226415103</v>
      </c>
      <c r="L23" s="39">
        <f>-SUMIFS([2]BV_Data_An_Cour!$AM:$AM,[2]BV_Data_An_Cour!$AP:$AP,$B23,[2]BV_Data_An_Cour!$AQ:$AQ,$C23,[2]BV_Data_An_Cour!$AR:$AR,L$2)</f>
        <v>-1150.8100000000004</v>
      </c>
      <c r="M23" s="34"/>
      <c r="N23" s="21" t="e">
        <f>L23-F23</f>
        <v>#N/A</v>
      </c>
      <c r="O23" s="20"/>
      <c r="P23" s="55">
        <f>IF(O13=0,0,Q23/(O13+O15))</f>
        <v>180.25050000000002</v>
      </c>
      <c r="Q23" s="39">
        <f>-SUMIFS([2]BV_Data_An_Prec!$AM:$AM,[2]BV_Data_An_Prec!$AP:$AP,$B23,[2]BV_Data_An_Prec!$AQ:$AQ,$C23,[2]BV_Data_An_Prec!$AR:$AR,Q$2)</f>
        <v>14420.04</v>
      </c>
      <c r="R23" s="40">
        <f t="shared" si="8"/>
        <v>201.96389622641513</v>
      </c>
      <c r="S23" s="39">
        <f t="shared" si="7"/>
        <v>-15570.850000000002</v>
      </c>
      <c r="T23" s="6"/>
      <c r="U23" s="411"/>
      <c r="V23" s="412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ht="18" customHeight="1">
      <c r="A24" s="410" t="s">
        <v>293</v>
      </c>
      <c r="B24" s="7" t="s">
        <v>0</v>
      </c>
      <c r="C24" s="289" t="s">
        <v>27</v>
      </c>
      <c r="D24" s="22" t="e">
        <f>+D15+D13</f>
        <v>#N/A</v>
      </c>
      <c r="E24" s="22" t="e">
        <f>IF(D24&lt;=0,0,F24/D24)</f>
        <v>#N/A</v>
      </c>
      <c r="F24" s="23" t="e">
        <f>F21+F22+F23</f>
        <v>#N/A</v>
      </c>
      <c r="G24" s="24"/>
      <c r="H24" s="22"/>
      <c r="I24" s="23"/>
      <c r="J24" s="24">
        <f>+J15+J13</f>
        <v>53</v>
      </c>
      <c r="K24" s="122">
        <f>IF(J24&lt;=0,0,L24/J24)</f>
        <v>516.55981132075487</v>
      </c>
      <c r="L24" s="123">
        <f>L21+L22+L23</f>
        <v>27377.670000000009</v>
      </c>
      <c r="M24" s="38" t="e">
        <f>J24-D24</f>
        <v>#N/A</v>
      </c>
      <c r="N24" s="23" t="e">
        <f>L24-F24</f>
        <v>#N/A</v>
      </c>
      <c r="O24" s="24">
        <f>+O15+O13</f>
        <v>80</v>
      </c>
      <c r="P24" s="122">
        <f>IF(O24&lt;=0,0,Q24/O24)</f>
        <v>934.20687500000054</v>
      </c>
      <c r="Q24" s="123">
        <f>Q21+Q22+Q23</f>
        <v>74736.550000000047</v>
      </c>
      <c r="R24" s="106">
        <f>P24-K24</f>
        <v>417.64706367924566</v>
      </c>
      <c r="S24" s="123">
        <f>L24-Q24</f>
        <v>-47358.880000000034</v>
      </c>
      <c r="T24" s="6"/>
      <c r="U24" s="411">
        <v>27378</v>
      </c>
      <c r="V24" s="412">
        <f>L24-U24</f>
        <v>-0.32999999999083229</v>
      </c>
      <c r="W24" s="7"/>
      <c r="X24" s="7"/>
      <c r="Y24" s="7"/>
      <c r="Z24" s="7"/>
      <c r="AA24" s="7"/>
      <c r="AB24" s="7"/>
      <c r="AC24" s="7"/>
      <c r="AD24" s="55"/>
      <c r="AE24" s="55"/>
      <c r="AF24" s="7"/>
      <c r="AG24" s="7"/>
      <c r="AH24" s="7"/>
      <c r="AI24" s="7"/>
      <c r="AJ24" s="7"/>
      <c r="AK24" s="7"/>
      <c r="AL24" s="7"/>
      <c r="AM24" s="7"/>
      <c r="AN24" s="7"/>
    </row>
    <row r="25" spans="1:40" ht="15.75" customHeight="1">
      <c r="A25" s="410" t="s">
        <v>0</v>
      </c>
      <c r="B25" s="7" t="s">
        <v>0</v>
      </c>
      <c r="C25" s="26"/>
      <c r="D25" s="7"/>
      <c r="E25" s="7"/>
      <c r="F25" s="39"/>
      <c r="G25" s="26"/>
      <c r="H25" s="7"/>
      <c r="I25" s="39"/>
      <c r="J25" s="26"/>
      <c r="K25" s="55"/>
      <c r="L25" s="39"/>
      <c r="M25" s="27"/>
      <c r="N25" s="28" t="e">
        <f>IF(N24=0,0,N24/F24)</f>
        <v>#N/A</v>
      </c>
      <c r="O25" s="26"/>
      <c r="P25" s="55"/>
      <c r="Q25" s="39"/>
      <c r="R25" s="40"/>
      <c r="S25" s="28">
        <f>IF(Q24=0,0,(S24/Q24))</f>
        <v>-0.63367763162736312</v>
      </c>
      <c r="T25" s="6"/>
      <c r="U25" s="411"/>
      <c r="V25" s="412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ht="15.75" customHeight="1" thickBot="1">
      <c r="A26" s="410" t="s">
        <v>0</v>
      </c>
      <c r="B26" s="7" t="s">
        <v>0</v>
      </c>
      <c r="C26" s="26"/>
      <c r="D26" s="7"/>
      <c r="E26" s="7"/>
      <c r="F26" s="25"/>
      <c r="G26" s="26"/>
      <c r="H26" s="7"/>
      <c r="I26" s="25"/>
      <c r="J26" s="26"/>
      <c r="K26" s="55"/>
      <c r="L26" s="39"/>
      <c r="M26" s="26"/>
      <c r="N26" s="25"/>
      <c r="O26" s="26"/>
      <c r="P26" s="55"/>
      <c r="Q26" s="39"/>
      <c r="R26" s="40"/>
      <c r="S26" s="39"/>
      <c r="T26" s="6"/>
      <c r="U26" s="411"/>
      <c r="V26" s="412"/>
      <c r="W26" s="7"/>
      <c r="X26" s="7"/>
      <c r="Y26" s="7"/>
      <c r="Z26" s="7"/>
      <c r="AA26" s="7"/>
      <c r="AB26" s="7"/>
      <c r="AC26" s="7"/>
      <c r="AD26" s="55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ht="18" customHeight="1" thickTop="1">
      <c r="A27" s="410" t="s">
        <v>294</v>
      </c>
      <c r="B27" s="7" t="s">
        <v>0</v>
      </c>
      <c r="C27" s="264" t="s">
        <v>28</v>
      </c>
      <c r="D27" s="41" t="e">
        <f>+D13+D15+D17</f>
        <v>#N/A</v>
      </c>
      <c r="E27" s="42" t="e">
        <f>IF(D27&lt;=0,0,F27/D27)</f>
        <v>#N/A</v>
      </c>
      <c r="F27" s="43" t="e">
        <f>F13+F17+F24+F19+F15</f>
        <v>#N/A</v>
      </c>
      <c r="G27" s="44"/>
      <c r="H27" s="42"/>
      <c r="I27" s="43"/>
      <c r="J27" s="44">
        <f>+J13+J15+J17</f>
        <v>87</v>
      </c>
      <c r="K27" s="41">
        <f>IF(J27&lt;=0,0,L27/J27)</f>
        <v>1672.2545977011416</v>
      </c>
      <c r="L27" s="43">
        <f>L13+L17+L24+L19+L15</f>
        <v>145486.14999999932</v>
      </c>
      <c r="M27" s="44" t="e">
        <f>J27-D27</f>
        <v>#N/A</v>
      </c>
      <c r="N27" s="43" t="e">
        <f>L27-F27</f>
        <v>#N/A</v>
      </c>
      <c r="O27" s="44">
        <f>+O13+O15+O17</f>
        <v>134</v>
      </c>
      <c r="P27" s="41">
        <f>IF(O27&lt;=0,0,Q27/O27)</f>
        <v>2285.4920149253098</v>
      </c>
      <c r="Q27" s="43">
        <f>Q13+Q17+Q24+Q19+Q15</f>
        <v>306255.92999999149</v>
      </c>
      <c r="R27" s="44">
        <f>J27-O27</f>
        <v>-47</v>
      </c>
      <c r="S27" s="43">
        <f>L27-Q27</f>
        <v>-160769.77999999217</v>
      </c>
      <c r="T27" s="6"/>
      <c r="U27" s="411">
        <f>SUM(U13:U26)</f>
        <v>144337</v>
      </c>
      <c r="V27" s="412">
        <f>L27-U27</f>
        <v>1149.1499999993248</v>
      </c>
      <c r="W27" s="7"/>
      <c r="X27" s="7"/>
      <c r="Y27" s="7"/>
      <c r="Z27" s="7"/>
      <c r="AA27" s="7"/>
      <c r="AB27" s="7"/>
      <c r="AC27" s="7"/>
      <c r="AD27" s="55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ht="22.5" customHeight="1" thickBot="1">
      <c r="A28" s="410" t="s">
        <v>0</v>
      </c>
      <c r="B28" s="7" t="s">
        <v>0</v>
      </c>
      <c r="C28" s="47"/>
      <c r="D28" s="45"/>
      <c r="E28" s="45"/>
      <c r="F28" s="46"/>
      <c r="G28" s="47"/>
      <c r="H28" s="45"/>
      <c r="I28" s="46"/>
      <c r="J28" s="47"/>
      <c r="K28" s="265"/>
      <c r="L28" s="266"/>
      <c r="M28" s="48"/>
      <c r="N28" s="49"/>
      <c r="O28" s="47"/>
      <c r="P28" s="265"/>
      <c r="Q28" s="266"/>
      <c r="R28" s="48">
        <f>R27/O27</f>
        <v>-0.35074626865671643</v>
      </c>
      <c r="S28" s="267">
        <f>IF(Q27=0,0,S27/Q27)</f>
        <v>-0.52495238214651596</v>
      </c>
      <c r="T28" s="6"/>
      <c r="U28" s="6"/>
      <c r="V28" s="415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ht="15.75" customHeight="1" thickTop="1">
      <c r="A29" s="410" t="s">
        <v>0</v>
      </c>
      <c r="B29" s="7" t="s">
        <v>0</v>
      </c>
      <c r="C29" s="52"/>
      <c r="D29" s="50"/>
      <c r="E29" s="50"/>
      <c r="F29" s="51"/>
      <c r="G29" s="52"/>
      <c r="H29" s="50"/>
      <c r="I29" s="51"/>
      <c r="J29" s="52"/>
      <c r="K29" s="74"/>
      <c r="L29" s="112"/>
      <c r="M29" s="27"/>
      <c r="N29" s="28"/>
      <c r="O29" s="52"/>
      <c r="P29" s="74"/>
      <c r="Q29" s="112"/>
      <c r="R29" s="27"/>
      <c r="S29" s="112"/>
      <c r="T29" s="6"/>
      <c r="U29" s="9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ht="15.75" customHeight="1">
      <c r="A30" s="410" t="s">
        <v>295</v>
      </c>
      <c r="B30" s="7" t="s">
        <v>0</v>
      </c>
      <c r="C30" s="268" t="s">
        <v>29</v>
      </c>
      <c r="D30" s="7"/>
      <c r="E30" s="53"/>
      <c r="F30" s="39"/>
      <c r="G30" s="26"/>
      <c r="H30" s="53"/>
      <c r="I30" s="39"/>
      <c r="J30" s="26"/>
      <c r="K30" s="269"/>
      <c r="L30" s="39"/>
      <c r="M30" s="26"/>
      <c r="N30" s="25"/>
      <c r="O30" s="26"/>
      <c r="P30" s="269"/>
      <c r="Q30" s="39"/>
      <c r="R30" s="26"/>
      <c r="S30" s="39"/>
      <c r="T30" s="6"/>
      <c r="U30" s="6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ht="20.399999999999999">
      <c r="A31" s="410" t="s">
        <v>296</v>
      </c>
      <c r="B31" s="7" t="s">
        <v>0</v>
      </c>
      <c r="C31" s="26" t="s">
        <v>30</v>
      </c>
      <c r="D31" s="295" t="e">
        <f>F31/(F13+F15)</f>
        <v>#N/A</v>
      </c>
      <c r="E31" s="55" t="e">
        <f t="shared" ref="E31:E40" si="9">F31/D$24</f>
        <v>#N/A</v>
      </c>
      <c r="F31" s="19" t="e">
        <f>+INDEX('[2]Budget original'!$A$2:$AO$501,MATCH($A31,'[2]Budget original'!$A$2:$A$501,0),MATCH(F$2,'[2]Budget original'!$A$2:$AO$2,0))</f>
        <v>#N/A</v>
      </c>
      <c r="G31" s="99"/>
      <c r="H31" s="55"/>
      <c r="I31" s="19"/>
      <c r="J31" s="99">
        <f>L31/(L15+L13+L17)</f>
        <v>0.36190415794022751</v>
      </c>
      <c r="K31" s="55">
        <f>IF(L31=0,0,L31/J$24)</f>
        <v>806.4896226415085</v>
      </c>
      <c r="L31" s="39">
        <f>SUMIFS([2]BV_Data_An_Cour!$AM:$AM,[2]BV_Data_An_Cour!$AP:$AP,$B31,[2]BV_Data_An_Cour!$AQ:$AQ,$C31,[2]BV_Data_An_Cour!$AR:$AR,L$2)</f>
        <v>42743.949999999953</v>
      </c>
      <c r="M31" s="26"/>
      <c r="N31" s="39" t="e">
        <f t="shared" ref="N31:N53" si="10">L31-F31</f>
        <v>#N/A</v>
      </c>
      <c r="O31" s="99">
        <f>Q31/(Q15+Q13+Q17)</f>
        <v>0.22591201652320397</v>
      </c>
      <c r="P31" s="55">
        <f>IF(Q31=0,0,Q31/O$24)</f>
        <v>653.78762500000016</v>
      </c>
      <c r="Q31" s="39">
        <f>SUMIFS([2]BV_Data_An_Prec!$AM:$AM,[2]BV_Data_An_Prec!$AP:$AP,$B31,[2]BV_Data_An_Prec!$AQ:$AQ,$C31,[2]BV_Data_An_Prec!$AR:$AR,Q$2)</f>
        <v>52303.010000000009</v>
      </c>
      <c r="R31" s="26"/>
      <c r="S31" s="39">
        <f>L31-Q31</f>
        <v>-9559.0600000000559</v>
      </c>
      <c r="T31" s="6"/>
      <c r="U31" s="6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ht="15.75" customHeight="1">
      <c r="A32" s="410" t="s">
        <v>297</v>
      </c>
      <c r="B32" s="7" t="s">
        <v>0</v>
      </c>
      <c r="C32" s="14" t="s">
        <v>31</v>
      </c>
      <c r="D32" s="296" t="e">
        <f>F32/F24</f>
        <v>#N/A</v>
      </c>
      <c r="E32" s="58" t="e">
        <f t="shared" si="9"/>
        <v>#N/A</v>
      </c>
      <c r="F32" s="31" t="e">
        <f>+INDEX('[2]Budget original'!$A$2:$AO$501,MATCH($A32,'[2]Budget original'!$A$2:$A$501,0),MATCH(F$2,'[2]Budget original'!$A$2:$AO$2,0))</f>
        <v>#N/A</v>
      </c>
      <c r="G32" s="104"/>
      <c r="H32" s="58"/>
      <c r="I32" s="31"/>
      <c r="J32" s="104">
        <f>L32/L24</f>
        <v>0.33094817783982322</v>
      </c>
      <c r="K32" s="58">
        <f t="shared" ref="K32:K40" si="11">IF(L32=0,0,L32/J$24)</f>
        <v>170.95452830188674</v>
      </c>
      <c r="L32" s="39">
        <f>SUMIFS([2]BV_Data_An_Cour!$AM:$AM,[2]BV_Data_An_Cour!$AP:$AP,$B32,[2]BV_Data_An_Cour!$AQ:$AQ,$C32,[2]BV_Data_An_Cour!$AR:$AR,L$2)</f>
        <v>9060.5899999999965</v>
      </c>
      <c r="M32" s="14"/>
      <c r="N32" s="61" t="e">
        <f t="shared" si="10"/>
        <v>#N/A</v>
      </c>
      <c r="O32" s="104">
        <f>Q32/Q24</f>
        <v>0.24125357673052852</v>
      </c>
      <c r="P32" s="58">
        <f t="shared" ref="P32:P40" si="12">IF(Q32=0,0,Q32/O$24)</f>
        <v>225.38074999999989</v>
      </c>
      <c r="Q32" s="61">
        <f>SUMIFS([2]BV_Data_An_Prec!$AM:$AM,[2]BV_Data_An_Prec!$AP:$AP,$B32,[2]BV_Data_An_Prec!$AQ:$AQ,$C32,[2]BV_Data_An_Prec!$AR:$AR,Q$2)</f>
        <v>18030.459999999992</v>
      </c>
      <c r="R32" s="14"/>
      <c r="S32" s="61">
        <f t="shared" ref="S32:S53" si="13">L32-Q32</f>
        <v>-8969.8699999999953</v>
      </c>
      <c r="T32" s="6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ht="15.75" customHeight="1">
      <c r="A33" s="410" t="s">
        <v>298</v>
      </c>
      <c r="B33" s="7" t="s">
        <v>0</v>
      </c>
      <c r="C33" s="26" t="s">
        <v>32</v>
      </c>
      <c r="D33" s="54"/>
      <c r="E33" s="55" t="e">
        <f t="shared" si="9"/>
        <v>#N/A</v>
      </c>
      <c r="F33" s="19" t="e">
        <f>+INDEX('[2]Budget original'!$A$2:$AO$501,MATCH($A33,'[2]Budget original'!$A$2:$A$501,0),MATCH(F$2,'[2]Budget original'!$A$2:$AO$2,0))</f>
        <v>#N/A</v>
      </c>
      <c r="G33" s="56"/>
      <c r="H33" s="55"/>
      <c r="I33" s="19"/>
      <c r="J33" s="26"/>
      <c r="K33" s="55">
        <f t="shared" si="11"/>
        <v>-63.6369811320751</v>
      </c>
      <c r="L33" s="297">
        <f>SUMIFS([2]BV_Data_An_Cour!$AM:$AM,[2]BV_Data_An_Cour!$AP:$AP,$B33,[2]BV_Data_An_Cour!$AQ:$AQ,$C33,[2]BV_Data_An_Cour!$AR:$AR,L$2)</f>
        <v>-3372.7599999999802</v>
      </c>
      <c r="M33" s="26"/>
      <c r="N33" s="39" t="e">
        <f t="shared" si="10"/>
        <v>#N/A</v>
      </c>
      <c r="O33" s="26"/>
      <c r="P33" s="55">
        <f t="shared" si="12"/>
        <v>-114.10925000000002</v>
      </c>
      <c r="Q33" s="39">
        <f>SUMIFS([2]BV_Data_An_Prec!$AM:$AM,[2]BV_Data_An_Prec!$AP:$AP,$B33,[2]BV_Data_An_Prec!$AQ:$AQ,$C33,[2]BV_Data_An_Prec!$AR:$AR,Q$2)</f>
        <v>-9128.7400000000016</v>
      </c>
      <c r="R33" s="26"/>
      <c r="S33" s="39">
        <f t="shared" si="13"/>
        <v>5755.9800000000214</v>
      </c>
      <c r="T33" s="6">
        <f>-3973+600</f>
        <v>-3373</v>
      </c>
      <c r="U33" s="384" t="s">
        <v>512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ht="15.75" customHeight="1">
      <c r="A34" s="410" t="s">
        <v>299</v>
      </c>
      <c r="B34" s="7" t="s">
        <v>0</v>
      </c>
      <c r="C34" s="26" t="s">
        <v>33</v>
      </c>
      <c r="D34" s="54"/>
      <c r="E34" s="55" t="e">
        <f t="shared" si="9"/>
        <v>#N/A</v>
      </c>
      <c r="F34" s="19" t="e">
        <f>+INDEX('[2]Budget original'!$A$2:$AO$501,MATCH($A34,'[2]Budget original'!$A$2:$A$501,0),MATCH(F$2,'[2]Budget original'!$A$2:$AO$2,0))</f>
        <v>#N/A</v>
      </c>
      <c r="G34" s="56"/>
      <c r="H34" s="55"/>
      <c r="I34" s="19"/>
      <c r="J34" s="26"/>
      <c r="K34" s="55">
        <f t="shared" si="11"/>
        <v>0</v>
      </c>
      <c r="L34" s="39">
        <f>SUMIFS([2]BV_Data_An_Cour!$AM:$AM,[2]BV_Data_An_Cour!$AP:$AP,$B34,[2]BV_Data_An_Cour!$AQ:$AQ,$C34,[2]BV_Data_An_Cour!$AR:$AR,L$2)</f>
        <v>0</v>
      </c>
      <c r="M34" s="26"/>
      <c r="N34" s="39" t="e">
        <f t="shared" si="10"/>
        <v>#N/A</v>
      </c>
      <c r="O34" s="26"/>
      <c r="P34" s="55">
        <f t="shared" si="12"/>
        <v>7.7193749999999968</v>
      </c>
      <c r="Q34" s="39">
        <f>SUMIFS([2]BV_Data_An_Prec!$AM:$AM,[2]BV_Data_An_Prec!$AP:$AP,$B34,[2]BV_Data_An_Prec!$AQ:$AQ,$C34,[2]BV_Data_An_Prec!$AR:$AR,Q$2)</f>
        <v>617.54999999999973</v>
      </c>
      <c r="R34" s="26"/>
      <c r="S34" s="39">
        <f t="shared" si="13"/>
        <v>-617.54999999999973</v>
      </c>
      <c r="T34" s="6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ht="15.75" customHeight="1">
      <c r="A35" s="410" t="s">
        <v>300</v>
      </c>
      <c r="B35" s="7" t="s">
        <v>0</v>
      </c>
      <c r="C35" s="14" t="s">
        <v>34</v>
      </c>
      <c r="D35" s="57"/>
      <c r="E35" s="58" t="e">
        <f t="shared" si="9"/>
        <v>#N/A</v>
      </c>
      <c r="F35" s="31" t="e">
        <f>+INDEX('[2]Budget original'!$A$2:$AO$501,MATCH($A35,'[2]Budget original'!$A$2:$A$501,0),MATCH(F$2,'[2]Budget original'!$A$2:$AO$2,0))</f>
        <v>#N/A</v>
      </c>
      <c r="G35" s="59"/>
      <c r="H35" s="58"/>
      <c r="I35" s="31"/>
      <c r="J35" s="14"/>
      <c r="K35" s="58">
        <f t="shared" si="11"/>
        <v>54.977924528301884</v>
      </c>
      <c r="L35" s="39">
        <f>SUMIFS([2]BV_Data_An_Cour!$AM:$AM,[2]BV_Data_An_Cour!$AP:$AP,$B35,[2]BV_Data_An_Cour!$AQ:$AQ,$C35,[2]BV_Data_An_Cour!$AR:$AR,L$2)</f>
        <v>2913.83</v>
      </c>
      <c r="M35" s="14"/>
      <c r="N35" s="61" t="e">
        <f t="shared" si="10"/>
        <v>#N/A</v>
      </c>
      <c r="O35" s="14"/>
      <c r="P35" s="58">
        <f t="shared" si="12"/>
        <v>0</v>
      </c>
      <c r="Q35" s="61">
        <f>SUMIFS([2]BV_Data_An_Prec!$AM:$AM,[2]BV_Data_An_Prec!$AP:$AP,$B35,[2]BV_Data_An_Prec!$AQ:$AQ,$C35,[2]BV_Data_An_Prec!$AR:$AR,Q$2)</f>
        <v>0</v>
      </c>
      <c r="R35" s="14"/>
      <c r="S35" s="61">
        <f t="shared" si="13"/>
        <v>2913.83</v>
      </c>
      <c r="T35" s="6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ht="15.75" customHeight="1">
      <c r="A36" s="410" t="s">
        <v>301</v>
      </c>
      <c r="B36" s="7" t="s">
        <v>0</v>
      </c>
      <c r="C36" s="26" t="s">
        <v>35</v>
      </c>
      <c r="D36" s="54"/>
      <c r="E36" s="55" t="e">
        <f t="shared" si="9"/>
        <v>#N/A</v>
      </c>
      <c r="F36" s="19" t="e">
        <f>+INDEX('[2]Budget original'!$A$2:$AO$501,MATCH($A36,'[2]Budget original'!$A$2:$A$501,0),MATCH(F$2,'[2]Budget original'!$A$2:$AO$2,0))</f>
        <v>#N/A</v>
      </c>
      <c r="G36" s="56"/>
      <c r="H36" s="55"/>
      <c r="I36" s="19"/>
      <c r="J36" s="26"/>
      <c r="K36" s="55">
        <f t="shared" si="11"/>
        <v>241.13075471698116</v>
      </c>
      <c r="L36" s="297">
        <f>SUMIFS([2]BV_Data_An_Cour!$AM:$AM,[2]BV_Data_An_Cour!$AP:$AP,$B36,[2]BV_Data_An_Cour!$AQ:$AQ,$C36,[2]BV_Data_An_Cour!$AR:$AR,L$2)</f>
        <v>12779.930000000002</v>
      </c>
      <c r="M36" s="26"/>
      <c r="N36" s="39" t="e">
        <f t="shared" si="10"/>
        <v>#N/A</v>
      </c>
      <c r="O36" s="26"/>
      <c r="P36" s="55">
        <f t="shared" si="12"/>
        <v>184.15987500000006</v>
      </c>
      <c r="Q36" s="39">
        <f>SUMIFS([2]BV_Data_An_Prec!$AM:$AM,[2]BV_Data_An_Prec!$AP:$AP,$B36,[2]BV_Data_An_Prec!$AQ:$AQ,$C36,[2]BV_Data_An_Prec!$AR:$AR,Q$2)</f>
        <v>14732.790000000005</v>
      </c>
      <c r="R36" s="26"/>
      <c r="S36" s="39">
        <f t="shared" si="13"/>
        <v>-1952.8600000000024</v>
      </c>
      <c r="T36" s="6"/>
      <c r="U36" s="391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1:40" ht="15.75" customHeight="1">
      <c r="A37" s="410" t="s">
        <v>302</v>
      </c>
      <c r="B37" s="7" t="s">
        <v>0</v>
      </c>
      <c r="C37" s="26" t="s">
        <v>36</v>
      </c>
      <c r="D37" s="54"/>
      <c r="E37" s="55" t="e">
        <f t="shared" si="9"/>
        <v>#N/A</v>
      </c>
      <c r="F37" s="19" t="e">
        <f>+INDEX('[2]Budget original'!$A$2:$AO$501,MATCH($A37,'[2]Budget original'!$A$2:$A$501,0),MATCH(F$2,'[2]Budget original'!$A$2:$AO$2,0))</f>
        <v>#N/A</v>
      </c>
      <c r="G37" s="56"/>
      <c r="H37" s="55"/>
      <c r="I37" s="19"/>
      <c r="J37" s="26"/>
      <c r="K37" s="55">
        <f t="shared" si="11"/>
        <v>500.46660377358563</v>
      </c>
      <c r="L37" s="39">
        <f>SUMIFS([2]BV_Data_An_Cour!$AM:$AM,[2]BV_Data_An_Cour!$AP:$AP,$B37,[2]BV_Data_An_Cour!$AQ:$AQ,$C37,[2]BV_Data_An_Cour!$AR:$AR,L$2)</f>
        <v>26524.73000000004</v>
      </c>
      <c r="M37" s="26"/>
      <c r="N37" s="39" t="e">
        <f t="shared" si="10"/>
        <v>#N/A</v>
      </c>
      <c r="O37" s="26"/>
      <c r="P37" s="55">
        <f t="shared" si="12"/>
        <v>944.36874999999998</v>
      </c>
      <c r="Q37" s="39">
        <f>SUMIFS([2]BV_Data_An_Prec!$AM:$AM,[2]BV_Data_An_Prec!$AP:$AP,$B37,[2]BV_Data_An_Prec!$AQ:$AQ,$C37,[2]BV_Data_An_Prec!$AR:$AR,Q$2)</f>
        <v>75549.5</v>
      </c>
      <c r="R37" s="26"/>
      <c r="S37" s="39">
        <f t="shared" si="13"/>
        <v>-49024.76999999996</v>
      </c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ht="15.75" customHeight="1">
      <c r="A38" s="410" t="s">
        <v>285</v>
      </c>
      <c r="B38" s="7" t="s">
        <v>0</v>
      </c>
      <c r="C38" s="26" t="s">
        <v>303</v>
      </c>
      <c r="D38" s="54"/>
      <c r="E38" s="55" t="e">
        <f t="shared" si="9"/>
        <v>#N/A</v>
      </c>
      <c r="F38" s="19" t="e">
        <f>+INDEX('[2]Budget original'!$A$2:$AO$501,MATCH($A38,'[2]Budget original'!$A$2:$A$501,0),MATCH(F$2,'[2]Budget original'!$A$2:$AO$2,0))</f>
        <v>#N/A</v>
      </c>
      <c r="G38" s="56"/>
      <c r="H38" s="55"/>
      <c r="I38" s="19"/>
      <c r="J38" s="26"/>
      <c r="K38" s="55">
        <f t="shared" si="11"/>
        <v>-1248.8064150943394</v>
      </c>
      <c r="L38" s="39">
        <f>SUMIFS([2]BV_Data_An_Cour!$AM:$AM,[2]BV_Data_An_Cour!$AP:$AP,$B38,[2]BV_Data_An_Cour!$AQ:$AQ,$C38,[2]BV_Data_An_Cour!$AR:$AR,L$2)</f>
        <v>-66186.739999999991</v>
      </c>
      <c r="M38" s="7"/>
      <c r="N38" s="39" t="e">
        <f t="shared" si="10"/>
        <v>#N/A</v>
      </c>
      <c r="O38" s="26"/>
      <c r="P38" s="55">
        <f t="shared" si="12"/>
        <v>-1344.5761249999982</v>
      </c>
      <c r="Q38" s="39">
        <f>SUMIFS([2]BV_Data_An_Prec!$AM:$AM,[2]BV_Data_An_Prec!$AP:$AP,$B38,[2]BV_Data_An_Prec!$AQ:$AQ,$C38,[2]BV_Data_An_Prec!$AR:$AR,Q$2)</f>
        <v>-107566.08999999985</v>
      </c>
      <c r="R38" s="26"/>
      <c r="S38" s="39">
        <f t="shared" si="13"/>
        <v>41379.34999999986</v>
      </c>
      <c r="T38" s="6">
        <v>64032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15.75" customHeight="1">
      <c r="A39" s="410" t="s">
        <v>285</v>
      </c>
      <c r="B39" s="7" t="s">
        <v>0</v>
      </c>
      <c r="C39" s="26" t="s">
        <v>304</v>
      </c>
      <c r="D39" s="54"/>
      <c r="E39" s="55" t="e">
        <f t="shared" si="9"/>
        <v>#N/A</v>
      </c>
      <c r="F39" s="19" t="e">
        <f>+INDEX('[2]Budget original'!$A$2:$AO$501,MATCH($A39,'[2]Budget original'!$A$2:$A$501,0),MATCH(F$2,'[2]Budget original'!$A$2:$AO$2,0))</f>
        <v>#N/A</v>
      </c>
      <c r="G39" s="56"/>
      <c r="H39" s="55"/>
      <c r="I39" s="19"/>
      <c r="J39" s="26"/>
      <c r="K39" s="55">
        <f t="shared" si="11"/>
        <v>-194.33566037735864</v>
      </c>
      <c r="L39" s="39">
        <f>SUMIFS([2]BV_Data_An_Cour!$AM:$AM,[2]BV_Data_An_Cour!$AP:$AP,$B39,[2]BV_Data_An_Cour!$AQ:$AQ,$C39,[2]BV_Data_An_Cour!$AR:$AR,L$2)</f>
        <v>-10299.790000000008</v>
      </c>
      <c r="M39" s="7"/>
      <c r="N39" s="39" t="e">
        <f t="shared" si="10"/>
        <v>#N/A</v>
      </c>
      <c r="O39" s="26"/>
      <c r="P39" s="55">
        <f t="shared" si="12"/>
        <v>0</v>
      </c>
      <c r="Q39" s="39">
        <f>SUMIFS([2]BV_Data_An_Prec!$AM:$AM,[2]BV_Data_An_Prec!$AP:$AP,$B39,[2]BV_Data_An_Prec!$AQ:$AQ,$C39,[2]BV_Data_An_Prec!$AR:$AR,Q$2)</f>
        <v>0</v>
      </c>
      <c r="R39" s="26"/>
      <c r="S39" s="39">
        <f t="shared" si="13"/>
        <v>-10299.790000000008</v>
      </c>
      <c r="T39" s="6">
        <v>-10300</v>
      </c>
      <c r="U39" s="416">
        <f>L39+L121+L194</f>
        <v>-13851.270000000006</v>
      </c>
      <c r="V39" s="6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0.399999999999999" hidden="1" customHeight="1">
      <c r="A40" s="410" t="s">
        <v>285</v>
      </c>
      <c r="B40" s="7" t="s">
        <v>0</v>
      </c>
      <c r="C40" s="26" t="s">
        <v>19</v>
      </c>
      <c r="D40" s="54"/>
      <c r="E40" s="55" t="e">
        <f t="shared" si="9"/>
        <v>#N/A</v>
      </c>
      <c r="F40" s="19" t="e">
        <f>+INDEX('[2]Budget original'!$A$2:$AO$501,MATCH($A40,'[2]Budget original'!$A$2:$A$501,0),MATCH(F$2,'[2]Budget original'!$A$2:$AO$2,0))</f>
        <v>#N/A</v>
      </c>
      <c r="G40" s="56"/>
      <c r="H40" s="55"/>
      <c r="I40" s="19"/>
      <c r="J40" s="26"/>
      <c r="K40" s="55">
        <f t="shared" si="11"/>
        <v>0</v>
      </c>
      <c r="L40" s="299">
        <f>SUMIFS([2]BV_Data_An_Cour!$AM:$AM,[2]BV_Data_An_Cour!$AP:$AP,$B40,[2]BV_Data_An_Cour!$AQ:$AQ,$C40,[2]BV_Data_An_Cour!$AR:$AR,L$2)</f>
        <v>0</v>
      </c>
      <c r="M40" s="7"/>
      <c r="N40" s="39" t="e">
        <f t="shared" si="10"/>
        <v>#N/A</v>
      </c>
      <c r="O40" s="26"/>
      <c r="P40" s="55">
        <f t="shared" si="12"/>
        <v>0</v>
      </c>
      <c r="Q40" s="299">
        <f>SUMIFS([2]BV_Data_An_Prec!$AM:$AM,[2]BV_Data_An_Prec!$AP:$AP,$B40,[2]BV_Data_An_Prec!$AQ:$AQ,$C40,[2]BV_Data_An_Prec!$AR:$AR,Q$2)</f>
        <v>0</v>
      </c>
      <c r="R40" s="26"/>
      <c r="S40" s="39">
        <f t="shared" si="13"/>
        <v>0</v>
      </c>
      <c r="T40" s="6"/>
      <c r="U40" s="6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18.600000000000001" customHeight="1">
      <c r="A41" s="410" t="s">
        <v>305</v>
      </c>
      <c r="B41" s="7" t="s">
        <v>0</v>
      </c>
      <c r="C41" s="139" t="s">
        <v>37</v>
      </c>
      <c r="D41" s="62" t="s">
        <v>38</v>
      </c>
      <c r="E41" s="63" t="e">
        <f>F41/F$27</f>
        <v>#N/A</v>
      </c>
      <c r="F41" s="64" t="e">
        <f>SUM(F31:F40)</f>
        <v>#N/A</v>
      </c>
      <c r="G41" s="65"/>
      <c r="H41" s="63"/>
      <c r="I41" s="64"/>
      <c r="J41" s="65" t="s">
        <v>38</v>
      </c>
      <c r="K41" s="63">
        <f>L41/L$27</f>
        <v>9.7354559179688827E-2</v>
      </c>
      <c r="L41" s="64">
        <f>SUM(L31:L40)</f>
        <v>14163.74000000002</v>
      </c>
      <c r="M41" s="66"/>
      <c r="N41" s="64" t="e">
        <f t="shared" si="10"/>
        <v>#N/A</v>
      </c>
      <c r="O41" s="65" t="s">
        <v>38</v>
      </c>
      <c r="P41" s="63">
        <f>Q41/Q$27</f>
        <v>0.14542895544912843</v>
      </c>
      <c r="Q41" s="64">
        <f>SUM(Q31:Q40)</f>
        <v>44538.480000000156</v>
      </c>
      <c r="R41" s="67"/>
      <c r="S41" s="64">
        <f t="shared" si="13"/>
        <v>-30374.740000000136</v>
      </c>
      <c r="T41" s="6"/>
      <c r="U41" s="6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15.75" customHeight="1">
      <c r="A42" s="410" t="s">
        <v>306</v>
      </c>
      <c r="B42" s="7" t="s">
        <v>0</v>
      </c>
      <c r="C42" s="271" t="s">
        <v>40</v>
      </c>
      <c r="D42" s="7"/>
      <c r="E42" s="7"/>
      <c r="F42" s="19" t="e">
        <f>+INDEX('[2]Budget original'!$A$2:$AO$501,MATCH($A42,'[2]Budget original'!$A$2:$A$501,0),MATCH(F$2,'[2]Budget original'!$A$2:$AO$2,0))</f>
        <v>#N/A</v>
      </c>
      <c r="G42" s="26"/>
      <c r="H42" s="7"/>
      <c r="I42" s="19"/>
      <c r="J42" s="26"/>
      <c r="K42" s="7"/>
      <c r="L42" s="55">
        <f>SUMIFS([2]BV_Data_An_Cour!$AM:$AM,[2]BV_Data_An_Cour!$AP:$AP,$B42,[2]BV_Data_An_Cour!$AQ:$AQ,$C42,[2]BV_Data_An_Cour!$AR:$AR,L$2)</f>
        <v>6326.8799999999901</v>
      </c>
      <c r="M42" s="26"/>
      <c r="N42" s="39" t="e">
        <f t="shared" si="10"/>
        <v>#N/A</v>
      </c>
      <c r="O42" s="26"/>
      <c r="P42" s="7"/>
      <c r="Q42" s="55">
        <f>SUMIFS([2]BV_Data_An_Prec!$AM:$AM,[2]BV_Data_An_Prec!$AP:$AP,$B42,[2]BV_Data_An_Prec!$AQ:$AQ,$C42,[2]BV_Data_An_Prec!$AR:$AR,Q$2)</f>
        <v>12759.149999999994</v>
      </c>
      <c r="R42" s="26"/>
      <c r="S42" s="39">
        <f t="shared" si="13"/>
        <v>-6432.2700000000041</v>
      </c>
      <c r="T42" s="6"/>
      <c r="U42" s="6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15.75" customHeight="1">
      <c r="A43" s="410" t="s">
        <v>307</v>
      </c>
      <c r="B43" s="7" t="s">
        <v>0</v>
      </c>
      <c r="C43" s="272" t="s">
        <v>41</v>
      </c>
      <c r="D43" s="54"/>
      <c r="E43" s="7"/>
      <c r="F43" s="31" t="e">
        <f>+INDEX('[2]Budget original'!$A$2:$AO$501,MATCH($A43,'[2]Budget original'!$A$2:$A$501,0),MATCH(F$2,'[2]Budget original'!$A$2:$AO$2,0))</f>
        <v>#N/A</v>
      </c>
      <c r="G43" s="56"/>
      <c r="H43" s="7"/>
      <c r="I43" s="31"/>
      <c r="J43" s="26"/>
      <c r="K43" s="7"/>
      <c r="L43" s="61">
        <f>SUMIFS([2]BV_Data_An_Cour!$AM:$AM,[2]BV_Data_An_Cour!$AP:$AP,$B43,[2]BV_Data_An_Cour!$AQ:$AQ,$C43,[2]BV_Data_An_Cour!$AR:$AR,L$2)</f>
        <v>8576.1900000000023</v>
      </c>
      <c r="M43" s="26"/>
      <c r="N43" s="39" t="e">
        <f t="shared" si="10"/>
        <v>#N/A</v>
      </c>
      <c r="O43" s="26"/>
      <c r="P43" s="7"/>
      <c r="Q43" s="61">
        <f>SUMIFS([2]BV_Data_An_Prec!$AM:$AM,[2]BV_Data_An_Prec!$AP:$AP,$B43,[2]BV_Data_An_Prec!$AQ:$AQ,$C43,[2]BV_Data_An_Prec!$AR:$AR,Q$2)</f>
        <v>27510.700000000012</v>
      </c>
      <c r="R43" s="26"/>
      <c r="S43" s="39">
        <f t="shared" si="13"/>
        <v>-18934.510000000009</v>
      </c>
      <c r="T43" s="6"/>
      <c r="U43" s="6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15.75" customHeight="1">
      <c r="A44" s="410" t="s">
        <v>308</v>
      </c>
      <c r="B44" s="7" t="s">
        <v>0</v>
      </c>
      <c r="C44" s="271" t="s">
        <v>42</v>
      </c>
      <c r="D44" s="68"/>
      <c r="E44" s="69"/>
      <c r="F44" s="19" t="e">
        <f>+INDEX('[2]Budget original'!$A$2:$AO$501,MATCH($A44,'[2]Budget original'!$A$2:$A$501,0),MATCH(F$2,'[2]Budget original'!$A$2:$AO$2,0))</f>
        <v>#N/A</v>
      </c>
      <c r="G44" s="70"/>
      <c r="H44" s="69"/>
      <c r="I44" s="19"/>
      <c r="J44" s="71"/>
      <c r="K44" s="69"/>
      <c r="L44" s="55">
        <f>SUMIFS([2]BV_Data_An_Cour!$AM:$AM,[2]BV_Data_An_Cour!$AP:$AP,$B44,[2]BV_Data_An_Cour!$AQ:$AQ,$C44,[2]BV_Data_An_Cour!$AR:$AR,L$2)</f>
        <v>5167.5800000000017</v>
      </c>
      <c r="M44" s="71"/>
      <c r="N44" s="72" t="e">
        <f t="shared" si="10"/>
        <v>#N/A</v>
      </c>
      <c r="O44" s="71"/>
      <c r="P44" s="69"/>
      <c r="Q44" s="55">
        <f>SUMIFS([2]BV_Data_An_Prec!$AM:$AM,[2]BV_Data_An_Prec!$AP:$AP,$B44,[2]BV_Data_An_Prec!$AQ:$AQ,$C44,[2]BV_Data_An_Prec!$AR:$AR,Q$2)</f>
        <v>5112.2000000000007</v>
      </c>
      <c r="R44" s="71"/>
      <c r="S44" s="72">
        <f t="shared" si="13"/>
        <v>55.380000000001019</v>
      </c>
      <c r="T44" s="6"/>
      <c r="U44" s="6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0.399999999999999" hidden="1" customHeight="1">
      <c r="A45" s="410" t="s">
        <v>309</v>
      </c>
      <c r="B45" s="7" t="s">
        <v>0</v>
      </c>
      <c r="C45" s="271" t="s">
        <v>43</v>
      </c>
      <c r="D45" s="54"/>
      <c r="E45" s="7"/>
      <c r="F45" s="19" t="e">
        <f>+INDEX('[2]Budget original'!$A$2:$AO$501,MATCH($A45,'[2]Budget original'!$A$2:$A$501,0),MATCH(F$2,'[2]Budget original'!$A$2:$AO$2,0))</f>
        <v>#N/A</v>
      </c>
      <c r="G45" s="56"/>
      <c r="H45" s="7"/>
      <c r="I45" s="19"/>
      <c r="J45" s="26"/>
      <c r="K45" s="7"/>
      <c r="L45" s="55">
        <f>SUMIFS([2]BV_Data_An_Cour!$AM:$AM,[2]BV_Data_An_Cour!$AP:$AP,$B45,[2]BV_Data_An_Cour!$AQ:$AQ,$C45,[2]BV_Data_An_Cour!$AR:$AR,L$2)</f>
        <v>0</v>
      </c>
      <c r="M45" s="26"/>
      <c r="N45" s="39" t="e">
        <f t="shared" si="10"/>
        <v>#N/A</v>
      </c>
      <c r="O45" s="26"/>
      <c r="P45" s="7"/>
      <c r="Q45" s="55">
        <f>SUMIFS([2]BV_Data_An_Prec!$AM:$AM,[2]BV_Data_An_Prec!$AP:$AP,$B45,[2]BV_Data_An_Prec!$AQ:$AQ,$C45,[2]BV_Data_An_Prec!$AR:$AR,Q$2)</f>
        <v>0</v>
      </c>
      <c r="R45" s="26"/>
      <c r="S45" s="39">
        <f t="shared" si="13"/>
        <v>0</v>
      </c>
      <c r="T45" s="6"/>
      <c r="U45" s="6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0.399999999999999" hidden="1" customHeight="1">
      <c r="A46" s="410" t="s">
        <v>285</v>
      </c>
      <c r="B46" s="7" t="s">
        <v>0</v>
      </c>
      <c r="C46" s="271" t="s">
        <v>19</v>
      </c>
      <c r="D46" s="54"/>
      <c r="E46" s="7"/>
      <c r="F46" s="19" t="e">
        <f>+INDEX('[2]Budget original'!$A$2:$AO$501,MATCH($A46,'[2]Budget original'!$A$2:$A$501,0),MATCH(F$2,'[2]Budget original'!$A$2:$AO$2,0))</f>
        <v>#N/A</v>
      </c>
      <c r="G46" s="56"/>
      <c r="H46" s="7"/>
      <c r="I46" s="19"/>
      <c r="J46" s="26"/>
      <c r="K46" s="7"/>
      <c r="L46" s="55">
        <f>SUMIFS([2]BV_Data_An_Cour!$AM:$AM,[2]BV_Data_An_Cour!$AP:$AP,$B46,[2]BV_Data_An_Cour!$AQ:$AQ,$C46,[2]BV_Data_An_Cour!$AR:$AR,L$2)</f>
        <v>0</v>
      </c>
      <c r="M46" s="26"/>
      <c r="N46" s="39" t="e">
        <f t="shared" si="10"/>
        <v>#N/A</v>
      </c>
      <c r="O46" s="26"/>
      <c r="P46" s="7"/>
      <c r="Q46" s="55">
        <f>SUMIFS([2]BV_Data_An_Prec!$AM:$AM,[2]BV_Data_An_Prec!$AP:$AP,$B46,[2]BV_Data_An_Prec!$AQ:$AQ,$C46,[2]BV_Data_An_Prec!$AR:$AR,Q$2)</f>
        <v>0</v>
      </c>
      <c r="R46" s="26"/>
      <c r="S46" s="39">
        <f t="shared" si="13"/>
        <v>0</v>
      </c>
      <c r="T46" s="6"/>
      <c r="U46" s="6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0.399999999999999" hidden="1" customHeight="1">
      <c r="A47" s="410" t="s">
        <v>285</v>
      </c>
      <c r="B47" s="7" t="s">
        <v>0</v>
      </c>
      <c r="C47" s="271" t="s">
        <v>19</v>
      </c>
      <c r="D47" s="54"/>
      <c r="E47" s="7"/>
      <c r="F47" s="19" t="e">
        <f>+INDEX('[2]Budget original'!$A$2:$AO$501,MATCH($A47,'[2]Budget original'!$A$2:$A$501,0),MATCH(F$2,'[2]Budget original'!$A$2:$AO$2,0))</f>
        <v>#N/A</v>
      </c>
      <c r="G47" s="56"/>
      <c r="H47" s="7"/>
      <c r="I47" s="19"/>
      <c r="J47" s="26"/>
      <c r="K47" s="7"/>
      <c r="L47" s="55">
        <f>SUMIFS([2]BV_Data_An_Cour!$AM:$AM,[2]BV_Data_An_Cour!$AP:$AP,$B47,[2]BV_Data_An_Cour!$AQ:$AQ,$C47,[2]BV_Data_An_Cour!$AR:$AR,L$2)</f>
        <v>0</v>
      </c>
      <c r="M47" s="26"/>
      <c r="N47" s="39" t="e">
        <f t="shared" si="10"/>
        <v>#N/A</v>
      </c>
      <c r="O47" s="26"/>
      <c r="P47" s="7"/>
      <c r="Q47" s="55">
        <f>SUMIFS([2]BV_Data_An_Prec!$AM:$AM,[2]BV_Data_An_Prec!$AP:$AP,$B47,[2]BV_Data_An_Prec!$AQ:$AQ,$C47,[2]BV_Data_An_Prec!$AR:$AR,Q$2)</f>
        <v>0</v>
      </c>
      <c r="R47" s="26"/>
      <c r="S47" s="39">
        <f t="shared" si="13"/>
        <v>0</v>
      </c>
      <c r="T47" s="6"/>
      <c r="U47" s="6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0.399999999999999" hidden="1" customHeight="1">
      <c r="A48" s="410" t="s">
        <v>285</v>
      </c>
      <c r="B48" s="7" t="s">
        <v>0</v>
      </c>
      <c r="C48" s="271" t="s">
        <v>19</v>
      </c>
      <c r="D48" s="54"/>
      <c r="E48" s="7"/>
      <c r="F48" s="19" t="e">
        <f>+INDEX('[2]Budget original'!$A$2:$AO$501,MATCH($A48,'[2]Budget original'!$A$2:$A$501,0),MATCH(F$2,'[2]Budget original'!$A$2:$AO$2,0))</f>
        <v>#N/A</v>
      </c>
      <c r="G48" s="56"/>
      <c r="H48" s="7"/>
      <c r="I48" s="19"/>
      <c r="J48" s="26"/>
      <c r="K48" s="7"/>
      <c r="L48" s="55">
        <f>SUMIFS([2]BV_Data_An_Cour!$AM:$AM,[2]BV_Data_An_Cour!$AP:$AP,$B48,[2]BV_Data_An_Cour!$AQ:$AQ,$C48,[2]BV_Data_An_Cour!$AR:$AR,L$2)</f>
        <v>0</v>
      </c>
      <c r="M48" s="26"/>
      <c r="N48" s="39" t="e">
        <f t="shared" si="10"/>
        <v>#N/A</v>
      </c>
      <c r="O48" s="26"/>
      <c r="P48" s="7"/>
      <c r="Q48" s="55">
        <f>SUMIFS([2]BV_Data_An_Prec!$AM:$AM,[2]BV_Data_An_Prec!$AP:$AP,$B48,[2]BV_Data_An_Prec!$AQ:$AQ,$C48,[2]BV_Data_An_Prec!$AR:$AR,Q$2)</f>
        <v>0</v>
      </c>
      <c r="R48" s="26"/>
      <c r="S48" s="39">
        <f t="shared" si="13"/>
        <v>0</v>
      </c>
      <c r="T48" s="6"/>
      <c r="U48" s="6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1:40" ht="15.75" customHeight="1">
      <c r="A49" s="410" t="s">
        <v>310</v>
      </c>
      <c r="B49" s="7" t="s">
        <v>0</v>
      </c>
      <c r="C49" s="272" t="s">
        <v>44</v>
      </c>
      <c r="D49" s="54"/>
      <c r="E49" s="7"/>
      <c r="F49" s="31" t="e">
        <f>+INDEX('[2]Budget original'!$A$2:$AO$501,MATCH($A49,'[2]Budget original'!$A$2:$A$501,0),MATCH(F$2,'[2]Budget original'!$A$2:$AO$2,0))</f>
        <v>#N/A</v>
      </c>
      <c r="G49" s="56"/>
      <c r="H49" s="7"/>
      <c r="I49" s="31"/>
      <c r="J49" s="26"/>
      <c r="K49" s="7"/>
      <c r="L49" s="61">
        <f>SUMIFS([2]BV_Data_An_Cour!$AM:$AM,[2]BV_Data_An_Cour!$AP:$AP,$B49,[2]BV_Data_An_Cour!$AQ:$AQ,$C49,[2]BV_Data_An_Cour!$AR:$AR,L$2)</f>
        <v>4857.2099999999991</v>
      </c>
      <c r="M49" s="26"/>
      <c r="N49" s="39" t="e">
        <f t="shared" si="10"/>
        <v>#N/A</v>
      </c>
      <c r="O49" s="26"/>
      <c r="P49" s="7"/>
      <c r="Q49" s="61">
        <f>SUMIFS([2]BV_Data_An_Prec!$AM:$AM,[2]BV_Data_An_Prec!$AP:$AP,$B49,[2]BV_Data_An_Prec!$AQ:$AQ,$C49,[2]BV_Data_An_Prec!$AR:$AR,Q$2)</f>
        <v>6372</v>
      </c>
      <c r="R49" s="26"/>
      <c r="S49" s="39">
        <f t="shared" si="13"/>
        <v>-1514.7900000000009</v>
      </c>
      <c r="T49" s="6"/>
      <c r="U49" s="6"/>
      <c r="V49" s="7"/>
      <c r="W49" s="7"/>
      <c r="X49" s="6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1:40" ht="15.75" customHeight="1">
      <c r="A50" s="410" t="s">
        <v>311</v>
      </c>
      <c r="B50" s="7" t="s">
        <v>0</v>
      </c>
      <c r="C50" s="271" t="s">
        <v>45</v>
      </c>
      <c r="D50" s="68"/>
      <c r="E50" s="69"/>
      <c r="F50" s="19" t="e">
        <f>+INDEX('[2]Budget original'!$A$2:$AO$501,MATCH($A50,'[2]Budget original'!$A$2:$A$501,0),MATCH(F$2,'[2]Budget original'!$A$2:$AO$2,0))</f>
        <v>#N/A</v>
      </c>
      <c r="G50" s="70"/>
      <c r="H50" s="69"/>
      <c r="I50" s="19"/>
      <c r="J50" s="71"/>
      <c r="K50" s="69"/>
      <c r="L50" s="55">
        <f>SUMIFS([2]BV_Data_An_Cour!$AM:$AM,[2]BV_Data_An_Cour!$AP:$AP,$B50,[2]BV_Data_An_Cour!$AQ:$AQ,$C50,[2]BV_Data_An_Cour!$AR:$AR,L$2)</f>
        <v>9070.929999999993</v>
      </c>
      <c r="M50" s="71"/>
      <c r="N50" s="72" t="e">
        <f t="shared" si="10"/>
        <v>#N/A</v>
      </c>
      <c r="O50" s="71"/>
      <c r="P50" s="69"/>
      <c r="Q50" s="55">
        <f>SUMIFS([2]BV_Data_An_Prec!$AM:$AM,[2]BV_Data_An_Prec!$AP:$AP,$B50,[2]BV_Data_An_Prec!$AQ:$AQ,$C50,[2]BV_Data_An_Prec!$AR:$AR,Q$2)</f>
        <v>14274.209999999992</v>
      </c>
      <c r="R50" s="71"/>
      <c r="S50" s="72">
        <f t="shared" si="13"/>
        <v>-5203.2799999999988</v>
      </c>
      <c r="T50" s="6"/>
      <c r="U50" s="6"/>
      <c r="V50" s="7"/>
      <c r="W50" s="7"/>
      <c r="X50" s="6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1:40" ht="15.75" customHeight="1">
      <c r="A51" s="410" t="s">
        <v>312</v>
      </c>
      <c r="B51" s="7" t="s">
        <v>0</v>
      </c>
      <c r="C51" s="271" t="s">
        <v>46</v>
      </c>
      <c r="D51" s="54"/>
      <c r="E51" s="7"/>
      <c r="F51" s="19" t="e">
        <f>+INDEX('[2]Budget original'!$A$2:$AO$501,MATCH($A51,'[2]Budget original'!$A$2:$A$501,0),MATCH(F$2,'[2]Budget original'!$A$2:$AO$2,0))</f>
        <v>#N/A</v>
      </c>
      <c r="G51" s="56"/>
      <c r="H51" s="7"/>
      <c r="I51" s="19"/>
      <c r="J51" s="26"/>
      <c r="K51" s="7"/>
      <c r="L51" s="55">
        <f>SUMIFS([2]BV_Data_An_Cour!$AM:$AM,[2]BV_Data_An_Cour!$AP:$AP,$B51,[2]BV_Data_An_Cour!$AQ:$AQ,$C51,[2]BV_Data_An_Cour!$AR:$AR,L$2)</f>
        <v>1221.5200000000004</v>
      </c>
      <c r="M51" s="26"/>
      <c r="N51" s="39" t="e">
        <f t="shared" si="10"/>
        <v>#N/A</v>
      </c>
      <c r="O51" s="26"/>
      <c r="P51" s="7"/>
      <c r="Q51" s="55">
        <f>SUMIFS([2]BV_Data_An_Prec!$AM:$AM,[2]BV_Data_An_Prec!$AP:$AP,$B51,[2]BV_Data_An_Prec!$AQ:$AQ,$C51,[2]BV_Data_An_Prec!$AR:$AR,Q$2)</f>
        <v>4465.4700000000012</v>
      </c>
      <c r="R51" s="26"/>
      <c r="S51" s="39">
        <f t="shared" si="13"/>
        <v>-3243.9500000000007</v>
      </c>
      <c r="T51" s="6"/>
      <c r="U51" s="6"/>
      <c r="V51" s="7"/>
      <c r="W51" s="7"/>
      <c r="X51" s="6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1:40" ht="15.75" customHeight="1">
      <c r="A52" s="410" t="s">
        <v>313</v>
      </c>
      <c r="B52" s="7" t="s">
        <v>0</v>
      </c>
      <c r="C52" s="271" t="s">
        <v>47</v>
      </c>
      <c r="D52" s="54"/>
      <c r="E52" s="7"/>
      <c r="F52" s="19" t="e">
        <f>+INDEX('[2]Budget original'!$A$2:$AO$501,MATCH($A52,'[2]Budget original'!$A$2:$A$501,0),MATCH(F$2,'[2]Budget original'!$A$2:$AO$2,0))</f>
        <v>#N/A</v>
      </c>
      <c r="G52" s="56"/>
      <c r="H52" s="7"/>
      <c r="I52" s="19"/>
      <c r="J52" s="26"/>
      <c r="K52" s="7"/>
      <c r="L52" s="55">
        <f>SUMIFS([2]BV_Data_An_Cour!$AM:$AM,[2]BV_Data_An_Cour!$AP:$AP,$B52,[2]BV_Data_An_Cour!$AQ:$AQ,$C52,[2]BV_Data_An_Cour!$AR:$AR,L$2)</f>
        <v>3803.1699999999983</v>
      </c>
      <c r="M52" s="26"/>
      <c r="N52" s="39" t="e">
        <f t="shared" si="10"/>
        <v>#N/A</v>
      </c>
      <c r="O52" s="26"/>
      <c r="P52" s="7"/>
      <c r="Q52" s="55">
        <f>SUMIFS([2]BV_Data_An_Prec!$AM:$AM,[2]BV_Data_An_Prec!$AP:$AP,$B52,[2]BV_Data_An_Prec!$AQ:$AQ,$C52,[2]BV_Data_An_Prec!$AR:$AR,Q$2)</f>
        <v>36.039999999999964</v>
      </c>
      <c r="R52" s="26"/>
      <c r="S52" s="39">
        <f t="shared" si="13"/>
        <v>3767.1299999999983</v>
      </c>
      <c r="T52" s="6"/>
      <c r="U52" s="6"/>
      <c r="V52" s="7"/>
      <c r="W52" s="7"/>
      <c r="X52" s="6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1:40" ht="20.399999999999999" hidden="1" customHeight="1">
      <c r="A53" s="410" t="s">
        <v>285</v>
      </c>
      <c r="B53" s="7" t="s">
        <v>0</v>
      </c>
      <c r="C53" s="26" t="s">
        <v>19</v>
      </c>
      <c r="D53" s="57" t="e">
        <f>VLOOKUP(C53,$B$2:$B$46,1,FALSE)</f>
        <v>#N/A</v>
      </c>
      <c r="E53" s="73"/>
      <c r="F53" s="19" t="e">
        <f>+INDEX('[2]Budget original'!$A$2:$AO$501,MATCH($A53,'[2]Budget original'!$A$2:$A$501,0),MATCH(F$2,'[2]Budget original'!$A$2:$AO$2,0))</f>
        <v>#N/A</v>
      </c>
      <c r="G53" s="59"/>
      <c r="H53" s="73"/>
      <c r="I53" s="19"/>
      <c r="J53" s="14"/>
      <c r="K53" s="73"/>
      <c r="L53" s="39">
        <f>SUMIFS([2]BV_Data_An_Cour!$AM:$AM,[2]BV_Data_An_Cour!$AP:$AP,$B53,[2]BV_Data_An_Cour!$AQ:$AQ,$C53,[2]BV_Data_An_Cour!$AR:$AR,L$2)</f>
        <v>0</v>
      </c>
      <c r="M53" s="14"/>
      <c r="N53" s="61" t="e">
        <f t="shared" si="10"/>
        <v>#N/A</v>
      </c>
      <c r="O53" s="14"/>
      <c r="P53" s="73"/>
      <c r="Q53" s="39">
        <f>SUMIFS([2]BV_Data_An_Prec!$AM:$AM,[2]BV_Data_An_Prec!$AP:$AP,$B53,[2]BV_Data_An_Prec!$AQ:$AQ,$C53,[2]BV_Data_An_Prec!$AR:$AR,Q$2)</f>
        <v>0</v>
      </c>
      <c r="R53" s="14"/>
      <c r="S53" s="61">
        <f t="shared" si="13"/>
        <v>0</v>
      </c>
      <c r="T53" s="6"/>
      <c r="U53" s="6"/>
      <c r="V53" s="7"/>
      <c r="W53" s="7"/>
      <c r="X53" s="6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1:40" ht="18.600000000000001" customHeight="1">
      <c r="A54" s="410" t="s">
        <v>314</v>
      </c>
      <c r="B54" s="7" t="s">
        <v>0</v>
      </c>
      <c r="C54" s="139" t="s">
        <v>48</v>
      </c>
      <c r="D54" s="62" t="s">
        <v>38</v>
      </c>
      <c r="E54" s="63" t="e">
        <f>F54/F$27</f>
        <v>#N/A</v>
      </c>
      <c r="F54" s="64" t="e">
        <f>+SUM(F42:F53)</f>
        <v>#N/A</v>
      </c>
      <c r="G54" s="65"/>
      <c r="H54" s="63"/>
      <c r="I54" s="64"/>
      <c r="J54" s="65" t="s">
        <v>38</v>
      </c>
      <c r="K54" s="63">
        <f>L54/L$27</f>
        <v>0.26822814405357598</v>
      </c>
      <c r="L54" s="64">
        <f>+SUM(L42:L53)</f>
        <v>39023.479999999981</v>
      </c>
      <c r="M54" s="66"/>
      <c r="N54" s="64" t="e">
        <f>+SUM(N42:N53)</f>
        <v>#N/A</v>
      </c>
      <c r="O54" s="65" t="s">
        <v>38</v>
      </c>
      <c r="P54" s="63">
        <f>Q54/Q$27</f>
        <v>0.23029683049729666</v>
      </c>
      <c r="Q54" s="64">
        <f>+SUM(Q42:Q53)</f>
        <v>70529.76999999999</v>
      </c>
      <c r="R54" s="67"/>
      <c r="S54" s="64">
        <f>+SUM(S42:S53)</f>
        <v>-31506.290000000015</v>
      </c>
      <c r="T54" s="6"/>
      <c r="U54" s="6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1:40" ht="20.399999999999999" hidden="1" customHeight="1">
      <c r="A55" s="410" t="s">
        <v>315</v>
      </c>
      <c r="B55" s="7" t="s">
        <v>0</v>
      </c>
      <c r="C55" s="26" t="s">
        <v>49</v>
      </c>
      <c r="D55" s="54"/>
      <c r="E55" s="7"/>
      <c r="F55" s="19" t="e">
        <f>+INDEX('[2]Budget original'!$A$2:$AO$501,MATCH($A55,'[2]Budget original'!$A$2:$A$501,0),MATCH(F$2,'[2]Budget original'!$A$2:$AO$2,0))</f>
        <v>#N/A</v>
      </c>
      <c r="G55" s="56"/>
      <c r="H55" s="7"/>
      <c r="I55" s="19"/>
      <c r="J55" s="26"/>
      <c r="K55" s="7"/>
      <c r="L55" s="39">
        <f>SUMIFS([2]BV_Data_An_Cour!$AM:$AM,[2]BV_Data_An_Cour!$AP:$AP,$B55,[2]BV_Data_An_Cour!$AQ:$AQ,$C55,[2]BV_Data_An_Cour!$AR:$AR,L$2)</f>
        <v>0</v>
      </c>
      <c r="M55" s="26"/>
      <c r="N55" s="39" t="e">
        <f t="shared" ref="N55:N71" si="14">L55-F55</f>
        <v>#N/A</v>
      </c>
      <c r="O55" s="26"/>
      <c r="P55" s="7"/>
      <c r="Q55" s="39">
        <f>SUMIFS([2]BV_Data_An_Prec!$AM:$AM,[2]BV_Data_An_Prec!$AP:$AP,$B55,[2]BV_Data_An_Prec!$AQ:$AQ,$C55,[2]BV_Data_An_Prec!$AR:$AR,Q$2)</f>
        <v>0</v>
      </c>
      <c r="R55" s="26"/>
      <c r="S55" s="39">
        <f t="shared" ref="S55:S71" si="15">L55-Q55</f>
        <v>0</v>
      </c>
      <c r="T55" s="97"/>
      <c r="U55" s="6"/>
      <c r="V55" s="7"/>
      <c r="W55" s="7"/>
      <c r="X55" s="6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1:40" ht="20.399999999999999" hidden="1" customHeight="1">
      <c r="A56" s="410" t="s">
        <v>316</v>
      </c>
      <c r="B56" s="7" t="s">
        <v>0</v>
      </c>
      <c r="C56" s="26" t="s">
        <v>50</v>
      </c>
      <c r="D56" s="54"/>
      <c r="E56" s="7"/>
      <c r="F56" s="19" t="e">
        <f>+INDEX('[2]Budget original'!$A$2:$AO$501,MATCH($A56,'[2]Budget original'!$A$2:$A$501,0),MATCH(F$2,'[2]Budget original'!$A$2:$AO$2,0))</f>
        <v>#N/A</v>
      </c>
      <c r="G56" s="56"/>
      <c r="H56" s="7"/>
      <c r="I56" s="19"/>
      <c r="J56" s="26"/>
      <c r="K56" s="7"/>
      <c r="L56" s="39">
        <f>SUMIFS([2]BV_Data_An_Cour!$AM:$AM,[2]BV_Data_An_Cour!$AP:$AP,$B56,[2]BV_Data_An_Cour!$AQ:$AQ,$C56,[2]BV_Data_An_Cour!$AR:$AR,L$2)</f>
        <v>0</v>
      </c>
      <c r="M56" s="26"/>
      <c r="N56" s="39" t="e">
        <f t="shared" si="14"/>
        <v>#N/A</v>
      </c>
      <c r="O56" s="26"/>
      <c r="P56" s="7"/>
      <c r="Q56" s="39">
        <f>SUMIFS([2]BV_Data_An_Prec!$AM:$AM,[2]BV_Data_An_Prec!$AP:$AP,$B56,[2]BV_Data_An_Prec!$AQ:$AQ,$C56,[2]BV_Data_An_Prec!$AR:$AR,Q$2)</f>
        <v>0</v>
      </c>
      <c r="R56" s="26"/>
      <c r="S56" s="39">
        <f t="shared" si="15"/>
        <v>0</v>
      </c>
      <c r="T56" s="97"/>
      <c r="U56" s="6"/>
      <c r="V56" s="7"/>
      <c r="W56" s="7"/>
      <c r="X56" s="6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1:40" ht="19.2" customHeight="1">
      <c r="A57" s="410" t="s">
        <v>317</v>
      </c>
      <c r="B57" s="7" t="s">
        <v>0</v>
      </c>
      <c r="C57" s="14" t="s">
        <v>51</v>
      </c>
      <c r="D57" s="57"/>
      <c r="E57" s="73"/>
      <c r="F57" s="31" t="e">
        <f>+INDEX('[2]Budget original'!$A$2:$AO$501,MATCH($A57,'[2]Budget original'!$A$2:$A$501,0),MATCH(F$2,'[2]Budget original'!$A$2:$AO$2,0))</f>
        <v>#N/A</v>
      </c>
      <c r="G57" s="59"/>
      <c r="H57" s="73"/>
      <c r="I57" s="31"/>
      <c r="J57" s="14"/>
      <c r="K57" s="73"/>
      <c r="L57" s="61">
        <f>SUMIFS([2]BV_Data_An_Cour!$AM:$AM,[2]BV_Data_An_Cour!$AP:$AP,$B57,[2]BV_Data_An_Cour!$AQ:$AQ,$C57,[2]BV_Data_An_Cour!$AR:$AR,L$2)</f>
        <v>5493.0900000000111</v>
      </c>
      <c r="M57" s="14"/>
      <c r="N57" s="61" t="e">
        <f t="shared" si="14"/>
        <v>#N/A</v>
      </c>
      <c r="O57" s="14"/>
      <c r="P57" s="73"/>
      <c r="Q57" s="61">
        <f>SUMIFS([2]BV_Data_An_Prec!$AM:$AM,[2]BV_Data_An_Prec!$AP:$AP,$B57,[2]BV_Data_An_Prec!$AQ:$AQ,$C57,[2]BV_Data_An_Prec!$AR:$AR,Q$2)</f>
        <v>8310.1300000000047</v>
      </c>
      <c r="R57" s="14"/>
      <c r="S57" s="61">
        <f t="shared" si="15"/>
        <v>-2817.0399999999936</v>
      </c>
      <c r="T57" s="420"/>
      <c r="U57" s="6"/>
      <c r="V57" s="7"/>
      <c r="W57" s="7"/>
      <c r="X57" s="6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1:40" ht="15.75" customHeight="1">
      <c r="A58" s="410" t="s">
        <v>318</v>
      </c>
      <c r="B58" s="7" t="s">
        <v>0</v>
      </c>
      <c r="C58" s="26" t="s">
        <v>52</v>
      </c>
      <c r="D58" s="54"/>
      <c r="E58" s="7"/>
      <c r="F58" s="19" t="e">
        <f>+INDEX('[2]Budget original'!$A$2:$AO$501,MATCH($A58,'[2]Budget original'!$A$2:$A$501,0),MATCH(F$2,'[2]Budget original'!$A$2:$AO$2,0))</f>
        <v>#N/A</v>
      </c>
      <c r="G58" s="56"/>
      <c r="H58" s="7"/>
      <c r="I58" s="19"/>
      <c r="J58" s="26"/>
      <c r="K58" s="7"/>
      <c r="L58" s="39">
        <f>SUMIFS([2]BV_Data_An_Cour!$AM:$AM,[2]BV_Data_An_Cour!$AP:$AP,$B58,[2]BV_Data_An_Cour!$AQ:$AQ,$C58,[2]BV_Data_An_Cour!$AR:$AR,L$2)</f>
        <v>4814.8299999999981</v>
      </c>
      <c r="M58" s="26"/>
      <c r="N58" s="39" t="e">
        <f t="shared" si="14"/>
        <v>#N/A</v>
      </c>
      <c r="O58" s="26"/>
      <c r="P58" s="7"/>
      <c r="Q58" s="39">
        <f>SUMIFS([2]BV_Data_An_Prec!$AM:$AM,[2]BV_Data_An_Prec!$AP:$AP,$B58,[2]BV_Data_An_Prec!$AQ:$AQ,$C58,[2]BV_Data_An_Prec!$AR:$AR,Q$2)</f>
        <v>5512.4599999999991</v>
      </c>
      <c r="R58" s="26"/>
      <c r="S58" s="39">
        <f t="shared" si="15"/>
        <v>-697.63000000000102</v>
      </c>
      <c r="T58" s="97"/>
      <c r="U58" s="6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1:40" ht="15.75" customHeight="1">
      <c r="A59" s="410" t="s">
        <v>319</v>
      </c>
      <c r="B59" s="7" t="s">
        <v>0</v>
      </c>
      <c r="C59" s="26" t="s">
        <v>53</v>
      </c>
      <c r="D59" s="54"/>
      <c r="E59" s="7"/>
      <c r="F59" s="19" t="e">
        <f>+INDEX('[2]Budget original'!$A$2:$AO$501,MATCH($A59,'[2]Budget original'!$A$2:$A$501,0),MATCH(F$2,'[2]Budget original'!$A$2:$AO$2,0))</f>
        <v>#N/A</v>
      </c>
      <c r="G59" s="56"/>
      <c r="H59" s="7"/>
      <c r="I59" s="19"/>
      <c r="J59" s="26"/>
      <c r="K59" s="7"/>
      <c r="L59" s="39">
        <f>SUMIFS([2]BV_Data_An_Cour!$AM:$AM,[2]BV_Data_An_Cour!$AP:$AP,$B59,[2]BV_Data_An_Cour!$AQ:$AQ,$C59,[2]BV_Data_An_Cour!$AR:$AR,L$2)</f>
        <v>1084.0399999999977</v>
      </c>
      <c r="M59" s="26"/>
      <c r="N59" s="39" t="e">
        <f t="shared" si="14"/>
        <v>#N/A</v>
      </c>
      <c r="O59" s="26"/>
      <c r="P59" s="7"/>
      <c r="Q59" s="39">
        <f>SUMIFS([2]BV_Data_An_Prec!$AM:$AM,[2]BV_Data_An_Prec!$AP:$AP,$B59,[2]BV_Data_An_Prec!$AQ:$AQ,$C59,[2]BV_Data_An_Prec!$AR:$AR,Q$2)</f>
        <v>1258.0199999999995</v>
      </c>
      <c r="R59" s="26"/>
      <c r="S59" s="39">
        <f t="shared" si="15"/>
        <v>-173.98000000000184</v>
      </c>
      <c r="T59" s="6"/>
      <c r="U59" s="6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1:40" ht="15.75" customHeight="1">
      <c r="A60" s="410" t="s">
        <v>320</v>
      </c>
      <c r="B60" s="7" t="s">
        <v>0</v>
      </c>
      <c r="C60" s="14" t="s">
        <v>54</v>
      </c>
      <c r="D60" s="57"/>
      <c r="E60" s="73"/>
      <c r="F60" s="31" t="e">
        <f>+INDEX('[2]Budget original'!$A$2:$AO$501,MATCH($A60,'[2]Budget original'!$A$2:$A$501,0),MATCH(F$2,'[2]Budget original'!$A$2:$AO$2,0))</f>
        <v>#N/A</v>
      </c>
      <c r="G60" s="59"/>
      <c r="H60" s="73"/>
      <c r="I60" s="31"/>
      <c r="J60" s="14"/>
      <c r="K60" s="73"/>
      <c r="L60" s="61">
        <f>SUMIFS([2]BV_Data_An_Cour!$AM:$AM,[2]BV_Data_An_Cour!$AP:$AP,$B60,[2]BV_Data_An_Cour!$AQ:$AQ,$C60,[2]BV_Data_An_Cour!$AR:$AR,L$2)</f>
        <v>3548.7000000000007</v>
      </c>
      <c r="M60" s="14"/>
      <c r="N60" s="61" t="e">
        <f t="shared" si="14"/>
        <v>#N/A</v>
      </c>
      <c r="O60" s="14"/>
      <c r="P60" s="73"/>
      <c r="Q60" s="61">
        <f>SUMIFS([2]BV_Data_An_Prec!$AM:$AM,[2]BV_Data_An_Prec!$AP:$AP,$B60,[2]BV_Data_An_Prec!$AQ:$AQ,$C60,[2]BV_Data_An_Prec!$AR:$AR,Q$2)</f>
        <v>7441.3499999999949</v>
      </c>
      <c r="R60" s="14"/>
      <c r="S60" s="61">
        <f t="shared" si="15"/>
        <v>-3892.6499999999942</v>
      </c>
      <c r="T60" s="6"/>
      <c r="U60" s="6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1:40" ht="15.75" customHeight="1">
      <c r="A61" s="410" t="s">
        <v>321</v>
      </c>
      <c r="B61" s="7" t="s">
        <v>0</v>
      </c>
      <c r="C61" s="26" t="s">
        <v>55</v>
      </c>
      <c r="D61" s="54"/>
      <c r="E61" s="7"/>
      <c r="F61" s="19" t="e">
        <f>+INDEX('[2]Budget original'!$A$2:$AO$501,MATCH($A61,'[2]Budget original'!$A$2:$A$501,0),MATCH(F$2,'[2]Budget original'!$A$2:$AO$2,0))</f>
        <v>#N/A</v>
      </c>
      <c r="G61" s="56"/>
      <c r="H61" s="7"/>
      <c r="I61" s="19"/>
      <c r="J61" s="26"/>
      <c r="K61" s="7"/>
      <c r="L61" s="39">
        <f>SUMIFS([2]BV_Data_An_Cour!$AM:$AM,[2]BV_Data_An_Cour!$AP:$AP,$B61,[2]BV_Data_An_Cour!$AQ:$AQ,$C61,[2]BV_Data_An_Cour!$AR:$AR,L$2)</f>
        <v>144.63000000000011</v>
      </c>
      <c r="M61" s="26"/>
      <c r="N61" s="39" t="e">
        <f t="shared" si="14"/>
        <v>#N/A</v>
      </c>
      <c r="O61" s="26"/>
      <c r="P61" s="7"/>
      <c r="Q61" s="39">
        <f>SUMIFS([2]BV_Data_An_Prec!$AM:$AM,[2]BV_Data_An_Prec!$AP:$AP,$B61,[2]BV_Data_An_Prec!$AQ:$AQ,$C61,[2]BV_Data_An_Prec!$AR:$AR,Q$2)</f>
        <v>982.8100000000004</v>
      </c>
      <c r="R61" s="26"/>
      <c r="S61" s="39">
        <f t="shared" si="15"/>
        <v>-838.18000000000029</v>
      </c>
      <c r="T61" s="6"/>
      <c r="U61" s="6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1:40" ht="15.75" customHeight="1">
      <c r="A62" s="410" t="s">
        <v>322</v>
      </c>
      <c r="B62" s="7" t="s">
        <v>0</v>
      </c>
      <c r="C62" s="26" t="s">
        <v>56</v>
      </c>
      <c r="D62" s="54"/>
      <c r="E62" s="7"/>
      <c r="F62" s="19" t="e">
        <f>+INDEX('[2]Budget original'!$A$2:$AO$501,MATCH($A62,'[2]Budget original'!$A$2:$A$501,0),MATCH(F$2,'[2]Budget original'!$A$2:$AO$2,0))</f>
        <v>#N/A</v>
      </c>
      <c r="G62" s="56"/>
      <c r="H62" s="7"/>
      <c r="I62" s="19"/>
      <c r="J62" s="26"/>
      <c r="K62" s="7"/>
      <c r="L62" s="39">
        <f>SUMIFS([2]BV_Data_An_Cour!$AM:$AM,[2]BV_Data_An_Cour!$AP:$AP,$B62,[2]BV_Data_An_Cour!$AQ:$AQ,$C62,[2]BV_Data_An_Cour!$AR:$AR,L$2)</f>
        <v>0</v>
      </c>
      <c r="M62" s="26"/>
      <c r="N62" s="39" t="e">
        <f t="shared" si="14"/>
        <v>#N/A</v>
      </c>
      <c r="O62" s="26"/>
      <c r="P62" s="7"/>
      <c r="Q62" s="39">
        <f>SUMIFS([2]BV_Data_An_Prec!$AM:$AM,[2]BV_Data_An_Prec!$AP:$AP,$B62,[2]BV_Data_An_Prec!$AQ:$AQ,$C62,[2]BV_Data_An_Prec!$AR:$AR,Q$2)</f>
        <v>0</v>
      </c>
      <c r="R62" s="26"/>
      <c r="S62" s="39">
        <f t="shared" si="15"/>
        <v>0</v>
      </c>
      <c r="T62" s="6"/>
      <c r="U62" s="6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1:40" ht="15.75" customHeight="1">
      <c r="A63" s="410" t="s">
        <v>323</v>
      </c>
      <c r="B63" s="7" t="s">
        <v>0</v>
      </c>
      <c r="C63" s="26" t="s">
        <v>57</v>
      </c>
      <c r="D63" s="54"/>
      <c r="E63" s="7"/>
      <c r="F63" s="19" t="e">
        <f>+INDEX('[2]Budget original'!$A$2:$AO$501,MATCH($A63,'[2]Budget original'!$A$2:$A$501,0),MATCH(F$2,'[2]Budget original'!$A$2:$AO$2,0))</f>
        <v>#N/A</v>
      </c>
      <c r="G63" s="56"/>
      <c r="H63" s="7"/>
      <c r="I63" s="19"/>
      <c r="J63" s="26"/>
      <c r="K63" s="7"/>
      <c r="L63" s="39">
        <f>SUMIFS([2]BV_Data_An_Cour!$AM:$AM,[2]BV_Data_An_Cour!$AP:$AP,$B63,[2]BV_Data_An_Cour!$AQ:$AQ,$C63,[2]BV_Data_An_Cour!$AR:$AR,L$2)</f>
        <v>1520.7800000000007</v>
      </c>
      <c r="M63" s="26"/>
      <c r="N63" s="39" t="e">
        <f t="shared" si="14"/>
        <v>#N/A</v>
      </c>
      <c r="O63" s="26"/>
      <c r="P63" s="7"/>
      <c r="Q63" s="39">
        <f>SUMIFS([2]BV_Data_An_Prec!$AM:$AM,[2]BV_Data_An_Prec!$AP:$AP,$B63,[2]BV_Data_An_Prec!$AQ:$AQ,$C63,[2]BV_Data_An_Prec!$AR:$AR,Q$2)</f>
        <v>1513.0300000000007</v>
      </c>
      <c r="R63" s="26"/>
      <c r="S63" s="39">
        <f t="shared" si="15"/>
        <v>7.75</v>
      </c>
      <c r="T63" s="6"/>
      <c r="U63" s="6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1:40" ht="15.75" customHeight="1">
      <c r="A64" s="410" t="s">
        <v>324</v>
      </c>
      <c r="B64" s="7" t="s">
        <v>0</v>
      </c>
      <c r="C64" s="26" t="s">
        <v>58</v>
      </c>
      <c r="D64" s="54"/>
      <c r="E64" s="7"/>
      <c r="F64" s="19" t="e">
        <f>+INDEX('[2]Budget original'!$A$2:$AO$501,MATCH($A64,'[2]Budget original'!$A$2:$A$501,0),MATCH(F$2,'[2]Budget original'!$A$2:$AO$2,0))</f>
        <v>#N/A</v>
      </c>
      <c r="G64" s="56"/>
      <c r="H64" s="7"/>
      <c r="I64" s="19"/>
      <c r="J64" s="26"/>
      <c r="K64" s="7"/>
      <c r="L64" s="39">
        <f>SUMIFS([2]BV_Data_An_Cour!$AM:$AM,[2]BV_Data_An_Cour!$AP:$AP,$B64,[2]BV_Data_An_Cour!$AQ:$AQ,$C64,[2]BV_Data_An_Cour!$AR:$AR,L$2)</f>
        <v>672.34999999999945</v>
      </c>
      <c r="M64" s="26"/>
      <c r="N64" s="39" t="e">
        <f t="shared" si="14"/>
        <v>#N/A</v>
      </c>
      <c r="O64" s="26"/>
      <c r="P64" s="7"/>
      <c r="Q64" s="39">
        <f>SUMIFS([2]BV_Data_An_Prec!$AM:$AM,[2]BV_Data_An_Prec!$AP:$AP,$B64,[2]BV_Data_An_Prec!$AQ:$AQ,$C64,[2]BV_Data_An_Prec!$AR:$AR,Q$2)</f>
        <v>969.77999999999975</v>
      </c>
      <c r="R64" s="26"/>
      <c r="S64" s="39">
        <f t="shared" si="15"/>
        <v>-297.43000000000029</v>
      </c>
      <c r="T64" s="6"/>
      <c r="U64" s="6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1:40" ht="15.75" customHeight="1">
      <c r="A65" s="410" t="s">
        <v>325</v>
      </c>
      <c r="B65" s="7" t="s">
        <v>0</v>
      </c>
      <c r="C65" s="26" t="s">
        <v>59</v>
      </c>
      <c r="D65" s="54"/>
      <c r="E65" s="7"/>
      <c r="F65" s="19" t="e">
        <f>+INDEX('[2]Budget original'!$A$2:$AO$501,MATCH($A65,'[2]Budget original'!$A$2:$A$501,0),MATCH(F$2,'[2]Budget original'!$A$2:$AO$2,0))</f>
        <v>#N/A</v>
      </c>
      <c r="G65" s="56"/>
      <c r="H65" s="7"/>
      <c r="I65" s="19"/>
      <c r="J65" s="26"/>
      <c r="K65" s="7"/>
      <c r="L65" s="39">
        <f>SUMIFS([2]BV_Data_An_Cour!$AM:$AM,[2]BV_Data_An_Cour!$AP:$AP,$B65,[2]BV_Data_An_Cour!$AQ:$AQ,$C65,[2]BV_Data_An_Cour!$AR:$AR,L$2)</f>
        <v>535.69000000000051</v>
      </c>
      <c r="M65" s="26"/>
      <c r="N65" s="39" t="e">
        <f t="shared" si="14"/>
        <v>#N/A</v>
      </c>
      <c r="O65" s="26"/>
      <c r="P65" s="7"/>
      <c r="Q65" s="39">
        <f>SUMIFS([2]BV_Data_An_Prec!$AM:$AM,[2]BV_Data_An_Prec!$AP:$AP,$B65,[2]BV_Data_An_Prec!$AQ:$AQ,$C65,[2]BV_Data_An_Prec!$AR:$AR,Q$2)</f>
        <v>916.48999999999978</v>
      </c>
      <c r="R65" s="26"/>
      <c r="S65" s="39">
        <f t="shared" si="15"/>
        <v>-380.79999999999927</v>
      </c>
      <c r="T65" s="6"/>
      <c r="U65" s="6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1:40" ht="15.75" customHeight="1">
      <c r="A66" s="410" t="s">
        <v>326</v>
      </c>
      <c r="B66" s="7" t="s">
        <v>0</v>
      </c>
      <c r="C66" s="26" t="s">
        <v>60</v>
      </c>
      <c r="D66" s="54"/>
      <c r="E66" s="7"/>
      <c r="F66" s="19" t="e">
        <f>+INDEX('[2]Budget original'!$A$2:$AO$501,MATCH($A66,'[2]Budget original'!$A$2:$A$501,0),MATCH(F$2,'[2]Budget original'!$A$2:$AO$2,0))</f>
        <v>#N/A</v>
      </c>
      <c r="G66" s="56"/>
      <c r="H66" s="7"/>
      <c r="I66" s="19"/>
      <c r="J66" s="26"/>
      <c r="K66" s="7"/>
      <c r="L66" s="39">
        <f>SUMIFS([2]BV_Data_An_Cour!$AM:$AM,[2]BV_Data_An_Cour!$AP:$AP,$B66,[2]BV_Data_An_Cour!$AQ:$AQ,$C66,[2]BV_Data_An_Cour!$AR:$AR,L$2)</f>
        <v>3445.5399999999991</v>
      </c>
      <c r="M66" s="26"/>
      <c r="N66" s="39" t="e">
        <f t="shared" si="14"/>
        <v>#N/A</v>
      </c>
      <c r="O66" s="26"/>
      <c r="P66" s="7"/>
      <c r="Q66" s="39">
        <f>SUMIFS([2]BV_Data_An_Prec!$AM:$AM,[2]BV_Data_An_Prec!$AP:$AP,$B66,[2]BV_Data_An_Prec!$AQ:$AQ,$C66,[2]BV_Data_An_Prec!$AR:$AR,Q$2)</f>
        <v>3531.24</v>
      </c>
      <c r="R66" s="26"/>
      <c r="S66" s="39">
        <f t="shared" si="15"/>
        <v>-85.700000000000728</v>
      </c>
      <c r="T66" s="6"/>
      <c r="U66" s="6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1:40" ht="15.75" customHeight="1">
      <c r="A67" s="410" t="s">
        <v>327</v>
      </c>
      <c r="B67" s="7" t="s">
        <v>0</v>
      </c>
      <c r="C67" s="26" t="s">
        <v>61</v>
      </c>
      <c r="D67" s="54"/>
      <c r="E67" s="7"/>
      <c r="F67" s="19" t="e">
        <f>+INDEX('[2]Budget original'!$A$2:$AO$501,MATCH($A67,'[2]Budget original'!$A$2:$A$501,0),MATCH(F$2,'[2]Budget original'!$A$2:$AO$2,0))</f>
        <v>#N/A</v>
      </c>
      <c r="G67" s="56"/>
      <c r="H67" s="7"/>
      <c r="I67" s="19"/>
      <c r="J67" s="26"/>
      <c r="K67" s="7"/>
      <c r="L67" s="39">
        <f>SUMIFS([2]BV_Data_An_Cour!$AM:$AM,[2]BV_Data_An_Cour!$AP:$AP,$B67,[2]BV_Data_An_Cour!$AQ:$AQ,$C67,[2]BV_Data_An_Cour!$AR:$AR,L$2)</f>
        <v>570</v>
      </c>
      <c r="M67" s="26"/>
      <c r="N67" s="39" t="e">
        <f t="shared" si="14"/>
        <v>#N/A</v>
      </c>
      <c r="O67" s="26"/>
      <c r="P67" s="7"/>
      <c r="Q67" s="39">
        <f>SUMIFS([2]BV_Data_An_Prec!$AM:$AM,[2]BV_Data_An_Prec!$AP:$AP,$B67,[2]BV_Data_An_Prec!$AQ:$AQ,$C67,[2]BV_Data_An_Prec!$AR:$AR,Q$2)</f>
        <v>665</v>
      </c>
      <c r="R67" s="26"/>
      <c r="S67" s="39">
        <f t="shared" si="15"/>
        <v>-95</v>
      </c>
      <c r="T67" s="6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1:40" ht="15.75" customHeight="1">
      <c r="A68" s="410" t="s">
        <v>328</v>
      </c>
      <c r="B68" s="7" t="s">
        <v>0</v>
      </c>
      <c r="C68" s="26" t="s">
        <v>62</v>
      </c>
      <c r="D68" s="54"/>
      <c r="E68" s="7"/>
      <c r="F68" s="19" t="e">
        <f>+INDEX('[2]Budget original'!$A$2:$AO$501,MATCH($A68,'[2]Budget original'!$A$2:$A$501,0),MATCH(F$2,'[2]Budget original'!$A$2:$AO$2,0))</f>
        <v>#N/A</v>
      </c>
      <c r="G68" s="56"/>
      <c r="H68" s="7"/>
      <c r="I68" s="19"/>
      <c r="J68" s="26"/>
      <c r="K68" s="7"/>
      <c r="L68" s="39">
        <f>SUMIFS([2]BV_Data_An_Cour!$AM:$AM,[2]BV_Data_An_Cour!$AP:$AP,$B68,[2]BV_Data_An_Cour!$AQ:$AQ,$C68,[2]BV_Data_An_Cour!$AR:$AR,L$2)</f>
        <v>1424.7100000000009</v>
      </c>
      <c r="M68" s="26"/>
      <c r="N68" s="39" t="e">
        <f t="shared" si="14"/>
        <v>#N/A</v>
      </c>
      <c r="O68" s="26"/>
      <c r="P68" s="7"/>
      <c r="Q68" s="39">
        <f>SUMIFS([2]BV_Data_An_Prec!$AM:$AM,[2]BV_Data_An_Prec!$AP:$AP,$B68,[2]BV_Data_An_Prec!$AQ:$AQ,$C68,[2]BV_Data_An_Prec!$AR:$AR,Q$2)</f>
        <v>299.37999999999965</v>
      </c>
      <c r="R68" s="26"/>
      <c r="S68" s="39">
        <f t="shared" si="15"/>
        <v>1125.3300000000013</v>
      </c>
      <c r="T68" s="6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1:40" ht="20.399999999999999" hidden="1" customHeight="1">
      <c r="A69" s="410" t="s">
        <v>285</v>
      </c>
      <c r="B69" s="7" t="s">
        <v>0</v>
      </c>
      <c r="C69" s="26" t="s">
        <v>19</v>
      </c>
      <c r="D69" s="54"/>
      <c r="E69" s="7"/>
      <c r="F69" s="19" t="e">
        <f>+INDEX('[2]Budget original'!$A$2:$AO$501,MATCH($A69,'[2]Budget original'!$A$2:$A$501,0),MATCH(F$2,'[2]Budget original'!$A$2:$AO$2,0))</f>
        <v>#N/A</v>
      </c>
      <c r="G69" s="56"/>
      <c r="H69" s="7"/>
      <c r="I69" s="19"/>
      <c r="J69" s="26"/>
      <c r="K69" s="7"/>
      <c r="L69" s="39"/>
      <c r="M69" s="26"/>
      <c r="N69" s="39" t="e">
        <f t="shared" si="14"/>
        <v>#N/A</v>
      </c>
      <c r="O69" s="26"/>
      <c r="P69" s="7"/>
      <c r="Q69" s="39"/>
      <c r="R69" s="26"/>
      <c r="S69" s="39">
        <f t="shared" si="15"/>
        <v>0</v>
      </c>
      <c r="T69" s="6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1:40" ht="20.399999999999999" hidden="1" customHeight="1">
      <c r="A70" s="410" t="s">
        <v>285</v>
      </c>
      <c r="B70" s="7" t="s">
        <v>0</v>
      </c>
      <c r="C70" s="26" t="s">
        <v>19</v>
      </c>
      <c r="D70" s="54"/>
      <c r="E70" s="7"/>
      <c r="F70" s="19" t="e">
        <f>+INDEX('[2]Budget original'!$A$2:$AO$501,MATCH($A70,'[2]Budget original'!$A$2:$A$501,0),MATCH(F$2,'[2]Budget original'!$A$2:$AO$2,0))</f>
        <v>#N/A</v>
      </c>
      <c r="G70" s="56"/>
      <c r="H70" s="7"/>
      <c r="I70" s="19"/>
      <c r="J70" s="26"/>
      <c r="K70" s="7"/>
      <c r="L70" s="39">
        <f>SUMIFS([2]BV_Data_An_Cour!$AM:$AM,[2]BV_Data_An_Cour!$AP:$AP,$B70,[2]BV_Data_An_Cour!$AQ:$AQ,$C70,[2]BV_Data_An_Cour!$AR:$AR,L$2)</f>
        <v>0</v>
      </c>
      <c r="M70" s="26"/>
      <c r="N70" s="39" t="e">
        <f t="shared" si="14"/>
        <v>#N/A</v>
      </c>
      <c r="O70" s="26"/>
      <c r="P70" s="7"/>
      <c r="Q70" s="39">
        <f>SUMIFS([2]BV_Data_An_Prec!$AM:$AM,[2]BV_Data_An_Prec!$AP:$AP,$B70,[2]BV_Data_An_Prec!$AQ:$AQ,$C70,[2]BV_Data_An_Prec!$AR:$AR,Q$2)</f>
        <v>0</v>
      </c>
      <c r="R70" s="26"/>
      <c r="S70" s="39">
        <f t="shared" si="15"/>
        <v>0</v>
      </c>
      <c r="T70" s="6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1:40" ht="20.399999999999999" hidden="1" customHeight="1">
      <c r="A71" s="410" t="s">
        <v>285</v>
      </c>
      <c r="B71" s="7" t="s">
        <v>0</v>
      </c>
      <c r="C71" s="26" t="s">
        <v>19</v>
      </c>
      <c r="D71" s="54"/>
      <c r="E71" s="7"/>
      <c r="F71" s="19" t="e">
        <f>+INDEX('[2]Budget original'!$A$2:$AO$501,MATCH($A71,'[2]Budget original'!$A$2:$A$501,0),MATCH(F$2,'[2]Budget original'!$A$2:$AO$2,0))</f>
        <v>#N/A</v>
      </c>
      <c r="G71" s="56"/>
      <c r="H71" s="7"/>
      <c r="I71" s="19"/>
      <c r="J71" s="26"/>
      <c r="K71" s="7"/>
      <c r="L71" s="39">
        <f>SUMIFS([2]BV_Data_An_Cour!$AM:$AM,[2]BV_Data_An_Cour!$AP:$AP,$B71,[2]BV_Data_An_Cour!$AQ:$AQ,$C71,[2]BV_Data_An_Cour!$AR:$AR,L$2)*0.32</f>
        <v>0</v>
      </c>
      <c r="M71" s="26"/>
      <c r="N71" s="39" t="e">
        <f t="shared" si="14"/>
        <v>#N/A</v>
      </c>
      <c r="O71" s="26"/>
      <c r="P71" s="7"/>
      <c r="Q71" s="39">
        <f>SUMIFS([2]BV_Data_An_Prec!$AM:$AM,[2]BV_Data_An_Prec!$AP:$AP,$B71,[2]BV_Data_An_Prec!$AQ:$AQ,$C71,[2]BV_Data_An_Prec!$AR:$AR,Q$2)*0.32</f>
        <v>0</v>
      </c>
      <c r="R71" s="26"/>
      <c r="S71" s="39">
        <f t="shared" si="15"/>
        <v>0</v>
      </c>
      <c r="T71" s="6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1:40" ht="18.600000000000001" customHeight="1">
      <c r="A72" s="410" t="s">
        <v>329</v>
      </c>
      <c r="B72" s="7" t="s">
        <v>0</v>
      </c>
      <c r="C72" s="139" t="s">
        <v>63</v>
      </c>
      <c r="D72" s="62" t="s">
        <v>38</v>
      </c>
      <c r="E72" s="63" t="e">
        <f>F72/F$27</f>
        <v>#N/A</v>
      </c>
      <c r="F72" s="64" t="e">
        <f>+SUM(F55:F71)</f>
        <v>#N/A</v>
      </c>
      <c r="G72" s="65"/>
      <c r="H72" s="63"/>
      <c r="I72" s="64"/>
      <c r="J72" s="65" t="s">
        <v>38</v>
      </c>
      <c r="K72" s="63">
        <f>L72/L$27</f>
        <v>0.15983899498337206</v>
      </c>
      <c r="L72" s="64">
        <f>+SUM(L55:L71)</f>
        <v>23254.360000000008</v>
      </c>
      <c r="M72" s="66"/>
      <c r="N72" s="64" t="e">
        <f>+SUM(N55:N71)</f>
        <v>#N/A</v>
      </c>
      <c r="O72" s="65" t="s">
        <v>38</v>
      </c>
      <c r="P72" s="63">
        <f>Q72/Q$27</f>
        <v>0.10252761473059761</v>
      </c>
      <c r="Q72" s="64">
        <f>+SUM(Q55:Q71)</f>
        <v>31399.69</v>
      </c>
      <c r="R72" s="67"/>
      <c r="S72" s="64">
        <f>+SUM(S55:S71)</f>
        <v>-8145.329999999989</v>
      </c>
      <c r="T72" s="6"/>
      <c r="U72" s="6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1:40" ht="15.75" customHeight="1">
      <c r="A73" s="410" t="s">
        <v>0</v>
      </c>
      <c r="B73" s="7" t="s">
        <v>0</v>
      </c>
      <c r="C73" s="14"/>
      <c r="D73" s="57"/>
      <c r="E73" s="73"/>
      <c r="F73" s="39"/>
      <c r="G73" s="59"/>
      <c r="H73" s="73"/>
      <c r="I73" s="39"/>
      <c r="J73" s="14"/>
      <c r="K73" s="73"/>
      <c r="L73" s="61"/>
      <c r="M73" s="14"/>
      <c r="N73" s="61"/>
      <c r="O73" s="14"/>
      <c r="P73" s="73"/>
      <c r="Q73" s="61"/>
      <c r="R73" s="14"/>
      <c r="S73" s="61"/>
      <c r="T73" s="6"/>
      <c r="U73" s="6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1:40" ht="18.600000000000001" customHeight="1">
      <c r="A74" s="410" t="s">
        <v>330</v>
      </c>
      <c r="B74" s="7" t="s">
        <v>0</v>
      </c>
      <c r="C74" s="139" t="s">
        <v>64</v>
      </c>
      <c r="D74" s="62" t="s">
        <v>38</v>
      </c>
      <c r="E74" s="63" t="e">
        <f>F74/F$27</f>
        <v>#N/A</v>
      </c>
      <c r="F74" s="64" t="e">
        <f>F41+F54+F72</f>
        <v>#N/A</v>
      </c>
      <c r="G74" s="65"/>
      <c r="H74" s="63"/>
      <c r="I74" s="64"/>
      <c r="J74" s="65" t="s">
        <v>38</v>
      </c>
      <c r="K74" s="63">
        <f>L74/L$27</f>
        <v>0.52542169821663687</v>
      </c>
      <c r="L74" s="64">
        <f>L41+L54+L72</f>
        <v>76441.580000000016</v>
      </c>
      <c r="M74" s="66"/>
      <c r="N74" s="64" t="e">
        <f t="shared" ref="N74:N82" si="16">L74-F74</f>
        <v>#N/A</v>
      </c>
      <c r="O74" s="65" t="s">
        <v>38</v>
      </c>
      <c r="P74" s="63">
        <f>Q74/Q$27</f>
        <v>0.47825340067702271</v>
      </c>
      <c r="Q74" s="64">
        <f>Q41+Q54+Q72</f>
        <v>146467.94000000015</v>
      </c>
      <c r="R74" s="67"/>
      <c r="S74" s="64">
        <f>L74-Q74</f>
        <v>-70026.360000000132</v>
      </c>
      <c r="T74" s="6"/>
      <c r="U74" s="6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1:40" ht="16.2" customHeight="1">
      <c r="A75" s="410" t="s">
        <v>331</v>
      </c>
      <c r="B75" s="7" t="s">
        <v>0</v>
      </c>
      <c r="C75" s="26" t="s">
        <v>332</v>
      </c>
      <c r="D75" s="54"/>
      <c r="E75" s="7"/>
      <c r="F75" s="19" t="e">
        <f>+INDEX('[2]Budget original'!$A$2:$AO$501,MATCH($A75,'[2]Budget original'!$A$2:$A$501,0),MATCH(F$2,'[2]Budget original'!$A$2:$AO$2,0))</f>
        <v>#N/A</v>
      </c>
      <c r="G75" s="56"/>
      <c r="H75" s="7"/>
      <c r="I75" s="19"/>
      <c r="J75" s="26"/>
      <c r="K75" s="7"/>
      <c r="L75" s="39">
        <f>-SUMIFS([2]BV_Data_An_Cour!$AM:$AM,[2]BV_Data_An_Cour!$AP:$AP,$B75,[2]BV_Data_An_Cour!$AQ:$AQ,$C75,[2]BV_Data_An_Cour!$AR:$AR,L$2)</f>
        <v>35241.440000000002</v>
      </c>
      <c r="M75" s="26"/>
      <c r="N75" s="39" t="e">
        <f t="shared" si="16"/>
        <v>#N/A</v>
      </c>
      <c r="O75" s="26"/>
      <c r="P75" s="7"/>
      <c r="Q75" s="39">
        <f>-SUMIFS([2]BV_Data_An_Prec!$AM:$AM,[2]BV_Data_An_Prec!$AP:$AP,$B75,[2]BV_Data_An_Prec!$AQ:$AQ,$C75,[2]BV_Data_An_Prec!$AR:$AR,Q$2)-Q157</f>
        <v>25446.580000000016</v>
      </c>
      <c r="R75" s="26"/>
      <c r="S75" s="39">
        <f t="shared" ref="S75:S82" si="17">L75-Q75</f>
        <v>9794.859999999986</v>
      </c>
      <c r="T75" s="6"/>
      <c r="U75" s="6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1:40" ht="16.2" hidden="1" customHeight="1">
      <c r="A76" s="410" t="s">
        <v>333</v>
      </c>
      <c r="B76" s="7" t="s">
        <v>0</v>
      </c>
      <c r="C76" s="300" t="s">
        <v>187</v>
      </c>
      <c r="D76" s="54"/>
      <c r="E76" s="7"/>
      <c r="F76" s="19" t="e">
        <f>+INDEX('[2]Budget original'!$A$2:$AO$501,MATCH($A76,'[2]Budget original'!$A$2:$A$501,0),MATCH(F$2,'[2]Budget original'!$A$2:$AO$2,0))</f>
        <v>#N/A</v>
      </c>
      <c r="G76" s="56"/>
      <c r="H76" s="7"/>
      <c r="I76" s="19"/>
      <c r="J76" s="26"/>
      <c r="K76" s="7"/>
      <c r="L76" s="39">
        <f>-SUMIFS([2]BV_Data_An_Cour!$AM:$AM,[2]BV_Data_An_Cour!$AP:$AP,$B76,[2]BV_Data_An_Cour!$AQ:$AQ,$C76,[2]BV_Data_An_Cour!$AR:$AR,L$2)</f>
        <v>0</v>
      </c>
      <c r="M76" s="26"/>
      <c r="N76" s="39" t="e">
        <f t="shared" si="16"/>
        <v>#N/A</v>
      </c>
      <c r="O76" s="26"/>
      <c r="P76" s="7"/>
      <c r="Q76" s="39">
        <f>-SUMIFS([2]BV_Data_An_Prec!$AM:$AM,[2]BV_Data_An_Prec!$AP:$AP,$B76,[2]BV_Data_An_Prec!$AQ:$AQ,$C76,[2]BV_Data_An_Prec!$AR:$AR,Q$2)</f>
        <v>0</v>
      </c>
      <c r="R76" s="26"/>
      <c r="S76" s="39">
        <f t="shared" si="17"/>
        <v>0</v>
      </c>
      <c r="T76" s="6"/>
      <c r="U76" s="6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1:40" ht="16.2" hidden="1" customHeight="1">
      <c r="A77" s="410" t="s">
        <v>334</v>
      </c>
      <c r="B77" s="7" t="s">
        <v>0</v>
      </c>
      <c r="C77" s="300" t="s">
        <v>65</v>
      </c>
      <c r="D77" s="54"/>
      <c r="E77" s="7"/>
      <c r="F77" s="19" t="e">
        <f>+INDEX('[2]Budget original'!$A$2:$AO$501,MATCH($A77,'[2]Budget original'!$A$2:$A$501,0),MATCH(F$2,'[2]Budget original'!$A$2:$AO$2,0))</f>
        <v>#N/A</v>
      </c>
      <c r="G77" s="56"/>
      <c r="H77" s="7"/>
      <c r="I77" s="19"/>
      <c r="J77" s="26"/>
      <c r="K77" s="7"/>
      <c r="L77" s="39">
        <f>-SUMIFS([2]BV_Data_An_Cour!$AM:$AM,[2]BV_Data_An_Cour!$AP:$AP,$B77,[2]BV_Data_An_Cour!$AQ:$AQ,$C77,[2]BV_Data_An_Cour!$AR:$AR,L$2)</f>
        <v>0</v>
      </c>
      <c r="M77" s="26"/>
      <c r="N77" s="39" t="e">
        <f t="shared" si="16"/>
        <v>#N/A</v>
      </c>
      <c r="O77" s="26"/>
      <c r="P77" s="7"/>
      <c r="Q77" s="39">
        <f>-SUMIFS([2]BV_Data_An_Prec!$AM:$AM,[2]BV_Data_An_Prec!$AP:$AP,$B77,[2]BV_Data_An_Prec!$AQ:$AQ,$C77,[2]BV_Data_An_Prec!$AR:$AR,Q$2)</f>
        <v>0</v>
      </c>
      <c r="R77" s="26"/>
      <c r="S77" s="39">
        <f t="shared" si="17"/>
        <v>0</v>
      </c>
      <c r="T77" s="6"/>
      <c r="U77" s="6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1:40" ht="16.2" hidden="1" customHeight="1">
      <c r="A78" s="410" t="s">
        <v>335</v>
      </c>
      <c r="B78" s="7" t="s">
        <v>0</v>
      </c>
      <c r="C78" s="300" t="s">
        <v>66</v>
      </c>
      <c r="D78" s="54"/>
      <c r="E78" s="301" t="e">
        <f>+F78/D27</f>
        <v>#N/A</v>
      </c>
      <c r="F78" s="19" t="e">
        <f>+INDEX('[2]Budget original'!$A$2:$AO$501,MATCH($A78,'[2]Budget original'!$A$2:$A$501,0),MATCH(F$2,'[2]Budget original'!$A$2:$AO$2,0))</f>
        <v>#N/A</v>
      </c>
      <c r="G78" s="56"/>
      <c r="H78" s="7"/>
      <c r="I78" s="19"/>
      <c r="J78" s="302"/>
      <c r="K78" s="301">
        <f>+L78/J27</f>
        <v>0</v>
      </c>
      <c r="L78" s="39">
        <f>-SUMIFS([2]BV_Data_An_Cour!$AM:$AM,[2]BV_Data_An_Cour!$AP:$AP,$B78,[2]BV_Data_An_Cour!$AQ:$AQ,$C78,[2]BV_Data_An_Cour!$AR:$AR,L$2)</f>
        <v>0</v>
      </c>
      <c r="M78" s="26"/>
      <c r="N78" s="39" t="e">
        <f t="shared" si="16"/>
        <v>#N/A</v>
      </c>
      <c r="O78" s="302"/>
      <c r="P78" s="301">
        <f>+Q78/O27</f>
        <v>0</v>
      </c>
      <c r="Q78" s="39">
        <f>-SUMIFS([2]BV_Data_An_Prec!$AM:$AM,[2]BV_Data_An_Prec!$AP:$AP,$B78,[2]BV_Data_An_Prec!$AQ:$AQ,$C78,[2]BV_Data_An_Prec!$AR:$AR,Q$2)</f>
        <v>0</v>
      </c>
      <c r="R78" s="26"/>
      <c r="S78" s="39">
        <f t="shared" si="17"/>
        <v>0</v>
      </c>
      <c r="T78" s="6"/>
      <c r="U78" s="6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1:40" ht="16.2" hidden="1" customHeight="1">
      <c r="A79" s="410" t="s">
        <v>285</v>
      </c>
      <c r="B79" s="7" t="s">
        <v>0</v>
      </c>
      <c r="C79" s="300" t="s">
        <v>19</v>
      </c>
      <c r="D79" s="54"/>
      <c r="E79" s="7"/>
      <c r="F79" s="19" t="e">
        <f>+INDEX('[2]Budget original'!$A$2:$AO$501,MATCH($A79,'[2]Budget original'!$A$2:$A$501,0),MATCH(F$2,'[2]Budget original'!$A$2:$AO$2,0))</f>
        <v>#N/A</v>
      </c>
      <c r="G79" s="56"/>
      <c r="H79" s="7"/>
      <c r="I79" s="19"/>
      <c r="J79" s="26"/>
      <c r="K79" s="7"/>
      <c r="L79" s="39">
        <f>-SUMIFS([2]BV_Data_An_Cour!$AM:$AM,[2]BV_Data_An_Cour!$AP:$AP,$B79,[2]BV_Data_An_Cour!$AQ:$AQ,$C79,[2]BV_Data_An_Cour!$AR:$AR,L$2)</f>
        <v>0</v>
      </c>
      <c r="M79" s="26"/>
      <c r="N79" s="39" t="e">
        <f t="shared" si="16"/>
        <v>#N/A</v>
      </c>
      <c r="O79" s="26"/>
      <c r="P79" s="7"/>
      <c r="Q79" s="39">
        <f>-SUMIFS([2]BV_Data_An_Prec!$AM:$AM,[2]BV_Data_An_Prec!$AP:$AP,$B79,[2]BV_Data_An_Prec!$AQ:$AQ,$C79,[2]BV_Data_An_Prec!$AR:$AR,Q$2)</f>
        <v>0</v>
      </c>
      <c r="R79" s="26"/>
      <c r="S79" s="39">
        <f t="shared" si="17"/>
        <v>0</v>
      </c>
      <c r="T79" s="6"/>
      <c r="U79" s="6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1:40" ht="16.2" hidden="1" customHeight="1">
      <c r="A80" s="410" t="s">
        <v>285</v>
      </c>
      <c r="B80" s="7" t="s">
        <v>0</v>
      </c>
      <c r="C80" s="300" t="s">
        <v>19</v>
      </c>
      <c r="D80" s="54"/>
      <c r="E80" s="7"/>
      <c r="F80" s="19" t="e">
        <f>+INDEX('[2]Budget original'!$A$2:$AO$501,MATCH($A80,'[2]Budget original'!$A$2:$A$501,0),MATCH(F$2,'[2]Budget original'!$A$2:$AO$2,0))</f>
        <v>#N/A</v>
      </c>
      <c r="G80" s="56"/>
      <c r="H80" s="7"/>
      <c r="I80" s="19"/>
      <c r="J80" s="26"/>
      <c r="K80" s="7"/>
      <c r="L80" s="39">
        <f>-SUMIFS([2]BV_Data_An_Cour!$AM:$AM,[2]BV_Data_An_Cour!$AP:$AP,$B80,[2]BV_Data_An_Cour!$AQ:$AQ,$C80,[2]BV_Data_An_Cour!$AR:$AR,L$2)</f>
        <v>0</v>
      </c>
      <c r="M80" s="26"/>
      <c r="N80" s="39" t="e">
        <f t="shared" si="16"/>
        <v>#N/A</v>
      </c>
      <c r="O80" s="26"/>
      <c r="P80" s="7"/>
      <c r="Q80" s="39">
        <f>-SUMIFS([2]BV_Data_An_Prec!$AM:$AM,[2]BV_Data_An_Prec!$AP:$AP,$B80,[2]BV_Data_An_Prec!$AQ:$AQ,$C80,[2]BV_Data_An_Prec!$AR:$AR,Q$2)</f>
        <v>0</v>
      </c>
      <c r="R80" s="26"/>
      <c r="S80" s="39">
        <f t="shared" si="17"/>
        <v>0</v>
      </c>
      <c r="T80" s="6"/>
      <c r="U80" s="6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1:40" ht="16.2" hidden="1" customHeight="1">
      <c r="A81" s="410" t="s">
        <v>285</v>
      </c>
      <c r="B81" s="7" t="s">
        <v>0</v>
      </c>
      <c r="C81" s="300" t="s">
        <v>19</v>
      </c>
      <c r="D81" s="54"/>
      <c r="E81" s="7"/>
      <c r="F81" s="19" t="e">
        <f>+INDEX('[2]Budget original'!$A$2:$AO$501,MATCH($A81,'[2]Budget original'!$A$2:$A$501,0),MATCH(F$2,'[2]Budget original'!$A$2:$AO$2,0))</f>
        <v>#N/A</v>
      </c>
      <c r="G81" s="56"/>
      <c r="H81" s="7"/>
      <c r="I81" s="19"/>
      <c r="J81" s="26"/>
      <c r="K81" s="7"/>
      <c r="L81" s="39">
        <f>-SUMIFS([2]BV_Data_An_Cour!$AM:$AM,[2]BV_Data_An_Cour!$AP:$AP,$B81,[2]BV_Data_An_Cour!$AQ:$AQ,$C81,[2]BV_Data_An_Cour!$AR:$AR,L$2)</f>
        <v>0</v>
      </c>
      <c r="M81" s="26"/>
      <c r="N81" s="39" t="e">
        <f t="shared" si="16"/>
        <v>#N/A</v>
      </c>
      <c r="O81" s="26"/>
      <c r="P81" s="7"/>
      <c r="Q81" s="39">
        <f>-SUMIFS([2]BV_Data_An_Prec!$AM:$AM,[2]BV_Data_An_Prec!$AP:$AP,$B81,[2]BV_Data_An_Prec!$AQ:$AQ,$C81,[2]BV_Data_An_Prec!$AR:$AR,Q$2)</f>
        <v>0</v>
      </c>
      <c r="R81" s="26"/>
      <c r="S81" s="39">
        <f t="shared" si="17"/>
        <v>0</v>
      </c>
      <c r="T81" s="6"/>
      <c r="U81" s="6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1:40" ht="16.2" customHeight="1">
      <c r="A82" s="234" t="s">
        <v>336</v>
      </c>
      <c r="B82" s="7" t="s">
        <v>0</v>
      </c>
      <c r="C82" s="26" t="s">
        <v>67</v>
      </c>
      <c r="D82" s="303" t="e">
        <f>E82/499</f>
        <v>#N/A</v>
      </c>
      <c r="E82" s="274" t="e">
        <f>+F82/D24</f>
        <v>#N/A</v>
      </c>
      <c r="F82" s="19" t="e">
        <f>+INDEX('[2]Budget original'!$A$2:$AO$501,MATCH($A82,'[2]Budget original'!$A$2:$A$501,0),MATCH(F$2,'[2]Budget original'!$A$2:$AO$2,0))</f>
        <v>#N/A</v>
      </c>
      <c r="G82" s="56"/>
      <c r="H82" s="7"/>
      <c r="I82" s="19"/>
      <c r="J82" s="275">
        <f>K82/699</f>
        <v>0.46929575944071045</v>
      </c>
      <c r="K82" s="274">
        <f>+L82/J24</f>
        <v>328.03773584905662</v>
      </c>
      <c r="L82" s="39">
        <f>-SUMIFS([2]BV_Data_An_Cour!$AM:$AM,[2]BV_Data_An_Cour!$AP:$AP,$B82,[2]BV_Data_An_Cour!$AQ:$AQ,$C82,[2]BV_Data_An_Cour!$AR:$AR,L$2)</f>
        <v>17386</v>
      </c>
      <c r="M82" s="26"/>
      <c r="N82" s="39" t="e">
        <f t="shared" si="16"/>
        <v>#N/A</v>
      </c>
      <c r="O82" s="275">
        <f>P82/699</f>
        <v>0</v>
      </c>
      <c r="P82" s="274">
        <f>+Q82/O24</f>
        <v>0</v>
      </c>
      <c r="Q82" s="39">
        <f>-SUMIFS([2]BV_Data_An_Prec!$AM:$AM,[2]BV_Data_An_Prec!$AP:$AP,$B82,[2]BV_Data_An_Prec!$AQ:$AQ,$C82,[2]BV_Data_An_Prec!$AR:$AR,Q$2)</f>
        <v>0</v>
      </c>
      <c r="R82" s="26"/>
      <c r="S82" s="39">
        <f t="shared" si="17"/>
        <v>17386</v>
      </c>
      <c r="T82" s="6">
        <f>16786+600</f>
        <v>17386</v>
      </c>
      <c r="U82" s="6" t="s">
        <v>513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1:40" ht="18.600000000000001" customHeight="1">
      <c r="A83" s="410" t="s">
        <v>337</v>
      </c>
      <c r="B83" s="7" t="s">
        <v>0</v>
      </c>
      <c r="C83" s="139" t="s">
        <v>68</v>
      </c>
      <c r="D83" s="62"/>
      <c r="E83" s="63"/>
      <c r="F83" s="64" t="e">
        <f>+SUM(F75:F82)</f>
        <v>#N/A</v>
      </c>
      <c r="G83" s="65"/>
      <c r="H83" s="63"/>
      <c r="I83" s="64"/>
      <c r="J83" s="65"/>
      <c r="K83" s="63"/>
      <c r="L83" s="64">
        <f>+SUM(L75:L82)</f>
        <v>52627.44</v>
      </c>
      <c r="M83" s="66"/>
      <c r="N83" s="64" t="e">
        <f>+SUM(N75:N82)</f>
        <v>#N/A</v>
      </c>
      <c r="O83" s="65"/>
      <c r="P83" s="63"/>
      <c r="Q83" s="64">
        <f>+SUM(Q75:Q82)</f>
        <v>25446.580000000016</v>
      </c>
      <c r="R83" s="67"/>
      <c r="S83" s="64">
        <f>+SUM(S75:S82)</f>
        <v>27180.859999999986</v>
      </c>
      <c r="T83" s="6"/>
      <c r="U83" s="6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1:40" ht="15.75" customHeight="1">
      <c r="A84" s="410" t="s">
        <v>0</v>
      </c>
      <c r="B84" s="7" t="s">
        <v>0</v>
      </c>
      <c r="C84" s="304"/>
      <c r="D84" s="75"/>
      <c r="E84" s="76"/>
      <c r="F84" s="77"/>
      <c r="G84" s="78"/>
      <c r="H84" s="76"/>
      <c r="I84" s="77"/>
      <c r="J84" s="79"/>
      <c r="K84" s="80"/>
      <c r="L84" s="77"/>
      <c r="M84" s="79"/>
      <c r="N84" s="81"/>
      <c r="O84" s="79"/>
      <c r="P84" s="80"/>
      <c r="Q84" s="77"/>
      <c r="R84" s="79"/>
      <c r="S84" s="81"/>
      <c r="T84" s="6"/>
      <c r="U84" s="6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1:40" ht="18.600000000000001" customHeight="1" thickBot="1">
      <c r="A85" s="410" t="s">
        <v>338</v>
      </c>
      <c r="B85" s="7" t="s">
        <v>0</v>
      </c>
      <c r="C85" s="276" t="s">
        <v>69</v>
      </c>
      <c r="D85" s="277"/>
      <c r="E85" s="278"/>
      <c r="F85" s="138" t="e">
        <f>F27-F74+F83</f>
        <v>#N/A</v>
      </c>
      <c r="G85" s="279"/>
      <c r="H85" s="278"/>
      <c r="I85" s="138"/>
      <c r="J85" s="279"/>
      <c r="K85" s="278"/>
      <c r="L85" s="138">
        <f>L27-L74+L83</f>
        <v>121672.00999999931</v>
      </c>
      <c r="M85" s="280"/>
      <c r="N85" s="138" t="e">
        <f>N27-N41-N54-N72+N83</f>
        <v>#N/A</v>
      </c>
      <c r="O85" s="279"/>
      <c r="P85" s="278"/>
      <c r="Q85" s="138">
        <f>Q27-Q74+Q83</f>
        <v>185234.56999999136</v>
      </c>
      <c r="R85" s="281"/>
      <c r="S85" s="138">
        <f>S27-S41-S54-S72+S83</f>
        <v>-63562.559999992052</v>
      </c>
      <c r="T85" s="6"/>
      <c r="U85" s="6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1:40" ht="15.75" customHeight="1" thickTop="1">
      <c r="B86" s="82"/>
      <c r="C86" s="82"/>
      <c r="D86" s="82"/>
      <c r="E86" s="82"/>
      <c r="F86" s="82"/>
      <c r="G86" s="82"/>
      <c r="H86" s="82"/>
      <c r="I86" s="82"/>
      <c r="J86" s="305"/>
      <c r="K86" s="82"/>
      <c r="L86" s="306"/>
      <c r="M86" s="82"/>
      <c r="N86" s="82"/>
      <c r="O86" s="82"/>
      <c r="P86" s="82"/>
      <c r="Q86" s="83"/>
      <c r="R86" s="82"/>
      <c r="S86" s="82"/>
      <c r="T86" s="6"/>
      <c r="U86" s="6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</row>
    <row r="87" spans="1:40" ht="12.75" customHeight="1">
      <c r="B87" s="82"/>
      <c r="C87" s="82"/>
      <c r="D87" s="82"/>
      <c r="E87" s="82"/>
      <c r="F87" s="82"/>
      <c r="G87" s="82"/>
      <c r="H87" s="82"/>
      <c r="I87" s="83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6"/>
      <c r="U87" s="6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</row>
    <row r="88" spans="1:40" ht="15.6" hidden="1" customHeight="1"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spans="1:40" ht="33" customHeight="1">
      <c r="B89" s="2"/>
      <c r="C89" s="251" t="str">
        <f>C1</f>
        <v>Ste-Marie Auto</v>
      </c>
      <c r="D89" s="252"/>
      <c r="E89" s="253"/>
      <c r="F89" s="252"/>
      <c r="G89" s="252"/>
      <c r="H89" s="254"/>
      <c r="I89" s="252"/>
      <c r="J89" s="254"/>
      <c r="K89" s="255" t="s">
        <v>70</v>
      </c>
      <c r="L89" s="252"/>
      <c r="M89" s="252"/>
      <c r="N89" s="256"/>
      <c r="O89" s="251"/>
      <c r="P89" s="257"/>
      <c r="Q89" s="251"/>
      <c r="R89" s="257"/>
      <c r="S89" s="258" t="str">
        <f>$S$1</f>
        <v>Réalisé, Aout 2026</v>
      </c>
      <c r="T89" s="381"/>
      <c r="U89" s="38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15.75" customHeight="1" thickBot="1">
      <c r="B90" s="3"/>
      <c r="C90" s="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spans="1:40" ht="15.75" customHeight="1" thickTop="1">
      <c r="B91" s="7"/>
      <c r="C91" s="259"/>
      <c r="D91" s="407" t="s">
        <v>5</v>
      </c>
      <c r="E91" s="408"/>
      <c r="F91" s="406"/>
      <c r="G91" s="405"/>
      <c r="H91" s="408"/>
      <c r="I91" s="406"/>
      <c r="J91" s="405" t="s">
        <v>7</v>
      </c>
      <c r="K91" s="408"/>
      <c r="L91" s="406"/>
      <c r="M91" s="405" t="s">
        <v>211</v>
      </c>
      <c r="N91" s="406"/>
      <c r="O91" s="407" t="s">
        <v>8</v>
      </c>
      <c r="P91" s="408"/>
      <c r="Q91" s="406"/>
      <c r="R91" s="405" t="s">
        <v>212</v>
      </c>
      <c r="S91" s="406"/>
      <c r="T91" s="6"/>
      <c r="U91" s="6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1:40" ht="15.75" customHeight="1">
      <c r="B92" s="7"/>
      <c r="C92" s="26"/>
      <c r="D92" s="8" t="s">
        <v>10</v>
      </c>
      <c r="E92" s="9" t="s">
        <v>11</v>
      </c>
      <c r="F92" s="10" t="s">
        <v>12</v>
      </c>
      <c r="G92" s="11"/>
      <c r="H92" s="9"/>
      <c r="I92" s="10"/>
      <c r="J92" s="11" t="s">
        <v>221</v>
      </c>
      <c r="K92" s="9" t="s">
        <v>13</v>
      </c>
      <c r="L92" s="10" t="s">
        <v>12</v>
      </c>
      <c r="M92" s="11" t="s">
        <v>221</v>
      </c>
      <c r="N92" s="10" t="s">
        <v>12</v>
      </c>
      <c r="O92" s="9" t="s">
        <v>10</v>
      </c>
      <c r="P92" s="9" t="s">
        <v>11</v>
      </c>
      <c r="Q92" s="10" t="s">
        <v>12</v>
      </c>
      <c r="R92" s="11" t="s">
        <v>221</v>
      </c>
      <c r="S92" s="10" t="s">
        <v>12</v>
      </c>
      <c r="T92" s="6"/>
      <c r="U92" s="6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1:40" ht="24" customHeight="1">
      <c r="A93" s="410" t="s">
        <v>222</v>
      </c>
      <c r="B93" s="7" t="s">
        <v>70</v>
      </c>
      <c r="C93" s="14" t="s">
        <v>14</v>
      </c>
      <c r="D93" s="30"/>
      <c r="E93" s="30"/>
      <c r="F93" s="31" t="e">
        <f>+INDEX('[2]Budget original'!$A$2:$AO$501,MATCH($A93,'[2]Budget original'!$A$2:$A$501,0),MATCH(F$2,'[2]Budget original'!$A$2:$AO$2,0))</f>
        <v>#N/A</v>
      </c>
      <c r="G93" s="34"/>
      <c r="H93" s="30"/>
      <c r="I93" s="31"/>
      <c r="J93" s="14"/>
      <c r="K93" s="58"/>
      <c r="L93" s="61">
        <f>-SUMIFS([2]BV_Data_An_Cour!$AM:$AM,[2]BV_Data_An_Cour!$AS:$AS,"Oui",[2]BV_Data_An_Cour!$AP:$AP,$B93)</f>
        <v>2038487.7499999991</v>
      </c>
      <c r="M93" s="86"/>
      <c r="N93" s="87"/>
      <c r="O93" s="14"/>
      <c r="P93" s="58"/>
      <c r="Q93" s="61">
        <f>-SUMIFS([2]BV_Data_An_Prec!$AM:$AM,[2]BV_Data_An_Prec!$AS:$AS,"Oui",[2]BV_Data_An_Prec!$AP:$AP,$B93)</f>
        <v>3574806.149999998</v>
      </c>
      <c r="R93" s="307"/>
      <c r="S93" s="286"/>
      <c r="T93" s="6"/>
      <c r="U93" s="6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1:40" ht="21.75" customHeight="1">
      <c r="A94" s="410" t="s">
        <v>224</v>
      </c>
      <c r="B94" s="7" t="s">
        <v>70</v>
      </c>
      <c r="C94" s="26" t="s">
        <v>72</v>
      </c>
      <c r="D94" s="19" t="e">
        <f>+INDEX('[2]Budget original'!$A$2:$AO$501,MATCH($A94,'[2]Budget original'!$A$2:$A$501,0),MATCH(D$2,'[2]Budget original'!$A$2:$AO$2,0))</f>
        <v>#N/A</v>
      </c>
      <c r="E94" s="19" t="e">
        <f>IF(D94=0,0,F94/D94)</f>
        <v>#N/A</v>
      </c>
      <c r="F94" s="19" t="e">
        <f>+INDEX('[2]Budget original'!$A$2:$AO$501,MATCH($A94,'[2]Budget original'!$A$2:$A$501,0),MATCH(F$2,'[2]Budget original'!$A$2:$AO$2,0))</f>
        <v>#N/A</v>
      </c>
      <c r="G94" s="20"/>
      <c r="H94" s="19"/>
      <c r="I94" s="19"/>
      <c r="J94" s="20">
        <f>SUMIFS([2]BV_Data_An_Cour!$AW:$AW,[2]BV_Data_An_Cour!$AP:$AP,$B94,[2]BV_Data_An_Cour!$AQ:$AQ,$C94,[2]BV_Data_An_Cour!$AY:$AY,J$2)</f>
        <v>0</v>
      </c>
      <c r="K94" s="55">
        <f t="shared" ref="K94:K96" si="18">IF(J94=0,0,L94/J94)</f>
        <v>0</v>
      </c>
      <c r="L94" s="39">
        <f>-SUMIFS([2]BV_Data_An_Cour!$AM:$AM,[2]BV_Data_An_Cour!$AP:$AP,$B94,[2]BV_Data_An_Cour!$AQ:$AQ,$C94,[2]BV_Data_An_Cour!$AR:$AR,$L2)</f>
        <v>0</v>
      </c>
      <c r="M94" s="20" t="e">
        <f>J94-D94</f>
        <v>#N/A</v>
      </c>
      <c r="N94" s="21" t="e">
        <f>L94-F94</f>
        <v>#N/A</v>
      </c>
      <c r="O94" s="20">
        <f>SUMIFS([2]BV_Data_An_Prec!$AW:$AW,[2]BV_Data_An_Prec!$AP:$AP,$B94,[2]BV_Data_An_Prec!$AQ:$AQ,$C94,[2]BV_Data_An_Prec!$AY:$AY,O$2)</f>
        <v>0</v>
      </c>
      <c r="P94" s="55">
        <f t="shared" ref="P94:P96" si="19">IF(O94=0,0,Q94/O94)</f>
        <v>0</v>
      </c>
      <c r="Q94" s="39">
        <f>-SUMIFS([2]BV_Data_An_Prec!$AM:$AM,[2]BV_Data_An_Prec!$AP:$AP,$B94,[2]BV_Data_An_Prec!$AQ:$AQ,$C94,[2]BV_Data_An_Prec!$AR:$AR,$L2)</f>
        <v>0</v>
      </c>
      <c r="R94" s="20">
        <f t="shared" ref="R94" si="20">J94-O94</f>
        <v>0</v>
      </c>
      <c r="S94" s="39">
        <f t="shared" ref="S94:S95" si="21">L94-Q94</f>
        <v>0</v>
      </c>
      <c r="T94" s="6"/>
      <c r="U94" s="6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1:40" ht="18.75" customHeight="1">
      <c r="A95" s="410" t="s">
        <v>226</v>
      </c>
      <c r="B95" s="7" t="s">
        <v>70</v>
      </c>
      <c r="C95" s="26" t="s">
        <v>73</v>
      </c>
      <c r="D95" s="19" t="e">
        <f>+INDEX('[2]Budget original'!$A$2:$AO$501,MATCH($A95,'[2]Budget original'!$A$2:$A$501,0),MATCH(D$2,'[2]Budget original'!$A$2:$AO$2,0))</f>
        <v>#N/A</v>
      </c>
      <c r="E95" s="19" t="e">
        <f t="shared" ref="E95:E106" si="22">IF(D95=0,0,F95/D95)</f>
        <v>#N/A</v>
      </c>
      <c r="F95" s="19" t="e">
        <f>+INDEX('[2]Budget original'!$A$2:$AO$501,MATCH($A95,'[2]Budget original'!$A$2:$A$501,0),MATCH(F$2,'[2]Budget original'!$A$2:$AO$2,0))</f>
        <v>#N/A</v>
      </c>
      <c r="G95" s="20"/>
      <c r="H95" s="19"/>
      <c r="I95" s="19"/>
      <c r="J95" s="20">
        <f>SUMIFS([2]BV_Data_An_Cour!$AW:$AW,[2]BV_Data_An_Cour!$AP:$AP,$B95,[2]BV_Data_An_Cour!$AQ:$AQ,$C95,[2]BV_Data_An_Cour!$AY:$AY,J$2)</f>
        <v>24</v>
      </c>
      <c r="K95" s="55">
        <f t="shared" si="18"/>
        <v>575.65166666666244</v>
      </c>
      <c r="L95" s="39">
        <f>-SUMIFS([2]BV_Data_An_Cour!$AM:$AM,[2]BV_Data_An_Cour!$AP:$AP,$B95,[2]BV_Data_An_Cour!$AQ:$AQ,$C95,[2]BV_Data_An_Cour!$AR:$AR,$L2)</f>
        <v>13815.639999999898</v>
      </c>
      <c r="M95" s="20" t="e">
        <f>J95-D95</f>
        <v>#N/A</v>
      </c>
      <c r="N95" s="21" t="e">
        <f>L95-F95</f>
        <v>#N/A</v>
      </c>
      <c r="O95" s="20">
        <f>SUMIFS([2]BV_Data_An_Prec!$AW:$AW,[2]BV_Data_An_Prec!$AP:$AP,$B95,[2]BV_Data_An_Prec!$AQ:$AQ,$C95,[2]BV_Data_An_Prec!$AY:$AY,O$2)</f>
        <v>16</v>
      </c>
      <c r="P95" s="55">
        <f t="shared" si="19"/>
        <v>1085.3031250000131</v>
      </c>
      <c r="Q95" s="39">
        <f>-SUMIFS([2]BV_Data_An_Prec!$AM:$AM,[2]BV_Data_An_Prec!$AP:$AP,$B95,[2]BV_Data_An_Prec!$AQ:$AQ,$C95,[2]BV_Data_An_Prec!$AR:$AR,$L2)</f>
        <v>17364.85000000021</v>
      </c>
      <c r="R95" s="20">
        <f>J95-O95</f>
        <v>8</v>
      </c>
      <c r="S95" s="39">
        <f t="shared" si="21"/>
        <v>-3549.210000000312</v>
      </c>
      <c r="T95" s="6"/>
      <c r="U95" s="6" t="s">
        <v>506</v>
      </c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1:40" ht="18.75" customHeight="1">
      <c r="A96" s="410" t="str">
        <f>B96&amp;C96</f>
        <v>Véhicules usagésAutres Marques</v>
      </c>
      <c r="B96" s="7" t="s">
        <v>70</v>
      </c>
      <c r="C96" s="26" t="s">
        <v>339</v>
      </c>
      <c r="D96" s="19" t="e">
        <f>+INDEX('[2]Budget original'!$A$2:$AO$501,MATCH($A96,'[2]Budget original'!$A$2:$A$501,0),MATCH(D$2,'[2]Budget original'!$A$2:$AO$2,0))</f>
        <v>#N/A</v>
      </c>
      <c r="E96" s="30" t="e">
        <f t="shared" si="22"/>
        <v>#N/A</v>
      </c>
      <c r="F96" s="19" t="e">
        <f>+INDEX('[2]Budget original'!$A$2:$AO$501,MATCH($A96,'[2]Budget original'!$A$2:$A$501,0),MATCH(F$2,'[2]Budget original'!$A$2:$AO$2,0))</f>
        <v>#N/A</v>
      </c>
      <c r="G96" s="20"/>
      <c r="H96" s="19"/>
      <c r="I96" s="19"/>
      <c r="J96" s="20">
        <f>SUMIFS([2]BV_Data_An_Cour!$AW:$AW,[2]BV_Data_An_Cour!$AP:$AP,$B96,[2]BV_Data_An_Cour!$AQ:$AQ,$C96,[2]BV_Data_An_Cour!$AY:$AY,J$2)</f>
        <v>0</v>
      </c>
      <c r="K96" s="58">
        <f t="shared" si="18"/>
        <v>0</v>
      </c>
      <c r="L96" s="39">
        <f>-SUMIFS([2]BV_Data_An_Cour!$AM:$AM,[2]BV_Data_An_Cour!$AP:$AP,$B96,[2]BV_Data_An_Cour!$AQ:$AQ,$C96,[2]BV_Data_An_Cour!$AR:$AR,$L2)</f>
        <v>0</v>
      </c>
      <c r="M96" s="20" t="e">
        <f>J96-D96</f>
        <v>#N/A</v>
      </c>
      <c r="N96" s="21" t="e">
        <f>L96-F96</f>
        <v>#N/A</v>
      </c>
      <c r="O96" s="20">
        <f>SUMIFS([2]BV_Data_An_Prec!$AW:$AW,[2]BV_Data_An_Prec!$AP:$AP,$B96,[2]BV_Data_An_Prec!$AQ:$AQ,$C96,[2]BV_Data_An_Prec!$AY:$AY,O$2)</f>
        <v>0</v>
      </c>
      <c r="P96" s="58">
        <f t="shared" si="19"/>
        <v>0</v>
      </c>
      <c r="Q96" s="39">
        <f>-SUMIFS([2]BV_Data_An_Prec!$AM:$AM,[2]BV_Data_An_Prec!$AP:$AP,$B96,[2]BV_Data_An_Prec!$AQ:$AQ,$C96,[2]BV_Data_An_Prec!$AR:$AR,$L2)</f>
        <v>0</v>
      </c>
      <c r="R96" s="20">
        <f>J96-O96</f>
        <v>0</v>
      </c>
      <c r="S96" s="39">
        <f>L96-Q96</f>
        <v>0</v>
      </c>
      <c r="T96" s="6"/>
      <c r="U96" s="6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1:40" ht="15.75" customHeight="1">
      <c r="A97" s="410" t="str">
        <f t="shared" ref="A97:A100" si="23">B97&amp;C97</f>
        <v>Véhicules usagésTotal Usagés</v>
      </c>
      <c r="B97" s="7" t="s">
        <v>70</v>
      </c>
      <c r="C97" s="289" t="s">
        <v>74</v>
      </c>
      <c r="D97" s="22" t="e">
        <f>+D95+D94+D96</f>
        <v>#N/A</v>
      </c>
      <c r="E97" s="290" t="e">
        <f t="shared" si="22"/>
        <v>#N/A</v>
      </c>
      <c r="F97" s="23" t="e">
        <f>+F94+F95+F96</f>
        <v>#N/A</v>
      </c>
      <c r="G97" s="24"/>
      <c r="H97" s="22"/>
      <c r="I97" s="23"/>
      <c r="J97" s="24">
        <f>+J94+J95+J96</f>
        <v>24</v>
      </c>
      <c r="K97" s="74">
        <f>IF(J97&lt;=0,0,L97/J97)</f>
        <v>575.65166666666244</v>
      </c>
      <c r="L97" s="123">
        <f>+L94+L95+L96</f>
        <v>13815.639999999898</v>
      </c>
      <c r="M97" s="24" t="e">
        <f>J97-D97</f>
        <v>#N/A</v>
      </c>
      <c r="N97" s="23" t="e">
        <f>L97-F97</f>
        <v>#N/A</v>
      </c>
      <c r="O97" s="22">
        <f>+O94+O95+O96</f>
        <v>16</v>
      </c>
      <c r="P97" s="74">
        <f>IF(O97&lt;=0,0,Q97/O97)</f>
        <v>1085.3031250000131</v>
      </c>
      <c r="Q97" s="123">
        <f>+Q94+Q95+Q96</f>
        <v>17364.85000000021</v>
      </c>
      <c r="R97" s="24">
        <f>R94+R95</f>
        <v>8</v>
      </c>
      <c r="S97" s="123">
        <f>S94+S95</f>
        <v>-3549.210000000312</v>
      </c>
      <c r="T97" s="6">
        <v>24</v>
      </c>
      <c r="U97" s="411">
        <v>13816</v>
      </c>
      <c r="V97" s="412">
        <f>L97-U97</f>
        <v>-0.36000000010244548</v>
      </c>
      <c r="W97" s="7"/>
      <c r="X97" s="7"/>
      <c r="Y97" s="7"/>
      <c r="Z97" s="7"/>
      <c r="AA97" s="7"/>
      <c r="AB97" s="7"/>
      <c r="AC97" s="55"/>
      <c r="AD97" s="55"/>
      <c r="AE97" s="7"/>
      <c r="AF97" s="55"/>
      <c r="AG97" s="7"/>
      <c r="AH97" s="7"/>
      <c r="AI97" s="7"/>
      <c r="AJ97" s="7"/>
      <c r="AK97" s="7"/>
      <c r="AL97" s="7"/>
      <c r="AM97" s="7"/>
      <c r="AN97" s="7"/>
    </row>
    <row r="98" spans="1:40" ht="15.75" customHeight="1">
      <c r="A98" s="410" t="str">
        <f t="shared" si="23"/>
        <v>Véhicules usagés</v>
      </c>
      <c r="B98" s="7" t="s">
        <v>70</v>
      </c>
      <c r="C98" s="52"/>
      <c r="D98" s="50"/>
      <c r="E98" s="290">
        <f t="shared" si="22"/>
        <v>0</v>
      </c>
      <c r="F98" s="51"/>
      <c r="G98" s="52"/>
      <c r="H98" s="50"/>
      <c r="I98" s="51"/>
      <c r="J98" s="52"/>
      <c r="K98" s="74"/>
      <c r="L98" s="112"/>
      <c r="M98" s="308"/>
      <c r="N98" s="309"/>
      <c r="O98" s="52"/>
      <c r="P98" s="74"/>
      <c r="Q98" s="112"/>
      <c r="R98" s="291">
        <f>R97/O97</f>
        <v>0.5</v>
      </c>
      <c r="S98" s="28">
        <f>IF(Q97=0,0,(S97/Q97))</f>
        <v>-0.20439047846657293</v>
      </c>
      <c r="T98" s="6"/>
      <c r="U98" s="411"/>
      <c r="V98" s="412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1:40" ht="15.75" customHeight="1">
      <c r="A99" s="410" t="str">
        <f t="shared" si="23"/>
        <v>Véhicules usagésRachat bail</v>
      </c>
      <c r="B99" s="7" t="s">
        <v>70</v>
      </c>
      <c r="C99" s="52" t="s">
        <v>23</v>
      </c>
      <c r="D99" s="19"/>
      <c r="E99" s="19"/>
      <c r="F99" s="19"/>
      <c r="G99" s="20"/>
      <c r="H99" s="19"/>
      <c r="I99" s="19"/>
      <c r="J99" s="20"/>
      <c r="K99" s="55">
        <f>IF(J99=0,0,L99/J99)</f>
        <v>0</v>
      </c>
      <c r="L99" s="39">
        <f>-SUMIFS([2]BV_Data_An_Cour!$AM:$AM,[2]BV_Data_An_Cour!$AP:$AP,$B99,[2]BV_Data_An_Cour!$AQ:$AQ,$C99,[2]BV_Data_An_Cour!$AR:$AR,L$2)</f>
        <v>0</v>
      </c>
      <c r="M99" s="20">
        <f>J99-D99</f>
        <v>0</v>
      </c>
      <c r="N99" s="21">
        <f>L99-F99</f>
        <v>0</v>
      </c>
      <c r="O99" s="20"/>
      <c r="P99" s="55">
        <f>IF(O99=0,0,Q99/O99)</f>
        <v>0</v>
      </c>
      <c r="Q99" s="39">
        <f>-SUMIFS([2]BV_Data_An_Prec!$AM:$AM,[2]BV_Data_An_Prec!$AP:$AP,$B99,[2]BV_Data_An_Prec!$AQ:$AQ,$C99,[2]BV_Data_An_Prec!$AR:$AR,Q$2)</f>
        <v>0</v>
      </c>
      <c r="R99" s="20">
        <f>J99-O99</f>
        <v>0</v>
      </c>
      <c r="S99" s="39">
        <f>L99-Q99</f>
        <v>0</v>
      </c>
      <c r="T99" s="6"/>
      <c r="U99" s="413"/>
      <c r="V99" s="412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1:40" ht="15.75" customHeight="1">
      <c r="A100" s="410" t="str">
        <f t="shared" si="23"/>
        <v>Véhicules usagés</v>
      </c>
      <c r="B100" s="7" t="s">
        <v>70</v>
      </c>
      <c r="C100" s="52"/>
      <c r="D100" s="19"/>
      <c r="E100" s="19"/>
      <c r="F100" s="19"/>
      <c r="G100" s="20"/>
      <c r="H100" s="19"/>
      <c r="I100" s="19"/>
      <c r="J100" s="20"/>
      <c r="K100" s="55"/>
      <c r="L100" s="39"/>
      <c r="M100" s="20"/>
      <c r="N100" s="21"/>
      <c r="O100" s="20"/>
      <c r="P100" s="55"/>
      <c r="Q100" s="39"/>
      <c r="R100" s="20"/>
      <c r="S100" s="39"/>
      <c r="T100" s="6"/>
      <c r="U100" s="411"/>
      <c r="V100" s="412"/>
      <c r="W100" s="19"/>
      <c r="X100" s="19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1:40" ht="15.75" customHeight="1">
      <c r="A101" s="410" t="s">
        <v>340</v>
      </c>
      <c r="B101" s="7" t="s">
        <v>70</v>
      </c>
      <c r="C101" s="52" t="s">
        <v>75</v>
      </c>
      <c r="D101" s="19" t="e">
        <f>+INDEX('[2]Budget original'!$A$2:$AO$501,MATCH($A101,'[2]Budget original'!$A$2:$A$501,0),MATCH(D$2,'[2]Budget original'!$A$2:$AO$2,0))</f>
        <v>#N/A</v>
      </c>
      <c r="E101" s="19" t="e">
        <f t="shared" si="22"/>
        <v>#N/A</v>
      </c>
      <c r="F101" s="19" t="e">
        <f>+INDEX('[2]Budget original'!$A$2:$AO$501,MATCH($A101,'[2]Budget original'!$A$2:$A$501,0),MATCH(F$2,'[2]Budget original'!$A$2:$AO$2,0))</f>
        <v>#N/A</v>
      </c>
      <c r="G101" s="20"/>
      <c r="H101" s="19"/>
      <c r="I101" s="19"/>
      <c r="J101" s="20">
        <f>SUMIFS([2]BV_Data_An_Cour!$AW:$AW,[2]BV_Data_An_Cour!$AP:$AP,$B101,[2]BV_Data_An_Cour!$AQ:$AQ,$C101,[2]BV_Data_An_Cour!$AY:$AY,J$2)</f>
        <v>35</v>
      </c>
      <c r="K101" s="55">
        <f>IF(J101=0,0,L101/J101)</f>
        <v>-476.81885714287802</v>
      </c>
      <c r="L101" s="39">
        <f>-SUMIFS([2]BV_Data_An_Cour!$AM:$AM,[2]BV_Data_An_Cour!$AP:$AP,$B101,[2]BV_Data_An_Cour!$AQ:$AQ,$C101,[2]BV_Data_An_Cour!$AR:$AR,L$2)</f>
        <v>-16688.660000000731</v>
      </c>
      <c r="M101" s="20" t="e">
        <f>J101-D101</f>
        <v>#N/A</v>
      </c>
      <c r="N101" s="21" t="e">
        <f>L101-F101</f>
        <v>#N/A</v>
      </c>
      <c r="O101" s="20">
        <f>SUMIFS([2]BV_Data_An_Prec!$AW:$AW,[2]BV_Data_An_Prec!$AP:$AP,$B101,[2]BV_Data_An_Prec!$AQ:$AQ,$C101,[2]BV_Data_An_Prec!$AY:$AY,O$2)</f>
        <v>82</v>
      </c>
      <c r="P101" s="55">
        <f>IF(O101=0,0,Q101/O101)</f>
        <v>40.515365853633092</v>
      </c>
      <c r="Q101" s="39">
        <f>-SUMIFS([2]BV_Data_An_Prec!$AM:$AM,[2]BV_Data_An_Prec!$AP:$AP,$B101,[2]BV_Data_An_Prec!$AQ:$AQ,$C101,[2]BV_Data_An_Prec!$AR:$AR,Q$2)</f>
        <v>3322.2599999979138</v>
      </c>
      <c r="R101" s="40">
        <f>J101-O101</f>
        <v>-47</v>
      </c>
      <c r="S101" s="39">
        <f>L101-Q101</f>
        <v>-20010.919999998645</v>
      </c>
      <c r="T101" s="6">
        <v>35</v>
      </c>
      <c r="U101" s="411">
        <v>-16689</v>
      </c>
      <c r="V101" s="412">
        <f>L101-U101</f>
        <v>0.33999999926891178</v>
      </c>
      <c r="W101" s="7"/>
      <c r="X101" s="7"/>
      <c r="Y101" s="7"/>
      <c r="Z101" s="7"/>
      <c r="AA101" s="7"/>
      <c r="AB101" s="7"/>
      <c r="AC101" s="55"/>
      <c r="AD101" s="7"/>
      <c r="AE101" s="7"/>
      <c r="AF101" s="89"/>
      <c r="AG101" s="7"/>
      <c r="AH101" s="7"/>
      <c r="AI101" s="7"/>
      <c r="AJ101" s="7"/>
      <c r="AK101" s="7"/>
      <c r="AL101" s="7"/>
      <c r="AM101" s="7"/>
      <c r="AN101" s="7"/>
    </row>
    <row r="102" spans="1:40" ht="15.75" customHeight="1">
      <c r="A102" s="410" t="s">
        <v>70</v>
      </c>
      <c r="B102" s="7" t="s">
        <v>70</v>
      </c>
      <c r="C102" s="14"/>
      <c r="D102" s="30"/>
      <c r="E102" s="30"/>
      <c r="F102" s="31"/>
      <c r="G102" s="34"/>
      <c r="H102" s="30"/>
      <c r="I102" s="31"/>
      <c r="J102" s="34"/>
      <c r="K102" s="58"/>
      <c r="L102" s="61"/>
      <c r="M102" s="32"/>
      <c r="N102" s="90"/>
      <c r="O102" s="34"/>
      <c r="P102" s="58"/>
      <c r="Q102" s="61"/>
      <c r="R102" s="32"/>
      <c r="S102" s="115"/>
      <c r="T102" s="6"/>
      <c r="U102" s="411"/>
      <c r="V102" s="414"/>
      <c r="W102" s="19"/>
      <c r="X102" s="7"/>
      <c r="Y102" s="7"/>
      <c r="Z102" s="7"/>
      <c r="AA102" s="7"/>
      <c r="AB102" s="7"/>
      <c r="AC102" s="7"/>
      <c r="AD102" s="7"/>
      <c r="AE102" s="7"/>
      <c r="AF102" s="89"/>
      <c r="AG102" s="7"/>
      <c r="AH102" s="7"/>
      <c r="AI102" s="7"/>
      <c r="AJ102" s="7"/>
      <c r="AK102" s="7"/>
      <c r="AL102" s="7"/>
      <c r="AM102" s="7"/>
      <c r="AN102" s="7"/>
    </row>
    <row r="103" spans="1:40" ht="15.75" customHeight="1">
      <c r="A103" s="410" t="s">
        <v>341</v>
      </c>
      <c r="B103" s="7" t="s">
        <v>70</v>
      </c>
      <c r="C103" s="26" t="s">
        <v>24</v>
      </c>
      <c r="D103" s="19" t="e">
        <f>+INDEX('[2]Budget original'!$A$2:$AO$501,MATCH($A103,'[2]Budget original'!$A$2:$A$501,0),MATCH(D$2,'[2]Budget original'!$A$2:$AO$2,0))</f>
        <v>#N/A</v>
      </c>
      <c r="E103" s="19" t="e">
        <f t="shared" si="22"/>
        <v>#N/A</v>
      </c>
      <c r="F103" s="21" t="e">
        <f>+INDEX('[2]Budget original'!$A$2:$AO$501,MATCH($A103,'[2]Budget original'!$A$2:$A$501,0),MATCH(F$2,'[2]Budget original'!$A$2:$AO$2,0))</f>
        <v>#N/A</v>
      </c>
      <c r="G103" s="20"/>
      <c r="H103" s="19"/>
      <c r="I103" s="19"/>
      <c r="J103" s="20"/>
      <c r="K103" s="55">
        <f>IF(J97=0,0,L103/J97)</f>
        <v>639.08749999999998</v>
      </c>
      <c r="L103" s="39">
        <f>-SUMIFS([2]BV_Data_An_Cour!$AM:$AM,[2]BV_Data_An_Cour!$AP:$AP,$B103,[2]BV_Data_An_Cour!$AQ:$AQ,$C103,[2]BV_Data_An_Cour!$AR:$AR,$L2)</f>
        <v>15338.099999999999</v>
      </c>
      <c r="M103" s="20"/>
      <c r="N103" s="21" t="e">
        <f>L103-F103</f>
        <v>#N/A</v>
      </c>
      <c r="O103" s="20"/>
      <c r="P103" s="55">
        <f>IF(O97=0,0,Q103/O97)</f>
        <v>458.09249999999997</v>
      </c>
      <c r="Q103" s="39">
        <f>-SUMIFS([2]BV_Data_An_Prec!$AM:$AM,[2]BV_Data_An_Prec!$AP:$AP,$B103,[2]BV_Data_An_Prec!$AQ:$AQ,$C103,[2]BV_Data_An_Prec!$AR:$AR,$L2)</f>
        <v>7329.48</v>
      </c>
      <c r="R103" s="40">
        <f>P103-K103</f>
        <v>-180.995</v>
      </c>
      <c r="S103" s="39">
        <f t="shared" ref="S103:S105" si="24">L103-Q103</f>
        <v>8008.619999999999</v>
      </c>
      <c r="T103" s="6"/>
      <c r="U103" s="413"/>
      <c r="V103" s="414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1:40" ht="15.75" customHeight="1">
      <c r="A104" s="410" t="s">
        <v>342</v>
      </c>
      <c r="B104" s="7" t="s">
        <v>70</v>
      </c>
      <c r="C104" s="26" t="s">
        <v>25</v>
      </c>
      <c r="D104" s="19" t="e">
        <f>+INDEX('[2]Budget original'!$A$2:$AO$501,MATCH($A104,'[2]Budget original'!$A$2:$A$501,0),MATCH(D$2,'[2]Budget original'!$A$2:$AO$2,0))</f>
        <v>#N/A</v>
      </c>
      <c r="E104" s="19" t="e">
        <f t="shared" si="22"/>
        <v>#N/A</v>
      </c>
      <c r="F104" s="21" t="e">
        <f>+INDEX('[2]Budget original'!$A$2:$AO$501,MATCH($A104,'[2]Budget original'!$A$2:$A$501,0),MATCH(F$2,'[2]Budget original'!$A$2:$AO$2,0))</f>
        <v>#N/A</v>
      </c>
      <c r="G104" s="20"/>
      <c r="H104" s="19"/>
      <c r="I104" s="19"/>
      <c r="J104" s="20"/>
      <c r="K104" s="55">
        <f>IF(J97=0,0,L104/J97)</f>
        <v>484.48208333333332</v>
      </c>
      <c r="L104" s="39">
        <f>-SUMIFS([2]BV_Data_An_Cour!$AM:$AM,[2]BV_Data_An_Cour!$AP:$AP,$B104,[2]BV_Data_An_Cour!$AQ:$AQ,$C104,[2]BV_Data_An_Cour!$AR:$AR,$L2)</f>
        <v>11627.57</v>
      </c>
      <c r="M104" s="20"/>
      <c r="N104" s="21" t="e">
        <f>L104-F104</f>
        <v>#N/A</v>
      </c>
      <c r="O104" s="20"/>
      <c r="P104" s="55">
        <f>IF(O97=0,0,Q104/O97)</f>
        <v>342.19437499999998</v>
      </c>
      <c r="Q104" s="39">
        <f>-SUMIFS([2]BV_Data_An_Prec!$AM:$AM,[2]BV_Data_An_Prec!$AP:$AP,$B104,[2]BV_Data_An_Prec!$AQ:$AQ,$C104,[2]BV_Data_An_Prec!$AR:$AR,$L2)</f>
        <v>5475.11</v>
      </c>
      <c r="R104" s="40">
        <f t="shared" ref="R104:R106" si="25">P104-K104</f>
        <v>-142.28770833333334</v>
      </c>
      <c r="S104" s="39">
        <f t="shared" si="24"/>
        <v>6152.46</v>
      </c>
      <c r="T104" s="6"/>
      <c r="U104" s="411"/>
      <c r="V104" s="414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1:40" ht="15.75" customHeight="1">
      <c r="A105" s="410" t="s">
        <v>343</v>
      </c>
      <c r="B105" s="7" t="s">
        <v>70</v>
      </c>
      <c r="C105" s="26" t="s">
        <v>26</v>
      </c>
      <c r="D105" s="19" t="e">
        <f>+INDEX('[2]Budget original'!$A$2:$AO$501,MATCH($A105,'[2]Budget original'!$A$2:$A$501,0),MATCH(D$2,'[2]Budget original'!$A$2:$AO$2,0))</f>
        <v>#N/A</v>
      </c>
      <c r="E105" s="30" t="e">
        <f t="shared" si="22"/>
        <v>#N/A</v>
      </c>
      <c r="F105" s="21" t="e">
        <f>+INDEX('[2]Budget original'!$A$2:$AO$501,MATCH($A105,'[2]Budget original'!$A$2:$A$501,0),MATCH(F$2,'[2]Budget original'!$A$2:$AO$2,0))</f>
        <v>#N/A</v>
      </c>
      <c r="G105" s="20"/>
      <c r="H105" s="30"/>
      <c r="I105" s="19"/>
      <c r="J105" s="20"/>
      <c r="K105" s="58">
        <f>IF(J97=0,0,L105/J97)</f>
        <v>0</v>
      </c>
      <c r="L105" s="39">
        <f>-SUMIFS([2]BV_Data_An_Cour!$AM:$AM,[2]BV_Data_An_Cour!$AP:$AP,$B105,[2]BV_Data_An_Cour!$AQ:$AQ,$C105,[2]BV_Data_An_Cour!$AR:$AR,$L$2)</f>
        <v>0</v>
      </c>
      <c r="M105" s="34"/>
      <c r="N105" s="21" t="e">
        <f>L105-F105</f>
        <v>#N/A</v>
      </c>
      <c r="O105" s="20"/>
      <c r="P105" s="58">
        <f>IF(O97=0,0,Q105/O97)</f>
        <v>0</v>
      </c>
      <c r="Q105" s="39">
        <f>-SUMIFS([2]BV_Data_An_Prec!$AM:$AM,[2]BV_Data_An_Prec!$AP:$AP,$B105,[2]BV_Data_An_Prec!$AQ:$AQ,$C105,[2]BV_Data_An_Prec!$AR:$AR,$L$2)</f>
        <v>0</v>
      </c>
      <c r="R105" s="40">
        <f t="shared" si="25"/>
        <v>0</v>
      </c>
      <c r="S105" s="39">
        <f t="shared" si="24"/>
        <v>0</v>
      </c>
      <c r="T105" s="6"/>
      <c r="U105" s="411"/>
      <c r="V105" s="414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1:40" ht="15.75" customHeight="1">
      <c r="A106" s="410" t="s">
        <v>344</v>
      </c>
      <c r="B106" s="7" t="s">
        <v>70</v>
      </c>
      <c r="C106" s="289" t="s">
        <v>27</v>
      </c>
      <c r="D106" s="22" t="e">
        <f>D97</f>
        <v>#N/A</v>
      </c>
      <c r="E106" s="290" t="e">
        <f t="shared" si="22"/>
        <v>#N/A</v>
      </c>
      <c r="F106" s="23" t="e">
        <f>F103+F104+F105</f>
        <v>#N/A</v>
      </c>
      <c r="G106" s="24"/>
      <c r="H106" s="22"/>
      <c r="I106" s="23"/>
      <c r="J106" s="24">
        <f>J97</f>
        <v>24</v>
      </c>
      <c r="K106" s="122">
        <f>IF(J106&lt;=0,0,L106/J106)</f>
        <v>1123.5695833333332</v>
      </c>
      <c r="L106" s="123">
        <f>L103+L104+L105</f>
        <v>26965.67</v>
      </c>
      <c r="M106" s="38" t="e">
        <f>J106-D106</f>
        <v>#N/A</v>
      </c>
      <c r="N106" s="23" t="e">
        <f>L106-F106</f>
        <v>#N/A</v>
      </c>
      <c r="O106" s="24">
        <f>O97</f>
        <v>16</v>
      </c>
      <c r="P106" s="122">
        <f>IF(O106&lt;=0,0,Q106/O106)</f>
        <v>800.28687500000001</v>
      </c>
      <c r="Q106" s="123">
        <f>Q103+Q104+Q105</f>
        <v>12804.59</v>
      </c>
      <c r="R106" s="124">
        <f t="shared" si="25"/>
        <v>-323.28270833333318</v>
      </c>
      <c r="S106" s="123">
        <f>L106-Q106</f>
        <v>14161.079999999998</v>
      </c>
      <c r="T106" s="6"/>
      <c r="U106" s="411">
        <v>26966</v>
      </c>
      <c r="V106" s="412">
        <f>L106-U106</f>
        <v>-0.33000000000174623</v>
      </c>
      <c r="W106" s="7"/>
      <c r="X106" s="7"/>
      <c r="Y106" s="7"/>
      <c r="Z106" s="7"/>
      <c r="AA106" s="7"/>
      <c r="AB106" s="7"/>
      <c r="AC106" s="7"/>
      <c r="AD106" s="55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1:40" ht="15.75" customHeight="1">
      <c r="A107" s="410" t="s">
        <v>70</v>
      </c>
      <c r="B107" s="7" t="s">
        <v>70</v>
      </c>
      <c r="C107" s="52"/>
      <c r="D107" s="50"/>
      <c r="E107" s="50"/>
      <c r="F107" s="112"/>
      <c r="G107" s="52"/>
      <c r="H107" s="110"/>
      <c r="I107" s="112"/>
      <c r="J107" s="52"/>
      <c r="K107" s="74"/>
      <c r="L107" s="112"/>
      <c r="M107" s="27"/>
      <c r="N107" s="28" t="e">
        <f>N106/F106</f>
        <v>#N/A</v>
      </c>
      <c r="O107" s="52"/>
      <c r="P107" s="74"/>
      <c r="Q107" s="112"/>
      <c r="R107" s="111"/>
      <c r="S107" s="28">
        <f>IF(Q106=0,0,(S106/Q106))</f>
        <v>1.1059377926196776</v>
      </c>
      <c r="T107" s="6"/>
      <c r="U107" s="411"/>
      <c r="V107" s="412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1:40" ht="15.75" customHeight="1" thickBot="1">
      <c r="A108" s="410" t="s">
        <v>70</v>
      </c>
      <c r="B108" s="7" t="s">
        <v>70</v>
      </c>
      <c r="C108" s="26"/>
      <c r="D108" s="7"/>
      <c r="E108" s="7"/>
      <c r="F108" s="39"/>
      <c r="G108" s="26"/>
      <c r="H108" s="91"/>
      <c r="I108" s="39"/>
      <c r="J108" s="26"/>
      <c r="K108" s="55"/>
      <c r="L108" s="39"/>
      <c r="M108" s="27"/>
      <c r="N108" s="28"/>
      <c r="O108" s="26"/>
      <c r="P108" s="55"/>
      <c r="Q108" s="39"/>
      <c r="R108" s="40"/>
      <c r="S108" s="28"/>
      <c r="T108" s="6"/>
      <c r="U108" s="411"/>
      <c r="V108" s="412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1:40" ht="18" customHeight="1" thickTop="1">
      <c r="A109" s="410" t="s">
        <v>229</v>
      </c>
      <c r="B109" s="7" t="s">
        <v>70</v>
      </c>
      <c r="C109" s="264" t="s">
        <v>76</v>
      </c>
      <c r="D109" s="41" t="e">
        <f>D97+D101</f>
        <v>#N/A</v>
      </c>
      <c r="E109" s="42" t="e">
        <f>IF(D109&lt;=0,0,F109/D109)</f>
        <v>#N/A</v>
      </c>
      <c r="F109" s="43" t="e">
        <f>F97+F106+F101</f>
        <v>#N/A</v>
      </c>
      <c r="G109" s="44"/>
      <c r="H109" s="42"/>
      <c r="I109" s="43"/>
      <c r="J109" s="44">
        <f>J97+J101</f>
        <v>59</v>
      </c>
      <c r="K109" s="41">
        <f>IF(J109&lt;=0,0,L109/J109)</f>
        <v>408.34999999998587</v>
      </c>
      <c r="L109" s="43">
        <f>L97+L106+L101+L99</f>
        <v>24092.649999999165</v>
      </c>
      <c r="M109" s="44" t="e">
        <f>J109-D109</f>
        <v>#N/A</v>
      </c>
      <c r="N109" s="43" t="e">
        <f>L109-F109</f>
        <v>#N/A</v>
      </c>
      <c r="O109" s="44">
        <f>O97+O101</f>
        <v>98</v>
      </c>
      <c r="P109" s="41">
        <f>IF(O109&lt;=0,0,Q109/O109)</f>
        <v>341.75204081630733</v>
      </c>
      <c r="Q109" s="43">
        <f>Q97+Q106+Q101+Q99</f>
        <v>33491.69999999812</v>
      </c>
      <c r="R109" s="44">
        <f>J109-O109</f>
        <v>-39</v>
      </c>
      <c r="S109" s="43">
        <f>L109-Q109</f>
        <v>-9399.0499999989552</v>
      </c>
      <c r="T109" s="6"/>
      <c r="U109" s="411">
        <f>SUM(U97:U107)</f>
        <v>24093</v>
      </c>
      <c r="V109" s="412">
        <f>L109-U109</f>
        <v>-0.35000000083527993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1:40" ht="22.5" customHeight="1" thickBot="1">
      <c r="A110" s="410" t="s">
        <v>70</v>
      </c>
      <c r="B110" s="7" t="s">
        <v>70</v>
      </c>
      <c r="C110" s="47"/>
      <c r="D110" s="45"/>
      <c r="E110" s="45"/>
      <c r="F110" s="46"/>
      <c r="G110" s="47"/>
      <c r="H110" s="45"/>
      <c r="I110" s="46"/>
      <c r="J110" s="47"/>
      <c r="K110" s="265"/>
      <c r="L110" s="266"/>
      <c r="M110" s="48"/>
      <c r="N110" s="49"/>
      <c r="O110" s="47"/>
      <c r="P110" s="265"/>
      <c r="Q110" s="266"/>
      <c r="R110" s="48">
        <f>O109/R109</f>
        <v>-2.5128205128205128</v>
      </c>
      <c r="S110" s="267">
        <f>IF(Q109=0,0,(S109/Q109))</f>
        <v>-0.28063818796894402</v>
      </c>
      <c r="T110" s="6"/>
      <c r="U110" s="411"/>
      <c r="V110" s="412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1:40" ht="15.75" customHeight="1" thickTop="1">
      <c r="A111" s="410" t="s">
        <v>70</v>
      </c>
      <c r="B111" s="7" t="s">
        <v>70</v>
      </c>
      <c r="C111" s="52"/>
      <c r="D111" s="50"/>
      <c r="E111" s="50"/>
      <c r="F111" s="51"/>
      <c r="G111" s="52"/>
      <c r="H111" s="50"/>
      <c r="I111" s="51"/>
      <c r="J111" s="52"/>
      <c r="K111" s="74"/>
      <c r="L111" s="112"/>
      <c r="M111" s="27"/>
      <c r="N111" s="28"/>
      <c r="O111" s="52"/>
      <c r="P111" s="74"/>
      <c r="Q111" s="112"/>
      <c r="R111" s="27"/>
      <c r="S111" s="112"/>
      <c r="T111" s="6"/>
      <c r="U111" s="411"/>
      <c r="V111" s="412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1:40" ht="15.75" customHeight="1">
      <c r="A112" s="410" t="s">
        <v>231</v>
      </c>
      <c r="B112" s="7" t="s">
        <v>70</v>
      </c>
      <c r="C112" s="268" t="s">
        <v>29</v>
      </c>
      <c r="D112" s="7"/>
      <c r="E112" s="53"/>
      <c r="F112" s="39"/>
      <c r="G112" s="26"/>
      <c r="H112" s="53"/>
      <c r="I112" s="39"/>
      <c r="J112" s="26"/>
      <c r="K112" s="269"/>
      <c r="L112" s="39"/>
      <c r="M112" s="26"/>
      <c r="N112" s="25"/>
      <c r="O112" s="26"/>
      <c r="P112" s="269"/>
      <c r="Q112" s="39"/>
      <c r="R112" s="26"/>
      <c r="S112" s="39"/>
      <c r="T112" s="6"/>
      <c r="U112" s="6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1:40" ht="15.75" customHeight="1">
      <c r="A113" s="410" t="s">
        <v>232</v>
      </c>
      <c r="B113" s="7" t="s">
        <v>70</v>
      </c>
      <c r="C113" s="26" t="s">
        <v>30</v>
      </c>
      <c r="D113" s="93" t="e">
        <f>F113/F97</f>
        <v>#N/A</v>
      </c>
      <c r="E113" s="55" t="e">
        <f t="shared" ref="E113:E122" si="26">F113/D$97</f>
        <v>#N/A</v>
      </c>
      <c r="F113" s="19" t="e">
        <f>+INDEX('[2]Budget original'!$A$2:$AO$501,MATCH($A113,'[2]Budget original'!$A$2:$A$501,0),MATCH(F$2,'[2]Budget original'!$A$2:$AO$2,0))</f>
        <v>#N/A</v>
      </c>
      <c r="G113" s="99"/>
      <c r="H113" s="55"/>
      <c r="I113" s="19"/>
      <c r="J113" s="99">
        <f>L113/L97</f>
        <v>0.17138185418844279</v>
      </c>
      <c r="K113" s="55">
        <f>IF($J$97=0,0,L113/(J$94+J$95+J96))</f>
        <v>98.65625</v>
      </c>
      <c r="L113" s="39">
        <f>SUMIFS([2]BV_Data_An_Cour!$AM:$AM,[2]BV_Data_An_Cour!$AP:$AP,$B113,[2]BV_Data_An_Cour!$AQ:$AQ,$C113,[2]BV_Data_An_Cour!$AR:$AR,$L$2)</f>
        <v>2367.75</v>
      </c>
      <c r="M113" s="26"/>
      <c r="N113" s="39" t="e">
        <f t="shared" ref="N113:N154" si="27">L113-F113</f>
        <v>#N/A</v>
      </c>
      <c r="O113" s="99">
        <f>Q113/Q97</f>
        <v>3.2155296475350683</v>
      </c>
      <c r="P113" s="55">
        <f>IF($J$97=0,0,Q113/(O$94+O$95+O96))</f>
        <v>3489.8243750000001</v>
      </c>
      <c r="Q113" s="39">
        <f>SUMIFS([2]BV_Data_An_Prec!$AM:$AM,[2]BV_Data_An_Prec!$AP:$AP,$B113,[2]BV_Data_An_Prec!$AQ:$AQ,$C113,[2]BV_Data_An_Prec!$AR:$AR,$L$2)</f>
        <v>55837.19</v>
      </c>
      <c r="R113" s="26"/>
      <c r="S113" s="39">
        <f>L113-Q113</f>
        <v>-53469.440000000002</v>
      </c>
      <c r="T113" s="6"/>
      <c r="U113" s="6" t="s">
        <v>501</v>
      </c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1:40" ht="15.75" customHeight="1">
      <c r="A114" s="410" t="s">
        <v>233</v>
      </c>
      <c r="B114" s="7" t="s">
        <v>70</v>
      </c>
      <c r="C114" s="14" t="s">
        <v>31</v>
      </c>
      <c r="D114" s="310" t="e">
        <f>F114/(F106)</f>
        <v>#N/A</v>
      </c>
      <c r="E114" s="58" t="e">
        <f t="shared" si="26"/>
        <v>#N/A</v>
      </c>
      <c r="F114" s="31" t="e">
        <f>+INDEX('[2]Budget original'!$A$2:$AO$501,MATCH($A114,'[2]Budget original'!$A$2:$A$501,0),MATCH(F$2,'[2]Budget original'!$A$2:$AO$2,0))</f>
        <v>#N/A</v>
      </c>
      <c r="G114" s="104"/>
      <c r="H114" s="58"/>
      <c r="I114" s="31"/>
      <c r="J114" s="104">
        <f>L114/(L106)</f>
        <v>0.21357637321824391</v>
      </c>
      <c r="K114" s="58">
        <f>IF($J$97=0,0,L114/(J$94+J$95+J96))</f>
        <v>239.96791666666681</v>
      </c>
      <c r="L114" s="39">
        <f>SUMIFS([2]BV_Data_An_Cour!$AM:$AM,[2]BV_Data_An_Cour!$AP:$AP,$B114,[2]BV_Data_An_Cour!$AQ:$AQ,$C114,[2]BV_Data_An_Cour!$AR:$AR,$L$2)</f>
        <v>5759.2300000000032</v>
      </c>
      <c r="M114" s="14"/>
      <c r="N114" s="61" t="e">
        <f t="shared" si="27"/>
        <v>#N/A</v>
      </c>
      <c r="O114" s="104">
        <f>Q114/(Q106)</f>
        <v>0.23503681101854876</v>
      </c>
      <c r="P114" s="58">
        <f>IF($J$97=0,0,Q114/(O$94+O$95+O96))</f>
        <v>188.09687499999995</v>
      </c>
      <c r="Q114" s="39">
        <f>SUMIFS([2]BV_Data_An_Prec!$AM:$AM,[2]BV_Data_An_Prec!$AP:$AP,$B114,[2]BV_Data_An_Prec!$AQ:$AQ,$C114,[2]BV_Data_An_Prec!$AR:$AR,$L$2)</f>
        <v>3009.5499999999993</v>
      </c>
      <c r="R114" s="14"/>
      <c r="S114" s="61">
        <f t="shared" ref="S114:S166" si="28">L114-Q114</f>
        <v>2749.6800000000039</v>
      </c>
      <c r="T114" s="6"/>
      <c r="U114" s="6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1:40" ht="15.75" customHeight="1">
      <c r="A115" s="410" t="s">
        <v>234</v>
      </c>
      <c r="B115" s="7" t="s">
        <v>70</v>
      </c>
      <c r="C115" s="26" t="s">
        <v>32</v>
      </c>
      <c r="D115" s="54"/>
      <c r="E115" s="55" t="e">
        <f t="shared" si="26"/>
        <v>#N/A</v>
      </c>
      <c r="F115" s="19" t="e">
        <f>+INDEX('[2]Budget original'!$A$2:$AO$501,MATCH($A115,'[2]Budget original'!$A$2:$A$501,0),MATCH(F$2,'[2]Budget original'!$A$2:$AO$2,0))</f>
        <v>#N/A</v>
      </c>
      <c r="G115" s="56"/>
      <c r="H115" s="55"/>
      <c r="I115" s="19"/>
      <c r="J115" s="26"/>
      <c r="K115" s="55">
        <f>IF($J$97=0,0,L115/(J$94+J$95+J96))</f>
        <v>9.2675000000000036</v>
      </c>
      <c r="L115" s="72">
        <f>SUMIFS([2]BV_Data_An_Cour!$AM:$AM,[2]BV_Data_An_Cour!$AP:$AP,$B115,[2]BV_Data_An_Cour!$AQ:$AQ,$C115,[2]BV_Data_An_Cour!$AR:$AR,$L$2)</f>
        <v>222.42000000000007</v>
      </c>
      <c r="M115" s="26"/>
      <c r="N115" s="39" t="e">
        <f t="shared" si="27"/>
        <v>#N/A</v>
      </c>
      <c r="O115" s="26"/>
      <c r="P115" s="55">
        <f>IF($J$97=0,0,Q115/(O$94+O$95+O96))</f>
        <v>-572.94499999999994</v>
      </c>
      <c r="Q115" s="72">
        <f>SUMIFS([2]BV_Data_An_Prec!$AM:$AM,[2]BV_Data_An_Prec!$AP:$AP,$B115,[2]BV_Data_An_Prec!$AQ:$AQ,$C115,[2]BV_Data_An_Prec!$AR:$AR,$L$2)</f>
        <v>-9167.119999999999</v>
      </c>
      <c r="R115" s="26"/>
      <c r="S115" s="39">
        <f t="shared" si="28"/>
        <v>9389.5399999999991</v>
      </c>
      <c r="T115" s="6"/>
      <c r="U115" s="6"/>
      <c r="V115" s="7"/>
      <c r="W115" s="19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1:40" ht="15.75" customHeight="1">
      <c r="A116" s="410" t="s">
        <v>235</v>
      </c>
      <c r="B116" s="7" t="s">
        <v>70</v>
      </c>
      <c r="C116" s="26" t="s">
        <v>33</v>
      </c>
      <c r="D116" s="54"/>
      <c r="E116" s="55" t="e">
        <f t="shared" si="26"/>
        <v>#N/A</v>
      </c>
      <c r="F116" s="19" t="e">
        <f>+INDEX('[2]Budget original'!$A$2:$AO$501,MATCH($A116,'[2]Budget original'!$A$2:$A$501,0),MATCH(F$2,'[2]Budget original'!$A$2:$AO$2,0))</f>
        <v>#N/A</v>
      </c>
      <c r="G116" s="56"/>
      <c r="H116" s="55"/>
      <c r="I116" s="19"/>
      <c r="J116" s="26"/>
      <c r="K116" s="55">
        <f>IF($J$97=0,0,L116/(J$94+J$95+J96))</f>
        <v>42.295833333333348</v>
      </c>
      <c r="L116" s="39">
        <f>SUMIFS([2]BV_Data_An_Cour!$AM:$AM,[2]BV_Data_An_Cour!$AP:$AP,$B116,[2]BV_Data_An_Cour!$AQ:$AQ,$C116,[2]BV_Data_An_Cour!$AR:$AR,$L$2)</f>
        <v>1015.1000000000004</v>
      </c>
      <c r="M116" s="26"/>
      <c r="N116" s="39" t="e">
        <f t="shared" si="27"/>
        <v>#N/A</v>
      </c>
      <c r="O116" s="26"/>
      <c r="P116" s="55">
        <f>IF($J$97=0,0,Q116/(O$94+O$95+O96))</f>
        <v>15.25</v>
      </c>
      <c r="Q116" s="39">
        <f>SUMIFS([2]BV_Data_An_Prec!$AM:$AM,[2]BV_Data_An_Prec!$AP:$AP,$B116,[2]BV_Data_An_Prec!$AQ:$AQ,$C116,[2]BV_Data_An_Prec!$AR:$AR,$L$2)</f>
        <v>244</v>
      </c>
      <c r="R116" s="26"/>
      <c r="S116" s="39">
        <f t="shared" si="28"/>
        <v>771.10000000000036</v>
      </c>
      <c r="T116" s="6"/>
      <c r="U116" s="6"/>
      <c r="V116" s="7"/>
      <c r="W116" s="19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1:40" ht="15.75" customHeight="1">
      <c r="A117" s="410" t="s">
        <v>236</v>
      </c>
      <c r="B117" s="7" t="s">
        <v>70</v>
      </c>
      <c r="C117" s="14" t="s">
        <v>34</v>
      </c>
      <c r="D117" s="57"/>
      <c r="E117" s="58" t="e">
        <f t="shared" si="26"/>
        <v>#N/A</v>
      </c>
      <c r="F117" s="31" t="e">
        <f>+INDEX('[2]Budget original'!$A$2:$AO$501,MATCH($A117,'[2]Budget original'!$A$2:$A$501,0),MATCH(F$2,'[2]Budget original'!$A$2:$AO$2,0))</f>
        <v>#N/A</v>
      </c>
      <c r="G117" s="59"/>
      <c r="H117" s="58"/>
      <c r="I117" s="31"/>
      <c r="J117" s="14"/>
      <c r="K117" s="58">
        <f>IF($J$97=0,0,L117/(J$94+J$95+J96))</f>
        <v>3.6895833333333337</v>
      </c>
      <c r="L117" s="61">
        <f>SUMIFS([2]BV_Data_An_Cour!$AM:$AM,[2]BV_Data_An_Cour!$AP:$AP,$B117,[2]BV_Data_An_Cour!$AQ:$AQ,$C117,[2]BV_Data_An_Cour!$AR:$AR,$L$2)</f>
        <v>88.550000000000011</v>
      </c>
      <c r="M117" s="14"/>
      <c r="N117" s="61" t="e">
        <f t="shared" si="27"/>
        <v>#N/A</v>
      </c>
      <c r="O117" s="14"/>
      <c r="P117" s="58">
        <f>IF($J$97=0,0,Q117/(O$94+O$95+O96))</f>
        <v>0</v>
      </c>
      <c r="Q117" s="61">
        <f>SUMIFS([2]BV_Data_An_Prec!$AM:$AM,[2]BV_Data_An_Prec!$AP:$AP,$B117,[2]BV_Data_An_Prec!$AQ:$AQ,$C117,[2]BV_Data_An_Prec!$AR:$AR,$L$2)</f>
        <v>0</v>
      </c>
      <c r="R117" s="14"/>
      <c r="S117" s="61">
        <f t="shared" si="28"/>
        <v>88.550000000000011</v>
      </c>
      <c r="T117" s="6"/>
      <c r="U117" s="97"/>
      <c r="V117" s="7"/>
      <c r="W117" s="19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1:40" ht="19.5" customHeight="1">
      <c r="A118" s="410" t="s">
        <v>237</v>
      </c>
      <c r="B118" s="7" t="s">
        <v>70</v>
      </c>
      <c r="C118" s="26" t="s">
        <v>35</v>
      </c>
      <c r="D118" s="54"/>
      <c r="E118" s="55" t="e">
        <f t="shared" si="26"/>
        <v>#N/A</v>
      </c>
      <c r="F118" s="19" t="e">
        <f>+INDEX('[2]Budget original'!$A$2:$AO$501,MATCH($A118,'[2]Budget original'!$A$2:$A$501,0),MATCH(F$2,'[2]Budget original'!$A$2:$AO$2,0))</f>
        <v>#N/A</v>
      </c>
      <c r="G118" s="56"/>
      <c r="H118" s="55"/>
      <c r="I118" s="19"/>
      <c r="J118" s="26"/>
      <c r="K118" s="55">
        <f>IF($J$97=0,0,L118/(J$94+J$95+J96))</f>
        <v>224.73000000000005</v>
      </c>
      <c r="L118" s="39">
        <f>SUMIFS([2]BV_Data_An_Cour!$AM:$AM,[2]BV_Data_An_Cour!$AP:$AP,$B118,[2]BV_Data_An_Cour!$AQ:$AQ,$C118,[2]BV_Data_An_Cour!$AR:$AR,$L$2)</f>
        <v>5393.5200000000013</v>
      </c>
      <c r="M118" s="26"/>
      <c r="N118" s="39" t="e">
        <f t="shared" si="27"/>
        <v>#N/A</v>
      </c>
      <c r="O118" s="26"/>
      <c r="P118" s="55">
        <f>IF($J$97=0,0,Q118/(O$94+O$95+O96))</f>
        <v>211.44687500000015</v>
      </c>
      <c r="Q118" s="39">
        <f>SUMIFS([2]BV_Data_An_Prec!$AM:$AM,[2]BV_Data_An_Prec!$AP:$AP,$B118,[2]BV_Data_An_Prec!$AQ:$AQ,$C118,[2]BV_Data_An_Prec!$AR:$AR,$L$2)</f>
        <v>3383.1500000000024</v>
      </c>
      <c r="R118" s="26"/>
      <c r="S118" s="39">
        <f t="shared" si="28"/>
        <v>2010.369999999999</v>
      </c>
      <c r="T118" s="6"/>
      <c r="U118" s="97"/>
      <c r="V118" s="7"/>
      <c r="W118" s="19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1:40" ht="15.75" customHeight="1">
      <c r="A119" s="410" t="s">
        <v>238</v>
      </c>
      <c r="B119" s="7" t="s">
        <v>70</v>
      </c>
      <c r="C119" s="26" t="s">
        <v>36</v>
      </c>
      <c r="D119" s="54"/>
      <c r="E119" s="55" t="e">
        <f t="shared" si="26"/>
        <v>#N/A</v>
      </c>
      <c r="F119" s="19" t="e">
        <f>+INDEX('[2]Budget original'!$A$2:$AO$501,MATCH($A119,'[2]Budget original'!$A$2:$A$501,0),MATCH(F$2,'[2]Budget original'!$A$2:$AO$2,0))</f>
        <v>#N/A</v>
      </c>
      <c r="G119" s="56"/>
      <c r="H119" s="55"/>
      <c r="I119" s="19"/>
      <c r="J119" s="26"/>
      <c r="K119" s="55">
        <f>IF($J$97=0,0,L119/(J$94+J$95+J96))</f>
        <v>252.85499999999956</v>
      </c>
      <c r="L119" s="39">
        <f>SUMIFS([2]BV_Data_An_Cour!$AM:$AM,[2]BV_Data_An_Cour!$AP:$AP,$B119,[2]BV_Data_An_Cour!$AQ:$AQ,$C119,[2]BV_Data_An_Cour!$AR:$AR,$L$2)</f>
        <v>6068.5199999999895</v>
      </c>
      <c r="M119" s="26"/>
      <c r="N119" s="39" t="e">
        <f t="shared" si="27"/>
        <v>#N/A</v>
      </c>
      <c r="O119" s="26"/>
      <c r="P119" s="55">
        <f>IF($J$97=0,0,Q119/(O$94+O$95+O96))</f>
        <v>968.77375000000029</v>
      </c>
      <c r="Q119" s="39">
        <f>SUMIFS([2]BV_Data_An_Prec!$AM:$AM,[2]BV_Data_An_Prec!$AP:$AP,$B119,[2]BV_Data_An_Prec!$AQ:$AQ,$C119,[2]BV_Data_An_Prec!$AR:$AR,$L$2)</f>
        <v>15500.380000000005</v>
      </c>
      <c r="R119" s="26"/>
      <c r="S119" s="39">
        <f t="shared" si="28"/>
        <v>-9431.8600000000151</v>
      </c>
      <c r="T119" s="6">
        <v>10069</v>
      </c>
      <c r="U119" s="97"/>
      <c r="W119" s="19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1:40" ht="15.75" customHeight="1">
      <c r="A120" s="410" t="s">
        <v>239</v>
      </c>
      <c r="B120" s="7" t="s">
        <v>70</v>
      </c>
      <c r="C120" s="26" t="s">
        <v>303</v>
      </c>
      <c r="D120" s="54"/>
      <c r="E120" s="55" t="e">
        <f t="shared" si="26"/>
        <v>#N/A</v>
      </c>
      <c r="F120" s="19" t="e">
        <f>+INDEX('[2]Budget original'!$A$2:$AO$501,MATCH($A120,'[2]Budget original'!$A$2:$A$501,0),MATCH(F$2,'[2]Budget original'!$A$2:$AO$2,0))</f>
        <v>#N/A</v>
      </c>
      <c r="G120" s="56"/>
      <c r="H120" s="55"/>
      <c r="I120" s="19"/>
      <c r="J120" s="26"/>
      <c r="K120" s="55">
        <f>IF($J$97=0,0,L120/(J$94+J$95))</f>
        <v>0</v>
      </c>
      <c r="L120" s="39">
        <f>SUMIFS([2]BV_Data_An_Cour!$AM:$AM,[2]BV_Data_An_Cour!$AP:$AP,$B120,[2]BV_Data_An_Cour!$AQ:$AQ,$C120,[2]BV_Data_An_Cour!$AR:$AR,$L$2)</f>
        <v>0</v>
      </c>
      <c r="M120" s="26"/>
      <c r="N120" s="39" t="e">
        <f t="shared" si="27"/>
        <v>#N/A</v>
      </c>
      <c r="O120" s="26"/>
      <c r="P120" s="55">
        <f>IF($J$97=0,0,Q120/(O$94+O$95))</f>
        <v>0</v>
      </c>
      <c r="Q120" s="39">
        <f>SUMIFS([2]BV_Data_An_Prec!$AM:$AM,[2]BV_Data_An_Prec!$AP:$AP,$B120,[2]BV_Data_An_Prec!$AQ:$AQ,$C120,[2]BV_Data_An_Prec!$AR:$AR,$L$2)</f>
        <v>0</v>
      </c>
      <c r="R120" s="26"/>
      <c r="S120" s="39">
        <f t="shared" si="28"/>
        <v>0</v>
      </c>
      <c r="T120" s="6"/>
      <c r="U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1:40" ht="15.75" customHeight="1">
      <c r="A121" s="410" t="s">
        <v>239</v>
      </c>
      <c r="B121" s="7" t="s">
        <v>70</v>
      </c>
      <c r="C121" s="26" t="s">
        <v>304</v>
      </c>
      <c r="D121" s="54"/>
      <c r="E121" s="55" t="e">
        <f t="shared" si="26"/>
        <v>#N/A</v>
      </c>
      <c r="F121" s="19" t="e">
        <f>+INDEX('[2]Budget original'!$A$2:$AO$501,MATCH($A121,'[2]Budget original'!$A$2:$A$501,0),MATCH(F$2,'[2]Budget original'!$A$2:$AO$2,0))</f>
        <v>#N/A</v>
      </c>
      <c r="G121" s="56"/>
      <c r="H121" s="55"/>
      <c r="I121" s="19"/>
      <c r="J121" s="26"/>
      <c r="K121" s="55">
        <f>IF($J$97=0,0,L121/(J$94+J$95))</f>
        <v>-67.48166666666657</v>
      </c>
      <c r="L121" s="39">
        <f>SUMIFS([2]BV_Data_An_Cour!$AM:$AM,[2]BV_Data_An_Cour!$AP:$AP,$B121,[2]BV_Data_An_Cour!$AQ:$AQ,$C121,[2]BV_Data_An_Cour!$AR:$AR,$L$2)</f>
        <v>-1619.5599999999977</v>
      </c>
      <c r="M121" s="26"/>
      <c r="N121" s="39" t="e">
        <f t="shared" si="27"/>
        <v>#N/A</v>
      </c>
      <c r="O121" s="26"/>
      <c r="P121" s="55">
        <f>IF($J$97=0,0,Q121/(O$94+O$95))</f>
        <v>0</v>
      </c>
      <c r="Q121" s="39">
        <f>SUMIFS([2]BV_Data_An_Prec!$AM:$AM,[2]BV_Data_An_Prec!$AP:$AP,$B121,[2]BV_Data_An_Prec!$AQ:$AQ,$C121,[2]BV_Data_An_Prec!$AR:$AR,$L$2)</f>
        <v>0</v>
      </c>
      <c r="R121" s="26"/>
      <c r="S121" s="39">
        <f t="shared" si="28"/>
        <v>-1619.5599999999977</v>
      </c>
      <c r="T121" s="6">
        <v>-1620</v>
      </c>
      <c r="U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1:40" ht="20.399999999999999" hidden="1" customHeight="1">
      <c r="A122" s="410" t="s">
        <v>239</v>
      </c>
      <c r="B122" s="7" t="s">
        <v>70</v>
      </c>
      <c r="C122" s="26" t="s">
        <v>19</v>
      </c>
      <c r="D122" s="54"/>
      <c r="E122" s="55" t="e">
        <f t="shared" si="26"/>
        <v>#N/A</v>
      </c>
      <c r="F122" s="19" t="e">
        <f>+INDEX('[2]Budget original'!$A$2:$AO$501,MATCH($A122,'[2]Budget original'!$A$2:$A$501,0),MATCH(F$2,'[2]Budget original'!$A$2:$AO$2,0))</f>
        <v>#N/A</v>
      </c>
      <c r="G122" s="56"/>
      <c r="H122" s="55"/>
      <c r="I122" s="19"/>
      <c r="J122" s="26"/>
      <c r="K122" s="55">
        <f>IF($J$97=0,0,L122/(J$94+J$95))</f>
        <v>0</v>
      </c>
      <c r="L122" s="21">
        <f>SUMIFS([2]BV_Data_An_Cour!$AM:$AM,[2]BV_Data_An_Cour!$AP:$AP,$B122,[2]BV_Data_An_Cour!$AQ:$AQ,$C122,[2]BV_Data_An_Cour!$AR:$AR,$L$2)</f>
        <v>0</v>
      </c>
      <c r="M122" s="26"/>
      <c r="N122" s="39" t="e">
        <f t="shared" si="27"/>
        <v>#N/A</v>
      </c>
      <c r="O122" s="26"/>
      <c r="P122" s="55">
        <f>IF($J$97=0,0,Q122/(O$94+O$95))</f>
        <v>0</v>
      </c>
      <c r="Q122" s="21">
        <f>SUMIFS([2]BV_Data_An_Prec!$AM:$AM,[2]BV_Data_An_Prec!$AP:$AP,$B122,[2]BV_Data_An_Prec!$AQ:$AQ,$C122,[2]BV_Data_An_Prec!$AR:$AR,$L$2)</f>
        <v>0</v>
      </c>
      <c r="R122" s="26"/>
      <c r="S122" s="39">
        <f t="shared" si="28"/>
        <v>0</v>
      </c>
      <c r="T122" s="6"/>
      <c r="U122" s="6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1:40" ht="18.600000000000001" customHeight="1">
      <c r="A123" s="410" t="s">
        <v>240</v>
      </c>
      <c r="B123" s="7" t="s">
        <v>70</v>
      </c>
      <c r="C123" s="139" t="s">
        <v>37</v>
      </c>
      <c r="D123" s="62" t="s">
        <v>38</v>
      </c>
      <c r="E123" s="63" t="e">
        <f>F123/F$109</f>
        <v>#N/A</v>
      </c>
      <c r="F123" s="64" t="e">
        <f>SUM(F113:F122)</f>
        <v>#N/A</v>
      </c>
      <c r="G123" s="65"/>
      <c r="H123" s="63"/>
      <c r="I123" s="64"/>
      <c r="J123" s="65" t="s">
        <v>38</v>
      </c>
      <c r="K123" s="63">
        <f>L123/L$109</f>
        <v>0.80088865276342225</v>
      </c>
      <c r="L123" s="64">
        <f>SUM(L113:L122)</f>
        <v>19295.529999999995</v>
      </c>
      <c r="M123" s="66"/>
      <c r="N123" s="64" t="e">
        <f t="shared" si="27"/>
        <v>#N/A</v>
      </c>
      <c r="O123" s="65" t="s">
        <v>38</v>
      </c>
      <c r="P123" s="63">
        <f>Q123/Q$109</f>
        <v>2.0544537900436195</v>
      </c>
      <c r="Q123" s="64">
        <f>SUM(Q113:Q122)</f>
        <v>68807.150000000023</v>
      </c>
      <c r="R123" s="67"/>
      <c r="S123" s="64">
        <f t="shared" si="28"/>
        <v>-49511.620000000024</v>
      </c>
      <c r="T123" s="6"/>
      <c r="U123" s="6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1:40" ht="15.75" customHeight="1">
      <c r="A124" s="410" t="s">
        <v>241</v>
      </c>
      <c r="B124" s="7" t="s">
        <v>70</v>
      </c>
      <c r="C124" s="271" t="s">
        <v>40</v>
      </c>
      <c r="D124" s="7"/>
      <c r="E124" s="7"/>
      <c r="F124" s="19" t="e">
        <f>+INDEX('[2]Budget original'!$A$2:$AO$501,MATCH($A124,'[2]Budget original'!$A$2:$A$501,0),MATCH(F$2,'[2]Budget original'!$A$2:$AO$2,0))</f>
        <v>#N/A</v>
      </c>
      <c r="G124" s="26"/>
      <c r="H124" s="7"/>
      <c r="I124" s="19"/>
      <c r="J124" s="26"/>
      <c r="K124" s="7"/>
      <c r="L124" s="39">
        <f>SUMIFS([2]BV_Data_An_Cour!$AM:$AM,[2]BV_Data_An_Cour!$AP:$AP,$B124,[2]BV_Data_An_Cour!$AQ:$AQ,$C124,[2]BV_Data_An_Cour!$AR:$AR,$L$2)</f>
        <v>4529.9000000000015</v>
      </c>
      <c r="M124" s="26"/>
      <c r="N124" s="39" t="e">
        <f t="shared" si="27"/>
        <v>#N/A</v>
      </c>
      <c r="O124" s="26"/>
      <c r="P124" s="7"/>
      <c r="Q124" s="39">
        <f>SUMIFS([2]BV_Data_An_Prec!$AM:$AM,[2]BV_Data_An_Prec!$AP:$AP,$B124,[2]BV_Data_An_Prec!$AQ:$AQ,$C124,[2]BV_Data_An_Prec!$AR:$AR,$L$2)</f>
        <v>22393.14</v>
      </c>
      <c r="R124" s="26"/>
      <c r="S124" s="39">
        <f t="shared" si="28"/>
        <v>-17863.239999999998</v>
      </c>
      <c r="T124" s="6"/>
      <c r="U124" s="6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1:40" ht="15.75" customHeight="1">
      <c r="A125" s="410" t="s">
        <v>242</v>
      </c>
      <c r="B125" s="7" t="s">
        <v>70</v>
      </c>
      <c r="C125" s="272" t="s">
        <v>41</v>
      </c>
      <c r="D125" s="54"/>
      <c r="E125" s="7"/>
      <c r="F125" s="31" t="e">
        <f>+INDEX('[2]Budget original'!$A$2:$AO$501,MATCH($A125,'[2]Budget original'!$A$2:$A$501,0),MATCH(F$2,'[2]Budget original'!$A$2:$AO$2,0))</f>
        <v>#N/A</v>
      </c>
      <c r="G125" s="56"/>
      <c r="H125" s="7"/>
      <c r="I125" s="31"/>
      <c r="J125" s="26"/>
      <c r="K125" s="7"/>
      <c r="L125" s="39">
        <f>SUMIFS([2]BV_Data_An_Cour!$AM:$AM,[2]BV_Data_An_Cour!$AP:$AP,$B125,[2]BV_Data_An_Cour!$AQ:$AQ,$C125,[2]BV_Data_An_Cour!$AR:$AR,$L$2)</f>
        <v>5717.4700000000012</v>
      </c>
      <c r="M125" s="26"/>
      <c r="N125" s="39" t="e">
        <f t="shared" si="27"/>
        <v>#N/A</v>
      </c>
      <c r="O125" s="26"/>
      <c r="P125" s="7"/>
      <c r="Q125" s="39">
        <f>SUMIFS([2]BV_Data_An_Prec!$AM:$AM,[2]BV_Data_An_Prec!$AP:$AP,$B125,[2]BV_Data_An_Prec!$AQ:$AQ,$C125,[2]BV_Data_An_Prec!$AR:$AR,$L$2)</f>
        <v>4606.1400000000031</v>
      </c>
      <c r="R125" s="26"/>
      <c r="S125" s="39">
        <f t="shared" si="28"/>
        <v>1111.3299999999981</v>
      </c>
      <c r="T125" s="6"/>
      <c r="U125" s="6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1:40" ht="15.75" customHeight="1">
      <c r="A126" s="410" t="s">
        <v>243</v>
      </c>
      <c r="B126" s="7" t="s">
        <v>70</v>
      </c>
      <c r="C126" s="271" t="s">
        <v>42</v>
      </c>
      <c r="D126" s="68"/>
      <c r="E126" s="69"/>
      <c r="F126" s="19" t="e">
        <f>+INDEX('[2]Budget original'!$A$2:$AO$501,MATCH($A126,'[2]Budget original'!$A$2:$A$501,0),MATCH(F$2,'[2]Budget original'!$A$2:$AO$2,0))</f>
        <v>#N/A</v>
      </c>
      <c r="G126" s="70"/>
      <c r="H126" s="69"/>
      <c r="I126" s="19"/>
      <c r="J126" s="71"/>
      <c r="K126" s="69"/>
      <c r="L126" s="72">
        <f>SUMIFS([2]BV_Data_An_Cour!$AM:$AM,[2]BV_Data_An_Cour!$AP:$AP,$B126,[2]BV_Data_An_Cour!$AQ:$AQ,$C126,[2]BV_Data_An_Cour!$AR:$AR,$L$2)</f>
        <v>1820.0400000000009</v>
      </c>
      <c r="M126" s="71"/>
      <c r="N126" s="72" t="e">
        <f t="shared" si="27"/>
        <v>#N/A</v>
      </c>
      <c r="O126" s="71"/>
      <c r="P126" s="69"/>
      <c r="Q126" s="72">
        <f>SUMIFS([2]BV_Data_An_Prec!$AM:$AM,[2]BV_Data_An_Prec!$AP:$AP,$B126,[2]BV_Data_An_Prec!$AQ:$AQ,$C126,[2]BV_Data_An_Prec!$AR:$AR,$L$2)</f>
        <v>657.71999999999935</v>
      </c>
      <c r="R126" s="71"/>
      <c r="S126" s="72">
        <f t="shared" si="28"/>
        <v>1162.3200000000015</v>
      </c>
      <c r="T126" s="6"/>
      <c r="U126" s="6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1:40" ht="20.399999999999999" hidden="1" customHeight="1">
      <c r="A127" s="410" t="s">
        <v>244</v>
      </c>
      <c r="B127" s="7" t="s">
        <v>70</v>
      </c>
      <c r="C127" s="271" t="s">
        <v>43</v>
      </c>
      <c r="D127" s="54"/>
      <c r="E127" s="7"/>
      <c r="F127" s="19" t="e">
        <f>+INDEX('[2]Budget original'!$A$2:$AO$501,MATCH($A127,'[2]Budget original'!$A$2:$A$501,0),MATCH(F$2,'[2]Budget original'!$A$2:$AO$2,0))</f>
        <v>#N/A</v>
      </c>
      <c r="G127" s="56"/>
      <c r="H127" s="7"/>
      <c r="I127" s="19"/>
      <c r="J127" s="26"/>
      <c r="K127" s="7"/>
      <c r="L127" s="39">
        <f>SUMIFS([2]BV_Data_An_Cour!$AM:$AM,[2]BV_Data_An_Cour!$AP:$AP,$B127,[2]BV_Data_An_Cour!$AQ:$AQ,$C127,[2]BV_Data_An_Cour!$AR:$AR,$L$2)</f>
        <v>0</v>
      </c>
      <c r="M127" s="26"/>
      <c r="N127" s="39" t="e">
        <f t="shared" si="27"/>
        <v>#N/A</v>
      </c>
      <c r="O127" s="26"/>
      <c r="P127" s="7"/>
      <c r="Q127" s="39">
        <f>SUMIFS([2]BV_Data_An_Prec!$AM:$AM,[2]BV_Data_An_Prec!$AP:$AP,$B127,[2]BV_Data_An_Prec!$AQ:$AQ,$C127,[2]BV_Data_An_Prec!$AR:$AR,$L$2)</f>
        <v>0</v>
      </c>
      <c r="R127" s="26"/>
      <c r="S127" s="39">
        <f t="shared" si="28"/>
        <v>0</v>
      </c>
      <c r="T127" s="6"/>
      <c r="U127" s="6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1:40" ht="20.399999999999999" hidden="1" customHeight="1">
      <c r="A128" s="410" t="s">
        <v>239</v>
      </c>
      <c r="B128" s="7" t="s">
        <v>70</v>
      </c>
      <c r="C128" s="271" t="s">
        <v>19</v>
      </c>
      <c r="D128" s="54"/>
      <c r="E128" s="7"/>
      <c r="F128" s="19" t="e">
        <f>+INDEX('[2]Budget original'!$A$2:$AO$501,MATCH($A128,'[2]Budget original'!$A$2:$A$501,0),MATCH(F$2,'[2]Budget original'!$A$2:$AO$2,0))</f>
        <v>#N/A</v>
      </c>
      <c r="G128" s="56"/>
      <c r="H128" s="7"/>
      <c r="I128" s="19"/>
      <c r="J128" s="26"/>
      <c r="K128" s="7"/>
      <c r="L128" s="39">
        <f>SUMIFS([2]BV_Data_An_Cour!$AM:$AM,[2]BV_Data_An_Cour!$AP:$AP,$B128,[2]BV_Data_An_Cour!$AQ:$AQ,$C128,[2]BV_Data_An_Cour!$AR:$AR,$L$2)</f>
        <v>0</v>
      </c>
      <c r="M128" s="26"/>
      <c r="N128" s="39" t="e">
        <f t="shared" si="27"/>
        <v>#N/A</v>
      </c>
      <c r="O128" s="26"/>
      <c r="P128" s="7"/>
      <c r="Q128" s="39">
        <f>SUMIFS([2]BV_Data_An_Prec!$AM:$AM,[2]BV_Data_An_Prec!$AP:$AP,$B128,[2]BV_Data_An_Prec!$AQ:$AQ,$C128,[2]BV_Data_An_Prec!$AR:$AR,$L$2)</f>
        <v>0</v>
      </c>
      <c r="R128" s="26"/>
      <c r="S128" s="39">
        <f t="shared" si="28"/>
        <v>0</v>
      </c>
      <c r="T128" s="6"/>
      <c r="U128" s="6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1:40" ht="20.399999999999999" hidden="1" customHeight="1">
      <c r="A129" s="410" t="s">
        <v>239</v>
      </c>
      <c r="B129" s="7" t="s">
        <v>70</v>
      </c>
      <c r="C129" s="271" t="s">
        <v>19</v>
      </c>
      <c r="D129" s="54"/>
      <c r="E129" s="7"/>
      <c r="F129" s="19" t="e">
        <f>+INDEX('[2]Budget original'!$A$2:$AO$501,MATCH($A129,'[2]Budget original'!$A$2:$A$501,0),MATCH(F$2,'[2]Budget original'!$A$2:$AO$2,0))</f>
        <v>#N/A</v>
      </c>
      <c r="G129" s="56"/>
      <c r="H129" s="7"/>
      <c r="I129" s="19"/>
      <c r="J129" s="26"/>
      <c r="K129" s="7"/>
      <c r="L129" s="39">
        <f>SUMIFS([2]BV_Data_An_Cour!$AM:$AM,[2]BV_Data_An_Cour!$AP:$AP,$B129,[2]BV_Data_An_Cour!$AQ:$AQ,$C129,[2]BV_Data_An_Cour!$AR:$AR,$L$2)</f>
        <v>0</v>
      </c>
      <c r="M129" s="26"/>
      <c r="N129" s="39" t="e">
        <f t="shared" si="27"/>
        <v>#N/A</v>
      </c>
      <c r="O129" s="26"/>
      <c r="P129" s="7"/>
      <c r="Q129" s="39">
        <f>SUMIFS([2]BV_Data_An_Prec!$AM:$AM,[2]BV_Data_An_Prec!$AP:$AP,$B129,[2]BV_Data_An_Prec!$AQ:$AQ,$C129,[2]BV_Data_An_Prec!$AR:$AR,$L$2)</f>
        <v>0</v>
      </c>
      <c r="R129" s="26"/>
      <c r="S129" s="39">
        <f t="shared" si="28"/>
        <v>0</v>
      </c>
      <c r="T129" s="6"/>
      <c r="U129" s="6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1:40" ht="20.399999999999999" hidden="1" customHeight="1">
      <c r="A130" s="410" t="s">
        <v>239</v>
      </c>
      <c r="B130" s="7" t="s">
        <v>70</v>
      </c>
      <c r="C130" s="271" t="s">
        <v>19</v>
      </c>
      <c r="D130" s="54"/>
      <c r="E130" s="7"/>
      <c r="F130" s="19" t="e">
        <f>+INDEX('[2]Budget original'!$A$2:$AO$501,MATCH($A130,'[2]Budget original'!$A$2:$A$501,0),MATCH(F$2,'[2]Budget original'!$A$2:$AO$2,0))</f>
        <v>#N/A</v>
      </c>
      <c r="G130" s="56"/>
      <c r="H130" s="7"/>
      <c r="I130" s="19"/>
      <c r="J130" s="26"/>
      <c r="K130" s="7"/>
      <c r="L130" s="39">
        <f>SUMIFS([2]BV_Data_An_Cour!$AM:$AM,[2]BV_Data_An_Cour!$AP:$AP,$B130,[2]BV_Data_An_Cour!$AQ:$AQ,$C130,[2]BV_Data_An_Cour!$AR:$AR,$L$2)</f>
        <v>0</v>
      </c>
      <c r="M130" s="26"/>
      <c r="N130" s="39" t="e">
        <f t="shared" si="27"/>
        <v>#N/A</v>
      </c>
      <c r="O130" s="26"/>
      <c r="P130" s="7"/>
      <c r="Q130" s="39">
        <f>SUMIFS([2]BV_Data_An_Prec!$AM:$AM,[2]BV_Data_An_Prec!$AP:$AP,$B130,[2]BV_Data_An_Prec!$AQ:$AQ,$C130,[2]BV_Data_An_Prec!$AR:$AR,$L$2)</f>
        <v>0</v>
      </c>
      <c r="R130" s="26"/>
      <c r="S130" s="39">
        <f t="shared" si="28"/>
        <v>0</v>
      </c>
      <c r="T130" s="6"/>
      <c r="U130" s="6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1:40" ht="15.75" customHeight="1">
      <c r="A131" s="410" t="s">
        <v>245</v>
      </c>
      <c r="B131" s="7" t="s">
        <v>70</v>
      </c>
      <c r="C131" s="272" t="s">
        <v>44</v>
      </c>
      <c r="D131" s="54"/>
      <c r="E131" s="7"/>
      <c r="F131" s="19" t="e">
        <f>+INDEX('[2]Budget original'!$A$2:$AO$501,MATCH($A131,'[2]Budget original'!$A$2:$A$501,0),MATCH(F$2,'[2]Budget original'!$A$2:$AO$2,0))</f>
        <v>#N/A</v>
      </c>
      <c r="G131" s="56"/>
      <c r="H131" s="7"/>
      <c r="I131" s="19"/>
      <c r="J131" s="26"/>
      <c r="K131" s="7"/>
      <c r="L131" s="39">
        <f>SUMIFS([2]BV_Data_An_Cour!$AM:$AM,[2]BV_Data_An_Cour!$AP:$AP,$B131,[2]BV_Data_An_Cour!$AQ:$AQ,$C131,[2]BV_Data_An_Cour!$AR:$AR,$L$2)</f>
        <v>2317.4499999999971</v>
      </c>
      <c r="M131" s="26"/>
      <c r="N131" s="39" t="e">
        <f t="shared" si="27"/>
        <v>#N/A</v>
      </c>
      <c r="O131" s="26"/>
      <c r="P131" s="7"/>
      <c r="Q131" s="39">
        <f>SUMIFS([2]BV_Data_An_Prec!$AM:$AM,[2]BV_Data_An_Prec!$AP:$AP,$B131,[2]BV_Data_An_Prec!$AQ:$AQ,$C131,[2]BV_Data_An_Prec!$AR:$AR,$L$2)</f>
        <v>259.63000000000102</v>
      </c>
      <c r="R131" s="26"/>
      <c r="S131" s="39">
        <f t="shared" si="28"/>
        <v>2057.8199999999961</v>
      </c>
      <c r="T131" s="6"/>
      <c r="U131" s="6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1:40" ht="15.75" customHeight="1">
      <c r="A132" s="410" t="s">
        <v>246</v>
      </c>
      <c r="B132" s="7" t="s">
        <v>70</v>
      </c>
      <c r="C132" s="271" t="s">
        <v>45</v>
      </c>
      <c r="D132" s="68"/>
      <c r="E132" s="69"/>
      <c r="F132" s="35" t="e">
        <f>+INDEX('[2]Budget original'!$A$2:$AO$501,MATCH($A132,'[2]Budget original'!$A$2:$A$501,0),MATCH(F$2,'[2]Budget original'!$A$2:$AO$2,0))</f>
        <v>#N/A</v>
      </c>
      <c r="G132" s="70"/>
      <c r="H132" s="69"/>
      <c r="I132" s="35"/>
      <c r="J132" s="71"/>
      <c r="K132" s="69"/>
      <c r="L132" s="72">
        <f>SUMIFS([2]BV_Data_An_Cour!$AM:$AM,[2]BV_Data_An_Cour!$AP:$AP,$B132,[2]BV_Data_An_Cour!$AQ:$AQ,$C132,[2]BV_Data_An_Cour!$AR:$AR,$L$2)</f>
        <v>6141.32</v>
      </c>
      <c r="M132" s="71"/>
      <c r="N132" s="72" t="e">
        <f t="shared" si="27"/>
        <v>#N/A</v>
      </c>
      <c r="O132" s="71"/>
      <c r="P132" s="69"/>
      <c r="Q132" s="72">
        <f>SUMIFS([2]BV_Data_An_Prec!$AM:$AM,[2]BV_Data_An_Prec!$AP:$AP,$B132,[2]BV_Data_An_Prec!$AQ:$AQ,$C132,[2]BV_Data_An_Prec!$AR:$AR,$L$2)</f>
        <v>3143.0699999999997</v>
      </c>
      <c r="R132" s="71"/>
      <c r="S132" s="72">
        <f t="shared" si="28"/>
        <v>2998.25</v>
      </c>
      <c r="T132" s="6"/>
      <c r="U132" s="6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1:40" ht="15.75" customHeight="1">
      <c r="A133" s="410" t="s">
        <v>247</v>
      </c>
      <c r="B133" s="7" t="s">
        <v>70</v>
      </c>
      <c r="C133" s="271" t="s">
        <v>46</v>
      </c>
      <c r="D133" s="54"/>
      <c r="E133" s="7"/>
      <c r="F133" s="19" t="e">
        <f>+INDEX('[2]Budget original'!$A$2:$AO$501,MATCH($A133,'[2]Budget original'!$A$2:$A$501,0),MATCH(F$2,'[2]Budget original'!$A$2:$AO$2,0))</f>
        <v>#N/A</v>
      </c>
      <c r="G133" s="56"/>
      <c r="H133" s="7"/>
      <c r="I133" s="19"/>
      <c r="J133" s="26"/>
      <c r="K133" s="7"/>
      <c r="L133" s="39">
        <f>SUMIFS([2]BV_Data_An_Cour!$AM:$AM,[2]BV_Data_An_Cour!$AP:$AP,$B133,[2]BV_Data_An_Cour!$AQ:$AQ,$C133,[2]BV_Data_An_Cour!$AR:$AR,$L$2)</f>
        <v>599.45999999999913</v>
      </c>
      <c r="M133" s="26"/>
      <c r="N133" s="39" t="e">
        <f t="shared" si="27"/>
        <v>#N/A</v>
      </c>
      <c r="O133" s="26"/>
      <c r="P133" s="7"/>
      <c r="Q133" s="39">
        <f>SUMIFS([2]BV_Data_An_Prec!$AM:$AM,[2]BV_Data_An_Prec!$AP:$AP,$B133,[2]BV_Data_An_Prec!$AQ:$AQ,$C133,[2]BV_Data_An_Prec!$AR:$AR,$L$2)</f>
        <v>2068.2799999999988</v>
      </c>
      <c r="R133" s="26"/>
      <c r="S133" s="39">
        <f t="shared" si="28"/>
        <v>-1468.8199999999997</v>
      </c>
      <c r="T133" s="6"/>
      <c r="U133" s="6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1:40" ht="15.75" customHeight="1">
      <c r="A134" s="410" t="s">
        <v>248</v>
      </c>
      <c r="B134" s="7" t="s">
        <v>70</v>
      </c>
      <c r="C134" s="271" t="s">
        <v>47</v>
      </c>
      <c r="D134" s="54"/>
      <c r="E134" s="7"/>
      <c r="F134" s="19" t="e">
        <f>+INDEX('[2]Budget original'!$A$2:$AO$501,MATCH($A134,'[2]Budget original'!$A$2:$A$501,0),MATCH(F$2,'[2]Budget original'!$A$2:$AO$2,0))</f>
        <v>#N/A</v>
      </c>
      <c r="G134" s="56"/>
      <c r="H134" s="7"/>
      <c r="I134" s="19"/>
      <c r="J134" s="26"/>
      <c r="K134" s="7"/>
      <c r="L134" s="39">
        <f>SUMIFS([2]BV_Data_An_Cour!$AM:$AM,[2]BV_Data_An_Cour!$AP:$AP,$B134,[2]BV_Data_An_Cour!$AQ:$AQ,$C134,[2]BV_Data_An_Cour!$AR:$AR,$L$2)</f>
        <v>2602.66</v>
      </c>
      <c r="M134" s="26"/>
      <c r="N134" s="39" t="e">
        <f t="shared" si="27"/>
        <v>#N/A</v>
      </c>
      <c r="O134" s="26"/>
      <c r="P134" s="7"/>
      <c r="Q134" s="39">
        <f>SUMIFS([2]BV_Data_An_Prec!$AM:$AM,[2]BV_Data_An_Prec!$AP:$AP,$B134,[2]BV_Data_An_Prec!$AQ:$AQ,$C134,[2]BV_Data_An_Prec!$AR:$AR,$L$2)</f>
        <v>12.640000000000015</v>
      </c>
      <c r="R134" s="26"/>
      <c r="S134" s="39">
        <f t="shared" si="28"/>
        <v>2590.02</v>
      </c>
      <c r="T134" s="6"/>
      <c r="U134" s="6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1:40" ht="20.399999999999999" hidden="1" customHeight="1">
      <c r="A135" s="410" t="s">
        <v>239</v>
      </c>
      <c r="B135" s="7" t="s">
        <v>70</v>
      </c>
      <c r="C135" s="26" t="s">
        <v>19</v>
      </c>
      <c r="D135" s="57"/>
      <c r="E135" s="73"/>
      <c r="F135" s="19" t="e">
        <f>+INDEX('[2]Budget original'!$A$2:$AO$501,MATCH($A135,'[2]Budget original'!$A$2:$A$501,0),MATCH(F$2,'[2]Budget original'!$A$2:$AO$2,0))</f>
        <v>#N/A</v>
      </c>
      <c r="G135" s="59"/>
      <c r="H135" s="73"/>
      <c r="I135" s="19"/>
      <c r="J135" s="14"/>
      <c r="K135" s="73"/>
      <c r="L135" s="39">
        <f>SUMIFS([2]BV_Data_An_Cour!$AM:$AM,[2]BV_Data_An_Cour!$AP:$AP,$B135,[2]BV_Data_An_Cour!$AQ:$AQ,$C135,[2]BV_Data_An_Cour!$AR:$AR,$L$2)</f>
        <v>0</v>
      </c>
      <c r="M135" s="14"/>
      <c r="N135" s="61" t="e">
        <f t="shared" si="27"/>
        <v>#N/A</v>
      </c>
      <c r="O135" s="14"/>
      <c r="P135" s="73"/>
      <c r="Q135" s="39">
        <f>SUMIFS([2]BV_Data_An_Prec!$AM:$AM,[2]BV_Data_An_Prec!$AP:$AP,$B135,[2]BV_Data_An_Prec!$AQ:$AQ,$C135,[2]BV_Data_An_Prec!$AR:$AR,$L$2)</f>
        <v>0</v>
      </c>
      <c r="R135" s="14"/>
      <c r="S135" s="61">
        <f t="shared" si="28"/>
        <v>0</v>
      </c>
      <c r="T135" s="6"/>
      <c r="U135" s="6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1:40" ht="18.600000000000001" customHeight="1">
      <c r="A136" s="410" t="s">
        <v>249</v>
      </c>
      <c r="B136" s="7" t="s">
        <v>70</v>
      </c>
      <c r="C136" s="139" t="s">
        <v>48</v>
      </c>
      <c r="D136" s="62" t="s">
        <v>38</v>
      </c>
      <c r="E136" s="63" t="e">
        <f>F136/F$109</f>
        <v>#N/A</v>
      </c>
      <c r="F136" s="64" t="e">
        <f>+SUM(F124:F135)</f>
        <v>#N/A</v>
      </c>
      <c r="G136" s="65"/>
      <c r="H136" s="63"/>
      <c r="I136" s="64"/>
      <c r="J136" s="65" t="s">
        <v>38</v>
      </c>
      <c r="K136" s="63">
        <f>L136/L$109</f>
        <v>0.98487713057720183</v>
      </c>
      <c r="L136" s="64">
        <f>SUM(L124:L135)</f>
        <v>23728.3</v>
      </c>
      <c r="M136" s="66"/>
      <c r="N136" s="64" t="e">
        <f t="shared" si="27"/>
        <v>#N/A</v>
      </c>
      <c r="O136" s="65" t="s">
        <v>38</v>
      </c>
      <c r="P136" s="63">
        <f>Q136/Q$109</f>
        <v>0.98951740281926137</v>
      </c>
      <c r="Q136" s="64">
        <f>SUM(Q124:Q135)</f>
        <v>33140.619999999995</v>
      </c>
      <c r="R136" s="67"/>
      <c r="S136" s="64">
        <f t="shared" si="28"/>
        <v>-9412.3199999999961</v>
      </c>
      <c r="T136" s="6"/>
      <c r="U136" s="6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1:40" ht="20.399999999999999" hidden="1" customHeight="1">
      <c r="A137" s="410" t="s">
        <v>250</v>
      </c>
      <c r="B137" s="7" t="s">
        <v>70</v>
      </c>
      <c r="C137" s="26" t="s">
        <v>49</v>
      </c>
      <c r="D137" s="54"/>
      <c r="E137" s="7"/>
      <c r="F137" s="19" t="e">
        <f>+INDEX('[2]Budget original'!$A$2:$AO$501,MATCH($A137,'[2]Budget original'!$A$2:$A$501,0),MATCH(F$2,'[2]Budget original'!$A$2:$AO$2,0))</f>
        <v>#N/A</v>
      </c>
      <c r="G137" s="56"/>
      <c r="H137" s="7"/>
      <c r="I137" s="19"/>
      <c r="J137" s="26"/>
      <c r="K137" s="7"/>
      <c r="L137" s="39">
        <f>SUMIFS([2]BV_Data_An_Cour!$AM:$AM,[2]BV_Data_An_Cour!$AP:$AP,$B137,[2]BV_Data_An_Cour!$AQ:$AQ,$C137,[2]BV_Data_An_Cour!$AR:$AR,$L$2)</f>
        <v>0</v>
      </c>
      <c r="M137" s="26"/>
      <c r="N137" s="39" t="e">
        <f t="shared" si="27"/>
        <v>#N/A</v>
      </c>
      <c r="O137" s="26"/>
      <c r="P137" s="7"/>
      <c r="Q137" s="39">
        <f>SUMIFS([2]BV_Data_An_Prec!$AM:$AM,[2]BV_Data_An_Prec!$AP:$AP,$B137,[2]BV_Data_An_Prec!$AQ:$AQ,$C137,[2]BV_Data_An_Prec!$AR:$AR,$L$2)</f>
        <v>0</v>
      </c>
      <c r="R137" s="26"/>
      <c r="S137" s="39">
        <f t="shared" si="28"/>
        <v>0</v>
      </c>
      <c r="T137" s="6"/>
      <c r="U137" s="6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1:40" ht="20.399999999999999" hidden="1" customHeight="1">
      <c r="A138" s="410" t="s">
        <v>251</v>
      </c>
      <c r="B138" s="7" t="s">
        <v>70</v>
      </c>
      <c r="C138" s="26" t="s">
        <v>50</v>
      </c>
      <c r="D138" s="54"/>
      <c r="E138" s="7"/>
      <c r="F138" s="19" t="e">
        <f>+INDEX('[2]Budget original'!$A$2:$AO$501,MATCH($A138,'[2]Budget original'!$A$2:$A$501,0),MATCH(F$2,'[2]Budget original'!$A$2:$AO$2,0))</f>
        <v>#N/A</v>
      </c>
      <c r="G138" s="56"/>
      <c r="H138" s="7"/>
      <c r="I138" s="19"/>
      <c r="J138" s="26"/>
      <c r="K138" s="7"/>
      <c r="L138" s="39">
        <f>SUMIFS([2]BV_Data_An_Cour!$AM:$AM,[2]BV_Data_An_Cour!$AP:$AP,$B138,[2]BV_Data_An_Cour!$AQ:$AQ,$C138,[2]BV_Data_An_Cour!$AR:$AR,$L$2)</f>
        <v>0</v>
      </c>
      <c r="M138" s="26"/>
      <c r="N138" s="39" t="e">
        <f t="shared" si="27"/>
        <v>#N/A</v>
      </c>
      <c r="O138" s="26"/>
      <c r="P138" s="7"/>
      <c r="Q138" s="39">
        <f>SUMIFS([2]BV_Data_An_Prec!$AM:$AM,[2]BV_Data_An_Prec!$AP:$AP,$B138,[2]BV_Data_An_Prec!$AQ:$AQ,$C138,[2]BV_Data_An_Prec!$AR:$AR,$L$2)</f>
        <v>0</v>
      </c>
      <c r="R138" s="26"/>
      <c r="S138" s="39">
        <f t="shared" si="28"/>
        <v>0</v>
      </c>
      <c r="T138" s="6"/>
      <c r="U138" s="6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1:40" ht="15.75" customHeight="1">
      <c r="A139" s="410" t="s">
        <v>252</v>
      </c>
      <c r="B139" s="7" t="s">
        <v>70</v>
      </c>
      <c r="C139" s="14" t="s">
        <v>51</v>
      </c>
      <c r="D139" s="57"/>
      <c r="E139" s="73"/>
      <c r="F139" s="31" t="e">
        <f>+INDEX('[2]Budget original'!$A$2:$AO$501,MATCH($A139,'[2]Budget original'!$A$2:$A$501,0),MATCH(F$2,'[2]Budget original'!$A$2:$AO$2,0))</f>
        <v>#N/A</v>
      </c>
      <c r="G139" s="59"/>
      <c r="H139" s="73"/>
      <c r="I139" s="31"/>
      <c r="J139" s="14"/>
      <c r="K139" s="73"/>
      <c r="L139" s="61">
        <f>SUMIFS([2]BV_Data_An_Cour!$AM:$AM,[2]BV_Data_An_Cour!$AP:$AP,$B139,[2]BV_Data_An_Cour!$AQ:$AQ,$C139,[2]BV_Data_An_Cour!$AR:$AR,$L$2)</f>
        <v>1599.0300000000025</v>
      </c>
      <c r="M139" s="14"/>
      <c r="N139" s="61" t="e">
        <f t="shared" si="27"/>
        <v>#N/A</v>
      </c>
      <c r="O139" s="14"/>
      <c r="P139" s="73"/>
      <c r="Q139" s="61">
        <f>SUMIFS([2]BV_Data_An_Prec!$AM:$AM,[2]BV_Data_An_Prec!$AP:$AP,$B139,[2]BV_Data_An_Prec!$AQ:$AQ,$C139,[2]BV_Data_An_Prec!$AR:$AR,$L$2)</f>
        <v>1215.6599999999999</v>
      </c>
      <c r="R139" s="14"/>
      <c r="S139" s="61">
        <f t="shared" si="28"/>
        <v>383.37000000000262</v>
      </c>
      <c r="T139" s="6"/>
      <c r="U139" s="6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1:40" ht="15.75" customHeight="1">
      <c r="A140" s="410" t="s">
        <v>253</v>
      </c>
      <c r="B140" s="7" t="s">
        <v>70</v>
      </c>
      <c r="C140" s="26" t="s">
        <v>52</v>
      </c>
      <c r="D140" s="54"/>
      <c r="E140" s="7"/>
      <c r="F140" s="19" t="e">
        <f>+INDEX('[2]Budget original'!$A$2:$AO$501,MATCH($A140,'[2]Budget original'!$A$2:$A$501,0),MATCH(F$2,'[2]Budget original'!$A$2:$AO$2,0))</f>
        <v>#N/A</v>
      </c>
      <c r="G140" s="56"/>
      <c r="H140" s="7"/>
      <c r="I140" s="19"/>
      <c r="J140" s="26"/>
      <c r="K140" s="7"/>
      <c r="L140" s="39">
        <f>SUMIFS([2]BV_Data_An_Cour!$AM:$AM,[2]BV_Data_An_Cour!$AP:$AP,$B140,[2]BV_Data_An_Cour!$AQ:$AQ,$C140,[2]BV_Data_An_Cour!$AR:$AR,$L$2)</f>
        <v>2309.1100000000006</v>
      </c>
      <c r="M140" s="26"/>
      <c r="N140" s="39" t="e">
        <f t="shared" si="27"/>
        <v>#N/A</v>
      </c>
      <c r="O140" s="26"/>
      <c r="P140" s="7"/>
      <c r="Q140" s="39">
        <f>SUMIFS([2]BV_Data_An_Prec!$AM:$AM,[2]BV_Data_An_Prec!$AP:$AP,$B140,[2]BV_Data_An_Prec!$AQ:$AQ,$C140,[2]BV_Data_An_Prec!$AR:$AR,$L$2)</f>
        <v>2486.8500000000004</v>
      </c>
      <c r="R140" s="26"/>
      <c r="S140" s="39">
        <f t="shared" si="28"/>
        <v>-177.73999999999978</v>
      </c>
      <c r="T140" s="6"/>
      <c r="U140" s="6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1:40" ht="15.75" customHeight="1">
      <c r="A141" s="410" t="s">
        <v>254</v>
      </c>
      <c r="B141" s="7" t="s">
        <v>70</v>
      </c>
      <c r="C141" s="26" t="s">
        <v>53</v>
      </c>
      <c r="D141" s="54"/>
      <c r="E141" s="7"/>
      <c r="F141" s="19" t="e">
        <f>+INDEX('[2]Budget original'!$A$2:$AO$501,MATCH($A141,'[2]Budget original'!$A$2:$A$501,0),MATCH(F$2,'[2]Budget original'!$A$2:$AO$2,0))</f>
        <v>#N/A</v>
      </c>
      <c r="G141" s="56"/>
      <c r="H141" s="7"/>
      <c r="I141" s="19"/>
      <c r="J141" s="26"/>
      <c r="K141" s="7"/>
      <c r="L141" s="39">
        <f>SUMIFS([2]BV_Data_An_Cour!$AM:$AM,[2]BV_Data_An_Cour!$AP:$AP,$B141,[2]BV_Data_An_Cour!$AQ:$AQ,$C141,[2]BV_Data_An_Cour!$AR:$AR,$L$2)</f>
        <v>557.3799999999992</v>
      </c>
      <c r="M141" s="26"/>
      <c r="N141" s="39" t="e">
        <f t="shared" si="27"/>
        <v>#N/A</v>
      </c>
      <c r="O141" s="26"/>
      <c r="P141" s="7"/>
      <c r="Q141" s="39">
        <f>SUMIFS([2]BV_Data_An_Prec!$AM:$AM,[2]BV_Data_An_Prec!$AP:$AP,$B141,[2]BV_Data_An_Prec!$AQ:$AQ,$C141,[2]BV_Data_An_Prec!$AR:$AR,$L$2)</f>
        <v>300</v>
      </c>
      <c r="R141" s="26"/>
      <c r="S141" s="39">
        <f t="shared" si="28"/>
        <v>257.3799999999992</v>
      </c>
      <c r="T141" s="421"/>
      <c r="U141" s="6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1:40" ht="15.75" customHeight="1">
      <c r="A142" s="410" t="s">
        <v>255</v>
      </c>
      <c r="B142" s="7" t="s">
        <v>70</v>
      </c>
      <c r="C142" s="14" t="s">
        <v>54</v>
      </c>
      <c r="D142" s="57"/>
      <c r="E142" s="73"/>
      <c r="F142" s="31" t="e">
        <f>+INDEX('[2]Budget original'!$A$2:$AO$501,MATCH($A142,'[2]Budget original'!$A$2:$A$501,0),MATCH(F$2,'[2]Budget original'!$A$2:$AO$2,0))</f>
        <v>#N/A</v>
      </c>
      <c r="G142" s="59"/>
      <c r="H142" s="73"/>
      <c r="I142" s="31"/>
      <c r="J142" s="14"/>
      <c r="K142" s="73"/>
      <c r="L142" s="61">
        <f>SUMIFS([2]BV_Data_An_Cour!$AM:$AM,[2]BV_Data_An_Cour!$AP:$AP,$B142,[2]BV_Data_An_Cour!$AQ:$AQ,$C142,[2]BV_Data_An_Cour!$AR:$AR,$L$2)</f>
        <v>1991.3199999999997</v>
      </c>
      <c r="M142" s="14"/>
      <c r="N142" s="61" t="e">
        <f t="shared" si="27"/>
        <v>#N/A</v>
      </c>
      <c r="O142" s="14"/>
      <c r="P142" s="73"/>
      <c r="Q142" s="61">
        <f>SUMIFS([2]BV_Data_An_Prec!$AM:$AM,[2]BV_Data_An_Prec!$AP:$AP,$B142,[2]BV_Data_An_Prec!$AQ:$AQ,$C142,[2]BV_Data_An_Prec!$AR:$AR,$L$2)</f>
        <v>4577.630000000001</v>
      </c>
      <c r="R142" s="14"/>
      <c r="S142" s="61">
        <f t="shared" si="28"/>
        <v>-2586.3100000000013</v>
      </c>
      <c r="T142" s="6"/>
      <c r="U142" s="9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1:40" ht="15.75" customHeight="1">
      <c r="A143" s="410" t="s">
        <v>256</v>
      </c>
      <c r="B143" s="7" t="s">
        <v>70</v>
      </c>
      <c r="C143" s="26" t="s">
        <v>55</v>
      </c>
      <c r="D143" s="54"/>
      <c r="E143" s="7"/>
      <c r="F143" s="19" t="e">
        <f>+INDEX('[2]Budget original'!$A$2:$AO$501,MATCH($A143,'[2]Budget original'!$A$2:$A$501,0),MATCH(F$2,'[2]Budget original'!$A$2:$AO$2,0))</f>
        <v>#N/A</v>
      </c>
      <c r="G143" s="56"/>
      <c r="H143" s="7"/>
      <c r="I143" s="19"/>
      <c r="J143" s="26"/>
      <c r="K143" s="7"/>
      <c r="L143" s="39">
        <f>SUMIFS([2]BV_Data_An_Cour!$AM:$AM,[2]BV_Data_An_Cour!$AP:$AP,$B143,[2]BV_Data_An_Cour!$AQ:$AQ,$C143,[2]BV_Data_An_Cour!$AR:$AR,$L$2)</f>
        <v>64.910000000000082</v>
      </c>
      <c r="M143" s="26"/>
      <c r="N143" s="39" t="e">
        <f t="shared" si="27"/>
        <v>#N/A</v>
      </c>
      <c r="O143" s="26"/>
      <c r="P143" s="7"/>
      <c r="Q143" s="39">
        <f>SUMIFS([2]BV_Data_An_Prec!$AM:$AM,[2]BV_Data_An_Prec!$AP:$AP,$B143,[2]BV_Data_An_Prec!$AQ:$AQ,$C143,[2]BV_Data_An_Prec!$AR:$AR,$L$2)</f>
        <v>159.18000000000006</v>
      </c>
      <c r="R143" s="26"/>
      <c r="S143" s="39">
        <f t="shared" si="28"/>
        <v>-94.269999999999982</v>
      </c>
      <c r="T143" s="6"/>
      <c r="U143" s="6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1:40" ht="15.75" customHeight="1">
      <c r="A144" s="410" t="s">
        <v>257</v>
      </c>
      <c r="B144" s="7" t="s">
        <v>70</v>
      </c>
      <c r="C144" s="26" t="s">
        <v>56</v>
      </c>
      <c r="D144" s="54"/>
      <c r="E144" s="7"/>
      <c r="F144" s="19" t="e">
        <f>+INDEX('[2]Budget original'!$A$2:$AO$501,MATCH($A144,'[2]Budget original'!$A$2:$A$501,0),MATCH(F$2,'[2]Budget original'!$A$2:$AO$2,0))</f>
        <v>#N/A</v>
      </c>
      <c r="G144" s="56"/>
      <c r="H144" s="7"/>
      <c r="I144" s="19"/>
      <c r="J144" s="26"/>
      <c r="K144" s="7"/>
      <c r="L144" s="39">
        <f>SUMIFS([2]BV_Data_An_Cour!$AM:$AM,[2]BV_Data_An_Cour!$AP:$AP,$B144,[2]BV_Data_An_Cour!$AQ:$AQ,$C144,[2]BV_Data_An_Cour!$AR:$AR,$L$2)</f>
        <v>0</v>
      </c>
      <c r="M144" s="26"/>
      <c r="N144" s="39" t="e">
        <f t="shared" si="27"/>
        <v>#N/A</v>
      </c>
      <c r="O144" s="26"/>
      <c r="P144" s="7"/>
      <c r="Q144" s="39">
        <f>SUMIFS([2]BV_Data_An_Prec!$AM:$AM,[2]BV_Data_An_Prec!$AP:$AP,$B144,[2]BV_Data_An_Prec!$AQ:$AQ,$C144,[2]BV_Data_An_Prec!$AR:$AR,$L$2)</f>
        <v>0</v>
      </c>
      <c r="R144" s="26"/>
      <c r="S144" s="39">
        <f t="shared" si="28"/>
        <v>0</v>
      </c>
      <c r="T144" s="6"/>
      <c r="U144" s="9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1:40" ht="15.75" customHeight="1">
      <c r="A145" s="410" t="s">
        <v>258</v>
      </c>
      <c r="B145" s="7" t="s">
        <v>70</v>
      </c>
      <c r="C145" s="26" t="s">
        <v>57</v>
      </c>
      <c r="D145" s="54"/>
      <c r="E145" s="7"/>
      <c r="F145" s="19" t="e">
        <f>+INDEX('[2]Budget original'!$A$2:$AO$501,MATCH($A145,'[2]Budget original'!$A$2:$A$501,0),MATCH(F$2,'[2]Budget original'!$A$2:$AO$2,0))</f>
        <v>#N/A</v>
      </c>
      <c r="G145" s="56"/>
      <c r="H145" s="7"/>
      <c r="I145" s="19"/>
      <c r="J145" s="26"/>
      <c r="K145" s="7"/>
      <c r="L145" s="39">
        <f>SUMIFS([2]BV_Data_An_Cour!$AM:$AM,[2]BV_Data_An_Cour!$AP:$AP,$B145,[2]BV_Data_An_Cour!$AQ:$AQ,$C145,[2]BV_Data_An_Cour!$AR:$AR,$L$2)</f>
        <v>811.39000000000033</v>
      </c>
      <c r="M145" s="26"/>
      <c r="N145" s="39" t="e">
        <f t="shared" si="27"/>
        <v>#N/A</v>
      </c>
      <c r="O145" s="26"/>
      <c r="P145" s="7"/>
      <c r="Q145" s="39">
        <f>SUMIFS([2]BV_Data_An_Prec!$AM:$AM,[2]BV_Data_An_Prec!$AP:$AP,$B145,[2]BV_Data_An_Prec!$AQ:$AQ,$C145,[2]BV_Data_An_Prec!$AR:$AR,$L$2)</f>
        <v>670.91000000000076</v>
      </c>
      <c r="R145" s="26"/>
      <c r="S145" s="39">
        <f t="shared" si="28"/>
        <v>140.47999999999956</v>
      </c>
      <c r="T145" s="6"/>
      <c r="U145" s="6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1:40" ht="15.75" customHeight="1">
      <c r="A146" s="410" t="s">
        <v>259</v>
      </c>
      <c r="B146" s="7" t="s">
        <v>70</v>
      </c>
      <c r="C146" s="26" t="s">
        <v>58</v>
      </c>
      <c r="D146" s="54"/>
      <c r="E146" s="7"/>
      <c r="F146" s="19" t="e">
        <f>+INDEX('[2]Budget original'!$A$2:$AO$501,MATCH($A146,'[2]Budget original'!$A$2:$A$501,0),MATCH(F$2,'[2]Budget original'!$A$2:$AO$2,0))</f>
        <v>#N/A</v>
      </c>
      <c r="G146" s="56"/>
      <c r="H146" s="7"/>
      <c r="I146" s="19"/>
      <c r="J146" s="26"/>
      <c r="K146" s="7"/>
      <c r="L146" s="39">
        <f>SUMIFS([2]BV_Data_An_Cour!$AM:$AM,[2]BV_Data_An_Cour!$AP:$AP,$B146,[2]BV_Data_An_Cour!$AQ:$AQ,$C146,[2]BV_Data_An_Cour!$AR:$AR,$L$2)</f>
        <v>448.22999999999956</v>
      </c>
      <c r="M146" s="26"/>
      <c r="N146" s="39" t="e">
        <f t="shared" si="27"/>
        <v>#N/A</v>
      </c>
      <c r="O146" s="26"/>
      <c r="P146" s="7"/>
      <c r="Q146" s="39">
        <f>SUMIFS([2]BV_Data_An_Prec!$AM:$AM,[2]BV_Data_An_Prec!$AP:$AP,$B146,[2]BV_Data_An_Prec!$AQ:$AQ,$C146,[2]BV_Data_An_Prec!$AR:$AR,$L$2)</f>
        <v>646.51999999999953</v>
      </c>
      <c r="R146" s="26"/>
      <c r="S146" s="39">
        <f t="shared" si="28"/>
        <v>-198.28999999999996</v>
      </c>
      <c r="T146" s="6"/>
      <c r="U146" s="6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1:40" ht="15.75" customHeight="1">
      <c r="A147" s="410" t="s">
        <v>260</v>
      </c>
      <c r="B147" s="7" t="s">
        <v>70</v>
      </c>
      <c r="C147" s="26" t="s">
        <v>59</v>
      </c>
      <c r="D147" s="54"/>
      <c r="E147" s="7"/>
      <c r="F147" s="19" t="e">
        <f>+INDEX('[2]Budget original'!$A$2:$AO$501,MATCH($A147,'[2]Budget original'!$A$2:$A$501,0),MATCH(F$2,'[2]Budget original'!$A$2:$AO$2,0))</f>
        <v>#N/A</v>
      </c>
      <c r="G147" s="56"/>
      <c r="H147" s="7"/>
      <c r="I147" s="19"/>
      <c r="J147" s="26"/>
      <c r="K147" s="7"/>
      <c r="L147" s="39">
        <f>SUMIFS([2]BV_Data_An_Cour!$AM:$AM,[2]BV_Data_An_Cour!$AP:$AP,$B147,[2]BV_Data_An_Cour!$AQ:$AQ,$C147,[2]BV_Data_An_Cour!$AR:$AR,$L$2)</f>
        <v>800.47999999999956</v>
      </c>
      <c r="M147" s="26"/>
      <c r="N147" s="39" t="e">
        <f t="shared" si="27"/>
        <v>#N/A</v>
      </c>
      <c r="O147" s="26"/>
      <c r="P147" s="7"/>
      <c r="Q147" s="39">
        <f>SUMIFS([2]BV_Data_An_Prec!$AM:$AM,[2]BV_Data_An_Prec!$AP:$AP,$B147,[2]BV_Data_An_Prec!$AQ:$AQ,$C147,[2]BV_Data_An_Prec!$AR:$AR,$L$2)</f>
        <v>1339.9899999999998</v>
      </c>
      <c r="R147" s="26"/>
      <c r="S147" s="39">
        <f t="shared" si="28"/>
        <v>-539.51000000000022</v>
      </c>
      <c r="T147" s="6"/>
      <c r="U147" s="6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1:40" ht="15.75" customHeight="1">
      <c r="A148" s="410" t="s">
        <v>261</v>
      </c>
      <c r="B148" s="7" t="s">
        <v>70</v>
      </c>
      <c r="C148" s="26" t="s">
        <v>60</v>
      </c>
      <c r="D148" s="54"/>
      <c r="E148" s="7"/>
      <c r="F148" s="19" t="e">
        <f>+INDEX('[2]Budget original'!$A$2:$AO$501,MATCH($A148,'[2]Budget original'!$A$2:$A$501,0),MATCH(F$2,'[2]Budget original'!$A$2:$AO$2,0))</f>
        <v>#N/A</v>
      </c>
      <c r="G148" s="56"/>
      <c r="H148" s="7"/>
      <c r="I148" s="19"/>
      <c r="J148" s="26"/>
      <c r="K148" s="7"/>
      <c r="L148" s="39">
        <f>SUMIFS([2]BV_Data_An_Cour!$AM:$AM,[2]BV_Data_An_Cour!$AP:$AP,$B148,[2]BV_Data_An_Cour!$AQ:$AQ,$C148,[2]BV_Data_An_Cour!$AR:$AR,$L$2)</f>
        <v>1644.9400000000005</v>
      </c>
      <c r="M148" s="26"/>
      <c r="N148" s="39" t="e">
        <f t="shared" si="27"/>
        <v>#N/A</v>
      </c>
      <c r="O148" s="26"/>
      <c r="P148" s="7"/>
      <c r="Q148" s="39">
        <f>SUMIFS([2]BV_Data_An_Prec!$AM:$AM,[2]BV_Data_An_Prec!$AP:$AP,$B148,[2]BV_Data_An_Prec!$AQ:$AQ,$C148,[2]BV_Data_An_Prec!$AR:$AR,$L$2)</f>
        <v>2500.1800000000003</v>
      </c>
      <c r="R148" s="26"/>
      <c r="S148" s="39">
        <f t="shared" si="28"/>
        <v>-855.23999999999978</v>
      </c>
      <c r="T148" s="6"/>
      <c r="U148" s="6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1:40" ht="15.75" customHeight="1">
      <c r="A149" s="410" t="s">
        <v>262</v>
      </c>
      <c r="B149" s="7" t="s">
        <v>70</v>
      </c>
      <c r="C149" s="26" t="s">
        <v>61</v>
      </c>
      <c r="D149" s="54"/>
      <c r="E149" s="7"/>
      <c r="F149" s="19" t="e">
        <f>+INDEX('[2]Budget original'!$A$2:$AO$501,MATCH($A149,'[2]Budget original'!$A$2:$A$501,0),MATCH(F$2,'[2]Budget original'!$A$2:$AO$2,0))</f>
        <v>#N/A</v>
      </c>
      <c r="G149" s="56"/>
      <c r="H149" s="7"/>
      <c r="I149" s="19"/>
      <c r="J149" s="26"/>
      <c r="K149" s="7"/>
      <c r="L149" s="39">
        <f>SUMIFS([2]BV_Data_An_Cour!$AM:$AM,[2]BV_Data_An_Cour!$AP:$AP,$B149,[2]BV_Data_An_Cour!$AQ:$AQ,$C149,[2]BV_Data_An_Cour!$AR:$AR,$L$2)</f>
        <v>0</v>
      </c>
      <c r="M149" s="26"/>
      <c r="N149" s="39" t="e">
        <f t="shared" si="27"/>
        <v>#N/A</v>
      </c>
      <c r="O149" s="26"/>
      <c r="P149" s="7"/>
      <c r="Q149" s="39">
        <f>SUMIFS([2]BV_Data_An_Prec!$AM:$AM,[2]BV_Data_An_Prec!$AP:$AP,$B149,[2]BV_Data_An_Prec!$AQ:$AQ,$C149,[2]BV_Data_An_Prec!$AR:$AR,$L$2)</f>
        <v>0</v>
      </c>
      <c r="R149" s="26"/>
      <c r="S149" s="39">
        <f t="shared" si="28"/>
        <v>0</v>
      </c>
      <c r="T149" s="6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1:40" ht="15.75" customHeight="1">
      <c r="A150" s="410" t="s">
        <v>263</v>
      </c>
      <c r="B150" s="7" t="s">
        <v>70</v>
      </c>
      <c r="C150" s="26" t="s">
        <v>62</v>
      </c>
      <c r="D150" s="54"/>
      <c r="E150" s="7"/>
      <c r="F150" s="19" t="e">
        <f>+INDEX('[2]Budget original'!$A$2:$AO$501,MATCH($A150,'[2]Budget original'!$A$2:$A$501,0),MATCH(F$2,'[2]Budget original'!$A$2:$AO$2,0))</f>
        <v>#N/A</v>
      </c>
      <c r="G150" s="56"/>
      <c r="H150" s="7"/>
      <c r="I150" s="19"/>
      <c r="J150" s="26"/>
      <c r="K150" s="7"/>
      <c r="L150" s="39">
        <f>SUMIFS([2]BV_Data_An_Cour!$AM:$AM,[2]BV_Data_An_Cour!$AP:$AP,$B150,[2]BV_Data_An_Cour!$AQ:$AQ,$C150,[2]BV_Data_An_Cour!$AR:$AR,$L$2)</f>
        <v>1025.6300000000001</v>
      </c>
      <c r="M150" s="26"/>
      <c r="N150" s="39" t="e">
        <f t="shared" si="27"/>
        <v>#N/A</v>
      </c>
      <c r="O150" s="26"/>
      <c r="P150" s="7"/>
      <c r="Q150" s="39">
        <f>SUMIFS([2]BV_Data_An_Prec!$AM:$AM,[2]BV_Data_An_Prec!$AP:$AP,$B150,[2]BV_Data_An_Prec!$AQ:$AQ,$C150,[2]BV_Data_An_Prec!$AR:$AR,$L$2)</f>
        <v>191.58999999999992</v>
      </c>
      <c r="R150" s="26"/>
      <c r="S150" s="39">
        <f t="shared" si="28"/>
        <v>834.04000000000019</v>
      </c>
      <c r="T150" s="9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1:40" ht="20.399999999999999" hidden="1" customHeight="1">
      <c r="A151" s="410" t="s">
        <v>239</v>
      </c>
      <c r="B151" s="7" t="s">
        <v>70</v>
      </c>
      <c r="C151" s="26" t="s">
        <v>19</v>
      </c>
      <c r="D151" s="54"/>
      <c r="E151" s="7"/>
      <c r="F151" s="19" t="e">
        <f>+INDEX('[2]Budget original'!$A$2:$AO$501,MATCH($A151,'[2]Budget original'!$A$2:$A$501,0),MATCH(F$2,'[2]Budget original'!$A$2:$AO$2,0))</f>
        <v>#N/A</v>
      </c>
      <c r="G151" s="56"/>
      <c r="H151" s="7"/>
      <c r="I151" s="19"/>
      <c r="J151" s="26"/>
      <c r="K151" s="7"/>
      <c r="L151" s="39">
        <f>SUMIFS([2]BV_Data_An_Cour!$AM:$AM,[2]BV_Data_An_Cour!$AP:$AP,$B151,[2]BV_Data_An_Cour!$AQ:$AQ,$C151,[2]BV_Data_An_Cour!$AR:$AR,$L$2)</f>
        <v>0</v>
      </c>
      <c r="M151" s="26"/>
      <c r="N151" s="39" t="e">
        <f t="shared" si="27"/>
        <v>#N/A</v>
      </c>
      <c r="O151" s="26"/>
      <c r="P151" s="7"/>
      <c r="Q151" s="39">
        <f>SUMIFS([2]BV_Data_An_Prec!$AM:$AM,[2]BV_Data_An_Prec!$AP:$AP,$B151,[2]BV_Data_An_Prec!$AQ:$AQ,$C151,[2]BV_Data_An_Prec!$AR:$AR,$L$2)</f>
        <v>0</v>
      </c>
      <c r="R151" s="26"/>
      <c r="S151" s="39">
        <f t="shared" si="28"/>
        <v>0</v>
      </c>
      <c r="T151" s="6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1:40" ht="20.399999999999999" hidden="1" customHeight="1">
      <c r="A152" s="410" t="s">
        <v>239</v>
      </c>
      <c r="B152" s="7" t="s">
        <v>70</v>
      </c>
      <c r="C152" s="26" t="s">
        <v>19</v>
      </c>
      <c r="D152" s="54"/>
      <c r="E152" s="7"/>
      <c r="F152" s="19" t="e">
        <f>+INDEX('[2]Budget original'!$A$2:$AO$501,MATCH($A152,'[2]Budget original'!$A$2:$A$501,0),MATCH(F$2,'[2]Budget original'!$A$2:$AO$2,0))</f>
        <v>#N/A</v>
      </c>
      <c r="G152" s="56"/>
      <c r="H152" s="7"/>
      <c r="I152" s="19"/>
      <c r="J152" s="26"/>
      <c r="K152" s="7"/>
      <c r="L152" s="39">
        <f>SUMIFS([2]BV_Data_An_Cour!$AM:$AM,[2]BV_Data_An_Cour!$AP:$AP,$B152,[2]BV_Data_An_Cour!$AQ:$AQ,$C152,[2]BV_Data_An_Cour!$AR:$AR,$L$2)</f>
        <v>0</v>
      </c>
      <c r="M152" s="26"/>
      <c r="N152" s="39" t="e">
        <f t="shared" si="27"/>
        <v>#N/A</v>
      </c>
      <c r="O152" s="26"/>
      <c r="P152" s="7"/>
      <c r="Q152" s="39">
        <f>SUMIFS([2]BV_Data_An_Prec!$AM:$AM,[2]BV_Data_An_Prec!$AP:$AP,$B152,[2]BV_Data_An_Prec!$AQ:$AQ,$C152,[2]BV_Data_An_Prec!$AR:$AR,$L$2)</f>
        <v>0</v>
      </c>
      <c r="R152" s="26"/>
      <c r="S152" s="39">
        <f t="shared" si="28"/>
        <v>0</v>
      </c>
      <c r="T152" s="6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1:40" ht="20.399999999999999" hidden="1" customHeight="1">
      <c r="A153" s="410" t="s">
        <v>239</v>
      </c>
      <c r="B153" s="7" t="s">
        <v>70</v>
      </c>
      <c r="C153" s="26" t="s">
        <v>19</v>
      </c>
      <c r="D153" s="54"/>
      <c r="E153" s="7"/>
      <c r="F153" s="19" t="e">
        <f>+INDEX('[2]Budget original'!$A$2:$AO$501,MATCH($A153,'[2]Budget original'!$A$2:$A$501,0),MATCH(F$2,'[2]Budget original'!$A$2:$AO$2,0))</f>
        <v>#N/A</v>
      </c>
      <c r="G153" s="56"/>
      <c r="H153" s="7"/>
      <c r="I153" s="19"/>
      <c r="J153" s="26"/>
      <c r="K153" s="7"/>
      <c r="L153" s="39">
        <f>SUMIFS([2]BV_Data_An_Cour!$AM:$AM,[2]BV_Data_An_Cour!$AP:$AP,$B153,[2]BV_Data_An_Cour!$AQ:$AQ,$C153,[2]BV_Data_An_Cour!$AR:$AR,$L$2)</f>
        <v>0</v>
      </c>
      <c r="M153" s="26"/>
      <c r="N153" s="39" t="e">
        <f t="shared" si="27"/>
        <v>#N/A</v>
      </c>
      <c r="O153" s="26"/>
      <c r="P153" s="7"/>
      <c r="Q153" s="39">
        <f>SUMIFS([2]BV_Data_An_Prec!$AM:$AM,[2]BV_Data_An_Prec!$AP:$AP,$B153,[2]BV_Data_An_Prec!$AQ:$AQ,$C153,[2]BV_Data_An_Prec!$AR:$AR,$L$2)</f>
        <v>0</v>
      </c>
      <c r="R153" s="26"/>
      <c r="S153" s="39">
        <f t="shared" si="28"/>
        <v>0</v>
      </c>
      <c r="T153" s="9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1:40" ht="18.600000000000001" customHeight="1">
      <c r="A154" s="410" t="s">
        <v>264</v>
      </c>
      <c r="B154" s="7" t="s">
        <v>70</v>
      </c>
      <c r="C154" s="139" t="s">
        <v>63</v>
      </c>
      <c r="D154" s="62" t="s">
        <v>38</v>
      </c>
      <c r="E154" s="63" t="e">
        <f>F154/F$109</f>
        <v>#N/A</v>
      </c>
      <c r="F154" s="64" t="e">
        <f>+SUM(F137:F153)</f>
        <v>#N/A</v>
      </c>
      <c r="G154" s="65"/>
      <c r="H154" s="63"/>
      <c r="I154" s="64"/>
      <c r="J154" s="65" t="s">
        <v>38</v>
      </c>
      <c r="K154" s="63">
        <f>L154/L$109</f>
        <v>0.46704783409049616</v>
      </c>
      <c r="L154" s="64">
        <f>+SUM(L137:L153)</f>
        <v>11252.420000000002</v>
      </c>
      <c r="M154" s="66"/>
      <c r="N154" s="64" t="e">
        <f t="shared" si="27"/>
        <v>#N/A</v>
      </c>
      <c r="O154" s="65" t="s">
        <v>38</v>
      </c>
      <c r="P154" s="63">
        <f>Q154/Q$109</f>
        <v>0.4206567597345251</v>
      </c>
      <c r="Q154" s="64">
        <f>+SUM(Q137:Q153)</f>
        <v>14088.510000000004</v>
      </c>
      <c r="R154" s="67"/>
      <c r="S154" s="64">
        <f t="shared" si="28"/>
        <v>-2836.090000000002</v>
      </c>
      <c r="T154" s="6"/>
      <c r="U154" s="6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1:40" ht="15.75" customHeight="1">
      <c r="A155" s="410" t="s">
        <v>70</v>
      </c>
      <c r="B155" s="7" t="s">
        <v>70</v>
      </c>
      <c r="C155" s="14"/>
      <c r="D155" s="57"/>
      <c r="E155" s="73"/>
      <c r="F155" s="39"/>
      <c r="G155" s="59"/>
      <c r="H155" s="73"/>
      <c r="I155" s="39"/>
      <c r="J155" s="14"/>
      <c r="K155" s="73"/>
      <c r="L155" s="61"/>
      <c r="M155" s="14"/>
      <c r="N155" s="61"/>
      <c r="O155" s="14"/>
      <c r="P155" s="73"/>
      <c r="Q155" s="61"/>
      <c r="R155" s="14"/>
      <c r="S155" s="61"/>
      <c r="T155" s="420"/>
      <c r="U155" s="6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1:40" ht="18.600000000000001" customHeight="1">
      <c r="A156" s="410" t="s">
        <v>265</v>
      </c>
      <c r="B156" s="7" t="s">
        <v>70</v>
      </c>
      <c r="C156" s="139" t="s">
        <v>64</v>
      </c>
      <c r="D156" s="62" t="s">
        <v>38</v>
      </c>
      <c r="E156" s="63" t="e">
        <f>F156/F$109</f>
        <v>#N/A</v>
      </c>
      <c r="F156" s="64" t="e">
        <f>F123+F136+F154</f>
        <v>#N/A</v>
      </c>
      <c r="G156" s="65"/>
      <c r="H156" s="63"/>
      <c r="I156" s="64"/>
      <c r="J156" s="65" t="s">
        <v>38</v>
      </c>
      <c r="K156" s="63">
        <f>L156/L$109</f>
        <v>2.2528136174311202</v>
      </c>
      <c r="L156" s="64">
        <f>L123+L136+L154</f>
        <v>54276.25</v>
      </c>
      <c r="M156" s="66"/>
      <c r="N156" s="64" t="e">
        <f t="shared" ref="N156:N163" si="29">L156-F156</f>
        <v>#N/A</v>
      </c>
      <c r="O156" s="65" t="s">
        <v>38</v>
      </c>
      <c r="P156" s="63">
        <f>Q156/Q$109</f>
        <v>3.464627952597406</v>
      </c>
      <c r="Q156" s="64">
        <f>Q123+Q136+Q154</f>
        <v>116036.28000000003</v>
      </c>
      <c r="R156" s="67"/>
      <c r="S156" s="64">
        <f t="shared" si="28"/>
        <v>-61760.030000000028</v>
      </c>
      <c r="T156" s="6"/>
      <c r="U156" s="6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1:40" ht="21" hidden="1" customHeight="1">
      <c r="A157" s="410" t="s">
        <v>266</v>
      </c>
      <c r="B157" s="7" t="s">
        <v>70</v>
      </c>
      <c r="C157" s="300" t="s">
        <v>267</v>
      </c>
      <c r="D157" s="94"/>
      <c r="E157" s="95"/>
      <c r="F157" s="19" t="e">
        <f>+INDEX('[2]Budget original'!$A$2:$AO$501,MATCH($A157,'[2]Budget original'!$A$2:$A$501,0),MATCH(F$2,'[2]Budget original'!$A$2:$AO$2,0))</f>
        <v>#N/A</v>
      </c>
      <c r="G157" s="96"/>
      <c r="H157" s="95"/>
      <c r="I157" s="19"/>
      <c r="J157" s="96"/>
      <c r="K157" s="95"/>
      <c r="L157" s="39">
        <v>0</v>
      </c>
      <c r="M157" s="26"/>
      <c r="N157" s="39" t="e">
        <f t="shared" si="29"/>
        <v>#N/A</v>
      </c>
      <c r="O157" s="96"/>
      <c r="P157" s="95"/>
      <c r="Q157" s="39">
        <v>0</v>
      </c>
      <c r="R157" s="26"/>
      <c r="S157" s="39">
        <f t="shared" si="28"/>
        <v>0</v>
      </c>
      <c r="T157" s="420"/>
      <c r="U157" s="6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1:40" ht="21" hidden="1" customHeight="1">
      <c r="A158" s="410" t="s">
        <v>268</v>
      </c>
      <c r="B158" s="7" t="s">
        <v>70</v>
      </c>
      <c r="C158" s="300" t="s">
        <v>269</v>
      </c>
      <c r="D158" s="94"/>
      <c r="E158" s="95"/>
      <c r="F158" s="19" t="e">
        <f>+INDEX('[2]Budget original'!$A$2:$AO$501,MATCH($A158,'[2]Budget original'!$A$2:$A$501,0),MATCH(F$2,'[2]Budget original'!$A$2:$AO$2,0))</f>
        <v>#N/A</v>
      </c>
      <c r="G158" s="96"/>
      <c r="H158" s="95"/>
      <c r="I158" s="19"/>
      <c r="J158" s="96"/>
      <c r="K158" s="95"/>
      <c r="L158" s="39">
        <f>-SUMIFS([2]BV_Data_An_Cour!$AM:$AM,[2]BV_Data_An_Cour!$AP:$AP,$B158,[2]BV_Data_An_Cour!$AQ:$AQ,$C158,[2]BV_Data_An_Cour!$AR:$AR,$L$2)</f>
        <v>0</v>
      </c>
      <c r="M158" s="26"/>
      <c r="N158" s="39" t="e">
        <f t="shared" si="29"/>
        <v>#N/A</v>
      </c>
      <c r="O158" s="96"/>
      <c r="P158" s="95"/>
      <c r="Q158" s="39">
        <f>-SUMIFS([2]BV_Data_An_Prec!$AM:$AM,[2]BV_Data_An_Prec!$AP:$AP,$B158,[2]BV_Data_An_Prec!$AQ:$AQ,$C158,[2]BV_Data_An_Prec!$AR:$AR,$L$2)</f>
        <v>0</v>
      </c>
      <c r="R158" s="26"/>
      <c r="S158" s="39">
        <f t="shared" si="28"/>
        <v>0</v>
      </c>
      <c r="T158" s="420"/>
      <c r="U158" s="6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1:40" ht="21" hidden="1" customHeight="1">
      <c r="A159" s="410" t="s">
        <v>270</v>
      </c>
      <c r="B159" s="7" t="s">
        <v>70</v>
      </c>
      <c r="C159" s="300" t="s">
        <v>77</v>
      </c>
      <c r="D159" s="54"/>
      <c r="E159" s="7"/>
      <c r="F159" s="19" t="e">
        <f>+INDEX('[2]Budget original'!$A$2:$AO$501,MATCH($A159,'[2]Budget original'!$A$2:$A$501,0),MATCH(F$2,'[2]Budget original'!$A$2:$AO$2,0))</f>
        <v>#N/A</v>
      </c>
      <c r="G159" s="56"/>
      <c r="H159" s="7"/>
      <c r="I159" s="19"/>
      <c r="J159" s="26"/>
      <c r="K159" s="7"/>
      <c r="L159" s="39">
        <f>-SUMIFS([2]BV_Data_An_Cour!$AM:$AM,[2]BV_Data_An_Cour!$AP:$AP,$B159,[2]BV_Data_An_Cour!$AQ:$AQ,$C159,[2]BV_Data_An_Cour!$AR:$AR,$L$2)</f>
        <v>0</v>
      </c>
      <c r="M159" s="26"/>
      <c r="N159" s="39" t="e">
        <f t="shared" si="29"/>
        <v>#N/A</v>
      </c>
      <c r="O159" s="26"/>
      <c r="P159" s="7"/>
      <c r="Q159" s="39">
        <f>-SUMIFS([2]BV_Data_An_Prec!$AM:$AM,[2]BV_Data_An_Prec!$AP:$AP,$B159,[2]BV_Data_An_Prec!$AQ:$AQ,$C159,[2]BV_Data_An_Prec!$AR:$AR,$L$2)</f>
        <v>0</v>
      </c>
      <c r="R159" s="26"/>
      <c r="S159" s="39">
        <f t="shared" si="28"/>
        <v>0</v>
      </c>
      <c r="T159" s="420"/>
      <c r="U159" s="6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1:40" ht="21.6" customHeight="1">
      <c r="A160" s="410" t="s">
        <v>271</v>
      </c>
      <c r="B160" s="7" t="s">
        <v>70</v>
      </c>
      <c r="C160" s="26" t="s">
        <v>67</v>
      </c>
      <c r="D160" s="311" t="e">
        <f>E160/474</f>
        <v>#N/A</v>
      </c>
      <c r="E160" s="274" t="e">
        <f>F160/D97</f>
        <v>#N/A</v>
      </c>
      <c r="F160" s="19" t="e">
        <f>+INDEX('[2]Budget original'!$A$2:$AO$501,MATCH($A160,'[2]Budget original'!$A$2:$A$501,0),MATCH(F$2,'[2]Budget original'!$A$2:$AO$2,0))</f>
        <v>#N/A</v>
      </c>
      <c r="G160" s="56"/>
      <c r="H160" s="7"/>
      <c r="I160" s="19"/>
      <c r="J160" s="275">
        <f>K160/500</f>
        <v>0.59369499999999975</v>
      </c>
      <c r="K160" s="274">
        <f>L160/J97</f>
        <v>296.84749999999985</v>
      </c>
      <c r="L160" s="39">
        <f>-SUMIFS([2]BV_Data_An_Cour!$AM:$AM,[2]BV_Data_An_Cour!$AP:$AP,$B160,[2]BV_Data_An_Cour!$AQ:$AQ,$C160,[2]BV_Data_An_Cour!$AR:$AR,L$2)</f>
        <v>7124.3399999999965</v>
      </c>
      <c r="M160" s="26"/>
      <c r="N160" s="39" t="e">
        <f t="shared" si="29"/>
        <v>#N/A</v>
      </c>
      <c r="O160" s="275">
        <f>P160/500</f>
        <v>0</v>
      </c>
      <c r="P160" s="274">
        <f>Q160/O97</f>
        <v>0</v>
      </c>
      <c r="Q160" s="39">
        <f>-SUMIFS([2]BV_Data_An_Prec!$AM:$AM,[2]BV_Data_An_Prec!$AP:$AP,$B160,[2]BV_Data_An_Prec!$AQ:$AQ,$C160,[2]BV_Data_An_Prec!$AR:$AR,Q$2)</f>
        <v>0</v>
      </c>
      <c r="R160" s="26"/>
      <c r="S160" s="39">
        <f t="shared" si="28"/>
        <v>7124.3399999999965</v>
      </c>
      <c r="T160" s="420">
        <f>14*500</f>
        <v>7000</v>
      </c>
      <c r="U160" s="6" t="s">
        <v>514</v>
      </c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1:40" ht="21" hidden="1" customHeight="1">
      <c r="A161" s="410" t="s">
        <v>239</v>
      </c>
      <c r="B161" s="7" t="s">
        <v>70</v>
      </c>
      <c r="C161" s="26" t="s">
        <v>19</v>
      </c>
      <c r="D161" s="54"/>
      <c r="E161" s="7"/>
      <c r="F161" s="19" t="e">
        <f>+INDEX('[2]Budget original'!$A$2:$AO$501,MATCH($A161,'[2]Budget original'!$A$2:$A$501,0),MATCH(F$2,'[2]Budget original'!$A$2:$AO$2,0))</f>
        <v>#N/A</v>
      </c>
      <c r="G161" s="56"/>
      <c r="H161" s="7"/>
      <c r="I161" s="19"/>
      <c r="J161" s="26"/>
      <c r="K161" s="7"/>
      <c r="L161" s="39">
        <f>-SUMIFS([2]BV_Data_An_Cour!$AM:$AM,[2]BV_Data_An_Cour!$AP:$AP,$B161,[2]BV_Data_An_Cour!$AQ:$AQ,$C161,[2]BV_Data_An_Cour!$AR:$AR,$L$2)</f>
        <v>0</v>
      </c>
      <c r="M161" s="26"/>
      <c r="N161" s="39" t="e">
        <f t="shared" si="29"/>
        <v>#N/A</v>
      </c>
      <c r="O161" s="26"/>
      <c r="P161" s="7"/>
      <c r="Q161" s="39">
        <f>-SUMIFS([2]BV_Data_An_Prec!$AM:$AM,[2]BV_Data_An_Prec!$AP:$AP,$B161,[2]BV_Data_An_Prec!$AQ:$AQ,$C161,[2]BV_Data_An_Prec!$AR:$AR,$L$2)</f>
        <v>0</v>
      </c>
      <c r="R161" s="26"/>
      <c r="S161" s="39">
        <f t="shared" si="28"/>
        <v>0</v>
      </c>
      <c r="T161" s="420"/>
      <c r="U161" s="6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1:40" ht="21" hidden="1" customHeight="1">
      <c r="A162" s="410" t="s">
        <v>239</v>
      </c>
      <c r="B162" s="7" t="s">
        <v>70</v>
      </c>
      <c r="C162" s="26" t="s">
        <v>19</v>
      </c>
      <c r="D162" s="54"/>
      <c r="E162" s="7"/>
      <c r="F162" s="19" t="e">
        <f>+INDEX('[2]Budget original'!$A$2:$AO$501,MATCH($A162,'[2]Budget original'!$A$2:$A$501,0),MATCH(F$2,'[2]Budget original'!$A$2:$AO$2,0))</f>
        <v>#N/A</v>
      </c>
      <c r="G162" s="56"/>
      <c r="H162" s="7"/>
      <c r="I162" s="19"/>
      <c r="J162" s="26"/>
      <c r="K162" s="7"/>
      <c r="L162" s="39">
        <f>-SUMIFS([2]BV_Data_An_Cour!$AM:$AM,[2]BV_Data_An_Cour!$AP:$AP,$B162,[2]BV_Data_An_Cour!$AQ:$AQ,$C162,[2]BV_Data_An_Cour!$AR:$AR,$L$2)</f>
        <v>0</v>
      </c>
      <c r="M162" s="26"/>
      <c r="N162" s="39" t="e">
        <f t="shared" si="29"/>
        <v>#N/A</v>
      </c>
      <c r="O162" s="26"/>
      <c r="P162" s="7"/>
      <c r="Q162" s="39">
        <f>-SUMIFS([2]BV_Data_An_Prec!$AM:$AM,[2]BV_Data_An_Prec!$AP:$AP,$B162,[2]BV_Data_An_Prec!$AQ:$AQ,$C162,[2]BV_Data_An_Prec!$AR:$AR,$L$2)</f>
        <v>0</v>
      </c>
      <c r="R162" s="26"/>
      <c r="S162" s="39">
        <f t="shared" si="28"/>
        <v>0</v>
      </c>
      <c r="T162" s="420"/>
      <c r="U162" s="6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1:40" ht="21" hidden="1" customHeight="1">
      <c r="A163" s="410" t="s">
        <v>239</v>
      </c>
      <c r="B163" s="7" t="s">
        <v>70</v>
      </c>
      <c r="C163" s="14" t="s">
        <v>19</v>
      </c>
      <c r="D163" s="57"/>
      <c r="E163" s="73"/>
      <c r="F163" s="19" t="e">
        <f>+INDEX('[2]Budget original'!$A$2:$AO$501,MATCH($A163,'[2]Budget original'!$A$2:$A$501,0),MATCH(F$2,'[2]Budget original'!$A$2:$AO$2,0))</f>
        <v>#N/A</v>
      </c>
      <c r="G163" s="56"/>
      <c r="H163" s="7"/>
      <c r="I163" s="19"/>
      <c r="J163" s="26"/>
      <c r="K163" s="7"/>
      <c r="L163" s="39">
        <f>-SUMIFS([2]BV_Data_An_Cour!$AM:$AM,[2]BV_Data_An_Cour!$AP:$AP,$B163,[2]BV_Data_An_Cour!$AQ:$AQ,$C163,[2]BV_Data_An_Cour!$AR:$AR,$L$2)</f>
        <v>0</v>
      </c>
      <c r="M163" s="26"/>
      <c r="N163" s="39" t="e">
        <f t="shared" si="29"/>
        <v>#N/A</v>
      </c>
      <c r="O163" s="26"/>
      <c r="P163" s="7"/>
      <c r="Q163" s="39">
        <f>-SUMIFS([2]BV_Data_An_Prec!$AM:$AM,[2]BV_Data_An_Prec!$AP:$AP,$B163,[2]BV_Data_An_Prec!$AQ:$AQ,$C163,[2]BV_Data_An_Prec!$AR:$AR,$L$2)</f>
        <v>0</v>
      </c>
      <c r="R163" s="26"/>
      <c r="S163" s="39">
        <f t="shared" si="28"/>
        <v>0</v>
      </c>
      <c r="T163" s="420"/>
      <c r="U163" s="6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1:40" ht="18.600000000000001" customHeight="1">
      <c r="A164" s="410"/>
      <c r="B164" s="7"/>
      <c r="C164" s="139" t="s">
        <v>68</v>
      </c>
      <c r="D164" s="62"/>
      <c r="E164" s="63"/>
      <c r="F164" s="64" t="e">
        <f>+SUM(F157:F163)</f>
        <v>#N/A</v>
      </c>
      <c r="G164" s="65"/>
      <c r="H164" s="63"/>
      <c r="I164" s="64"/>
      <c r="J164" s="65"/>
      <c r="K164" s="63"/>
      <c r="L164" s="64">
        <f>+SUM(L157:L163)</f>
        <v>7124.3399999999965</v>
      </c>
      <c r="M164" s="66"/>
      <c r="N164" s="64" t="e">
        <f>SUM(N157:N160)</f>
        <v>#N/A</v>
      </c>
      <c r="O164" s="65"/>
      <c r="P164" s="63"/>
      <c r="Q164" s="64">
        <f>+SUM(Q157:Q163)</f>
        <v>0</v>
      </c>
      <c r="R164" s="67"/>
      <c r="S164" s="64">
        <f t="shared" si="28"/>
        <v>7124.3399999999965</v>
      </c>
      <c r="T164" s="6"/>
      <c r="U164" s="6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1:40" ht="15.75" customHeight="1">
      <c r="B165" s="7"/>
      <c r="C165" s="26"/>
      <c r="D165" s="54"/>
      <c r="E165" s="7"/>
      <c r="F165" s="39"/>
      <c r="G165" s="56"/>
      <c r="H165" s="7"/>
      <c r="I165" s="39"/>
      <c r="J165" s="26"/>
      <c r="K165" s="7"/>
      <c r="L165" s="39"/>
      <c r="M165" s="26"/>
      <c r="N165" s="39"/>
      <c r="O165" s="26"/>
      <c r="P165" s="7"/>
      <c r="Q165" s="39"/>
      <c r="R165" s="26"/>
      <c r="S165" s="39"/>
      <c r="T165" s="422"/>
      <c r="U165" s="6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1:40" ht="18.600000000000001" customHeight="1" thickBot="1">
      <c r="A166" s="410"/>
      <c r="B166" s="7"/>
      <c r="C166" s="276" t="s">
        <v>69</v>
      </c>
      <c r="D166" s="277"/>
      <c r="E166" s="278"/>
      <c r="F166" s="138" t="e">
        <f>F109-F156+F164</f>
        <v>#N/A</v>
      </c>
      <c r="G166" s="279"/>
      <c r="H166" s="278"/>
      <c r="I166" s="138"/>
      <c r="J166" s="279"/>
      <c r="K166" s="278"/>
      <c r="L166" s="138">
        <f>L109-L156+L164</f>
        <v>-23059.260000000839</v>
      </c>
      <c r="M166" s="280"/>
      <c r="N166" s="138" t="e">
        <f>L166-F166</f>
        <v>#N/A</v>
      </c>
      <c r="O166" s="279"/>
      <c r="P166" s="278"/>
      <c r="Q166" s="138">
        <f>Q109-Q156+Q164</f>
        <v>-82544.580000001908</v>
      </c>
      <c r="R166" s="281"/>
      <c r="S166" s="138">
        <f t="shared" si="28"/>
        <v>59485.320000001069</v>
      </c>
      <c r="T166" s="6"/>
      <c r="U166" s="6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1:40" ht="15.75" customHeight="1" thickTop="1">
      <c r="B167" s="7"/>
      <c r="C167" s="6"/>
      <c r="D167" s="6"/>
      <c r="E167" s="6"/>
      <c r="F167" s="97"/>
      <c r="G167" s="6"/>
      <c r="H167" s="6"/>
      <c r="I167" s="6"/>
      <c r="J167" s="6"/>
      <c r="K167" s="6"/>
      <c r="L167" s="97"/>
      <c r="M167" s="6"/>
      <c r="N167" s="6"/>
      <c r="O167" s="6"/>
      <c r="P167" s="6"/>
      <c r="Q167" s="6"/>
      <c r="R167" s="97"/>
      <c r="S167" s="6"/>
      <c r="T167" s="97"/>
      <c r="U167" s="6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1:40" ht="15.75" customHeight="1">
      <c r="B168" s="7"/>
      <c r="C168" s="6"/>
      <c r="D168" s="6"/>
      <c r="E168" s="6"/>
      <c r="F168" s="97"/>
      <c r="G168" s="6"/>
      <c r="H168" s="6"/>
      <c r="I168" s="6"/>
      <c r="J168" s="6"/>
      <c r="K168" s="6"/>
      <c r="L168" s="97"/>
      <c r="M168" s="6"/>
      <c r="N168" s="6"/>
      <c r="O168" s="6"/>
      <c r="P168" s="6"/>
      <c r="Q168" s="6"/>
      <c r="R168" s="97"/>
      <c r="S168" s="6"/>
      <c r="T168" s="97"/>
      <c r="U168" s="6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1:40" ht="33" customHeight="1">
      <c r="B169" s="2"/>
      <c r="C169" s="251" t="str">
        <f>C1</f>
        <v>Ste-Marie Auto</v>
      </c>
      <c r="D169" s="252"/>
      <c r="E169" s="253"/>
      <c r="F169" s="252"/>
      <c r="G169" s="252"/>
      <c r="H169" s="254"/>
      <c r="I169" s="252"/>
      <c r="J169" s="254"/>
      <c r="K169" s="255" t="s">
        <v>220</v>
      </c>
      <c r="L169" s="252"/>
      <c r="M169" s="252"/>
      <c r="N169" s="256"/>
      <c r="O169" s="251"/>
      <c r="P169" s="257"/>
      <c r="Q169" s="251"/>
      <c r="R169" s="257"/>
      <c r="S169" s="258" t="str">
        <f>$S$1</f>
        <v>Réalisé, Aout 2026</v>
      </c>
      <c r="T169" s="381"/>
      <c r="U169" s="381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15.75" customHeight="1" thickBot="1">
      <c r="B170" s="3"/>
      <c r="C170" s="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spans="1:40" ht="15.75" customHeight="1" thickTop="1">
      <c r="B171" s="7"/>
      <c r="C171" s="259"/>
      <c r="D171" s="407" t="s">
        <v>5</v>
      </c>
      <c r="E171" s="407"/>
      <c r="F171" s="409"/>
      <c r="G171" s="405"/>
      <c r="H171" s="407"/>
      <c r="I171" s="409"/>
      <c r="J171" s="405" t="s">
        <v>7</v>
      </c>
      <c r="K171" s="407"/>
      <c r="L171" s="409"/>
      <c r="M171" s="405" t="s">
        <v>211</v>
      </c>
      <c r="N171" s="409"/>
      <c r="O171" s="405" t="s">
        <v>8</v>
      </c>
      <c r="P171" s="407"/>
      <c r="Q171" s="409"/>
      <c r="R171" s="405" t="s">
        <v>212</v>
      </c>
      <c r="S171" s="409"/>
      <c r="T171" s="6"/>
      <c r="U171" s="6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1:40" ht="15.75" customHeight="1">
      <c r="B172" s="7"/>
      <c r="C172" s="26"/>
      <c r="D172" s="8" t="s">
        <v>10</v>
      </c>
      <c r="E172" s="9" t="s">
        <v>11</v>
      </c>
      <c r="F172" s="10" t="s">
        <v>12</v>
      </c>
      <c r="G172" s="11"/>
      <c r="H172" s="9"/>
      <c r="I172" s="10"/>
      <c r="J172" s="11" t="s">
        <v>221</v>
      </c>
      <c r="K172" s="9" t="s">
        <v>13</v>
      </c>
      <c r="L172" s="10" t="s">
        <v>12</v>
      </c>
      <c r="M172" s="11" t="s">
        <v>221</v>
      </c>
      <c r="N172" s="10" t="s">
        <v>12</v>
      </c>
      <c r="O172" s="9" t="s">
        <v>10</v>
      </c>
      <c r="P172" s="9" t="s">
        <v>11</v>
      </c>
      <c r="Q172" s="10" t="s">
        <v>12</v>
      </c>
      <c r="R172" s="11" t="s">
        <v>221</v>
      </c>
      <c r="S172" s="10" t="s">
        <v>12</v>
      </c>
      <c r="T172" s="6"/>
      <c r="U172" s="6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1:40" ht="24" customHeight="1">
      <c r="A173" s="410" t="s">
        <v>222</v>
      </c>
      <c r="B173" s="7" t="s">
        <v>223</v>
      </c>
      <c r="C173" s="14" t="s">
        <v>14</v>
      </c>
      <c r="D173" s="30"/>
      <c r="E173" s="30"/>
      <c r="F173" s="31" t="e">
        <f>+INDEX('[2]Budget original'!$A$2:$AO$501,MATCH($A173,'[2]Budget original'!$A$2:$A$501,0),MATCH(F$2,'[2]Budget original'!$A$2:$AO$2,0))</f>
        <v>#N/A</v>
      </c>
      <c r="G173" s="34"/>
      <c r="H173" s="30"/>
      <c r="I173" s="31"/>
      <c r="J173" s="14"/>
      <c r="K173" s="58"/>
      <c r="L173" s="61">
        <f>-SUMIFS([2]BV_Data_An_Cour!$AM:$AM,[2]BV_Data_An_Cour!$AS:$AS,"Oui",[2]BV_Data_An_Cour!$AP:$AP,$B173)</f>
        <v>5617807.6899999976</v>
      </c>
      <c r="M173" s="86"/>
      <c r="N173" s="87"/>
      <c r="O173" s="14"/>
      <c r="P173" s="58"/>
      <c r="Q173" s="61">
        <f>-SUMIFS([2]BV_Data_An_Prec!$AM:$AM,[2]BV_Data_An_Prec!$AS:$AS,"Oui",[2]BV_Data_An_Prec!$AP:$AP,$B173)</f>
        <v>6332440.6900000013</v>
      </c>
      <c r="R173" s="86"/>
      <c r="S173" s="87"/>
      <c r="T173" s="6"/>
      <c r="U173" s="411"/>
      <c r="V173" s="412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1:40" ht="24" customHeight="1">
      <c r="A174" s="410"/>
      <c r="B174" s="7" t="s">
        <v>223</v>
      </c>
      <c r="C174" s="26"/>
      <c r="D174" s="19"/>
      <c r="E174" s="19"/>
      <c r="F174" s="19"/>
      <c r="G174" s="20"/>
      <c r="H174" s="19"/>
      <c r="I174" s="19"/>
      <c r="J174" s="26"/>
      <c r="K174" s="55"/>
      <c r="L174" s="39"/>
      <c r="M174" s="85"/>
      <c r="N174" s="84"/>
      <c r="O174" s="26"/>
      <c r="P174" s="55"/>
      <c r="Q174" s="39"/>
      <c r="R174" s="85"/>
      <c r="S174" s="261"/>
      <c r="T174" s="6"/>
      <c r="U174" s="411"/>
      <c r="V174" s="412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1:40" ht="21.75" customHeight="1">
      <c r="A175" s="410" t="s">
        <v>224</v>
      </c>
      <c r="B175" s="7" t="s">
        <v>223</v>
      </c>
      <c r="C175" s="26" t="s">
        <v>225</v>
      </c>
      <c r="D175" s="19" t="e">
        <f>+INDEX('[2]Budget original'!$A$2:$AO$501,MATCH($A175,'[2]Budget original'!$A$2:$A$501,0),MATCH(D$2,'[2]Budget original'!$A$2:$AO$2,0))</f>
        <v>#N/A</v>
      </c>
      <c r="E175" s="19" t="e">
        <f>IF(D175=0,0,F175/D175)</f>
        <v>#N/A</v>
      </c>
      <c r="F175" s="19" t="e">
        <f>+INDEX('[2]Budget original'!$A$2:$AO$501,MATCH($A175,'[2]Budget original'!$A$2:$A$501,0),MATCH(F$2,'[2]Budget original'!$A$2:$AO$2,0))</f>
        <v>#N/A</v>
      </c>
      <c r="G175" s="20"/>
      <c r="H175" s="19"/>
      <c r="I175" s="19"/>
      <c r="J175" s="20">
        <f>SUMIFS([2]BV_Data_An_Cour!$AW:$AW,[2]BV_Data_An_Cour!$AP:$AP,$B175,[2]BV_Data_An_Cour!$AQ:$AQ,$C175,[2]BV_Data_An_Cour!$AY:$AY,J$2)</f>
        <v>77</v>
      </c>
      <c r="K175" s="55">
        <f t="shared" ref="K175:K179" si="30">IF(J175=0,0,L175/J175)</f>
        <v>-783.68155844156422</v>
      </c>
      <c r="L175" s="39">
        <f>-SUMIFS([2]BV_Data_An_Cour!$AM:$AM,[2]BV_Data_An_Cour!$AP:$AP,$B175,[2]BV_Data_An_Cour!$AQ:$AQ,$C175,[2]BV_Data_An_Cour!$AR:$AR,$L2)</f>
        <v>-60343.480000000447</v>
      </c>
      <c r="M175" s="20" t="e">
        <f>J175-D175</f>
        <v>#N/A</v>
      </c>
      <c r="N175" s="21" t="e">
        <f>L175-F175</f>
        <v>#N/A</v>
      </c>
      <c r="O175" s="20">
        <f>SUMIFS([2]BV_Data_An_Prec!$AW:$AW,[2]BV_Data_An_Prec!$AP:$AP,$B175,[2]BV_Data_An_Prec!$AQ:$AQ,$C175,[2]BV_Data_An_Prec!$AY:$AY,O$2)</f>
        <v>44</v>
      </c>
      <c r="P175" s="55">
        <f t="shared" ref="P175:P179" si="31">IF(O175=0,0,Q175/O175)</f>
        <v>-564.98931818178175</v>
      </c>
      <c r="Q175" s="39">
        <f>-SUMIFS([2]BV_Data_An_Prec!$AM:$AM,[2]BV_Data_An_Prec!$AP:$AP,$B175,[2]BV_Data_An_Prec!$AQ:$AQ,$C175,[2]BV_Data_An_Prec!$AR:$AR,$L2)</f>
        <v>-24859.529999998398</v>
      </c>
      <c r="R175" s="20">
        <f t="shared" ref="R175:R177" si="32">J175-O175</f>
        <v>33</v>
      </c>
      <c r="S175" s="39">
        <f t="shared" ref="S175:S177" si="33">L175-Q175</f>
        <v>-35483.950000002049</v>
      </c>
      <c r="T175" s="6">
        <v>77</v>
      </c>
      <c r="U175" s="413">
        <v>-60343.48</v>
      </c>
      <c r="V175" s="412">
        <f>L175-U175</f>
        <v>-4.4383341446518898E-10</v>
      </c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1:40" ht="21.75" customHeight="1">
      <c r="A176" s="410"/>
      <c r="B176" s="7" t="s">
        <v>223</v>
      </c>
      <c r="C176" s="248"/>
      <c r="D176" s="16"/>
      <c r="E176" s="16"/>
      <c r="F176" s="16"/>
      <c r="G176" s="29"/>
      <c r="H176" s="16"/>
      <c r="I176" s="16"/>
      <c r="J176" s="29"/>
      <c r="K176" s="60"/>
      <c r="L176" s="92"/>
      <c r="M176" s="29"/>
      <c r="N176" s="13"/>
      <c r="O176" s="29"/>
      <c r="P176" s="60"/>
      <c r="Q176" s="92"/>
      <c r="R176" s="262">
        <f>R175/O175</f>
        <v>0.75</v>
      </c>
      <c r="S176" s="108">
        <f>IF(Q175=0,0,(S175/Q175))</f>
        <v>1.4273781523626687</v>
      </c>
      <c r="T176" s="6"/>
      <c r="U176" s="411"/>
      <c r="V176" s="412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1:40" ht="18.75" customHeight="1">
      <c r="A177" s="410" t="s">
        <v>226</v>
      </c>
      <c r="B177" s="7" t="s">
        <v>223</v>
      </c>
      <c r="C177" s="26" t="s">
        <v>227</v>
      </c>
      <c r="D177" s="19" t="e">
        <f>+INDEX('[2]Budget original'!$A$2:$AO$501,MATCH($A177,'[2]Budget original'!$A$2:$A$501,0),MATCH(D$2,'[2]Budget original'!$A$2:$AO$2,0))</f>
        <v>#N/A</v>
      </c>
      <c r="E177" s="19" t="e">
        <f t="shared" ref="E177:E179" si="34">IF(D177=0,0,F177/D177)</f>
        <v>#N/A</v>
      </c>
      <c r="F177" s="19" t="e">
        <f>+INDEX('[2]Budget original'!$A$2:$AO$501,MATCH($A177,'[2]Budget original'!$A$2:$A$501,0),MATCH(F$2,'[2]Budget original'!$A$2:$AO$2,0))</f>
        <v>#N/A</v>
      </c>
      <c r="G177" s="20"/>
      <c r="H177" s="19"/>
      <c r="I177" s="19"/>
      <c r="J177" s="20">
        <f>SUMIFS([2]BV_Data_An_Cour!$AW:$AW,[2]BV_Data_An_Cour!$AP:$AP,$B177,[2]BV_Data_An_Cour!$AQ:$AQ,$C177,[2]BV_Data_An_Cour!$AY:$AY,J$2)</f>
        <v>27</v>
      </c>
      <c r="K177" s="55">
        <f t="shared" si="30"/>
        <v>844.68703703699566</v>
      </c>
      <c r="L177" s="39">
        <f>-SUMIFS([2]BV_Data_An_Cour!$AM:$AM,[2]BV_Data_An_Cour!$AP:$AP,$B177,[2]BV_Data_An_Cour!$AQ:$AQ,$C177,[2]BV_Data_An_Cour!$AR:$AR,$L2)</f>
        <v>22806.549999998882</v>
      </c>
      <c r="M177" s="20" t="e">
        <f>J177-D177</f>
        <v>#N/A</v>
      </c>
      <c r="N177" s="21" t="e">
        <f>L177-F177</f>
        <v>#N/A</v>
      </c>
      <c r="O177" s="20">
        <f>SUMIFS([2]BV_Data_An_Prec!$AW:$AW,[2]BV_Data_An_Prec!$AP:$AP,$B177,[2]BV_Data_An_Prec!$AQ:$AQ,$C177,[2]BV_Data_An_Prec!$AY:$AY,O$2)</f>
        <v>0</v>
      </c>
      <c r="P177" s="55">
        <f t="shared" si="31"/>
        <v>0</v>
      </c>
      <c r="Q177" s="39">
        <f>-SUMIFS([2]BV_Data_An_Prec!$AM:$AM,[2]BV_Data_An_Prec!$AP:$AP,$B177,[2]BV_Data_An_Prec!$AQ:$AQ,$C177,[2]BV_Data_An_Prec!$AR:$AR,$L2)</f>
        <v>0</v>
      </c>
      <c r="R177" s="20">
        <f t="shared" si="32"/>
        <v>27</v>
      </c>
      <c r="S177" s="39">
        <f t="shared" si="33"/>
        <v>22806.549999998882</v>
      </c>
      <c r="T177" s="6">
        <v>27</v>
      </c>
      <c r="U177" s="411">
        <v>22806.55</v>
      </c>
      <c r="V177" s="412">
        <f>L177-U177</f>
        <v>-1.1168594937771559E-9</v>
      </c>
      <c r="W177" s="7"/>
      <c r="X177" s="7"/>
      <c r="Y177" s="7"/>
      <c r="Z177" s="7"/>
      <c r="AA177" s="7"/>
      <c r="AB177" s="7"/>
      <c r="AC177" s="7"/>
      <c r="AD177" s="417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1:40" ht="18.75" customHeight="1">
      <c r="A178" s="410"/>
      <c r="B178" s="7" t="s">
        <v>223</v>
      </c>
      <c r="C178" s="248"/>
      <c r="D178" s="16"/>
      <c r="E178" s="16"/>
      <c r="F178" s="16"/>
      <c r="G178" s="29"/>
      <c r="H178" s="16"/>
      <c r="I178" s="16"/>
      <c r="J178" s="29"/>
      <c r="K178" s="60"/>
      <c r="L178" s="92"/>
      <c r="M178" s="29"/>
      <c r="N178" s="13"/>
      <c r="O178" s="29"/>
      <c r="P178" s="60"/>
      <c r="Q178" s="92"/>
      <c r="R178" s="262" t="e">
        <f>R177/O177</f>
        <v>#DIV/0!</v>
      </c>
      <c r="S178" s="108">
        <f>IF(Q177=0,0,(S177/Q177))</f>
        <v>0</v>
      </c>
      <c r="T178" s="6"/>
      <c r="U178" s="411"/>
      <c r="V178" s="414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1:40" ht="18.75" customHeight="1">
      <c r="A179" s="410" t="str">
        <f>B179&amp;C179</f>
        <v>Wholesale autresWholesale Luxueux</v>
      </c>
      <c r="B179" s="7" t="s">
        <v>223</v>
      </c>
      <c r="C179" s="26" t="s">
        <v>228</v>
      </c>
      <c r="D179" s="19" t="e">
        <f>+INDEX('[2]Budget original'!$A$2:$AO$501,MATCH($A179,'[2]Budget original'!$A$2:$A$501,0),MATCH(D$2,'[2]Budget original'!$A$2:$AO$2,0))</f>
        <v>#N/A</v>
      </c>
      <c r="E179" s="19" t="e">
        <f t="shared" si="34"/>
        <v>#N/A</v>
      </c>
      <c r="F179" s="19" t="e">
        <f>+INDEX('[2]Budget original'!$A$2:$AO$501,MATCH($A179,'[2]Budget original'!$A$2:$A$501,0),MATCH(F$2,'[2]Budget original'!$A$2:$AO$2,0))</f>
        <v>#N/A</v>
      </c>
      <c r="G179" s="20"/>
      <c r="H179" s="19"/>
      <c r="I179" s="19"/>
      <c r="J179" s="20">
        <f>SUMIFS([2]BV_Data_An_Cour!$AW:$AW,[2]BV_Data_An_Cour!$AP:$AP,$B179,[2]BV_Data_An_Cour!$AQ:$AQ,$C179,[2]BV_Data_An_Cour!$AY:$AY,J$2)</f>
        <v>8</v>
      </c>
      <c r="K179" s="55">
        <f t="shared" si="30"/>
        <v>2704.375</v>
      </c>
      <c r="L179" s="39">
        <f>-SUMIFS([2]BV_Data_An_Cour!$AM:$AM,[2]BV_Data_An_Cour!$AP:$AP,$B179,[2]BV_Data_An_Cour!$AQ:$AQ,$C179,[2]BV_Data_An_Cour!$AR:$AR,$L2)</f>
        <v>21635</v>
      </c>
      <c r="M179" s="20" t="e">
        <f>J179-D179</f>
        <v>#N/A</v>
      </c>
      <c r="N179" s="21" t="e">
        <f>L179-F179</f>
        <v>#N/A</v>
      </c>
      <c r="O179" s="20">
        <f>SUMIFS([2]BV_Data_An_Prec!$AW:$AW,[2]BV_Data_An_Prec!$AP:$AP,$B179,[2]BV_Data_An_Prec!$AQ:$AQ,$C179,[2]BV_Data_An_Prec!$AY:$AY,O$2)</f>
        <v>21</v>
      </c>
      <c r="P179" s="55">
        <f t="shared" si="31"/>
        <v>4531.9047619046733</v>
      </c>
      <c r="Q179" s="39">
        <f>-SUMIFS([2]BV_Data_An_Prec!$AM:$AM,[2]BV_Data_An_Prec!$AP:$AP,$B179,[2]BV_Data_An_Prec!$AQ:$AQ,$C179,[2]BV_Data_An_Prec!$AR:$AR,$L2)</f>
        <v>95169.999999998137</v>
      </c>
      <c r="R179" s="20">
        <f>J179-O179</f>
        <v>-13</v>
      </c>
      <c r="S179" s="39">
        <f>L179-Q179</f>
        <v>-73534.999999998137</v>
      </c>
      <c r="T179" s="6">
        <v>8</v>
      </c>
      <c r="U179" s="413">
        <v>21635</v>
      </c>
      <c r="V179" s="412">
        <f>L179-U179</f>
        <v>0</v>
      </c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1:40" ht="15.75" customHeight="1">
      <c r="A180" s="410" t="s">
        <v>70</v>
      </c>
      <c r="B180" s="7" t="s">
        <v>223</v>
      </c>
      <c r="C180" s="26"/>
      <c r="D180" s="7"/>
      <c r="E180" s="7"/>
      <c r="F180" s="39"/>
      <c r="G180" s="26"/>
      <c r="H180" s="91"/>
      <c r="I180" s="39"/>
      <c r="J180" s="26"/>
      <c r="K180" s="55"/>
      <c r="L180" s="39"/>
      <c r="M180" s="27"/>
      <c r="N180" s="28" t="e">
        <f>#REF!/#REF!</f>
        <v>#REF!</v>
      </c>
      <c r="O180" s="26"/>
      <c r="P180" s="55"/>
      <c r="Q180" s="39"/>
      <c r="R180" s="263">
        <f>R179/O179</f>
        <v>-0.61904761904761907</v>
      </c>
      <c r="S180" s="100">
        <f>IF(Q179=0,0,(S179/Q179))</f>
        <v>-0.77266995902069535</v>
      </c>
      <c r="T180" s="6"/>
      <c r="U180" s="411"/>
      <c r="V180" s="414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1:40" ht="15.75" customHeight="1" thickBot="1">
      <c r="A181" s="410" t="s">
        <v>70</v>
      </c>
      <c r="B181" s="7" t="s">
        <v>223</v>
      </c>
      <c r="C181" s="26"/>
      <c r="D181" s="7"/>
      <c r="E181" s="7"/>
      <c r="F181" s="39"/>
      <c r="G181" s="26"/>
      <c r="H181" s="91"/>
      <c r="I181" s="39"/>
      <c r="J181" s="26"/>
      <c r="K181" s="55"/>
      <c r="L181" s="39"/>
      <c r="M181" s="27"/>
      <c r="N181" s="28"/>
      <c r="O181" s="26"/>
      <c r="P181" s="55"/>
      <c r="Q181" s="39"/>
      <c r="R181" s="40"/>
      <c r="S181" s="112"/>
      <c r="T181" s="6"/>
      <c r="U181" s="411"/>
      <c r="V181" s="414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1:40" ht="18" customHeight="1" thickTop="1">
      <c r="A182" s="410" t="s">
        <v>229</v>
      </c>
      <c r="B182" s="7" t="s">
        <v>223</v>
      </c>
      <c r="C182" s="264" t="s">
        <v>230</v>
      </c>
      <c r="D182" s="41" t="e">
        <f>D175+D177+D179</f>
        <v>#N/A</v>
      </c>
      <c r="E182" s="42" t="e">
        <f>IF(D182&lt;=0,0,F182/D182)</f>
        <v>#N/A</v>
      </c>
      <c r="F182" s="43" t="e">
        <f>#REF!+#REF!+#REF!</f>
        <v>#REF!</v>
      </c>
      <c r="G182" s="44"/>
      <c r="H182" s="42"/>
      <c r="I182" s="43"/>
      <c r="J182" s="44">
        <f>J175+J177+J179</f>
        <v>112</v>
      </c>
      <c r="K182" s="41">
        <f>IF(J182&lt;=0,0,L182/J182)</f>
        <v>-141.98151785715683</v>
      </c>
      <c r="L182" s="43">
        <f>L175+L179+L177</f>
        <v>-15901.930000001565</v>
      </c>
      <c r="M182" s="44" t="e">
        <f>J182-D182</f>
        <v>#N/A</v>
      </c>
      <c r="N182" s="43" t="e">
        <f>L182-F182</f>
        <v>#REF!</v>
      </c>
      <c r="O182" s="44">
        <f>O175+O177+O179</f>
        <v>65</v>
      </c>
      <c r="P182" s="41">
        <f>IF(O182&lt;=0,0,Q182/O182)</f>
        <v>1081.6995384615345</v>
      </c>
      <c r="Q182" s="43">
        <f>Q175+Q179+Q177</f>
        <v>70310.469999999739</v>
      </c>
      <c r="R182" s="44">
        <f>J182-O182</f>
        <v>47</v>
      </c>
      <c r="S182" s="43">
        <f>L182-Q182</f>
        <v>-86212.400000001304</v>
      </c>
      <c r="T182" s="6"/>
      <c r="U182" s="411">
        <f>SUM(U175:U181)</f>
        <v>-15901.930000000008</v>
      </c>
      <c r="V182" s="412">
        <f>L182-U182</f>
        <v>-1.5570549294352531E-9</v>
      </c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1:40" ht="22.5" customHeight="1" thickBot="1">
      <c r="A183" s="410" t="s">
        <v>70</v>
      </c>
      <c r="B183" s="7" t="s">
        <v>223</v>
      </c>
      <c r="C183" s="47"/>
      <c r="D183" s="45"/>
      <c r="E183" s="45"/>
      <c r="F183" s="46"/>
      <c r="G183" s="47"/>
      <c r="H183" s="45"/>
      <c r="I183" s="46"/>
      <c r="J183" s="47"/>
      <c r="K183" s="265"/>
      <c r="L183" s="266"/>
      <c r="M183" s="48"/>
      <c r="N183" s="49"/>
      <c r="O183" s="47"/>
      <c r="P183" s="265"/>
      <c r="Q183" s="266"/>
      <c r="R183" s="48">
        <f>O182/R182</f>
        <v>1.3829787234042554</v>
      </c>
      <c r="S183" s="267">
        <f>IF(Q182=0,0,(S182/Q182))</f>
        <v>-1.2261673119238377</v>
      </c>
      <c r="T183" s="6"/>
      <c r="U183" s="411"/>
      <c r="V183" s="412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1:40" ht="15.75" customHeight="1" thickTop="1">
      <c r="A184" s="410" t="s">
        <v>70</v>
      </c>
      <c r="B184" s="7" t="s">
        <v>223</v>
      </c>
      <c r="C184" s="52"/>
      <c r="D184" s="50"/>
      <c r="E184" s="50"/>
      <c r="F184" s="51"/>
      <c r="G184" s="52"/>
      <c r="H184" s="50"/>
      <c r="I184" s="51"/>
      <c r="J184" s="52"/>
      <c r="K184" s="74"/>
      <c r="L184" s="112"/>
      <c r="M184" s="27"/>
      <c r="N184" s="28"/>
      <c r="O184" s="52"/>
      <c r="P184" s="74"/>
      <c r="Q184" s="112"/>
      <c r="R184" s="27"/>
      <c r="S184" s="28"/>
      <c r="T184" s="6"/>
      <c r="U184" s="411"/>
      <c r="V184" s="412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1:40" ht="15.75" customHeight="1">
      <c r="A185" s="410" t="s">
        <v>231</v>
      </c>
      <c r="B185" s="7" t="s">
        <v>223</v>
      </c>
      <c r="C185" s="268" t="s">
        <v>29</v>
      </c>
      <c r="D185" s="7"/>
      <c r="E185" s="53"/>
      <c r="F185" s="39"/>
      <c r="G185" s="26"/>
      <c r="H185" s="53"/>
      <c r="I185" s="39"/>
      <c r="J185" s="26"/>
      <c r="K185" s="269"/>
      <c r="L185" s="39"/>
      <c r="M185" s="26"/>
      <c r="N185" s="25"/>
      <c r="O185" s="99"/>
      <c r="P185" s="55"/>
      <c r="Q185" s="39"/>
      <c r="R185" s="26"/>
      <c r="S185" s="25"/>
      <c r="T185" s="6"/>
      <c r="U185" s="411"/>
      <c r="V185" s="412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1:40" ht="15.75" customHeight="1">
      <c r="A186" s="410" t="s">
        <v>232</v>
      </c>
      <c r="B186" s="7" t="s">
        <v>223</v>
      </c>
      <c r="C186" s="26" t="s">
        <v>30</v>
      </c>
      <c r="D186" s="99" t="e">
        <f>F186/F182</f>
        <v>#N/A</v>
      </c>
      <c r="E186" s="55" t="e">
        <f>IF($J$97=0,0,F186/(D$94+D$95+D182))</f>
        <v>#N/A</v>
      </c>
      <c r="F186" s="19" t="e">
        <f>+INDEX('[2]Budget original'!$A$2:$AO$501,MATCH($A186,'[2]Budget original'!$A$2:$A$501,0),MATCH(F$2,'[2]Budget original'!$A$2:$AO$2,0))</f>
        <v>#N/A</v>
      </c>
      <c r="G186" s="99"/>
      <c r="H186" s="55"/>
      <c r="I186" s="19"/>
      <c r="J186" s="99">
        <f>L186/L182</f>
        <v>-0.63382243538985572</v>
      </c>
      <c r="K186" s="55">
        <f>IF($J$97=0,0,L186/(J$94+J$95+J182))</f>
        <v>74.110294117647058</v>
      </c>
      <c r="L186" s="39">
        <f>SUMIFS([2]BV_Data_An_Cour!$AM:$AM,[2]BV_Data_An_Cour!$AP:$AP,$B186,[2]BV_Data_An_Cour!$AQ:$AQ,$C186,[2]BV_Data_An_Cour!$AR:$AR,$L$2)</f>
        <v>10079</v>
      </c>
      <c r="M186" s="26"/>
      <c r="N186" s="39" t="e">
        <f t="shared" ref="N186:N227" si="35">L186-F186</f>
        <v>#N/A</v>
      </c>
      <c r="O186" s="99">
        <f>Q186/Q182</f>
        <v>0</v>
      </c>
      <c r="P186" s="55">
        <f>IF($J$97=0,0,Q186/(O$94+O$95+O182))</f>
        <v>0</v>
      </c>
      <c r="Q186" s="39">
        <f>SUMIFS([2]BV_Data_An_Prec!$AM:$AM,[2]BV_Data_An_Prec!$AP:$AP,$B186,[2]BV_Data_An_Prec!$AQ:$AQ,$C186,[2]BV_Data_An_Prec!$AR:$AR,$L$2)</f>
        <v>0</v>
      </c>
      <c r="R186" s="26"/>
      <c r="S186" s="39">
        <f t="shared" ref="S186:S227" si="36">L186-Q186</f>
        <v>10079</v>
      </c>
      <c r="T186" s="6"/>
      <c r="U186" s="6" t="s">
        <v>502</v>
      </c>
      <c r="V186" s="6" t="s">
        <v>502</v>
      </c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1:40" ht="15.75" customHeight="1">
      <c r="A187" s="410" t="s">
        <v>233</v>
      </c>
      <c r="B187" s="7" t="s">
        <v>223</v>
      </c>
      <c r="C187" s="14" t="s">
        <v>31</v>
      </c>
      <c r="D187" s="104" t="e">
        <f>F187/(F182)</f>
        <v>#N/A</v>
      </c>
      <c r="E187" s="58" t="e">
        <f>IF($J$97=0,0,F187/(D$94+D$95+D182))</f>
        <v>#N/A</v>
      </c>
      <c r="F187" s="31" t="e">
        <f>+INDEX('[2]Budget original'!$A$2:$AO$501,MATCH($A187,'[2]Budget original'!$A$2:$A$501,0),MATCH(F$2,'[2]Budget original'!$A$2:$AO$2,0))</f>
        <v>#N/A</v>
      </c>
      <c r="G187" s="104"/>
      <c r="H187" s="58"/>
      <c r="I187" s="31"/>
      <c r="J187" s="104">
        <f>L187/(L182)</f>
        <v>0</v>
      </c>
      <c r="K187" s="58">
        <f>IF($J$97=0,0,L187/(J$94+J$95+J182))</f>
        <v>0</v>
      </c>
      <c r="L187" s="39">
        <f>SUMIFS([2]BV_Data_An_Cour!$AM:$AM,[2]BV_Data_An_Cour!$AP:$AP,$B187,[2]BV_Data_An_Cour!$AQ:$AQ,$C187,[2]BV_Data_An_Cour!$AR:$AR,$L$2)</f>
        <v>0</v>
      </c>
      <c r="M187" s="14"/>
      <c r="N187" s="61" t="e">
        <f t="shared" si="35"/>
        <v>#N/A</v>
      </c>
      <c r="O187" s="104">
        <f>Q187/(Q182)</f>
        <v>0</v>
      </c>
      <c r="P187" s="58">
        <f>IF($J$97=0,0,Q187/(O$94+O$95+O182))</f>
        <v>0</v>
      </c>
      <c r="Q187" s="39">
        <f>SUMIFS([2]BV_Data_An_Prec!$AM:$AM,[2]BV_Data_An_Prec!$AP:$AP,$B187,[2]BV_Data_An_Prec!$AQ:$AQ,$C187,[2]BV_Data_An_Prec!$AR:$AR,$L$2)</f>
        <v>0</v>
      </c>
      <c r="R187" s="14"/>
      <c r="S187" s="61">
        <f t="shared" si="36"/>
        <v>0</v>
      </c>
      <c r="T187" s="6"/>
      <c r="U187" s="6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1:40" ht="15.75" customHeight="1">
      <c r="A188" s="410" t="s">
        <v>234</v>
      </c>
      <c r="B188" s="7" t="s">
        <v>223</v>
      </c>
      <c r="C188" s="26" t="s">
        <v>32</v>
      </c>
      <c r="D188" s="26"/>
      <c r="E188" s="55" t="e">
        <f>IF($J$97=0,0,F188/(D$94+D$95+D182))</f>
        <v>#N/A</v>
      </c>
      <c r="F188" s="19" t="e">
        <f>+INDEX('[2]Budget original'!$A$2:$AO$501,MATCH($A188,'[2]Budget original'!$A$2:$A$501,0),MATCH(F$2,'[2]Budget original'!$A$2:$AO$2,0))</f>
        <v>#N/A</v>
      </c>
      <c r="G188" s="56"/>
      <c r="H188" s="55"/>
      <c r="I188" s="19"/>
      <c r="J188" s="26"/>
      <c r="K188" s="55">
        <f>IF($J$97=0,0,L188/(J$94+J$95+J182))</f>
        <v>4.1830882352941146</v>
      </c>
      <c r="L188" s="72">
        <f>SUMIFS([2]BV_Data_An_Cour!$AM:$AM,[2]BV_Data_An_Cour!$AP:$AP,$B188,[2]BV_Data_An_Cour!$AQ:$AQ,$C188,[2]BV_Data_An_Cour!$AR:$AR,$L$2)</f>
        <v>568.89999999999964</v>
      </c>
      <c r="M188" s="26"/>
      <c r="N188" s="39" t="e">
        <f t="shared" si="35"/>
        <v>#N/A</v>
      </c>
      <c r="O188" s="26"/>
      <c r="P188" s="55">
        <f>IF($J$97=0,0,Q188/(O$94+O$95+O182))</f>
        <v>-57.537160493827166</v>
      </c>
      <c r="Q188" s="72">
        <f>SUMIFS([2]BV_Data_An_Prec!$AM:$AM,[2]BV_Data_An_Prec!$AP:$AP,$B188,[2]BV_Data_An_Prec!$AQ:$AQ,$C188,[2]BV_Data_An_Prec!$AR:$AR,$L$2)</f>
        <v>-4660.51</v>
      </c>
      <c r="R188" s="26"/>
      <c r="S188" s="39">
        <f t="shared" si="36"/>
        <v>5229.41</v>
      </c>
      <c r="T188" s="6"/>
      <c r="U188" s="6"/>
      <c r="V188" s="7"/>
      <c r="W188" s="19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1:40" ht="15.75" customHeight="1">
      <c r="A189" s="410" t="s">
        <v>235</v>
      </c>
      <c r="B189" s="7" t="s">
        <v>223</v>
      </c>
      <c r="C189" s="26" t="s">
        <v>33</v>
      </c>
      <c r="D189" s="26"/>
      <c r="E189" s="55" t="e">
        <f>IF($J$97=0,0,F189/(D$94+D$95+D182))</f>
        <v>#N/A</v>
      </c>
      <c r="F189" s="19" t="e">
        <f>+INDEX('[2]Budget original'!$A$2:$AO$501,MATCH($A189,'[2]Budget original'!$A$2:$A$501,0),MATCH(F$2,'[2]Budget original'!$A$2:$AO$2,0))</f>
        <v>#N/A</v>
      </c>
      <c r="G189" s="56"/>
      <c r="H189" s="55"/>
      <c r="I189" s="19"/>
      <c r="J189" s="26"/>
      <c r="K189" s="55">
        <f>IF($J$97=0,0,L189/(J$94+J$95+J182))</f>
        <v>0</v>
      </c>
      <c r="L189" s="39">
        <f>SUMIFS([2]BV_Data_An_Cour!$AM:$AM,[2]BV_Data_An_Cour!$AP:$AP,$B189,[2]BV_Data_An_Cour!$AQ:$AQ,$C189,[2]BV_Data_An_Cour!$AR:$AR,$L$2)</f>
        <v>0</v>
      </c>
      <c r="M189" s="26"/>
      <c r="N189" s="39" t="e">
        <f t="shared" si="35"/>
        <v>#N/A</v>
      </c>
      <c r="O189" s="26"/>
      <c r="P189" s="55">
        <f>IF($J$97=0,0,Q189/(O$94+O$95+O182))</f>
        <v>0</v>
      </c>
      <c r="Q189" s="39">
        <f>SUMIFS([2]BV_Data_An_Prec!$AM:$AM,[2]BV_Data_An_Prec!$AP:$AP,$B189,[2]BV_Data_An_Prec!$AQ:$AQ,$C189,[2]BV_Data_An_Prec!$AR:$AR,$L$2)</f>
        <v>0</v>
      </c>
      <c r="R189" s="26"/>
      <c r="S189" s="39">
        <f t="shared" si="36"/>
        <v>0</v>
      </c>
      <c r="T189" s="6"/>
      <c r="U189" s="6"/>
      <c r="V189" s="7"/>
      <c r="W189" s="19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1:40" ht="15.75" customHeight="1">
      <c r="A190" s="410" t="s">
        <v>236</v>
      </c>
      <c r="B190" s="7" t="s">
        <v>223</v>
      </c>
      <c r="C190" s="14" t="s">
        <v>34</v>
      </c>
      <c r="D190" s="14"/>
      <c r="E190" s="58" t="e">
        <f>IF($J$97=0,0,F190/(D$94+D$95+D182))</f>
        <v>#N/A</v>
      </c>
      <c r="F190" s="31" t="e">
        <f>+INDEX('[2]Budget original'!$A$2:$AO$501,MATCH($A190,'[2]Budget original'!$A$2:$A$501,0),MATCH(F$2,'[2]Budget original'!$A$2:$AO$2,0))</f>
        <v>#N/A</v>
      </c>
      <c r="G190" s="59"/>
      <c r="H190" s="58"/>
      <c r="I190" s="31"/>
      <c r="J190" s="14"/>
      <c r="K190" s="58">
        <f>IF($J$97=0,0,L190/(J$94+J$95+J182))</f>
        <v>0.12867647058823528</v>
      </c>
      <c r="L190" s="61">
        <f>SUMIFS([2]BV_Data_An_Cour!$AM:$AM,[2]BV_Data_An_Cour!$AP:$AP,$B190,[2]BV_Data_An_Cour!$AQ:$AQ,$C190,[2]BV_Data_An_Cour!$AR:$AR,$L$2)</f>
        <v>17.5</v>
      </c>
      <c r="M190" s="14"/>
      <c r="N190" s="61" t="e">
        <f t="shared" si="35"/>
        <v>#N/A</v>
      </c>
      <c r="O190" s="14"/>
      <c r="P190" s="58">
        <f>IF($J$97=0,0,Q190/(O$94+O$95+O182))</f>
        <v>0</v>
      </c>
      <c r="Q190" s="61">
        <f>SUMIFS([2]BV_Data_An_Prec!$AM:$AM,[2]BV_Data_An_Prec!$AP:$AP,$B190,[2]BV_Data_An_Prec!$AQ:$AQ,$C190,[2]BV_Data_An_Prec!$AR:$AR,$L$2)</f>
        <v>0</v>
      </c>
      <c r="R190" s="14"/>
      <c r="S190" s="61">
        <f t="shared" si="36"/>
        <v>17.5</v>
      </c>
      <c r="T190" s="97"/>
      <c r="U190" s="6"/>
      <c r="V190" s="7"/>
      <c r="W190" s="19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1:40" ht="19.5" customHeight="1">
      <c r="A191" s="410" t="s">
        <v>237</v>
      </c>
      <c r="B191" s="7" t="s">
        <v>223</v>
      </c>
      <c r="C191" s="26" t="s">
        <v>35</v>
      </c>
      <c r="D191" s="26"/>
      <c r="E191" s="55" t="e">
        <f>IF($J$97=0,0,F191/(D$94+D$95+D182))</f>
        <v>#N/A</v>
      </c>
      <c r="F191" s="19" t="e">
        <f>+INDEX('[2]Budget original'!$A$2:$AO$501,MATCH($A191,'[2]Budget original'!$A$2:$A$501,0),MATCH(F$2,'[2]Budget original'!$A$2:$AO$2,0))</f>
        <v>#N/A</v>
      </c>
      <c r="G191" s="56"/>
      <c r="H191" s="55"/>
      <c r="I191" s="19"/>
      <c r="J191" s="26"/>
      <c r="K191" s="55">
        <f>IF($J$97=0,0,L191/(J$94+J$95+J182))</f>
        <v>0</v>
      </c>
      <c r="L191" s="39">
        <f>SUMIFS([2]BV_Data_An_Cour!$AM:$AM,[2]BV_Data_An_Cour!$AP:$AP,$B191,[2]BV_Data_An_Cour!$AQ:$AQ,$C191,[2]BV_Data_An_Cour!$AR:$AR,$L$2)</f>
        <v>0</v>
      </c>
      <c r="M191" s="26"/>
      <c r="N191" s="39" t="e">
        <f t="shared" si="35"/>
        <v>#N/A</v>
      </c>
      <c r="O191" s="26"/>
      <c r="P191" s="55">
        <f>IF($J$97=0,0,Q191/(O$94+O$95+O182))</f>
        <v>0</v>
      </c>
      <c r="Q191" s="39">
        <f>SUMIFS([2]BV_Data_An_Prec!$AM:$AM,[2]BV_Data_An_Prec!$AP:$AP,$B191,[2]BV_Data_An_Prec!$AQ:$AQ,$C191,[2]BV_Data_An_Prec!$AR:$AR,$L$2)</f>
        <v>0</v>
      </c>
      <c r="R191" s="26"/>
      <c r="S191" s="39">
        <f t="shared" si="36"/>
        <v>0</v>
      </c>
      <c r="T191" s="97"/>
      <c r="U191" s="6"/>
      <c r="V191" s="7"/>
      <c r="W191" s="19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1:40" ht="15.75" customHeight="1">
      <c r="A192" s="410" t="s">
        <v>238</v>
      </c>
      <c r="B192" s="7" t="s">
        <v>223</v>
      </c>
      <c r="C192" s="26" t="s">
        <v>36</v>
      </c>
      <c r="D192" s="26"/>
      <c r="E192" s="55" t="e">
        <f>IF($J$97=0,0,F192/(D$94+D$95+D182))</f>
        <v>#N/A</v>
      </c>
      <c r="F192" s="19" t="e">
        <f>+INDEX('[2]Budget original'!$A$2:$AO$501,MATCH($A192,'[2]Budget original'!$A$2:$A$501,0),MATCH(F$2,'[2]Budget original'!$A$2:$AO$2,0))</f>
        <v>#N/A</v>
      </c>
      <c r="G192" s="56"/>
      <c r="H192" s="55"/>
      <c r="I192" s="19"/>
      <c r="J192" s="26"/>
      <c r="K192" s="55">
        <f>IF($J$97=0,0,L192/(J$94+J$95+J182))</f>
        <v>82.797058823529582</v>
      </c>
      <c r="L192" s="39">
        <f>SUMIFS([2]BV_Data_An_Cour!$AM:$AM,[2]BV_Data_An_Cour!$AP:$AP,$B192,[2]BV_Data_An_Cour!$AQ:$AQ,$C192,[2]BV_Data_An_Cour!$AR:$AR,$L$2)</f>
        <v>11260.400000000023</v>
      </c>
      <c r="M192" s="26"/>
      <c r="N192" s="39" t="e">
        <f t="shared" si="35"/>
        <v>#N/A</v>
      </c>
      <c r="O192" s="26"/>
      <c r="P192" s="55">
        <f>IF($J$97=0,0,Q192/(O$94+O$95+O182))</f>
        <v>76.089506172839506</v>
      </c>
      <c r="Q192" s="39">
        <f>SUMIFS([2]BV_Data_An_Prec!$AM:$AM,[2]BV_Data_An_Prec!$AP:$AP,$B192,[2]BV_Data_An_Prec!$AQ:$AQ,$C192,[2]BV_Data_An_Prec!$AR:$AR,$L$2)</f>
        <v>6163.25</v>
      </c>
      <c r="R192" s="26"/>
      <c r="S192" s="39">
        <f t="shared" si="36"/>
        <v>5097.1500000000233</v>
      </c>
      <c r="T192" s="6">
        <v>12001</v>
      </c>
      <c r="U192" s="6"/>
      <c r="V192" s="7"/>
      <c r="W192" s="19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1:40" ht="20.399999999999999" customHeight="1">
      <c r="A193" s="410" t="s">
        <v>239</v>
      </c>
      <c r="B193" s="7" t="s">
        <v>223</v>
      </c>
      <c r="C193" s="26" t="s">
        <v>303</v>
      </c>
      <c r="D193" s="54"/>
      <c r="E193" s="55" t="e">
        <f>F193/D$97</f>
        <v>#N/A</v>
      </c>
      <c r="F193" s="19" t="e">
        <f>+INDEX('[2]Budget original'!$A$2:$AO$501,MATCH($A193,'[2]Budget original'!$A$2:$A$501,0),MATCH(F$2,'[2]Budget original'!$A$2:$AO$2,0))</f>
        <v>#N/A</v>
      </c>
      <c r="G193" s="56"/>
      <c r="H193" s="55"/>
      <c r="I193" s="19"/>
      <c r="J193" s="26"/>
      <c r="K193" s="55">
        <f>IF($J$97=0,0,L193/(J$94+J$95))</f>
        <v>0</v>
      </c>
      <c r="L193" s="21">
        <f>SUMIFS([2]BV_Data_An_Cour!$AM:$AM,[2]BV_Data_An_Cour!$AP:$AP,$B193,[2]BV_Data_An_Cour!$AQ:$AQ,$C193,[2]BV_Data_An_Cour!$AR:$AR,$L$2)</f>
        <v>0</v>
      </c>
      <c r="M193" s="26"/>
      <c r="N193" s="39" t="e">
        <f t="shared" si="35"/>
        <v>#N/A</v>
      </c>
      <c r="O193" s="26"/>
      <c r="P193" s="55">
        <f>IF($J$97=0,0,Q193/(O$94+O$95))</f>
        <v>0</v>
      </c>
      <c r="Q193" s="21">
        <f>SUMIFS([2]BV_Data_An_Prec!$AM:$AM,[2]BV_Data_An_Prec!$AP:$AP,$B193,[2]BV_Data_An_Prec!$AQ:$AQ,$C193,[2]BV_Data_An_Prec!$AR:$AR,$L$2)</f>
        <v>0</v>
      </c>
      <c r="R193" s="26"/>
      <c r="S193" s="39">
        <f t="shared" si="36"/>
        <v>0</v>
      </c>
      <c r="T193" s="6"/>
      <c r="U193" s="6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1:40" ht="20.399999999999999" customHeight="1">
      <c r="A194" s="410" t="s">
        <v>239</v>
      </c>
      <c r="B194" s="7" t="s">
        <v>223</v>
      </c>
      <c r="C194" s="26" t="s">
        <v>304</v>
      </c>
      <c r="D194" s="54"/>
      <c r="E194" s="55" t="e">
        <f>F194/D$97</f>
        <v>#N/A</v>
      </c>
      <c r="F194" s="19" t="e">
        <f>+INDEX('[2]Budget original'!$A$2:$AO$501,MATCH($A194,'[2]Budget original'!$A$2:$A$501,0),MATCH(F$2,'[2]Budget original'!$A$2:$AO$2,0))</f>
        <v>#N/A</v>
      </c>
      <c r="G194" s="56"/>
      <c r="H194" s="55"/>
      <c r="I194" s="19"/>
      <c r="J194" s="26"/>
      <c r="K194" s="55">
        <f>IF($J$97=0,0,L194/(J$94+J$95))</f>
        <v>-80.49666666666667</v>
      </c>
      <c r="L194" s="39">
        <f>SUMIFS([2]BV_Data_An_Cour!$AM:$AM,[2]BV_Data_An_Cour!$AP:$AP,$B194,[2]BV_Data_An_Cour!$AQ:$AQ,$C194,[2]BV_Data_An_Cour!$AR:$AR,$L$2)</f>
        <v>-1931.92</v>
      </c>
      <c r="M194" s="26"/>
      <c r="N194" s="39" t="e">
        <f t="shared" si="35"/>
        <v>#N/A</v>
      </c>
      <c r="O194" s="26"/>
      <c r="P194" s="55">
        <f>IF($J$97=0,0,Q194/(O$94+O$95))</f>
        <v>0</v>
      </c>
      <c r="Q194" s="21">
        <f>SUMIFS([2]BV_Data_An_Prec!$AM:$AM,[2]BV_Data_An_Prec!$AP:$AP,$B194,[2]BV_Data_An_Prec!$AQ:$AQ,$C194,[2]BV_Data_An_Prec!$AR:$AR,$L$2)</f>
        <v>0</v>
      </c>
      <c r="R194" s="26"/>
      <c r="S194" s="39">
        <f t="shared" si="36"/>
        <v>-1931.92</v>
      </c>
      <c r="T194" s="6">
        <v>-1932</v>
      </c>
      <c r="U194" s="6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1:40" ht="20.399999999999999" hidden="1" customHeight="1" thickTop="1">
      <c r="A195" s="410" t="s">
        <v>239</v>
      </c>
      <c r="B195" s="7" t="s">
        <v>223</v>
      </c>
      <c r="C195" s="26" t="s">
        <v>19</v>
      </c>
      <c r="D195" s="54"/>
      <c r="E195" s="55" t="e">
        <f>F195/D$97</f>
        <v>#N/A</v>
      </c>
      <c r="F195" s="19" t="e">
        <f>+INDEX('[2]Budget original'!$A$2:$AO$501,MATCH($A195,'[2]Budget original'!$A$2:$A$501,0),MATCH(F$2,'[2]Budget original'!$A$2:$AO$2,0))</f>
        <v>#N/A</v>
      </c>
      <c r="G195" s="56"/>
      <c r="H195" s="55"/>
      <c r="I195" s="19"/>
      <c r="J195" s="26"/>
      <c r="K195" s="55">
        <f>IF($J$97=0,0,L195/(J$94+J$95))</f>
        <v>0</v>
      </c>
      <c r="L195" s="21">
        <f>SUMIFS([2]BV_Data_An_Cour!$AM:$AM,[2]BV_Data_An_Cour!$AP:$AP,$B195,[2]BV_Data_An_Cour!$AQ:$AQ,$C195,[2]BV_Data_An_Cour!$AR:$AR,$L$2)</f>
        <v>0</v>
      </c>
      <c r="M195" s="26"/>
      <c r="N195" s="39" t="e">
        <f t="shared" si="35"/>
        <v>#N/A</v>
      </c>
      <c r="O195" s="26"/>
      <c r="P195" s="55">
        <f>IF($J$97=0,0,Q195/(O$94+O$95))</f>
        <v>0</v>
      </c>
      <c r="Q195" s="21">
        <f>SUMIFS([2]BV_Data_An_Prec!$AM:$AM,[2]BV_Data_An_Prec!$AP:$AP,$B195,[2]BV_Data_An_Prec!$AQ:$AQ,$C195,[2]BV_Data_An_Prec!$AR:$AR,$L$2)</f>
        <v>0</v>
      </c>
      <c r="R195" s="26"/>
      <c r="S195" s="39">
        <f t="shared" si="36"/>
        <v>0</v>
      </c>
      <c r="T195" s="6"/>
      <c r="U195" s="6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1:40" ht="18.600000000000001" customHeight="1">
      <c r="A196" s="410" t="s">
        <v>240</v>
      </c>
      <c r="B196" s="7" t="s">
        <v>223</v>
      </c>
      <c r="C196" s="139" t="s">
        <v>37</v>
      </c>
      <c r="D196" s="62" t="s">
        <v>38</v>
      </c>
      <c r="E196" s="63" t="e">
        <f>F196/F$109</f>
        <v>#N/A</v>
      </c>
      <c r="F196" s="64" t="e">
        <f>SUM(F186:F195)</f>
        <v>#N/A</v>
      </c>
      <c r="G196" s="65"/>
      <c r="H196" s="63"/>
      <c r="I196" s="64"/>
      <c r="J196" s="65" t="s">
        <v>38</v>
      </c>
      <c r="K196" s="63">
        <f>L196/L$109</f>
        <v>0.82987467132095138</v>
      </c>
      <c r="L196" s="64">
        <f>SUM(L186:L195)</f>
        <v>19993.880000000026</v>
      </c>
      <c r="M196" s="66"/>
      <c r="N196" s="64" t="e">
        <f t="shared" si="35"/>
        <v>#N/A</v>
      </c>
      <c r="O196" s="65" t="s">
        <v>38</v>
      </c>
      <c r="P196" s="63">
        <f>Q196/Q$109</f>
        <v>4.4869027251530504E-2</v>
      </c>
      <c r="Q196" s="64">
        <f>SUM(Q186:Q195)</f>
        <v>1502.7399999999998</v>
      </c>
      <c r="R196" s="67"/>
      <c r="S196" s="64">
        <f t="shared" si="36"/>
        <v>18491.140000000029</v>
      </c>
      <c r="T196" s="6"/>
      <c r="U196" s="6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1:40" ht="15.75" customHeight="1">
      <c r="A197" s="410" t="s">
        <v>241</v>
      </c>
      <c r="B197" s="7" t="s">
        <v>223</v>
      </c>
      <c r="C197" s="271" t="s">
        <v>40</v>
      </c>
      <c r="D197" s="7"/>
      <c r="E197" s="7"/>
      <c r="F197" s="19" t="e">
        <f>+INDEX('[2]Budget original'!$A$2:$AO$501,MATCH($A197,'[2]Budget original'!$A$2:$A$501,0),MATCH(F$2,'[2]Budget original'!$A$2:$AO$2,0))</f>
        <v>#N/A</v>
      </c>
      <c r="G197" s="26"/>
      <c r="H197" s="7"/>
      <c r="I197" s="19"/>
      <c r="J197" s="26"/>
      <c r="K197" s="7"/>
      <c r="L197" s="39">
        <f>SUMIFS([2]BV_Data_An_Cour!$AM:$AM,[2]BV_Data_An_Cour!$AP:$AP,$B197,[2]BV_Data_An_Cour!$AQ:$AQ,$C197,[2]BV_Data_An_Cour!$AR:$AR,$L$2)</f>
        <v>-6991.5299999999988</v>
      </c>
      <c r="M197" s="26"/>
      <c r="N197" s="39" t="e">
        <f t="shared" si="35"/>
        <v>#N/A</v>
      </c>
      <c r="O197" s="26"/>
      <c r="P197" s="7"/>
      <c r="Q197" s="39">
        <f>SUMIFS([2]BV_Data_An_Prec!$AM:$AM,[2]BV_Data_An_Prec!$AP:$AP,$B197,[2]BV_Data_An_Prec!$AQ:$AQ,$C197,[2]BV_Data_An_Prec!$AR:$AR,$L$2)</f>
        <v>1288.1200000000536</v>
      </c>
      <c r="R197" s="26"/>
      <c r="S197" s="39">
        <f t="shared" si="36"/>
        <v>-8279.6500000000524</v>
      </c>
      <c r="T197" s="6"/>
      <c r="U197" s="6" t="s">
        <v>497</v>
      </c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1:40" ht="15.75" customHeight="1">
      <c r="A198" s="410" t="s">
        <v>242</v>
      </c>
      <c r="B198" s="7" t="s">
        <v>223</v>
      </c>
      <c r="C198" s="272" t="s">
        <v>41</v>
      </c>
      <c r="D198" s="54"/>
      <c r="E198" s="7"/>
      <c r="F198" s="31" t="e">
        <f>+INDEX('[2]Budget original'!$A$2:$AO$501,MATCH($A198,'[2]Budget original'!$A$2:$A$501,0),MATCH(F$2,'[2]Budget original'!$A$2:$AO$2,0))</f>
        <v>#N/A</v>
      </c>
      <c r="G198" s="56"/>
      <c r="H198" s="7"/>
      <c r="I198" s="31"/>
      <c r="J198" s="26"/>
      <c r="K198" s="7"/>
      <c r="L198" s="39">
        <f>SUMIFS([2]BV_Data_An_Cour!$AM:$AM,[2]BV_Data_An_Cour!$AP:$AP,$B198,[2]BV_Data_An_Cour!$AQ:$AQ,$C198,[2]BV_Data_An_Cour!$AR:$AR,$L$2)</f>
        <v>-8418.5999999999985</v>
      </c>
      <c r="M198" s="26"/>
      <c r="N198" s="39" t="e">
        <f t="shared" si="35"/>
        <v>#N/A</v>
      </c>
      <c r="O198" s="26"/>
      <c r="P198" s="7"/>
      <c r="Q198" s="39">
        <f>SUMIFS([2]BV_Data_An_Prec!$AM:$AM,[2]BV_Data_An_Prec!$AP:$AP,$B198,[2]BV_Data_An_Prec!$AQ:$AQ,$C198,[2]BV_Data_An_Prec!$AR:$AR,$L$2)</f>
        <v>10049.380000000005</v>
      </c>
      <c r="R198" s="26"/>
      <c r="S198" s="39">
        <f t="shared" si="36"/>
        <v>-18467.980000000003</v>
      </c>
      <c r="T198" s="6"/>
      <c r="U198" s="6" t="s">
        <v>503</v>
      </c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1:40" ht="15.75" customHeight="1">
      <c r="A199" s="410" t="s">
        <v>243</v>
      </c>
      <c r="B199" s="7" t="s">
        <v>223</v>
      </c>
      <c r="C199" s="271" t="s">
        <v>42</v>
      </c>
      <c r="D199" s="68"/>
      <c r="E199" s="69"/>
      <c r="F199" s="19" t="e">
        <f>+INDEX('[2]Budget original'!$A$2:$AO$501,MATCH($A199,'[2]Budget original'!$A$2:$A$501,0),MATCH(F$2,'[2]Budget original'!$A$2:$AO$2,0))</f>
        <v>#N/A</v>
      </c>
      <c r="G199" s="70"/>
      <c r="H199" s="69"/>
      <c r="I199" s="19"/>
      <c r="J199" s="71"/>
      <c r="K199" s="69"/>
      <c r="L199" s="72">
        <f>SUMIFS([2]BV_Data_An_Cour!$AM:$AM,[2]BV_Data_An_Cour!$AP:$AP,$B199,[2]BV_Data_An_Cour!$AQ:$AQ,$C199,[2]BV_Data_An_Cour!$AR:$AR,$L$2)</f>
        <v>0</v>
      </c>
      <c r="M199" s="71"/>
      <c r="N199" s="72" t="e">
        <f t="shared" si="35"/>
        <v>#N/A</v>
      </c>
      <c r="O199" s="71"/>
      <c r="P199" s="69"/>
      <c r="Q199" s="72">
        <f>SUMIFS([2]BV_Data_An_Prec!$AM:$AM,[2]BV_Data_An_Prec!$AP:$AP,$B199,[2]BV_Data_An_Prec!$AQ:$AQ,$C199,[2]BV_Data_An_Prec!$AR:$AR,$L$2)</f>
        <v>40000</v>
      </c>
      <c r="R199" s="71"/>
      <c r="S199" s="72">
        <f t="shared" si="36"/>
        <v>-40000</v>
      </c>
      <c r="T199" s="6"/>
      <c r="U199" s="6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1:40" ht="20.399999999999999" hidden="1" customHeight="1">
      <c r="A200" s="410" t="s">
        <v>244</v>
      </c>
      <c r="B200" s="7" t="s">
        <v>223</v>
      </c>
      <c r="C200" s="271" t="s">
        <v>43</v>
      </c>
      <c r="D200" s="54"/>
      <c r="E200" s="7"/>
      <c r="F200" s="19" t="e">
        <f>+INDEX('[2]Budget original'!$A$2:$AO$501,MATCH($A200,'[2]Budget original'!$A$2:$A$501,0),MATCH(F$2,'[2]Budget original'!$A$2:$AO$2,0))</f>
        <v>#N/A</v>
      </c>
      <c r="G200" s="56"/>
      <c r="H200" s="7"/>
      <c r="I200" s="19"/>
      <c r="J200" s="26"/>
      <c r="K200" s="7"/>
      <c r="L200" s="39">
        <f>SUMIFS([2]BV_Data_An_Cour!$AM:$AM,[2]BV_Data_An_Cour!$AP:$AP,$B200,[2]BV_Data_An_Cour!$AQ:$AQ,$C200,[2]BV_Data_An_Cour!$AR:$AR,$L$2)</f>
        <v>0</v>
      </c>
      <c r="M200" s="26"/>
      <c r="N200" s="39" t="e">
        <f t="shared" si="35"/>
        <v>#N/A</v>
      </c>
      <c r="O200" s="26"/>
      <c r="P200" s="7"/>
      <c r="Q200" s="39">
        <f>SUMIFS([2]BV_Data_An_Prec!$AM:$AM,[2]BV_Data_An_Prec!$AP:$AP,$B200,[2]BV_Data_An_Prec!$AQ:$AQ,$C200,[2]BV_Data_An_Prec!$AR:$AR,$L$2)</f>
        <v>0</v>
      </c>
      <c r="R200" s="26"/>
      <c r="S200" s="39">
        <f t="shared" si="36"/>
        <v>0</v>
      </c>
      <c r="T200" s="6"/>
      <c r="U200" s="6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1:40" ht="20.399999999999999" hidden="1" customHeight="1">
      <c r="A201" s="410" t="s">
        <v>239</v>
      </c>
      <c r="B201" s="7" t="s">
        <v>223</v>
      </c>
      <c r="C201" s="271" t="s">
        <v>19</v>
      </c>
      <c r="D201" s="54"/>
      <c r="E201" s="7"/>
      <c r="F201" s="19" t="e">
        <f>+INDEX('[2]Budget original'!$A$2:$AO$501,MATCH($A201,'[2]Budget original'!$A$2:$A$501,0),MATCH(F$2,'[2]Budget original'!$A$2:$AO$2,0))</f>
        <v>#N/A</v>
      </c>
      <c r="G201" s="56"/>
      <c r="H201" s="7"/>
      <c r="I201" s="19"/>
      <c r="J201" s="26"/>
      <c r="K201" s="7"/>
      <c r="L201" s="39">
        <f>SUMIFS([2]BV_Data_An_Cour!$AM:$AM,[2]BV_Data_An_Cour!$AP:$AP,$B201,[2]BV_Data_An_Cour!$AQ:$AQ,$C201,[2]BV_Data_An_Cour!$AR:$AR,$L$2)</f>
        <v>0</v>
      </c>
      <c r="M201" s="26"/>
      <c r="N201" s="39" t="e">
        <f t="shared" si="35"/>
        <v>#N/A</v>
      </c>
      <c r="O201" s="26"/>
      <c r="P201" s="7"/>
      <c r="Q201" s="39">
        <f>SUMIFS([2]BV_Data_An_Prec!$AM:$AM,[2]BV_Data_An_Prec!$AP:$AP,$B201,[2]BV_Data_An_Prec!$AQ:$AQ,$C201,[2]BV_Data_An_Prec!$AR:$AR,$L$2)</f>
        <v>0</v>
      </c>
      <c r="R201" s="26"/>
      <c r="S201" s="39">
        <f t="shared" si="36"/>
        <v>0</v>
      </c>
      <c r="T201" s="6"/>
      <c r="U201" s="6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1:40" ht="20.399999999999999" hidden="1" customHeight="1">
      <c r="A202" s="410" t="s">
        <v>239</v>
      </c>
      <c r="B202" s="7" t="s">
        <v>223</v>
      </c>
      <c r="C202" s="271" t="s">
        <v>19</v>
      </c>
      <c r="D202" s="54"/>
      <c r="E202" s="7"/>
      <c r="F202" s="19" t="e">
        <f>+INDEX('[2]Budget original'!$A$2:$AO$501,MATCH($A202,'[2]Budget original'!$A$2:$A$501,0),MATCH(F$2,'[2]Budget original'!$A$2:$AO$2,0))</f>
        <v>#N/A</v>
      </c>
      <c r="G202" s="56"/>
      <c r="H202" s="7"/>
      <c r="I202" s="19"/>
      <c r="J202" s="26"/>
      <c r="K202" s="7"/>
      <c r="L202" s="39">
        <f>SUMIFS([2]BV_Data_An_Cour!$AM:$AM,[2]BV_Data_An_Cour!$AP:$AP,$B202,[2]BV_Data_An_Cour!$AQ:$AQ,$C202,[2]BV_Data_An_Cour!$AR:$AR,$L$2)</f>
        <v>0</v>
      </c>
      <c r="M202" s="26"/>
      <c r="N202" s="39" t="e">
        <f t="shared" si="35"/>
        <v>#N/A</v>
      </c>
      <c r="O202" s="26"/>
      <c r="P202" s="7"/>
      <c r="Q202" s="39">
        <f>SUMIFS([2]BV_Data_An_Prec!$AM:$AM,[2]BV_Data_An_Prec!$AP:$AP,$B202,[2]BV_Data_An_Prec!$AQ:$AQ,$C202,[2]BV_Data_An_Prec!$AR:$AR,$L$2)</f>
        <v>0</v>
      </c>
      <c r="R202" s="26"/>
      <c r="S202" s="39">
        <f t="shared" si="36"/>
        <v>0</v>
      </c>
      <c r="T202" s="6"/>
      <c r="U202" s="6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1:40" ht="20.399999999999999" hidden="1" customHeight="1">
      <c r="A203" s="410" t="s">
        <v>239</v>
      </c>
      <c r="B203" s="7" t="s">
        <v>223</v>
      </c>
      <c r="C203" s="271" t="s">
        <v>19</v>
      </c>
      <c r="D203" s="54"/>
      <c r="E203" s="7"/>
      <c r="F203" s="19" t="e">
        <f>+INDEX('[2]Budget original'!$A$2:$AO$501,MATCH($A203,'[2]Budget original'!$A$2:$A$501,0),MATCH(F$2,'[2]Budget original'!$A$2:$AO$2,0))</f>
        <v>#N/A</v>
      </c>
      <c r="G203" s="56"/>
      <c r="H203" s="7"/>
      <c r="I203" s="19"/>
      <c r="J203" s="26"/>
      <c r="K203" s="7"/>
      <c r="L203" s="39">
        <f>SUMIFS([2]BV_Data_An_Cour!$AM:$AM,[2]BV_Data_An_Cour!$AP:$AP,$B203,[2]BV_Data_An_Cour!$AQ:$AQ,$C203,[2]BV_Data_An_Cour!$AR:$AR,$L$2)</f>
        <v>0</v>
      </c>
      <c r="M203" s="26"/>
      <c r="N203" s="39" t="e">
        <f t="shared" si="35"/>
        <v>#N/A</v>
      </c>
      <c r="O203" s="26"/>
      <c r="P203" s="7"/>
      <c r="Q203" s="39">
        <f>SUMIFS([2]BV_Data_An_Prec!$AM:$AM,[2]BV_Data_An_Prec!$AP:$AP,$B203,[2]BV_Data_An_Prec!$AQ:$AQ,$C203,[2]BV_Data_An_Prec!$AR:$AR,$L$2)</f>
        <v>0</v>
      </c>
      <c r="R203" s="26"/>
      <c r="S203" s="39">
        <f t="shared" si="36"/>
        <v>0</v>
      </c>
      <c r="T203" s="6"/>
      <c r="U203" s="6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1:40" ht="15.75" customHeight="1">
      <c r="A204" s="410" t="s">
        <v>245</v>
      </c>
      <c r="B204" s="7" t="s">
        <v>223</v>
      </c>
      <c r="C204" s="272" t="s">
        <v>44</v>
      </c>
      <c r="D204" s="54"/>
      <c r="E204" s="7"/>
      <c r="F204" s="19" t="e">
        <f>+INDEX('[2]Budget original'!$A$2:$AO$501,MATCH($A204,'[2]Budget original'!$A$2:$A$501,0),MATCH(F$2,'[2]Budget original'!$A$2:$AO$2,0))</f>
        <v>#N/A</v>
      </c>
      <c r="G204" s="56"/>
      <c r="H204" s="7"/>
      <c r="I204" s="19"/>
      <c r="J204" s="26"/>
      <c r="K204" s="7"/>
      <c r="L204" s="39">
        <f>SUMIFS([2]BV_Data_An_Cour!$AM:$AM,[2]BV_Data_An_Cour!$AP:$AP,$B204,[2]BV_Data_An_Cour!$AQ:$AQ,$C204,[2]BV_Data_An_Cour!$AR:$AR,$L$2)</f>
        <v>1968.42</v>
      </c>
      <c r="M204" s="26"/>
      <c r="N204" s="39" t="e">
        <f t="shared" si="35"/>
        <v>#N/A</v>
      </c>
      <c r="O204" s="26"/>
      <c r="P204" s="7"/>
      <c r="Q204" s="39">
        <f>SUMIFS([2]BV_Data_An_Prec!$AM:$AM,[2]BV_Data_An_Prec!$AP:$AP,$B204,[2]BV_Data_An_Prec!$AQ:$AQ,$C204,[2]BV_Data_An_Prec!$AR:$AR,$L$2)</f>
        <v>2656.8000000000029</v>
      </c>
      <c r="R204" s="26"/>
      <c r="S204" s="39">
        <f t="shared" si="36"/>
        <v>-688.38000000000284</v>
      </c>
      <c r="T204" s="6"/>
      <c r="U204" s="6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1:40" ht="15.75" customHeight="1">
      <c r="A205" s="410" t="s">
        <v>246</v>
      </c>
      <c r="B205" s="7" t="s">
        <v>223</v>
      </c>
      <c r="C205" s="271" t="s">
        <v>45</v>
      </c>
      <c r="D205" s="68"/>
      <c r="E205" s="69"/>
      <c r="F205" s="35" t="e">
        <f>+INDEX('[2]Budget original'!$A$2:$AO$501,MATCH($A205,'[2]Budget original'!$A$2:$A$501,0),MATCH(F$2,'[2]Budget original'!$A$2:$AO$2,0))</f>
        <v>#N/A</v>
      </c>
      <c r="G205" s="70"/>
      <c r="H205" s="69"/>
      <c r="I205" s="35"/>
      <c r="J205" s="71"/>
      <c r="K205" s="69"/>
      <c r="L205" s="72">
        <f>SUMIFS([2]BV_Data_An_Cour!$AM:$AM,[2]BV_Data_An_Cour!$AP:$AP,$B205,[2]BV_Data_An_Cour!$AQ:$AQ,$C205,[2]BV_Data_An_Cour!$AR:$AR,$L$2)</f>
        <v>-1357.4499999999971</v>
      </c>
      <c r="M205" s="71"/>
      <c r="N205" s="72" t="e">
        <f t="shared" si="35"/>
        <v>#N/A</v>
      </c>
      <c r="O205" s="71"/>
      <c r="P205" s="69"/>
      <c r="Q205" s="72">
        <f>SUMIFS([2]BV_Data_An_Prec!$AM:$AM,[2]BV_Data_An_Prec!$AP:$AP,$B205,[2]BV_Data_An_Prec!$AQ:$AQ,$C205,[2]BV_Data_An_Prec!$AR:$AR,$L$2)</f>
        <v>3644.630000000001</v>
      </c>
      <c r="R205" s="71"/>
      <c r="S205" s="72">
        <f t="shared" si="36"/>
        <v>-5002.0799999999981</v>
      </c>
      <c r="T205" s="6"/>
      <c r="U205" s="6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1:40" ht="15.75" customHeight="1">
      <c r="A206" s="410" t="s">
        <v>247</v>
      </c>
      <c r="B206" s="7" t="s">
        <v>223</v>
      </c>
      <c r="C206" s="271" t="s">
        <v>46</v>
      </c>
      <c r="D206" s="54"/>
      <c r="E206" s="7"/>
      <c r="F206" s="19" t="e">
        <f>+INDEX('[2]Budget original'!$A$2:$AO$501,MATCH($A206,'[2]Budget original'!$A$2:$A$501,0),MATCH(F$2,'[2]Budget original'!$A$2:$AO$2,0))</f>
        <v>#N/A</v>
      </c>
      <c r="G206" s="56"/>
      <c r="H206" s="7"/>
      <c r="I206" s="19"/>
      <c r="J206" s="26"/>
      <c r="K206" s="7"/>
      <c r="L206" s="39">
        <f>SUMIFS([2]BV_Data_An_Cour!$AM:$AM,[2]BV_Data_An_Cour!$AP:$AP,$B206,[2]BV_Data_An_Cour!$AQ:$AQ,$C206,[2]BV_Data_An_Cour!$AR:$AR,$L$2)</f>
        <v>568.55000000000018</v>
      </c>
      <c r="M206" s="26"/>
      <c r="N206" s="39" t="e">
        <f t="shared" si="35"/>
        <v>#N/A</v>
      </c>
      <c r="O206" s="26"/>
      <c r="P206" s="7"/>
      <c r="Q206" s="39">
        <f>SUMIFS([2]BV_Data_An_Prec!$AM:$AM,[2]BV_Data_An_Prec!$AP:$AP,$B206,[2]BV_Data_An_Prec!$AQ:$AQ,$C206,[2]BV_Data_An_Prec!$AR:$AR,$L$2)</f>
        <v>296.78000000000065</v>
      </c>
      <c r="R206" s="26"/>
      <c r="S206" s="39">
        <f t="shared" si="36"/>
        <v>271.76999999999953</v>
      </c>
      <c r="T206" s="6"/>
      <c r="U206" s="6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1:40" ht="15.75" customHeight="1">
      <c r="A207" s="410" t="s">
        <v>248</v>
      </c>
      <c r="B207" s="7" t="s">
        <v>223</v>
      </c>
      <c r="C207" s="271" t="s">
        <v>47</v>
      </c>
      <c r="D207" s="54"/>
      <c r="E207" s="7"/>
      <c r="F207" s="19" t="e">
        <f>+INDEX('[2]Budget original'!$A$2:$AO$501,MATCH($A207,'[2]Budget original'!$A$2:$A$501,0),MATCH(F$2,'[2]Budget original'!$A$2:$AO$2,0))</f>
        <v>#N/A</v>
      </c>
      <c r="G207" s="56"/>
      <c r="H207" s="7"/>
      <c r="I207" s="19"/>
      <c r="J207" s="26"/>
      <c r="K207" s="7"/>
      <c r="L207" s="39">
        <f>SUMIFS([2]BV_Data_An_Cour!$AM:$AM,[2]BV_Data_An_Cour!$AP:$AP,$B207,[2]BV_Data_An_Cour!$AQ:$AQ,$C207,[2]BV_Data_An_Cour!$AR:$AR,$L$2)</f>
        <v>290.33000000000004</v>
      </c>
      <c r="M207" s="26"/>
      <c r="N207" s="39" t="e">
        <f t="shared" si="35"/>
        <v>#N/A</v>
      </c>
      <c r="O207" s="26"/>
      <c r="P207" s="7"/>
      <c r="Q207" s="39">
        <f>SUMIFS([2]BV_Data_An_Prec!$AM:$AM,[2]BV_Data_An_Prec!$AP:$AP,$B207,[2]BV_Data_An_Prec!$AQ:$AQ,$C207,[2]BV_Data_An_Prec!$AR:$AR,$L$2)</f>
        <v>0</v>
      </c>
      <c r="R207" s="26"/>
      <c r="S207" s="39">
        <f t="shared" si="36"/>
        <v>290.33000000000004</v>
      </c>
      <c r="T207" s="6"/>
      <c r="U207" s="6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1:40" ht="20.399999999999999" hidden="1" customHeight="1">
      <c r="A208" s="410" t="s">
        <v>239</v>
      </c>
      <c r="B208" s="7" t="s">
        <v>223</v>
      </c>
      <c r="C208" s="26" t="s">
        <v>19</v>
      </c>
      <c r="D208" s="57"/>
      <c r="E208" s="73"/>
      <c r="F208" s="19" t="e">
        <f>+INDEX('[2]Budget original'!$A$2:$AO$501,MATCH($A208,'[2]Budget original'!$A$2:$A$501,0),MATCH(F$2,'[2]Budget original'!$A$2:$AO$2,0))</f>
        <v>#N/A</v>
      </c>
      <c r="G208" s="59"/>
      <c r="H208" s="73"/>
      <c r="I208" s="19"/>
      <c r="J208" s="14"/>
      <c r="K208" s="73"/>
      <c r="L208" s="39">
        <f>SUMIFS([2]BV_Data_An_Cour!$AM:$AM,[2]BV_Data_An_Cour!$AP:$AP,$B208,[2]BV_Data_An_Cour!$AQ:$AQ,$C208,[2]BV_Data_An_Cour!$AR:$AR,$L$2)</f>
        <v>0</v>
      </c>
      <c r="M208" s="14"/>
      <c r="N208" s="61" t="e">
        <f t="shared" si="35"/>
        <v>#N/A</v>
      </c>
      <c r="O208" s="14"/>
      <c r="P208" s="73"/>
      <c r="Q208" s="39">
        <f>SUMIFS([2]BV_Data_An_Prec!$AM:$AM,[2]BV_Data_An_Prec!$AP:$AP,$B208,[2]BV_Data_An_Prec!$AQ:$AQ,$C208,[2]BV_Data_An_Prec!$AR:$AR,$L$2)</f>
        <v>0</v>
      </c>
      <c r="R208" s="14"/>
      <c r="S208" s="61">
        <f t="shared" si="36"/>
        <v>0</v>
      </c>
      <c r="T208" s="6"/>
      <c r="U208" s="6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1:40" ht="18.600000000000001" customHeight="1">
      <c r="A209" s="410" t="s">
        <v>249</v>
      </c>
      <c r="B209" s="7" t="s">
        <v>223</v>
      </c>
      <c r="C209" s="139" t="s">
        <v>48</v>
      </c>
      <c r="D209" s="62" t="s">
        <v>38</v>
      </c>
      <c r="E209" s="63" t="e">
        <f>F209/F$109</f>
        <v>#N/A</v>
      </c>
      <c r="F209" s="64" t="e">
        <f>+SUM(F197:F208)</f>
        <v>#N/A</v>
      </c>
      <c r="G209" s="65"/>
      <c r="H209" s="63"/>
      <c r="I209" s="64"/>
      <c r="J209" s="65" t="s">
        <v>38</v>
      </c>
      <c r="K209" s="63">
        <f>L209/L$109</f>
        <v>-0.57861131921978182</v>
      </c>
      <c r="L209" s="64">
        <f>SUM(L197:L208)</f>
        <v>-13940.279999999993</v>
      </c>
      <c r="M209" s="66"/>
      <c r="N209" s="64" t="e">
        <f t="shared" si="35"/>
        <v>#N/A</v>
      </c>
      <c r="O209" s="65" t="s">
        <v>38</v>
      </c>
      <c r="P209" s="63">
        <f>Q209/Q$109</f>
        <v>1.7298527694922419</v>
      </c>
      <c r="Q209" s="64">
        <f>SUM(Q197:Q208)</f>
        <v>57935.710000000065</v>
      </c>
      <c r="R209" s="67"/>
      <c r="S209" s="64">
        <f t="shared" si="36"/>
        <v>-71875.990000000063</v>
      </c>
      <c r="T209" s="6"/>
      <c r="U209" s="6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1:40" ht="20.399999999999999" hidden="1" customHeight="1">
      <c r="A210" s="410" t="s">
        <v>250</v>
      </c>
      <c r="B210" s="7" t="s">
        <v>223</v>
      </c>
      <c r="C210" s="26" t="s">
        <v>49</v>
      </c>
      <c r="D210" s="54"/>
      <c r="E210" s="7"/>
      <c r="F210" s="19" t="e">
        <f>+INDEX('[2]Budget original'!$A$2:$AO$501,MATCH($A210,'[2]Budget original'!$A$2:$A$501,0),MATCH(F$2,'[2]Budget original'!$A$2:$AO$2,0))</f>
        <v>#N/A</v>
      </c>
      <c r="G210" s="56"/>
      <c r="H210" s="7"/>
      <c r="I210" s="19"/>
      <c r="J210" s="26"/>
      <c r="K210" s="7"/>
      <c r="L210" s="39">
        <f>SUMIFS([2]BV_Data_An_Cour!$AM:$AM,[2]BV_Data_An_Cour!$AP:$AP,$B210,[2]BV_Data_An_Cour!$AQ:$AQ,$C210,[2]BV_Data_An_Cour!$AR:$AR,$L$2)</f>
        <v>0</v>
      </c>
      <c r="M210" s="26"/>
      <c r="N210" s="39" t="e">
        <f t="shared" si="35"/>
        <v>#N/A</v>
      </c>
      <c r="O210" s="26"/>
      <c r="P210" s="7"/>
      <c r="Q210" s="39">
        <f>SUMIFS([2]BV_Data_An_Prec!$AM:$AM,[2]BV_Data_An_Prec!$AP:$AP,$B210,[2]BV_Data_An_Prec!$AQ:$AQ,$C210,[2]BV_Data_An_Prec!$AR:$AR,$L$2)</f>
        <v>0</v>
      </c>
      <c r="R210" s="26"/>
      <c r="S210" s="39">
        <f t="shared" si="36"/>
        <v>0</v>
      </c>
      <c r="T210" s="6"/>
      <c r="U210" s="6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1:40" ht="20.399999999999999" hidden="1" customHeight="1">
      <c r="A211" s="410" t="s">
        <v>251</v>
      </c>
      <c r="B211" s="7" t="s">
        <v>223</v>
      </c>
      <c r="C211" s="26" t="s">
        <v>50</v>
      </c>
      <c r="D211" s="54"/>
      <c r="E211" s="7"/>
      <c r="F211" s="19" t="e">
        <f>+INDEX('[2]Budget original'!$A$2:$AO$501,MATCH($A211,'[2]Budget original'!$A$2:$A$501,0),MATCH(F$2,'[2]Budget original'!$A$2:$AO$2,0))</f>
        <v>#N/A</v>
      </c>
      <c r="G211" s="56"/>
      <c r="H211" s="7"/>
      <c r="I211" s="19"/>
      <c r="J211" s="26"/>
      <c r="K211" s="7"/>
      <c r="L211" s="39">
        <f>SUMIFS([2]BV_Data_An_Cour!$AM:$AM,[2]BV_Data_An_Cour!$AP:$AP,$B211,[2]BV_Data_An_Cour!$AQ:$AQ,$C211,[2]BV_Data_An_Cour!$AR:$AR,$L$2)</f>
        <v>0</v>
      </c>
      <c r="M211" s="26"/>
      <c r="N211" s="39" t="e">
        <f t="shared" si="35"/>
        <v>#N/A</v>
      </c>
      <c r="O211" s="26"/>
      <c r="P211" s="7"/>
      <c r="Q211" s="39">
        <f>SUMIFS([2]BV_Data_An_Prec!$AM:$AM,[2]BV_Data_An_Prec!$AP:$AP,$B211,[2]BV_Data_An_Prec!$AQ:$AQ,$C211,[2]BV_Data_An_Prec!$AR:$AR,$L$2)</f>
        <v>0</v>
      </c>
      <c r="R211" s="26"/>
      <c r="S211" s="39">
        <f t="shared" si="36"/>
        <v>0</v>
      </c>
      <c r="T211" s="6"/>
      <c r="U211" s="6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1:40" ht="15.75" customHeight="1">
      <c r="A212" s="410" t="s">
        <v>252</v>
      </c>
      <c r="B212" s="7" t="s">
        <v>223</v>
      </c>
      <c r="C212" s="14" t="s">
        <v>51</v>
      </c>
      <c r="D212" s="57"/>
      <c r="E212" s="73"/>
      <c r="F212" s="31" t="e">
        <f>+INDEX('[2]Budget original'!$A$2:$AO$501,MATCH($A212,'[2]Budget original'!$A$2:$A$501,0),MATCH(F$2,'[2]Budget original'!$A$2:$AO$2,0))</f>
        <v>#N/A</v>
      </c>
      <c r="G212" s="59"/>
      <c r="H212" s="73"/>
      <c r="I212" s="31"/>
      <c r="J212" s="14"/>
      <c r="K212" s="73"/>
      <c r="L212" s="61">
        <f>SUMIFS([2]BV_Data_An_Cour!$AM:$AM,[2]BV_Data_An_Cour!$AP:$AP,$B212,[2]BV_Data_An_Cour!$AQ:$AQ,$C212,[2]BV_Data_An_Cour!$AR:$AR,$L$2)</f>
        <v>0</v>
      </c>
      <c r="M212" s="14"/>
      <c r="N212" s="61" t="e">
        <f t="shared" si="35"/>
        <v>#N/A</v>
      </c>
      <c r="O212" s="14"/>
      <c r="P212" s="73"/>
      <c r="Q212" s="61">
        <f>SUMIFS([2]BV_Data_An_Prec!$AM:$AM,[2]BV_Data_An_Prec!$AP:$AP,$B212,[2]BV_Data_An_Prec!$AQ:$AQ,$C212,[2]BV_Data_An_Prec!$AR:$AR,$L$2)</f>
        <v>0</v>
      </c>
      <c r="R212" s="14"/>
      <c r="S212" s="61">
        <f t="shared" si="36"/>
        <v>0</v>
      </c>
      <c r="T212" s="6"/>
      <c r="U212" s="6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1:40" ht="15.75" customHeight="1">
      <c r="A213" s="410" t="s">
        <v>253</v>
      </c>
      <c r="B213" s="7" t="s">
        <v>223</v>
      </c>
      <c r="C213" s="26" t="s">
        <v>52</v>
      </c>
      <c r="D213" s="54"/>
      <c r="E213" s="7"/>
      <c r="F213" s="19" t="e">
        <f>+INDEX('[2]Budget original'!$A$2:$AO$501,MATCH($A213,'[2]Budget original'!$A$2:$A$501,0),MATCH(F$2,'[2]Budget original'!$A$2:$AO$2,0))</f>
        <v>#N/A</v>
      </c>
      <c r="G213" s="56"/>
      <c r="H213" s="7"/>
      <c r="I213" s="19"/>
      <c r="J213" s="26"/>
      <c r="K213" s="7"/>
      <c r="L213" s="39">
        <f>SUMIFS([2]BV_Data_An_Cour!$AM:$AM,[2]BV_Data_An_Cour!$AP:$AP,$B213,[2]BV_Data_An_Cour!$AQ:$AQ,$C213,[2]BV_Data_An_Cour!$AR:$AR,$L$2)</f>
        <v>0</v>
      </c>
      <c r="M213" s="26"/>
      <c r="N213" s="39" t="e">
        <f t="shared" si="35"/>
        <v>#N/A</v>
      </c>
      <c r="O213" s="26"/>
      <c r="P213" s="7"/>
      <c r="Q213" s="39">
        <f>SUMIFS([2]BV_Data_An_Prec!$AM:$AM,[2]BV_Data_An_Prec!$AP:$AP,$B213,[2]BV_Data_An_Prec!$AQ:$AQ,$C213,[2]BV_Data_An_Prec!$AR:$AR,$L$2)</f>
        <v>0</v>
      </c>
      <c r="R213" s="26"/>
      <c r="S213" s="39">
        <f t="shared" si="36"/>
        <v>0</v>
      </c>
      <c r="T213" s="6"/>
      <c r="U213" s="6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1:40" ht="15.75" customHeight="1">
      <c r="A214" s="410" t="s">
        <v>254</v>
      </c>
      <c r="B214" s="7" t="s">
        <v>223</v>
      </c>
      <c r="C214" s="26" t="s">
        <v>53</v>
      </c>
      <c r="D214" s="54"/>
      <c r="E214" s="7"/>
      <c r="F214" s="19" t="e">
        <f>+INDEX('[2]Budget original'!$A$2:$AO$501,MATCH($A214,'[2]Budget original'!$A$2:$A$501,0),MATCH(F$2,'[2]Budget original'!$A$2:$AO$2,0))</f>
        <v>#N/A</v>
      </c>
      <c r="G214" s="56"/>
      <c r="H214" s="7"/>
      <c r="I214" s="19"/>
      <c r="J214" s="26"/>
      <c r="K214" s="7"/>
      <c r="L214" s="39">
        <f>SUMIFS([2]BV_Data_An_Cour!$AM:$AM,[2]BV_Data_An_Cour!$AP:$AP,$B214,[2]BV_Data_An_Cour!$AQ:$AQ,$C214,[2]BV_Data_An_Cour!$AR:$AR,$L$2)</f>
        <v>0</v>
      </c>
      <c r="M214" s="26"/>
      <c r="N214" s="39" t="e">
        <f t="shared" si="35"/>
        <v>#N/A</v>
      </c>
      <c r="O214" s="26"/>
      <c r="P214" s="7"/>
      <c r="Q214" s="39">
        <f>SUMIFS([2]BV_Data_An_Prec!$AM:$AM,[2]BV_Data_An_Prec!$AP:$AP,$B214,[2]BV_Data_An_Prec!$AQ:$AQ,$C214,[2]BV_Data_An_Prec!$AR:$AR,$L$2)</f>
        <v>0</v>
      </c>
      <c r="R214" s="26"/>
      <c r="S214" s="39">
        <f t="shared" si="36"/>
        <v>0</v>
      </c>
      <c r="T214" s="421"/>
      <c r="U214" s="6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1:40" ht="15.75" customHeight="1">
      <c r="A215" s="410" t="s">
        <v>255</v>
      </c>
      <c r="B215" s="7" t="s">
        <v>223</v>
      </c>
      <c r="C215" s="14" t="s">
        <v>54</v>
      </c>
      <c r="D215" s="57"/>
      <c r="E215" s="73"/>
      <c r="F215" s="31" t="e">
        <f>+INDEX('[2]Budget original'!$A$2:$AO$501,MATCH($A215,'[2]Budget original'!$A$2:$A$501,0),MATCH(F$2,'[2]Budget original'!$A$2:$AO$2,0))</f>
        <v>#N/A</v>
      </c>
      <c r="G215" s="59"/>
      <c r="H215" s="73"/>
      <c r="I215" s="31"/>
      <c r="J215" s="14"/>
      <c r="K215" s="73"/>
      <c r="L215" s="61">
        <f>SUMIFS([2]BV_Data_An_Cour!$AM:$AM,[2]BV_Data_An_Cour!$AP:$AP,$B215,[2]BV_Data_An_Cour!$AQ:$AQ,$C215,[2]BV_Data_An_Cour!$AR:$AR,$L$2)</f>
        <v>0</v>
      </c>
      <c r="M215" s="14"/>
      <c r="N215" s="61" t="e">
        <f t="shared" si="35"/>
        <v>#N/A</v>
      </c>
      <c r="O215" s="14"/>
      <c r="P215" s="73"/>
      <c r="Q215" s="61">
        <f>SUMIFS([2]BV_Data_An_Prec!$AM:$AM,[2]BV_Data_An_Prec!$AP:$AP,$B215,[2]BV_Data_An_Prec!$AQ:$AQ,$C215,[2]BV_Data_An_Prec!$AR:$AR,$L$2)</f>
        <v>0</v>
      </c>
      <c r="R215" s="14"/>
      <c r="S215" s="61">
        <f t="shared" si="36"/>
        <v>0</v>
      </c>
      <c r="T215" s="6"/>
      <c r="U215" s="9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1:40" ht="15.75" customHeight="1">
      <c r="A216" s="410" t="s">
        <v>256</v>
      </c>
      <c r="B216" s="7" t="s">
        <v>223</v>
      </c>
      <c r="C216" s="26" t="s">
        <v>55</v>
      </c>
      <c r="D216" s="54"/>
      <c r="E216" s="7"/>
      <c r="F216" s="19" t="e">
        <f>+INDEX('[2]Budget original'!$A$2:$AO$501,MATCH($A216,'[2]Budget original'!$A$2:$A$501,0),MATCH(F$2,'[2]Budget original'!$A$2:$AO$2,0))</f>
        <v>#N/A</v>
      </c>
      <c r="G216" s="56"/>
      <c r="H216" s="7"/>
      <c r="I216" s="19"/>
      <c r="J216" s="26"/>
      <c r="K216" s="7"/>
      <c r="L216" s="39">
        <f>SUMIFS([2]BV_Data_An_Cour!$AM:$AM,[2]BV_Data_An_Cour!$AP:$AP,$B216,[2]BV_Data_An_Cour!$AQ:$AQ,$C216,[2]BV_Data_An_Cour!$AR:$AR,$L$2)</f>
        <v>0</v>
      </c>
      <c r="M216" s="26"/>
      <c r="N216" s="39" t="e">
        <f t="shared" si="35"/>
        <v>#N/A</v>
      </c>
      <c r="O216" s="26"/>
      <c r="P216" s="7"/>
      <c r="Q216" s="39">
        <f>SUMIFS([2]BV_Data_An_Prec!$AM:$AM,[2]BV_Data_An_Prec!$AP:$AP,$B216,[2]BV_Data_An_Prec!$AQ:$AQ,$C216,[2]BV_Data_An_Prec!$AR:$AR,$L$2)</f>
        <v>0</v>
      </c>
      <c r="R216" s="26"/>
      <c r="S216" s="39">
        <f t="shared" si="36"/>
        <v>0</v>
      </c>
      <c r="T216" s="6"/>
      <c r="U216" s="6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1:40" ht="15.75" customHeight="1">
      <c r="A217" s="410" t="s">
        <v>257</v>
      </c>
      <c r="B217" s="7" t="s">
        <v>223</v>
      </c>
      <c r="C217" s="26" t="s">
        <v>56</v>
      </c>
      <c r="D217" s="54"/>
      <c r="E217" s="7"/>
      <c r="F217" s="19" t="e">
        <f>+INDEX('[2]Budget original'!$A$2:$AO$501,MATCH($A217,'[2]Budget original'!$A$2:$A$501,0),MATCH(F$2,'[2]Budget original'!$A$2:$AO$2,0))</f>
        <v>#N/A</v>
      </c>
      <c r="G217" s="56"/>
      <c r="H217" s="7"/>
      <c r="I217" s="19"/>
      <c r="J217" s="26"/>
      <c r="K217" s="7"/>
      <c r="L217" s="39">
        <f>SUMIFS([2]BV_Data_An_Cour!$AM:$AM,[2]BV_Data_An_Cour!$AP:$AP,$B217,[2]BV_Data_An_Cour!$AQ:$AQ,$C217,[2]BV_Data_An_Cour!$AR:$AR,$L$2)</f>
        <v>0</v>
      </c>
      <c r="M217" s="26"/>
      <c r="N217" s="39" t="e">
        <f t="shared" si="35"/>
        <v>#N/A</v>
      </c>
      <c r="O217" s="26"/>
      <c r="P217" s="7"/>
      <c r="Q217" s="39">
        <f>SUMIFS([2]BV_Data_An_Prec!$AM:$AM,[2]BV_Data_An_Prec!$AP:$AP,$B217,[2]BV_Data_An_Prec!$AQ:$AQ,$C217,[2]BV_Data_An_Prec!$AR:$AR,$L$2)</f>
        <v>0</v>
      </c>
      <c r="R217" s="26"/>
      <c r="S217" s="39">
        <f t="shared" si="36"/>
        <v>0</v>
      </c>
      <c r="T217" s="6"/>
      <c r="U217" s="9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1:40" ht="15.75" customHeight="1">
      <c r="A218" s="410" t="s">
        <v>258</v>
      </c>
      <c r="B218" s="7" t="s">
        <v>223</v>
      </c>
      <c r="C218" s="26" t="s">
        <v>57</v>
      </c>
      <c r="D218" s="54"/>
      <c r="E218" s="7"/>
      <c r="F218" s="19" t="e">
        <f>+INDEX('[2]Budget original'!$A$2:$AO$501,MATCH($A218,'[2]Budget original'!$A$2:$A$501,0),MATCH(F$2,'[2]Budget original'!$A$2:$AO$2,0))</f>
        <v>#N/A</v>
      </c>
      <c r="G218" s="56"/>
      <c r="H218" s="7"/>
      <c r="I218" s="19"/>
      <c r="J218" s="26"/>
      <c r="K218" s="7"/>
      <c r="L218" s="39">
        <f>SUMIFS([2]BV_Data_An_Cour!$AM:$AM,[2]BV_Data_An_Cour!$AP:$AP,$B218,[2]BV_Data_An_Cour!$AQ:$AQ,$C218,[2]BV_Data_An_Cour!$AR:$AR,$L$2)</f>
        <v>250</v>
      </c>
      <c r="M218" s="26"/>
      <c r="N218" s="39" t="e">
        <f t="shared" si="35"/>
        <v>#N/A</v>
      </c>
      <c r="O218" s="26"/>
      <c r="P218" s="7"/>
      <c r="Q218" s="39">
        <f>SUMIFS([2]BV_Data_An_Prec!$AM:$AM,[2]BV_Data_An_Prec!$AP:$AP,$B218,[2]BV_Data_An_Prec!$AQ:$AQ,$C218,[2]BV_Data_An_Prec!$AR:$AR,$L$2)</f>
        <v>80</v>
      </c>
      <c r="R218" s="26"/>
      <c r="S218" s="39">
        <f t="shared" si="36"/>
        <v>170</v>
      </c>
      <c r="T218" s="6"/>
      <c r="U218" s="6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1:40" ht="15.75" customHeight="1">
      <c r="A219" s="410" t="s">
        <v>259</v>
      </c>
      <c r="B219" s="7" t="s">
        <v>223</v>
      </c>
      <c r="C219" s="26" t="s">
        <v>58</v>
      </c>
      <c r="D219" s="54"/>
      <c r="E219" s="7"/>
      <c r="F219" s="19" t="e">
        <f>+INDEX('[2]Budget original'!$A$2:$AO$501,MATCH($A219,'[2]Budget original'!$A$2:$A$501,0),MATCH(F$2,'[2]Budget original'!$A$2:$AO$2,0))</f>
        <v>#N/A</v>
      </c>
      <c r="G219" s="56"/>
      <c r="H219" s="7"/>
      <c r="I219" s="19"/>
      <c r="J219" s="26"/>
      <c r="K219" s="7"/>
      <c r="L219" s="39">
        <f>SUMIFS([2]BV_Data_An_Cour!$AM:$AM,[2]BV_Data_An_Cour!$AP:$AP,$B219,[2]BV_Data_An_Cour!$AQ:$AQ,$C219,[2]BV_Data_An_Cour!$AR:$AR,$L$2)</f>
        <v>0</v>
      </c>
      <c r="M219" s="26"/>
      <c r="N219" s="39" t="e">
        <f t="shared" si="35"/>
        <v>#N/A</v>
      </c>
      <c r="O219" s="26"/>
      <c r="P219" s="7"/>
      <c r="Q219" s="39">
        <f>SUMIFS([2]BV_Data_An_Prec!$AM:$AM,[2]BV_Data_An_Prec!$AP:$AP,$B219,[2]BV_Data_An_Prec!$AQ:$AQ,$C219,[2]BV_Data_An_Prec!$AR:$AR,$L$2)</f>
        <v>0</v>
      </c>
      <c r="R219" s="26"/>
      <c r="S219" s="39">
        <f t="shared" si="36"/>
        <v>0</v>
      </c>
      <c r="T219" s="6"/>
      <c r="U219" s="6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1:40" ht="15.75" customHeight="1">
      <c r="A220" s="410" t="s">
        <v>260</v>
      </c>
      <c r="B220" s="7" t="s">
        <v>223</v>
      </c>
      <c r="C220" s="26" t="s">
        <v>59</v>
      </c>
      <c r="D220" s="54"/>
      <c r="E220" s="7"/>
      <c r="F220" s="19" t="e">
        <f>+INDEX('[2]Budget original'!$A$2:$AO$501,MATCH($A220,'[2]Budget original'!$A$2:$A$501,0),MATCH(F$2,'[2]Budget original'!$A$2:$AO$2,0))</f>
        <v>#N/A</v>
      </c>
      <c r="G220" s="56"/>
      <c r="H220" s="7"/>
      <c r="I220" s="19"/>
      <c r="J220" s="26"/>
      <c r="K220" s="7"/>
      <c r="L220" s="39">
        <f>SUMIFS([2]BV_Data_An_Cour!$AM:$AM,[2]BV_Data_An_Cour!$AP:$AP,$B220,[2]BV_Data_An_Cour!$AQ:$AQ,$C220,[2]BV_Data_An_Cour!$AR:$AR,$L$2)</f>
        <v>357.26999999999953</v>
      </c>
      <c r="M220" s="26"/>
      <c r="N220" s="39" t="e">
        <f t="shared" si="35"/>
        <v>#N/A</v>
      </c>
      <c r="O220" s="26"/>
      <c r="P220" s="7"/>
      <c r="Q220" s="39">
        <f>SUMIFS([2]BV_Data_An_Prec!$AM:$AM,[2]BV_Data_An_Prec!$AP:$AP,$B220,[2]BV_Data_An_Prec!$AQ:$AQ,$C220,[2]BV_Data_An_Prec!$AR:$AR,$L$2)</f>
        <v>43.029999999999745</v>
      </c>
      <c r="R220" s="26"/>
      <c r="S220" s="39">
        <f t="shared" si="36"/>
        <v>314.23999999999978</v>
      </c>
      <c r="T220" s="6"/>
      <c r="U220" s="6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1:40" ht="15.75" customHeight="1">
      <c r="A221" s="410" t="s">
        <v>261</v>
      </c>
      <c r="B221" s="7" t="s">
        <v>223</v>
      </c>
      <c r="C221" s="26" t="s">
        <v>60</v>
      </c>
      <c r="D221" s="54"/>
      <c r="E221" s="7"/>
      <c r="F221" s="19" t="e">
        <f>+INDEX('[2]Budget original'!$A$2:$AO$501,MATCH($A221,'[2]Budget original'!$A$2:$A$501,0),MATCH(F$2,'[2]Budget original'!$A$2:$AO$2,0))</f>
        <v>#N/A</v>
      </c>
      <c r="G221" s="56"/>
      <c r="H221" s="7"/>
      <c r="I221" s="19"/>
      <c r="J221" s="26"/>
      <c r="K221" s="7"/>
      <c r="L221" s="39">
        <f>SUMIFS([2]BV_Data_An_Cour!$AM:$AM,[2]BV_Data_An_Cour!$AP:$AP,$B221,[2]BV_Data_An_Cour!$AQ:$AQ,$C221,[2]BV_Data_An_Cour!$AR:$AR,$L$2)</f>
        <v>0</v>
      </c>
      <c r="M221" s="26"/>
      <c r="N221" s="39" t="e">
        <f t="shared" si="35"/>
        <v>#N/A</v>
      </c>
      <c r="O221" s="26"/>
      <c r="P221" s="7"/>
      <c r="Q221" s="39">
        <f>SUMIFS([2]BV_Data_An_Prec!$AM:$AM,[2]BV_Data_An_Prec!$AP:$AP,$B221,[2]BV_Data_An_Prec!$AQ:$AQ,$C221,[2]BV_Data_An_Prec!$AR:$AR,$L$2)</f>
        <v>0</v>
      </c>
      <c r="R221" s="26"/>
      <c r="S221" s="39">
        <f t="shared" si="36"/>
        <v>0</v>
      </c>
      <c r="T221" s="6"/>
      <c r="U221" s="6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1:40" ht="15.75" customHeight="1">
      <c r="A222" s="410" t="s">
        <v>262</v>
      </c>
      <c r="B222" s="7" t="s">
        <v>223</v>
      </c>
      <c r="C222" s="26" t="s">
        <v>61</v>
      </c>
      <c r="D222" s="54"/>
      <c r="E222" s="7"/>
      <c r="F222" s="19" t="e">
        <f>+INDEX('[2]Budget original'!$A$2:$AO$501,MATCH($A222,'[2]Budget original'!$A$2:$A$501,0),MATCH(F$2,'[2]Budget original'!$A$2:$AO$2,0))</f>
        <v>#N/A</v>
      </c>
      <c r="G222" s="56"/>
      <c r="H222" s="7"/>
      <c r="I222" s="19"/>
      <c r="J222" s="26"/>
      <c r="K222" s="7"/>
      <c r="L222" s="39">
        <f>SUMIFS([2]BV_Data_An_Cour!$AM:$AM,[2]BV_Data_An_Cour!$AP:$AP,$B222,[2]BV_Data_An_Cour!$AQ:$AQ,$C222,[2]BV_Data_An_Cour!$AR:$AR,$L$2)</f>
        <v>0</v>
      </c>
      <c r="M222" s="26"/>
      <c r="N222" s="39" t="e">
        <f t="shared" si="35"/>
        <v>#N/A</v>
      </c>
      <c r="O222" s="26"/>
      <c r="P222" s="7"/>
      <c r="Q222" s="39">
        <f>SUMIFS([2]BV_Data_An_Prec!$AM:$AM,[2]BV_Data_An_Prec!$AP:$AP,$B222,[2]BV_Data_An_Prec!$AQ:$AQ,$C222,[2]BV_Data_An_Prec!$AR:$AR,$L$2)</f>
        <v>0</v>
      </c>
      <c r="R222" s="26"/>
      <c r="S222" s="39">
        <f t="shared" si="36"/>
        <v>0</v>
      </c>
      <c r="T222" s="6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1:40" ht="15.75" customHeight="1">
      <c r="A223" s="410" t="s">
        <v>263</v>
      </c>
      <c r="B223" s="7" t="s">
        <v>223</v>
      </c>
      <c r="C223" s="26" t="s">
        <v>62</v>
      </c>
      <c r="D223" s="54"/>
      <c r="E223" s="7"/>
      <c r="F223" s="19" t="e">
        <f>+INDEX('[2]Budget original'!$A$2:$AO$501,MATCH($A223,'[2]Budget original'!$A$2:$A$501,0),MATCH(F$2,'[2]Budget original'!$A$2:$AO$2,0))</f>
        <v>#N/A</v>
      </c>
      <c r="G223" s="56"/>
      <c r="H223" s="7"/>
      <c r="I223" s="19"/>
      <c r="J223" s="26"/>
      <c r="K223" s="7"/>
      <c r="L223" s="39">
        <f>SUMIFS([2]BV_Data_An_Cour!$AM:$AM,[2]BV_Data_An_Cour!$AP:$AP,$B223,[2]BV_Data_An_Cour!$AQ:$AQ,$C223,[2]BV_Data_An_Cour!$AR:$AR,$L$2)</f>
        <v>17.5</v>
      </c>
      <c r="M223" s="26"/>
      <c r="N223" s="39" t="e">
        <f t="shared" si="35"/>
        <v>#N/A</v>
      </c>
      <c r="O223" s="26"/>
      <c r="P223" s="7"/>
      <c r="Q223" s="39">
        <f>SUMIFS([2]BV_Data_An_Prec!$AM:$AM,[2]BV_Data_An_Prec!$AP:$AP,$B223,[2]BV_Data_An_Prec!$AQ:$AQ,$C223,[2]BV_Data_An_Prec!$AR:$AR,$L$2)</f>
        <v>0</v>
      </c>
      <c r="R223" s="26"/>
      <c r="S223" s="39">
        <f t="shared" si="36"/>
        <v>17.5</v>
      </c>
      <c r="T223" s="9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1:40" ht="20.399999999999999" hidden="1" customHeight="1">
      <c r="A224" s="410" t="s">
        <v>239</v>
      </c>
      <c r="B224" s="7" t="s">
        <v>223</v>
      </c>
      <c r="C224" s="26" t="s">
        <v>19</v>
      </c>
      <c r="D224" s="54"/>
      <c r="E224" s="7"/>
      <c r="F224" s="19" t="e">
        <f>+INDEX('[2]Budget original'!$A$2:$AO$501,MATCH($A224,'[2]Budget original'!$A$2:$A$501,0),MATCH(F$2,'[2]Budget original'!$A$2:$AO$2,0))</f>
        <v>#N/A</v>
      </c>
      <c r="G224" s="56"/>
      <c r="H224" s="7"/>
      <c r="I224" s="19"/>
      <c r="J224" s="26"/>
      <c r="K224" s="7"/>
      <c r="L224" s="39">
        <f>SUMIFS([2]BV_Data_An_Cour!$AM:$AM,[2]BV_Data_An_Cour!$AP:$AP,$B224,[2]BV_Data_An_Cour!$AQ:$AQ,$C224,[2]BV_Data_An_Cour!$AR:$AR,$L$2)</f>
        <v>0</v>
      </c>
      <c r="M224" s="26"/>
      <c r="N224" s="39" t="e">
        <f t="shared" si="35"/>
        <v>#N/A</v>
      </c>
      <c r="O224" s="26"/>
      <c r="P224" s="7"/>
      <c r="Q224" s="39">
        <f>SUMIFS([2]BV_Data_An_Prec!$AM:$AM,[2]BV_Data_An_Prec!$AP:$AP,$B224,[2]BV_Data_An_Prec!$AQ:$AQ,$C224,[2]BV_Data_An_Prec!$AR:$AR,$L$2)</f>
        <v>0</v>
      </c>
      <c r="R224" s="26"/>
      <c r="S224" s="39">
        <f t="shared" si="36"/>
        <v>0</v>
      </c>
      <c r="T224" s="6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1:40" ht="20.399999999999999" hidden="1" customHeight="1">
      <c r="A225" s="410" t="s">
        <v>239</v>
      </c>
      <c r="B225" s="7" t="s">
        <v>223</v>
      </c>
      <c r="C225" s="26" t="s">
        <v>19</v>
      </c>
      <c r="D225" s="54"/>
      <c r="E225" s="7"/>
      <c r="F225" s="19" t="e">
        <f>+INDEX('[2]Budget original'!$A$2:$AO$501,MATCH($A225,'[2]Budget original'!$A$2:$A$501,0),MATCH(F$2,'[2]Budget original'!$A$2:$AO$2,0))</f>
        <v>#N/A</v>
      </c>
      <c r="G225" s="56"/>
      <c r="H225" s="7"/>
      <c r="I225" s="19"/>
      <c r="J225" s="26"/>
      <c r="K225" s="7"/>
      <c r="L225" s="39">
        <f>SUMIFS([2]BV_Data_An_Cour!$AM:$AM,[2]BV_Data_An_Cour!$AP:$AP,$B225,[2]BV_Data_An_Cour!$AQ:$AQ,$C225,[2]BV_Data_An_Cour!$AR:$AR,$L$2)</f>
        <v>0</v>
      </c>
      <c r="M225" s="26"/>
      <c r="N225" s="39" t="e">
        <f t="shared" si="35"/>
        <v>#N/A</v>
      </c>
      <c r="O225" s="26"/>
      <c r="P225" s="7"/>
      <c r="Q225" s="39">
        <f>SUMIFS([2]BV_Data_An_Prec!$AM:$AM,[2]BV_Data_An_Prec!$AP:$AP,$B225,[2]BV_Data_An_Prec!$AQ:$AQ,$C225,[2]BV_Data_An_Prec!$AR:$AR,$L$2)</f>
        <v>0</v>
      </c>
      <c r="R225" s="26"/>
      <c r="S225" s="39">
        <f t="shared" si="36"/>
        <v>0</v>
      </c>
      <c r="T225" s="6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1:40" ht="20.399999999999999" hidden="1" customHeight="1">
      <c r="A226" s="410" t="s">
        <v>239</v>
      </c>
      <c r="B226" s="7" t="s">
        <v>223</v>
      </c>
      <c r="C226" s="26" t="s">
        <v>19</v>
      </c>
      <c r="D226" s="54"/>
      <c r="E226" s="7"/>
      <c r="F226" s="19" t="e">
        <f>+INDEX('[2]Budget original'!$A$2:$AO$501,MATCH($A226,'[2]Budget original'!$A$2:$A$501,0),MATCH(F$2,'[2]Budget original'!$A$2:$AO$2,0))</f>
        <v>#N/A</v>
      </c>
      <c r="G226" s="56"/>
      <c r="H226" s="7"/>
      <c r="I226" s="19"/>
      <c r="J226" s="26"/>
      <c r="K226" s="7"/>
      <c r="L226" s="39">
        <f>SUMIFS([2]BV_Data_An_Cour!$AM:$AM,[2]BV_Data_An_Cour!$AP:$AP,$B226,[2]BV_Data_An_Cour!$AQ:$AQ,$C226,[2]BV_Data_An_Cour!$AR:$AR,$L$2)</f>
        <v>0</v>
      </c>
      <c r="M226" s="26"/>
      <c r="N226" s="39" t="e">
        <f t="shared" si="35"/>
        <v>#N/A</v>
      </c>
      <c r="O226" s="26"/>
      <c r="P226" s="7"/>
      <c r="Q226" s="39">
        <f>SUMIFS([2]BV_Data_An_Prec!$AM:$AM,[2]BV_Data_An_Prec!$AP:$AP,$B226,[2]BV_Data_An_Prec!$AQ:$AQ,$C226,[2]BV_Data_An_Prec!$AR:$AR,$L$2)</f>
        <v>0</v>
      </c>
      <c r="R226" s="26"/>
      <c r="S226" s="39">
        <f t="shared" si="36"/>
        <v>0</v>
      </c>
      <c r="T226" s="9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1:40" ht="18.600000000000001" customHeight="1">
      <c r="A227" s="410" t="s">
        <v>264</v>
      </c>
      <c r="B227" s="7" t="s">
        <v>223</v>
      </c>
      <c r="C227" s="139" t="s">
        <v>63</v>
      </c>
      <c r="D227" s="62" t="s">
        <v>38</v>
      </c>
      <c r="E227" s="63" t="e">
        <f>F227/F$109</f>
        <v>#N/A</v>
      </c>
      <c r="F227" s="64" t="e">
        <f>+SUM(F210:F226)</f>
        <v>#N/A</v>
      </c>
      <c r="G227" s="65"/>
      <c r="H227" s="63"/>
      <c r="I227" s="64"/>
      <c r="J227" s="65" t="s">
        <v>38</v>
      </c>
      <c r="K227" s="63">
        <f>L227/L$109</f>
        <v>2.5931975104441445E-2</v>
      </c>
      <c r="L227" s="64">
        <f>+SUM(L210:L226)</f>
        <v>624.76999999999953</v>
      </c>
      <c r="M227" s="66"/>
      <c r="N227" s="64" t="e">
        <f t="shared" si="35"/>
        <v>#N/A</v>
      </c>
      <c r="O227" s="65" t="s">
        <v>38</v>
      </c>
      <c r="P227" s="63">
        <f>Q227/Q$109</f>
        <v>3.6734474511597396E-3</v>
      </c>
      <c r="Q227" s="64">
        <f>+SUM(Q210:Q226)</f>
        <v>123.02999999999975</v>
      </c>
      <c r="R227" s="67"/>
      <c r="S227" s="64">
        <f t="shared" si="36"/>
        <v>501.73999999999978</v>
      </c>
      <c r="T227" s="6"/>
      <c r="U227" s="6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1:40" ht="15.75" customHeight="1">
      <c r="A228" s="410" t="s">
        <v>70</v>
      </c>
      <c r="B228" s="7" t="s">
        <v>223</v>
      </c>
      <c r="C228" s="14"/>
      <c r="D228" s="57"/>
      <c r="E228" s="73"/>
      <c r="F228" s="39"/>
      <c r="G228" s="59"/>
      <c r="H228" s="73"/>
      <c r="I228" s="39"/>
      <c r="J228" s="14"/>
      <c r="K228" s="73"/>
      <c r="L228" s="61"/>
      <c r="M228" s="14"/>
      <c r="N228" s="61"/>
      <c r="O228" s="14"/>
      <c r="P228" s="73"/>
      <c r="Q228" s="61"/>
      <c r="R228" s="14"/>
      <c r="S228" s="61"/>
      <c r="T228" s="420"/>
      <c r="U228" s="6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1:40" ht="18.600000000000001" customHeight="1">
      <c r="A229" s="410" t="s">
        <v>265</v>
      </c>
      <c r="B229" s="7" t="s">
        <v>223</v>
      </c>
      <c r="C229" s="139" t="s">
        <v>64</v>
      </c>
      <c r="D229" s="62" t="s">
        <v>38</v>
      </c>
      <c r="E229" s="63" t="e">
        <f>F229/F$109</f>
        <v>#N/A</v>
      </c>
      <c r="F229" s="64" t="e">
        <f>F196+F209+F227</f>
        <v>#N/A</v>
      </c>
      <c r="G229" s="65"/>
      <c r="H229" s="63"/>
      <c r="I229" s="64"/>
      <c r="J229" s="65" t="s">
        <v>38</v>
      </c>
      <c r="K229" s="63">
        <f>L229/L$109</f>
        <v>0.27719532720561102</v>
      </c>
      <c r="L229" s="64">
        <f>L196+L209+L227</f>
        <v>6678.3700000000326</v>
      </c>
      <c r="M229" s="66"/>
      <c r="N229" s="64" t="e">
        <f t="shared" ref="N229:N236" si="37">L229-F229</f>
        <v>#N/A</v>
      </c>
      <c r="O229" s="65" t="s">
        <v>38</v>
      </c>
      <c r="P229" s="63">
        <f>Q229/Q$109</f>
        <v>1.778395244194932</v>
      </c>
      <c r="Q229" s="64">
        <f>Q196+Q209+Q227</f>
        <v>59561.480000000061</v>
      </c>
      <c r="R229" s="67"/>
      <c r="S229" s="64">
        <f t="shared" ref="S229:S236" si="38">L229-Q229</f>
        <v>-52883.11000000003</v>
      </c>
      <c r="T229" s="6"/>
      <c r="U229" s="6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1:40" ht="21" hidden="1" customHeight="1">
      <c r="A230" s="410" t="s">
        <v>266</v>
      </c>
      <c r="B230" s="7" t="s">
        <v>223</v>
      </c>
      <c r="C230" s="26" t="s">
        <v>267</v>
      </c>
      <c r="D230" s="94"/>
      <c r="E230" s="95"/>
      <c r="F230" s="19" t="e">
        <f>+INDEX('[2]Budget original'!$A$2:$AO$501,MATCH($A230,'[2]Budget original'!$A$2:$A$501,0),MATCH(F$2,'[2]Budget original'!$A$2:$AO$2,0))</f>
        <v>#N/A</v>
      </c>
      <c r="G230" s="96"/>
      <c r="H230" s="95"/>
      <c r="I230" s="19"/>
      <c r="J230" s="96"/>
      <c r="K230" s="95"/>
      <c r="L230" s="39">
        <v>0</v>
      </c>
      <c r="M230" s="26"/>
      <c r="N230" s="39" t="e">
        <f t="shared" si="37"/>
        <v>#N/A</v>
      </c>
      <c r="O230" s="96"/>
      <c r="P230" s="95"/>
      <c r="Q230" s="39">
        <v>0</v>
      </c>
      <c r="R230" s="26"/>
      <c r="S230" s="39">
        <f t="shared" si="38"/>
        <v>0</v>
      </c>
      <c r="T230" s="420"/>
      <c r="U230" s="6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1:40" ht="21" hidden="1" customHeight="1">
      <c r="A231" s="410" t="s">
        <v>268</v>
      </c>
      <c r="B231" s="7" t="s">
        <v>223</v>
      </c>
      <c r="C231" s="26" t="s">
        <v>269</v>
      </c>
      <c r="D231" s="94"/>
      <c r="E231" s="95"/>
      <c r="F231" s="19" t="e">
        <f>+INDEX('[2]Budget original'!$A$2:$AO$501,MATCH($A231,'[2]Budget original'!$A$2:$A$501,0),MATCH(F$2,'[2]Budget original'!$A$2:$AO$2,0))</f>
        <v>#N/A</v>
      </c>
      <c r="G231" s="96"/>
      <c r="H231" s="95"/>
      <c r="I231" s="19"/>
      <c r="J231" s="96"/>
      <c r="K231" s="95"/>
      <c r="L231" s="39">
        <f>-SUMIFS([2]BV_Data_An_Cour!$AM:$AM,[2]BV_Data_An_Cour!$AP:$AP,$B231,[2]BV_Data_An_Cour!$AQ:$AQ,$C231,[2]BV_Data_An_Cour!$AR:$AR,$L$2)</f>
        <v>0</v>
      </c>
      <c r="M231" s="26"/>
      <c r="N231" s="39" t="e">
        <f t="shared" si="37"/>
        <v>#N/A</v>
      </c>
      <c r="O231" s="96"/>
      <c r="P231" s="95"/>
      <c r="Q231" s="39">
        <f>-SUMIFS([2]BV_Data_An_Prec!$AM:$AM,[2]BV_Data_An_Prec!$AP:$AP,$B231,[2]BV_Data_An_Prec!$AQ:$AQ,$C231,[2]BV_Data_An_Prec!$AR:$AR,$L$2)</f>
        <v>0</v>
      </c>
      <c r="R231" s="26"/>
      <c r="S231" s="39">
        <f t="shared" si="38"/>
        <v>0</v>
      </c>
      <c r="T231" s="420"/>
      <c r="U231" s="6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1:40" ht="21" hidden="1" customHeight="1">
      <c r="A232" s="410" t="s">
        <v>270</v>
      </c>
      <c r="B232" s="7" t="s">
        <v>223</v>
      </c>
      <c r="C232" s="26" t="s">
        <v>77</v>
      </c>
      <c r="D232" s="54"/>
      <c r="E232" s="7"/>
      <c r="F232" s="19" t="e">
        <f>+INDEX('[2]Budget original'!$A$2:$AO$501,MATCH($A232,'[2]Budget original'!$A$2:$A$501,0),MATCH(F$2,'[2]Budget original'!$A$2:$AO$2,0))</f>
        <v>#N/A</v>
      </c>
      <c r="G232" s="56"/>
      <c r="H232" s="7"/>
      <c r="I232" s="19"/>
      <c r="J232" s="26"/>
      <c r="K232" s="7"/>
      <c r="L232" s="39">
        <f>-SUMIFS([2]BV_Data_An_Cour!$AM:$AM,[2]BV_Data_An_Cour!$AP:$AP,$B232,[2]BV_Data_An_Cour!$AQ:$AQ,$C232,[2]BV_Data_An_Cour!$AR:$AR,$L$2)</f>
        <v>0</v>
      </c>
      <c r="M232" s="26"/>
      <c r="N232" s="39" t="e">
        <f t="shared" si="37"/>
        <v>#N/A</v>
      </c>
      <c r="O232" s="26"/>
      <c r="P232" s="7"/>
      <c r="Q232" s="39">
        <f>-SUMIFS([2]BV_Data_An_Prec!$AM:$AM,[2]BV_Data_An_Prec!$AP:$AP,$B232,[2]BV_Data_An_Prec!$AQ:$AQ,$C232,[2]BV_Data_An_Prec!$AR:$AR,$L$2)</f>
        <v>0</v>
      </c>
      <c r="R232" s="26"/>
      <c r="S232" s="39">
        <f t="shared" si="38"/>
        <v>0</v>
      </c>
      <c r="T232" s="420"/>
      <c r="U232" s="6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1:40" ht="21" hidden="1" customHeight="1">
      <c r="A233" s="410" t="s">
        <v>271</v>
      </c>
      <c r="B233" s="7" t="s">
        <v>223</v>
      </c>
      <c r="C233" s="26" t="s">
        <v>67</v>
      </c>
      <c r="D233" s="273" t="e">
        <f>E233/474</f>
        <v>#N/A</v>
      </c>
      <c r="E233" s="274" t="e">
        <f>F233/#REF!</f>
        <v>#N/A</v>
      </c>
      <c r="F233" s="19" t="e">
        <f>+INDEX('[2]Budget original'!$A$2:$AO$501,MATCH($A233,'[2]Budget original'!$A$2:$A$501,0),MATCH(F$2,'[2]Budget original'!$A$2:$AO$2,0))</f>
        <v>#N/A</v>
      </c>
      <c r="G233" s="56"/>
      <c r="H233" s="7"/>
      <c r="I233" s="19"/>
      <c r="J233" s="275"/>
      <c r="K233" s="274"/>
      <c r="L233" s="39">
        <f>-SUMIFS([2]BV_Data_An_Cour!$AM:$AM,[2]BV_Data_An_Cour!$AP:$AP,$B233,[2]BV_Data_An_Cour!$AQ:$AQ,$C233,[2]BV_Data_An_Cour!$AR:$AR,L$2)</f>
        <v>0</v>
      </c>
      <c r="M233" s="26"/>
      <c r="N233" s="39" t="e">
        <f t="shared" si="37"/>
        <v>#N/A</v>
      </c>
      <c r="O233" s="275"/>
      <c r="P233" s="274"/>
      <c r="Q233" s="39">
        <f>-SUMIFS([2]BV_Data_An_Prec!$AM:$AM,[2]BV_Data_An_Prec!$AP:$AP,$B233,[2]BV_Data_An_Prec!$AQ:$AQ,$C233,[2]BV_Data_An_Prec!$AR:$AR,Q$2)</f>
        <v>0</v>
      </c>
      <c r="R233" s="26"/>
      <c r="S233" s="39">
        <f t="shared" si="38"/>
        <v>0</v>
      </c>
      <c r="T233" s="420"/>
      <c r="U233" s="6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1:40" ht="21" hidden="1" customHeight="1" thickBot="1">
      <c r="A234" s="410" t="s">
        <v>239</v>
      </c>
      <c r="B234" s="7" t="s">
        <v>70</v>
      </c>
      <c r="C234" s="26" t="s">
        <v>19</v>
      </c>
      <c r="D234" s="54"/>
      <c r="E234" s="7"/>
      <c r="F234" s="19" t="e">
        <f>+INDEX('[2]Budget original'!$A$2:$AO$501,MATCH($A234,'[2]Budget original'!$A$2:$A$501,0),MATCH(F$2,'[2]Budget original'!$A$2:$AO$2,0))</f>
        <v>#N/A</v>
      </c>
      <c r="G234" s="56"/>
      <c r="H234" s="7"/>
      <c r="I234" s="19"/>
      <c r="J234" s="26"/>
      <c r="K234" s="7"/>
      <c r="L234" s="39">
        <f>-SUMIFS([2]BV_Data_An_Cour!$AM:$AM,[2]BV_Data_An_Cour!$AP:$AP,$B234,[2]BV_Data_An_Cour!$AQ:$AQ,$C234,[2]BV_Data_An_Cour!$AR:$AR,$L$2)</f>
        <v>0</v>
      </c>
      <c r="M234" s="26"/>
      <c r="N234" s="39" t="e">
        <f t="shared" si="37"/>
        <v>#N/A</v>
      </c>
      <c r="O234" s="26"/>
      <c r="P234" s="7"/>
      <c r="Q234" s="39">
        <f>-SUMIFS([2]BV_Data_An_Prec!$AM:$AM,[2]BV_Data_An_Prec!$AP:$AP,$B234,[2]BV_Data_An_Prec!$AQ:$AQ,$C234,[2]BV_Data_An_Prec!$AR:$AR,$L$2)</f>
        <v>0</v>
      </c>
      <c r="R234" s="26"/>
      <c r="S234" s="39">
        <f t="shared" si="38"/>
        <v>0</v>
      </c>
      <c r="T234" s="420"/>
      <c r="U234" s="6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1:40" ht="21" hidden="1" customHeight="1" thickTop="1">
      <c r="A235" s="410" t="s">
        <v>239</v>
      </c>
      <c r="B235" s="7" t="s">
        <v>70</v>
      </c>
      <c r="C235" s="26" t="s">
        <v>19</v>
      </c>
      <c r="D235" s="54"/>
      <c r="E235" s="7"/>
      <c r="F235" s="19" t="e">
        <f>+INDEX('[2]Budget original'!$A$2:$AO$501,MATCH($A235,'[2]Budget original'!$A$2:$A$501,0),MATCH(F$2,'[2]Budget original'!$A$2:$AO$2,0))</f>
        <v>#N/A</v>
      </c>
      <c r="G235" s="56"/>
      <c r="H235" s="7"/>
      <c r="I235" s="19"/>
      <c r="J235" s="26"/>
      <c r="K235" s="7"/>
      <c r="L235" s="39">
        <f>-SUMIFS([2]BV_Data_An_Cour!$AM:$AM,[2]BV_Data_An_Cour!$AP:$AP,$B235,[2]BV_Data_An_Cour!$AQ:$AQ,$C235,[2]BV_Data_An_Cour!$AR:$AR,$L$2)</f>
        <v>0</v>
      </c>
      <c r="M235" s="26"/>
      <c r="N235" s="39" t="e">
        <f t="shared" si="37"/>
        <v>#N/A</v>
      </c>
      <c r="O235" s="26"/>
      <c r="P235" s="7"/>
      <c r="Q235" s="39">
        <f>-SUMIFS([2]BV_Data_An_Prec!$AM:$AM,[2]BV_Data_An_Prec!$AP:$AP,$B235,[2]BV_Data_An_Prec!$AQ:$AQ,$C235,[2]BV_Data_An_Prec!$AR:$AR,$L$2)</f>
        <v>0</v>
      </c>
      <c r="R235" s="26"/>
      <c r="S235" s="39">
        <f t="shared" si="38"/>
        <v>0</v>
      </c>
      <c r="T235" s="420"/>
      <c r="U235" s="6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1:40" ht="21" hidden="1" customHeight="1">
      <c r="A236" s="410" t="s">
        <v>239</v>
      </c>
      <c r="B236" s="7" t="s">
        <v>70</v>
      </c>
      <c r="C236" s="14" t="s">
        <v>19</v>
      </c>
      <c r="D236" s="57"/>
      <c r="E236" s="73"/>
      <c r="F236" s="19" t="e">
        <f>+INDEX('[2]Budget original'!$A$2:$AO$501,MATCH($A236,'[2]Budget original'!$A$2:$A$501,0),MATCH(F$2,'[2]Budget original'!$A$2:$AO$2,0))</f>
        <v>#N/A</v>
      </c>
      <c r="G236" s="56"/>
      <c r="H236" s="7"/>
      <c r="I236" s="19"/>
      <c r="J236" s="26"/>
      <c r="K236" s="7"/>
      <c r="L236" s="39">
        <f>-SUMIFS([2]BV_Data_An_Cour!$AM:$AM,[2]BV_Data_An_Cour!$AP:$AP,$B236,[2]BV_Data_An_Cour!$AQ:$AQ,$C236,[2]BV_Data_An_Cour!$AR:$AR,$L$2)</f>
        <v>0</v>
      </c>
      <c r="M236" s="26"/>
      <c r="N236" s="39" t="e">
        <f t="shared" si="37"/>
        <v>#N/A</v>
      </c>
      <c r="O236" s="26"/>
      <c r="P236" s="7"/>
      <c r="Q236" s="39">
        <f>-SUMIFS([2]BV_Data_An_Prec!$AM:$AM,[2]BV_Data_An_Prec!$AP:$AP,$B236,[2]BV_Data_An_Prec!$AQ:$AQ,$C236,[2]BV_Data_An_Prec!$AR:$AR,$L$2)</f>
        <v>0</v>
      </c>
      <c r="R236" s="26"/>
      <c r="S236" s="39">
        <f t="shared" si="38"/>
        <v>0</v>
      </c>
      <c r="T236" s="420"/>
      <c r="U236" s="6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1:40" ht="18.600000000000001" customHeight="1">
      <c r="A237" s="410"/>
      <c r="B237" s="7"/>
      <c r="C237" s="139" t="s">
        <v>68</v>
      </c>
      <c r="D237" s="62"/>
      <c r="E237" s="63"/>
      <c r="F237" s="64" t="e">
        <f>+SUM(F230:F236)</f>
        <v>#N/A</v>
      </c>
      <c r="G237" s="65"/>
      <c r="H237" s="63"/>
      <c r="I237" s="64"/>
      <c r="J237" s="65"/>
      <c r="K237" s="63"/>
      <c r="L237" s="64">
        <f>+SUM(L230:L236)</f>
        <v>0</v>
      </c>
      <c r="M237" s="66"/>
      <c r="N237" s="64" t="e">
        <f>SUM(N230:N233)</f>
        <v>#N/A</v>
      </c>
      <c r="O237" s="65"/>
      <c r="P237" s="63"/>
      <c r="Q237" s="64">
        <f>+SUM(Q230:Q236)</f>
        <v>0</v>
      </c>
      <c r="R237" s="67"/>
      <c r="S237" s="64">
        <f>+SUM(S230:S236)</f>
        <v>0</v>
      </c>
      <c r="T237" s="6"/>
      <c r="U237" s="6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1:40" ht="15.75" customHeight="1">
      <c r="B238" s="7"/>
      <c r="C238" s="26"/>
      <c r="D238" s="54"/>
      <c r="E238" s="7"/>
      <c r="F238" s="39"/>
      <c r="G238" s="56"/>
      <c r="H238" s="7"/>
      <c r="I238" s="39"/>
      <c r="J238" s="26"/>
      <c r="K238" s="7"/>
      <c r="L238" s="39"/>
      <c r="M238" s="26"/>
      <c r="N238" s="39"/>
      <c r="O238" s="26"/>
      <c r="P238" s="7"/>
      <c r="Q238" s="39"/>
      <c r="R238" s="26"/>
      <c r="S238" s="39"/>
      <c r="T238" s="422"/>
      <c r="U238" s="6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1:40" ht="18.600000000000001" customHeight="1" thickBot="1">
      <c r="A239" s="410"/>
      <c r="B239" s="7"/>
      <c r="C239" s="276" t="s">
        <v>69</v>
      </c>
      <c r="D239" s="277"/>
      <c r="E239" s="278"/>
      <c r="F239" s="138" t="e">
        <f>F182-F229+F237</f>
        <v>#REF!</v>
      </c>
      <c r="G239" s="279"/>
      <c r="H239" s="278"/>
      <c r="I239" s="138"/>
      <c r="J239" s="279"/>
      <c r="K239" s="278"/>
      <c r="L239" s="138">
        <f>L182-L229+L237</f>
        <v>-22580.300000001596</v>
      </c>
      <c r="M239" s="280"/>
      <c r="N239" s="138" t="e">
        <f>L239-F239</f>
        <v>#REF!</v>
      </c>
      <c r="O239" s="279"/>
      <c r="P239" s="278"/>
      <c r="Q239" s="138">
        <f>Q182-Q229+Q237</f>
        <v>10748.989999999678</v>
      </c>
      <c r="R239" s="281"/>
      <c r="S239" s="138">
        <f>L239-Q239</f>
        <v>-33329.290000001274</v>
      </c>
      <c r="T239" s="6"/>
      <c r="U239" s="6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1:40" ht="15.75" customHeight="1" thickTop="1">
      <c r="B240" s="7"/>
      <c r="C240" s="6"/>
      <c r="D240" s="6"/>
      <c r="E240" s="6"/>
      <c r="F240" s="97"/>
      <c r="G240" s="6"/>
      <c r="H240" s="6"/>
      <c r="I240" s="6"/>
      <c r="J240" s="6"/>
      <c r="K240" s="6"/>
      <c r="L240" s="97"/>
      <c r="M240" s="6"/>
      <c r="N240" s="6"/>
      <c r="O240" s="6"/>
      <c r="P240" s="6"/>
      <c r="Q240" s="6"/>
      <c r="R240" s="97"/>
      <c r="S240" s="6"/>
      <c r="T240" s="97"/>
      <c r="U240" s="6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1:40" ht="8.25" customHeight="1"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97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spans="1:40" ht="33.75" customHeight="1">
      <c r="B242" s="7"/>
      <c r="C242" s="251" t="str">
        <f>C1</f>
        <v>Ste-Marie Auto</v>
      </c>
      <c r="D242" s="252"/>
      <c r="E242" s="253"/>
      <c r="F242" s="252"/>
      <c r="G242" s="252"/>
      <c r="H242" s="254"/>
      <c r="I242" s="252"/>
      <c r="J242" s="254"/>
      <c r="K242" s="255" t="s">
        <v>78</v>
      </c>
      <c r="L242" s="252"/>
      <c r="M242" s="252"/>
      <c r="N242" s="256"/>
      <c r="O242" s="251"/>
      <c r="P242" s="257"/>
      <c r="Q242" s="251"/>
      <c r="R242" s="257"/>
      <c r="S242" s="258" t="str">
        <f>$S$1</f>
        <v>Réalisé, Aout 2026</v>
      </c>
      <c r="T242" s="419"/>
      <c r="U242" s="381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spans="1:40" ht="15.75" customHeight="1" thickBot="1">
      <c r="B243" s="7"/>
      <c r="C243" s="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15.75" customHeight="1" thickTop="1">
      <c r="B244" s="7"/>
      <c r="C244" s="259"/>
      <c r="D244" s="407" t="s">
        <v>5</v>
      </c>
      <c r="E244" s="408"/>
      <c r="F244" s="406"/>
      <c r="G244" s="405"/>
      <c r="H244" s="408"/>
      <c r="I244" s="406"/>
      <c r="J244" s="405" t="s">
        <v>7</v>
      </c>
      <c r="K244" s="408"/>
      <c r="L244" s="406"/>
      <c r="M244" s="405" t="s">
        <v>211</v>
      </c>
      <c r="N244" s="406"/>
      <c r="O244" s="407" t="s">
        <v>8</v>
      </c>
      <c r="P244" s="408"/>
      <c r="Q244" s="406"/>
      <c r="R244" s="405" t="s">
        <v>212</v>
      </c>
      <c r="S244" s="406"/>
      <c r="T244" s="423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spans="1:40" ht="15.75" customHeight="1">
      <c r="A245" s="410" t="s">
        <v>78</v>
      </c>
      <c r="B245" s="7" t="s">
        <v>78</v>
      </c>
      <c r="C245" s="26"/>
      <c r="D245" s="53" t="s">
        <v>39</v>
      </c>
      <c r="E245" s="53" t="s">
        <v>79</v>
      </c>
      <c r="F245" s="84" t="s">
        <v>12</v>
      </c>
      <c r="G245" s="85"/>
      <c r="H245" s="53"/>
      <c r="I245" s="84"/>
      <c r="J245" s="85" t="s">
        <v>39</v>
      </c>
      <c r="K245" s="53" t="s">
        <v>79</v>
      </c>
      <c r="L245" s="84" t="s">
        <v>12</v>
      </c>
      <c r="M245" s="85" t="s">
        <v>218</v>
      </c>
      <c r="N245" s="84" t="s">
        <v>215</v>
      </c>
      <c r="O245" s="85" t="s">
        <v>39</v>
      </c>
      <c r="P245" s="53" t="s">
        <v>79</v>
      </c>
      <c r="Q245" s="84" t="s">
        <v>12</v>
      </c>
      <c r="R245" s="85" t="s">
        <v>80</v>
      </c>
      <c r="S245" s="84" t="s">
        <v>12</v>
      </c>
      <c r="T245" s="5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1:40" ht="15.75" customHeight="1">
      <c r="A246" s="410" t="s">
        <v>345</v>
      </c>
      <c r="B246" s="7" t="s">
        <v>78</v>
      </c>
      <c r="C246" s="26" t="s">
        <v>81</v>
      </c>
      <c r="D246" s="55" t="e">
        <f>+INDEX('[2]Budget original'!$A$2:$AO$501,MATCH($A246,'[2]Budget original'!$A$2:$A$501,0),MATCH(D$2,'[2]Budget original'!$A$2:$AO$2,0))</f>
        <v>#N/A</v>
      </c>
      <c r="E246" s="55" t="e">
        <f>+INDEX('[2]Budget original'!$A$2:$AO$501,MATCH($A246,'[2]Budget original'!$A$2:$A$501,0),MATCH(E$2,'[2]Budget original'!$A$2:$AO$2,0))</f>
        <v>#N/A</v>
      </c>
      <c r="F246" s="55" t="e">
        <f>+INDEX('[2]Budget original'!$A$2:$AO$501,MATCH($A246,'[2]Budget original'!$A$2:$A$501,0),MATCH(F$2,'[2]Budget original'!$A$2:$AO$2,0))</f>
        <v>#N/A</v>
      </c>
      <c r="G246" s="40"/>
      <c r="H246" s="55"/>
      <c r="I246" s="55"/>
      <c r="J246" s="20">
        <f>SUMIFS([2]BV_Data_An_Cour!$AW:$AW,[2]BV_Data_An_Cour!$AP:$AP,$B246,[2]BV_Data_An_Cour!$AQ:$AQ,$C246,[2]BV_Data_An_Cour!$AY:$AY,J$2)</f>
        <v>207</v>
      </c>
      <c r="K246" s="55">
        <f>-SUMIFS([2]BV_Data_An_Cour!$AM:$AM,[2]BV_Data_An_Cour!$AS:$AS,"Oui",[2]BV_Data_An_Cour!$AP:$AP,$B246,[2]BV_Data_An_Cour!$AQ:$AQ,$C246)</f>
        <v>43729.439999999988</v>
      </c>
      <c r="L246" s="39">
        <f>-SUMIFS([2]BV_Data_An_Cour!$AM:$AM,[2]BV_Data_An_Cour!$AP:$AP,$B246,[2]BV_Data_An_Cour!$AQ:$AQ,$C246,[2]BV_Data_An_Cour!$AR:$AR,$L$2)</f>
        <v>29770.659999999993</v>
      </c>
      <c r="M246" s="99" t="e">
        <f>(K246-E246)/E246</f>
        <v>#N/A</v>
      </c>
      <c r="N246" s="39" t="e">
        <f>L246-F246</f>
        <v>#N/A</v>
      </c>
      <c r="O246" s="20">
        <f>SUMIFS([2]BV_Data_An_Prec!$AW:$AW,[2]BV_Data_An_Prec!$AP:$AP,$B246,[2]BV_Data_An_Prec!$AQ:$AQ,$C246,[2]BV_Data_An_Prec!$AY:$AY,O$2)</f>
        <v>182</v>
      </c>
      <c r="P246" s="55">
        <f>-SUMIFS([2]BV_Data_An_Prec!$AM:$AM,[2]BV_Data_An_Prec!$AS:$AS,"Oui",[2]BV_Data_An_Prec!$AP:$AP,$B246,[2]BV_Data_An_Prec!$AQ:$AQ,$C246)</f>
        <v>84926.969999999914</v>
      </c>
      <c r="Q246" s="39">
        <f>-SUMIFS([2]BV_Data_An_Prec!$AM:$AM,[2]BV_Data_An_Prec!$AP:$AP,$B246,[2]BV_Data_An_Prec!$AQ:$AQ,$C246,[2]BV_Data_An_Prec!$AR:$AR,$L$2)</f>
        <v>68605.589999999924</v>
      </c>
      <c r="R246" s="99">
        <f>IF(O246=0,0,J246/O246)</f>
        <v>1.1373626373626373</v>
      </c>
      <c r="S246" s="39">
        <f>L246-Q246</f>
        <v>-38834.929999999935</v>
      </c>
      <c r="T246" s="9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1:40" ht="15.75" customHeight="1">
      <c r="A247" s="410" t="s">
        <v>346</v>
      </c>
      <c r="B247" s="7" t="s">
        <v>78</v>
      </c>
      <c r="C247" s="26" t="s">
        <v>82</v>
      </c>
      <c r="D247" s="55"/>
      <c r="E247" s="91"/>
      <c r="F247" s="100" t="e">
        <f>F246/E246</f>
        <v>#N/A</v>
      </c>
      <c r="G247" s="40"/>
      <c r="H247" s="91"/>
      <c r="I247" s="100"/>
      <c r="J247" s="40"/>
      <c r="K247" s="7"/>
      <c r="L247" s="100">
        <f>IF(L246=0,0,L246/K246)</f>
        <v>0.68079216198515236</v>
      </c>
      <c r="M247" s="99"/>
      <c r="N247" s="39"/>
      <c r="O247" s="40"/>
      <c r="P247" s="7"/>
      <c r="Q247" s="100">
        <f>IF(Q246=0,0,Q246/P246)</f>
        <v>0.80781864700930683</v>
      </c>
      <c r="R247" s="40"/>
      <c r="S247" s="100">
        <f>IF(Q246=0,0,(S246/Q246))</f>
        <v>-0.56606072478933533</v>
      </c>
      <c r="T247" s="9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1:40" ht="15.75" customHeight="1">
      <c r="A248" s="410" t="s">
        <v>78</v>
      </c>
      <c r="B248" s="7" t="s">
        <v>78</v>
      </c>
      <c r="C248" s="14"/>
      <c r="D248" s="58"/>
      <c r="E248" s="312">
        <f>IFERROR(E246/D246,0)</f>
        <v>0</v>
      </c>
      <c r="F248" s="102"/>
      <c r="G248" s="103"/>
      <c r="H248" s="312"/>
      <c r="I248" s="102"/>
      <c r="J248" s="103"/>
      <c r="K248" s="312">
        <f>IFERROR(K246/J246,0)</f>
        <v>211.25333333333327</v>
      </c>
      <c r="L248" s="102"/>
      <c r="M248" s="104"/>
      <c r="N248" s="61"/>
      <c r="O248" s="103"/>
      <c r="P248" s="312">
        <f>IFERROR(P246/O246,0)</f>
        <v>466.63170329670282</v>
      </c>
      <c r="Q248" s="102"/>
      <c r="R248" s="103"/>
      <c r="S248" s="61"/>
      <c r="T248" s="9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1:40" ht="18" customHeight="1">
      <c r="A249" s="410" t="s">
        <v>347</v>
      </c>
      <c r="B249" s="7" t="s">
        <v>78</v>
      </c>
      <c r="C249" s="71" t="s">
        <v>83</v>
      </c>
      <c r="D249" s="105" t="e">
        <f>+INDEX('[2]Budget original'!$A$2:$AO$501,MATCH($A249,'[2]Budget original'!$A$2:$A$501,0),MATCH(D$2,'[2]Budget original'!$A$2:$AO$2,0))</f>
        <v>#N/A</v>
      </c>
      <c r="E249" s="55" t="e">
        <f>+INDEX('[2]Budget original'!$A$2:$AO$501,MATCH($A249,'[2]Budget original'!$A$2:$A$501,0),MATCH(E$2,'[2]Budget original'!$A$2:$AO$2,0))</f>
        <v>#N/A</v>
      </c>
      <c r="F249" s="55" t="e">
        <f>+INDEX('[2]Budget original'!$A$2:$AO$501,MATCH($A249,'[2]Budget original'!$A$2:$A$501,0),MATCH(F$2,'[2]Budget original'!$A$2:$AO$2,0))</f>
        <v>#N/A</v>
      </c>
      <c r="G249" s="106"/>
      <c r="H249" s="55"/>
      <c r="I249" s="55"/>
      <c r="J249" s="20">
        <f>SUMIFS([2]BV_Data_An_Cour!$AW:$AW,[2]BV_Data_An_Cour!$AP:$AP,$B249,[2]BV_Data_An_Cour!$AQ:$AQ,$C249,[2]BV_Data_An_Cour!$AY:$AY,J$2)</f>
        <v>359</v>
      </c>
      <c r="K249" s="105">
        <f>-SUMIFS([2]BV_Data_An_Cour!$AM:$AM,[2]BV_Data_An_Cour!$AS:$AS,"Oui",[2]BV_Data_An_Cour!$AP:$AP,$B249,[2]BV_Data_An_Cour!$AQ:$AQ,$C249)</f>
        <v>58148.549999999988</v>
      </c>
      <c r="L249" s="39">
        <f>-SUMIFS([2]BV_Data_An_Cour!$AM:$AM,[2]BV_Data_An_Cour!$AP:$AP,$B249,[2]BV_Data_An_Cour!$AQ:$AQ,$C249,[2]BV_Data_An_Cour!$AR:$AR,$L$2)</f>
        <v>36946.75</v>
      </c>
      <c r="M249" s="99" t="e">
        <f>(K249-E249)/E249</f>
        <v>#N/A</v>
      </c>
      <c r="N249" s="72" t="e">
        <f>L249-F249</f>
        <v>#N/A</v>
      </c>
      <c r="O249" s="20">
        <f>SUMIFS([2]BV_Data_An_Prec!$AW:$AW,[2]BV_Data_An_Prec!$AP:$AP,$B249,[2]BV_Data_An_Prec!$AQ:$AQ,$C249,[2]BV_Data_An_Prec!$AY:$AY,O$2)</f>
        <v>320</v>
      </c>
      <c r="P249" s="105">
        <f>-SUMIFS([2]BV_Data_An_Prec!$AM:$AM,[2]BV_Data_An_Prec!$AS:$AS,"Oui",[2]BV_Data_An_Prec!$AP:$AP,$B249,[2]BV_Data_An_Prec!$AQ:$AQ,$C249)</f>
        <v>53852.140000000014</v>
      </c>
      <c r="Q249" s="39">
        <f>-SUMIFS([2]BV_Data_An_Prec!$AM:$AM,[2]BV_Data_An_Prec!$AP:$AP,$B249,[2]BV_Data_An_Prec!$AQ:$AQ,$C249,[2]BV_Data_An_Prec!$AR:$AR,$L$2)</f>
        <v>36807.390000000014</v>
      </c>
      <c r="R249" s="99">
        <f>IF(O249=0,0,J249/O249)</f>
        <v>1.121875</v>
      </c>
      <c r="S249" s="39">
        <f>L249-Q249</f>
        <v>139.35999999998603</v>
      </c>
      <c r="T249" s="97"/>
      <c r="U249" s="6"/>
      <c r="V249" s="19"/>
      <c r="W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1:40" ht="15.75" customHeight="1">
      <c r="A250" s="410" t="s">
        <v>346</v>
      </c>
      <c r="B250" s="7" t="s">
        <v>78</v>
      </c>
      <c r="C250" s="26" t="s">
        <v>82</v>
      </c>
      <c r="D250" s="7"/>
      <c r="E250" s="7"/>
      <c r="F250" s="100" t="e">
        <f>F249/E249</f>
        <v>#N/A</v>
      </c>
      <c r="G250" s="26"/>
      <c r="H250" s="7"/>
      <c r="I250" s="100"/>
      <c r="J250" s="26"/>
      <c r="K250" s="7"/>
      <c r="L250" s="100">
        <f>IF(L249=0,0,L249/K249)</f>
        <v>0.63538557711241306</v>
      </c>
      <c r="M250" s="99"/>
      <c r="N250" s="100"/>
      <c r="O250" s="26"/>
      <c r="P250" s="7"/>
      <c r="Q250" s="100">
        <f>IF(Q249=0,0,Q249/P249)</f>
        <v>0.68348982974492756</v>
      </c>
      <c r="R250" s="99"/>
      <c r="S250" s="100">
        <f>IF(Q249=0,0,(S249/Q249))</f>
        <v>3.7861961959265783E-3</v>
      </c>
      <c r="T250" s="6"/>
      <c r="U250" s="6"/>
      <c r="V250" s="19"/>
      <c r="W250" s="2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1:40" ht="15.75" customHeight="1">
      <c r="A251" s="410" t="s">
        <v>78</v>
      </c>
      <c r="B251" s="7" t="s">
        <v>78</v>
      </c>
      <c r="C251" s="14"/>
      <c r="D251" s="73"/>
      <c r="E251" s="312">
        <f>IFERROR(E249/D249,0)</f>
        <v>0</v>
      </c>
      <c r="F251" s="102"/>
      <c r="G251" s="103"/>
      <c r="H251" s="312"/>
      <c r="I251" s="102"/>
      <c r="J251" s="103"/>
      <c r="K251" s="312">
        <f>IFERROR(K249/J249,0)</f>
        <v>161.9736768802228</v>
      </c>
      <c r="L251" s="102"/>
      <c r="M251" s="104"/>
      <c r="N251" s="61"/>
      <c r="O251" s="103"/>
      <c r="P251" s="312">
        <f>IFERROR(P249/O249,0)</f>
        <v>168.28793750000006</v>
      </c>
      <c r="Q251" s="102"/>
      <c r="R251" s="104"/>
      <c r="S251" s="102"/>
      <c r="T251" s="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1:40" ht="15.75" customHeight="1">
      <c r="A252" s="410" t="s">
        <v>348</v>
      </c>
      <c r="B252" s="7" t="s">
        <v>78</v>
      </c>
      <c r="C252" s="26" t="s">
        <v>84</v>
      </c>
      <c r="D252" s="55" t="e">
        <f>+INDEX('[2]Budget original'!$A$2:$AO$501,MATCH($A252,'[2]Budget original'!$A$2:$A$501,0),MATCH(D$2,'[2]Budget original'!$A$2:$AO$2,0))</f>
        <v>#N/A</v>
      </c>
      <c r="E252" s="55" t="e">
        <f>+INDEX('[2]Budget original'!$A$2:$AO$501,MATCH($A252,'[2]Budget original'!$A$2:$A$501,0),MATCH(E$2,'[2]Budget original'!$A$2:$AO$2,0))</f>
        <v>#N/A</v>
      </c>
      <c r="F252" s="55" t="e">
        <f>+INDEX('[2]Budget original'!$A$2:$AO$501,MATCH($A252,'[2]Budget original'!$A$2:$A$501,0),MATCH(F$2,'[2]Budget original'!$A$2:$AO$2,0))</f>
        <v>#N/A</v>
      </c>
      <c r="G252" s="40"/>
      <c r="H252" s="55"/>
      <c r="I252" s="55"/>
      <c r="J252" s="20">
        <f>SUMIFS([2]BV_Data_An_Cour!$AW:$AW,[2]BV_Data_An_Cour!$AP:$AP,$B252,[2]BV_Data_An_Cour!$AQ:$AQ,$C252,[2]BV_Data_An_Cour!$AY:$AY,J$2)</f>
        <v>366</v>
      </c>
      <c r="K252" s="105">
        <f>-SUMIFS([2]BV_Data_An_Cour!$AM:$AM,[2]BV_Data_An_Cour!$AS:$AS,"Oui",[2]BV_Data_An_Cour!$AP:$AP,$B252,[2]BV_Data_An_Cour!$AQ:$AQ,$C252)</f>
        <v>65529.689999999973</v>
      </c>
      <c r="L252" s="39">
        <f>-SUMIFS([2]BV_Data_An_Cour!$AM:$AM,[2]BV_Data_An_Cour!$AP:$AP,$B252,[2]BV_Data_An_Cour!$AQ:$AQ,$C252,[2]BV_Data_An_Cour!$AR:$AR,$L$2)</f>
        <v>48806.069999999963</v>
      </c>
      <c r="M252" s="99" t="e">
        <f>(K252-E252)/E252</f>
        <v>#N/A</v>
      </c>
      <c r="N252" s="39" t="e">
        <f>L252-F252</f>
        <v>#N/A</v>
      </c>
      <c r="O252" s="20">
        <f>SUMIFS([2]BV_Data_An_Prec!$AW:$AW,[2]BV_Data_An_Prec!$AP:$AP,$B252,[2]BV_Data_An_Prec!$AQ:$AQ,$C252,[2]BV_Data_An_Prec!$AY:$AY,O$2)</f>
        <v>364</v>
      </c>
      <c r="P252" s="105">
        <f>-SUMIFS([2]BV_Data_An_Prec!$AM:$AM,[2]BV_Data_An_Prec!$AS:$AS,"Oui",[2]BV_Data_An_Prec!$AP:$AP,$B252,[2]BV_Data_An_Prec!$AQ:$AQ,$C252)</f>
        <v>49083.510000000009</v>
      </c>
      <c r="Q252" s="39">
        <f>-SUMIFS([2]BV_Data_An_Prec!$AM:$AM,[2]BV_Data_An_Prec!$AP:$AP,$B252,[2]BV_Data_An_Prec!$AQ:$AQ,$C252,[2]BV_Data_An_Prec!$AR:$AR,$L$2)</f>
        <v>33279.23000000001</v>
      </c>
      <c r="R252" s="99">
        <f>IF(O252=0,0,J252/O252)</f>
        <v>1.0054945054945055</v>
      </c>
      <c r="S252" s="39">
        <f>L252-Q252</f>
        <v>15526.839999999953</v>
      </c>
      <c r="T252" s="9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spans="1:40" ht="15.75" customHeight="1">
      <c r="A253" s="410" t="s">
        <v>346</v>
      </c>
      <c r="B253" s="7" t="s">
        <v>78</v>
      </c>
      <c r="C253" s="26" t="s">
        <v>82</v>
      </c>
      <c r="D253" s="55"/>
      <c r="E253" s="91"/>
      <c r="F253" s="100" t="e">
        <f>F252/E252</f>
        <v>#N/A</v>
      </c>
      <c r="G253" s="40"/>
      <c r="H253" s="91"/>
      <c r="I253" s="100"/>
      <c r="J253" s="40"/>
      <c r="K253" s="91"/>
      <c r="L253" s="100">
        <f>IF(L252=0,0,L252/K252)</f>
        <v>0.74479323799639496</v>
      </c>
      <c r="M253" s="99"/>
      <c r="N253" s="39" t="e">
        <f>L253-F253</f>
        <v>#N/A</v>
      </c>
      <c r="O253" s="40"/>
      <c r="P253" s="91"/>
      <c r="Q253" s="100">
        <f>IF(Q252=0,0,Q252/P252)</f>
        <v>0.67801243228122854</v>
      </c>
      <c r="R253" s="40"/>
      <c r="S253" s="100">
        <f>IF(Q252=0,0,(S252/Q252))</f>
        <v>0.46656247755732172</v>
      </c>
      <c r="T253" s="9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spans="1:40" ht="15.75" customHeight="1">
      <c r="A254" s="410" t="s">
        <v>78</v>
      </c>
      <c r="B254" s="7" t="s">
        <v>78</v>
      </c>
      <c r="C254" s="26"/>
      <c r="D254" s="55"/>
      <c r="E254" s="312">
        <f>IFERROR(E252/D252,0)</f>
        <v>0</v>
      </c>
      <c r="F254" s="102"/>
      <c r="G254" s="103"/>
      <c r="H254" s="312"/>
      <c r="I254" s="102"/>
      <c r="J254" s="103"/>
      <c r="K254" s="312">
        <f>IFERROR(K252/J252,0)</f>
        <v>179.04286885245895</v>
      </c>
      <c r="L254" s="102"/>
      <c r="M254" s="104"/>
      <c r="N254" s="61"/>
      <c r="O254" s="103"/>
      <c r="P254" s="312">
        <f>IFERROR(P252/O252,0)</f>
        <v>134.84480769230771</v>
      </c>
      <c r="Q254" s="102"/>
      <c r="R254" s="103"/>
      <c r="S254" s="39"/>
      <c r="T254" s="97"/>
      <c r="U254" s="38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spans="1:40" ht="15.75" customHeight="1">
      <c r="A255" s="410" t="s">
        <v>349</v>
      </c>
      <c r="B255" s="7" t="s">
        <v>78</v>
      </c>
      <c r="C255" s="71" t="s">
        <v>85</v>
      </c>
      <c r="D255" s="105" t="e">
        <f>+INDEX('[2]Budget original'!$A$2:$AO$501,MATCH($A255,'[2]Budget original'!$A$2:$A$501,0),MATCH(D$2,'[2]Budget original'!$A$2:$AO$2,0))</f>
        <v>#N/A</v>
      </c>
      <c r="E255" s="55" t="e">
        <f>+INDEX('[2]Budget original'!$A$2:$AO$501,MATCH($A255,'[2]Budget original'!$A$2:$A$501,0),MATCH(E$2,'[2]Budget original'!$A$2:$AO$2,0))</f>
        <v>#N/A</v>
      </c>
      <c r="F255" s="55" t="e">
        <f>+INDEX('[2]Budget original'!$A$2:$AO$501,MATCH($A255,'[2]Budget original'!$A$2:$A$501,0),MATCH(F$2,'[2]Budget original'!$A$2:$AO$2,0))</f>
        <v>#N/A</v>
      </c>
      <c r="G255" s="106"/>
      <c r="H255" s="55"/>
      <c r="I255" s="55"/>
      <c r="J255" s="20">
        <f>SUMIFS([2]BV_Data_An_Cour!$AW:$AW,[2]BV_Data_An_Cour!$AP:$AP,$B255,[2]BV_Data_An_Cour!$AQ:$AQ,$C255,[2]BV_Data_An_Cour!$AY:$AY,J$2)</f>
        <v>0</v>
      </c>
      <c r="K255" s="105">
        <f>-SUMIFS([2]BV_Data_An_Cour!$AM:$AM,[2]BV_Data_An_Cour!$AS:$AS,"Oui",[2]BV_Data_An_Cour!$AP:$AP,$B255,[2]BV_Data_An_Cour!$AQ:$AQ,$C255)</f>
        <v>0</v>
      </c>
      <c r="L255" s="72">
        <f>-SUMIFS([2]BV_Data_An_Cour!$AM:$AM,[2]BV_Data_An_Cour!$AP:$AP,$B255,[2]BV_Data_An_Cour!$AQ:$AQ,$C255,[2]BV_Data_An_Cour!$AR:$AR,$L$2)</f>
        <v>0</v>
      </c>
      <c r="M255" s="109" t="e">
        <f>IF(E255=0,0,(K255-E255)/E255)</f>
        <v>#N/A</v>
      </c>
      <c r="N255" s="72" t="e">
        <f>L255-F255</f>
        <v>#N/A</v>
      </c>
      <c r="O255" s="20">
        <f>SUMIFS([2]BV_Data_An_Prec!$AW:$AW,[2]BV_Data_An_Prec!$AP:$AP,$B255,[2]BV_Data_An_Prec!$AQ:$AQ,$C255,[2]BV_Data_An_Prec!$AY:$AY,O$2)</f>
        <v>0</v>
      </c>
      <c r="P255" s="105">
        <f>-SUMIFS([2]BV_Data_An_Prec!$AM:$AM,[2]BV_Data_An_Prec!$AS:$AS,"Oui",[2]BV_Data_An_Prec!$AP:$AP,$B255,[2]BV_Data_An_Prec!$AQ:$AQ,$C255)</f>
        <v>0</v>
      </c>
      <c r="Q255" s="72">
        <f>-SUMIFS([2]BV_Data_An_Prec!$AM:$AM,[2]BV_Data_An_Prec!$AP:$AP,$B255,[2]BV_Data_An_Prec!$AQ:$AQ,$C255,[2]BV_Data_An_Prec!$AR:$AR,$L$2)</f>
        <v>0</v>
      </c>
      <c r="R255" s="99">
        <f>IF(O255=0,0,J255/O255)</f>
        <v>0</v>
      </c>
      <c r="S255" s="72">
        <f>L255-Q255</f>
        <v>0</v>
      </c>
      <c r="T255" s="97"/>
      <c r="U255" s="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spans="1:40" ht="15.75" customHeight="1">
      <c r="A256" s="410" t="s">
        <v>346</v>
      </c>
      <c r="B256" s="7" t="s">
        <v>78</v>
      </c>
      <c r="C256" s="26" t="s">
        <v>82</v>
      </c>
      <c r="D256" s="7"/>
      <c r="E256" s="91"/>
      <c r="F256" s="100">
        <f>IFERROR(F255/E255,0)</f>
        <v>0</v>
      </c>
      <c r="G256" s="26"/>
      <c r="H256" s="91"/>
      <c r="I256" s="100"/>
      <c r="J256" s="40"/>
      <c r="K256" s="91"/>
      <c r="L256" s="100">
        <f>IF(L255=0,0,L255/K255)</f>
        <v>0</v>
      </c>
      <c r="M256" s="40">
        <f>J256-D256</f>
        <v>0</v>
      </c>
      <c r="N256" s="39"/>
      <c r="O256" s="40"/>
      <c r="P256" s="91"/>
      <c r="Q256" s="100">
        <f>IF(Q255=0,0,Q255/P255)</f>
        <v>0</v>
      </c>
      <c r="R256" s="26"/>
      <c r="S256" s="100">
        <f>IF(Q255=0,0,(S255/Q255))</f>
        <v>0</v>
      </c>
      <c r="T256" s="420"/>
      <c r="U256" s="38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spans="1:40" ht="15.75" customHeight="1">
      <c r="A257" s="410" t="s">
        <v>78</v>
      </c>
      <c r="B257" s="7" t="s">
        <v>78</v>
      </c>
      <c r="C257" s="14"/>
      <c r="D257" s="73"/>
      <c r="E257" s="101"/>
      <c r="F257" s="102"/>
      <c r="G257" s="14"/>
      <c r="H257" s="101"/>
      <c r="I257" s="102"/>
      <c r="J257" s="103"/>
      <c r="K257" s="312">
        <f>IFERROR(K255/J255,0)</f>
        <v>0</v>
      </c>
      <c r="L257" s="102"/>
      <c r="M257" s="103"/>
      <c r="N257" s="61"/>
      <c r="O257" s="103"/>
      <c r="P257" s="312">
        <f>IFERROR(P255/O255,0)</f>
        <v>0</v>
      </c>
      <c r="Q257" s="102"/>
      <c r="R257" s="14"/>
      <c r="S257" s="61"/>
      <c r="T257" s="420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spans="1:40" ht="26.25" customHeight="1" thickBot="1">
      <c r="A258" s="410" t="s">
        <v>350</v>
      </c>
      <c r="B258" s="7" t="s">
        <v>78</v>
      </c>
      <c r="C258" s="26" t="s">
        <v>86</v>
      </c>
      <c r="D258" s="7"/>
      <c r="E258" s="7"/>
      <c r="F258" s="39" t="e">
        <f>+INDEX('[2]Budget original'!$A$2:$AO$501,MATCH($A258,'[2]Budget original'!$A$2:$A$501,0),MATCH(F$2,'[2]Budget original'!$A$2:$AO$2,0))</f>
        <v>#N/A</v>
      </c>
      <c r="G258" s="26"/>
      <c r="H258" s="55"/>
      <c r="I258" s="55"/>
      <c r="J258" s="40"/>
      <c r="K258" s="55"/>
      <c r="L258" s="55">
        <f>-SUMIFS([2]BV_Data_An_Cour!$AM:$AM,[2]BV_Data_An_Cour!$AP:$AP,$B258,[2]BV_Data_An_Cour!$AQ:$AQ,$C258,[2]BV_Data_An_Cour!$AR:$AR,$L$2)</f>
        <v>-5394.6400000000012</v>
      </c>
      <c r="M258" s="40"/>
      <c r="N258" s="39" t="e">
        <f>L258-F258</f>
        <v>#N/A</v>
      </c>
      <c r="O258" s="40"/>
      <c r="P258" s="55"/>
      <c r="Q258" s="55">
        <f>-SUMIFS([2]BV_Data_An_Prec!$AM:$AM,[2]BV_Data_An_Prec!$AP:$AP,$B258,[2]BV_Data_An_Prec!$AQ:$AQ,$C258,[2]BV_Data_An_Prec!$AR:$AR,$L$2)</f>
        <v>1303.8599999999969</v>
      </c>
      <c r="R258" s="313"/>
      <c r="S258" s="39">
        <f t="shared" ref="S258:S259" si="39">L258-Q258</f>
        <v>-6698.4999999999982</v>
      </c>
      <c r="T258" s="6"/>
      <c r="U258" s="6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spans="1:40" ht="19.95" customHeight="1" thickTop="1">
      <c r="A259" s="410" t="s">
        <v>351</v>
      </c>
      <c r="B259" s="7" t="s">
        <v>78</v>
      </c>
      <c r="C259" s="314" t="s">
        <v>87</v>
      </c>
      <c r="D259" s="116" t="e">
        <f>D246+D249+D252+D255+D258</f>
        <v>#N/A</v>
      </c>
      <c r="E259" s="116" t="e">
        <f>E246+E249+E252+E255+E258</f>
        <v>#N/A</v>
      </c>
      <c r="F259" s="117" t="e">
        <f>F246+F249+F252+F255+F258</f>
        <v>#N/A</v>
      </c>
      <c r="G259" s="118"/>
      <c r="H259" s="116"/>
      <c r="I259" s="117"/>
      <c r="J259" s="315">
        <f t="shared" ref="J259:K259" si="40">J246+J249+J252+J255+J258</f>
        <v>932</v>
      </c>
      <c r="K259" s="316">
        <f t="shared" si="40"/>
        <v>167407.67999999993</v>
      </c>
      <c r="L259" s="317">
        <f>L246+L249+L252+L255+L258</f>
        <v>110128.83999999995</v>
      </c>
      <c r="M259" s="318" t="e">
        <f>(K259-E259)/E259</f>
        <v>#N/A</v>
      </c>
      <c r="N259" s="317" t="e">
        <f>L259-F259</f>
        <v>#N/A</v>
      </c>
      <c r="O259" s="315">
        <f t="shared" ref="O259:P259" si="41">O246+O249+O252+O255+O258</f>
        <v>866</v>
      </c>
      <c r="P259" s="316">
        <f t="shared" si="41"/>
        <v>187862.61999999994</v>
      </c>
      <c r="Q259" s="317">
        <f>Q246+Q249+Q252+Q255+Q258</f>
        <v>139996.06999999995</v>
      </c>
      <c r="R259" s="27">
        <f>IF(O259=0,0,J259/O259)</f>
        <v>1.0762124711316396</v>
      </c>
      <c r="S259" s="117">
        <f t="shared" si="39"/>
        <v>-29867.229999999996</v>
      </c>
      <c r="T259" s="420"/>
      <c r="U259" s="6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spans="1:40" ht="15.75" customHeight="1">
      <c r="A260" s="410" t="s">
        <v>352</v>
      </c>
      <c r="B260" s="7" t="s">
        <v>78</v>
      </c>
      <c r="C260" s="319" t="s">
        <v>88</v>
      </c>
      <c r="D260" s="119"/>
      <c r="E260" s="320"/>
      <c r="F260" s="120" t="e">
        <f>F259/E259</f>
        <v>#N/A</v>
      </c>
      <c r="G260" s="121"/>
      <c r="H260" s="320"/>
      <c r="I260" s="28"/>
      <c r="J260" s="114"/>
      <c r="K260" s="321">
        <f>IF(J259=0,0,K259/J259)</f>
        <v>179.62197424892696</v>
      </c>
      <c r="L260" s="28">
        <f>IF(L259=0,0,L259/K259)</f>
        <v>0.6578481943002854</v>
      </c>
      <c r="M260" s="114"/>
      <c r="N260" s="107" t="e">
        <f>N259/F259</f>
        <v>#N/A</v>
      </c>
      <c r="O260" s="114"/>
      <c r="P260" s="321">
        <f>IF(O259=0,0,P259/O259)</f>
        <v>216.93143187066968</v>
      </c>
      <c r="Q260" s="28">
        <f>IF(Q259=0,0,Q259/P259)</f>
        <v>0.74520450103378733</v>
      </c>
      <c r="R260" s="121"/>
      <c r="S260" s="28">
        <f>S259/Q259</f>
        <v>-0.21334334599535548</v>
      </c>
      <c r="T260" s="420"/>
      <c r="U260" s="6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spans="1:40" ht="15.75" customHeight="1">
      <c r="A261" s="410" t="s">
        <v>78</v>
      </c>
      <c r="B261" s="7" t="s">
        <v>78</v>
      </c>
      <c r="C261" s="71"/>
      <c r="D261" s="105"/>
      <c r="E261" s="322"/>
      <c r="F261" s="72"/>
      <c r="G261" s="106"/>
      <c r="H261" s="322"/>
      <c r="I261" s="72"/>
      <c r="J261" s="106"/>
      <c r="K261" s="322"/>
      <c r="L261" s="72"/>
      <c r="M261" s="106"/>
      <c r="N261" s="72"/>
      <c r="O261" s="106"/>
      <c r="P261" s="322"/>
      <c r="Q261" s="72"/>
      <c r="R261" s="106"/>
      <c r="S261" s="72"/>
      <c r="T261" s="420"/>
      <c r="U261" s="6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spans="1:40" ht="19.5" customHeight="1">
      <c r="A262" s="410" t="s">
        <v>353</v>
      </c>
      <c r="B262" s="7" t="s">
        <v>78</v>
      </c>
      <c r="C262" s="26" t="s">
        <v>89</v>
      </c>
      <c r="D262" s="55"/>
      <c r="E262" s="55" t="e">
        <f>+INDEX('[2]Budget original'!$A$2:$AO$501,MATCH($A262,'[2]Budget original'!$A$2:$A$501,0),MATCH(E$2,'[2]Budget original'!$A$2:$AO$2,0))</f>
        <v>#N/A</v>
      </c>
      <c r="F262" s="55" t="e">
        <f>+INDEX('[2]Budget original'!$A$2:$AO$501,MATCH($A262,'[2]Budget original'!$A$2:$A$501,0),MATCH(F$2,'[2]Budget original'!$A$2:$AO$2,0))</f>
        <v>#N/A</v>
      </c>
      <c r="G262" s="40"/>
      <c r="H262" s="55"/>
      <c r="I262" s="55"/>
      <c r="J262" s="20">
        <f>SUMIFS([2]BV_Data_An_Cour!$AW:$AW,[2]BV_Data_An_Cour!$AP:$AP,$B262,[2]BV_Data_An_Cour!$AQ:$AQ,$C262,[2]BV_Data_An_Cour!$AY:$AY,J$2)</f>
        <v>240</v>
      </c>
      <c r="K262" s="55">
        <f>-SUMIFS([2]BV_Data_An_Cour!$AM:$AM,[2]BV_Data_An_Cour!$AS:$AS,"Oui",[2]BV_Data_An_Cour!$AP:$AP,$B262,[2]BV_Data_An_Cour!$AQ:$AQ,$C262)</f>
        <v>19494.560000000005</v>
      </c>
      <c r="L262" s="39">
        <f>-SUMIFS([2]BV_Data_An_Cour!$AM:$AM,[2]BV_Data_An_Cour!$AP:$AP,$B262,[2]BV_Data_An_Cour!$AQ:$AQ,$C262,[2]BV_Data_An_Cour!$AR:$AR,$L$2)</f>
        <v>2169.0400000000027</v>
      </c>
      <c r="M262" s="99" t="e">
        <f>IF(E262=0,0,(K262-E262)/E262)</f>
        <v>#N/A</v>
      </c>
      <c r="N262" s="39" t="e">
        <f>L262-F262</f>
        <v>#N/A</v>
      </c>
      <c r="O262" s="20">
        <f>SUMIFS([2]BV_Data_An_Prec!$AW:$AW,[2]BV_Data_An_Prec!$AP:$AP,$B262,[2]BV_Data_An_Prec!$AQ:$AQ,$C262,[2]BV_Data_An_Prec!$AY:$AY,O$2)</f>
        <v>300</v>
      </c>
      <c r="P262" s="55">
        <f>-SUMIFS([2]BV_Data_An_Prec!$AM:$AM,[2]BV_Data_An_Prec!$AS:$AS,"Oui",[2]BV_Data_An_Prec!$AP:$AP,$B262,[2]BV_Data_An_Prec!$AQ:$AQ,$C262)</f>
        <v>27288.230000000025</v>
      </c>
      <c r="Q262" s="39">
        <f>-SUMIFS([2]BV_Data_An_Prec!$AM:$AM,[2]BV_Data_An_Prec!$AP:$AP,$B262,[2]BV_Data_An_Prec!$AQ:$AQ,$C262,[2]BV_Data_An_Prec!$AR:$AR,$L$2)</f>
        <v>4350.6100000000315</v>
      </c>
      <c r="R262" s="99">
        <f>IF(O262=0,0,J262/O262)</f>
        <v>0.8</v>
      </c>
      <c r="S262" s="39">
        <f>L262-Q262</f>
        <v>-2181.5700000000288</v>
      </c>
      <c r="T262" s="420"/>
      <c r="U262" s="6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spans="1:40" ht="21" customHeight="1">
      <c r="A263" s="410" t="s">
        <v>346</v>
      </c>
      <c r="B263" s="7" t="s">
        <v>78</v>
      </c>
      <c r="C263" s="26" t="s">
        <v>82</v>
      </c>
      <c r="D263" s="7"/>
      <c r="E263" s="91"/>
      <c r="F263" s="100">
        <f>IFERROR(F262/E262,0)</f>
        <v>0</v>
      </c>
      <c r="G263" s="26"/>
      <c r="H263" s="91"/>
      <c r="I263" s="100"/>
      <c r="J263" s="40"/>
      <c r="K263" s="91"/>
      <c r="L263" s="100">
        <f>IF(L262=0,0,L262/K262)</f>
        <v>0.11126386027691838</v>
      </c>
      <c r="M263" s="40"/>
      <c r="N263" s="39"/>
      <c r="O263" s="40"/>
      <c r="P263" s="91"/>
      <c r="Q263" s="100">
        <f>IF(Q262=0,0,Q262/P262)</f>
        <v>0.15943174035106078</v>
      </c>
      <c r="R263" s="40"/>
      <c r="S263" s="100">
        <f>IF(Q262=0,0,(S262/Q262))</f>
        <v>-0.50144002795010656</v>
      </c>
      <c r="T263" s="420"/>
      <c r="U263" s="6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spans="1:40" ht="21" hidden="1" customHeight="1">
      <c r="A264" s="410" t="s">
        <v>78</v>
      </c>
      <c r="B264" s="7" t="s">
        <v>78</v>
      </c>
      <c r="C264" s="26"/>
      <c r="D264" s="7"/>
      <c r="E264" s="91"/>
      <c r="F264" s="100"/>
      <c r="G264" s="26"/>
      <c r="H264" s="91"/>
      <c r="I264" s="100"/>
      <c r="J264" s="111"/>
      <c r="K264" s="110"/>
      <c r="L264" s="100"/>
      <c r="M264" s="111"/>
      <c r="N264" s="112"/>
      <c r="O264" s="111"/>
      <c r="P264" s="110"/>
      <c r="Q264" s="100"/>
      <c r="R264" s="111"/>
      <c r="S264" s="112"/>
      <c r="T264" s="420"/>
      <c r="U264" s="6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spans="1:40" ht="21" hidden="1" customHeight="1">
      <c r="A265" s="410" t="s">
        <v>354</v>
      </c>
      <c r="B265" s="7" t="s">
        <v>78</v>
      </c>
      <c r="C265" s="26" t="s">
        <v>90</v>
      </c>
      <c r="D265" s="7"/>
      <c r="E265" s="55" t="e">
        <f>+INDEX('[2]Budget original'!$A$2:$AO$501,MATCH($A265,'[2]Budget original'!$A$2:$A$501,0),MATCH(E$2,'[2]Budget original'!$A$2:$AO$2,0))</f>
        <v>#N/A</v>
      </c>
      <c r="F265" s="55" t="e">
        <f>+INDEX('[2]Budget original'!$A$2:$AO$501,MATCH($A265,'[2]Budget original'!$A$2:$A$501,0),MATCH(F$2,'[2]Budget original'!$A$2:$AO$2,0))</f>
        <v>#N/A</v>
      </c>
      <c r="G265" s="26"/>
      <c r="H265" s="55"/>
      <c r="I265" s="55"/>
      <c r="J265" s="20">
        <f>SUMIFS([2]BV_Data_An_Cour!$AW:$AW,[2]BV_Data_An_Cour!$AP:$AP,$B265,[2]BV_Data_An_Cour!$AQ:$AQ,$C265,[2]BV_Data_An_Cour!$AY:$AY,J$2)</f>
        <v>0</v>
      </c>
      <c r="K265" s="19">
        <f>-SUMIFS([2]BV_Data_An_Cour!$AM:$AM,[2]BV_Data_An_Cour!$AS:$AS,"Oui",[2]BV_Data_An_Cour!$AP:$AP,$B265,[2]BV_Data_An_Cour!$AQ:$AQ,$C265)</f>
        <v>0</v>
      </c>
      <c r="L265" s="21">
        <f>-SUMIFS([2]BV_Data_An_Cour!$AM:$AM,[2]BV_Data_An_Cour!$AP:$AP,$B265,[2]BV_Data_An_Cour!$AQ:$AQ,$C265,[2]BV_Data_An_Cour!$AR:$AR,$L$2)</f>
        <v>0</v>
      </c>
      <c r="M265" s="99" t="e">
        <f>IF(E265=0,0,(K265-E265)/E265)</f>
        <v>#N/A</v>
      </c>
      <c r="N265" s="39" t="e">
        <f>L265-F265</f>
        <v>#N/A</v>
      </c>
      <c r="O265" s="20">
        <f>SUMIFS([2]BV_Data_An_Prec!$AW:$AW,[2]BV_Data_An_Prec!$AP:$AP,$B265,[2]BV_Data_An_Prec!$AQ:$AQ,$C265,[2]BV_Data_An_Prec!$AY:$AY,O$2)</f>
        <v>0</v>
      </c>
      <c r="P265" s="19">
        <f>-SUMIFS([2]BV_Data_An_Prec!$AM:$AM,[2]BV_Data_An_Prec!$AS:$AS,"Oui",[2]BV_Data_An_Prec!$AP:$AP,$B265,[2]BV_Data_An_Prec!$AQ:$AQ,$C265)</f>
        <v>0</v>
      </c>
      <c r="Q265" s="21">
        <f>-SUMIFS([2]BV_Data_An_Prec!$AM:$AM,[2]BV_Data_An_Prec!$AP:$AP,$B265,[2]BV_Data_An_Prec!$AQ:$AQ,$C265,[2]BV_Data_An_Prec!$AR:$AR,$L$2)</f>
        <v>0</v>
      </c>
      <c r="R265" s="99">
        <f>IF(O265=0,0,J265/O265)</f>
        <v>0</v>
      </c>
      <c r="S265" s="39">
        <f>L265-Q265</f>
        <v>0</v>
      </c>
      <c r="T265" s="420"/>
      <c r="U265" s="6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spans="1:40" ht="21" hidden="1" customHeight="1">
      <c r="A266" s="410" t="s">
        <v>346</v>
      </c>
      <c r="B266" s="7" t="s">
        <v>78</v>
      </c>
      <c r="C266" s="26" t="s">
        <v>82</v>
      </c>
      <c r="D266" s="7"/>
      <c r="E266" s="91"/>
      <c r="F266" s="100" t="e">
        <f>IF(F265=0,0,F265/E265)</f>
        <v>#N/A</v>
      </c>
      <c r="G266" s="26"/>
      <c r="H266" s="91"/>
      <c r="I266" s="100"/>
      <c r="J266" s="111"/>
      <c r="K266" s="110"/>
      <c r="L266" s="100">
        <f>IF(L265=0,0,L265/K265)</f>
        <v>0</v>
      </c>
      <c r="M266" s="111"/>
      <c r="N266" s="112"/>
      <c r="O266" s="111"/>
      <c r="P266" s="110"/>
      <c r="Q266" s="100">
        <f>IF(Q265=0,0,Q265/P265)</f>
        <v>0</v>
      </c>
      <c r="R266" s="111"/>
      <c r="S266" s="112"/>
      <c r="T266" s="420"/>
      <c r="U266" s="383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spans="1:40" ht="15.75" customHeight="1" thickBot="1">
      <c r="A267" s="410" t="s">
        <v>78</v>
      </c>
      <c r="B267" s="7" t="s">
        <v>78</v>
      </c>
      <c r="C267" s="323"/>
      <c r="D267" s="125"/>
      <c r="E267" s="126"/>
      <c r="F267" s="127"/>
      <c r="G267" s="128"/>
      <c r="H267" s="126"/>
      <c r="I267" s="127"/>
      <c r="J267" s="128"/>
      <c r="K267" s="126"/>
      <c r="L267" s="127"/>
      <c r="M267" s="128"/>
      <c r="N267" s="127"/>
      <c r="O267" s="128"/>
      <c r="P267" s="126"/>
      <c r="Q267" s="127"/>
      <c r="R267" s="128"/>
      <c r="S267" s="127"/>
      <c r="T267" s="420"/>
      <c r="U267" s="6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spans="1:40" ht="18" customHeight="1" thickTop="1">
      <c r="A268" s="410" t="s">
        <v>355</v>
      </c>
      <c r="B268" s="7" t="s">
        <v>78</v>
      </c>
      <c r="C268" s="264" t="s">
        <v>91</v>
      </c>
      <c r="D268" s="41"/>
      <c r="E268" s="42" t="e">
        <f>E259+E262+E265</f>
        <v>#N/A</v>
      </c>
      <c r="F268" s="43" t="e">
        <f>F259+F262+F265</f>
        <v>#N/A</v>
      </c>
      <c r="G268" s="44"/>
      <c r="H268" s="42"/>
      <c r="I268" s="43"/>
      <c r="J268" s="44"/>
      <c r="K268" s="41">
        <f t="shared" ref="K268" si="42">K259+K262+K265</f>
        <v>186902.23999999993</v>
      </c>
      <c r="L268" s="43">
        <f>L259+L262+L265</f>
        <v>112297.87999999996</v>
      </c>
      <c r="M268" s="44" t="e">
        <f>L269-F269</f>
        <v>#N/A</v>
      </c>
      <c r="N268" s="43" t="e">
        <f>L268-F268</f>
        <v>#N/A</v>
      </c>
      <c r="O268" s="44"/>
      <c r="P268" s="41">
        <f t="shared" ref="P268" si="43">P259+P262+P265</f>
        <v>215150.84999999998</v>
      </c>
      <c r="Q268" s="43">
        <f>Q259+Q262+Q265</f>
        <v>144346.68</v>
      </c>
      <c r="R268" s="44"/>
      <c r="S268" s="43">
        <f>L268-Q268</f>
        <v>-32048.800000000032</v>
      </c>
      <c r="T268" s="6"/>
      <c r="U268" s="6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spans="1:40" ht="22.5" customHeight="1" thickBot="1">
      <c r="A269" s="410" t="s">
        <v>78</v>
      </c>
      <c r="B269" s="7" t="s">
        <v>78</v>
      </c>
      <c r="C269" s="47"/>
      <c r="D269" s="45"/>
      <c r="E269" s="45"/>
      <c r="F269" s="46" t="e">
        <f>F268/E268</f>
        <v>#N/A</v>
      </c>
      <c r="G269" s="47"/>
      <c r="H269" s="45"/>
      <c r="I269" s="46"/>
      <c r="J269" s="47"/>
      <c r="K269" s="265"/>
      <c r="L269" s="267">
        <f>L268/K268</f>
        <v>0.60083752875299945</v>
      </c>
      <c r="M269" s="48"/>
      <c r="N269" s="49" t="e">
        <f>N268/F268</f>
        <v>#N/A</v>
      </c>
      <c r="O269" s="47"/>
      <c r="P269" s="265"/>
      <c r="Q269" s="267">
        <f>Q268/P268</f>
        <v>0.67090917837415009</v>
      </c>
      <c r="R269" s="48"/>
      <c r="S269" s="267">
        <f>L268/S268</f>
        <v>-3.5039652030653206</v>
      </c>
      <c r="T269" s="6"/>
      <c r="U269" s="6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spans="1:40" ht="15.75" customHeight="1" thickTop="1">
      <c r="A270" s="410" t="s">
        <v>78</v>
      </c>
      <c r="B270" s="7" t="s">
        <v>78</v>
      </c>
      <c r="C270" s="52"/>
      <c r="D270" s="50"/>
      <c r="E270" s="50"/>
      <c r="F270" s="28"/>
      <c r="G270" s="52"/>
      <c r="H270" s="50"/>
      <c r="I270" s="28"/>
      <c r="J270" s="52"/>
      <c r="K270" s="74"/>
      <c r="L270" s="28"/>
      <c r="M270" s="27"/>
      <c r="N270" s="28"/>
      <c r="O270" s="52"/>
      <c r="P270" s="74"/>
      <c r="Q270" s="28"/>
      <c r="R270" s="27"/>
      <c r="S270" s="28"/>
      <c r="T270" s="381"/>
      <c r="U270" s="6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spans="1:40" ht="15.75" customHeight="1">
      <c r="A271" s="410" t="s">
        <v>356</v>
      </c>
      <c r="B271" s="7" t="s">
        <v>78</v>
      </c>
      <c r="C271" s="268" t="s">
        <v>29</v>
      </c>
      <c r="D271" s="7"/>
      <c r="E271" s="7"/>
      <c r="F271" s="39"/>
      <c r="G271" s="26"/>
      <c r="H271" s="7"/>
      <c r="I271" s="39"/>
      <c r="J271" s="26"/>
      <c r="K271" s="7"/>
      <c r="L271" s="25"/>
      <c r="M271" s="26"/>
      <c r="N271" s="25"/>
      <c r="O271" s="26"/>
      <c r="P271" s="7"/>
      <c r="Q271" s="25"/>
      <c r="R271" s="26"/>
      <c r="S271" s="25"/>
      <c r="T271" s="6"/>
      <c r="U271" s="6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spans="1:40" ht="15.75" customHeight="1">
      <c r="A272" s="410" t="s">
        <v>357</v>
      </c>
      <c r="B272" s="7" t="s">
        <v>78</v>
      </c>
      <c r="C272" s="271" t="s">
        <v>40</v>
      </c>
      <c r="D272" s="7"/>
      <c r="E272" s="7"/>
      <c r="F272" s="19" t="e">
        <f>+INDEX('[2]Budget original'!$A$2:$AO$501,MATCH($A272,'[2]Budget original'!$A$2:$A$501,0),MATCH(F$2,'[2]Budget original'!$A$2:$AO$2,0))</f>
        <v>#N/A</v>
      </c>
      <c r="G272" s="26"/>
      <c r="H272" s="7"/>
      <c r="I272" s="19"/>
      <c r="J272" s="26"/>
      <c r="K272" s="7"/>
      <c r="L272" s="39">
        <f>SUMIFS([2]BV_Data_An_Cour!$AM:$AM,[2]BV_Data_An_Cour!$AP:$AP,$B272,[2]BV_Data_An_Cour!$AQ:$AQ,$C272,[2]BV_Data_An_Cour!$AR:$AR,$L$2)</f>
        <v>6514.1000000000058</v>
      </c>
      <c r="M272" s="26"/>
      <c r="N272" s="39" t="e">
        <f t="shared" ref="N272:N303" si="44">L272-F272</f>
        <v>#N/A</v>
      </c>
      <c r="O272" s="26"/>
      <c r="P272" s="7"/>
      <c r="Q272" s="39">
        <f>SUMIFS([2]BV_Data_An_Prec!$AM:$AM,[2]BV_Data_An_Prec!$AP:$AP,$B272,[2]BV_Data_An_Prec!$AQ:$AQ,$C272,[2]BV_Data_An_Prec!$AR:$AR,$L$2)</f>
        <v>16125.249999999993</v>
      </c>
      <c r="R272" s="26"/>
      <c r="S272" s="39">
        <f t="shared" ref="S272:S303" si="45">L272-Q272</f>
        <v>-9611.1499999999869</v>
      </c>
      <c r="T272" s="6"/>
      <c r="U272" s="6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spans="1:40" ht="15.75" customHeight="1">
      <c r="A273" s="410" t="s">
        <v>358</v>
      </c>
      <c r="B273" s="7" t="s">
        <v>78</v>
      </c>
      <c r="C273" s="272" t="s">
        <v>41</v>
      </c>
      <c r="D273" s="54"/>
      <c r="E273" s="7"/>
      <c r="F273" s="31" t="e">
        <f>+INDEX('[2]Budget original'!$A$2:$AO$501,MATCH($A273,'[2]Budget original'!$A$2:$A$501,0),MATCH(F$2,'[2]Budget original'!$A$2:$AO$2,0))</f>
        <v>#N/A</v>
      </c>
      <c r="G273" s="56"/>
      <c r="H273" s="7"/>
      <c r="I273" s="31"/>
      <c r="J273" s="26"/>
      <c r="K273" s="7"/>
      <c r="L273" s="39">
        <f>SUMIFS([2]BV_Data_An_Cour!$AM:$AM,[2]BV_Data_An_Cour!$AP:$AP,$B273,[2]BV_Data_An_Cour!$AQ:$AQ,$C273,[2]BV_Data_An_Cour!$AR:$AR,$L$2)</f>
        <v>6348.109999999986</v>
      </c>
      <c r="M273" s="26"/>
      <c r="N273" s="39" t="e">
        <f t="shared" si="44"/>
        <v>#N/A</v>
      </c>
      <c r="O273" s="26"/>
      <c r="P273" s="7"/>
      <c r="Q273" s="39">
        <f>SUMIFS([2]BV_Data_An_Prec!$AM:$AM,[2]BV_Data_An_Prec!$AP:$AP,$B273,[2]BV_Data_An_Prec!$AQ:$AQ,$C273,[2]BV_Data_An_Prec!$AR:$AR,$L$2)</f>
        <v>23476.550000000017</v>
      </c>
      <c r="R273" s="26"/>
      <c r="S273" s="39">
        <f t="shared" si="45"/>
        <v>-17128.440000000031</v>
      </c>
      <c r="T273" s="6"/>
      <c r="U273" s="6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spans="1:40" ht="20.399999999999999">
      <c r="A274" s="410" t="s">
        <v>359</v>
      </c>
      <c r="B274" s="7" t="s">
        <v>78</v>
      </c>
      <c r="C274" s="271" t="s">
        <v>42</v>
      </c>
      <c r="D274" s="68"/>
      <c r="E274" s="69"/>
      <c r="F274" s="19" t="e">
        <f>+INDEX('[2]Budget original'!$A$2:$AO$501,MATCH($A274,'[2]Budget original'!$A$2:$A$501,0),MATCH(F$2,'[2]Budget original'!$A$2:$AO$2,0))</f>
        <v>#N/A</v>
      </c>
      <c r="G274" s="70"/>
      <c r="H274" s="69"/>
      <c r="I274" s="19"/>
      <c r="J274" s="71"/>
      <c r="K274" s="69"/>
      <c r="L274" s="72">
        <f>SUMIFS([2]BV_Data_An_Cour!$AM:$AM,[2]BV_Data_An_Cour!$AP:$AP,$B274,[2]BV_Data_An_Cour!$AQ:$AQ,$C274,[2]BV_Data_An_Cour!$AR:$AR,$L$2)</f>
        <v>11770.770000000004</v>
      </c>
      <c r="M274" s="71"/>
      <c r="N274" s="72" t="e">
        <f t="shared" si="44"/>
        <v>#N/A</v>
      </c>
      <c r="O274" s="71"/>
      <c r="P274" s="69"/>
      <c r="Q274" s="72">
        <f>SUMIFS([2]BV_Data_An_Prec!$AM:$AM,[2]BV_Data_An_Prec!$AP:$AP,$B274,[2]BV_Data_An_Prec!$AQ:$AQ,$C274,[2]BV_Data_An_Prec!$AR:$AR,$L$2)</f>
        <v>27417.919999999984</v>
      </c>
      <c r="R274" s="71"/>
      <c r="S274" s="72">
        <f t="shared" si="45"/>
        <v>-15647.14999999998</v>
      </c>
      <c r="T274" s="6"/>
      <c r="U274" s="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spans="1:40" ht="20.399999999999999">
      <c r="A275" s="410" t="s">
        <v>360</v>
      </c>
      <c r="B275" s="7" t="s">
        <v>78</v>
      </c>
      <c r="C275" s="271" t="s">
        <v>43</v>
      </c>
      <c r="D275" s="54"/>
      <c r="E275" s="324" t="e">
        <f>F275/E246</f>
        <v>#N/A</v>
      </c>
      <c r="F275" s="19" t="e">
        <f>+INDEX('[2]Budget original'!$A$2:$AO$501,MATCH($A275,'[2]Budget original'!$A$2:$A$501,0),MATCH(F$2,'[2]Budget original'!$A$2:$AO$2,0))</f>
        <v>#N/A</v>
      </c>
      <c r="G275" s="56"/>
      <c r="H275" s="7"/>
      <c r="I275" s="19"/>
      <c r="J275" s="26"/>
      <c r="K275" s="325"/>
      <c r="L275" s="39">
        <f>SUMIFS([2]BV_Data_An_Cour!$AM:$AM,[2]BV_Data_An_Cour!$AP:$AP,$B275,[2]BV_Data_An_Cour!$AQ:$AQ,$C275,[2]BV_Data_An_Cour!$AR:$AR,$L$2)</f>
        <v>9149.14</v>
      </c>
      <c r="M275" s="26"/>
      <c r="N275" s="39" t="e">
        <f t="shared" si="44"/>
        <v>#N/A</v>
      </c>
      <c r="O275" s="26"/>
      <c r="P275" s="325"/>
      <c r="Q275" s="39">
        <f>SUMIFS([2]BV_Data_An_Prec!$AM:$AM,[2]BV_Data_An_Prec!$AP:$AP,$B275,[2]BV_Data_An_Prec!$AQ:$AQ,$C275,[2]BV_Data_An_Prec!$AR:$AR,$L$2)</f>
        <v>0</v>
      </c>
      <c r="R275" s="26"/>
      <c r="S275" s="39">
        <f t="shared" si="45"/>
        <v>9149.14</v>
      </c>
      <c r="T275" s="6"/>
      <c r="U275" s="6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spans="1:40" ht="20.399999999999999" hidden="1" customHeight="1">
      <c r="A276" s="410" t="s">
        <v>361</v>
      </c>
      <c r="B276" s="7" t="s">
        <v>78</v>
      </c>
      <c r="C276" s="26" t="s">
        <v>19</v>
      </c>
      <c r="D276" s="54"/>
      <c r="E276" s="7"/>
      <c r="F276" s="19" t="e">
        <f>+INDEX('[2]Budget original'!$A$2:$AO$501,MATCH($A276,'[2]Budget original'!$A$2:$A$501,0),MATCH(F$2,'[2]Budget original'!$A$2:$AO$2,0))</f>
        <v>#N/A</v>
      </c>
      <c r="G276" s="56"/>
      <c r="H276" s="7"/>
      <c r="I276" s="19"/>
      <c r="J276" s="26"/>
      <c r="K276" s="7"/>
      <c r="L276" s="39">
        <f>SUMIFS([2]BV_Data_An_Cour!$AM:$AM,[2]BV_Data_An_Cour!$AP:$AP,$B276,[2]BV_Data_An_Cour!$AQ:$AQ,$C276,[2]BV_Data_An_Cour!$AR:$AR,$L$2)</f>
        <v>0</v>
      </c>
      <c r="M276" s="26"/>
      <c r="N276" s="39" t="e">
        <f t="shared" si="44"/>
        <v>#N/A</v>
      </c>
      <c r="O276" s="26"/>
      <c r="P276" s="7"/>
      <c r="Q276" s="39">
        <f>SUMIFS([2]BV_Data_An_Prec!$AM:$AM,[2]BV_Data_An_Prec!$AP:$AP,$B276,[2]BV_Data_An_Prec!$AQ:$AQ,$C276,[2]BV_Data_An_Prec!$AR:$AR,$L$2)</f>
        <v>0</v>
      </c>
      <c r="R276" s="26"/>
      <c r="S276" s="39">
        <f t="shared" si="45"/>
        <v>0</v>
      </c>
      <c r="T276" s="6"/>
      <c r="U276" s="6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spans="1:40" ht="20.399999999999999" hidden="1" customHeight="1">
      <c r="A277" s="410" t="s">
        <v>361</v>
      </c>
      <c r="B277" s="7" t="s">
        <v>78</v>
      </c>
      <c r="C277" s="26" t="s">
        <v>19</v>
      </c>
      <c r="D277" s="54"/>
      <c r="E277" s="7"/>
      <c r="F277" s="19" t="e">
        <f>+INDEX('[2]Budget original'!$A$2:$AO$501,MATCH($A277,'[2]Budget original'!$A$2:$A$501,0),MATCH(F$2,'[2]Budget original'!$A$2:$AO$2,0))</f>
        <v>#N/A</v>
      </c>
      <c r="G277" s="56"/>
      <c r="H277" s="7"/>
      <c r="I277" s="19"/>
      <c r="J277" s="26"/>
      <c r="K277" s="7"/>
      <c r="L277" s="39">
        <f>SUMIFS([2]BV_Data_An_Cour!$AM:$AM,[2]BV_Data_An_Cour!$AP:$AP,$B277,[2]BV_Data_An_Cour!$AQ:$AQ,$C277,[2]BV_Data_An_Cour!$AR:$AR,$L$2)</f>
        <v>0</v>
      </c>
      <c r="M277" s="26"/>
      <c r="N277" s="39" t="e">
        <f t="shared" si="44"/>
        <v>#N/A</v>
      </c>
      <c r="O277" s="26"/>
      <c r="P277" s="7"/>
      <c r="Q277" s="39">
        <f>SUMIFS([2]BV_Data_An_Prec!$AM:$AM,[2]BV_Data_An_Prec!$AP:$AP,$B277,[2]BV_Data_An_Prec!$AQ:$AQ,$C277,[2]BV_Data_An_Prec!$AR:$AR,$L$2)</f>
        <v>0</v>
      </c>
      <c r="R277" s="26"/>
      <c r="S277" s="39">
        <f t="shared" si="45"/>
        <v>0</v>
      </c>
      <c r="T277" s="6"/>
      <c r="U277" s="6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spans="1:40" ht="20.399999999999999" hidden="1" customHeight="1">
      <c r="A278" s="410" t="s">
        <v>361</v>
      </c>
      <c r="B278" s="7" t="s">
        <v>78</v>
      </c>
      <c r="C278" s="26" t="s">
        <v>19</v>
      </c>
      <c r="D278" s="54"/>
      <c r="E278" s="7"/>
      <c r="F278" s="19" t="e">
        <f>+INDEX('[2]Budget original'!$A$2:$AO$501,MATCH($A278,'[2]Budget original'!$A$2:$A$501,0),MATCH(F$2,'[2]Budget original'!$A$2:$AO$2,0))</f>
        <v>#N/A</v>
      </c>
      <c r="G278" s="56"/>
      <c r="H278" s="7"/>
      <c r="I278" s="19"/>
      <c r="J278" s="26"/>
      <c r="K278" s="7"/>
      <c r="L278" s="39">
        <f>SUMIFS([2]BV_Data_An_Cour!$AM:$AM,[2]BV_Data_An_Cour!$AP:$AP,$B278,[2]BV_Data_An_Cour!$AQ:$AQ,$C278,[2]BV_Data_An_Cour!$AR:$AR,$L$2)</f>
        <v>0</v>
      </c>
      <c r="M278" s="26"/>
      <c r="N278" s="39" t="e">
        <f t="shared" si="44"/>
        <v>#N/A</v>
      </c>
      <c r="O278" s="26"/>
      <c r="P278" s="7"/>
      <c r="Q278" s="39">
        <f>SUMIFS([2]BV_Data_An_Prec!$AM:$AM,[2]BV_Data_An_Prec!$AP:$AP,$B278,[2]BV_Data_An_Prec!$AQ:$AQ,$C278,[2]BV_Data_An_Prec!$AR:$AR,$L$2)</f>
        <v>0</v>
      </c>
      <c r="R278" s="26"/>
      <c r="S278" s="39">
        <f t="shared" si="45"/>
        <v>0</v>
      </c>
      <c r="T278" s="6"/>
      <c r="U278" s="6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spans="1:40" ht="20.399999999999999">
      <c r="A279" s="410" t="s">
        <v>362</v>
      </c>
      <c r="B279" s="7" t="s">
        <v>78</v>
      </c>
      <c r="C279" s="272" t="s">
        <v>44</v>
      </c>
      <c r="D279" s="54"/>
      <c r="E279" s="7"/>
      <c r="F279" s="19" t="e">
        <f>+INDEX('[2]Budget original'!$A$2:$AO$501,MATCH($A279,'[2]Budget original'!$A$2:$A$501,0),MATCH(F$2,'[2]Budget original'!$A$2:$AO$2,0))</f>
        <v>#N/A</v>
      </c>
      <c r="G279" s="56"/>
      <c r="H279" s="7"/>
      <c r="I279" s="19"/>
      <c r="J279" s="26"/>
      <c r="K279" s="7"/>
      <c r="L279" s="39">
        <f>SUMIFS([2]BV_Data_An_Cour!$AM:$AM,[2]BV_Data_An_Cour!$AP:$AP,$B279,[2]BV_Data_An_Cour!$AQ:$AQ,$C279,[2]BV_Data_An_Cour!$AR:$AR,$L$2)</f>
        <v>7931.0699999999924</v>
      </c>
      <c r="M279" s="26"/>
      <c r="N279" s="39" t="e">
        <f t="shared" si="44"/>
        <v>#N/A</v>
      </c>
      <c r="O279" s="26"/>
      <c r="P279" s="7"/>
      <c r="Q279" s="39">
        <f>SUMIFS([2]BV_Data_An_Prec!$AM:$AM,[2]BV_Data_An_Prec!$AP:$AP,$B279,[2]BV_Data_An_Prec!$AQ:$AQ,$C279,[2]BV_Data_An_Prec!$AR:$AR,$L$2)</f>
        <v>6063.6399999999994</v>
      </c>
      <c r="R279" s="26"/>
      <c r="S279" s="39">
        <f t="shared" si="45"/>
        <v>1867.429999999993</v>
      </c>
      <c r="T279" s="6"/>
      <c r="U279" s="6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spans="1:40" ht="15.75" customHeight="1">
      <c r="A280" s="410" t="s">
        <v>363</v>
      </c>
      <c r="B280" s="7" t="s">
        <v>78</v>
      </c>
      <c r="C280" s="271" t="s">
        <v>45</v>
      </c>
      <c r="D280" s="68"/>
      <c r="E280" s="69"/>
      <c r="F280" s="36" t="e">
        <f>+INDEX('[2]Budget original'!$A$2:$AO$501,MATCH($A280,'[2]Budget original'!$A$2:$A$501,0),MATCH(F$2,'[2]Budget original'!$A$2:$AO$2,0))</f>
        <v>#N/A</v>
      </c>
      <c r="G280" s="70"/>
      <c r="H280" s="69"/>
      <c r="I280" s="36"/>
      <c r="J280" s="71"/>
      <c r="K280" s="69"/>
      <c r="L280" s="72">
        <f>SUMIFS([2]BV_Data_An_Cour!$AM:$AM,[2]BV_Data_An_Cour!$AP:$AP,$B280,[2]BV_Data_An_Cour!$AQ:$AQ,$C280,[2]BV_Data_An_Cour!$AR:$AR,$L$2)</f>
        <v>18011.47</v>
      </c>
      <c r="M280" s="71"/>
      <c r="N280" s="72" t="e">
        <f t="shared" si="44"/>
        <v>#N/A</v>
      </c>
      <c r="O280" s="71"/>
      <c r="P280" s="69"/>
      <c r="Q280" s="72">
        <f>SUMIFS([2]BV_Data_An_Prec!$AM:$AM,[2]BV_Data_An_Prec!$AP:$AP,$B280,[2]BV_Data_An_Prec!$AQ:$AQ,$C280,[2]BV_Data_An_Prec!$AR:$AR,$L$2)</f>
        <v>16394.299999999988</v>
      </c>
      <c r="R280" s="71"/>
      <c r="S280" s="72">
        <f t="shared" si="45"/>
        <v>1617.1700000000128</v>
      </c>
      <c r="T280" s="6"/>
      <c r="U280" s="6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spans="1:40" ht="15.75" customHeight="1">
      <c r="A281" s="410" t="s">
        <v>364</v>
      </c>
      <c r="B281" s="7" t="s">
        <v>78</v>
      </c>
      <c r="C281" s="271" t="s">
        <v>46</v>
      </c>
      <c r="D281" s="54"/>
      <c r="E281" s="7"/>
      <c r="F281" s="19" t="e">
        <f>+INDEX('[2]Budget original'!$A$2:$AO$501,MATCH($A281,'[2]Budget original'!$A$2:$A$501,0),MATCH(F$2,'[2]Budget original'!$A$2:$AO$2,0))</f>
        <v>#N/A</v>
      </c>
      <c r="G281" s="56"/>
      <c r="H281" s="7"/>
      <c r="I281" s="19"/>
      <c r="J281" s="26"/>
      <c r="K281" s="7"/>
      <c r="L281" s="39">
        <f>SUMIFS([2]BV_Data_An_Cour!$AM:$AM,[2]BV_Data_An_Cour!$AP:$AP,$B281,[2]BV_Data_An_Cour!$AQ:$AQ,$C281,[2]BV_Data_An_Cour!$AR:$AR,$L$2)</f>
        <v>2533.0500000000029</v>
      </c>
      <c r="M281" s="26"/>
      <c r="N281" s="39" t="e">
        <f t="shared" si="44"/>
        <v>#N/A</v>
      </c>
      <c r="O281" s="26"/>
      <c r="P281" s="7"/>
      <c r="Q281" s="39">
        <f>SUMIFS([2]BV_Data_An_Prec!$AM:$AM,[2]BV_Data_An_Prec!$AP:$AP,$B281,[2]BV_Data_An_Prec!$AQ:$AQ,$C281,[2]BV_Data_An_Prec!$AR:$AR,$L$2)</f>
        <v>10201.849999999991</v>
      </c>
      <c r="R281" s="26"/>
      <c r="S281" s="39">
        <f t="shared" si="45"/>
        <v>-7668.7999999999884</v>
      </c>
      <c r="T281" s="6"/>
      <c r="U281" s="6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spans="1:40" ht="15.75" customHeight="1">
      <c r="A282" s="410" t="s">
        <v>365</v>
      </c>
      <c r="B282" s="7" t="s">
        <v>78</v>
      </c>
      <c r="C282" s="271" t="s">
        <v>47</v>
      </c>
      <c r="D282" s="54"/>
      <c r="E282" s="7"/>
      <c r="F282" s="19" t="e">
        <f>+INDEX('[2]Budget original'!$A$2:$AO$501,MATCH($A282,'[2]Budget original'!$A$2:$A$501,0),MATCH(F$2,'[2]Budget original'!$A$2:$AO$2,0))</f>
        <v>#N/A</v>
      </c>
      <c r="G282" s="56"/>
      <c r="H282" s="7"/>
      <c r="I282" s="19"/>
      <c r="J282" s="26"/>
      <c r="K282" s="7"/>
      <c r="L282" s="39">
        <f>SUMIFS([2]BV_Data_An_Cour!$AM:$AM,[2]BV_Data_An_Cour!$AP:$AP,$B282,[2]BV_Data_An_Cour!$AQ:$AQ,$C282,[2]BV_Data_An_Cour!$AR:$AR,$L$2)</f>
        <v>4646.7799999999988</v>
      </c>
      <c r="M282" s="26"/>
      <c r="N282" s="39" t="e">
        <f t="shared" si="44"/>
        <v>#N/A</v>
      </c>
      <c r="O282" s="26"/>
      <c r="P282" s="7"/>
      <c r="Q282" s="39">
        <f>SUMIFS([2]BV_Data_An_Prec!$AM:$AM,[2]BV_Data_An_Prec!$AP:$AP,$B282,[2]BV_Data_An_Prec!$AQ:$AQ,$C282,[2]BV_Data_An_Prec!$AR:$AR,$L$2)</f>
        <v>828.33000000000084</v>
      </c>
      <c r="R282" s="26"/>
      <c r="S282" s="39">
        <f t="shared" si="45"/>
        <v>3818.449999999998</v>
      </c>
      <c r="T282" s="6"/>
      <c r="U282" s="6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spans="1:40" ht="20.399999999999999" hidden="1" customHeight="1">
      <c r="A283" s="410" t="s">
        <v>361</v>
      </c>
      <c r="B283" s="7" t="s">
        <v>78</v>
      </c>
      <c r="C283" s="26" t="s">
        <v>19</v>
      </c>
      <c r="D283" s="57"/>
      <c r="E283" s="73"/>
      <c r="F283" s="19" t="e">
        <f>+INDEX('[2]Budget original'!$A$2:$AO$501,MATCH($A283,'[2]Budget original'!$A$2:$A$501,0),MATCH(F$2,'[2]Budget original'!$A$2:$AO$2,0))</f>
        <v>#N/A</v>
      </c>
      <c r="G283" s="59"/>
      <c r="H283" s="73"/>
      <c r="I283" s="19"/>
      <c r="J283" s="14"/>
      <c r="K283" s="73"/>
      <c r="L283" s="39">
        <f>SUMIFS([2]BV_Data_An_Cour!$AM:$AM,[2]BV_Data_An_Cour!$AP:$AP,$B283,[2]BV_Data_An_Cour!$AQ:$AQ,$C283,[2]BV_Data_An_Cour!$AR:$AR,$L$2)</f>
        <v>0</v>
      </c>
      <c r="M283" s="14"/>
      <c r="N283" s="21" t="e">
        <f t="shared" si="44"/>
        <v>#N/A</v>
      </c>
      <c r="O283" s="14"/>
      <c r="P283" s="73"/>
      <c r="Q283" s="39">
        <f>SUMIFS([2]BV_Data_An_Prec!$AM:$AM,[2]BV_Data_An_Prec!$AP:$AP,$B283,[2]BV_Data_An_Prec!$AQ:$AQ,$C283,[2]BV_Data_An_Prec!$AR:$AR,$L$2)</f>
        <v>0</v>
      </c>
      <c r="R283" s="14"/>
      <c r="S283" s="61">
        <f t="shared" si="45"/>
        <v>0</v>
      </c>
      <c r="T283" s="6"/>
      <c r="U283" s="6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spans="1:40" ht="18.600000000000001" customHeight="1">
      <c r="A284" s="410" t="s">
        <v>366</v>
      </c>
      <c r="B284" s="7" t="s">
        <v>78</v>
      </c>
      <c r="C284" s="139" t="s">
        <v>48</v>
      </c>
      <c r="D284" s="62" t="s">
        <v>92</v>
      </c>
      <c r="E284" s="63" t="e">
        <f>F284/F$268</f>
        <v>#N/A</v>
      </c>
      <c r="F284" s="64" t="e">
        <f>+SUM(F272:F283)</f>
        <v>#N/A</v>
      </c>
      <c r="G284" s="65"/>
      <c r="H284" s="63"/>
      <c r="I284" s="64"/>
      <c r="J284" s="65" t="s">
        <v>92</v>
      </c>
      <c r="K284" s="63">
        <f>L284/L$268</f>
        <v>0.59577696391062784</v>
      </c>
      <c r="L284" s="64">
        <f>+SUM(L272:L283)</f>
        <v>66904.489999999991</v>
      </c>
      <c r="M284" s="66"/>
      <c r="N284" s="64" t="e">
        <f t="shared" si="44"/>
        <v>#N/A</v>
      </c>
      <c r="O284" s="65" t="s">
        <v>92</v>
      </c>
      <c r="P284" s="63">
        <f>Q284/Q$268</f>
        <v>0.6962947814248307</v>
      </c>
      <c r="Q284" s="64">
        <f>+SUM(Q272:Q283)</f>
        <v>100507.83999999998</v>
      </c>
      <c r="R284" s="67"/>
      <c r="S284" s="64">
        <f t="shared" si="45"/>
        <v>-33603.349999999991</v>
      </c>
      <c r="T284" s="6"/>
      <c r="U284" s="6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spans="1:40" ht="15.75" customHeight="1">
      <c r="A285" s="410" t="s">
        <v>367</v>
      </c>
      <c r="B285" s="7" t="s">
        <v>78</v>
      </c>
      <c r="C285" s="26" t="s">
        <v>49</v>
      </c>
      <c r="D285" s="54"/>
      <c r="E285" s="7"/>
      <c r="F285" s="19" t="e">
        <f>+INDEX('[2]Budget original'!$A$2:$AO$501,MATCH($A285,'[2]Budget original'!$A$2:$A$501,0),MATCH(F$2,'[2]Budget original'!$A$2:$AO$2,0))</f>
        <v>#N/A</v>
      </c>
      <c r="G285" s="56"/>
      <c r="H285" s="7"/>
      <c r="I285" s="19"/>
      <c r="J285" s="26"/>
      <c r="K285" s="7"/>
      <c r="L285" s="39">
        <f>SUMIFS([2]BV_Data_An_Cour!$AM:$AM,[2]BV_Data_An_Cour!$AP:$AP,$B285,[2]BV_Data_An_Cour!$AQ:$AQ,$C285,[2]BV_Data_An_Cour!$AR:$AR,$L$2)</f>
        <v>1581.380000000001</v>
      </c>
      <c r="M285" s="26"/>
      <c r="N285" s="39" t="e">
        <f t="shared" si="44"/>
        <v>#N/A</v>
      </c>
      <c r="O285" s="26"/>
      <c r="P285" s="7"/>
      <c r="Q285" s="39">
        <f>SUMIFS([2]BV_Data_An_Prec!$AM:$AM,[2]BV_Data_An_Prec!$AP:$AP,$B285,[2]BV_Data_An_Prec!$AQ:$AQ,$C285,[2]BV_Data_An_Prec!$AR:$AR,$L$2)</f>
        <v>1140.6199999999999</v>
      </c>
      <c r="R285" s="26"/>
      <c r="S285" s="39">
        <f t="shared" si="45"/>
        <v>440.76000000000113</v>
      </c>
      <c r="T285" s="6"/>
      <c r="U285" s="6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spans="1:40" ht="15.75" customHeight="1">
      <c r="A286" s="410" t="s">
        <v>368</v>
      </c>
      <c r="B286" s="7" t="s">
        <v>78</v>
      </c>
      <c r="C286" s="26" t="s">
        <v>50</v>
      </c>
      <c r="D286" s="54"/>
      <c r="E286" s="7"/>
      <c r="F286" s="19" t="e">
        <f>+INDEX('[2]Budget original'!$A$2:$AO$501,MATCH($A286,'[2]Budget original'!$A$2:$A$501,0),MATCH(F$2,'[2]Budget original'!$A$2:$AO$2,0))</f>
        <v>#N/A</v>
      </c>
      <c r="G286" s="56"/>
      <c r="H286" s="7"/>
      <c r="I286" s="19"/>
      <c r="J286" s="26"/>
      <c r="K286" s="7"/>
      <c r="L286" s="39">
        <f>SUMIFS([2]BV_Data_An_Cour!$AM:$AM,[2]BV_Data_An_Cour!$AP:$AP,$B286,[2]BV_Data_An_Cour!$AQ:$AQ,$C286,[2]BV_Data_An_Cour!$AR:$AR,$L$2)</f>
        <v>3927.7799999999988</v>
      </c>
      <c r="M286" s="26"/>
      <c r="N286" s="39" t="e">
        <f t="shared" si="44"/>
        <v>#N/A</v>
      </c>
      <c r="O286" s="26"/>
      <c r="P286" s="7"/>
      <c r="Q286" s="39">
        <f>SUMIFS([2]BV_Data_An_Prec!$AM:$AM,[2]BV_Data_An_Prec!$AP:$AP,$B286,[2]BV_Data_An_Prec!$AQ:$AQ,$C286,[2]BV_Data_An_Prec!$AR:$AR,$L$2)</f>
        <v>104.22999999999956</v>
      </c>
      <c r="R286" s="26"/>
      <c r="S286" s="39">
        <f t="shared" si="45"/>
        <v>3823.5499999999993</v>
      </c>
      <c r="T286" s="6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spans="1:40" ht="15.75" customHeight="1">
      <c r="A287" s="410" t="s">
        <v>369</v>
      </c>
      <c r="B287" s="7" t="s">
        <v>78</v>
      </c>
      <c r="C287" s="14" t="s">
        <v>51</v>
      </c>
      <c r="D287" s="57"/>
      <c r="E287" s="73"/>
      <c r="F287" s="31" t="e">
        <f>+INDEX('[2]Budget original'!$A$2:$AO$501,MATCH($A287,'[2]Budget original'!$A$2:$A$501,0),MATCH(F$2,'[2]Budget original'!$A$2:$AO$2,0))</f>
        <v>#N/A</v>
      </c>
      <c r="G287" s="59"/>
      <c r="H287" s="73"/>
      <c r="I287" s="31"/>
      <c r="J287" s="14"/>
      <c r="K287" s="73"/>
      <c r="L287" s="39">
        <f>SUMIFS([2]BV_Data_An_Cour!$AM:$AM,[2]BV_Data_An_Cour!$AP:$AP,$B287,[2]BV_Data_An_Cour!$AQ:$AQ,$C287,[2]BV_Data_An_Cour!$AR:$AR,$L$2)</f>
        <v>9376.239999999998</v>
      </c>
      <c r="M287" s="14"/>
      <c r="N287" s="61" t="e">
        <f t="shared" si="44"/>
        <v>#N/A</v>
      </c>
      <c r="O287" s="14"/>
      <c r="P287" s="73"/>
      <c r="Q287" s="39">
        <f>SUMIFS([2]BV_Data_An_Prec!$AM:$AM,[2]BV_Data_An_Prec!$AP:$AP,$B287,[2]BV_Data_An_Prec!$AQ:$AQ,$C287,[2]BV_Data_An_Prec!$AR:$AR,$L$2)</f>
        <v>-8070.07</v>
      </c>
      <c r="R287" s="14"/>
      <c r="S287" s="61">
        <f t="shared" si="45"/>
        <v>17446.309999999998</v>
      </c>
      <c r="T287" s="6"/>
      <c r="U287" s="6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spans="1:40" ht="15.75" customHeight="1">
      <c r="A288" s="410" t="s">
        <v>370</v>
      </c>
      <c r="B288" s="7" t="s">
        <v>78</v>
      </c>
      <c r="C288" s="26" t="s">
        <v>52</v>
      </c>
      <c r="D288" s="54"/>
      <c r="E288" s="7"/>
      <c r="F288" s="19" t="e">
        <f>+INDEX('[2]Budget original'!$A$2:$AO$501,MATCH($A288,'[2]Budget original'!$A$2:$A$501,0),MATCH(F$2,'[2]Budget original'!$A$2:$AO$2,0))</f>
        <v>#N/A</v>
      </c>
      <c r="G288" s="56"/>
      <c r="H288" s="7"/>
      <c r="I288" s="19"/>
      <c r="J288" s="26"/>
      <c r="K288" s="7"/>
      <c r="L288" s="72">
        <f>SUMIFS([2]BV_Data_An_Cour!$AM:$AM,[2]BV_Data_An_Cour!$AP:$AP,$B288,[2]BV_Data_An_Cour!$AQ:$AQ,$C288,[2]BV_Data_An_Cour!$AR:$AR,$L$2)</f>
        <v>3118.8300000000017</v>
      </c>
      <c r="M288" s="26"/>
      <c r="N288" s="39" t="e">
        <f t="shared" si="44"/>
        <v>#N/A</v>
      </c>
      <c r="O288" s="26"/>
      <c r="P288" s="7"/>
      <c r="Q288" s="72">
        <f>SUMIFS([2]BV_Data_An_Prec!$AM:$AM,[2]BV_Data_An_Prec!$AP:$AP,$B288,[2]BV_Data_An_Prec!$AQ:$AQ,$C288,[2]BV_Data_An_Prec!$AR:$AR,$L$2)</f>
        <v>2846.3300000000017</v>
      </c>
      <c r="R288" s="26"/>
      <c r="S288" s="39">
        <f t="shared" si="45"/>
        <v>272.5</v>
      </c>
      <c r="T288" s="6"/>
      <c r="U288" s="6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spans="1:40" ht="15.75" customHeight="1">
      <c r="A289" s="410" t="s">
        <v>371</v>
      </c>
      <c r="B289" s="7" t="s">
        <v>78</v>
      </c>
      <c r="C289" s="26" t="s">
        <v>53</v>
      </c>
      <c r="D289" s="54"/>
      <c r="E289" s="7"/>
      <c r="F289" s="19" t="e">
        <f>+INDEX('[2]Budget original'!$A$2:$AO$501,MATCH($A289,'[2]Budget original'!$A$2:$A$501,0),MATCH(F$2,'[2]Budget original'!$A$2:$AO$2,0))</f>
        <v>#N/A</v>
      </c>
      <c r="G289" s="56"/>
      <c r="H289" s="7"/>
      <c r="I289" s="19"/>
      <c r="J289" s="26"/>
      <c r="K289" s="7"/>
      <c r="L289" s="39">
        <f>SUMIFS([2]BV_Data_An_Cour!$AM:$AM,[2]BV_Data_An_Cour!$AP:$AP,$B289,[2]BV_Data_An_Cour!$AQ:$AQ,$C289,[2]BV_Data_An_Cour!$AR:$AR,$L$2)</f>
        <v>836.06999999999971</v>
      </c>
      <c r="M289" s="26"/>
      <c r="N289" s="39" t="e">
        <f t="shared" si="44"/>
        <v>#N/A</v>
      </c>
      <c r="O289" s="26"/>
      <c r="P289" s="7"/>
      <c r="Q289" s="39">
        <f>SUMIFS([2]BV_Data_An_Prec!$AM:$AM,[2]BV_Data_An_Prec!$AP:$AP,$B289,[2]BV_Data_An_Prec!$AQ:$AQ,$C289,[2]BV_Data_An_Prec!$AR:$AR,$L$2)</f>
        <v>480.54</v>
      </c>
      <c r="R289" s="26"/>
      <c r="S289" s="39">
        <f t="shared" si="45"/>
        <v>355.52999999999969</v>
      </c>
      <c r="T289" s="6"/>
      <c r="U289" s="6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spans="1:40" ht="15.75" customHeight="1">
      <c r="A290" s="410" t="s">
        <v>372</v>
      </c>
      <c r="B290" s="7" t="s">
        <v>78</v>
      </c>
      <c r="C290" s="14" t="s">
        <v>54</v>
      </c>
      <c r="D290" s="57"/>
      <c r="E290" s="73"/>
      <c r="F290" s="31" t="e">
        <f>+INDEX('[2]Budget original'!$A$2:$AO$501,MATCH($A290,'[2]Budget original'!$A$2:$A$501,0),MATCH(F$2,'[2]Budget original'!$A$2:$AO$2,0))</f>
        <v>#N/A</v>
      </c>
      <c r="G290" s="59"/>
      <c r="H290" s="73"/>
      <c r="I290" s="31"/>
      <c r="J290" s="14"/>
      <c r="K290" s="73"/>
      <c r="L290" s="39">
        <f>SUMIFS([2]BV_Data_An_Cour!$AM:$AM,[2]BV_Data_An_Cour!$AP:$AP,$B290,[2]BV_Data_An_Cour!$AQ:$AQ,$C290,[2]BV_Data_An_Cour!$AR:$AR,$L$2)</f>
        <v>9569.130000000001</v>
      </c>
      <c r="M290" s="14"/>
      <c r="N290" s="61" t="e">
        <f t="shared" si="44"/>
        <v>#N/A</v>
      </c>
      <c r="O290" s="14"/>
      <c r="P290" s="73"/>
      <c r="Q290" s="39">
        <f>SUMIFS([2]BV_Data_An_Prec!$AM:$AM,[2]BV_Data_An_Prec!$AP:$AP,$B290,[2]BV_Data_An_Prec!$AQ:$AQ,$C290,[2]BV_Data_An_Prec!$AR:$AR,$L$2)</f>
        <v>9592.5299999999916</v>
      </c>
      <c r="R290" s="14"/>
      <c r="S290" s="61">
        <f t="shared" si="45"/>
        <v>-23.399999999990541</v>
      </c>
      <c r="T290" s="6"/>
      <c r="U290" s="6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spans="1:40" ht="15.75" customHeight="1">
      <c r="A291" s="410" t="s">
        <v>373</v>
      </c>
      <c r="B291" s="7" t="s">
        <v>78</v>
      </c>
      <c r="C291" s="26" t="s">
        <v>93</v>
      </c>
      <c r="D291" s="54"/>
      <c r="E291" s="7"/>
      <c r="F291" s="19"/>
      <c r="G291" s="56"/>
      <c r="H291" s="7"/>
      <c r="I291" s="19"/>
      <c r="J291" s="26"/>
      <c r="K291" s="7"/>
      <c r="L291" s="72">
        <f>SUMIFS([2]BV_Data_An_Cour!$AM:$AM,[2]BV_Data_An_Cour!$AP:$AP,$B291,[2]BV_Data_An_Cour!$AQ:$AQ,$C291,[2]BV_Data_An_Cour!$AR:$AR,$L$2)</f>
        <v>0</v>
      </c>
      <c r="M291" s="26"/>
      <c r="N291" s="39">
        <f t="shared" si="44"/>
        <v>0</v>
      </c>
      <c r="O291" s="26"/>
      <c r="P291" s="7"/>
      <c r="Q291" s="72">
        <f>SUMIFS([2]BV_Data_An_Prec!$AM:$AM,[2]BV_Data_An_Prec!$AP:$AP,$B291,[2]BV_Data_An_Prec!$AQ:$AQ,$C291,[2]BV_Data_An_Prec!$AR:$AR,$L$2)</f>
        <v>0</v>
      </c>
      <c r="R291" s="26"/>
      <c r="S291" s="39">
        <f t="shared" si="45"/>
        <v>0</v>
      </c>
      <c r="T291" s="6"/>
      <c r="U291" s="6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spans="1:40" ht="15.75" customHeight="1">
      <c r="A292" s="410" t="s">
        <v>374</v>
      </c>
      <c r="B292" s="7" t="s">
        <v>78</v>
      </c>
      <c r="C292" s="26" t="s">
        <v>55</v>
      </c>
      <c r="D292" s="54"/>
      <c r="E292" s="7"/>
      <c r="F292" s="19" t="e">
        <f>+INDEX('[2]Budget original'!$A$2:$AO$501,MATCH($A292,'[2]Budget original'!$A$2:$A$501,0),MATCH(F$2,'[2]Budget original'!$A$2:$AO$2,0))</f>
        <v>#N/A</v>
      </c>
      <c r="G292" s="56"/>
      <c r="H292" s="7"/>
      <c r="I292" s="19"/>
      <c r="J292" s="26"/>
      <c r="K292" s="7"/>
      <c r="L292" s="39">
        <f>SUMIFS([2]BV_Data_An_Cour!$AM:$AM,[2]BV_Data_An_Cour!$AP:$AP,$B292,[2]BV_Data_An_Cour!$AQ:$AQ,$C292,[2]BV_Data_An_Cour!$AR:$AR,$L$2)</f>
        <v>2286.7900000000009</v>
      </c>
      <c r="M292" s="26"/>
      <c r="N292" s="39" t="e">
        <f t="shared" si="44"/>
        <v>#N/A</v>
      </c>
      <c r="O292" s="26"/>
      <c r="P292" s="7"/>
      <c r="Q292" s="39">
        <f>SUMIFS([2]BV_Data_An_Prec!$AM:$AM,[2]BV_Data_An_Prec!$AP:$AP,$B292,[2]BV_Data_An_Prec!$AQ:$AQ,$C292,[2]BV_Data_An_Prec!$AR:$AR,$L$2)</f>
        <v>339.97999999999956</v>
      </c>
      <c r="R292" s="26"/>
      <c r="S292" s="39">
        <f t="shared" si="45"/>
        <v>1946.8100000000013</v>
      </c>
      <c r="T292" s="6"/>
      <c r="U292" s="6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spans="1:40" ht="15.75" customHeight="1">
      <c r="A293" s="410" t="s">
        <v>375</v>
      </c>
      <c r="B293" s="7" t="s">
        <v>78</v>
      </c>
      <c r="C293" s="26" t="s">
        <v>56</v>
      </c>
      <c r="D293" s="54"/>
      <c r="E293" s="7"/>
      <c r="F293" s="19" t="e">
        <f>+INDEX('[2]Budget original'!$A$2:$AO$501,MATCH($A293,'[2]Budget original'!$A$2:$A$501,0),MATCH(F$2,'[2]Budget original'!$A$2:$AO$2,0))</f>
        <v>#N/A</v>
      </c>
      <c r="G293" s="56"/>
      <c r="H293" s="7"/>
      <c r="I293" s="19"/>
      <c r="J293" s="26"/>
      <c r="K293" s="7"/>
      <c r="L293" s="39">
        <f>SUMIFS([2]BV_Data_An_Cour!$AM:$AM,[2]BV_Data_An_Cour!$AP:$AP,$B293,[2]BV_Data_An_Cour!$AQ:$AQ,$C293,[2]BV_Data_An_Cour!$AR:$AR,$L$2)</f>
        <v>1307.99</v>
      </c>
      <c r="M293" s="26"/>
      <c r="N293" s="39" t="e">
        <f t="shared" si="44"/>
        <v>#N/A</v>
      </c>
      <c r="O293" s="26"/>
      <c r="P293" s="7"/>
      <c r="Q293" s="39">
        <f>SUMIFS([2]BV_Data_An_Prec!$AM:$AM,[2]BV_Data_An_Prec!$AP:$AP,$B293,[2]BV_Data_An_Prec!$AQ:$AQ,$C293,[2]BV_Data_An_Prec!$AR:$AR,$L$2)</f>
        <v>0</v>
      </c>
      <c r="R293" s="26"/>
      <c r="S293" s="39">
        <f t="shared" si="45"/>
        <v>1307.99</v>
      </c>
      <c r="T293" s="6"/>
      <c r="U293" s="6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spans="1:40" ht="15.75" customHeight="1">
      <c r="A294" s="410" t="s">
        <v>376</v>
      </c>
      <c r="B294" s="7" t="s">
        <v>78</v>
      </c>
      <c r="C294" s="26" t="s">
        <v>57</v>
      </c>
      <c r="D294" s="54"/>
      <c r="E294" s="7"/>
      <c r="F294" s="19" t="e">
        <f>+INDEX('[2]Budget original'!$A$2:$AO$501,MATCH($A294,'[2]Budget original'!$A$2:$A$501,0),MATCH(F$2,'[2]Budget original'!$A$2:$AO$2,0))</f>
        <v>#N/A</v>
      </c>
      <c r="G294" s="56"/>
      <c r="H294" s="7"/>
      <c r="I294" s="19"/>
      <c r="J294" s="26"/>
      <c r="K294" s="7"/>
      <c r="L294" s="39">
        <f>SUMIFS([2]BV_Data_An_Cour!$AM:$AM,[2]BV_Data_An_Cour!$AP:$AP,$B294,[2]BV_Data_An_Cour!$AQ:$AQ,$C294,[2]BV_Data_An_Cour!$AR:$AR,$L$2)</f>
        <v>1631.4700000000012</v>
      </c>
      <c r="M294" s="26"/>
      <c r="N294" s="39" t="e">
        <f t="shared" si="44"/>
        <v>#N/A</v>
      </c>
      <c r="O294" s="26"/>
      <c r="P294" s="55"/>
      <c r="Q294" s="39">
        <f>SUMIFS([2]BV_Data_An_Prec!$AM:$AM,[2]BV_Data_An_Prec!$AP:$AP,$B294,[2]BV_Data_An_Prec!$AQ:$AQ,$C294,[2]BV_Data_An_Prec!$AR:$AR,$L$2)</f>
        <v>2013.92</v>
      </c>
      <c r="R294" s="26"/>
      <c r="S294" s="39">
        <f t="shared" si="45"/>
        <v>-382.44999999999891</v>
      </c>
      <c r="T294" s="6"/>
      <c r="U294" s="6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spans="1:40" ht="15.75" customHeight="1">
      <c r="A295" s="410" t="s">
        <v>377</v>
      </c>
      <c r="B295" s="7" t="s">
        <v>78</v>
      </c>
      <c r="C295" s="26" t="s">
        <v>58</v>
      </c>
      <c r="D295" s="54"/>
      <c r="E295" s="7"/>
      <c r="F295" s="19" t="e">
        <f>+INDEX('[2]Budget original'!$A$2:$AO$501,MATCH($A295,'[2]Budget original'!$A$2:$A$501,0),MATCH(F$2,'[2]Budget original'!$A$2:$AO$2,0))</f>
        <v>#N/A</v>
      </c>
      <c r="G295" s="56"/>
      <c r="H295" s="7"/>
      <c r="I295" s="19"/>
      <c r="J295" s="26"/>
      <c r="K295" s="7"/>
      <c r="L295" s="39">
        <f>SUMIFS([2]BV_Data_An_Cour!$AM:$AM,[2]BV_Data_An_Cour!$AP:$AP,$B295,[2]BV_Data_An_Cour!$AQ:$AQ,$C295,[2]BV_Data_An_Cour!$AR:$AR,$L$2)</f>
        <v>727.34999999999991</v>
      </c>
      <c r="M295" s="26"/>
      <c r="N295" s="39" t="e">
        <f t="shared" si="44"/>
        <v>#N/A</v>
      </c>
      <c r="O295" s="26"/>
      <c r="P295" s="7"/>
      <c r="Q295" s="39">
        <f>SUMIFS([2]BV_Data_An_Prec!$AM:$AM,[2]BV_Data_An_Prec!$AP:$AP,$B295,[2]BV_Data_An_Prec!$AQ:$AQ,$C295,[2]BV_Data_An_Prec!$AR:$AR,$L$2)</f>
        <v>1024.7799999999997</v>
      </c>
      <c r="R295" s="26"/>
      <c r="S295" s="39">
        <f t="shared" si="45"/>
        <v>-297.42999999999984</v>
      </c>
      <c r="T295" s="6"/>
      <c r="U295" s="6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spans="1:40" ht="15.75" customHeight="1">
      <c r="A296" s="410" t="s">
        <v>378</v>
      </c>
      <c r="B296" s="7" t="s">
        <v>78</v>
      </c>
      <c r="C296" s="26" t="s">
        <v>59</v>
      </c>
      <c r="D296" s="54"/>
      <c r="E296" s="7"/>
      <c r="F296" s="19" t="e">
        <f>+INDEX('[2]Budget original'!$A$2:$AO$501,MATCH($A296,'[2]Budget original'!$A$2:$A$501,0),MATCH(F$2,'[2]Budget original'!$A$2:$AO$2,0))</f>
        <v>#N/A</v>
      </c>
      <c r="G296" s="56"/>
      <c r="H296" s="7"/>
      <c r="I296" s="19"/>
      <c r="J296" s="26"/>
      <c r="K296" s="7"/>
      <c r="L296" s="39">
        <f>SUMIFS([2]BV_Data_An_Cour!$AM:$AM,[2]BV_Data_An_Cour!$AP:$AP,$B296,[2]BV_Data_An_Cour!$AQ:$AQ,$C296,[2]BV_Data_An_Cour!$AR:$AR,$L$2)</f>
        <v>302.39999999999964</v>
      </c>
      <c r="M296" s="26"/>
      <c r="N296" s="39" t="e">
        <f t="shared" si="44"/>
        <v>#N/A</v>
      </c>
      <c r="O296" s="26"/>
      <c r="P296" s="7"/>
      <c r="Q296" s="39">
        <f>SUMIFS([2]BV_Data_An_Prec!$AM:$AM,[2]BV_Data_An_Prec!$AP:$AP,$B296,[2]BV_Data_An_Prec!$AQ:$AQ,$C296,[2]BV_Data_An_Prec!$AR:$AR,$L$2)</f>
        <v>834.39999999999964</v>
      </c>
      <c r="R296" s="26"/>
      <c r="S296" s="39">
        <f t="shared" si="45"/>
        <v>-532</v>
      </c>
      <c r="T296" s="6"/>
      <c r="U296" s="6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spans="1:40" ht="15.75" customHeight="1">
      <c r="A297" s="410" t="s">
        <v>379</v>
      </c>
      <c r="B297" s="7" t="s">
        <v>78</v>
      </c>
      <c r="C297" s="26" t="s">
        <v>60</v>
      </c>
      <c r="D297" s="54"/>
      <c r="E297" s="7"/>
      <c r="F297" s="19" t="e">
        <f>+INDEX('[2]Budget original'!$A$2:$AO$501,MATCH($A297,'[2]Budget original'!$A$2:$A$501,0),MATCH(F$2,'[2]Budget original'!$A$2:$AO$2,0))</f>
        <v>#N/A</v>
      </c>
      <c r="G297" s="56"/>
      <c r="H297" s="7"/>
      <c r="I297" s="19"/>
      <c r="J297" s="26"/>
      <c r="K297" s="7"/>
      <c r="L297" s="39">
        <f>SUMIFS([2]BV_Data_An_Cour!$AM:$AM,[2]BV_Data_An_Cour!$AP:$AP,$B297,[2]BV_Data_An_Cour!$AQ:$AQ,$C297,[2]BV_Data_An_Cour!$AR:$AR,$L$2)</f>
        <v>1422.1699999999996</v>
      </c>
      <c r="M297" s="26"/>
      <c r="N297" s="39" t="e">
        <f t="shared" si="44"/>
        <v>#N/A</v>
      </c>
      <c r="O297" s="26"/>
      <c r="P297" s="7"/>
      <c r="Q297" s="39">
        <f>SUMIFS([2]BV_Data_An_Prec!$AM:$AM,[2]BV_Data_An_Prec!$AP:$AP,$B297,[2]BV_Data_An_Prec!$AQ:$AQ,$C297,[2]BV_Data_An_Prec!$AR:$AR,$L$2)</f>
        <v>2513.8199999999997</v>
      </c>
      <c r="R297" s="26"/>
      <c r="S297" s="39">
        <f t="shared" si="45"/>
        <v>-1091.6500000000001</v>
      </c>
      <c r="T297" s="6"/>
      <c r="U297" s="6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spans="1:40" ht="15.75" customHeight="1">
      <c r="A298" s="410" t="s">
        <v>380</v>
      </c>
      <c r="B298" s="7" t="s">
        <v>78</v>
      </c>
      <c r="C298" s="26" t="s">
        <v>61</v>
      </c>
      <c r="D298" s="54"/>
      <c r="E298" s="7"/>
      <c r="F298" s="19" t="e">
        <f>+INDEX('[2]Budget original'!$A$2:$AO$501,MATCH($A298,'[2]Budget original'!$A$2:$A$501,0),MATCH(F$2,'[2]Budget original'!$A$2:$AO$2,0))</f>
        <v>#N/A</v>
      </c>
      <c r="G298" s="56"/>
      <c r="H298" s="7"/>
      <c r="I298" s="19"/>
      <c r="J298" s="26"/>
      <c r="K298" s="7"/>
      <c r="L298" s="39">
        <f>SUMIFS([2]BV_Data_An_Cour!$AM:$AM,[2]BV_Data_An_Cour!$AP:$AP,$B298,[2]BV_Data_An_Cour!$AQ:$AQ,$C298,[2]BV_Data_An_Cour!$AR:$AR,$L$2)</f>
        <v>1166</v>
      </c>
      <c r="M298" s="26"/>
      <c r="N298" s="39" t="e">
        <f t="shared" si="44"/>
        <v>#N/A</v>
      </c>
      <c r="O298" s="26"/>
      <c r="P298" s="7"/>
      <c r="Q298" s="39">
        <f>SUMIFS([2]BV_Data_An_Prec!$AM:$AM,[2]BV_Data_An_Prec!$AP:$AP,$B298,[2]BV_Data_An_Prec!$AQ:$AQ,$C298,[2]BV_Data_An_Prec!$AR:$AR,$L$2)</f>
        <v>700.59000000000015</v>
      </c>
      <c r="R298" s="26"/>
      <c r="S298" s="39">
        <f t="shared" si="45"/>
        <v>465.40999999999985</v>
      </c>
      <c r="T298" s="6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spans="1:40" ht="15.75" customHeight="1">
      <c r="A299" s="410" t="s">
        <v>381</v>
      </c>
      <c r="B299" s="7" t="s">
        <v>78</v>
      </c>
      <c r="C299" s="26" t="s">
        <v>62</v>
      </c>
      <c r="D299" s="54"/>
      <c r="E299" s="7"/>
      <c r="F299" s="19" t="e">
        <f>+INDEX('[2]Budget original'!$A$2:$AO$501,MATCH($A299,'[2]Budget original'!$A$2:$A$501,0),MATCH(F$2,'[2]Budget original'!$A$2:$AO$2,0))</f>
        <v>#N/A</v>
      </c>
      <c r="G299" s="56"/>
      <c r="H299" s="7"/>
      <c r="I299" s="19"/>
      <c r="J299" s="26"/>
      <c r="K299" s="7"/>
      <c r="L299" s="39">
        <f>SUMIFS([2]BV_Data_An_Cour!$AM:$AM,[2]BV_Data_An_Cour!$AP:$AP,$B299,[2]BV_Data_An_Cour!$AQ:$AQ,$C299,[2]BV_Data_An_Cour!$AR:$AR,$L$2)</f>
        <v>1425.5100000000002</v>
      </c>
      <c r="M299" s="26"/>
      <c r="N299" s="39" t="e">
        <f t="shared" si="44"/>
        <v>#N/A</v>
      </c>
      <c r="O299" s="26"/>
      <c r="P299" s="7"/>
      <c r="Q299" s="39">
        <f>SUMIFS([2]BV_Data_An_Prec!$AM:$AM,[2]BV_Data_An_Prec!$AP:$AP,$B299,[2]BV_Data_An_Prec!$AQ:$AQ,$C299,[2]BV_Data_An_Prec!$AR:$AR,$L$2)</f>
        <v>312.42999999999984</v>
      </c>
      <c r="R299" s="26"/>
      <c r="S299" s="39">
        <f t="shared" si="45"/>
        <v>1113.0800000000004</v>
      </c>
      <c r="T299" s="6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spans="1:40" ht="20.399999999999999" hidden="1" customHeight="1">
      <c r="A300" s="410" t="s">
        <v>361</v>
      </c>
      <c r="B300" s="7" t="s">
        <v>78</v>
      </c>
      <c r="C300" s="26" t="s">
        <v>19</v>
      </c>
      <c r="D300" s="54"/>
      <c r="E300" s="7"/>
      <c r="F300" s="19" t="e">
        <f>+INDEX('[2]Budget original'!$A$2:$AO$501,MATCH($A300,'[2]Budget original'!$A$2:$A$501,0),MATCH(F$2,'[2]Budget original'!$A$2:$AO$2,0))</f>
        <v>#N/A</v>
      </c>
      <c r="G300" s="56"/>
      <c r="H300" s="7"/>
      <c r="I300" s="19"/>
      <c r="J300" s="26"/>
      <c r="K300" s="7"/>
      <c r="L300" s="39">
        <f>SUMIFS([2]BV_Data_An_Cour!$AM:$AM,[2]BV_Data_An_Cour!$AP:$AP,$B300,[2]BV_Data_An_Cour!$AQ:$AQ,$C300,[2]BV_Data_An_Cour!$AR:$AR,$L$2)</f>
        <v>0</v>
      </c>
      <c r="M300" s="26"/>
      <c r="N300" s="39" t="e">
        <f t="shared" si="44"/>
        <v>#N/A</v>
      </c>
      <c r="O300" s="26"/>
      <c r="P300" s="7"/>
      <c r="Q300" s="39">
        <f>SUMIFS([2]BV_Data_An_Prec!$AM:$AM,[2]BV_Data_An_Prec!$AP:$AP,$B300,[2]BV_Data_An_Prec!$AQ:$AQ,$C300,[2]BV_Data_An_Prec!$AR:$AR,$L$2)</f>
        <v>0</v>
      </c>
      <c r="R300" s="26"/>
      <c r="S300" s="39">
        <f t="shared" si="45"/>
        <v>0</v>
      </c>
      <c r="T300" s="6"/>
      <c r="U300" s="6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spans="1:40" ht="20.399999999999999" hidden="1" customHeight="1">
      <c r="A301" s="410" t="s">
        <v>361</v>
      </c>
      <c r="B301" s="7" t="s">
        <v>78</v>
      </c>
      <c r="C301" s="26" t="s">
        <v>19</v>
      </c>
      <c r="D301" s="54"/>
      <c r="E301" s="7"/>
      <c r="F301" s="19" t="e">
        <f>+INDEX('[2]Budget original'!$A$2:$AO$501,MATCH($A301,'[2]Budget original'!$A$2:$A$501,0),MATCH(F$2,'[2]Budget original'!$A$2:$AO$2,0))</f>
        <v>#N/A</v>
      </c>
      <c r="G301" s="56"/>
      <c r="H301" s="7"/>
      <c r="I301" s="19"/>
      <c r="J301" s="26"/>
      <c r="K301" s="7"/>
      <c r="L301" s="39">
        <f>SUMIFS([2]BV_Data_An_Cour!$AM:$AM,[2]BV_Data_An_Cour!$AP:$AP,$B301,[2]BV_Data_An_Cour!$AQ:$AQ,$C301,[2]BV_Data_An_Cour!$AR:$AR,$L$2)</f>
        <v>0</v>
      </c>
      <c r="M301" s="26"/>
      <c r="N301" s="39" t="e">
        <f t="shared" si="44"/>
        <v>#N/A</v>
      </c>
      <c r="O301" s="26"/>
      <c r="P301" s="7"/>
      <c r="Q301" s="39">
        <f>SUMIFS([2]BV_Data_An_Prec!$AM:$AM,[2]BV_Data_An_Prec!$AP:$AP,$B301,[2]BV_Data_An_Prec!$AQ:$AQ,$C301,[2]BV_Data_An_Prec!$AR:$AR,$L$2)</f>
        <v>0</v>
      </c>
      <c r="R301" s="26"/>
      <c r="S301" s="39">
        <f t="shared" si="45"/>
        <v>0</v>
      </c>
      <c r="T301" s="6"/>
      <c r="U301" s="6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spans="1:40" ht="20.399999999999999" hidden="1" customHeight="1">
      <c r="A302" s="410" t="s">
        <v>361</v>
      </c>
      <c r="B302" s="7" t="s">
        <v>78</v>
      </c>
      <c r="C302" s="26" t="s">
        <v>19</v>
      </c>
      <c r="D302" s="54"/>
      <c r="E302" s="7"/>
      <c r="F302" s="19" t="e">
        <f>+INDEX('[2]Budget original'!$A$2:$AO$501,MATCH($A302,'[2]Budget original'!$A$2:$A$501,0),MATCH(F$2,'[2]Budget original'!$A$2:$AO$2,0))</f>
        <v>#N/A</v>
      </c>
      <c r="G302" s="56"/>
      <c r="H302" s="7"/>
      <c r="I302" s="19"/>
      <c r="J302" s="26"/>
      <c r="K302" s="7"/>
      <c r="L302" s="39">
        <f>SUMIFS([2]BV_Data_An_Cour!$AM:$AM,[2]BV_Data_An_Cour!$AP:$AP,$B302,[2]BV_Data_An_Cour!$AQ:$AQ,$C302,[2]BV_Data_An_Cour!$AR:$AR,$L$2)</f>
        <v>0</v>
      </c>
      <c r="M302" s="26"/>
      <c r="N302" s="39" t="e">
        <f t="shared" si="44"/>
        <v>#N/A</v>
      </c>
      <c r="O302" s="26"/>
      <c r="P302" s="7"/>
      <c r="Q302" s="39">
        <f>SUMIFS([2]BV_Data_An_Prec!$AM:$AM,[2]BV_Data_An_Prec!$AP:$AP,$B302,[2]BV_Data_An_Prec!$AQ:$AQ,$C302,[2]BV_Data_An_Prec!$AR:$AR,$L$2)</f>
        <v>0</v>
      </c>
      <c r="R302" s="26"/>
      <c r="S302" s="39">
        <f t="shared" si="45"/>
        <v>0</v>
      </c>
      <c r="T302" s="6"/>
      <c r="U302" s="6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spans="1:40" ht="18.600000000000001" customHeight="1">
      <c r="A303" s="410"/>
      <c r="B303" s="7"/>
      <c r="C303" s="139" t="s">
        <v>63</v>
      </c>
      <c r="D303" s="62" t="s">
        <v>92</v>
      </c>
      <c r="E303" s="63" t="e">
        <f>F303/F$268</f>
        <v>#N/A</v>
      </c>
      <c r="F303" s="64" t="e">
        <f>+SUM(F285:F302)</f>
        <v>#N/A</v>
      </c>
      <c r="G303" s="65"/>
      <c r="H303" s="63"/>
      <c r="I303" s="64"/>
      <c r="J303" s="65" t="s">
        <v>92</v>
      </c>
      <c r="K303" s="63">
        <f>L303/L$268</f>
        <v>0.34443312732172698</v>
      </c>
      <c r="L303" s="64">
        <f>+SUM(L285:L302)</f>
        <v>38679.110000000008</v>
      </c>
      <c r="M303" s="66"/>
      <c r="N303" s="64" t="e">
        <f t="shared" si="44"/>
        <v>#N/A</v>
      </c>
      <c r="O303" s="65" t="s">
        <v>92</v>
      </c>
      <c r="P303" s="63">
        <f>Q303/Q$268</f>
        <v>9.5839405520099202E-2</v>
      </c>
      <c r="Q303" s="64">
        <f>+SUM(Q285:Q302)</f>
        <v>13834.099999999993</v>
      </c>
      <c r="R303" s="67"/>
      <c r="S303" s="64">
        <f t="shared" si="45"/>
        <v>24845.010000000017</v>
      </c>
      <c r="T303" s="6"/>
      <c r="U303" s="6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spans="1:40" ht="15.75" customHeight="1">
      <c r="B304" s="7"/>
      <c r="C304" s="14"/>
      <c r="D304" s="57"/>
      <c r="E304" s="73"/>
      <c r="F304" s="39"/>
      <c r="G304" s="59"/>
      <c r="H304" s="73"/>
      <c r="I304" s="39"/>
      <c r="J304" s="14"/>
      <c r="K304" s="73"/>
      <c r="L304" s="61"/>
      <c r="M304" s="14"/>
      <c r="N304" s="61"/>
      <c r="O304" s="14"/>
      <c r="P304" s="73"/>
      <c r="Q304" s="61"/>
      <c r="R304" s="14"/>
      <c r="S304" s="61"/>
      <c r="T304" s="6"/>
      <c r="U304" s="6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spans="1:40" ht="18.600000000000001" customHeight="1">
      <c r="A305" s="410"/>
      <c r="B305" s="7"/>
      <c r="C305" s="139" t="s">
        <v>64</v>
      </c>
      <c r="D305" s="62" t="s">
        <v>38</v>
      </c>
      <c r="E305" s="63" t="e">
        <f>F305/F$268</f>
        <v>#N/A</v>
      </c>
      <c r="F305" s="64" t="e">
        <f>F284+F303</f>
        <v>#N/A</v>
      </c>
      <c r="G305" s="65"/>
      <c r="H305" s="63"/>
      <c r="I305" s="64"/>
      <c r="J305" s="65" t="s">
        <v>38</v>
      </c>
      <c r="K305" s="63">
        <f>L305/L$268</f>
        <v>0.94021009123235488</v>
      </c>
      <c r="L305" s="64">
        <f>L284+L303</f>
        <v>105583.6</v>
      </c>
      <c r="M305" s="66"/>
      <c r="N305" s="64" t="e">
        <f>L305-F305</f>
        <v>#N/A</v>
      </c>
      <c r="O305" s="65" t="s">
        <v>38</v>
      </c>
      <c r="P305" s="63">
        <f>Q305/Q$268</f>
        <v>0.79213418694492999</v>
      </c>
      <c r="Q305" s="64">
        <f>Q284+Q303</f>
        <v>114341.93999999997</v>
      </c>
      <c r="R305" s="67"/>
      <c r="S305" s="64">
        <f>L305-Q305</f>
        <v>-8758.3399999999674</v>
      </c>
      <c r="T305" s="6"/>
      <c r="U305" s="6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spans="1:40" ht="15.75" customHeight="1">
      <c r="B306" s="7"/>
      <c r="C306" s="26"/>
      <c r="D306" s="54"/>
      <c r="E306" s="7"/>
      <c r="F306" s="39"/>
      <c r="G306" s="56"/>
      <c r="H306" s="7"/>
      <c r="I306" s="39"/>
      <c r="J306" s="26"/>
      <c r="K306" s="7"/>
      <c r="L306" s="39"/>
      <c r="M306" s="26"/>
      <c r="N306" s="39">
        <f>L306-F306</f>
        <v>0</v>
      </c>
      <c r="O306" s="26"/>
      <c r="P306" s="7"/>
      <c r="Q306" s="39"/>
      <c r="R306" s="26"/>
      <c r="S306" s="39"/>
      <c r="T306" s="6"/>
      <c r="U306" s="6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spans="1:40" ht="18.600000000000001" customHeight="1" thickBot="1">
      <c r="A307" s="410"/>
      <c r="B307" s="7"/>
      <c r="C307" s="276" t="s">
        <v>69</v>
      </c>
      <c r="D307" s="277"/>
      <c r="E307" s="278"/>
      <c r="F307" s="138" t="e">
        <f>F268-F305</f>
        <v>#N/A</v>
      </c>
      <c r="G307" s="279"/>
      <c r="H307" s="278"/>
      <c r="I307" s="138"/>
      <c r="J307" s="279"/>
      <c r="K307" s="278"/>
      <c r="L307" s="138">
        <f>L268-L305</f>
        <v>6714.2799999999552</v>
      </c>
      <c r="M307" s="280"/>
      <c r="N307" s="138" t="e">
        <f>L307-F307</f>
        <v>#N/A</v>
      </c>
      <c r="O307" s="279"/>
      <c r="P307" s="278"/>
      <c r="Q307" s="138">
        <f>Q268-Q305</f>
        <v>30004.74000000002</v>
      </c>
      <c r="R307" s="281"/>
      <c r="S307" s="138">
        <f>L307-Q307</f>
        <v>-23290.460000000065</v>
      </c>
      <c r="T307" s="6"/>
      <c r="U307" s="6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spans="1:40" ht="15.75" customHeight="1" thickTop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55"/>
      <c r="M308" s="55"/>
      <c r="N308" s="7"/>
      <c r="O308" s="55"/>
      <c r="P308" s="55"/>
      <c r="Q308" s="55"/>
      <c r="R308" s="7"/>
      <c r="S308" s="7"/>
      <c r="T308" s="6"/>
      <c r="U308" s="6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spans="1:40" ht="15.75" customHeight="1"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97"/>
      <c r="M309" s="97"/>
      <c r="N309" s="6"/>
      <c r="O309" s="97"/>
      <c r="P309" s="6"/>
      <c r="Q309" s="97"/>
      <c r="R309" s="6"/>
      <c r="S309" s="6"/>
      <c r="T309" s="6"/>
      <c r="U309" s="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spans="1:40" ht="33" customHeight="1">
      <c r="B310" s="7"/>
      <c r="C310" s="251" t="str">
        <f>C1</f>
        <v>Ste-Marie Auto</v>
      </c>
      <c r="D310" s="252"/>
      <c r="E310" s="253"/>
      <c r="F310" s="252"/>
      <c r="G310" s="252"/>
      <c r="H310" s="254"/>
      <c r="I310" s="252"/>
      <c r="J310" s="254"/>
      <c r="K310" s="255" t="s">
        <v>94</v>
      </c>
      <c r="L310" s="252"/>
      <c r="M310" s="252"/>
      <c r="N310" s="256"/>
      <c r="O310" s="251"/>
      <c r="P310" s="257"/>
      <c r="Q310" s="251"/>
      <c r="R310" s="257"/>
      <c r="S310" s="258" t="str">
        <f>$S$1</f>
        <v>Réalisé, Aout 2026</v>
      </c>
      <c r="T310" s="419"/>
      <c r="U310" s="381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spans="1:40" ht="24" customHeight="1" thickBot="1">
      <c r="B311" s="7"/>
      <c r="C311" s="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15.75" customHeight="1" thickTop="1">
      <c r="B312" s="7"/>
      <c r="C312" s="259"/>
      <c r="D312" s="407" t="s">
        <v>5</v>
      </c>
      <c r="E312" s="408"/>
      <c r="F312" s="406"/>
      <c r="G312" s="405"/>
      <c r="H312" s="408"/>
      <c r="I312" s="406"/>
      <c r="J312" s="405" t="s">
        <v>7</v>
      </c>
      <c r="K312" s="408"/>
      <c r="L312" s="406"/>
      <c r="M312" s="405" t="s">
        <v>211</v>
      </c>
      <c r="N312" s="406"/>
      <c r="O312" s="407" t="s">
        <v>8</v>
      </c>
      <c r="P312" s="408"/>
      <c r="Q312" s="406"/>
      <c r="R312" s="405" t="s">
        <v>212</v>
      </c>
      <c r="S312" s="406"/>
      <c r="T312" s="423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spans="1:40" ht="15.75" customHeight="1">
      <c r="A313" s="410" t="s">
        <v>94</v>
      </c>
      <c r="B313" s="7" t="s">
        <v>94</v>
      </c>
      <c r="C313" s="26"/>
      <c r="D313" s="53" t="s">
        <v>39</v>
      </c>
      <c r="E313" s="53" t="s">
        <v>79</v>
      </c>
      <c r="F313" s="84" t="s">
        <v>12</v>
      </c>
      <c r="G313" s="85"/>
      <c r="H313" s="53"/>
      <c r="I313" s="84"/>
      <c r="J313" s="85" t="s">
        <v>39</v>
      </c>
      <c r="K313" s="53" t="s">
        <v>79</v>
      </c>
      <c r="L313" s="84" t="s">
        <v>12</v>
      </c>
      <c r="M313" s="85" t="s">
        <v>39</v>
      </c>
      <c r="N313" s="84" t="s">
        <v>215</v>
      </c>
      <c r="O313" s="53" t="s">
        <v>39</v>
      </c>
      <c r="P313" s="53" t="s">
        <v>79</v>
      </c>
      <c r="Q313" s="84" t="s">
        <v>12</v>
      </c>
      <c r="R313" s="85" t="s">
        <v>80</v>
      </c>
      <c r="S313" s="84" t="s">
        <v>12</v>
      </c>
      <c r="T313" s="5"/>
      <c r="U313" s="6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spans="1:40" ht="15.75" customHeight="1">
      <c r="A314" s="410" t="s">
        <v>94</v>
      </c>
      <c r="B314" s="7" t="s">
        <v>94</v>
      </c>
      <c r="C314" s="26"/>
      <c r="D314" s="53"/>
      <c r="E314" s="53"/>
      <c r="F314" s="84"/>
      <c r="G314" s="85"/>
      <c r="H314" s="53"/>
      <c r="I314" s="84"/>
      <c r="J314" s="85"/>
      <c r="K314" s="19"/>
      <c r="L314" s="21"/>
      <c r="M314" s="85"/>
      <c r="N314" s="84"/>
      <c r="O314" s="53"/>
      <c r="P314" s="53"/>
      <c r="Q314" s="84"/>
      <c r="R314" s="85"/>
      <c r="S314" s="84"/>
      <c r="T314" s="5"/>
      <c r="U314" s="6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spans="1:40" ht="15.75" customHeight="1">
      <c r="A315" s="410" t="s">
        <v>382</v>
      </c>
      <c r="B315" s="7" t="s">
        <v>94</v>
      </c>
      <c r="C315" s="26" t="s">
        <v>383</v>
      </c>
      <c r="D315" s="269" t="e">
        <f>+INDEX('[2]Budget original'!$A$2:$AO$501,MATCH($A315,'[2]Budget original'!$A$2:$A$501,0),MATCH(D$2,'[2]Budget original'!$A$2:$AO$2,0))</f>
        <v>#N/A</v>
      </c>
      <c r="E315" s="55" t="e">
        <f>+INDEX('[2]Budget original'!$A$2:$AO$501,MATCH($A315,'[2]Budget original'!$A$2:$A$501,0),MATCH(E$2,'[2]Budget original'!$A$2:$AO$2,0))</f>
        <v>#N/A</v>
      </c>
      <c r="F315" s="55" t="e">
        <f>+INDEX('[2]Budget original'!$A$2:$AO$501,MATCH($A315,'[2]Budget original'!$A$2:$A$501,0),MATCH(F$2,'[2]Budget original'!$A$2:$AO$2,0))</f>
        <v>#N/A</v>
      </c>
      <c r="G315" s="98"/>
      <c r="H315" s="55"/>
      <c r="I315" s="55"/>
      <c r="J315" s="40"/>
      <c r="K315" s="55">
        <f>-SUMIFS([2]BV_Data_An_Cour!$AM:$AM,[2]BV_Data_An_Cour!$AS:$AS,"Oui",[2]BV_Data_An_Cour!$AP:$AP,$B315,[2]BV_Data_An_Cour!$AQ:$AQ,$C315)</f>
        <v>92825.24</v>
      </c>
      <c r="L315" s="39">
        <f>-SUMIFS([2]BV_Data_An_Cour!$AM:$AM,[2]BV_Data_An_Cour!$AP:$AP,$B315,[2]BV_Data_An_Cour!$AQ:$AQ,$C315,[2]BV_Data_An_Cour!$AR:$AR,$L$2)</f>
        <v>41878.92</v>
      </c>
      <c r="M315" s="99">
        <f>IFERROR((K315-E315)/E315,0)</f>
        <v>0</v>
      </c>
      <c r="N315" s="39" t="e">
        <f>L315-F315</f>
        <v>#N/A</v>
      </c>
      <c r="O315" s="40"/>
      <c r="P315" s="55">
        <f>-SUMIFS([2]BV_Data_An_Prec!$AM:$AM,[2]BV_Data_An_Prec!$AS:$AS,"Oui",[2]BV_Data_An_Prec!$AP:$AP,$B315,[2]BV_Data_An_Prec!$AQ:$AQ,$C315)</f>
        <v>171568.72</v>
      </c>
      <c r="Q315" s="39">
        <f>-SUMIFS([2]BV_Data_An_Prec!$AM:$AM,[2]BV_Data_An_Prec!$AP:$AP,$B315,[2]BV_Data_An_Prec!$AQ:$AQ,$C315,[2]BV_Data_An_Prec!$AR:$AR,$L$2)</f>
        <v>70330.349999999977</v>
      </c>
      <c r="R315" s="99">
        <f>IF(O315=0,0,J315/O315)</f>
        <v>0</v>
      </c>
      <c r="S315" s="39">
        <f>L315-Q315</f>
        <v>-28451.429999999978</v>
      </c>
      <c r="T315" s="5"/>
      <c r="U315" s="6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spans="1:40" ht="15.75" customHeight="1">
      <c r="A316" s="410" t="s">
        <v>384</v>
      </c>
      <c r="B316" s="7" t="s">
        <v>94</v>
      </c>
      <c r="C316" s="26" t="s">
        <v>82</v>
      </c>
      <c r="D316" s="53"/>
      <c r="E316" s="91"/>
      <c r="F316" s="100">
        <f>IFERROR(F315/E315,0)</f>
        <v>0</v>
      </c>
      <c r="G316" s="26"/>
      <c r="H316" s="91"/>
      <c r="I316" s="100"/>
      <c r="J316" s="40"/>
      <c r="K316" s="7"/>
      <c r="L316" s="100">
        <f>IFERROR(L315/K315,0)</f>
        <v>0.45115875811363371</v>
      </c>
      <c r="M316" s="99"/>
      <c r="N316" s="39">
        <f>IFERROR(N315/M315,0)</f>
        <v>0</v>
      </c>
      <c r="O316" s="40"/>
      <c r="P316" s="7"/>
      <c r="Q316" s="100">
        <f>IFERROR(Q315/P315,0)</f>
        <v>0.40992524744603781</v>
      </c>
      <c r="R316" s="40"/>
      <c r="S316" s="100">
        <f>IF(Q315=0,0,(S315/Q315))</f>
        <v>-0.40453986081400117</v>
      </c>
      <c r="T316" s="5"/>
      <c r="U316" s="6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spans="1:40" ht="15.75" customHeight="1">
      <c r="A317" s="410" t="s">
        <v>94</v>
      </c>
      <c r="B317" s="7" t="s">
        <v>94</v>
      </c>
      <c r="C317" s="26"/>
      <c r="D317" s="53"/>
      <c r="E317" s="141"/>
      <c r="F317" s="87"/>
      <c r="G317" s="85"/>
      <c r="H317" s="141"/>
      <c r="I317" s="87"/>
      <c r="J317" s="85"/>
      <c r="K317" s="53"/>
      <c r="L317" s="84"/>
      <c r="M317" s="85"/>
      <c r="N317" s="84"/>
      <c r="O317" s="85"/>
      <c r="P317" s="53"/>
      <c r="Q317" s="84"/>
      <c r="R317" s="130"/>
      <c r="S317" s="250"/>
      <c r="T317" s="5"/>
      <c r="U317" s="6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spans="1:40" ht="15.75" customHeight="1">
      <c r="A318" s="410" t="s">
        <v>385</v>
      </c>
      <c r="B318" s="7" t="s">
        <v>94</v>
      </c>
      <c r="C318" s="71" t="s">
        <v>386</v>
      </c>
      <c r="D318" s="105" t="e">
        <f>+INDEX('[2]Budget original'!$A$2:$AO$501,MATCH($A318,'[2]Budget original'!$A$2:$A$501,0),MATCH(D$2,'[2]Budget original'!$A$2:$AO$2,0))</f>
        <v>#N/A</v>
      </c>
      <c r="E318" s="55" t="e">
        <f>+INDEX('[2]Budget original'!$A$2:$AO$501,MATCH($A318,'[2]Budget original'!$A$2:$A$501,0),MATCH(E$2,'[2]Budget original'!$A$2:$AO$2,0))</f>
        <v>#N/A</v>
      </c>
      <c r="F318" s="55" t="e">
        <f>+INDEX('[2]Budget original'!$A$2:$AO$501,MATCH($A318,'[2]Budget original'!$A$2:$A$501,0),MATCH(F$2,'[2]Budget original'!$A$2:$AO$2,0))</f>
        <v>#N/A</v>
      </c>
      <c r="G318" s="131"/>
      <c r="H318" s="55"/>
      <c r="I318" s="55"/>
      <c r="J318" s="106"/>
      <c r="K318" s="105">
        <f>-SUMIFS([2]BV_Data_An_Cour!$AM:$AM,[2]BV_Data_An_Cour!$AS:$AS,"Oui",[2]BV_Data_An_Cour!$AP:$AP,$B318,[2]BV_Data_An_Cour!$AQ:$AQ,$C318)</f>
        <v>8872.0999999999967</v>
      </c>
      <c r="L318" s="72">
        <f>-SUMIFS([2]BV_Data_An_Cour!$AM:$AM,[2]BV_Data_An_Cour!$AP:$AP,$B318,[2]BV_Data_An_Cour!$AQ:$AQ,$C318,[2]BV_Data_An_Cour!$AR:$AR,$L$2)</f>
        <v>5629.2899999999981</v>
      </c>
      <c r="M318" s="109">
        <f>IFERROR((K318-E318)/E318,0)</f>
        <v>0</v>
      </c>
      <c r="N318" s="72" t="e">
        <f>L318-F318</f>
        <v>#N/A</v>
      </c>
      <c r="O318" s="106"/>
      <c r="P318" s="105">
        <f>-SUMIFS([2]BV_Data_An_Prec!$AM:$AM,[2]BV_Data_An_Prec!$AS:$AS,"Oui",[2]BV_Data_An_Prec!$AP:$AP,$B318,[2]BV_Data_An_Prec!$AQ:$AQ,$C318)</f>
        <v>6142.4399999999987</v>
      </c>
      <c r="Q318" s="72">
        <f>-SUMIFS([2]BV_Data_An_Prec!$AM:$AM,[2]BV_Data_An_Prec!$AP:$AP,$B318,[2]BV_Data_An_Prec!$AQ:$AQ,$C318,[2]BV_Data_An_Prec!$AR:$AR,$L$2)</f>
        <v>14211.439999999999</v>
      </c>
      <c r="R318" s="99">
        <f>IF(O318=0,0,J318/O318)</f>
        <v>0</v>
      </c>
      <c r="S318" s="39">
        <f>L318-Q318</f>
        <v>-8582.1500000000015</v>
      </c>
      <c r="T318" s="421"/>
      <c r="U318" s="6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spans="1:40" ht="15.75" customHeight="1">
      <c r="A319" s="410" t="s">
        <v>384</v>
      </c>
      <c r="B319" s="7" t="s">
        <v>94</v>
      </c>
      <c r="C319" s="26" t="s">
        <v>82</v>
      </c>
      <c r="D319" s="7"/>
      <c r="E319" s="91"/>
      <c r="F319" s="100" t="e">
        <f>F318/E318</f>
        <v>#N/A</v>
      </c>
      <c r="G319" s="26"/>
      <c r="H319" s="91"/>
      <c r="I319" s="100"/>
      <c r="J319" s="40"/>
      <c r="K319" s="7"/>
      <c r="L319" s="100">
        <f>IFERROR(L318/K318,0)</f>
        <v>0.63449352464467268</v>
      </c>
      <c r="M319" s="99"/>
      <c r="N319" s="39">
        <f>IFERROR(N318/F318,0)</f>
        <v>0</v>
      </c>
      <c r="O319" s="40"/>
      <c r="P319" s="7"/>
      <c r="Q319" s="100">
        <f>IFERROR(Q318/P318,0)</f>
        <v>2.3136473453546151</v>
      </c>
      <c r="R319" s="40"/>
      <c r="S319" s="100">
        <f>IF(Q318=0,0,(S318/Q318))</f>
        <v>-0.60389024616787623</v>
      </c>
      <c r="T319" s="421"/>
      <c r="U319" s="6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spans="1:40" ht="15.75" customHeight="1">
      <c r="A320" s="410" t="s">
        <v>94</v>
      </c>
      <c r="B320" s="7" t="s">
        <v>94</v>
      </c>
      <c r="C320" s="14"/>
      <c r="D320" s="73"/>
      <c r="E320" s="101"/>
      <c r="F320" s="102"/>
      <c r="G320" s="14"/>
      <c r="H320" s="101"/>
      <c r="I320" s="102"/>
      <c r="J320" s="103"/>
      <c r="K320" s="132"/>
      <c r="L320" s="102"/>
      <c r="M320" s="104"/>
      <c r="N320" s="61"/>
      <c r="O320" s="103"/>
      <c r="P320" s="132"/>
      <c r="Q320" s="102"/>
      <c r="R320" s="103"/>
      <c r="S320" s="61"/>
      <c r="T320" s="421"/>
      <c r="U320" s="6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spans="1:40" ht="15.75" customHeight="1">
      <c r="A321" s="410" t="s">
        <v>387</v>
      </c>
      <c r="B321" s="7" t="s">
        <v>94</v>
      </c>
      <c r="C321" s="71" t="s">
        <v>388</v>
      </c>
      <c r="D321" s="105">
        <v>0</v>
      </c>
      <c r="E321" s="55">
        <v>0</v>
      </c>
      <c r="F321" s="55">
        <v>0</v>
      </c>
      <c r="G321" s="106"/>
      <c r="H321" s="55"/>
      <c r="I321" s="55"/>
      <c r="J321" s="106"/>
      <c r="K321" s="55">
        <f>-SUMIFS([2]BV_Data_An_Cour!$AM:$AM,[2]BV_Data_An_Cour!$AS:$AS,"Oui",[2]BV_Data_An_Cour!$AP:$AP,$B321,[2]BV_Data_An_Cour!$AQ:$AQ,$C321)</f>
        <v>29108.209999999992</v>
      </c>
      <c r="L321" s="39">
        <f>-SUMIFS([2]BV_Data_An_Cour!$AM:$AM,[2]BV_Data_An_Cour!$AP:$AP,$B321,[2]BV_Data_An_Cour!$AQ:$AQ,$C321,[2]BV_Data_An_Cour!$AR:$AR,$L$2)</f>
        <v>16888.71999999999</v>
      </c>
      <c r="M321" s="99">
        <f>IFERROR((K321-E321)/E321,0)</f>
        <v>0</v>
      </c>
      <c r="N321" s="72">
        <f>L321-F321</f>
        <v>16888.71999999999</v>
      </c>
      <c r="O321" s="106"/>
      <c r="P321" s="55">
        <f>-SUMIFS([2]BV_Data_An_Prec!$AM:$AM,[2]BV_Data_An_Prec!$AS:$AS,"Oui",[2]BV_Data_An_Prec!$AP:$AP,$B321,[2]BV_Data_An_Prec!$AQ:$AQ,$C321)</f>
        <v>0</v>
      </c>
      <c r="Q321" s="39">
        <f>-SUMIFS([2]BV_Data_An_Prec!$AM:$AM,[2]BV_Data_An_Prec!$AP:$AP,$B321,[2]BV_Data_An_Prec!$AQ:$AQ,$C321,[2]BV_Data_An_Prec!$AR:$AR,$L$2)</f>
        <v>0</v>
      </c>
      <c r="R321" s="99">
        <f>IF(O321=0,0,J321/O321)</f>
        <v>0</v>
      </c>
      <c r="S321" s="39">
        <f>L321-Q321</f>
        <v>16888.71999999999</v>
      </c>
      <c r="T321" s="421"/>
      <c r="U321" s="6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spans="1:40" ht="15.75" customHeight="1">
      <c r="A322" s="410" t="s">
        <v>384</v>
      </c>
      <c r="B322" s="7" t="s">
        <v>94</v>
      </c>
      <c r="C322" s="26" t="s">
        <v>82</v>
      </c>
      <c r="D322" s="7"/>
      <c r="E322" s="7"/>
      <c r="F322" s="100" t="e">
        <f>F321/E321</f>
        <v>#DIV/0!</v>
      </c>
      <c r="G322" s="26"/>
      <c r="H322" s="7"/>
      <c r="I322" s="100"/>
      <c r="J322" s="26"/>
      <c r="K322" s="7"/>
      <c r="L322" s="100">
        <f>IFERROR(L321/K321,0)</f>
        <v>0.58020469139119157</v>
      </c>
      <c r="M322" s="27"/>
      <c r="N322" s="28">
        <f>IF(L321=0,0,N321/L321)</f>
        <v>1</v>
      </c>
      <c r="O322" s="26"/>
      <c r="P322" s="7"/>
      <c r="Q322" s="100">
        <f>IFERROR(Q321/P321,0)</f>
        <v>0</v>
      </c>
      <c r="R322" s="40"/>
      <c r="S322" s="100">
        <f>IF(Q321=0,0,(S321/Q321))</f>
        <v>0</v>
      </c>
      <c r="T322" s="421"/>
      <c r="U322" s="6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spans="1:40" ht="15.75" customHeight="1">
      <c r="A323" s="410"/>
      <c r="B323" s="7" t="s">
        <v>94</v>
      </c>
      <c r="C323" s="248"/>
      <c r="D323" s="249"/>
      <c r="E323" s="249"/>
      <c r="F323" s="108"/>
      <c r="G323" s="248"/>
      <c r="H323" s="249"/>
      <c r="I323" s="108"/>
      <c r="J323" s="248"/>
      <c r="K323" s="249"/>
      <c r="L323" s="92"/>
      <c r="M323" s="326"/>
      <c r="N323" s="327"/>
      <c r="O323" s="248"/>
      <c r="P323" s="249"/>
      <c r="Q323" s="108"/>
      <c r="R323" s="328"/>
      <c r="S323" s="108"/>
      <c r="T323" s="421"/>
      <c r="U323" s="6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spans="1:40" ht="15.75" customHeight="1">
      <c r="A324" s="410"/>
      <c r="B324" s="7" t="s">
        <v>94</v>
      </c>
      <c r="C324" s="26" t="s">
        <v>389</v>
      </c>
      <c r="D324" s="7"/>
      <c r="E324" s="7"/>
      <c r="F324" s="100"/>
      <c r="G324" s="26"/>
      <c r="H324" s="7"/>
      <c r="I324" s="100"/>
      <c r="J324" s="26"/>
      <c r="K324" s="7"/>
      <c r="L324" s="39">
        <f>-SUMIFS([2]BV_Data_An_Cour!$AM:$AM,[2]BV_Data_An_Cour!$AP:$AP,$B324,[2]BV_Data_An_Cour!$AQ:$AQ,$C324,[2]BV_Data_An_Cour!$AR:$AR,$L$2)</f>
        <v>-1510.869999999999</v>
      </c>
      <c r="M324" s="27"/>
      <c r="N324" s="28"/>
      <c r="O324" s="26"/>
      <c r="P324" s="7"/>
      <c r="Q324" s="39">
        <f>-SUMIFS([2]BV_Data_An_Prec!$AM:$AM,[2]BV_Data_An_Prec!$AP:$AP,$B324,[2]BV_Data_An_Prec!$AQ:$AQ,$C324,[2]BV_Data_An_Prec!$AR:$AR,$L$2)</f>
        <v>4423.45</v>
      </c>
      <c r="R324" s="99">
        <f>IF(O324=0,0,J324/O324)</f>
        <v>0</v>
      </c>
      <c r="S324" s="39">
        <f>L324-Q324</f>
        <v>-5934.3199999999988</v>
      </c>
      <c r="T324" s="421"/>
      <c r="U324" s="6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spans="1:40" ht="15.75" customHeight="1" thickBot="1">
      <c r="A325" s="410" t="s">
        <v>94</v>
      </c>
      <c r="B325" s="7" t="s">
        <v>94</v>
      </c>
      <c r="C325" s="26"/>
      <c r="D325" s="7"/>
      <c r="E325" s="7"/>
      <c r="F325" s="100"/>
      <c r="G325" s="26"/>
      <c r="H325" s="7"/>
      <c r="I325" s="100"/>
      <c r="J325" s="26"/>
      <c r="K325" s="7"/>
      <c r="L325" s="39"/>
      <c r="M325" s="27"/>
      <c r="N325" s="28"/>
      <c r="O325" s="26"/>
      <c r="P325" s="7"/>
      <c r="Q325" s="39"/>
      <c r="R325" s="27"/>
      <c r="S325" s="28"/>
      <c r="T325" s="421"/>
      <c r="U325" s="6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spans="1:40" ht="18" customHeight="1" thickTop="1">
      <c r="A326" s="410" t="s">
        <v>390</v>
      </c>
      <c r="B326" s="7" t="s">
        <v>94</v>
      </c>
      <c r="C326" s="264" t="s">
        <v>391</v>
      </c>
      <c r="D326" s="41"/>
      <c r="E326" s="42" t="e">
        <f>E318+E321+E315</f>
        <v>#N/A</v>
      </c>
      <c r="F326" s="43" t="e">
        <f>F318+F321+F315</f>
        <v>#N/A</v>
      </c>
      <c r="G326" s="44"/>
      <c r="H326" s="42"/>
      <c r="I326" s="43"/>
      <c r="J326" s="44"/>
      <c r="K326" s="41">
        <f t="shared" ref="K326" si="46">K318+K321+K315</f>
        <v>130805.54999999999</v>
      </c>
      <c r="L326" s="43">
        <f>L318+L321+L315+L324</f>
        <v>62886.059999999983</v>
      </c>
      <c r="M326" s="44" t="e">
        <f>L327-F327</f>
        <v>#N/A</v>
      </c>
      <c r="N326" s="43" t="e">
        <f>L326-F326</f>
        <v>#N/A</v>
      </c>
      <c r="O326" s="44"/>
      <c r="P326" s="41">
        <f t="shared" ref="P326" si="47">P318+P321+P315</f>
        <v>177711.16</v>
      </c>
      <c r="Q326" s="43">
        <f>Q318+Q321+Q315+Q324</f>
        <v>88965.239999999976</v>
      </c>
      <c r="R326" s="44"/>
      <c r="S326" s="43">
        <f>L326-Q326</f>
        <v>-26079.179999999993</v>
      </c>
      <c r="T326" s="6"/>
      <c r="U326" s="6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spans="1:40" ht="22.5" customHeight="1" thickBot="1">
      <c r="A327" s="410" t="s">
        <v>94</v>
      </c>
      <c r="B327" s="7" t="s">
        <v>94</v>
      </c>
      <c r="C327" s="47"/>
      <c r="D327" s="45"/>
      <c r="E327" s="45"/>
      <c r="F327" s="46" t="e">
        <f>F326/E326</f>
        <v>#N/A</v>
      </c>
      <c r="G327" s="47"/>
      <c r="H327" s="45"/>
      <c r="I327" s="46"/>
      <c r="J327" s="47"/>
      <c r="K327" s="265"/>
      <c r="L327" s="267">
        <f>L326/K326</f>
        <v>0.48075987601443509</v>
      </c>
      <c r="M327" s="48"/>
      <c r="N327" s="49" t="e">
        <f>N326/F326</f>
        <v>#N/A</v>
      </c>
      <c r="O327" s="47"/>
      <c r="P327" s="265"/>
      <c r="Q327" s="267">
        <f>Q326/P326</f>
        <v>0.50061706873108014</v>
      </c>
      <c r="R327" s="48"/>
      <c r="S327" s="267">
        <f>S326/Q326</f>
        <v>-0.29313898327031995</v>
      </c>
      <c r="T327" s="6"/>
      <c r="U327" s="6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spans="1:40" ht="15.75" customHeight="1" thickTop="1">
      <c r="A328" s="410" t="s">
        <v>94</v>
      </c>
      <c r="B328" s="7" t="s">
        <v>94</v>
      </c>
      <c r="C328" s="26"/>
      <c r="D328" s="7"/>
      <c r="E328" s="7"/>
      <c r="F328" s="39"/>
      <c r="G328" s="26"/>
      <c r="H328" s="7"/>
      <c r="I328" s="39"/>
      <c r="J328" s="26"/>
      <c r="K328" s="7"/>
      <c r="L328" s="25"/>
      <c r="M328" s="26"/>
      <c r="N328" s="25"/>
      <c r="O328" s="26"/>
      <c r="P328" s="7"/>
      <c r="Q328" s="25"/>
      <c r="R328" s="26"/>
      <c r="S328" s="25"/>
      <c r="T328" s="6"/>
      <c r="U328" s="6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spans="1:40" ht="15.75" customHeight="1">
      <c r="A329" s="410" t="s">
        <v>392</v>
      </c>
      <c r="B329" s="7" t="s">
        <v>94</v>
      </c>
      <c r="C329" s="268" t="s">
        <v>29</v>
      </c>
      <c r="D329" s="7"/>
      <c r="E329" s="7"/>
      <c r="F329" s="39"/>
      <c r="G329" s="26"/>
      <c r="H329" s="7"/>
      <c r="I329" s="39"/>
      <c r="J329" s="26"/>
      <c r="K329" s="7"/>
      <c r="L329" s="25"/>
      <c r="M329" s="26"/>
      <c r="N329" s="25"/>
      <c r="O329" s="26"/>
      <c r="P329" s="7"/>
      <c r="Q329" s="25"/>
      <c r="R329" s="26"/>
      <c r="S329" s="25"/>
      <c r="T329" s="6"/>
      <c r="U329" s="6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spans="1:40" ht="15.75" customHeight="1">
      <c r="A330" s="410" t="s">
        <v>393</v>
      </c>
      <c r="B330" s="7" t="s">
        <v>94</v>
      </c>
      <c r="C330" s="271" t="s">
        <v>40</v>
      </c>
      <c r="D330" s="7"/>
      <c r="E330" s="7"/>
      <c r="F330" s="19" t="e">
        <f>+INDEX('[2]Budget original'!$A$2:$AO$501,MATCH($A330,'[2]Budget original'!$A$2:$A$501,0),MATCH(F$2,'[2]Budget original'!$A$2:$AO$2,0))</f>
        <v>#N/A</v>
      </c>
      <c r="G330" s="26"/>
      <c r="H330" s="7"/>
      <c r="I330" s="19"/>
      <c r="J330" s="26"/>
      <c r="K330" s="7"/>
      <c r="L330" s="39">
        <f>SUMIFS([2]BV_Data_An_Cour!$AM:$AM,[2]BV_Data_An_Cour!$AP:$AP,$B330,[2]BV_Data_An_Cour!$AQ:$AQ,$C330,[2]BV_Data_An_Cour!$AR:$AR,$L$2)</f>
        <v>14505.379999999997</v>
      </c>
      <c r="M330" s="26"/>
      <c r="N330" s="39" t="e">
        <f t="shared" ref="N330:N360" si="48">L330-F330</f>
        <v>#N/A</v>
      </c>
      <c r="O330" s="26"/>
      <c r="P330" s="7"/>
      <c r="Q330" s="39">
        <f>SUMIFS([2]BV_Data_An_Prec!$AM:$AM,[2]BV_Data_An_Prec!$AP:$AP,$B330,[2]BV_Data_An_Prec!$AQ:$AQ,$C330,[2]BV_Data_An_Prec!$AR:$AR,$L$2)</f>
        <v>12365.089999999997</v>
      </c>
      <c r="R330" s="26"/>
      <c r="S330" s="39">
        <f t="shared" ref="S330:S361" si="49">L330-Q330</f>
        <v>2140.2900000000009</v>
      </c>
      <c r="T330" s="6"/>
      <c r="U330" s="6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spans="1:40" ht="15.75" customHeight="1">
      <c r="A331" s="410" t="s">
        <v>394</v>
      </c>
      <c r="B331" s="7" t="s">
        <v>94</v>
      </c>
      <c r="C331" s="272" t="s">
        <v>41</v>
      </c>
      <c r="D331" s="54"/>
      <c r="E331" s="7"/>
      <c r="F331" s="31" t="e">
        <f>+INDEX('[2]Budget original'!$A$2:$AO$501,MATCH($A331,'[2]Budget original'!$A$2:$A$501,0),MATCH(F$2,'[2]Budget original'!$A$2:$AO$2,0))</f>
        <v>#N/A</v>
      </c>
      <c r="G331" s="56"/>
      <c r="H331" s="7"/>
      <c r="I331" s="31"/>
      <c r="J331" s="26"/>
      <c r="K331" s="7"/>
      <c r="L331" s="39">
        <f>SUMIFS([2]BV_Data_An_Cour!$AM:$AM,[2]BV_Data_An_Cour!$AP:$AP,$B331,[2]BV_Data_An_Cour!$AQ:$AQ,$C331,[2]BV_Data_An_Cour!$AR:$AR,$L$2)</f>
        <v>6524.5199999999968</v>
      </c>
      <c r="M331" s="26"/>
      <c r="N331" s="39" t="e">
        <f t="shared" si="48"/>
        <v>#N/A</v>
      </c>
      <c r="O331" s="26"/>
      <c r="P331" s="7"/>
      <c r="Q331" s="39">
        <f>SUMIFS([2]BV_Data_An_Prec!$AM:$AM,[2]BV_Data_An_Prec!$AP:$AP,$B331,[2]BV_Data_An_Prec!$AQ:$AQ,$C331,[2]BV_Data_An_Prec!$AR:$AR,$L$2)</f>
        <v>6518.8700000000026</v>
      </c>
      <c r="R331" s="26"/>
      <c r="S331" s="39">
        <f t="shared" si="49"/>
        <v>5.6499999999941792</v>
      </c>
      <c r="T331" s="6"/>
      <c r="U331" s="6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spans="1:40" ht="15.75" customHeight="1">
      <c r="A332" s="410" t="s">
        <v>395</v>
      </c>
      <c r="B332" s="7" t="s">
        <v>94</v>
      </c>
      <c r="C332" s="271" t="s">
        <v>42</v>
      </c>
      <c r="D332" s="68"/>
      <c r="E332" s="69"/>
      <c r="F332" s="19" t="e">
        <f>+INDEX('[2]Budget original'!$A$2:$AO$501,MATCH($A332,'[2]Budget original'!$A$2:$A$501,0),MATCH(F$2,'[2]Budget original'!$A$2:$AO$2,0))</f>
        <v>#N/A</v>
      </c>
      <c r="G332" s="70"/>
      <c r="H332" s="69"/>
      <c r="I332" s="19"/>
      <c r="J332" s="71"/>
      <c r="K332" s="69"/>
      <c r="L332" s="72">
        <f>SUMIFS([2]BV_Data_An_Cour!$AM:$AM,[2]BV_Data_An_Cour!$AP:$AP,$B332,[2]BV_Data_An_Cour!$AQ:$AQ,$C332,[2]BV_Data_An_Cour!$AR:$AR,$L$2)</f>
        <v>374.27</v>
      </c>
      <c r="M332" s="71"/>
      <c r="N332" s="72" t="e">
        <f t="shared" si="48"/>
        <v>#N/A</v>
      </c>
      <c r="O332" s="71"/>
      <c r="P332" s="69"/>
      <c r="Q332" s="72">
        <f>SUMIFS([2]BV_Data_An_Prec!$AM:$AM,[2]BV_Data_An_Prec!$AP:$AP,$B332,[2]BV_Data_An_Prec!$AQ:$AQ,$C332,[2]BV_Data_An_Prec!$AR:$AR,$L$2)</f>
        <v>0</v>
      </c>
      <c r="R332" s="71"/>
      <c r="S332" s="72">
        <f t="shared" si="49"/>
        <v>374.27</v>
      </c>
      <c r="T332" s="6"/>
      <c r="U332" s="6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spans="1:40" ht="15.75" customHeight="1">
      <c r="A333" s="410" t="s">
        <v>396</v>
      </c>
      <c r="B333" s="7" t="s">
        <v>94</v>
      </c>
      <c r="C333" s="271" t="s">
        <v>43</v>
      </c>
      <c r="D333" s="54"/>
      <c r="E333" s="7"/>
      <c r="F333" s="19" t="e">
        <f>+INDEX('[2]Budget original'!$A$2:$AO$501,MATCH($A333,'[2]Budget original'!$A$2:$A$501,0),MATCH(F$2,'[2]Budget original'!$A$2:$AO$2,0))</f>
        <v>#N/A</v>
      </c>
      <c r="G333" s="56"/>
      <c r="H333" s="7"/>
      <c r="I333" s="19"/>
      <c r="J333" s="26"/>
      <c r="K333" s="7"/>
      <c r="L333" s="39">
        <f>SUMIFS([2]BV_Data_An_Cour!$AM:$AM,[2]BV_Data_An_Cour!$AP:$AP,$B333,[2]BV_Data_An_Cour!$AQ:$AQ,$C333,[2]BV_Data_An_Cour!$AR:$AR,$L$2)</f>
        <v>0</v>
      </c>
      <c r="M333" s="26"/>
      <c r="N333" s="39" t="e">
        <f t="shared" si="48"/>
        <v>#N/A</v>
      </c>
      <c r="O333" s="26"/>
      <c r="P333" s="7"/>
      <c r="Q333" s="39">
        <f>SUMIFS([2]BV_Data_An_Prec!$AM:$AM,[2]BV_Data_An_Prec!$AP:$AP,$B333,[2]BV_Data_An_Prec!$AQ:$AQ,$C333,[2]BV_Data_An_Prec!$AR:$AR,$L$2)</f>
        <v>0</v>
      </c>
      <c r="R333" s="26"/>
      <c r="S333" s="39">
        <f t="shared" si="49"/>
        <v>0</v>
      </c>
      <c r="T333" s="6"/>
      <c r="U333" s="6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spans="1:40" ht="20.399999999999999" hidden="1" customHeight="1">
      <c r="A334" s="410" t="s">
        <v>397</v>
      </c>
      <c r="B334" s="7" t="s">
        <v>94</v>
      </c>
      <c r="C334" s="26" t="s">
        <v>19</v>
      </c>
      <c r="D334" s="54"/>
      <c r="E334" s="7"/>
      <c r="F334" s="19" t="e">
        <f>+INDEX('[2]Budget original'!$A$2:$AO$501,MATCH($A334,'[2]Budget original'!$A$2:$A$501,0),MATCH(F$2,'[2]Budget original'!$A$2:$AO$2,0))</f>
        <v>#N/A</v>
      </c>
      <c r="G334" s="56"/>
      <c r="H334" s="7"/>
      <c r="I334" s="19"/>
      <c r="J334" s="26"/>
      <c r="K334" s="7"/>
      <c r="L334" s="39">
        <f>SUMIFS([2]BV_Data_An_Cour!$AM:$AM,[2]BV_Data_An_Cour!$AP:$AP,$B334,[2]BV_Data_An_Cour!$AQ:$AQ,$C334,[2]BV_Data_An_Cour!$AR:$AR,$L$2)</f>
        <v>0</v>
      </c>
      <c r="M334" s="26"/>
      <c r="N334" s="39" t="e">
        <f t="shared" si="48"/>
        <v>#N/A</v>
      </c>
      <c r="O334" s="26"/>
      <c r="P334" s="7"/>
      <c r="Q334" s="39">
        <f>SUMIFS([2]BV_Data_An_Prec!$AM:$AM,[2]BV_Data_An_Prec!$AP:$AP,$B334,[2]BV_Data_An_Prec!$AQ:$AQ,$C334,[2]BV_Data_An_Prec!$AR:$AR,$L$2)</f>
        <v>0</v>
      </c>
      <c r="R334" s="26"/>
      <c r="S334" s="39">
        <f t="shared" si="49"/>
        <v>0</v>
      </c>
      <c r="T334" s="6"/>
      <c r="U334" s="6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spans="1:40" ht="20.399999999999999" hidden="1" customHeight="1">
      <c r="A335" s="410" t="s">
        <v>397</v>
      </c>
      <c r="B335" s="7" t="s">
        <v>94</v>
      </c>
      <c r="C335" s="26" t="s">
        <v>19</v>
      </c>
      <c r="D335" s="54"/>
      <c r="E335" s="7"/>
      <c r="F335" s="19" t="e">
        <f>+INDEX('[2]Budget original'!$A$2:$AO$501,MATCH($A335,'[2]Budget original'!$A$2:$A$501,0),MATCH(F$2,'[2]Budget original'!$A$2:$AO$2,0))</f>
        <v>#N/A</v>
      </c>
      <c r="G335" s="56"/>
      <c r="H335" s="7"/>
      <c r="I335" s="19"/>
      <c r="J335" s="26"/>
      <c r="K335" s="7"/>
      <c r="L335" s="39">
        <f>SUMIFS([2]BV_Data_An_Cour!$AM:$AM,[2]BV_Data_An_Cour!$AP:$AP,$B335,[2]BV_Data_An_Cour!$AQ:$AQ,$C335,[2]BV_Data_An_Cour!$AR:$AR,$L$2)</f>
        <v>0</v>
      </c>
      <c r="M335" s="26"/>
      <c r="N335" s="39" t="e">
        <f t="shared" si="48"/>
        <v>#N/A</v>
      </c>
      <c r="O335" s="26"/>
      <c r="P335" s="7"/>
      <c r="Q335" s="39">
        <f>SUMIFS([2]BV_Data_An_Prec!$AM:$AM,[2]BV_Data_An_Prec!$AP:$AP,$B335,[2]BV_Data_An_Prec!$AQ:$AQ,$C335,[2]BV_Data_An_Prec!$AR:$AR,$L$2)</f>
        <v>0</v>
      </c>
      <c r="R335" s="26"/>
      <c r="S335" s="39">
        <f t="shared" si="49"/>
        <v>0</v>
      </c>
      <c r="T335" s="6"/>
      <c r="U335" s="6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spans="1:40" ht="20.399999999999999" hidden="1" customHeight="1">
      <c r="A336" s="410" t="s">
        <v>397</v>
      </c>
      <c r="B336" s="7" t="s">
        <v>94</v>
      </c>
      <c r="C336" s="26" t="s">
        <v>19</v>
      </c>
      <c r="D336" s="54"/>
      <c r="E336" s="7"/>
      <c r="F336" s="19" t="e">
        <f>+INDEX('[2]Budget original'!$A$2:$AO$501,MATCH($A336,'[2]Budget original'!$A$2:$A$501,0),MATCH(F$2,'[2]Budget original'!$A$2:$AO$2,0))</f>
        <v>#N/A</v>
      </c>
      <c r="G336" s="56"/>
      <c r="H336" s="7"/>
      <c r="I336" s="19"/>
      <c r="J336" s="26"/>
      <c r="K336" s="7"/>
      <c r="L336" s="39">
        <f>SUMIFS([2]BV_Data_An_Cour!$AM:$AM,[2]BV_Data_An_Cour!$AP:$AP,$B336,[2]BV_Data_An_Cour!$AQ:$AQ,$C336,[2]BV_Data_An_Cour!$AR:$AR,$L$2)</f>
        <v>0</v>
      </c>
      <c r="M336" s="26"/>
      <c r="N336" s="39" t="e">
        <f t="shared" si="48"/>
        <v>#N/A</v>
      </c>
      <c r="O336" s="26"/>
      <c r="P336" s="7"/>
      <c r="Q336" s="39">
        <f>SUMIFS([2]BV_Data_An_Prec!$AM:$AM,[2]BV_Data_An_Prec!$AP:$AP,$B336,[2]BV_Data_An_Prec!$AQ:$AQ,$C336,[2]BV_Data_An_Prec!$AR:$AR,$L$2)</f>
        <v>0</v>
      </c>
      <c r="R336" s="26"/>
      <c r="S336" s="39">
        <f t="shared" si="49"/>
        <v>0</v>
      </c>
      <c r="T336" s="6"/>
      <c r="U336" s="6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spans="1:40" ht="15.75" customHeight="1">
      <c r="A337" s="410" t="s">
        <v>398</v>
      </c>
      <c r="B337" s="7" t="s">
        <v>94</v>
      </c>
      <c r="C337" s="272" t="s">
        <v>44</v>
      </c>
      <c r="D337" s="54"/>
      <c r="E337" s="7"/>
      <c r="F337" s="31" t="e">
        <f>+INDEX('[2]Budget original'!$A$2:$AO$501,MATCH($A337,'[2]Budget original'!$A$2:$A$501,0),MATCH(F$2,'[2]Budget original'!$A$2:$AO$2,0))</f>
        <v>#N/A</v>
      </c>
      <c r="G337" s="56"/>
      <c r="H337" s="7"/>
      <c r="I337" s="31"/>
      <c r="J337" s="26"/>
      <c r="K337" s="7"/>
      <c r="L337" s="39">
        <f>SUMIFS([2]BV_Data_An_Cour!$AM:$AM,[2]BV_Data_An_Cour!$AP:$AP,$B337,[2]BV_Data_An_Cour!$AQ:$AQ,$C337,[2]BV_Data_An_Cour!$AR:$AR,$L$2)</f>
        <v>3892.1799999999967</v>
      </c>
      <c r="M337" s="26"/>
      <c r="N337" s="39" t="e">
        <f t="shared" si="48"/>
        <v>#N/A</v>
      </c>
      <c r="O337" s="26"/>
      <c r="P337" s="7"/>
      <c r="Q337" s="39">
        <f>SUMIFS([2]BV_Data_An_Prec!$AM:$AM,[2]BV_Data_An_Prec!$AP:$AP,$B337,[2]BV_Data_An_Prec!$AQ:$AQ,$C337,[2]BV_Data_An_Prec!$AR:$AR,$L$2)</f>
        <v>1160.2599999999984</v>
      </c>
      <c r="R337" s="26"/>
      <c r="S337" s="39">
        <f t="shared" si="49"/>
        <v>2731.9199999999983</v>
      </c>
      <c r="T337" s="6"/>
      <c r="U337" s="6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spans="1:40" ht="15.75" customHeight="1">
      <c r="A338" s="410" t="s">
        <v>399</v>
      </c>
      <c r="B338" s="7" t="s">
        <v>94</v>
      </c>
      <c r="C338" s="271" t="s">
        <v>45</v>
      </c>
      <c r="D338" s="68"/>
      <c r="E338" s="69"/>
      <c r="F338" s="19" t="e">
        <f>+INDEX('[2]Budget original'!$A$2:$AO$501,MATCH($A338,'[2]Budget original'!$A$2:$A$501,0),MATCH(F$2,'[2]Budget original'!$A$2:$AO$2,0))</f>
        <v>#N/A</v>
      </c>
      <c r="G338" s="70"/>
      <c r="H338" s="69"/>
      <c r="I338" s="19"/>
      <c r="J338" s="71"/>
      <c r="K338" s="69"/>
      <c r="L338" s="72">
        <f>SUMIFS([2]BV_Data_An_Cour!$AM:$AM,[2]BV_Data_An_Cour!$AP:$AP,$B338,[2]BV_Data_An_Cour!$AQ:$AQ,$C338,[2]BV_Data_An_Cour!$AR:$AR,$L$2)</f>
        <v>5736.760000000002</v>
      </c>
      <c r="M338" s="71"/>
      <c r="N338" s="72" t="e">
        <f t="shared" si="48"/>
        <v>#N/A</v>
      </c>
      <c r="O338" s="71"/>
      <c r="P338" s="69"/>
      <c r="Q338" s="72">
        <f>SUMIFS([2]BV_Data_An_Prec!$AM:$AM,[2]BV_Data_An_Prec!$AP:$AP,$B338,[2]BV_Data_An_Prec!$AQ:$AQ,$C338,[2]BV_Data_An_Prec!$AR:$AR,$L$2)</f>
        <v>4550.2700000000004</v>
      </c>
      <c r="R338" s="71"/>
      <c r="S338" s="72">
        <f t="shared" si="49"/>
        <v>1186.4900000000016</v>
      </c>
      <c r="T338" s="6"/>
      <c r="U338" s="6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spans="1:40" ht="15.75" customHeight="1">
      <c r="A339" s="410" t="s">
        <v>400</v>
      </c>
      <c r="B339" s="7" t="s">
        <v>94</v>
      </c>
      <c r="C339" s="271" t="s">
        <v>46</v>
      </c>
      <c r="D339" s="54"/>
      <c r="E339" s="7"/>
      <c r="F339" s="19" t="e">
        <f>+INDEX('[2]Budget original'!$A$2:$AO$501,MATCH($A339,'[2]Budget original'!$A$2:$A$501,0),MATCH(F$2,'[2]Budget original'!$A$2:$AO$2,0))</f>
        <v>#N/A</v>
      </c>
      <c r="G339" s="56"/>
      <c r="H339" s="7"/>
      <c r="I339" s="19"/>
      <c r="J339" s="26"/>
      <c r="K339" s="7"/>
      <c r="L339" s="39">
        <f>SUMIFS([2]BV_Data_An_Cour!$AM:$AM,[2]BV_Data_An_Cour!$AP:$AP,$B339,[2]BV_Data_An_Cour!$AQ:$AQ,$C339,[2]BV_Data_An_Cour!$AR:$AR,$L$2)</f>
        <v>663.1299999999992</v>
      </c>
      <c r="M339" s="26"/>
      <c r="N339" s="39" t="e">
        <f t="shared" si="48"/>
        <v>#N/A</v>
      </c>
      <c r="O339" s="26"/>
      <c r="P339" s="7"/>
      <c r="Q339" s="39">
        <f>SUMIFS([2]BV_Data_An_Prec!$AM:$AM,[2]BV_Data_An_Prec!$AP:$AP,$B339,[2]BV_Data_An_Prec!$AQ:$AQ,$C339,[2]BV_Data_An_Prec!$AR:$AR,$L$2)</f>
        <v>2780.4700000000012</v>
      </c>
      <c r="R339" s="26"/>
      <c r="S339" s="39">
        <f t="shared" si="49"/>
        <v>-2117.340000000002</v>
      </c>
      <c r="T339" s="6"/>
      <c r="U339" s="6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spans="1:40" ht="15.75" customHeight="1">
      <c r="A340" s="410" t="s">
        <v>401</v>
      </c>
      <c r="B340" s="7" t="s">
        <v>94</v>
      </c>
      <c r="C340" s="271" t="s">
        <v>47</v>
      </c>
      <c r="D340" s="54"/>
      <c r="E340" s="7"/>
      <c r="F340" s="19" t="e">
        <f>+INDEX('[2]Budget original'!$A$2:$AO$501,MATCH($A340,'[2]Budget original'!$A$2:$A$501,0),MATCH(F$2,'[2]Budget original'!$A$2:$AO$2,0))</f>
        <v>#N/A</v>
      </c>
      <c r="G340" s="56"/>
      <c r="H340" s="7"/>
      <c r="I340" s="19"/>
      <c r="J340" s="26"/>
      <c r="K340" s="7"/>
      <c r="L340" s="39">
        <f>SUMIFS([2]BV_Data_An_Cour!$AM:$AM,[2]BV_Data_An_Cour!$AP:$AP,$B340,[2]BV_Data_An_Cour!$AQ:$AQ,$C340,[2]BV_Data_An_Cour!$AR:$AR,$L$2)</f>
        <v>1655.21</v>
      </c>
      <c r="M340" s="26"/>
      <c r="N340" s="39" t="e">
        <f t="shared" si="48"/>
        <v>#N/A</v>
      </c>
      <c r="O340" s="26"/>
      <c r="P340" s="7"/>
      <c r="Q340" s="39">
        <f>SUMIFS([2]BV_Data_An_Prec!$AM:$AM,[2]BV_Data_An_Prec!$AP:$AP,$B340,[2]BV_Data_An_Prec!$AQ:$AQ,$C340,[2]BV_Data_An_Prec!$AR:$AR,$L$2)</f>
        <v>34.680000000000007</v>
      </c>
      <c r="R340" s="26"/>
      <c r="S340" s="39">
        <f t="shared" si="49"/>
        <v>1620.53</v>
      </c>
      <c r="T340" s="6"/>
      <c r="U340" s="6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spans="1:40" ht="20.399999999999999" hidden="1" customHeight="1">
      <c r="A341" s="410" t="s">
        <v>397</v>
      </c>
      <c r="B341" s="7" t="s">
        <v>94</v>
      </c>
      <c r="C341" s="26" t="s">
        <v>19</v>
      </c>
      <c r="D341" s="57"/>
      <c r="E341" s="73"/>
      <c r="F341" s="19" t="e">
        <f>+INDEX('[2]Budget original'!$A$2:$AO$501,MATCH($A341,'[2]Budget original'!$A$2:$A$501,0),MATCH(F$2,'[2]Budget original'!$A$2:$AO$2,0))</f>
        <v>#N/A</v>
      </c>
      <c r="G341" s="59"/>
      <c r="H341" s="73"/>
      <c r="I341" s="19"/>
      <c r="J341" s="14"/>
      <c r="K341" s="73"/>
      <c r="L341" s="39">
        <f>SUMIFS([2]BV_Data_An_Cour!$AM:$AM,[2]BV_Data_An_Cour!$AP:$AP,$B341,[2]BV_Data_An_Cour!$AQ:$AQ,$C341,[2]BV_Data_An_Cour!$AR:$AR,$L$2)</f>
        <v>0</v>
      </c>
      <c r="M341" s="14"/>
      <c r="N341" s="61" t="e">
        <f t="shared" si="48"/>
        <v>#N/A</v>
      </c>
      <c r="O341" s="14"/>
      <c r="P341" s="73"/>
      <c r="Q341" s="39">
        <f>SUMIFS([2]BV_Data_An_Prec!$AM:$AM,[2]BV_Data_An_Prec!$AP:$AP,$B341,[2]BV_Data_An_Prec!$AQ:$AQ,$C341,[2]BV_Data_An_Prec!$AR:$AR,$L$2)</f>
        <v>0</v>
      </c>
      <c r="R341" s="14"/>
      <c r="S341" s="61">
        <f t="shared" si="49"/>
        <v>0</v>
      </c>
      <c r="T341" s="6"/>
      <c r="U341" s="6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spans="1:40" ht="18.600000000000001" customHeight="1">
      <c r="A342" s="410" t="s">
        <v>402</v>
      </c>
      <c r="B342" s="7" t="s">
        <v>94</v>
      </c>
      <c r="C342" s="139" t="s">
        <v>48</v>
      </c>
      <c r="D342" s="62" t="s">
        <v>38</v>
      </c>
      <c r="E342" s="63" t="e">
        <f>F342/F$326</f>
        <v>#N/A</v>
      </c>
      <c r="F342" s="64" t="e">
        <f>+SUM(F330:F341)</f>
        <v>#N/A</v>
      </c>
      <c r="G342" s="65"/>
      <c r="H342" s="63"/>
      <c r="I342" s="64"/>
      <c r="J342" s="65" t="s">
        <v>38</v>
      </c>
      <c r="K342" s="63">
        <f>IF(L326=0,0,L342/L$326)</f>
        <v>0.53034726615087668</v>
      </c>
      <c r="L342" s="64">
        <f>+SUM(L330:L341)</f>
        <v>33351.44999999999</v>
      </c>
      <c r="M342" s="66"/>
      <c r="N342" s="64" t="e">
        <f t="shared" si="48"/>
        <v>#N/A</v>
      </c>
      <c r="O342" s="65" t="s">
        <v>38</v>
      </c>
      <c r="P342" s="63">
        <f>IF(Q326=0,0,Q342/Q$326)</f>
        <v>0.30809381281947879</v>
      </c>
      <c r="Q342" s="64">
        <f>+SUM(Q330:Q341)</f>
        <v>27409.64</v>
      </c>
      <c r="R342" s="67"/>
      <c r="S342" s="64">
        <f t="shared" si="49"/>
        <v>5941.8099999999904</v>
      </c>
      <c r="T342" s="6"/>
      <c r="U342" s="6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spans="1:40" ht="15.75" customHeight="1">
      <c r="A343" s="410" t="s">
        <v>403</v>
      </c>
      <c r="B343" s="7" t="s">
        <v>94</v>
      </c>
      <c r="C343" s="329" t="s">
        <v>49</v>
      </c>
      <c r="D343" s="54"/>
      <c r="E343" s="7"/>
      <c r="F343" s="19" t="e">
        <f>+INDEX('[2]Budget original'!$A$2:$AO$501,MATCH($A343,'[2]Budget original'!$A$2:$A$501,0),MATCH(F$2,'[2]Budget original'!$A$2:$AO$2,0))</f>
        <v>#N/A</v>
      </c>
      <c r="G343" s="56"/>
      <c r="H343" s="7"/>
      <c r="I343" s="19"/>
      <c r="J343" s="26"/>
      <c r="K343" s="7"/>
      <c r="L343" s="39">
        <f>SUMIFS([2]BV_Data_An_Cour!$AM:$AM,[2]BV_Data_An_Cour!$AP:$AP,$B343,[2]BV_Data_An_Cour!$AQ:$AQ,$C343,[2]BV_Data_An_Cour!$AR:$AR,$L$2)</f>
        <v>52.450000000000045</v>
      </c>
      <c r="M343" s="26"/>
      <c r="N343" s="39" t="e">
        <f t="shared" si="48"/>
        <v>#N/A</v>
      </c>
      <c r="O343" s="26"/>
      <c r="P343" s="7"/>
      <c r="Q343" s="39">
        <f>SUMIFS([2]BV_Data_An_Prec!$AM:$AM,[2]BV_Data_An_Prec!$AP:$AP,$B343,[2]BV_Data_An_Prec!$AQ:$AQ,$C343,[2]BV_Data_An_Prec!$AR:$AR,$L$2)</f>
        <v>955.95</v>
      </c>
      <c r="R343" s="26"/>
      <c r="S343" s="39">
        <f t="shared" si="49"/>
        <v>-903.5</v>
      </c>
      <c r="T343" s="6"/>
      <c r="U343" s="6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spans="1:40" ht="15.75" customHeight="1">
      <c r="A344" s="410" t="s">
        <v>404</v>
      </c>
      <c r="B344" s="7" t="s">
        <v>94</v>
      </c>
      <c r="C344" s="271" t="s">
        <v>50</v>
      </c>
      <c r="D344" s="54"/>
      <c r="E344" s="7"/>
      <c r="F344" s="19" t="e">
        <f>+INDEX('[2]Budget original'!$A$2:$AO$501,MATCH($A344,'[2]Budget original'!$A$2:$A$501,0),MATCH(F$2,'[2]Budget original'!$A$2:$AO$2,0))</f>
        <v>#N/A</v>
      </c>
      <c r="G344" s="56"/>
      <c r="H344" s="7"/>
      <c r="I344" s="19"/>
      <c r="J344" s="26"/>
      <c r="K344" s="7"/>
      <c r="L344" s="39">
        <f>SUMIFS([2]BV_Data_An_Cour!$AM:$AM,[2]BV_Data_An_Cour!$AP:$AP,$B344,[2]BV_Data_An_Cour!$AQ:$AQ,$C344,[2]BV_Data_An_Cour!$AR:$AR,$L$2)</f>
        <v>171.29000000000087</v>
      </c>
      <c r="M344" s="26"/>
      <c r="N344" s="39" t="e">
        <f t="shared" si="48"/>
        <v>#N/A</v>
      </c>
      <c r="O344" s="26"/>
      <c r="P344" s="7"/>
      <c r="Q344" s="39">
        <f>SUMIFS([2]BV_Data_An_Prec!$AM:$AM,[2]BV_Data_An_Prec!$AP:$AP,$B344,[2]BV_Data_An_Prec!$AQ:$AQ,$C344,[2]BV_Data_An_Prec!$AR:$AR,$L$2)</f>
        <v>483.31000000000131</v>
      </c>
      <c r="R344" s="26"/>
      <c r="S344" s="39">
        <f t="shared" si="49"/>
        <v>-312.02000000000044</v>
      </c>
      <c r="T344" s="6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spans="1:40" ht="15.75" customHeight="1">
      <c r="A345" s="410" t="s">
        <v>405</v>
      </c>
      <c r="B345" s="7" t="s">
        <v>94</v>
      </c>
      <c r="C345" s="272" t="s">
        <v>51</v>
      </c>
      <c r="D345" s="57"/>
      <c r="E345" s="73"/>
      <c r="F345" s="31" t="e">
        <f>+INDEX('[2]Budget original'!$A$2:$AO$501,MATCH($A345,'[2]Budget original'!$A$2:$A$501,0),MATCH(F$2,'[2]Budget original'!$A$2:$AO$2,0))</f>
        <v>#N/A</v>
      </c>
      <c r="G345" s="59"/>
      <c r="H345" s="73"/>
      <c r="I345" s="31"/>
      <c r="J345" s="14"/>
      <c r="K345" s="73"/>
      <c r="L345" s="39">
        <f>SUMIFS([2]BV_Data_An_Cour!$AM:$AM,[2]BV_Data_An_Cour!$AP:$AP,$B345,[2]BV_Data_An_Cour!$AQ:$AQ,$C345,[2]BV_Data_An_Cour!$AR:$AR,$L$2)</f>
        <v>7636.6500000000005</v>
      </c>
      <c r="M345" s="14"/>
      <c r="N345" s="61" t="e">
        <f t="shared" si="48"/>
        <v>#N/A</v>
      </c>
      <c r="O345" s="14"/>
      <c r="P345" s="73"/>
      <c r="Q345" s="39">
        <f>SUMIFS([2]BV_Data_An_Prec!$AM:$AM,[2]BV_Data_An_Prec!$AP:$AP,$B345,[2]BV_Data_An_Prec!$AQ:$AQ,$C345,[2]BV_Data_An_Prec!$AR:$AR,$L$2)</f>
        <v>-3839.2400000000007</v>
      </c>
      <c r="R345" s="14"/>
      <c r="S345" s="61">
        <f t="shared" si="49"/>
        <v>11475.890000000001</v>
      </c>
      <c r="T345" s="6"/>
      <c r="U345" s="6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spans="1:40" ht="15.75" customHeight="1">
      <c r="A346" s="410" t="s">
        <v>406</v>
      </c>
      <c r="B346" s="7" t="s">
        <v>94</v>
      </c>
      <c r="C346" s="271" t="s">
        <v>52</v>
      </c>
      <c r="D346" s="54"/>
      <c r="E346" s="7"/>
      <c r="F346" s="19" t="e">
        <f>+INDEX('[2]Budget original'!$A$2:$AO$501,MATCH($A346,'[2]Budget original'!$A$2:$A$501,0),MATCH(F$2,'[2]Budget original'!$A$2:$AO$2,0))</f>
        <v>#N/A</v>
      </c>
      <c r="G346" s="56"/>
      <c r="H346" s="7"/>
      <c r="I346" s="19"/>
      <c r="J346" s="26"/>
      <c r="K346" s="7"/>
      <c r="L346" s="72">
        <f>SUMIFS([2]BV_Data_An_Cour!$AM:$AM,[2]BV_Data_An_Cour!$AP:$AP,$B346,[2]BV_Data_An_Cour!$AQ:$AQ,$C346,[2]BV_Data_An_Cour!$AR:$AR,$L$2)</f>
        <v>1879.2800000000025</v>
      </c>
      <c r="M346" s="26"/>
      <c r="N346" s="39" t="e">
        <f t="shared" si="48"/>
        <v>#N/A</v>
      </c>
      <c r="O346" s="26"/>
      <c r="P346" s="7"/>
      <c r="Q346" s="72">
        <f>SUMIFS([2]BV_Data_An_Prec!$AM:$AM,[2]BV_Data_An_Prec!$AP:$AP,$B346,[2]BV_Data_An_Prec!$AQ:$AQ,$C346,[2]BV_Data_An_Prec!$AR:$AR,$L$2)</f>
        <v>1609.2700000000004</v>
      </c>
      <c r="R346" s="26"/>
      <c r="S346" s="39">
        <f t="shared" si="49"/>
        <v>270.01000000000204</v>
      </c>
      <c r="T346" s="6"/>
      <c r="U346" s="6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spans="1:40" ht="15.75" customHeight="1">
      <c r="A347" s="410" t="s">
        <v>407</v>
      </c>
      <c r="B347" s="7" t="s">
        <v>94</v>
      </c>
      <c r="C347" s="271" t="s">
        <v>53</v>
      </c>
      <c r="D347" s="54"/>
      <c r="E347" s="7"/>
      <c r="F347" s="19" t="e">
        <f>+INDEX('[2]Budget original'!$A$2:$AO$501,MATCH($A347,'[2]Budget original'!$A$2:$A$501,0),MATCH(F$2,'[2]Budget original'!$A$2:$AO$2,0))</f>
        <v>#N/A</v>
      </c>
      <c r="G347" s="56"/>
      <c r="H347" s="7"/>
      <c r="I347" s="19"/>
      <c r="J347" s="26"/>
      <c r="K347" s="7"/>
      <c r="L347" s="39">
        <f>SUMIFS([2]BV_Data_An_Cour!$AM:$AM,[2]BV_Data_An_Cour!$AP:$AP,$B347,[2]BV_Data_An_Cour!$AQ:$AQ,$C347,[2]BV_Data_An_Cour!$AR:$AR,$L$2)</f>
        <v>278.69000000000051</v>
      </c>
      <c r="M347" s="26"/>
      <c r="N347" s="39" t="e">
        <f t="shared" si="48"/>
        <v>#N/A</v>
      </c>
      <c r="O347" s="26"/>
      <c r="P347" s="7"/>
      <c r="Q347" s="39">
        <f>SUMIFS([2]BV_Data_An_Prec!$AM:$AM,[2]BV_Data_An_Prec!$AP:$AP,$B347,[2]BV_Data_An_Prec!$AQ:$AQ,$C347,[2]BV_Data_An_Prec!$AR:$AR,$L$2)</f>
        <v>150</v>
      </c>
      <c r="R347" s="26"/>
      <c r="S347" s="39">
        <f t="shared" si="49"/>
        <v>128.69000000000051</v>
      </c>
      <c r="T347" s="6"/>
      <c r="U347" s="6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spans="1:40" ht="15.75" customHeight="1">
      <c r="A348" s="410" t="s">
        <v>408</v>
      </c>
      <c r="B348" s="7" t="s">
        <v>94</v>
      </c>
      <c r="C348" s="271" t="s">
        <v>54</v>
      </c>
      <c r="D348" s="57"/>
      <c r="E348" s="73"/>
      <c r="F348" s="31" t="e">
        <f>+INDEX('[2]Budget original'!$A$2:$AO$501,MATCH($A348,'[2]Budget original'!$A$2:$A$501,0),MATCH(F$2,'[2]Budget original'!$A$2:$AO$2,0))</f>
        <v>#N/A</v>
      </c>
      <c r="G348" s="59"/>
      <c r="H348" s="73"/>
      <c r="I348" s="31"/>
      <c r="J348" s="14"/>
      <c r="K348" s="73"/>
      <c r="L348" s="39">
        <f>SUMIFS([2]BV_Data_An_Cour!$AM:$AM,[2]BV_Data_An_Cour!$AP:$AP,$B348,[2]BV_Data_An_Cour!$AQ:$AQ,$C348,[2]BV_Data_An_Cour!$AR:$AR,$L$2)</f>
        <v>2035.0499999999993</v>
      </c>
      <c r="M348" s="14"/>
      <c r="N348" s="61" t="e">
        <f t="shared" si="48"/>
        <v>#N/A</v>
      </c>
      <c r="O348" s="14"/>
      <c r="P348" s="73"/>
      <c r="Q348" s="39">
        <f>SUMIFS([2]BV_Data_An_Prec!$AM:$AM,[2]BV_Data_An_Prec!$AP:$AP,$B348,[2]BV_Data_An_Prec!$AQ:$AQ,$C348,[2]BV_Data_An_Prec!$AR:$AR,$L$2)</f>
        <v>2883.6399999999994</v>
      </c>
      <c r="R348" s="14"/>
      <c r="S348" s="61">
        <f t="shared" si="49"/>
        <v>-848.59000000000015</v>
      </c>
      <c r="T348" s="6"/>
      <c r="U348" s="6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spans="1:40" ht="15.75" customHeight="1">
      <c r="A349" s="410" t="s">
        <v>409</v>
      </c>
      <c r="B349" s="7" t="s">
        <v>94</v>
      </c>
      <c r="C349" s="329" t="s">
        <v>93</v>
      </c>
      <c r="D349" s="54"/>
      <c r="E349" s="7"/>
      <c r="F349" s="19"/>
      <c r="G349" s="56"/>
      <c r="H349" s="7"/>
      <c r="I349" s="19"/>
      <c r="J349" s="26"/>
      <c r="K349" s="7"/>
      <c r="L349" s="72">
        <f>SUMIFS([2]BV_Data_An_Cour!$AM:$AM,[2]BV_Data_An_Cour!$AP:$AP,$B349,[2]BV_Data_An_Cour!$AQ:$AQ,$C349,[2]BV_Data_An_Cour!$AR:$AR,$L$2)</f>
        <v>0</v>
      </c>
      <c r="M349" s="26"/>
      <c r="N349" s="39">
        <f t="shared" si="48"/>
        <v>0</v>
      </c>
      <c r="O349" s="26"/>
      <c r="P349" s="7"/>
      <c r="Q349" s="72">
        <f>SUMIFS([2]BV_Data_An_Prec!$AM:$AM,[2]BV_Data_An_Prec!$AP:$AP,$B349,[2]BV_Data_An_Prec!$AQ:$AQ,$C349,[2]BV_Data_An_Prec!$AR:$AR,$L$2)</f>
        <v>0</v>
      </c>
      <c r="R349" s="26"/>
      <c r="S349" s="39">
        <f t="shared" si="49"/>
        <v>0</v>
      </c>
      <c r="T349" s="6"/>
      <c r="U349" s="6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spans="1:40" ht="15.75" customHeight="1">
      <c r="A350" s="410" t="s">
        <v>410</v>
      </c>
      <c r="B350" s="7" t="s">
        <v>94</v>
      </c>
      <c r="C350" s="271" t="s">
        <v>55</v>
      </c>
      <c r="D350" s="54"/>
      <c r="E350" s="7"/>
      <c r="F350" s="19" t="e">
        <f>+INDEX('[2]Budget original'!$A$2:$AO$501,MATCH($A350,'[2]Budget original'!$A$2:$A$501,0),MATCH(F$2,'[2]Budget original'!$A$2:$AO$2,0))</f>
        <v>#N/A</v>
      </c>
      <c r="G350" s="56"/>
      <c r="H350" s="7"/>
      <c r="I350" s="19"/>
      <c r="J350" s="26"/>
      <c r="K350" s="7"/>
      <c r="L350" s="39">
        <f>SUMIFS([2]BV_Data_An_Cour!$AM:$AM,[2]BV_Data_An_Cour!$AP:$AP,$B350,[2]BV_Data_An_Cour!$AQ:$AQ,$C350,[2]BV_Data_An_Cour!$AR:$AR,$L$2)</f>
        <v>6492.9900000000052</v>
      </c>
      <c r="M350" s="26"/>
      <c r="N350" s="39" t="e">
        <f t="shared" si="48"/>
        <v>#N/A</v>
      </c>
      <c r="O350" s="26"/>
      <c r="P350" s="7"/>
      <c r="Q350" s="39">
        <f>SUMIFS([2]BV_Data_An_Prec!$AM:$AM,[2]BV_Data_An_Prec!$AP:$AP,$B350,[2]BV_Data_An_Prec!$AQ:$AQ,$C350,[2]BV_Data_An_Prec!$AR:$AR,$L$2)</f>
        <v>5904.1499999999978</v>
      </c>
      <c r="R350" s="26"/>
      <c r="S350" s="39">
        <f t="shared" si="49"/>
        <v>588.84000000000742</v>
      </c>
      <c r="T350" s="6"/>
      <c r="U350" s="6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spans="1:40" ht="15.75" customHeight="1">
      <c r="A351" s="410" t="s">
        <v>411</v>
      </c>
      <c r="B351" s="7" t="s">
        <v>94</v>
      </c>
      <c r="C351" s="271" t="s">
        <v>56</v>
      </c>
      <c r="D351" s="54"/>
      <c r="E351" s="7"/>
      <c r="F351" s="19" t="e">
        <f>+INDEX('[2]Budget original'!$A$2:$AO$501,MATCH($A351,'[2]Budget original'!$A$2:$A$501,0),MATCH(F$2,'[2]Budget original'!$A$2:$AO$2,0))</f>
        <v>#N/A</v>
      </c>
      <c r="G351" s="56"/>
      <c r="H351" s="7"/>
      <c r="I351" s="19"/>
      <c r="J351" s="26"/>
      <c r="K351" s="7"/>
      <c r="L351" s="39">
        <f>SUMIFS([2]BV_Data_An_Cour!$AM:$AM,[2]BV_Data_An_Cour!$AP:$AP,$B351,[2]BV_Data_An_Cour!$AQ:$AQ,$C351,[2]BV_Data_An_Cour!$AR:$AR,$L$2)</f>
        <v>438.31</v>
      </c>
      <c r="M351" s="26"/>
      <c r="N351" s="39" t="e">
        <f t="shared" si="48"/>
        <v>#N/A</v>
      </c>
      <c r="O351" s="26"/>
      <c r="P351" s="7"/>
      <c r="Q351" s="39">
        <f>SUMIFS([2]BV_Data_An_Prec!$AM:$AM,[2]BV_Data_An_Prec!$AP:$AP,$B351,[2]BV_Data_An_Prec!$AQ:$AQ,$C351,[2]BV_Data_An_Prec!$AR:$AR,$L$2)</f>
        <v>0</v>
      </c>
      <c r="R351" s="26"/>
      <c r="S351" s="39">
        <f t="shared" si="49"/>
        <v>438.31</v>
      </c>
      <c r="T351" s="6"/>
      <c r="U351" s="6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spans="1:40" ht="15.75" customHeight="1">
      <c r="A352" s="410" t="s">
        <v>412</v>
      </c>
      <c r="B352" s="7" t="s">
        <v>94</v>
      </c>
      <c r="C352" s="271" t="s">
        <v>57</v>
      </c>
      <c r="D352" s="54"/>
      <c r="E352" s="7"/>
      <c r="F352" s="19" t="e">
        <f>+INDEX('[2]Budget original'!$A$2:$AO$501,MATCH($A352,'[2]Budget original'!$A$2:$A$501,0),MATCH(F$2,'[2]Budget original'!$A$2:$AO$2,0))</f>
        <v>#N/A</v>
      </c>
      <c r="G352" s="56"/>
      <c r="H352" s="7"/>
      <c r="I352" s="19"/>
      <c r="J352" s="26"/>
      <c r="K352" s="7"/>
      <c r="L352" s="39">
        <f>SUMIFS([2]BV_Data_An_Cour!$AM:$AM,[2]BV_Data_An_Cour!$AP:$AP,$B352,[2]BV_Data_An_Cour!$AQ:$AQ,$C352,[2]BV_Data_An_Cour!$AR:$AR,$L$2)</f>
        <v>405.70000000000027</v>
      </c>
      <c r="M352" s="26"/>
      <c r="N352" s="39" t="e">
        <f t="shared" si="48"/>
        <v>#N/A</v>
      </c>
      <c r="O352" s="26"/>
      <c r="P352" s="7"/>
      <c r="Q352" s="39">
        <f>SUMIFS([2]BV_Data_An_Prec!$AM:$AM,[2]BV_Data_An_Prec!$AP:$AP,$B352,[2]BV_Data_An_Prec!$AQ:$AQ,$C352,[2]BV_Data_An_Prec!$AR:$AR,$L$2)</f>
        <v>335.48</v>
      </c>
      <c r="R352" s="26"/>
      <c r="S352" s="39">
        <f t="shared" si="49"/>
        <v>70.220000000000255</v>
      </c>
      <c r="T352" s="6"/>
      <c r="U352" s="6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spans="1:40" ht="15.75" customHeight="1">
      <c r="A353" s="410" t="s">
        <v>413</v>
      </c>
      <c r="B353" s="7" t="s">
        <v>94</v>
      </c>
      <c r="C353" s="271" t="s">
        <v>58</v>
      </c>
      <c r="D353" s="54"/>
      <c r="E353" s="7"/>
      <c r="F353" s="19" t="e">
        <f>+INDEX('[2]Budget original'!$A$2:$AO$501,MATCH($A353,'[2]Budget original'!$A$2:$A$501,0),MATCH(F$2,'[2]Budget original'!$A$2:$AO$2,0))</f>
        <v>#N/A</v>
      </c>
      <c r="G353" s="56"/>
      <c r="H353" s="7"/>
      <c r="I353" s="19"/>
      <c r="J353" s="26"/>
      <c r="K353" s="7"/>
      <c r="L353" s="39">
        <f>SUMIFS([2]BV_Data_An_Cour!$AM:$AM,[2]BV_Data_An_Cour!$AP:$AP,$B353,[2]BV_Data_An_Cour!$AQ:$AQ,$C353,[2]BV_Data_An_Cour!$AR:$AR,$L$2)</f>
        <v>224.12000000000012</v>
      </c>
      <c r="M353" s="26"/>
      <c r="N353" s="39" t="e">
        <f t="shared" si="48"/>
        <v>#N/A</v>
      </c>
      <c r="O353" s="26"/>
      <c r="P353" s="7"/>
      <c r="Q353" s="39">
        <f>SUMIFS([2]BV_Data_An_Prec!$AM:$AM,[2]BV_Data_An_Prec!$AP:$AP,$B353,[2]BV_Data_An_Prec!$AQ:$AQ,$C353,[2]BV_Data_An_Prec!$AR:$AR,$L$2)</f>
        <v>323.25</v>
      </c>
      <c r="R353" s="26"/>
      <c r="S353" s="39">
        <f t="shared" si="49"/>
        <v>-99.129999999999882</v>
      </c>
      <c r="T353" s="6"/>
      <c r="U353" s="6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spans="1:40" ht="15.75" customHeight="1">
      <c r="A354" s="410" t="s">
        <v>414</v>
      </c>
      <c r="B354" s="7" t="s">
        <v>94</v>
      </c>
      <c r="C354" s="271" t="s">
        <v>59</v>
      </c>
      <c r="D354" s="54"/>
      <c r="E354" s="7"/>
      <c r="F354" s="19" t="e">
        <f>+INDEX('[2]Budget original'!$A$2:$AO$501,MATCH($A354,'[2]Budget original'!$A$2:$A$501,0),MATCH(F$2,'[2]Budget original'!$A$2:$AO$2,0))</f>
        <v>#N/A</v>
      </c>
      <c r="G354" s="56"/>
      <c r="H354" s="7"/>
      <c r="I354" s="19"/>
      <c r="J354" s="26"/>
      <c r="K354" s="7"/>
      <c r="L354" s="39">
        <f>SUMIFS([2]BV_Data_An_Cour!$AM:$AM,[2]BV_Data_An_Cour!$AP:$AP,$B354,[2]BV_Data_An_Cour!$AQ:$AQ,$C354,[2]BV_Data_An_Cour!$AR:$AR,$L$2)</f>
        <v>100.79999999999973</v>
      </c>
      <c r="M354" s="26"/>
      <c r="N354" s="39" t="e">
        <f t="shared" si="48"/>
        <v>#N/A</v>
      </c>
      <c r="O354" s="26"/>
      <c r="P354" s="7"/>
      <c r="Q354" s="39">
        <f>SUMIFS([2]BV_Data_An_Prec!$AM:$AM,[2]BV_Data_An_Prec!$AP:$AP,$B354,[2]BV_Data_An_Prec!$AQ:$AQ,$C354,[2]BV_Data_An_Prec!$AR:$AR,$L$2)</f>
        <v>271.79999999999995</v>
      </c>
      <c r="R354" s="26"/>
      <c r="S354" s="39">
        <f t="shared" si="49"/>
        <v>-171.00000000000023</v>
      </c>
      <c r="T354" s="6"/>
      <c r="U354" s="6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spans="1:40" ht="15.75" customHeight="1">
      <c r="A355" s="410" t="s">
        <v>415</v>
      </c>
      <c r="B355" s="7" t="s">
        <v>94</v>
      </c>
      <c r="C355" s="271" t="s">
        <v>60</v>
      </c>
      <c r="D355" s="54"/>
      <c r="E355" s="7"/>
      <c r="F355" s="19" t="e">
        <f>+INDEX('[2]Budget original'!$A$2:$AO$501,MATCH($A355,'[2]Budget original'!$A$2:$A$501,0),MATCH(F$2,'[2]Budget original'!$A$2:$AO$2,0))</f>
        <v>#N/A</v>
      </c>
      <c r="G355" s="56"/>
      <c r="H355" s="7"/>
      <c r="I355" s="19"/>
      <c r="J355" s="26"/>
      <c r="K355" s="7"/>
      <c r="L355" s="39">
        <f>SUMIFS([2]BV_Data_An_Cour!$AM:$AM,[2]BV_Data_An_Cour!$AP:$AP,$B355,[2]BV_Data_An_Cour!$AQ:$AQ,$C355,[2]BV_Data_An_Cour!$AR:$AR,$L$2)</f>
        <v>1575.2600000000002</v>
      </c>
      <c r="M355" s="26"/>
      <c r="N355" s="39" t="e">
        <f t="shared" si="48"/>
        <v>#N/A</v>
      </c>
      <c r="O355" s="26"/>
      <c r="P355" s="7"/>
      <c r="Q355" s="39">
        <f>SUMIFS([2]BV_Data_An_Prec!$AM:$AM,[2]BV_Data_An_Prec!$AP:$AP,$B355,[2]BV_Data_An_Prec!$AQ:$AQ,$C355,[2]BV_Data_An_Prec!$AR:$AR,$L$2)</f>
        <v>1774.6799999999998</v>
      </c>
      <c r="R355" s="26"/>
      <c r="S355" s="39">
        <f t="shared" si="49"/>
        <v>-199.41999999999962</v>
      </c>
      <c r="T355" s="6"/>
      <c r="U355" s="6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spans="1:40" ht="15.75" customHeight="1">
      <c r="A356" s="410" t="s">
        <v>416</v>
      </c>
      <c r="B356" s="7" t="s">
        <v>94</v>
      </c>
      <c r="C356" s="271" t="s">
        <v>61</v>
      </c>
      <c r="D356" s="54"/>
      <c r="E356" s="7"/>
      <c r="F356" s="19" t="e">
        <f>+INDEX('[2]Budget original'!$A$2:$AO$501,MATCH($A356,'[2]Budget original'!$A$2:$A$501,0),MATCH(F$2,'[2]Budget original'!$A$2:$AO$2,0))</f>
        <v>#N/A</v>
      </c>
      <c r="G356" s="56"/>
      <c r="H356" s="7"/>
      <c r="I356" s="19"/>
      <c r="J356" s="26"/>
      <c r="K356" s="7"/>
      <c r="L356" s="39">
        <f>SUMIFS([2]BV_Data_An_Cour!$AM:$AM,[2]BV_Data_An_Cour!$AP:$AP,$B356,[2]BV_Data_An_Cour!$AQ:$AQ,$C356,[2]BV_Data_An_Cour!$AR:$AR,$L$2)</f>
        <v>0</v>
      </c>
      <c r="M356" s="26"/>
      <c r="N356" s="39" t="e">
        <f t="shared" si="48"/>
        <v>#N/A</v>
      </c>
      <c r="O356" s="26"/>
      <c r="P356" s="7"/>
      <c r="Q356" s="39">
        <f>SUMIFS([2]BV_Data_An_Prec!$AM:$AM,[2]BV_Data_An_Prec!$AP:$AP,$B356,[2]BV_Data_An_Prec!$AQ:$AQ,$C356,[2]BV_Data_An_Prec!$AR:$AR,$L$2)</f>
        <v>0</v>
      </c>
      <c r="R356" s="26"/>
      <c r="S356" s="39">
        <f t="shared" si="49"/>
        <v>0</v>
      </c>
      <c r="T356" s="6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spans="1:40" ht="15.75" customHeight="1">
      <c r="A357" s="410" t="s">
        <v>417</v>
      </c>
      <c r="B357" s="7" t="s">
        <v>94</v>
      </c>
      <c r="C357" s="271" t="s">
        <v>62</v>
      </c>
      <c r="D357" s="54"/>
      <c r="E357" s="7"/>
      <c r="F357" s="19" t="e">
        <f>+INDEX('[2]Budget original'!$A$2:$AO$501,MATCH($A357,'[2]Budget original'!$A$2:$A$501,0),MATCH(F$2,'[2]Budget original'!$A$2:$AO$2,0))</f>
        <v>#N/A</v>
      </c>
      <c r="G357" s="56"/>
      <c r="H357" s="7"/>
      <c r="I357" s="19"/>
      <c r="J357" s="26"/>
      <c r="K357" s="7"/>
      <c r="L357" s="39">
        <f>SUMIFS([2]BV_Data_An_Cour!$AM:$AM,[2]BV_Data_An_Cour!$AP:$AP,$B357,[2]BV_Data_An_Cour!$AQ:$AQ,$C357,[2]BV_Data_An_Cour!$AR:$AR,$L$2)</f>
        <v>469.06999999999971</v>
      </c>
      <c r="M357" s="26"/>
      <c r="N357" s="39" t="e">
        <f t="shared" si="48"/>
        <v>#N/A</v>
      </c>
      <c r="O357" s="26"/>
      <c r="P357" s="7"/>
      <c r="Q357" s="39">
        <f>SUMIFS([2]BV_Data_An_Prec!$AM:$AM,[2]BV_Data_An_Prec!$AP:$AP,$B357,[2]BV_Data_An_Prec!$AQ:$AQ,$C357,[2]BV_Data_An_Prec!$AR:$AR,$L$2)</f>
        <v>95.789999999999964</v>
      </c>
      <c r="R357" s="26"/>
      <c r="S357" s="39">
        <f t="shared" si="49"/>
        <v>373.27999999999975</v>
      </c>
      <c r="T357" s="6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spans="1:40" ht="20.399999999999999" customHeight="1">
      <c r="A358" s="410" t="s">
        <v>397</v>
      </c>
      <c r="B358" s="7" t="s">
        <v>94</v>
      </c>
      <c r="C358" s="271" t="s">
        <v>418</v>
      </c>
      <c r="D358" s="54"/>
      <c r="E358" s="7"/>
      <c r="F358" s="19" t="e">
        <f>+INDEX('[2]Budget original'!$A$2:$AO$501,MATCH($A358,'[2]Budget original'!$A$2:$A$501,0),MATCH(F$2,'[2]Budget original'!$A$2:$AO$2,0))</f>
        <v>#N/A</v>
      </c>
      <c r="G358" s="56"/>
      <c r="H358" s="7"/>
      <c r="I358" s="19"/>
      <c r="J358" s="26"/>
      <c r="K358" s="7"/>
      <c r="L358" s="39">
        <f>SUMIFS([2]BV_Data_An_Cour!$AM:$AM,[2]BV_Data_An_Cour!$AP:$AP,$B358,[2]BV_Data_An_Cour!$AQ:$AQ,$C358,[2]BV_Data_An_Cour!$AR:$AR,$L$2)</f>
        <v>3356.1899999999987</v>
      </c>
      <c r="M358" s="26"/>
      <c r="N358" s="39" t="e">
        <f t="shared" si="48"/>
        <v>#N/A</v>
      </c>
      <c r="O358" s="26"/>
      <c r="P358" s="7"/>
      <c r="Q358" s="39">
        <f>SUMIFS([2]BV_Data_An_Prec!$AM:$AM,[2]BV_Data_An_Prec!$AP:$AP,$B358,[2]BV_Data_An_Prec!$AQ:$AQ,$C358,[2]BV_Data_An_Prec!$AR:$AR,$L$2)</f>
        <v>0</v>
      </c>
      <c r="R358" s="26"/>
      <c r="S358" s="39">
        <f t="shared" si="49"/>
        <v>3356.1899999999987</v>
      </c>
      <c r="T358" s="6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spans="1:40" ht="20.399999999999999" hidden="1" customHeight="1" thickTop="1">
      <c r="A359" s="410" t="s">
        <v>397</v>
      </c>
      <c r="B359" s="7" t="s">
        <v>94</v>
      </c>
      <c r="C359" s="271" t="s">
        <v>19</v>
      </c>
      <c r="D359" s="54"/>
      <c r="E359" s="7"/>
      <c r="F359" s="19" t="e">
        <f>+INDEX('[2]Budget original'!$A$2:$AO$501,MATCH($A359,'[2]Budget original'!$A$2:$A$501,0),MATCH(F$2,'[2]Budget original'!$A$2:$AO$2,0))</f>
        <v>#N/A</v>
      </c>
      <c r="G359" s="56"/>
      <c r="H359" s="7"/>
      <c r="I359" s="19"/>
      <c r="J359" s="26"/>
      <c r="K359" s="7"/>
      <c r="L359" s="39">
        <f>SUMIFS([2]BV_Data_An_Cour!$AM:$AM,[2]BV_Data_An_Cour!$AP:$AP,$B359,[2]BV_Data_An_Cour!$AQ:$AQ,$C359,[2]BV_Data_An_Cour!$AR:$AR,$L$2)</f>
        <v>0</v>
      </c>
      <c r="M359" s="26"/>
      <c r="N359" s="39" t="e">
        <f t="shared" si="48"/>
        <v>#N/A</v>
      </c>
      <c r="O359" s="26"/>
      <c r="P359" s="7"/>
      <c r="Q359" s="39">
        <f>SUMIFS([2]BV_Data_An_Prec!$AM:$AM,[2]BV_Data_An_Prec!$AP:$AP,$B359,[2]BV_Data_An_Prec!$AQ:$AQ,$C359,[2]BV_Data_An_Prec!$AR:$AR,$L$2)</f>
        <v>0</v>
      </c>
      <c r="R359" s="26"/>
      <c r="S359" s="39">
        <f t="shared" si="49"/>
        <v>0</v>
      </c>
      <c r="T359" s="6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spans="1:40" ht="20.399999999999999" hidden="1" customHeight="1" thickBot="1">
      <c r="A360" s="410" t="s">
        <v>397</v>
      </c>
      <c r="B360" s="7" t="s">
        <v>94</v>
      </c>
      <c r="C360" s="271" t="s">
        <v>19</v>
      </c>
      <c r="D360" s="54"/>
      <c r="E360" s="7"/>
      <c r="F360" s="19" t="e">
        <f>+INDEX('[2]Budget original'!$A$2:$AO$501,MATCH($A360,'[2]Budget original'!$A$2:$A$501,0),MATCH(F$2,'[2]Budget original'!$A$2:$AO$2,0))</f>
        <v>#N/A</v>
      </c>
      <c r="G360" s="56"/>
      <c r="H360" s="7"/>
      <c r="I360" s="19"/>
      <c r="J360" s="26"/>
      <c r="K360" s="7"/>
      <c r="L360" s="39">
        <f>SUMIFS([2]BV_Data_An_Cour!$AM:$AM,[2]BV_Data_An_Cour!$AP:$AP,$B360,[2]BV_Data_An_Cour!$AQ:$AQ,$C360,[2]BV_Data_An_Cour!$AR:$AR,$L$2)</f>
        <v>0</v>
      </c>
      <c r="M360" s="26"/>
      <c r="N360" s="39" t="e">
        <f t="shared" si="48"/>
        <v>#N/A</v>
      </c>
      <c r="O360" s="26"/>
      <c r="P360" s="7"/>
      <c r="Q360" s="39">
        <f>SUMIFS([2]BV_Data_An_Prec!$AM:$AM,[2]BV_Data_An_Prec!$AP:$AP,$B360,[2]BV_Data_An_Prec!$AQ:$AQ,$C360,[2]BV_Data_An_Prec!$AR:$AR,$L$2)</f>
        <v>0</v>
      </c>
      <c r="R360" s="26"/>
      <c r="S360" s="39">
        <f t="shared" si="49"/>
        <v>0</v>
      </c>
      <c r="T360" s="6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spans="1:40" ht="18.600000000000001" customHeight="1">
      <c r="A361" s="410"/>
      <c r="B361" s="7"/>
      <c r="C361" s="139" t="s">
        <v>63</v>
      </c>
      <c r="D361" s="62" t="s">
        <v>38</v>
      </c>
      <c r="E361" s="63" t="e">
        <f>F361/F$318</f>
        <v>#N/A</v>
      </c>
      <c r="F361" s="64" t="e">
        <f>+SUM(F343:F360)</f>
        <v>#N/A</v>
      </c>
      <c r="G361" s="65"/>
      <c r="H361" s="63"/>
      <c r="I361" s="64"/>
      <c r="J361" s="65" t="s">
        <v>38</v>
      </c>
      <c r="K361" s="63">
        <f>L361/L$326</f>
        <v>0.39938660491689282</v>
      </c>
      <c r="L361" s="64">
        <f>+SUM(L343:L360)</f>
        <v>25115.850000000009</v>
      </c>
      <c r="M361" s="66"/>
      <c r="N361" s="64" t="e">
        <f>+SUM(N343:N360)</f>
        <v>#N/A</v>
      </c>
      <c r="O361" s="65" t="s">
        <v>38</v>
      </c>
      <c r="P361" s="63">
        <f>Q361/Q$326</f>
        <v>0.123060197443406</v>
      </c>
      <c r="Q361" s="64">
        <f>+SUM(Q343:Q360)</f>
        <v>10948.079999999998</v>
      </c>
      <c r="R361" s="67"/>
      <c r="S361" s="64">
        <f t="shared" si="49"/>
        <v>14167.770000000011</v>
      </c>
      <c r="T361" s="6"/>
      <c r="U361" s="6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spans="1:40" ht="15.75" customHeight="1">
      <c r="B362" s="7"/>
      <c r="C362" s="14"/>
      <c r="D362" s="57"/>
      <c r="E362" s="73"/>
      <c r="F362" s="39"/>
      <c r="G362" s="59"/>
      <c r="H362" s="73"/>
      <c r="I362" s="39"/>
      <c r="J362" s="14"/>
      <c r="K362" s="73"/>
      <c r="L362" s="61"/>
      <c r="M362" s="14"/>
      <c r="N362" s="61"/>
      <c r="O362" s="14"/>
      <c r="P362" s="73"/>
      <c r="Q362" s="61"/>
      <c r="R362" s="14"/>
      <c r="S362" s="61"/>
      <c r="T362" s="381"/>
      <c r="U362" s="6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spans="1:40" ht="18.600000000000001" customHeight="1">
      <c r="A363" s="410"/>
      <c r="B363" s="7"/>
      <c r="C363" s="139" t="s">
        <v>64</v>
      </c>
      <c r="D363" s="62" t="s">
        <v>38</v>
      </c>
      <c r="E363" s="63" t="e">
        <f>F363/F$318</f>
        <v>#N/A</v>
      </c>
      <c r="F363" s="64" t="e">
        <f>F342+F361</f>
        <v>#N/A</v>
      </c>
      <c r="G363" s="65"/>
      <c r="H363" s="63"/>
      <c r="I363" s="64"/>
      <c r="J363" s="65" t="s">
        <v>38</v>
      </c>
      <c r="K363" s="63">
        <f>L363/L$326</f>
        <v>0.9297338710677695</v>
      </c>
      <c r="L363" s="64">
        <f>L342+L361</f>
        <v>58467.3</v>
      </c>
      <c r="M363" s="66"/>
      <c r="N363" s="64" t="e">
        <f>L363-F363</f>
        <v>#N/A</v>
      </c>
      <c r="O363" s="65" t="s">
        <v>38</v>
      </c>
      <c r="P363" s="63">
        <f>Q363/Q$326</f>
        <v>0.4311540102628848</v>
      </c>
      <c r="Q363" s="64">
        <f>Q342+Q361</f>
        <v>38357.72</v>
      </c>
      <c r="R363" s="67"/>
      <c r="S363" s="64">
        <f>L363-Q363</f>
        <v>20109.580000000002</v>
      </c>
      <c r="T363" s="6"/>
      <c r="U363" s="6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spans="1:40" ht="15.75" customHeight="1">
      <c r="B364" s="7"/>
      <c r="C364" s="26"/>
      <c r="D364" s="54"/>
      <c r="E364" s="7"/>
      <c r="F364" s="39"/>
      <c r="G364" s="56"/>
      <c r="H364" s="7"/>
      <c r="I364" s="39"/>
      <c r="J364" s="26"/>
      <c r="K364" s="7"/>
      <c r="L364" s="39"/>
      <c r="M364" s="26"/>
      <c r="N364" s="39">
        <f>L364-F364</f>
        <v>0</v>
      </c>
      <c r="O364" s="26"/>
      <c r="P364" s="7"/>
      <c r="Q364" s="39"/>
      <c r="R364" s="26"/>
      <c r="S364" s="39"/>
      <c r="T364" s="6"/>
      <c r="U364" s="6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spans="1:40" ht="18.600000000000001" customHeight="1" thickBot="1">
      <c r="A365" s="410"/>
      <c r="B365" s="7"/>
      <c r="C365" s="276" t="s">
        <v>69</v>
      </c>
      <c r="D365" s="277"/>
      <c r="E365" s="278"/>
      <c r="F365" s="138" t="e">
        <f>F326-F363</f>
        <v>#N/A</v>
      </c>
      <c r="G365" s="279"/>
      <c r="H365" s="278"/>
      <c r="I365" s="138"/>
      <c r="J365" s="279"/>
      <c r="K365" s="278"/>
      <c r="L365" s="138">
        <f>L326-L363</f>
        <v>4418.7599999999802</v>
      </c>
      <c r="M365" s="280"/>
      <c r="N365" s="138" t="e">
        <f>L365-F365</f>
        <v>#N/A</v>
      </c>
      <c r="O365" s="279"/>
      <c r="P365" s="278"/>
      <c r="Q365" s="138">
        <f>Q326-Q363</f>
        <v>50607.519999999975</v>
      </c>
      <c r="R365" s="281"/>
      <c r="S365" s="138">
        <f>L365-Q365</f>
        <v>-46188.759999999995</v>
      </c>
      <c r="T365" s="6"/>
      <c r="U365" s="6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spans="1:40" ht="15.75" customHeight="1" thickTop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55"/>
      <c r="M366" s="7"/>
      <c r="N366" s="7"/>
      <c r="O366" s="7"/>
      <c r="P366" s="7"/>
      <c r="Q366" s="7"/>
      <c r="R366" s="7"/>
      <c r="S366" s="7"/>
      <c r="T366" s="6"/>
      <c r="U366" s="6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spans="1:40" ht="36" customHeight="1">
      <c r="B367" s="7"/>
      <c r="C367" s="251" t="str">
        <f>C1</f>
        <v>Ste-Marie Auto</v>
      </c>
      <c r="D367" s="252"/>
      <c r="E367" s="253"/>
      <c r="F367" s="252"/>
      <c r="G367" s="252"/>
      <c r="H367" s="254"/>
      <c r="I367" s="252"/>
      <c r="J367" s="254"/>
      <c r="K367" s="255" t="s">
        <v>98</v>
      </c>
      <c r="L367" s="252"/>
      <c r="M367" s="252"/>
      <c r="N367" s="256"/>
      <c r="O367" s="251"/>
      <c r="P367" s="257"/>
      <c r="Q367" s="251"/>
      <c r="R367" s="257"/>
      <c r="S367" s="258" t="str">
        <f>$S$1</f>
        <v>Réalisé, Aout 2026</v>
      </c>
      <c r="T367" s="6"/>
      <c r="U367" s="6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spans="1:40" ht="15.75" customHeight="1" thickBot="1">
      <c r="B368" s="7"/>
      <c r="C368" s="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spans="1:40" ht="15.75" customHeight="1" thickTop="1">
      <c r="B369" s="7"/>
      <c r="C369" s="259"/>
      <c r="D369" s="407" t="s">
        <v>5</v>
      </c>
      <c r="E369" s="408"/>
      <c r="F369" s="406"/>
      <c r="G369" s="405"/>
      <c r="H369" s="408"/>
      <c r="I369" s="406"/>
      <c r="J369" s="405" t="s">
        <v>7</v>
      </c>
      <c r="K369" s="408"/>
      <c r="L369" s="406"/>
      <c r="M369" s="405" t="s">
        <v>211</v>
      </c>
      <c r="N369" s="406"/>
      <c r="O369" s="407" t="s">
        <v>8</v>
      </c>
      <c r="P369" s="408"/>
      <c r="Q369" s="406"/>
      <c r="R369" s="405" t="s">
        <v>212</v>
      </c>
      <c r="S369" s="406"/>
      <c r="T369" s="6"/>
      <c r="U369" s="6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spans="1:40" ht="15.75" customHeight="1">
      <c r="A370" s="410" t="s">
        <v>98</v>
      </c>
      <c r="B370" s="7" t="s">
        <v>98</v>
      </c>
      <c r="C370" s="330"/>
      <c r="D370" s="53" t="s">
        <v>79</v>
      </c>
      <c r="E370" s="53" t="s">
        <v>99</v>
      </c>
      <c r="F370" s="84" t="s">
        <v>12</v>
      </c>
      <c r="G370" s="85"/>
      <c r="H370" s="53"/>
      <c r="I370" s="84"/>
      <c r="J370" s="53" t="s">
        <v>79</v>
      </c>
      <c r="K370" s="53" t="s">
        <v>99</v>
      </c>
      <c r="L370" s="84" t="s">
        <v>12</v>
      </c>
      <c r="M370" s="85" t="s">
        <v>39</v>
      </c>
      <c r="N370" s="84" t="s">
        <v>215</v>
      </c>
      <c r="O370" s="53" t="s">
        <v>79</v>
      </c>
      <c r="P370" s="53" t="s">
        <v>99</v>
      </c>
      <c r="Q370" s="84" t="s">
        <v>12</v>
      </c>
      <c r="R370" s="85" t="s">
        <v>80</v>
      </c>
      <c r="S370" s="84" t="s">
        <v>12</v>
      </c>
      <c r="T370" s="6"/>
      <c r="U370" s="6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spans="1:40" ht="15.75" customHeight="1">
      <c r="A371" s="410" t="s">
        <v>419</v>
      </c>
      <c r="B371" s="7" t="s">
        <v>98</v>
      </c>
      <c r="C371" s="331" t="s">
        <v>100</v>
      </c>
      <c r="D371" s="55" t="e">
        <f>+INDEX('[2]Budget original'!$A$2:$AO$501,MATCH($A371,'[2]Budget original'!$A$2:$A$501,0),MATCH(D$2,'[2]Budget original'!$A$2:$AO$2,0))</f>
        <v>#N/A</v>
      </c>
      <c r="E371" s="93" t="e">
        <f>IF(D371=0,0,F371/D371)</f>
        <v>#N/A</v>
      </c>
      <c r="F371" s="39" t="e">
        <f>+INDEX('[2]Budget original'!$A$2:$AO$501,MATCH($A371,'[2]Budget original'!$A$2:$A$501,0),MATCH(F$2,'[2]Budget original'!$A$2:$AO$2,0))</f>
        <v>#N/A</v>
      </c>
      <c r="G371" s="55"/>
      <c r="H371" s="93"/>
      <c r="I371" s="39"/>
      <c r="J371" s="55">
        <f>-SUMIFS([2]BV_Data_An_Cour!$AM:$AM,[2]BV_Data_An_Cour!$AS:$AS,"Oui",[2]BV_Data_An_Cour!$AP:$AP,$B371,[2]BV_Data_An_Cour!$AQ:$AQ,$C371)</f>
        <v>49607.790000000037</v>
      </c>
      <c r="K371" s="93">
        <f t="shared" ref="K371:K380" si="50">IF(J371&lt;=0,0,L371/J371)</f>
        <v>0.31416275548658851</v>
      </c>
      <c r="L371" s="39">
        <f>-SUMIFS([2]BV_Data_An_Cour!$AM:$AM,[2]BV_Data_An_Cour!$AP:$AP,$B371,[2]BV_Data_An_Cour!$AQ:$AQ,$C371,[2]BV_Data_An_Cour!$AR:$AR,$L$2)</f>
        <v>15584.920000000042</v>
      </c>
      <c r="M371" s="99" t="e">
        <f t="shared" ref="M371:M377" si="51">(+J371-D371)/D371</f>
        <v>#N/A</v>
      </c>
      <c r="N371" s="39" t="e">
        <f t="shared" ref="N371:N380" si="52">L371-F371</f>
        <v>#N/A</v>
      </c>
      <c r="O371" s="55">
        <f>-SUMIFS([2]BV_Data_An_Prec!$AM:$AM,[2]BV_Data_An_Prec!$AS:$AS,"Oui",[2]BV_Data_An_Prec!$AP:$AP,$B371,[2]BV_Data_An_Prec!$AQ:$AQ,$C371)</f>
        <v>48700.339999999967</v>
      </c>
      <c r="P371" s="93">
        <f t="shared" ref="P371:P380" si="53">IF(O371&lt;=0,0,Q371/O371)</f>
        <v>0.41544371148127418</v>
      </c>
      <c r="Q371" s="39">
        <f>-SUMIFS([2]BV_Data_An_Prec!$AM:$AM,[2]BV_Data_An_Prec!$AP:$AP,$B371,[2]BV_Data_An_Prec!$AQ:$AQ,$C371,[2]BV_Data_An_Prec!$AR:$AR,$L$2)</f>
        <v>20232.249999999942</v>
      </c>
      <c r="R371" s="99">
        <f t="shared" ref="R371:R380" si="54">IF(O371=0,0,(J371-O371)/O371)</f>
        <v>1.8633340136846487E-2</v>
      </c>
      <c r="S371" s="39">
        <f t="shared" ref="S371:S380" si="55">L371-Q371</f>
        <v>-4647.3299999998999</v>
      </c>
      <c r="T371" s="6"/>
      <c r="U371" s="6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spans="1:40" ht="15.75" customHeight="1">
      <c r="A372" s="410" t="s">
        <v>420</v>
      </c>
      <c r="B372" s="7" t="s">
        <v>98</v>
      </c>
      <c r="C372" s="331" t="s">
        <v>101</v>
      </c>
      <c r="D372" s="55" t="e">
        <f>+INDEX('[2]Budget original'!$A$2:$AO$501,MATCH($A372,'[2]Budget original'!$A$2:$A$501,0),MATCH(D$2,'[2]Budget original'!$A$2:$AO$2,0))</f>
        <v>#N/A</v>
      </c>
      <c r="E372" s="93" t="e">
        <f t="shared" ref="E372:E379" si="56">IF(D372=0,0,F372/D372)</f>
        <v>#N/A</v>
      </c>
      <c r="F372" s="39" t="e">
        <f>+INDEX('[2]Budget original'!$A$2:$AO$501,MATCH($A372,'[2]Budget original'!$A$2:$A$501,0),MATCH(F$2,'[2]Budget original'!$A$2:$AO$2,0))</f>
        <v>#N/A</v>
      </c>
      <c r="G372" s="55"/>
      <c r="H372" s="93"/>
      <c r="I372" s="39"/>
      <c r="J372" s="55">
        <f>-SUMIFS([2]BV_Data_An_Cour!$AM:$AM,[2]BV_Data_An_Cour!$AS:$AS,"Oui",[2]BV_Data_An_Cour!$AP:$AP,$B372,[2]BV_Data_An_Cour!$AQ:$AQ,$C372)</f>
        <v>0</v>
      </c>
      <c r="K372" s="93">
        <f t="shared" si="50"/>
        <v>0</v>
      </c>
      <c r="L372" s="39">
        <f>-SUMIFS([2]BV_Data_An_Cour!$AM:$AM,[2]BV_Data_An_Cour!$AP:$AP,$B372,[2]BV_Data_An_Cour!$AQ:$AQ,$C372,[2]BV_Data_An_Cour!$AR:$AR,$L$2)</f>
        <v>0</v>
      </c>
      <c r="M372" s="99" t="e">
        <f t="shared" si="51"/>
        <v>#N/A</v>
      </c>
      <c r="N372" s="39" t="e">
        <f t="shared" si="52"/>
        <v>#N/A</v>
      </c>
      <c r="O372" s="55">
        <f>-SUMIFS([2]BV_Data_An_Prec!$AM:$AM,[2]BV_Data_An_Prec!$AS:$AS,"Oui",[2]BV_Data_An_Prec!$AP:$AP,$B372,[2]BV_Data_An_Prec!$AQ:$AQ,$C372)</f>
        <v>0</v>
      </c>
      <c r="P372" s="93">
        <f t="shared" si="53"/>
        <v>0</v>
      </c>
      <c r="Q372" s="39">
        <f>-SUMIFS([2]BV_Data_An_Prec!$AM:$AM,[2]BV_Data_An_Prec!$AP:$AP,$B372,[2]BV_Data_An_Prec!$AQ:$AQ,$C372,[2]BV_Data_An_Prec!$AR:$AR,$L$2)</f>
        <v>0</v>
      </c>
      <c r="R372" s="99">
        <f t="shared" si="54"/>
        <v>0</v>
      </c>
      <c r="S372" s="39">
        <f t="shared" si="55"/>
        <v>0</v>
      </c>
      <c r="T372" s="6"/>
      <c r="U372" s="6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spans="1:40" ht="15.75" customHeight="1">
      <c r="A373" s="410" t="s">
        <v>421</v>
      </c>
      <c r="B373" s="7" t="s">
        <v>98</v>
      </c>
      <c r="C373" s="331" t="s">
        <v>102</v>
      </c>
      <c r="D373" s="55" t="e">
        <f>+INDEX('[2]Budget original'!$A$2:$AO$501,MATCH($A373,'[2]Budget original'!$A$2:$A$501,0),MATCH(D$2,'[2]Budget original'!$A$2:$AO$2,0))</f>
        <v>#N/A</v>
      </c>
      <c r="E373" s="93" t="e">
        <f t="shared" si="56"/>
        <v>#N/A</v>
      </c>
      <c r="F373" s="39" t="e">
        <f>+INDEX('[2]Budget original'!$A$2:$AO$501,MATCH($A373,'[2]Budget original'!$A$2:$A$501,0),MATCH(F$2,'[2]Budget original'!$A$2:$AO$2,0))</f>
        <v>#N/A</v>
      </c>
      <c r="G373" s="55"/>
      <c r="H373" s="93"/>
      <c r="I373" s="39"/>
      <c r="J373" s="55">
        <f>-SUMIFS([2]BV_Data_An_Cour!$AM:$AM,[2]BV_Data_An_Cour!$AS:$AS,"Oui",[2]BV_Data_An_Cour!$AP:$AP,$B373,[2]BV_Data_An_Cour!$AQ:$AQ,$C373)</f>
        <v>86905.390000000014</v>
      </c>
      <c r="K373" s="93">
        <f t="shared" si="50"/>
        <v>0.28624818322545936</v>
      </c>
      <c r="L373" s="39">
        <f>-SUMIFS([2]BV_Data_An_Cour!$AM:$AM,[2]BV_Data_An_Cour!$AP:$AP,$B373,[2]BV_Data_An_Cour!$AQ:$AQ,$C373,[2]BV_Data_An_Cour!$AR:$AR,$L$2)</f>
        <v>24876.510000000009</v>
      </c>
      <c r="M373" s="99" t="e">
        <f t="shared" si="51"/>
        <v>#N/A</v>
      </c>
      <c r="N373" s="39" t="e">
        <f t="shared" si="52"/>
        <v>#N/A</v>
      </c>
      <c r="O373" s="55">
        <f>-SUMIFS([2]BV_Data_An_Prec!$AM:$AM,[2]BV_Data_An_Prec!$AS:$AS,"Oui",[2]BV_Data_An_Prec!$AP:$AP,$B373,[2]BV_Data_An_Prec!$AQ:$AQ,$C373)</f>
        <v>62505.880000000005</v>
      </c>
      <c r="P373" s="93">
        <f t="shared" si="53"/>
        <v>0.28472249330782889</v>
      </c>
      <c r="Q373" s="39">
        <f>-SUMIFS([2]BV_Data_An_Prec!$AM:$AM,[2]BV_Data_An_Prec!$AP:$AP,$B373,[2]BV_Data_An_Prec!$AQ:$AQ,$C373,[2]BV_Data_An_Prec!$AR:$AR,$L$2)</f>
        <v>17796.829999999958</v>
      </c>
      <c r="R373" s="99">
        <f t="shared" si="54"/>
        <v>0.39035543536064138</v>
      </c>
      <c r="S373" s="39">
        <f t="shared" si="55"/>
        <v>7079.6800000000512</v>
      </c>
      <c r="T373" s="6"/>
      <c r="U373" s="6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spans="1:40" ht="15.75" customHeight="1">
      <c r="A374" s="410" t="s">
        <v>422</v>
      </c>
      <c r="B374" s="7" t="s">
        <v>98</v>
      </c>
      <c r="C374" s="331" t="s">
        <v>103</v>
      </c>
      <c r="D374" s="55" t="e">
        <f>+INDEX('[2]Budget original'!$A$2:$AO$501,MATCH($A374,'[2]Budget original'!$A$2:$A$501,0),MATCH(D$2,'[2]Budget original'!$A$2:$AO$2,0))</f>
        <v>#N/A</v>
      </c>
      <c r="E374" s="93" t="e">
        <f t="shared" si="56"/>
        <v>#N/A</v>
      </c>
      <c r="F374" s="39" t="e">
        <f>+INDEX('[2]Budget original'!$A$2:$AO$501,MATCH($A374,'[2]Budget original'!$A$2:$A$501,0),MATCH(F$2,'[2]Budget original'!$A$2:$AO$2,0))</f>
        <v>#N/A</v>
      </c>
      <c r="G374" s="55"/>
      <c r="H374" s="93"/>
      <c r="I374" s="39"/>
      <c r="J374" s="55">
        <f>-SUMIFS([2]BV_Data_An_Cour!$AM:$AM,[2]BV_Data_An_Cour!$AS:$AS,"Oui",[2]BV_Data_An_Cour!$AP:$AP,$B374,[2]BV_Data_An_Cour!$AQ:$AQ,$C374)</f>
        <v>36953.440000000002</v>
      </c>
      <c r="K374" s="93">
        <f t="shared" si="50"/>
        <v>0.27563469057278628</v>
      </c>
      <c r="L374" s="39">
        <f>-SUMIFS([2]BV_Data_An_Cour!$AM:$AM,[2]BV_Data_An_Cour!$AP:$AP,$B374,[2]BV_Data_An_Cour!$AQ:$AQ,$C374,[2]BV_Data_An_Cour!$AR:$AR,$L$2)</f>
        <v>10185.650000000023</v>
      </c>
      <c r="M374" s="99" t="e">
        <f t="shared" si="51"/>
        <v>#N/A</v>
      </c>
      <c r="N374" s="39" t="e">
        <f t="shared" si="52"/>
        <v>#N/A</v>
      </c>
      <c r="O374" s="55">
        <f>-SUMIFS([2]BV_Data_An_Prec!$AM:$AM,[2]BV_Data_An_Prec!$AS:$AS,"Oui",[2]BV_Data_An_Prec!$AP:$AP,$B374,[2]BV_Data_An_Prec!$AQ:$AQ,$C374)</f>
        <v>40829.760000000009</v>
      </c>
      <c r="P374" s="93">
        <f t="shared" si="53"/>
        <v>0.35273070427060976</v>
      </c>
      <c r="Q374" s="39">
        <f>-SUMIFS([2]BV_Data_An_Prec!$AM:$AM,[2]BV_Data_An_Prec!$AP:$AP,$B374,[2]BV_Data_An_Prec!$AQ:$AQ,$C374,[2]BV_Data_An_Prec!$AR:$AR,$L$2)</f>
        <v>14401.909999999974</v>
      </c>
      <c r="R374" s="99">
        <f t="shared" si="54"/>
        <v>-9.4938593810005398E-2</v>
      </c>
      <c r="S374" s="39">
        <f t="shared" si="55"/>
        <v>-4216.2599999999511</v>
      </c>
      <c r="T374" s="6"/>
      <c r="U374" s="6"/>
      <c r="V374" s="6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spans="1:40" ht="15.75" customHeight="1">
      <c r="A375" s="410" t="s">
        <v>423</v>
      </c>
      <c r="B375" s="7" t="s">
        <v>98</v>
      </c>
      <c r="C375" s="331" t="s">
        <v>104</v>
      </c>
      <c r="D375" s="55" t="e">
        <f>+INDEX('[2]Budget original'!$A$2:$AO$501,MATCH($A375,'[2]Budget original'!$A$2:$A$501,0),MATCH(D$2,'[2]Budget original'!$A$2:$AO$2,0))</f>
        <v>#N/A</v>
      </c>
      <c r="E375" s="93" t="e">
        <f t="shared" si="56"/>
        <v>#N/A</v>
      </c>
      <c r="F375" s="39" t="e">
        <f>+INDEX('[2]Budget original'!$A$2:$AO$501,MATCH($A375,'[2]Budget original'!$A$2:$A$501,0),MATCH(F$2,'[2]Budget original'!$A$2:$AO$2,0))</f>
        <v>#N/A</v>
      </c>
      <c r="G375" s="55"/>
      <c r="H375" s="93"/>
      <c r="I375" s="39"/>
      <c r="J375" s="55">
        <f>-SUMIFS([2]BV_Data_An_Cour!$AM:$AM,[2]BV_Data_An_Cour!$AS:$AS,"Oui",[2]BV_Data_An_Cour!$AP:$AP,$B375,[2]BV_Data_An_Cour!$AQ:$AQ,$C375)</f>
        <v>31441.490000000049</v>
      </c>
      <c r="K375" s="93">
        <f t="shared" si="50"/>
        <v>0.19543571249327105</v>
      </c>
      <c r="L375" s="39">
        <f>-SUMIFS([2]BV_Data_An_Cour!$AM:$AM,[2]BV_Data_An_Cour!$AP:$AP,$B375,[2]BV_Data_An_Cour!$AQ:$AQ,$C375,[2]BV_Data_An_Cour!$AR:$AR,$L$2)</f>
        <v>6144.7900000000664</v>
      </c>
      <c r="M375" s="99" t="e">
        <f t="shared" si="51"/>
        <v>#N/A</v>
      </c>
      <c r="N375" s="39" t="e">
        <f t="shared" si="52"/>
        <v>#N/A</v>
      </c>
      <c r="O375" s="55">
        <f>-SUMIFS([2]BV_Data_An_Prec!$AM:$AM,[2]BV_Data_An_Prec!$AS:$AS,"Oui",[2]BV_Data_An_Prec!$AP:$AP,$B375,[2]BV_Data_An_Prec!$AQ:$AQ,$C375)</f>
        <v>37160.139999999985</v>
      </c>
      <c r="P375" s="93">
        <f t="shared" si="53"/>
        <v>0.21003123239040494</v>
      </c>
      <c r="Q375" s="39">
        <f>-SUMIFS([2]BV_Data_An_Prec!$AM:$AM,[2]BV_Data_An_Prec!$AP:$AP,$B375,[2]BV_Data_An_Prec!$AQ:$AQ,$C375,[2]BV_Data_An_Prec!$AR:$AR,$L$2)</f>
        <v>7804.789999999979</v>
      </c>
      <c r="R375" s="99">
        <f t="shared" si="54"/>
        <v>-0.15389204669304093</v>
      </c>
      <c r="S375" s="39">
        <f t="shared" si="55"/>
        <v>-1659.9999999999127</v>
      </c>
      <c r="T375" s="6"/>
      <c r="U375" s="6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spans="1:40" ht="15.75" customHeight="1">
      <c r="A376" s="410" t="s">
        <v>424</v>
      </c>
      <c r="B376" s="7" t="s">
        <v>98</v>
      </c>
      <c r="C376" s="331" t="s">
        <v>105</v>
      </c>
      <c r="D376" s="55" t="e">
        <f>+INDEX('[2]Budget original'!$A$2:$AO$501,MATCH($A376,'[2]Budget original'!$A$2:$A$501,0),MATCH(D$2,'[2]Budget original'!$A$2:$AO$2,0))</f>
        <v>#N/A</v>
      </c>
      <c r="E376" s="93" t="e">
        <f t="shared" si="56"/>
        <v>#N/A</v>
      </c>
      <c r="F376" s="39" t="e">
        <f>+INDEX('[2]Budget original'!$A$2:$AO$501,MATCH($A376,'[2]Budget original'!$A$2:$A$501,0),MATCH(F$2,'[2]Budget original'!$A$2:$AO$2,0))</f>
        <v>#N/A</v>
      </c>
      <c r="G376" s="55"/>
      <c r="H376" s="93"/>
      <c r="I376" s="39"/>
      <c r="J376" s="55">
        <f>-SUMIFS([2]BV_Data_An_Cour!$AM:$AM,[2]BV_Data_An_Cour!$AS:$AS,"Oui",[2]BV_Data_An_Cour!$AP:$AP,$B376,[2]BV_Data_An_Cour!$AQ:$AQ,$C376)</f>
        <v>116127.41000000003</v>
      </c>
      <c r="K376" s="93">
        <f t="shared" si="50"/>
        <v>0.19691018683702699</v>
      </c>
      <c r="L376" s="39">
        <f>-SUMIFS([2]BV_Data_An_Cour!$AM:$AM,[2]BV_Data_An_Cour!$AP:$AP,$B376,[2]BV_Data_An_Cour!$AQ:$AQ,$C376,[2]BV_Data_An_Cour!$AR:$AR,$L$2)</f>
        <v>22866.670000000042</v>
      </c>
      <c r="M376" s="99" t="e">
        <f t="shared" si="51"/>
        <v>#N/A</v>
      </c>
      <c r="N376" s="39" t="e">
        <f t="shared" si="52"/>
        <v>#N/A</v>
      </c>
      <c r="O376" s="55">
        <f>-SUMIFS([2]BV_Data_An_Prec!$AM:$AM,[2]BV_Data_An_Prec!$AS:$AS,"Oui",[2]BV_Data_An_Prec!$AP:$AP,$B376,[2]BV_Data_An_Prec!$AQ:$AQ,$C376)</f>
        <v>149731.51000000013</v>
      </c>
      <c r="P376" s="93">
        <f t="shared" si="53"/>
        <v>0.20671260177634024</v>
      </c>
      <c r="Q376" s="39">
        <f>-SUMIFS([2]BV_Data_An_Prec!$AM:$AM,[2]BV_Data_An_Prec!$AP:$AP,$B376,[2]BV_Data_An_Prec!$AQ:$AQ,$C376,[2]BV_Data_An_Prec!$AR:$AR,$L$2)</f>
        <v>30951.39000000013</v>
      </c>
      <c r="R376" s="99">
        <f t="shared" si="54"/>
        <v>-0.22442904636438959</v>
      </c>
      <c r="S376" s="39">
        <f t="shared" si="55"/>
        <v>-8084.7200000000885</v>
      </c>
      <c r="T376" s="6"/>
      <c r="U376" s="6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spans="1:40" ht="20.399999999999999" hidden="1" customHeight="1">
      <c r="A377" s="410" t="s">
        <v>425</v>
      </c>
      <c r="B377" s="7" t="s">
        <v>98</v>
      </c>
      <c r="C377" s="331" t="s">
        <v>19</v>
      </c>
      <c r="D377" s="55" t="e">
        <f>+INDEX('[2]Budget original'!$A$2:$AO$501,MATCH($A377,'[2]Budget original'!$A$2:$A$501,0),MATCH(D$2,'[2]Budget original'!$A$2:$AO$2,0))</f>
        <v>#N/A</v>
      </c>
      <c r="E377" s="93" t="e">
        <f>IF(D377=0,0,F377/D377)</f>
        <v>#N/A</v>
      </c>
      <c r="F377" s="39" t="e">
        <f>+INDEX('[2]Budget original'!$A$2:$AO$501,MATCH($A377,'[2]Budget original'!$A$2:$A$501,0),MATCH(F$2,'[2]Budget original'!$A$2:$AO$2,0))</f>
        <v>#N/A</v>
      </c>
      <c r="G377" s="55"/>
      <c r="H377" s="93"/>
      <c r="I377" s="39"/>
      <c r="J377" s="55">
        <f>-SUMIFS([2]BV_Data_An_Cour!$AM:$AM,[2]BV_Data_An_Cour!$AS:$AS,"Oui",[2]BV_Data_An_Cour!$AP:$AP,$B377,[2]BV_Data_An_Cour!$AQ:$AQ,$C377)</f>
        <v>0</v>
      </c>
      <c r="K377" s="93">
        <f t="shared" si="50"/>
        <v>0</v>
      </c>
      <c r="L377" s="39">
        <f>-SUMIFS([2]BV_Data_An_Cour!$AM:$AM,[2]BV_Data_An_Cour!$AP:$AP,$B377,[2]BV_Data_An_Cour!$AQ:$AQ,$C377,[2]BV_Data_An_Cour!$AR:$AR,$L$2)</f>
        <v>0</v>
      </c>
      <c r="M377" s="99" t="e">
        <f t="shared" si="51"/>
        <v>#N/A</v>
      </c>
      <c r="N377" s="39" t="e">
        <f t="shared" si="52"/>
        <v>#N/A</v>
      </c>
      <c r="O377" s="55">
        <f>-SUMIFS([2]BV_Data_An_Prec!$AM:$AM,[2]BV_Data_An_Prec!$AS:$AS,"Oui",[2]BV_Data_An_Prec!$AP:$AP,$B377,[2]BV_Data_An_Prec!$AQ:$AQ,$C377)</f>
        <v>0</v>
      </c>
      <c r="P377" s="93">
        <f t="shared" si="53"/>
        <v>0</v>
      </c>
      <c r="Q377" s="39">
        <f>-SUMIFS([2]BV_Data_An_Prec!$AM:$AM,[2]BV_Data_An_Prec!$AP:$AP,$B377,[2]BV_Data_An_Prec!$AQ:$AQ,$C377,[2]BV_Data_An_Prec!$AR:$AR,$L$2)</f>
        <v>0</v>
      </c>
      <c r="R377" s="99">
        <f t="shared" si="54"/>
        <v>0</v>
      </c>
      <c r="S377" s="39">
        <f t="shared" si="55"/>
        <v>0</v>
      </c>
      <c r="T377" s="6"/>
      <c r="U377" s="6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spans="1:40" ht="15.75" customHeight="1">
      <c r="A378" s="410" t="s">
        <v>426</v>
      </c>
      <c r="B378" s="7" t="s">
        <v>98</v>
      </c>
      <c r="C378" s="331" t="s">
        <v>106</v>
      </c>
      <c r="D378" s="55" t="e">
        <f>+INDEX('[2]Budget original'!$A$2:$AO$501,MATCH($A378,'[2]Budget original'!$A$2:$A$501,0),MATCH(D$2,'[2]Budget original'!$A$2:$AO$2,0))</f>
        <v>#N/A</v>
      </c>
      <c r="E378" s="93" t="e">
        <f t="shared" si="56"/>
        <v>#N/A</v>
      </c>
      <c r="F378" s="39" t="e">
        <f>+INDEX('[2]Budget original'!$A$2:$AO$501,MATCH($A378,'[2]Budget original'!$A$2:$A$501,0),MATCH(F$2,'[2]Budget original'!$A$2:$AO$2,0))</f>
        <v>#N/A</v>
      </c>
      <c r="G378" s="55"/>
      <c r="H378" s="93"/>
      <c r="I378" s="39"/>
      <c r="J378" s="55">
        <f>-SUMIFS([2]BV_Data_An_Cour!$AM:$AM,[2]BV_Data_An_Cour!$AS:$AS,"Oui",[2]BV_Data_An_Cour!$AP:$AP,$B378,[2]BV_Data_An_Cour!$AQ:$AQ,$C378)</f>
        <v>0</v>
      </c>
      <c r="K378" s="93">
        <f t="shared" si="50"/>
        <v>0</v>
      </c>
      <c r="L378" s="39">
        <f>-SUMIFS([2]BV_Data_An_Cour!$AM:$AM,[2]BV_Data_An_Cour!$AP:$AP,$B378,[2]BV_Data_An_Cour!$AQ:$AQ,$C378,[2]BV_Data_An_Cour!$AR:$AR,$L$2)</f>
        <v>5375.6900000000023</v>
      </c>
      <c r="M378" s="99"/>
      <c r="N378" s="39" t="e">
        <f t="shared" si="52"/>
        <v>#N/A</v>
      </c>
      <c r="O378" s="55">
        <f>-SUMIFS([2]BV_Data_An_Prec!$AM:$AM,[2]BV_Data_An_Prec!$AS:$AS,"Oui",[2]BV_Data_An_Prec!$AP:$AP,$B378,[2]BV_Data_An_Prec!$AQ:$AQ,$C378)</f>
        <v>0</v>
      </c>
      <c r="P378" s="93">
        <f t="shared" si="53"/>
        <v>0</v>
      </c>
      <c r="Q378" s="39">
        <f>-SUMIFS([2]BV_Data_An_Prec!$AM:$AM,[2]BV_Data_An_Prec!$AP:$AP,$B378,[2]BV_Data_An_Prec!$AQ:$AQ,$C378,[2]BV_Data_An_Prec!$AR:$AR,$L$2)</f>
        <v>335.27999999999884</v>
      </c>
      <c r="R378" s="99">
        <f t="shared" si="54"/>
        <v>0</v>
      </c>
      <c r="S378" s="39">
        <f t="shared" si="55"/>
        <v>5040.4100000000035</v>
      </c>
      <c r="T378" s="6"/>
      <c r="U378" s="6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spans="1:40" ht="15.75" customHeight="1">
      <c r="A379" s="410" t="s">
        <v>427</v>
      </c>
      <c r="B379" s="7" t="s">
        <v>98</v>
      </c>
      <c r="C379" s="332" t="s">
        <v>107</v>
      </c>
      <c r="D379" s="55" t="e">
        <f>+INDEX('[2]Budget original'!$A$2:$AO$501,MATCH($A379,'[2]Budget original'!$A$2:$A$501,0),MATCH(D$2,'[2]Budget original'!$A$2:$AO$2,0))</f>
        <v>#N/A</v>
      </c>
      <c r="E379" s="93" t="e">
        <f t="shared" si="56"/>
        <v>#N/A</v>
      </c>
      <c r="F379" s="39" t="e">
        <f>+INDEX('[2]Budget original'!$A$2:$AO$501,MATCH($A379,'[2]Budget original'!$A$2:$A$501,0),MATCH(F$2,'[2]Budget original'!$A$2:$AO$2,0))</f>
        <v>#N/A</v>
      </c>
      <c r="G379" s="55"/>
      <c r="H379" s="93"/>
      <c r="I379" s="39"/>
      <c r="J379" s="55">
        <f>-SUMIFS([2]BV_Data_An_Cour!$AM:$AM,[2]BV_Data_An_Cour!$AS:$AS,"Oui",[2]BV_Data_An_Cour!$AP:$AP,$B379,[2]BV_Data_An_Cour!$AQ:$AQ,$C379)</f>
        <v>0</v>
      </c>
      <c r="K379" s="93">
        <f t="shared" si="50"/>
        <v>0</v>
      </c>
      <c r="L379" s="39">
        <f>-SUMIFS([2]BV_Data_An_Cour!$AM:$AM,[2]BV_Data_An_Cour!$AP:$AP,$B379,[2]BV_Data_An_Cour!$AQ:$AQ,$C379,[2]BV_Data_An_Cour!$AR:$AR,$L$2)</f>
        <v>1480.4799999999996</v>
      </c>
      <c r="M379" s="99"/>
      <c r="N379" s="39" t="e">
        <f t="shared" si="52"/>
        <v>#N/A</v>
      </c>
      <c r="O379" s="55">
        <f>-SUMIFS([2]BV_Data_An_Prec!$AM:$AM,[2]BV_Data_An_Prec!$AS:$AS,"Oui",[2]BV_Data_An_Prec!$AP:$AP,$B379,[2]BV_Data_An_Prec!$AQ:$AQ,$C379)</f>
        <v>0</v>
      </c>
      <c r="P379" s="93">
        <f t="shared" si="53"/>
        <v>0</v>
      </c>
      <c r="Q379" s="39">
        <f>-SUMIFS([2]BV_Data_An_Prec!$AM:$AM,[2]BV_Data_An_Prec!$AP:$AP,$B379,[2]BV_Data_An_Prec!$AQ:$AQ,$C379,[2]BV_Data_An_Prec!$AR:$AR,$L$2)</f>
        <v>10.430000000000291</v>
      </c>
      <c r="R379" s="99">
        <f t="shared" si="54"/>
        <v>0</v>
      </c>
      <c r="S379" s="39">
        <f t="shared" si="55"/>
        <v>1470.0499999999993</v>
      </c>
      <c r="T379" s="6"/>
      <c r="U379" s="6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spans="1:40" ht="15.75" customHeight="1">
      <c r="A380" s="410" t="s">
        <v>428</v>
      </c>
      <c r="B380" s="7" t="s">
        <v>98</v>
      </c>
      <c r="C380" s="333" t="s">
        <v>108</v>
      </c>
      <c r="D380" s="122" t="e">
        <f>SUM(D371:D379)</f>
        <v>#N/A</v>
      </c>
      <c r="E380" s="133" t="e">
        <f>IF(D380&lt;=0,0,F380/D380)</f>
        <v>#N/A</v>
      </c>
      <c r="F380" s="123" t="e">
        <f>SUM(F371:F379)</f>
        <v>#N/A</v>
      </c>
      <c r="G380" s="122"/>
      <c r="H380" s="133"/>
      <c r="I380" s="123"/>
      <c r="J380" s="122">
        <f t="shared" ref="J380" si="57">SUM(J371:J379)</f>
        <v>321035.52000000014</v>
      </c>
      <c r="K380" s="133">
        <f t="shared" si="50"/>
        <v>0.26948641072489471</v>
      </c>
      <c r="L380" s="123">
        <f>SUM(L371:L379)</f>
        <v>86514.710000000181</v>
      </c>
      <c r="M380" s="134" t="e">
        <f>(+J380-D380)/D380</f>
        <v>#N/A</v>
      </c>
      <c r="N380" s="123" t="e">
        <f t="shared" si="52"/>
        <v>#N/A</v>
      </c>
      <c r="O380" s="122">
        <f t="shared" ref="O380" si="58">SUM(O371:O379)</f>
        <v>338927.63000000012</v>
      </c>
      <c r="P380" s="133">
        <f t="shared" si="53"/>
        <v>0.27006614951988406</v>
      </c>
      <c r="Q380" s="123">
        <f>SUM(Q371:Q379)</f>
        <v>91532.879999999976</v>
      </c>
      <c r="R380" s="134">
        <f t="shared" si="54"/>
        <v>-5.2790355274369281E-2</v>
      </c>
      <c r="S380" s="123">
        <f t="shared" si="55"/>
        <v>-5018.1699999997945</v>
      </c>
      <c r="T380" s="6"/>
      <c r="U380" s="6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spans="1:40" ht="15.75" customHeight="1">
      <c r="A381" s="410" t="s">
        <v>98</v>
      </c>
      <c r="B381" s="7" t="s">
        <v>98</v>
      </c>
      <c r="C381" s="331"/>
      <c r="D381" s="7"/>
      <c r="E381" s="7"/>
      <c r="F381" s="25"/>
      <c r="G381" s="26"/>
      <c r="H381" s="7"/>
      <c r="I381" s="25"/>
      <c r="J381" s="40"/>
      <c r="K381" s="7"/>
      <c r="L381" s="39"/>
      <c r="M381" s="26"/>
      <c r="N381" s="28" t="e">
        <f>N380/F380</f>
        <v>#N/A</v>
      </c>
      <c r="O381" s="40"/>
      <c r="P381" s="7"/>
      <c r="Q381" s="39"/>
      <c r="R381" s="26"/>
      <c r="S381" s="28">
        <f>IF(Q380=0,0,S380/Q380)</f>
        <v>-5.482368740063457E-2</v>
      </c>
      <c r="T381" s="6"/>
      <c r="U381" s="6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spans="1:40" ht="15.75" customHeight="1">
      <c r="A382" s="410" t="s">
        <v>98</v>
      </c>
      <c r="B382" s="7" t="s">
        <v>98</v>
      </c>
      <c r="C382" s="332"/>
      <c r="D382" s="73"/>
      <c r="E382" s="73"/>
      <c r="F382" s="135"/>
      <c r="G382" s="14"/>
      <c r="H382" s="73"/>
      <c r="I382" s="135"/>
      <c r="J382" s="103"/>
      <c r="K382" s="73"/>
      <c r="L382" s="61"/>
      <c r="M382" s="14"/>
      <c r="N382" s="107"/>
      <c r="O382" s="103"/>
      <c r="P382" s="73"/>
      <c r="Q382" s="61"/>
      <c r="R382" s="14"/>
      <c r="S382" s="115"/>
      <c r="T382" s="6"/>
      <c r="U382" s="6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spans="1:40" ht="15.75" customHeight="1">
      <c r="A383" s="410" t="s">
        <v>429</v>
      </c>
      <c r="B383" s="7" t="s">
        <v>98</v>
      </c>
      <c r="C383" s="331" t="s">
        <v>109</v>
      </c>
      <c r="D383" s="55" t="e">
        <f>+INDEX('[2]Budget original'!$A$2:$AO$501,MATCH($A383,'[2]Budget original'!$A$2:$A$501,0),MATCH(D$2,'[2]Budget original'!$A$2:$AO$2,0))</f>
        <v>#N/A</v>
      </c>
      <c r="E383" s="93" t="e">
        <f>IF(D383=0,0,F383/D383)</f>
        <v>#N/A</v>
      </c>
      <c r="F383" s="72" t="e">
        <f>+INDEX('[2]Budget original'!$A$2:$AO$501,MATCH($A383,'[2]Budget original'!$A$2:$A$501,0),MATCH(F$2,'[2]Budget original'!$A$2:$AO$2,0))</f>
        <v>#N/A</v>
      </c>
      <c r="G383" s="55"/>
      <c r="H383" s="93"/>
      <c r="I383" s="72"/>
      <c r="J383" s="55">
        <f>-SUMIFS([2]BV_Data_An_Cour!$AM:$AM,[2]BV_Data_An_Cour!$AS:$AS,"Oui",[2]BV_Data_An_Cour!$AP:$AP,$B383,[2]BV_Data_An_Cour!$AQ:$AQ,$C383)</f>
        <v>18670.01999999999</v>
      </c>
      <c r="K383" s="93">
        <f t="shared" ref="K383:K385" si="59">IF(J383&lt;=0,0,L383/J383)</f>
        <v>0.12284775270728196</v>
      </c>
      <c r="L383" s="72">
        <f>-SUMIFS([2]BV_Data_An_Cour!$AM:$AM,[2]BV_Data_An_Cour!$AP:$AP,$B383,[2]BV_Data_An_Cour!$AQ:$AQ,$C383,[2]BV_Data_An_Cour!$AR:$AR,$L$2)</f>
        <v>2293.570000000007</v>
      </c>
      <c r="M383" s="99" t="e">
        <f>(+J383-D383)/D383</f>
        <v>#N/A</v>
      </c>
      <c r="N383" s="39" t="e">
        <f>L383-F383</f>
        <v>#N/A</v>
      </c>
      <c r="O383" s="55">
        <f>-SUMIFS([2]BV_Data_An_Prec!$AM:$AM,[2]BV_Data_An_Prec!$AS:$AS,"Oui",[2]BV_Data_An_Prec!$AP:$AP,$B383,[2]BV_Data_An_Prec!$AQ:$AQ,$C383)</f>
        <v>17332.420000000013</v>
      </c>
      <c r="P383" s="93">
        <f t="shared" ref="P383:P385" si="60">IF(O383&lt;=0,0,Q383/O383)</f>
        <v>0.11065044581195253</v>
      </c>
      <c r="Q383" s="72">
        <f>-SUMIFS([2]BV_Data_An_Prec!$AM:$AM,[2]BV_Data_An_Prec!$AP:$AP,$B383,[2]BV_Data_An_Prec!$AQ:$AQ,$C383,[2]BV_Data_An_Prec!$AR:$AR,$L$2)</f>
        <v>1917.8400000000038</v>
      </c>
      <c r="R383" s="99">
        <f t="shared" ref="R383:R385" si="61">IF(O383=0,0,(J383-O383)/O383)</f>
        <v>7.7173297208351505E-2</v>
      </c>
      <c r="S383" s="39">
        <f t="shared" ref="S383:S385" si="62">L383-Q383</f>
        <v>375.7300000000032</v>
      </c>
      <c r="T383" s="6"/>
      <c r="U383" s="6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spans="1:40" ht="15.75" customHeight="1">
      <c r="A384" s="410" t="s">
        <v>430</v>
      </c>
      <c r="B384" s="7" t="s">
        <v>98</v>
      </c>
      <c r="C384" s="332" t="s">
        <v>110</v>
      </c>
      <c r="D384" s="55" t="e">
        <f>+INDEX('[2]Budget original'!$A$2:$AO$501,MATCH($A384,'[2]Budget original'!$A$2:$A$501,0),MATCH(D$2,'[2]Budget original'!$A$2:$AO$2,0))</f>
        <v>#N/A</v>
      </c>
      <c r="E384" s="93" t="e">
        <f>IF(D384=0,0,F384/D384)</f>
        <v>#N/A</v>
      </c>
      <c r="F384" s="61" t="e">
        <f>+INDEX('[2]Budget original'!$A$2:$AO$501,MATCH($A384,'[2]Budget original'!$A$2:$A$501,0),MATCH(F$2,'[2]Budget original'!$A$2:$AO$2,0))</f>
        <v>#N/A</v>
      </c>
      <c r="G384" s="55"/>
      <c r="H384" s="93"/>
      <c r="I384" s="61"/>
      <c r="J384" s="55">
        <f>-SUMIFS([2]BV_Data_An_Cour!$AM:$AM,[2]BV_Data_An_Cour!$AS:$AS,"Oui",[2]BV_Data_An_Cour!$AP:$AP,$B384,[2]BV_Data_An_Cour!$AQ:$AQ,$C384)</f>
        <v>13578.690000000002</v>
      </c>
      <c r="K384" s="93">
        <f t="shared" si="59"/>
        <v>0.25880626187062222</v>
      </c>
      <c r="L384" s="61">
        <f>-SUMIFS([2]BV_Data_An_Cour!$AM:$AM,[2]BV_Data_An_Cour!$AP:$AP,$B384,[2]BV_Data_An_Cour!$AQ:$AQ,$C384,[2]BV_Data_An_Cour!$AR:$AR,$L$2)</f>
        <v>3514.25</v>
      </c>
      <c r="M384" s="99" t="e">
        <f>(+J384-D384)/D384</f>
        <v>#N/A</v>
      </c>
      <c r="N384" s="39" t="e">
        <f>L384-F384</f>
        <v>#N/A</v>
      </c>
      <c r="O384" s="55">
        <f>-SUMIFS([2]BV_Data_An_Prec!$AM:$AM,[2]BV_Data_An_Prec!$AS:$AS,"Oui",[2]BV_Data_An_Prec!$AP:$AP,$B384,[2]BV_Data_An_Prec!$AQ:$AQ,$C384)</f>
        <v>14229.580000000002</v>
      </c>
      <c r="P384" s="93">
        <f t="shared" si="60"/>
        <v>0.29446828367386829</v>
      </c>
      <c r="Q384" s="61">
        <f>-SUMIFS([2]BV_Data_An_Prec!$AM:$AM,[2]BV_Data_An_Prec!$AP:$AP,$B384,[2]BV_Data_An_Prec!$AQ:$AQ,$C384,[2]BV_Data_An_Prec!$AR:$AR,$L$2)</f>
        <v>4190.1600000000035</v>
      </c>
      <c r="R384" s="99">
        <f t="shared" si="61"/>
        <v>-4.5742038767131524E-2</v>
      </c>
      <c r="S384" s="39">
        <f t="shared" si="62"/>
        <v>-675.91000000000349</v>
      </c>
      <c r="T384" s="6"/>
      <c r="U384" s="6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spans="1:40" ht="15.75" customHeight="1">
      <c r="A385" s="410" t="s">
        <v>431</v>
      </c>
      <c r="B385" s="7" t="s">
        <v>98</v>
      </c>
      <c r="C385" s="52" t="s">
        <v>111</v>
      </c>
      <c r="D385" s="122" t="e">
        <f>D380+D383+D384</f>
        <v>#N/A</v>
      </c>
      <c r="E385" s="133" t="e">
        <f>IF(D385&lt;=0,0,F385/D385)</f>
        <v>#N/A</v>
      </c>
      <c r="F385" s="123" t="e">
        <f>F380+F383+F384</f>
        <v>#N/A</v>
      </c>
      <c r="G385" s="124"/>
      <c r="H385" s="133"/>
      <c r="I385" s="123"/>
      <c r="J385" s="124">
        <f t="shared" ref="J385" si="63">J380+J383+J384</f>
        <v>353284.23000000016</v>
      </c>
      <c r="K385" s="133">
        <f t="shared" si="59"/>
        <v>0.26132649623222681</v>
      </c>
      <c r="L385" s="123">
        <f>L380+L383+L384</f>
        <v>92322.530000000188</v>
      </c>
      <c r="M385" s="134" t="e">
        <f>(+J385-D385)/D385</f>
        <v>#N/A</v>
      </c>
      <c r="N385" s="123" t="e">
        <f>L385-F385</f>
        <v>#N/A</v>
      </c>
      <c r="O385" s="124">
        <f t="shared" ref="O385" si="64">O380+O383+O384</f>
        <v>370489.63000000018</v>
      </c>
      <c r="P385" s="133">
        <f t="shared" si="60"/>
        <v>0.26354551408092025</v>
      </c>
      <c r="Q385" s="123">
        <f>Q380+Q383+Q384</f>
        <v>97640.879999999976</v>
      </c>
      <c r="R385" s="134">
        <f t="shared" si="61"/>
        <v>-4.6439626393861594E-2</v>
      </c>
      <c r="S385" s="123">
        <f t="shared" si="62"/>
        <v>-5318.3499999997875</v>
      </c>
      <c r="T385" s="6"/>
      <c r="U385" s="9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spans="1:40" ht="21" hidden="1" customHeight="1">
      <c r="A386" s="410" t="s">
        <v>98</v>
      </c>
      <c r="B386" s="7" t="s">
        <v>98</v>
      </c>
      <c r="C386" s="26"/>
      <c r="D386" s="7"/>
      <c r="E386" s="7"/>
      <c r="F386" s="25"/>
      <c r="G386" s="26"/>
      <c r="H386" s="7"/>
      <c r="I386" s="25"/>
      <c r="J386" s="40"/>
      <c r="K386" s="7"/>
      <c r="L386" s="39"/>
      <c r="M386" s="26"/>
      <c r="N386" s="28" t="e">
        <f>N385/F385</f>
        <v>#N/A</v>
      </c>
      <c r="O386" s="40"/>
      <c r="P386" s="7"/>
      <c r="Q386" s="39"/>
      <c r="R386" s="26"/>
      <c r="S386" s="112">
        <f>IF(Q385=0,0,S385/Q385)</f>
        <v>-5.4468476728187915E-2</v>
      </c>
      <c r="T386" s="6"/>
      <c r="U386" s="6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spans="1:40" ht="21" hidden="1" customHeight="1">
      <c r="A387" s="410" t="s">
        <v>98</v>
      </c>
      <c r="B387" s="7" t="s">
        <v>98</v>
      </c>
      <c r="C387" s="26"/>
      <c r="D387" s="7"/>
      <c r="E387" s="7"/>
      <c r="F387" s="25"/>
      <c r="G387" s="26"/>
      <c r="H387" s="7"/>
      <c r="I387" s="25"/>
      <c r="J387" s="40"/>
      <c r="K387" s="7"/>
      <c r="L387" s="39"/>
      <c r="M387" s="26"/>
      <c r="N387" s="28"/>
      <c r="O387" s="40"/>
      <c r="P387" s="7"/>
      <c r="Q387" s="39"/>
      <c r="R387" s="26"/>
      <c r="S387" s="112"/>
      <c r="T387" s="6"/>
      <c r="U387" s="6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spans="1:40" ht="20.399999999999999" hidden="1" customHeight="1">
      <c r="A388" s="410" t="s">
        <v>432</v>
      </c>
      <c r="B388" s="7" t="s">
        <v>98</v>
      </c>
      <c r="C388" s="14" t="s">
        <v>112</v>
      </c>
      <c r="D388" s="58" t="e">
        <f>+INDEX('[2]Budget original'!$A$2:$AO$501,MATCH($A388,'[2]Budget original'!$A$2:$A$501,0),MATCH(D$2,'[2]Budget original'!$A$2:$AO$2,0))</f>
        <v>#N/A</v>
      </c>
      <c r="E388" s="136" t="e">
        <f>IF(D388=0,0,F388/D388)</f>
        <v>#N/A</v>
      </c>
      <c r="F388" s="61" t="e">
        <f>+INDEX('[2]Budget original'!$A$2:$AO$501,MATCH($A388,'[2]Budget original'!$A$2:$A$501,0),MATCH(F$2,'[2]Budget original'!$A$2:$AO$2,0))</f>
        <v>#N/A</v>
      </c>
      <c r="G388" s="103"/>
      <c r="H388" s="136"/>
      <c r="I388" s="61"/>
      <c r="J388" s="103">
        <f>-SUMIFS([2]BV_Data_An_Cour!$AM:$AM,[2]BV_Data_An_Cour!$AS:$AS,"Oui",[2]BV_Data_An_Cour!$AP:$AP,$B388,[2]BV_Data_An_Cour!$AQ:$AQ,$C388)</f>
        <v>0</v>
      </c>
      <c r="K388" s="136">
        <f>IF(J388&lt;=0,0,L388/J388)</f>
        <v>0</v>
      </c>
      <c r="L388" s="61">
        <f>-SUMIFS([2]BV_Data_An_Cour!$AM:$AM,[2]BV_Data_An_Cour!$AP:$AP,$B388,[2]BV_Data_An_Cour!$AQ:$AQ,$C388,[2]BV_Data_An_Cour!$AR:$AR,$L$2)</f>
        <v>0</v>
      </c>
      <c r="M388" s="136" t="e">
        <f>IF(F388=0,0,(+L388-F388)/F388)</f>
        <v>#N/A</v>
      </c>
      <c r="N388" s="61" t="e">
        <f>L388-F388</f>
        <v>#N/A</v>
      </c>
      <c r="O388" s="103">
        <f>-SUMIFS([2]BV_Data_An_Prec!$AM:$AM,[2]BV_Data_An_Prec!$AS:$AS,"Oui",[2]BV_Data_An_Prec!$AP:$AP,$B388,[2]BV_Data_An_Prec!$AQ:$AQ,$C388)</f>
        <v>0</v>
      </c>
      <c r="P388" s="136">
        <f>IF(O388&lt;=0,0,Q388/O388)</f>
        <v>0</v>
      </c>
      <c r="Q388" s="61">
        <f>-SUMIFS([2]BV_Data_An_Prec!$AM:$AM,[2]BV_Data_An_Prec!$AP:$AP,$B388,[2]BV_Data_An_Prec!$AQ:$AQ,$C388,[2]BV_Data_An_Prec!$AR:$AR,$L$2)</f>
        <v>0</v>
      </c>
      <c r="R388" s="136">
        <f>IF(S388=0,0,(+O388-K388)/K388)</f>
        <v>0</v>
      </c>
      <c r="S388" s="61">
        <f>L388-Q388</f>
        <v>0</v>
      </c>
      <c r="T388" s="6"/>
      <c r="U388" s="9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spans="1:40" ht="15.75" customHeight="1" thickBot="1">
      <c r="A389" s="410" t="s">
        <v>98</v>
      </c>
      <c r="B389" s="7" t="s">
        <v>98</v>
      </c>
      <c r="C389" s="26"/>
      <c r="D389" s="55"/>
      <c r="E389" s="93"/>
      <c r="F389" s="39"/>
      <c r="G389" s="40"/>
      <c r="H389" s="93"/>
      <c r="I389" s="39"/>
      <c r="J389" s="40"/>
      <c r="K389" s="93"/>
      <c r="L389" s="39"/>
      <c r="M389" s="99"/>
      <c r="N389" s="39"/>
      <c r="O389" s="40"/>
      <c r="P389" s="93"/>
      <c r="Q389" s="39"/>
      <c r="R389" s="99"/>
      <c r="S389" s="39"/>
      <c r="T389" s="6"/>
      <c r="U389" s="6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spans="1:40" ht="18" customHeight="1" thickTop="1">
      <c r="A390" s="410" t="s">
        <v>433</v>
      </c>
      <c r="B390" s="7" t="s">
        <v>98</v>
      </c>
      <c r="C390" s="264" t="s">
        <v>113</v>
      </c>
      <c r="D390" s="41" t="e">
        <f>D385+D388</f>
        <v>#N/A</v>
      </c>
      <c r="E390" s="42" t="e">
        <f>IF(D390&lt;=0,0,F390/D390)</f>
        <v>#N/A</v>
      </c>
      <c r="F390" s="43" t="e">
        <f>F385+F388</f>
        <v>#N/A</v>
      </c>
      <c r="G390" s="44"/>
      <c r="H390" s="42"/>
      <c r="I390" s="43"/>
      <c r="J390" s="44">
        <f>J385+J388</f>
        <v>353284.23000000016</v>
      </c>
      <c r="K390" s="137">
        <f>IF(J390&lt;=0,0,L390/J390)</f>
        <v>0.26132649623222681</v>
      </c>
      <c r="L390" s="43">
        <f>L385+L388</f>
        <v>92322.530000000188</v>
      </c>
      <c r="M390" s="44" t="e">
        <f>(+J390-D390)/D390</f>
        <v>#N/A</v>
      </c>
      <c r="N390" s="43" t="e">
        <f>L390-F390</f>
        <v>#N/A</v>
      </c>
      <c r="O390" s="44">
        <f t="shared" ref="O390" si="65">O385+O388</f>
        <v>370489.63000000018</v>
      </c>
      <c r="P390" s="137">
        <f>IF(O390&lt;=0,0,Q390/O390)</f>
        <v>0.26354551408092025</v>
      </c>
      <c r="Q390" s="43">
        <f>Q385+Q388</f>
        <v>97640.879999999976</v>
      </c>
      <c r="R390" s="129">
        <f>IF(O390=0,0,(J390-O390)/O390)</f>
        <v>-4.6439626393861594E-2</v>
      </c>
      <c r="S390" s="43">
        <f>L390-Q390</f>
        <v>-5318.3499999997875</v>
      </c>
      <c r="T390" s="6"/>
      <c r="U390" s="6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spans="1:40" ht="22.5" customHeight="1" thickBot="1">
      <c r="A391" s="410" t="s">
        <v>98</v>
      </c>
      <c r="B391" s="7" t="s">
        <v>98</v>
      </c>
      <c r="C391" s="47"/>
      <c r="D391" s="45"/>
      <c r="E391" s="45"/>
      <c r="F391" s="46"/>
      <c r="G391" s="47"/>
      <c r="H391" s="45"/>
      <c r="I391" s="46"/>
      <c r="J391" s="47"/>
      <c r="K391" s="265"/>
      <c r="L391" s="266"/>
      <c r="M391" s="48"/>
      <c r="N391" s="49" t="e">
        <f>N390/F390</f>
        <v>#N/A</v>
      </c>
      <c r="O391" s="47"/>
      <c r="P391" s="265"/>
      <c r="Q391" s="267"/>
      <c r="R391" s="48"/>
      <c r="S391" s="267">
        <f>IF(Q390=0,0,S390/Q390)</f>
        <v>-5.4468476728187915E-2</v>
      </c>
      <c r="T391" s="6"/>
      <c r="U391" s="6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spans="1:40" ht="15.75" customHeight="1" thickTop="1">
      <c r="A392" s="410" t="s">
        <v>98</v>
      </c>
      <c r="B392" s="7" t="s">
        <v>98</v>
      </c>
      <c r="C392" s="52"/>
      <c r="D392" s="74"/>
      <c r="E392" s="110"/>
      <c r="F392" s="112"/>
      <c r="G392" s="111"/>
      <c r="H392" s="110"/>
      <c r="I392" s="112"/>
      <c r="J392" s="111"/>
      <c r="K392" s="110"/>
      <c r="L392" s="112"/>
      <c r="M392" s="26"/>
      <c r="N392" s="28"/>
      <c r="O392" s="111"/>
      <c r="P392" s="110"/>
      <c r="Q392" s="112"/>
      <c r="R392" s="26"/>
      <c r="S392" s="28"/>
      <c r="T392" s="6"/>
      <c r="U392" s="6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spans="1:40" ht="15.75" customHeight="1">
      <c r="A393" s="410" t="s">
        <v>434</v>
      </c>
      <c r="B393" s="7" t="s">
        <v>98</v>
      </c>
      <c r="C393" s="268" t="s">
        <v>29</v>
      </c>
      <c r="D393" s="7"/>
      <c r="E393" s="7"/>
      <c r="F393" s="39"/>
      <c r="G393" s="26"/>
      <c r="H393" s="7"/>
      <c r="I393" s="39"/>
      <c r="J393" s="26"/>
      <c r="K393" s="7"/>
      <c r="L393" s="25"/>
      <c r="M393" s="26"/>
      <c r="N393" s="25"/>
      <c r="O393" s="26"/>
      <c r="P393" s="7"/>
      <c r="Q393" s="25"/>
      <c r="R393" s="26"/>
      <c r="S393" s="25"/>
      <c r="T393" s="6"/>
      <c r="U393" s="6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spans="1:40" ht="15.75" customHeight="1">
      <c r="A394" s="410" t="s">
        <v>435</v>
      </c>
      <c r="B394" s="7" t="s">
        <v>98</v>
      </c>
      <c r="C394" s="271" t="s">
        <v>40</v>
      </c>
      <c r="D394" s="7"/>
      <c r="E394" s="7"/>
      <c r="F394" s="19" t="e">
        <f>+INDEX('[2]Budget original'!$A$2:$AO$501,MATCH($A394,'[2]Budget original'!$A$2:$A$501,0),MATCH(F$2,'[2]Budget original'!$A$2:$AO$2,0))</f>
        <v>#N/A</v>
      </c>
      <c r="G394" s="26"/>
      <c r="H394" s="7"/>
      <c r="I394" s="19"/>
      <c r="J394" s="26"/>
      <c r="K394" s="7"/>
      <c r="L394" s="39">
        <f>SUMIFS([2]BV_Data_An_Cour!$AM:$AM,[2]BV_Data_An_Cour!$AP:$AP,$B394,[2]BV_Data_An_Cour!$AQ:$AQ,$C394,[2]BV_Data_An_Cour!$AR:$AR,$L$2)</f>
        <v>7934.34</v>
      </c>
      <c r="M394" s="26"/>
      <c r="N394" s="21" t="e">
        <f t="shared" ref="N394:N424" si="66">L394-F394</f>
        <v>#N/A</v>
      </c>
      <c r="O394" s="26"/>
      <c r="P394" s="7"/>
      <c r="Q394" s="39">
        <f>SUMIFS([2]BV_Data_An_Prec!$AM:$AM,[2]BV_Data_An_Prec!$AP:$AP,$B394,[2]BV_Data_An_Prec!$AQ:$AQ,$C394,[2]BV_Data_An_Prec!$AR:$AR,$L$2)</f>
        <v>4483.4199999999983</v>
      </c>
      <c r="R394" s="26"/>
      <c r="S394" s="39">
        <f t="shared" ref="S394:S424" si="67">L394-Q394</f>
        <v>3450.9200000000019</v>
      </c>
      <c r="T394" s="6"/>
      <c r="U394" s="6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spans="1:40" ht="15.75" customHeight="1">
      <c r="A395" s="410" t="s">
        <v>436</v>
      </c>
      <c r="B395" s="7" t="s">
        <v>98</v>
      </c>
      <c r="C395" s="272" t="s">
        <v>41</v>
      </c>
      <c r="D395" s="54"/>
      <c r="E395" s="7"/>
      <c r="F395" s="31" t="e">
        <f>+INDEX('[2]Budget original'!$A$2:$AO$501,MATCH($A395,'[2]Budget original'!$A$2:$A$501,0),MATCH(F$2,'[2]Budget original'!$A$2:$AO$2,0))</f>
        <v>#N/A</v>
      </c>
      <c r="G395" s="56"/>
      <c r="H395" s="7"/>
      <c r="I395" s="31"/>
      <c r="J395" s="26"/>
      <c r="K395" s="7"/>
      <c r="L395" s="39">
        <f>SUMIFS([2]BV_Data_An_Cour!$AM:$AM,[2]BV_Data_An_Cour!$AP:$AP,$B395,[2]BV_Data_An_Cour!$AQ:$AQ,$C395,[2]BV_Data_An_Cour!$AR:$AR,$L$2)</f>
        <v>2116.0299999999988</v>
      </c>
      <c r="M395" s="26"/>
      <c r="N395" s="21" t="e">
        <f t="shared" si="66"/>
        <v>#N/A</v>
      </c>
      <c r="O395" s="26"/>
      <c r="P395" s="7"/>
      <c r="Q395" s="39">
        <f>SUMIFS([2]BV_Data_An_Prec!$AM:$AM,[2]BV_Data_An_Prec!$AP:$AP,$B395,[2]BV_Data_An_Prec!$AQ:$AQ,$C395,[2]BV_Data_An_Prec!$AR:$AR,$L$2)</f>
        <v>2434.4900000000016</v>
      </c>
      <c r="R395" s="26"/>
      <c r="S395" s="39">
        <f t="shared" si="67"/>
        <v>-318.46000000000276</v>
      </c>
      <c r="T395" s="6"/>
      <c r="U395" s="6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spans="1:40" ht="15.75" customHeight="1">
      <c r="A396" s="410" t="s">
        <v>437</v>
      </c>
      <c r="B396" s="7" t="s">
        <v>98</v>
      </c>
      <c r="C396" s="271" t="s">
        <v>42</v>
      </c>
      <c r="D396" s="68"/>
      <c r="E396" s="69"/>
      <c r="F396" s="19" t="e">
        <f>+INDEX('[2]Budget original'!$A$2:$AO$501,MATCH($A396,'[2]Budget original'!$A$2:$A$501,0),MATCH(F$2,'[2]Budget original'!$A$2:$AO$2,0))</f>
        <v>#N/A</v>
      </c>
      <c r="G396" s="70"/>
      <c r="H396" s="69"/>
      <c r="I396" s="19"/>
      <c r="J396" s="71"/>
      <c r="K396" s="69"/>
      <c r="L396" s="72">
        <f>SUMIFS([2]BV_Data_An_Cour!$AM:$AM,[2]BV_Data_An_Cour!$AP:$AP,$B396,[2]BV_Data_An_Cour!$AQ:$AQ,$C396,[2]BV_Data_An_Cour!$AR:$AR,$L$2)</f>
        <v>14321.329999999987</v>
      </c>
      <c r="M396" s="71"/>
      <c r="N396" s="36" t="e">
        <f t="shared" si="66"/>
        <v>#N/A</v>
      </c>
      <c r="O396" s="71"/>
      <c r="P396" s="69"/>
      <c r="Q396" s="72">
        <f>SUMIFS([2]BV_Data_An_Prec!$AM:$AM,[2]BV_Data_An_Prec!$AP:$AP,$B396,[2]BV_Data_An_Prec!$AQ:$AQ,$C396,[2]BV_Data_An_Prec!$AR:$AR,$L$2)</f>
        <v>17580.00999999998</v>
      </c>
      <c r="R396" s="71"/>
      <c r="S396" s="72">
        <f t="shared" si="67"/>
        <v>-3258.679999999993</v>
      </c>
      <c r="T396" s="6"/>
      <c r="U396" s="385"/>
      <c r="V396" s="334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spans="1:40" ht="20.399999999999999" hidden="1" customHeight="1">
      <c r="A397" s="410" t="s">
        <v>438</v>
      </c>
      <c r="B397" s="7" t="s">
        <v>98</v>
      </c>
      <c r="C397" s="271" t="s">
        <v>43</v>
      </c>
      <c r="D397" s="54"/>
      <c r="E397" s="7"/>
      <c r="F397" s="19" t="e">
        <f>+INDEX('[2]Budget original'!$A$2:$AO$501,MATCH($A397,'[2]Budget original'!$A$2:$A$501,0),MATCH(F$2,'[2]Budget original'!$A$2:$AO$2,0))</f>
        <v>#N/A</v>
      </c>
      <c r="G397" s="56"/>
      <c r="H397" s="7"/>
      <c r="I397" s="19"/>
      <c r="J397" s="26"/>
      <c r="K397" s="7"/>
      <c r="L397" s="39">
        <f>SUMIFS([2]BV_Data_An_Cour!$AM:$AM,[2]BV_Data_An_Cour!$AP:$AP,$B397,[2]BV_Data_An_Cour!$AQ:$AQ,$C397,[2]BV_Data_An_Cour!$AR:$AR,$L$2)</f>
        <v>0</v>
      </c>
      <c r="M397" s="26"/>
      <c r="N397" s="21" t="e">
        <f t="shared" si="66"/>
        <v>#N/A</v>
      </c>
      <c r="O397" s="26"/>
      <c r="P397" s="7"/>
      <c r="Q397" s="39">
        <f>SUMIFS([2]BV_Data_An_Prec!$AM:$AM,[2]BV_Data_An_Prec!$AP:$AP,$B397,[2]BV_Data_An_Prec!$AQ:$AQ,$C397,[2]BV_Data_An_Prec!$AR:$AR,$L$2)</f>
        <v>0</v>
      </c>
      <c r="R397" s="26"/>
      <c r="S397" s="39">
        <f t="shared" si="67"/>
        <v>0</v>
      </c>
      <c r="T397" s="6"/>
      <c r="U397" s="6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spans="1:40" ht="20.399999999999999" hidden="1" customHeight="1">
      <c r="A398" s="410" t="s">
        <v>425</v>
      </c>
      <c r="B398" s="7" t="s">
        <v>98</v>
      </c>
      <c r="C398" s="26" t="s">
        <v>19</v>
      </c>
      <c r="D398" s="54"/>
      <c r="E398" s="7"/>
      <c r="F398" s="19" t="e">
        <f>+INDEX('[2]Budget original'!$A$2:$AO$501,MATCH($A398,'[2]Budget original'!$A$2:$A$501,0),MATCH(F$2,'[2]Budget original'!$A$2:$AO$2,0))</f>
        <v>#N/A</v>
      </c>
      <c r="G398" s="56"/>
      <c r="H398" s="7"/>
      <c r="I398" s="19"/>
      <c r="J398" s="26"/>
      <c r="K398" s="7"/>
      <c r="L398" s="39">
        <f>SUMIFS([2]BV_Data_An_Cour!$AM:$AM,[2]BV_Data_An_Cour!$AP:$AP,$B398,[2]BV_Data_An_Cour!$AQ:$AQ,$C398,[2]BV_Data_An_Cour!$AR:$AR,$L$2)</f>
        <v>0</v>
      </c>
      <c r="M398" s="26"/>
      <c r="N398" s="21" t="e">
        <f t="shared" si="66"/>
        <v>#N/A</v>
      </c>
      <c r="O398" s="26"/>
      <c r="P398" s="7"/>
      <c r="Q398" s="39">
        <f>SUMIFS([2]BV_Data_An_Prec!$AM:$AM,[2]BV_Data_An_Prec!$AP:$AP,$B398,[2]BV_Data_An_Prec!$AQ:$AQ,$C398,[2]BV_Data_An_Prec!$AR:$AR,$L$2)</f>
        <v>0</v>
      </c>
      <c r="R398" s="26"/>
      <c r="S398" s="39">
        <f t="shared" si="67"/>
        <v>0</v>
      </c>
      <c r="T398" s="6"/>
      <c r="U398" s="6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spans="1:40" ht="20.399999999999999" hidden="1" customHeight="1">
      <c r="A399" s="410" t="s">
        <v>425</v>
      </c>
      <c r="B399" s="7" t="s">
        <v>98</v>
      </c>
      <c r="C399" s="26" t="s">
        <v>19</v>
      </c>
      <c r="D399" s="54"/>
      <c r="E399" s="7"/>
      <c r="F399" s="19" t="e">
        <f>+INDEX('[2]Budget original'!$A$2:$AO$501,MATCH($A399,'[2]Budget original'!$A$2:$A$501,0),MATCH(F$2,'[2]Budget original'!$A$2:$AO$2,0))</f>
        <v>#N/A</v>
      </c>
      <c r="G399" s="56"/>
      <c r="H399" s="7"/>
      <c r="I399" s="19"/>
      <c r="J399" s="26"/>
      <c r="K399" s="7"/>
      <c r="L399" s="39">
        <f>SUMIFS([2]BV_Data_An_Cour!$AM:$AM,[2]BV_Data_An_Cour!$AP:$AP,$B399,[2]BV_Data_An_Cour!$AQ:$AQ,$C399,[2]BV_Data_An_Cour!$AR:$AR,$L$2)</f>
        <v>0</v>
      </c>
      <c r="M399" s="26"/>
      <c r="N399" s="21" t="e">
        <f t="shared" si="66"/>
        <v>#N/A</v>
      </c>
      <c r="O399" s="26"/>
      <c r="P399" s="7"/>
      <c r="Q399" s="39">
        <f>SUMIFS([2]BV_Data_An_Prec!$AM:$AM,[2]BV_Data_An_Prec!$AP:$AP,$B399,[2]BV_Data_An_Prec!$AQ:$AQ,$C399,[2]BV_Data_An_Prec!$AR:$AR,$L$2)</f>
        <v>0</v>
      </c>
      <c r="R399" s="26"/>
      <c r="S399" s="39">
        <f t="shared" si="67"/>
        <v>0</v>
      </c>
      <c r="T399" s="6"/>
      <c r="U399" s="6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spans="1:40" ht="20.399999999999999" hidden="1" customHeight="1" thickTop="1" thickBot="1">
      <c r="A400" s="410" t="s">
        <v>425</v>
      </c>
      <c r="B400" s="7" t="s">
        <v>98</v>
      </c>
      <c r="C400" s="26" t="s">
        <v>19</v>
      </c>
      <c r="D400" s="54"/>
      <c r="E400" s="7"/>
      <c r="F400" s="19" t="e">
        <f>+INDEX('[2]Budget original'!$A$2:$AO$501,MATCH($A400,'[2]Budget original'!$A$2:$A$501,0),MATCH(F$2,'[2]Budget original'!$A$2:$AO$2,0))</f>
        <v>#N/A</v>
      </c>
      <c r="G400" s="56"/>
      <c r="H400" s="7"/>
      <c r="I400" s="19"/>
      <c r="J400" s="26"/>
      <c r="K400" s="7"/>
      <c r="L400" s="39">
        <f>SUMIFS([2]BV_Data_An_Cour!$AM:$AM,[2]BV_Data_An_Cour!$AP:$AP,$B400,[2]BV_Data_An_Cour!$AQ:$AQ,$C400,[2]BV_Data_An_Cour!$AR:$AR,$L$2)</f>
        <v>0</v>
      </c>
      <c r="M400" s="26"/>
      <c r="N400" s="21" t="e">
        <f t="shared" si="66"/>
        <v>#N/A</v>
      </c>
      <c r="O400" s="26"/>
      <c r="P400" s="7"/>
      <c r="Q400" s="39">
        <f>SUMIFS([2]BV_Data_An_Prec!$AM:$AM,[2]BV_Data_An_Prec!$AP:$AP,$B400,[2]BV_Data_An_Prec!$AQ:$AQ,$C400,[2]BV_Data_An_Prec!$AR:$AR,$L$2)</f>
        <v>0</v>
      </c>
      <c r="R400" s="26"/>
      <c r="S400" s="39">
        <f t="shared" si="67"/>
        <v>0</v>
      </c>
      <c r="T400" s="6"/>
      <c r="U400" s="6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spans="1:40" ht="15.75" customHeight="1">
      <c r="A401" s="410" t="s">
        <v>439</v>
      </c>
      <c r="B401" s="7" t="s">
        <v>98</v>
      </c>
      <c r="C401" s="272" t="s">
        <v>44</v>
      </c>
      <c r="D401" s="54"/>
      <c r="E401" s="7"/>
      <c r="F401" s="31" t="e">
        <f>+INDEX('[2]Budget original'!$A$2:$AO$501,MATCH($A401,'[2]Budget original'!$A$2:$A$501,0),MATCH(F$2,'[2]Budget original'!$A$2:$AO$2,0))</f>
        <v>#N/A</v>
      </c>
      <c r="G401" s="56"/>
      <c r="H401" s="7"/>
      <c r="I401" s="31"/>
      <c r="J401" s="26"/>
      <c r="K401" s="7"/>
      <c r="L401" s="39">
        <f>SUMIFS([2]BV_Data_An_Cour!$AM:$AM,[2]BV_Data_An_Cour!$AP:$AP,$B401,[2]BV_Data_An_Cour!$AQ:$AQ,$C401,[2]BV_Data_An_Cour!$AR:$AR,$L$2)</f>
        <v>1984.9599999999991</v>
      </c>
      <c r="M401" s="26"/>
      <c r="N401" s="21" t="e">
        <f t="shared" si="66"/>
        <v>#N/A</v>
      </c>
      <c r="O401" s="26"/>
      <c r="P401" s="7"/>
      <c r="Q401" s="39">
        <f>SUMIFS([2]BV_Data_An_Prec!$AM:$AM,[2]BV_Data_An_Prec!$AP:$AP,$B401,[2]BV_Data_An_Prec!$AQ:$AQ,$C401,[2]BV_Data_An_Prec!$AR:$AR,$L$2)</f>
        <v>1134.9199999999983</v>
      </c>
      <c r="R401" s="26"/>
      <c r="S401" s="39">
        <f t="shared" si="67"/>
        <v>850.04000000000087</v>
      </c>
      <c r="T401" s="6"/>
      <c r="U401" s="6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spans="1:40" ht="15.75" customHeight="1">
      <c r="A402" s="410" t="s">
        <v>440</v>
      </c>
      <c r="B402" s="7" t="s">
        <v>98</v>
      </c>
      <c r="C402" s="271" t="s">
        <v>45</v>
      </c>
      <c r="D402" s="68"/>
      <c r="E402" s="69"/>
      <c r="F402" s="19" t="e">
        <f>+INDEX('[2]Budget original'!$A$2:$AO$501,MATCH($A402,'[2]Budget original'!$A$2:$A$501,0),MATCH(F$2,'[2]Budget original'!$A$2:$AO$2,0))</f>
        <v>#N/A</v>
      </c>
      <c r="G402" s="70"/>
      <c r="H402" s="69"/>
      <c r="I402" s="19"/>
      <c r="J402" s="71"/>
      <c r="K402" s="69"/>
      <c r="L402" s="72">
        <f>SUMIFS([2]BV_Data_An_Cour!$AM:$AM,[2]BV_Data_An_Cour!$AP:$AP,$B402,[2]BV_Data_An_Cour!$AQ:$AQ,$C402,[2]BV_Data_An_Cour!$AR:$AR,$L$2)</f>
        <v>3728.8300000000017</v>
      </c>
      <c r="M402" s="71"/>
      <c r="N402" s="36" t="e">
        <f t="shared" si="66"/>
        <v>#N/A</v>
      </c>
      <c r="O402" s="71"/>
      <c r="P402" s="69"/>
      <c r="Q402" s="72">
        <f>SUMIFS([2]BV_Data_An_Prec!$AM:$AM,[2]BV_Data_An_Prec!$AP:$AP,$B402,[2]BV_Data_An_Prec!$AQ:$AQ,$C402,[2]BV_Data_An_Prec!$AR:$AR,$L$2)</f>
        <v>3052.8999999999978</v>
      </c>
      <c r="R402" s="71"/>
      <c r="S402" s="72">
        <f t="shared" si="67"/>
        <v>675.93000000000393</v>
      </c>
      <c r="T402" s="6"/>
      <c r="U402" s="6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spans="1:40" ht="15.75" customHeight="1">
      <c r="A403" s="410" t="s">
        <v>441</v>
      </c>
      <c r="B403" s="7" t="s">
        <v>98</v>
      </c>
      <c r="C403" s="271" t="s">
        <v>46</v>
      </c>
      <c r="D403" s="54"/>
      <c r="E403" s="7"/>
      <c r="F403" s="19" t="e">
        <f>+INDEX('[2]Budget original'!$A$2:$AO$501,MATCH($A403,'[2]Budget original'!$A$2:$A$501,0),MATCH(F$2,'[2]Budget original'!$A$2:$AO$2,0))</f>
        <v>#N/A</v>
      </c>
      <c r="G403" s="56"/>
      <c r="H403" s="7"/>
      <c r="I403" s="19"/>
      <c r="J403" s="26"/>
      <c r="K403" s="7"/>
      <c r="L403" s="39">
        <f>SUMIFS([2]BV_Data_An_Cour!$AM:$AM,[2]BV_Data_An_Cour!$AP:$AP,$B403,[2]BV_Data_An_Cour!$AQ:$AQ,$C403,[2]BV_Data_An_Cour!$AR:$AR,$L$2)</f>
        <v>444.86999999999989</v>
      </c>
      <c r="M403" s="26"/>
      <c r="N403" s="21" t="e">
        <f t="shared" si="66"/>
        <v>#N/A</v>
      </c>
      <c r="O403" s="26"/>
      <c r="P403" s="7"/>
      <c r="Q403" s="39">
        <f>SUMIFS([2]BV_Data_An_Prec!$AM:$AM,[2]BV_Data_An_Prec!$AP:$AP,$B403,[2]BV_Data_An_Prec!$AQ:$AQ,$C403,[2]BV_Data_An_Prec!$AR:$AR,$L$2)</f>
        <v>1428.4499999999989</v>
      </c>
      <c r="R403" s="26"/>
      <c r="S403" s="39">
        <f t="shared" si="67"/>
        <v>-983.57999999999902</v>
      </c>
      <c r="T403" s="6"/>
      <c r="U403" s="6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spans="1:40" ht="15.75" customHeight="1">
      <c r="A404" s="410" t="s">
        <v>442</v>
      </c>
      <c r="B404" s="7" t="s">
        <v>98</v>
      </c>
      <c r="C404" s="271" t="s">
        <v>47</v>
      </c>
      <c r="D404" s="54"/>
      <c r="E404" s="7"/>
      <c r="F404" s="19" t="e">
        <f>+INDEX('[2]Budget original'!$A$2:$AO$501,MATCH($A404,'[2]Budget original'!$A$2:$A$501,0),MATCH(F$2,'[2]Budget original'!$A$2:$AO$2,0))</f>
        <v>#N/A</v>
      </c>
      <c r="G404" s="56"/>
      <c r="H404" s="7"/>
      <c r="I404" s="19"/>
      <c r="J404" s="26"/>
      <c r="K404" s="7"/>
      <c r="L404" s="39">
        <f>SUMIFS([2]BV_Data_An_Cour!$AM:$AM,[2]BV_Data_An_Cour!$AP:$AP,$B404,[2]BV_Data_An_Cour!$AQ:$AQ,$C404,[2]BV_Data_An_Cour!$AR:$AR,$L$2)</f>
        <v>1388.9700000000003</v>
      </c>
      <c r="M404" s="26"/>
      <c r="N404" s="21" t="e">
        <f t="shared" si="66"/>
        <v>#N/A</v>
      </c>
      <c r="O404" s="26"/>
      <c r="P404" s="7"/>
      <c r="Q404" s="39">
        <f>SUMIFS([2]BV_Data_An_Prec!$AM:$AM,[2]BV_Data_An_Prec!$AP:$AP,$B404,[2]BV_Data_An_Prec!$AQ:$AQ,$C404,[2]BV_Data_An_Prec!$AR:$AR,$L$2)</f>
        <v>183.91000000000008</v>
      </c>
      <c r="R404" s="26"/>
      <c r="S404" s="39">
        <f t="shared" si="67"/>
        <v>1205.0600000000002</v>
      </c>
      <c r="T404" s="6"/>
      <c r="U404" s="6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spans="1:40" ht="20.399999999999999" hidden="1" customHeight="1" thickTop="1" thickBot="1">
      <c r="A405" s="410" t="s">
        <v>425</v>
      </c>
      <c r="B405" s="7" t="s">
        <v>98</v>
      </c>
      <c r="C405" s="26" t="s">
        <v>19</v>
      </c>
      <c r="D405" s="57"/>
      <c r="E405" s="73"/>
      <c r="F405" s="19" t="e">
        <f>+INDEX('[2]Budget original'!$A$2:$AO$501,MATCH($A405,'[2]Budget original'!$A$2:$A$501,0),MATCH(F$2,'[2]Budget original'!$A$2:$AO$2,0))</f>
        <v>#N/A</v>
      </c>
      <c r="G405" s="59"/>
      <c r="H405" s="73"/>
      <c r="I405" s="19"/>
      <c r="J405" s="14"/>
      <c r="K405" s="73"/>
      <c r="L405" s="39">
        <f>SUMIFS([2]BV_Data_An_Cour!$AM:$AM,[2]BV_Data_An_Cour!$AP:$AP,$B405,[2]BV_Data_An_Cour!$AQ:$AQ,$C405,[2]BV_Data_An_Cour!$AR:$AR,$L$2)</f>
        <v>0</v>
      </c>
      <c r="M405" s="14"/>
      <c r="N405" s="61" t="e">
        <f t="shared" si="66"/>
        <v>#N/A</v>
      </c>
      <c r="O405" s="14"/>
      <c r="P405" s="73"/>
      <c r="Q405" s="39">
        <f>SUMIFS([2]BV_Data_An_Prec!$AM:$AM,[2]BV_Data_An_Prec!$AP:$AP,$B405,[2]BV_Data_An_Prec!$AQ:$AQ,$C405,[2]BV_Data_An_Prec!$AR:$AR,$L$2)</f>
        <v>0</v>
      </c>
      <c r="R405" s="14"/>
      <c r="S405" s="61">
        <f t="shared" si="67"/>
        <v>0</v>
      </c>
      <c r="T405" s="6"/>
      <c r="U405" s="6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spans="1:40" ht="18.600000000000001" customHeight="1">
      <c r="A406" s="410" t="s">
        <v>443</v>
      </c>
      <c r="B406" s="7" t="s">
        <v>98</v>
      </c>
      <c r="C406" s="139" t="s">
        <v>48</v>
      </c>
      <c r="D406" s="62" t="s">
        <v>38</v>
      </c>
      <c r="E406" s="63" t="e">
        <f>F406/F$390</f>
        <v>#N/A</v>
      </c>
      <c r="F406" s="64" t="e">
        <f>+SUM(F394:F405)</f>
        <v>#N/A</v>
      </c>
      <c r="G406" s="65"/>
      <c r="H406" s="63"/>
      <c r="I406" s="64"/>
      <c r="J406" s="65" t="s">
        <v>38</v>
      </c>
      <c r="K406" s="63">
        <f>L406/L$390</f>
        <v>0.34573716729816573</v>
      </c>
      <c r="L406" s="64">
        <f>+SUM(L394:L405)</f>
        <v>31919.329999999987</v>
      </c>
      <c r="M406" s="66"/>
      <c r="N406" s="64" t="e">
        <f t="shared" si="66"/>
        <v>#N/A</v>
      </c>
      <c r="O406" s="65" t="s">
        <v>38</v>
      </c>
      <c r="P406" s="63">
        <f>Q406/Q$390</f>
        <v>0.31030138196214518</v>
      </c>
      <c r="Q406" s="64">
        <f>+SUM(Q394:Q405)</f>
        <v>30298.099999999973</v>
      </c>
      <c r="R406" s="67"/>
      <c r="S406" s="64">
        <f t="shared" si="67"/>
        <v>1621.2300000000141</v>
      </c>
      <c r="T406" s="6"/>
      <c r="U406" s="6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spans="1:40" ht="15.75" customHeight="1">
      <c r="A407" s="410" t="s">
        <v>444</v>
      </c>
      <c r="B407" s="7" t="s">
        <v>98</v>
      </c>
      <c r="C407" s="329" t="s">
        <v>49</v>
      </c>
      <c r="D407" s="54"/>
      <c r="E407" s="7"/>
      <c r="F407" s="19" t="e">
        <f>+INDEX('[2]Budget original'!$A$2:$AO$501,MATCH($A407,'[2]Budget original'!$A$2:$A$501,0),MATCH(F$2,'[2]Budget original'!$A$2:$AO$2,0))</f>
        <v>#N/A</v>
      </c>
      <c r="G407" s="56"/>
      <c r="H407" s="7"/>
      <c r="I407" s="19"/>
      <c r="J407" s="26"/>
      <c r="K407" s="7"/>
      <c r="L407" s="39">
        <f>SUMIFS([2]BV_Data_An_Cour!$AM:$AM,[2]BV_Data_An_Cour!$AP:$AP,$B407,[2]BV_Data_An_Cour!$AQ:$AQ,$C407,[2]BV_Data_An_Cour!$AR:$AR,$L$2)</f>
        <v>1155.46</v>
      </c>
      <c r="M407" s="26"/>
      <c r="N407" s="39" t="e">
        <f t="shared" si="66"/>
        <v>#N/A</v>
      </c>
      <c r="O407" s="26"/>
      <c r="P407" s="7"/>
      <c r="Q407" s="39">
        <f>SUMIFS([2]BV_Data_An_Prec!$AM:$AM,[2]BV_Data_An_Prec!$AP:$AP,$B407,[2]BV_Data_An_Prec!$AQ:$AQ,$C407,[2]BV_Data_An_Prec!$AR:$AR,$L$2)</f>
        <v>944.61000000000058</v>
      </c>
      <c r="R407" s="26"/>
      <c r="S407" s="39">
        <f t="shared" si="67"/>
        <v>210.84999999999945</v>
      </c>
      <c r="T407" s="6"/>
      <c r="U407" s="6"/>
      <c r="V407" s="7"/>
      <c r="W407" s="55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spans="1:40" ht="15.75" customHeight="1">
      <c r="A408" s="410" t="s">
        <v>445</v>
      </c>
      <c r="B408" s="7" t="s">
        <v>98</v>
      </c>
      <c r="C408" s="271" t="s">
        <v>50</v>
      </c>
      <c r="D408" s="54"/>
      <c r="E408" s="7"/>
      <c r="F408" s="19" t="e">
        <f>+INDEX('[2]Budget original'!$A$2:$AO$501,MATCH($A408,'[2]Budget original'!$A$2:$A$501,0),MATCH(F$2,'[2]Budget original'!$A$2:$AO$2,0))</f>
        <v>#N/A</v>
      </c>
      <c r="G408" s="56"/>
      <c r="H408" s="7"/>
      <c r="I408" s="19"/>
      <c r="J408" s="26"/>
      <c r="K408" s="7"/>
      <c r="L408" s="39">
        <f>SUMIFS([2]BV_Data_An_Cour!$AM:$AM,[2]BV_Data_An_Cour!$AP:$AP,$B408,[2]BV_Data_An_Cour!$AQ:$AQ,$C408,[2]BV_Data_An_Cour!$AR:$AR,$L$2)</f>
        <v>0</v>
      </c>
      <c r="M408" s="26"/>
      <c r="N408" s="39" t="e">
        <f t="shared" si="66"/>
        <v>#N/A</v>
      </c>
      <c r="O408" s="26"/>
      <c r="P408" s="7"/>
      <c r="Q408" s="39">
        <f>SUMIFS([2]BV_Data_An_Prec!$AM:$AM,[2]BV_Data_An_Prec!$AP:$AP,$B408,[2]BV_Data_An_Prec!$AQ:$AQ,$C408,[2]BV_Data_An_Prec!$AR:$AR,$L$2)</f>
        <v>0</v>
      </c>
      <c r="R408" s="26"/>
      <c r="S408" s="39">
        <f t="shared" si="67"/>
        <v>0</v>
      </c>
      <c r="T408" s="6"/>
      <c r="U408" s="6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spans="1:40" ht="15.75" customHeight="1">
      <c r="A409" s="410" t="s">
        <v>446</v>
      </c>
      <c r="B409" s="7" t="s">
        <v>98</v>
      </c>
      <c r="C409" s="272" t="s">
        <v>51</v>
      </c>
      <c r="D409" s="57"/>
      <c r="E409" s="73"/>
      <c r="F409" s="31" t="e">
        <f>+INDEX('[2]Budget original'!$A$2:$AO$501,MATCH($A409,'[2]Budget original'!$A$2:$A$501,0),MATCH(F$2,'[2]Budget original'!$A$2:$AO$2,0))</f>
        <v>#N/A</v>
      </c>
      <c r="G409" s="59"/>
      <c r="H409" s="73"/>
      <c r="I409" s="31"/>
      <c r="J409" s="14"/>
      <c r="K409" s="73"/>
      <c r="L409" s="61">
        <f>SUMIFS([2]BV_Data_An_Cour!$AM:$AM,[2]BV_Data_An_Cour!$AP:$AP,$B409,[2]BV_Data_An_Cour!$AQ:$AQ,$C409,[2]BV_Data_An_Cour!$AR:$AR,$L$2)</f>
        <v>1652.2000000000007</v>
      </c>
      <c r="M409" s="14"/>
      <c r="N409" s="61" t="e">
        <f t="shared" si="66"/>
        <v>#N/A</v>
      </c>
      <c r="O409" s="14"/>
      <c r="P409" s="73"/>
      <c r="Q409" s="61">
        <f>SUMIFS([2]BV_Data_An_Prec!$AM:$AM,[2]BV_Data_An_Prec!$AP:$AP,$B409,[2]BV_Data_An_Prec!$AQ:$AQ,$C409,[2]BV_Data_An_Prec!$AR:$AR,$L$2)</f>
        <v>2359.1100000000006</v>
      </c>
      <c r="R409" s="14"/>
      <c r="S409" s="61">
        <f t="shared" si="67"/>
        <v>-706.90999999999985</v>
      </c>
      <c r="T409" s="6"/>
      <c r="U409" s="6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spans="1:40" ht="15.75" customHeight="1">
      <c r="A410" s="410" t="s">
        <v>447</v>
      </c>
      <c r="B410" s="7" t="s">
        <v>98</v>
      </c>
      <c r="C410" s="271" t="s">
        <v>52</v>
      </c>
      <c r="D410" s="54"/>
      <c r="E410" s="7"/>
      <c r="F410" s="19" t="e">
        <f>+INDEX('[2]Budget original'!$A$2:$AO$501,MATCH($A410,'[2]Budget original'!$A$2:$A$501,0),MATCH(F$2,'[2]Budget original'!$A$2:$AO$2,0))</f>
        <v>#N/A</v>
      </c>
      <c r="G410" s="56"/>
      <c r="H410" s="7"/>
      <c r="I410" s="19"/>
      <c r="J410" s="26"/>
      <c r="K410" s="7"/>
      <c r="L410" s="39">
        <f>SUMIFS([2]BV_Data_An_Cour!$AM:$AM,[2]BV_Data_An_Cour!$AP:$AP,$B410,[2]BV_Data_An_Cour!$AQ:$AQ,$C410,[2]BV_Data_An_Cour!$AR:$AR,$L$2)</f>
        <v>1981.5600000000013</v>
      </c>
      <c r="M410" s="26"/>
      <c r="N410" s="39" t="e">
        <f t="shared" si="66"/>
        <v>#N/A</v>
      </c>
      <c r="O410" s="26"/>
      <c r="P410" s="7"/>
      <c r="Q410" s="39">
        <f>SUMIFS([2]BV_Data_An_Prec!$AM:$AM,[2]BV_Data_An_Prec!$AP:$AP,$B410,[2]BV_Data_An_Prec!$AQ:$AQ,$C410,[2]BV_Data_An_Prec!$AR:$AR,$L$2)</f>
        <v>1828.7899999999991</v>
      </c>
      <c r="R410" s="26"/>
      <c r="S410" s="39">
        <f t="shared" si="67"/>
        <v>152.77000000000226</v>
      </c>
      <c r="T410" s="6"/>
      <c r="U410" s="6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spans="1:40" ht="15.75" customHeight="1">
      <c r="A411" s="410" t="s">
        <v>448</v>
      </c>
      <c r="B411" s="7" t="s">
        <v>98</v>
      </c>
      <c r="C411" s="271" t="s">
        <v>53</v>
      </c>
      <c r="D411" s="54"/>
      <c r="E411" s="7"/>
      <c r="F411" s="19" t="e">
        <f>+INDEX('[2]Budget original'!$A$2:$AO$501,MATCH($A411,'[2]Budget original'!$A$2:$A$501,0),MATCH(F$2,'[2]Budget original'!$A$2:$AO$2,0))</f>
        <v>#N/A</v>
      </c>
      <c r="G411" s="56"/>
      <c r="H411" s="7"/>
      <c r="I411" s="19"/>
      <c r="J411" s="26"/>
      <c r="K411" s="7"/>
      <c r="L411" s="39">
        <f>SUMIFS([2]BV_Data_An_Cour!$AM:$AM,[2]BV_Data_An_Cour!$AP:$AP,$B411,[2]BV_Data_An_Cour!$AQ:$AQ,$C411,[2]BV_Data_An_Cour!$AR:$AR,$L$2)</f>
        <v>278.6899999999996</v>
      </c>
      <c r="M411" s="26"/>
      <c r="N411" s="39" t="e">
        <f t="shared" si="66"/>
        <v>#N/A</v>
      </c>
      <c r="O411" s="26"/>
      <c r="P411" s="7"/>
      <c r="Q411" s="39">
        <f>SUMIFS([2]BV_Data_An_Prec!$AM:$AM,[2]BV_Data_An_Prec!$AP:$AP,$B411,[2]BV_Data_An_Prec!$AQ:$AQ,$C411,[2]BV_Data_An_Prec!$AR:$AR,$L$2)</f>
        <v>150</v>
      </c>
      <c r="R411" s="26"/>
      <c r="S411" s="39">
        <f t="shared" si="67"/>
        <v>128.6899999999996</v>
      </c>
      <c r="T411" s="6"/>
      <c r="U411" s="6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spans="1:40" ht="15.75" customHeight="1">
      <c r="A412" s="410" t="s">
        <v>449</v>
      </c>
      <c r="B412" s="7" t="s">
        <v>98</v>
      </c>
      <c r="C412" s="272" t="s">
        <v>54</v>
      </c>
      <c r="D412" s="57"/>
      <c r="E412" s="73"/>
      <c r="F412" s="31" t="e">
        <f>+INDEX('[2]Budget original'!$A$2:$AO$501,MATCH($A412,'[2]Budget original'!$A$2:$A$501,0),MATCH(F$2,'[2]Budget original'!$A$2:$AO$2,0))</f>
        <v>#N/A</v>
      </c>
      <c r="G412" s="59"/>
      <c r="H412" s="73"/>
      <c r="I412" s="31"/>
      <c r="J412" s="14"/>
      <c r="K412" s="73"/>
      <c r="L412" s="61">
        <f>SUMIFS([2]BV_Data_An_Cour!$AM:$AM,[2]BV_Data_An_Cour!$AP:$AP,$B412,[2]BV_Data_An_Cour!$AQ:$AQ,$C412,[2]BV_Data_An_Cour!$AR:$AR,$L$2)</f>
        <v>1012.3899999999994</v>
      </c>
      <c r="M412" s="14"/>
      <c r="N412" s="61" t="e">
        <f t="shared" si="66"/>
        <v>#N/A</v>
      </c>
      <c r="O412" s="14"/>
      <c r="P412" s="73"/>
      <c r="Q412" s="61">
        <f>SUMIFS([2]BV_Data_An_Prec!$AM:$AM,[2]BV_Data_An_Prec!$AP:$AP,$B412,[2]BV_Data_An_Prec!$AQ:$AQ,$C412,[2]BV_Data_An_Prec!$AR:$AR,$L$2)</f>
        <v>2246.83</v>
      </c>
      <c r="R412" s="14"/>
      <c r="S412" s="61">
        <f t="shared" si="67"/>
        <v>-1234.4400000000005</v>
      </c>
      <c r="T412" s="6"/>
      <c r="U412" s="6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spans="1:40" ht="15.75" customHeight="1">
      <c r="A413" s="410" t="s">
        <v>450</v>
      </c>
      <c r="B413" s="7" t="s">
        <v>98</v>
      </c>
      <c r="C413" s="271" t="s">
        <v>93</v>
      </c>
      <c r="D413" s="54"/>
      <c r="E413" s="7"/>
      <c r="F413" s="19"/>
      <c r="G413" s="56"/>
      <c r="H413" s="7"/>
      <c r="I413" s="19"/>
      <c r="J413" s="26"/>
      <c r="K413" s="7"/>
      <c r="L413" s="39">
        <f>SUMIFS([2]BV_Data_An_Cour!$AM:$AM,[2]BV_Data_An_Cour!$AP:$AP,$B413,[2]BV_Data_An_Cour!$AQ:$AQ,$C413,[2]BV_Data_An_Cour!$AR:$AR,$L$2)</f>
        <v>0</v>
      </c>
      <c r="M413" s="26"/>
      <c r="N413" s="39">
        <f t="shared" si="66"/>
        <v>0</v>
      </c>
      <c r="O413" s="26"/>
      <c r="P413" s="7"/>
      <c r="Q413" s="39">
        <f>SUMIFS([2]BV_Data_An_Prec!$AM:$AM,[2]BV_Data_An_Prec!$AP:$AP,$B413,[2]BV_Data_An_Prec!$AQ:$AQ,$C413,[2]BV_Data_An_Prec!$AR:$AR,$L$2)</f>
        <v>0</v>
      </c>
      <c r="R413" s="26"/>
      <c r="S413" s="39">
        <f t="shared" si="67"/>
        <v>0</v>
      </c>
      <c r="T413" s="6"/>
      <c r="U413" s="6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spans="1:40" ht="15.75" customHeight="1">
      <c r="A414" s="410" t="s">
        <v>451</v>
      </c>
      <c r="B414" s="7" t="s">
        <v>98</v>
      </c>
      <c r="C414" s="271" t="s">
        <v>55</v>
      </c>
      <c r="D414" s="54"/>
      <c r="E414" s="7"/>
      <c r="F414" s="19" t="e">
        <f>+INDEX('[2]Budget original'!$A$2:$AO$501,MATCH($A414,'[2]Budget original'!$A$2:$A$501,0),MATCH(F$2,'[2]Budget original'!$A$2:$AO$2,0))</f>
        <v>#N/A</v>
      </c>
      <c r="G414" s="56"/>
      <c r="H414" s="7"/>
      <c r="I414" s="19"/>
      <c r="J414" s="26"/>
      <c r="K414" s="7"/>
      <c r="L414" s="39">
        <f>SUMIFS([2]BV_Data_An_Cour!$AM:$AM,[2]BV_Data_An_Cour!$AP:$AP,$B414,[2]BV_Data_An_Cour!$AQ:$AQ,$C414,[2]BV_Data_An_Cour!$AR:$AR,$L$2)</f>
        <v>39.199999999999818</v>
      </c>
      <c r="M414" s="26"/>
      <c r="N414" s="39" t="e">
        <f t="shared" si="66"/>
        <v>#N/A</v>
      </c>
      <c r="O414" s="26"/>
      <c r="P414" s="7"/>
      <c r="Q414" s="39">
        <f>SUMIFS([2]BV_Data_An_Prec!$AM:$AM,[2]BV_Data_An_Prec!$AP:$AP,$B414,[2]BV_Data_An_Prec!$AQ:$AQ,$C414,[2]BV_Data_An_Prec!$AR:$AR,$L$2)</f>
        <v>129.60000000000002</v>
      </c>
      <c r="R414" s="26"/>
      <c r="S414" s="39">
        <f t="shared" si="67"/>
        <v>-90.400000000000205</v>
      </c>
      <c r="T414" s="6"/>
      <c r="U414" s="6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spans="1:40" ht="15.75" customHeight="1">
      <c r="A415" s="410" t="s">
        <v>452</v>
      </c>
      <c r="B415" s="7" t="s">
        <v>98</v>
      </c>
      <c r="C415" s="271" t="s">
        <v>56</v>
      </c>
      <c r="D415" s="54"/>
      <c r="E415" s="7"/>
      <c r="F415" s="19" t="e">
        <f>+INDEX('[2]Budget original'!$A$2:$AO$501,MATCH($A415,'[2]Budget original'!$A$2:$A$501,0),MATCH(F$2,'[2]Budget original'!$A$2:$AO$2,0))</f>
        <v>#N/A</v>
      </c>
      <c r="G415" s="56"/>
      <c r="H415" s="7"/>
      <c r="I415" s="19"/>
      <c r="J415" s="26"/>
      <c r="K415" s="7"/>
      <c r="L415" s="39">
        <f>SUMIFS([2]BV_Data_An_Cour!$AM:$AM,[2]BV_Data_An_Cour!$AP:$AP,$B415,[2]BV_Data_An_Cour!$AQ:$AQ,$C415,[2]BV_Data_An_Cour!$AR:$AR,$L$2)</f>
        <v>0</v>
      </c>
      <c r="M415" s="26"/>
      <c r="N415" s="39" t="e">
        <f t="shared" si="66"/>
        <v>#N/A</v>
      </c>
      <c r="O415" s="26"/>
      <c r="P415" s="7"/>
      <c r="Q415" s="39">
        <f>SUMIFS([2]BV_Data_An_Prec!$AM:$AM,[2]BV_Data_An_Prec!$AP:$AP,$B415,[2]BV_Data_An_Prec!$AQ:$AQ,$C415,[2]BV_Data_An_Prec!$AR:$AR,$L$2)</f>
        <v>0</v>
      </c>
      <c r="R415" s="26"/>
      <c r="S415" s="39">
        <f t="shared" si="67"/>
        <v>0</v>
      </c>
      <c r="T415" s="6"/>
      <c r="U415" s="6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spans="1:40" ht="15.75" customHeight="1">
      <c r="A416" s="410" t="s">
        <v>453</v>
      </c>
      <c r="B416" s="7" t="s">
        <v>98</v>
      </c>
      <c r="C416" s="271" t="s">
        <v>57</v>
      </c>
      <c r="D416" s="54"/>
      <c r="E416" s="7"/>
      <c r="F416" s="19" t="e">
        <f>+INDEX('[2]Budget original'!$A$2:$AO$501,MATCH($A416,'[2]Budget original'!$A$2:$A$501,0),MATCH(F$2,'[2]Budget original'!$A$2:$AO$2,0))</f>
        <v>#N/A</v>
      </c>
      <c r="G416" s="56"/>
      <c r="H416" s="7"/>
      <c r="I416" s="19"/>
      <c r="J416" s="26"/>
      <c r="K416" s="7"/>
      <c r="L416" s="39">
        <f>SUMIFS([2]BV_Data_An_Cour!$AM:$AM,[2]BV_Data_An_Cour!$AP:$AP,$B416,[2]BV_Data_An_Cour!$AQ:$AQ,$C416,[2]BV_Data_An_Cour!$AR:$AR,$L$2)</f>
        <v>533.02999999999975</v>
      </c>
      <c r="M416" s="26"/>
      <c r="N416" s="39" t="e">
        <f t="shared" si="66"/>
        <v>#N/A</v>
      </c>
      <c r="O416" s="26"/>
      <c r="P416" s="7"/>
      <c r="Q416" s="39">
        <f>SUMIFS([2]BV_Data_An_Prec!$AM:$AM,[2]BV_Data_An_Prec!$AP:$AP,$B416,[2]BV_Data_An_Prec!$AQ:$AQ,$C416,[2]BV_Data_An_Prec!$AR:$AR,$L$2)</f>
        <v>1021.8500000000004</v>
      </c>
      <c r="R416" s="26"/>
      <c r="S416" s="39">
        <f t="shared" si="67"/>
        <v>-488.82000000000062</v>
      </c>
      <c r="T416" s="6"/>
      <c r="U416" s="6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spans="1:40" ht="15.75" customHeight="1">
      <c r="A417" s="410" t="s">
        <v>454</v>
      </c>
      <c r="B417" s="7" t="s">
        <v>98</v>
      </c>
      <c r="C417" s="271" t="s">
        <v>58</v>
      </c>
      <c r="D417" s="54"/>
      <c r="E417" s="7"/>
      <c r="F417" s="19" t="e">
        <f>+INDEX('[2]Budget original'!$A$2:$AO$501,MATCH($A417,'[2]Budget original'!$A$2:$A$501,0),MATCH(F$2,'[2]Budget original'!$A$2:$AO$2,0))</f>
        <v>#N/A</v>
      </c>
      <c r="G417" s="56"/>
      <c r="H417" s="7"/>
      <c r="I417" s="19"/>
      <c r="J417" s="26"/>
      <c r="K417" s="7"/>
      <c r="L417" s="39">
        <f>SUMIFS([2]BV_Data_An_Cour!$AM:$AM,[2]BV_Data_An_Cour!$AP:$AP,$B417,[2]BV_Data_An_Cour!$AQ:$AQ,$C417,[2]BV_Data_An_Cour!$AR:$AR,$L$2)</f>
        <v>224.08999999999992</v>
      </c>
      <c r="M417" s="26"/>
      <c r="N417" s="39" t="e">
        <f t="shared" si="66"/>
        <v>#N/A</v>
      </c>
      <c r="O417" s="26"/>
      <c r="P417" s="7"/>
      <c r="Q417" s="39">
        <f>SUMIFS([2]BV_Data_An_Prec!$AM:$AM,[2]BV_Data_An_Prec!$AP:$AP,$B417,[2]BV_Data_An_Prec!$AQ:$AQ,$C417,[2]BV_Data_An_Prec!$AR:$AR,$L$2)</f>
        <v>323.27</v>
      </c>
      <c r="R417" s="26"/>
      <c r="S417" s="39">
        <f t="shared" si="67"/>
        <v>-99.180000000000064</v>
      </c>
      <c r="T417" s="6"/>
      <c r="U417" s="6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spans="1:40" ht="15.75" customHeight="1">
      <c r="A418" s="410" t="s">
        <v>455</v>
      </c>
      <c r="B418" s="7" t="s">
        <v>98</v>
      </c>
      <c r="C418" s="271" t="s">
        <v>59</v>
      </c>
      <c r="D418" s="54"/>
      <c r="E418" s="7"/>
      <c r="F418" s="19" t="e">
        <f>+INDEX('[2]Budget original'!$A$2:$AO$501,MATCH($A418,'[2]Budget original'!$A$2:$A$501,0),MATCH(F$2,'[2]Budget original'!$A$2:$AO$2,0))</f>
        <v>#N/A</v>
      </c>
      <c r="G418" s="56"/>
      <c r="H418" s="7"/>
      <c r="I418" s="19"/>
      <c r="J418" s="26"/>
      <c r="K418" s="7"/>
      <c r="L418" s="39">
        <f>SUMIFS([2]BV_Data_An_Cour!$AM:$AM,[2]BV_Data_An_Cour!$AP:$AP,$B418,[2]BV_Data_An_Cour!$AQ:$AQ,$C418,[2]BV_Data_An_Cour!$AR:$AR,$L$2)</f>
        <v>810.47999999999956</v>
      </c>
      <c r="M418" s="26"/>
      <c r="N418" s="39" t="e">
        <f t="shared" si="66"/>
        <v>#N/A</v>
      </c>
      <c r="O418" s="26"/>
      <c r="P418" s="7"/>
      <c r="Q418" s="39">
        <f>SUMIFS([2]BV_Data_An_Prec!$AM:$AM,[2]BV_Data_An_Prec!$AP:$AP,$B418,[2]BV_Data_An_Prec!$AQ:$AQ,$C418,[2]BV_Data_An_Prec!$AR:$AR,$L$2)</f>
        <v>1583.3200000000002</v>
      </c>
      <c r="R418" s="26"/>
      <c r="S418" s="39">
        <f t="shared" si="67"/>
        <v>-772.8400000000006</v>
      </c>
      <c r="T418" s="6"/>
      <c r="U418" s="6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spans="1:40" ht="15.75" customHeight="1">
      <c r="A419" s="410" t="s">
        <v>456</v>
      </c>
      <c r="B419" s="7" t="s">
        <v>98</v>
      </c>
      <c r="C419" s="271" t="s">
        <v>60</v>
      </c>
      <c r="D419" s="54"/>
      <c r="E419" s="7"/>
      <c r="F419" s="19" t="e">
        <f>+INDEX('[2]Budget original'!$A$2:$AO$501,MATCH($A419,'[2]Budget original'!$A$2:$A$501,0),MATCH(F$2,'[2]Budget original'!$A$2:$AO$2,0))</f>
        <v>#N/A</v>
      </c>
      <c r="G419" s="56"/>
      <c r="H419" s="7"/>
      <c r="I419" s="19"/>
      <c r="J419" s="26"/>
      <c r="K419" s="7"/>
      <c r="L419" s="39">
        <f>SUMIFS([2]BV_Data_An_Cour!$AM:$AM,[2]BV_Data_An_Cour!$AP:$AP,$B419,[2]BV_Data_An_Cour!$AQ:$AQ,$C419,[2]BV_Data_An_Cour!$AR:$AR,$L$2)</f>
        <v>1214.4099999999989</v>
      </c>
      <c r="M419" s="26"/>
      <c r="N419" s="39" t="e">
        <f t="shared" si="66"/>
        <v>#N/A</v>
      </c>
      <c r="O419" s="26"/>
      <c r="P419" s="7"/>
      <c r="Q419" s="39">
        <f>SUMIFS([2]BV_Data_An_Prec!$AM:$AM,[2]BV_Data_An_Prec!$AP:$AP,$B419,[2]BV_Data_An_Prec!$AQ:$AQ,$C419,[2]BV_Data_An_Prec!$AR:$AR,$L$2)</f>
        <v>1868.3000000000002</v>
      </c>
      <c r="R419" s="26"/>
      <c r="S419" s="39">
        <f t="shared" si="67"/>
        <v>-653.89000000000124</v>
      </c>
      <c r="T419" s="6"/>
      <c r="U419" s="6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spans="1:40" ht="15.75" customHeight="1">
      <c r="A420" s="410" t="s">
        <v>457</v>
      </c>
      <c r="B420" s="7" t="s">
        <v>98</v>
      </c>
      <c r="C420" s="271" t="s">
        <v>61</v>
      </c>
      <c r="D420" s="54"/>
      <c r="E420" s="7"/>
      <c r="F420" s="19" t="e">
        <f>+INDEX('[2]Budget original'!$A$2:$AO$501,MATCH($A420,'[2]Budget original'!$A$2:$A$501,0),MATCH(F$2,'[2]Budget original'!$A$2:$AO$2,0))</f>
        <v>#N/A</v>
      </c>
      <c r="G420" s="56"/>
      <c r="H420" s="7"/>
      <c r="I420" s="19"/>
      <c r="J420" s="26"/>
      <c r="K420" s="7"/>
      <c r="L420" s="39">
        <f>SUMIFS([2]BV_Data_An_Cour!$AM:$AM,[2]BV_Data_An_Cour!$AP:$AP,$B420,[2]BV_Data_An_Cour!$AQ:$AQ,$C420,[2]BV_Data_An_Cour!$AR:$AR,$L$2)</f>
        <v>0</v>
      </c>
      <c r="M420" s="26"/>
      <c r="N420" s="39" t="e">
        <f t="shared" si="66"/>
        <v>#N/A</v>
      </c>
      <c r="O420" s="26"/>
      <c r="P420" s="7"/>
      <c r="Q420" s="39">
        <f>SUMIFS([2]BV_Data_An_Prec!$AM:$AM,[2]BV_Data_An_Prec!$AP:$AP,$B420,[2]BV_Data_An_Prec!$AQ:$AQ,$C420,[2]BV_Data_An_Prec!$AR:$AR,$L$2)</f>
        <v>0</v>
      </c>
      <c r="R420" s="26"/>
      <c r="S420" s="39">
        <f t="shared" si="67"/>
        <v>0</v>
      </c>
      <c r="T420" s="6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spans="1:40" ht="15.75" customHeight="1">
      <c r="A421" s="410" t="s">
        <v>458</v>
      </c>
      <c r="B421" s="7" t="s">
        <v>98</v>
      </c>
      <c r="C421" s="271" t="s">
        <v>62</v>
      </c>
      <c r="D421" s="54"/>
      <c r="E421" s="7"/>
      <c r="F421" s="19" t="e">
        <f>+INDEX('[2]Budget original'!$A$2:$AO$501,MATCH($A421,'[2]Budget original'!$A$2:$A$501,0),MATCH(F$2,'[2]Budget original'!$A$2:$AO$2,0))</f>
        <v>#N/A</v>
      </c>
      <c r="G421" s="56"/>
      <c r="H421" s="7"/>
      <c r="I421" s="19"/>
      <c r="J421" s="26"/>
      <c r="K421" s="7"/>
      <c r="L421" s="39">
        <f>SUMIFS([2]BV_Data_An_Cour!$AM:$AM,[2]BV_Data_An_Cour!$AP:$AP,$B421,[2]BV_Data_An_Cour!$AQ:$AQ,$C421,[2]BV_Data_An_Cour!$AR:$AR,$L$2)</f>
        <v>469.05999999999995</v>
      </c>
      <c r="M421" s="26"/>
      <c r="N421" s="39" t="e">
        <f t="shared" si="66"/>
        <v>#N/A</v>
      </c>
      <c r="O421" s="26"/>
      <c r="P421" s="7"/>
      <c r="Q421" s="39">
        <f>SUMIFS([2]BV_Data_An_Prec!$AM:$AM,[2]BV_Data_An_Prec!$AP:$AP,$B421,[2]BV_Data_An_Prec!$AQ:$AQ,$C421,[2]BV_Data_An_Prec!$AR:$AR,$L$2)</f>
        <v>95.799999999999955</v>
      </c>
      <c r="R421" s="26"/>
      <c r="S421" s="39">
        <f t="shared" si="67"/>
        <v>373.26</v>
      </c>
      <c r="T421" s="6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spans="1:40" ht="20.399999999999999" hidden="1" customHeight="1">
      <c r="A422" s="410" t="s">
        <v>425</v>
      </c>
      <c r="B422" s="7" t="s">
        <v>98</v>
      </c>
      <c r="C422" s="271" t="s">
        <v>19</v>
      </c>
      <c r="D422" s="54"/>
      <c r="E422" s="7"/>
      <c r="F422" s="19" t="e">
        <f>+INDEX('[2]Budget original'!$A$2:$AO$501,MATCH($A422,'[2]Budget original'!$A$2:$A$501,0),MATCH(F$2,'[2]Budget original'!$A$2:$AO$2,0))</f>
        <v>#N/A</v>
      </c>
      <c r="G422" s="56"/>
      <c r="H422" s="7"/>
      <c r="I422" s="19"/>
      <c r="J422" s="26"/>
      <c r="K422" s="7"/>
      <c r="L422" s="39">
        <f>SUMIFS([2]BV_Data_An_Cour!$AM:$AM,[2]BV_Data_An_Cour!$AP:$AP,$B422,[2]BV_Data_An_Cour!$AQ:$AQ,$C422,[2]BV_Data_An_Cour!$AR:$AR,$L$2)</f>
        <v>0</v>
      </c>
      <c r="M422" s="26"/>
      <c r="N422" s="39" t="e">
        <f t="shared" si="66"/>
        <v>#N/A</v>
      </c>
      <c r="O422" s="26"/>
      <c r="P422" s="7"/>
      <c r="Q422" s="39">
        <f>SUMIFS([2]BV_Data_An_Prec!$AM:$AM,[2]BV_Data_An_Prec!$AP:$AP,$B422,[2]BV_Data_An_Prec!$AQ:$AQ,$C422,[2]BV_Data_An_Prec!$AR:$AR,$L$2)</f>
        <v>0</v>
      </c>
      <c r="R422" s="26"/>
      <c r="S422" s="39">
        <f t="shared" si="67"/>
        <v>0</v>
      </c>
      <c r="T422" s="6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spans="1:40" ht="20.399999999999999" hidden="1" customHeight="1">
      <c r="A423" s="410" t="s">
        <v>425</v>
      </c>
      <c r="B423" s="7" t="s">
        <v>98</v>
      </c>
      <c r="C423" s="271" t="s">
        <v>19</v>
      </c>
      <c r="D423" s="54"/>
      <c r="E423" s="7"/>
      <c r="F423" s="19" t="e">
        <f>+INDEX('[2]Budget original'!$A$2:$AO$501,MATCH($A423,'[2]Budget original'!$A$2:$A$501,0),MATCH(F$2,'[2]Budget original'!$A$2:$AO$2,0))</f>
        <v>#N/A</v>
      </c>
      <c r="G423" s="56"/>
      <c r="H423" s="7"/>
      <c r="I423" s="19"/>
      <c r="J423" s="26"/>
      <c r="K423" s="7"/>
      <c r="L423" s="39">
        <f>SUMIFS([2]BV_Data_An_Cour!$AM:$AM,[2]BV_Data_An_Cour!$AP:$AP,$B423,[2]BV_Data_An_Cour!$AQ:$AQ,$C423,[2]BV_Data_An_Cour!$AR:$AR,$L$2)</f>
        <v>0</v>
      </c>
      <c r="M423" s="26"/>
      <c r="N423" s="39" t="e">
        <f t="shared" si="66"/>
        <v>#N/A</v>
      </c>
      <c r="O423" s="26"/>
      <c r="P423" s="7"/>
      <c r="Q423" s="39">
        <f>SUMIFS([2]BV_Data_An_Prec!$AM:$AM,[2]BV_Data_An_Prec!$AP:$AP,$B423,[2]BV_Data_An_Prec!$AQ:$AQ,$C423,[2]BV_Data_An_Prec!$AR:$AR,$L$2)</f>
        <v>0</v>
      </c>
      <c r="R423" s="26"/>
      <c r="S423" s="39">
        <f t="shared" si="67"/>
        <v>0</v>
      </c>
      <c r="T423" s="6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spans="1:40" ht="20.399999999999999" hidden="1" customHeight="1">
      <c r="A424" s="410" t="s">
        <v>425</v>
      </c>
      <c r="B424" s="7" t="s">
        <v>98</v>
      </c>
      <c r="C424" s="271" t="s">
        <v>19</v>
      </c>
      <c r="D424" s="54"/>
      <c r="E424" s="7"/>
      <c r="F424" s="19" t="e">
        <f>+INDEX('[2]Budget original'!$A$2:$AO$501,MATCH($A424,'[2]Budget original'!$A$2:$A$501,0),MATCH(F$2,'[2]Budget original'!$A$2:$AO$2,0))</f>
        <v>#N/A</v>
      </c>
      <c r="G424" s="56"/>
      <c r="H424" s="7"/>
      <c r="I424" s="19"/>
      <c r="J424" s="26"/>
      <c r="K424" s="7"/>
      <c r="L424" s="39">
        <f>SUMIFS([2]BV_Data_An_Cour!$AM:$AM,[2]BV_Data_An_Cour!$AP:$AP,$B424,[2]BV_Data_An_Cour!$AQ:$AQ,$C424,[2]BV_Data_An_Cour!$AR:$AR,$L$2)</f>
        <v>0</v>
      </c>
      <c r="M424" s="26"/>
      <c r="N424" s="39" t="e">
        <f t="shared" si="66"/>
        <v>#N/A</v>
      </c>
      <c r="O424" s="26"/>
      <c r="P424" s="7"/>
      <c r="Q424" s="39">
        <f>SUMIFS([2]BV_Data_An_Prec!$AM:$AM,[2]BV_Data_An_Prec!$AP:$AP,$B424,[2]BV_Data_An_Prec!$AQ:$AQ,$C424,[2]BV_Data_An_Prec!$AR:$AR,$L$2)</f>
        <v>0</v>
      </c>
      <c r="R424" s="26"/>
      <c r="S424" s="39">
        <f t="shared" si="67"/>
        <v>0</v>
      </c>
      <c r="T424" s="6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spans="1:40" ht="18.600000000000001" customHeight="1">
      <c r="A425" s="410"/>
      <c r="B425" s="7"/>
      <c r="C425" s="139" t="s">
        <v>63</v>
      </c>
      <c r="D425" s="62" t="s">
        <v>38</v>
      </c>
      <c r="E425" s="63" t="e">
        <f>F425/F$390</f>
        <v>#N/A</v>
      </c>
      <c r="F425" s="64" t="e">
        <f>+SUM(F407:F424)</f>
        <v>#N/A</v>
      </c>
      <c r="G425" s="65"/>
      <c r="H425" s="63"/>
      <c r="I425" s="64"/>
      <c r="J425" s="65" t="s">
        <v>38</v>
      </c>
      <c r="K425" s="63">
        <f>L425/L$390</f>
        <v>0.10149819334457125</v>
      </c>
      <c r="L425" s="64">
        <f>+SUM(L407:L424)</f>
        <v>9370.5699999999979</v>
      </c>
      <c r="M425" s="66"/>
      <c r="N425" s="64" t="e">
        <f>+SUM(N407:N424)</f>
        <v>#N/A</v>
      </c>
      <c r="O425" s="65" t="s">
        <v>38</v>
      </c>
      <c r="P425" s="63">
        <f>Q425/Q$390</f>
        <v>0.12854738711900182</v>
      </c>
      <c r="Q425" s="64">
        <f>+SUM(Q407:Q424)</f>
        <v>12551.48</v>
      </c>
      <c r="R425" s="67"/>
      <c r="S425" s="64">
        <f>+SUM(S407:S424)</f>
        <v>-3180.9100000000017</v>
      </c>
      <c r="T425" s="6"/>
      <c r="U425" s="6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spans="1:40" ht="15.75" customHeight="1">
      <c r="B426" s="3"/>
      <c r="C426" s="14"/>
      <c r="D426" s="57"/>
      <c r="E426" s="73"/>
      <c r="F426" s="39"/>
      <c r="G426" s="59"/>
      <c r="H426" s="73"/>
      <c r="I426" s="39"/>
      <c r="J426" s="14"/>
      <c r="K426" s="73"/>
      <c r="L426" s="61"/>
      <c r="M426" s="14"/>
      <c r="N426" s="61"/>
      <c r="O426" s="14"/>
      <c r="P426" s="73"/>
      <c r="Q426" s="61"/>
      <c r="R426" s="14"/>
      <c r="S426" s="61"/>
      <c r="T426" s="6"/>
      <c r="U426" s="6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spans="1:40" ht="18.600000000000001" customHeight="1">
      <c r="A427" s="410"/>
      <c r="B427" s="7"/>
      <c r="C427" s="139" t="s">
        <v>64</v>
      </c>
      <c r="D427" s="62" t="s">
        <v>38</v>
      </c>
      <c r="E427" s="63" t="e">
        <f>F427/F$390</f>
        <v>#N/A</v>
      </c>
      <c r="F427" s="64" t="e">
        <f>F406+F425</f>
        <v>#N/A</v>
      </c>
      <c r="G427" s="65"/>
      <c r="H427" s="63"/>
      <c r="I427" s="64"/>
      <c r="J427" s="65" t="s">
        <v>38</v>
      </c>
      <c r="K427" s="63">
        <f>L427/L$390</f>
        <v>0.44723536064273695</v>
      </c>
      <c r="L427" s="64">
        <f>L406+L425</f>
        <v>41289.899999999987</v>
      </c>
      <c r="M427" s="66"/>
      <c r="N427" s="64" t="e">
        <f>L427-F427</f>
        <v>#N/A</v>
      </c>
      <c r="O427" s="65" t="s">
        <v>38</v>
      </c>
      <c r="P427" s="63">
        <f>Q427/Q$390</f>
        <v>0.43884876908114701</v>
      </c>
      <c r="Q427" s="64">
        <f>Q406+Q425</f>
        <v>42849.579999999973</v>
      </c>
      <c r="R427" s="67"/>
      <c r="S427" s="64">
        <f>L427-Q427</f>
        <v>-1559.6799999999857</v>
      </c>
      <c r="T427" s="6"/>
      <c r="U427" s="6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spans="1:40" ht="15.75" customHeight="1">
      <c r="B428" s="3"/>
      <c r="C428" s="26"/>
      <c r="D428" s="54"/>
      <c r="E428" s="7"/>
      <c r="F428" s="39"/>
      <c r="G428" s="56"/>
      <c r="H428" s="7"/>
      <c r="I428" s="39"/>
      <c r="J428" s="26"/>
      <c r="K428" s="7"/>
      <c r="L428" s="39"/>
      <c r="M428" s="26"/>
      <c r="N428" s="39">
        <f>L428-F428</f>
        <v>0</v>
      </c>
      <c r="O428" s="26"/>
      <c r="P428" s="7"/>
      <c r="Q428" s="39"/>
      <c r="R428" s="26"/>
      <c r="S428" s="39"/>
      <c r="T428" s="6"/>
      <c r="U428" s="6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spans="1:40" ht="18.600000000000001" customHeight="1" thickBot="1">
      <c r="A429" s="410"/>
      <c r="B429" s="7"/>
      <c r="C429" s="276" t="s">
        <v>69</v>
      </c>
      <c r="D429" s="277"/>
      <c r="E429" s="278"/>
      <c r="F429" s="138" t="e">
        <f>F390-F427</f>
        <v>#N/A</v>
      </c>
      <c r="G429" s="279"/>
      <c r="H429" s="278"/>
      <c r="I429" s="138"/>
      <c r="J429" s="279"/>
      <c r="K429" s="278"/>
      <c r="L429" s="138">
        <f>L390-L427</f>
        <v>51032.630000000201</v>
      </c>
      <c r="M429" s="280"/>
      <c r="N429" s="138" t="e">
        <f>L429-F429</f>
        <v>#N/A</v>
      </c>
      <c r="O429" s="279"/>
      <c r="P429" s="278"/>
      <c r="Q429" s="138">
        <f>Q390-Q427</f>
        <v>54791.3</v>
      </c>
      <c r="R429" s="281"/>
      <c r="S429" s="138">
        <f>L429-Q429</f>
        <v>-3758.6699999998018</v>
      </c>
      <c r="T429" s="6"/>
      <c r="U429" s="6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spans="1:40" ht="15.75" customHeight="1" thickTop="1">
      <c r="B430" s="3"/>
      <c r="C430" s="50"/>
      <c r="D430" s="54"/>
      <c r="E430" s="7"/>
      <c r="F430" s="74"/>
      <c r="G430" s="54"/>
      <c r="H430" s="7"/>
      <c r="I430" s="74"/>
      <c r="J430" s="50"/>
      <c r="K430" s="50"/>
      <c r="L430" s="74"/>
      <c r="M430" s="50"/>
      <c r="N430" s="74"/>
      <c r="O430" s="50"/>
      <c r="P430" s="50"/>
      <c r="Q430" s="74"/>
      <c r="R430" s="50"/>
      <c r="S430" s="74"/>
      <c r="T430" s="6"/>
      <c r="U430" s="6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spans="1:40" ht="15.75" customHeight="1">
      <c r="B431" s="3"/>
      <c r="C431" s="50"/>
      <c r="D431" s="54"/>
      <c r="E431" s="7"/>
      <c r="F431" s="74"/>
      <c r="G431" s="54"/>
      <c r="H431" s="7"/>
      <c r="I431" s="74"/>
      <c r="J431" s="50"/>
      <c r="K431" s="50"/>
      <c r="L431" s="74"/>
      <c r="M431" s="50"/>
      <c r="N431" s="74"/>
      <c r="O431" s="50"/>
      <c r="P431" s="50"/>
      <c r="Q431" s="74"/>
      <c r="R431" s="50"/>
      <c r="S431" s="74"/>
      <c r="T431" s="6"/>
      <c r="U431" s="6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spans="1:40" ht="34.5" customHeight="1">
      <c r="B432" s="3"/>
      <c r="C432" s="251" t="str">
        <f>+C367</f>
        <v>Ste-Marie Auto</v>
      </c>
      <c r="D432" s="252"/>
      <c r="E432" s="253"/>
      <c r="F432" s="252"/>
      <c r="G432" s="252"/>
      <c r="H432" s="254"/>
      <c r="I432" s="252"/>
      <c r="J432" s="254"/>
      <c r="K432" s="255" t="s">
        <v>459</v>
      </c>
      <c r="L432" s="252"/>
      <c r="M432" s="252"/>
      <c r="N432" s="256"/>
      <c r="O432" s="251"/>
      <c r="P432" s="257"/>
      <c r="Q432" s="251"/>
      <c r="R432" s="257"/>
      <c r="S432" s="258" t="str">
        <f>$S$1</f>
        <v>Réalisé, Aout 2026</v>
      </c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spans="1:40" ht="15.75" customHeight="1" thickBot="1">
      <c r="B433" s="3"/>
      <c r="C433" s="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spans="1:40" ht="15.75" customHeight="1" thickTop="1">
      <c r="B434" s="3"/>
      <c r="C434" s="259"/>
      <c r="D434" s="407" t="s">
        <v>5</v>
      </c>
      <c r="E434" s="408"/>
      <c r="F434" s="406"/>
      <c r="G434" s="405"/>
      <c r="H434" s="408"/>
      <c r="I434" s="406"/>
      <c r="J434" s="405" t="s">
        <v>7</v>
      </c>
      <c r="K434" s="408"/>
      <c r="L434" s="406"/>
      <c r="M434" s="405"/>
      <c r="N434" s="406"/>
      <c r="O434" s="407" t="s">
        <v>8</v>
      </c>
      <c r="P434" s="408"/>
      <c r="Q434" s="406"/>
      <c r="R434" s="405" t="s">
        <v>9</v>
      </c>
      <c r="S434" s="406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spans="1:40" ht="15.75" customHeight="1">
      <c r="A435" s="410" t="s">
        <v>114</v>
      </c>
      <c r="B435" s="7" t="s">
        <v>459</v>
      </c>
      <c r="C435" s="330"/>
      <c r="D435" s="53" t="s">
        <v>79</v>
      </c>
      <c r="E435" s="53" t="s">
        <v>99</v>
      </c>
      <c r="F435" s="84" t="s">
        <v>12</v>
      </c>
      <c r="G435" s="85"/>
      <c r="H435" s="53"/>
      <c r="I435" s="84"/>
      <c r="J435" s="85" t="s">
        <v>39</v>
      </c>
      <c r="K435" s="53" t="s">
        <v>79</v>
      </c>
      <c r="L435" s="84" t="s">
        <v>12</v>
      </c>
      <c r="M435" s="85" t="s">
        <v>39</v>
      </c>
      <c r="N435" s="84" t="s">
        <v>215</v>
      </c>
      <c r="O435" s="53" t="s">
        <v>39</v>
      </c>
      <c r="P435" s="53" t="s">
        <v>79</v>
      </c>
      <c r="Q435" s="84" t="s">
        <v>12</v>
      </c>
      <c r="R435" s="85" t="s">
        <v>80</v>
      </c>
      <c r="S435" s="84" t="s">
        <v>12</v>
      </c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spans="1:40" ht="15.75" customHeight="1">
      <c r="A436" s="410"/>
      <c r="B436" s="7" t="s">
        <v>459</v>
      </c>
      <c r="C436" s="26"/>
      <c r="D436" s="53"/>
      <c r="E436" s="53"/>
      <c r="F436" s="84"/>
      <c r="G436" s="53"/>
      <c r="H436" s="53"/>
      <c r="I436" s="53"/>
      <c r="J436" s="85"/>
      <c r="K436" s="53"/>
      <c r="L436" s="84"/>
      <c r="M436" s="85"/>
      <c r="N436" s="84"/>
      <c r="O436" s="85"/>
      <c r="P436" s="53"/>
      <c r="Q436" s="84"/>
      <c r="R436" s="85"/>
      <c r="S436" s="84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spans="1:40" ht="15.75" customHeight="1">
      <c r="A437" s="410"/>
      <c r="B437" s="7" t="s">
        <v>459</v>
      </c>
      <c r="C437" s="26" t="s">
        <v>460</v>
      </c>
      <c r="D437" s="55" t="e">
        <f>+INDEX('[2]Budget original'!$A$2:$AO$501,MATCH($A437,'[2]Budget original'!$A$2:$A$501,0),MATCH(D$2,'[2]Budget original'!$A$2:$AO$2,0))</f>
        <v>#N/A</v>
      </c>
      <c r="E437" s="55" t="e">
        <f>+INDEX('[2]Budget original'!$A$2:$AO$501,MATCH($A437,'[2]Budget original'!$A$2:$A$501,0),MATCH(E$2,'[2]Budget original'!$A$2:$AO$2,0))</f>
        <v>#N/A</v>
      </c>
      <c r="F437" s="55" t="e">
        <f>+INDEX('[2]Budget original'!$A$2:$AO$501,MATCH($A437,'[2]Budget original'!$A$2:$A$501,0),MATCH(F$2,'[2]Budget original'!$A$2:$AO$2,0))</f>
        <v>#N/A</v>
      </c>
      <c r="G437" s="98"/>
      <c r="H437" s="55"/>
      <c r="I437" s="55"/>
      <c r="J437" s="40">
        <f>SUMIFS([2]BV_Data_An_Cour!$AW:$AW,[2]BV_Data_An_Cour!$AP:$AP,$B437,[2]BV_Data_An_Cour!$AQ:$AQ,$C437,[2]BV_Data_An_Cour!$AY:$AY,J$2)</f>
        <v>332</v>
      </c>
      <c r="K437" s="55">
        <f>-SUMIFS([2]BV_Data_An_Cour!$AM:$AM,[2]BV_Data_An_Cour!$AS:$AS,"Oui",[2]BV_Data_An_Cour!$AP:$AP,$B437,[2]BV_Data_An_Cour!$AQ:$AQ,$C437)</f>
        <v>53877.5</v>
      </c>
      <c r="L437" s="39">
        <f>-SUMIFS([2]BV_Data_An_Cour!$AM:$AM,[2]BV_Data_An_Cour!$AP:$AP,$B437,[2]BV_Data_An_Cour!$AQ:$AQ,$C437,[2]BV_Data_An_Cour!$AR:$AR,$L$2)</f>
        <v>38417.480000000003</v>
      </c>
      <c r="M437" s="99">
        <f>IFERROR((K437-E437)/E437,0)</f>
        <v>0</v>
      </c>
      <c r="N437" s="39" t="e">
        <f>L437-F437</f>
        <v>#N/A</v>
      </c>
      <c r="O437" s="40">
        <f>SUMIFS([2]BV_Data_An_Prec!$AW:$AW,[2]BV_Data_An_Prec!$AP:$AP,$B437,[2]BV_Data_An_Prec!$AQ:$AQ,$C437,[2]BV_Data_An_Prec!$AY:$AY,O$2)</f>
        <v>0</v>
      </c>
      <c r="P437" s="55">
        <f>-SUMIFS([2]BV_Data_An_Prec!$AM:$AM,[2]BV_Data_An_Prec!$AS:$AS,"Oui",[2]BV_Data_An_Prec!$AP:$AP,$B437,[2]BV_Data_An_Prec!$AQ:$AQ,$C437)</f>
        <v>0</v>
      </c>
      <c r="Q437" s="39">
        <f>-SUMIFS([2]BV_Data_An_Prec!$AM:$AM,[2]BV_Data_An_Prec!$AP:$AP,$B437,[2]BV_Data_An_Prec!$AQ:$AQ,$C437,[2]BV_Data_An_Prec!$AR:$AR,$L$2)</f>
        <v>0</v>
      </c>
      <c r="R437" s="99">
        <f>IF(O437=0,0,J437/O437)</f>
        <v>0</v>
      </c>
      <c r="S437" s="39">
        <f>L437-Q437</f>
        <v>38417.480000000003</v>
      </c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spans="1:40" ht="15.75" customHeight="1">
      <c r="A438" s="410"/>
      <c r="B438" s="7" t="s">
        <v>459</v>
      </c>
      <c r="C438" s="26" t="s">
        <v>82</v>
      </c>
      <c r="D438" s="53"/>
      <c r="E438" s="91"/>
      <c r="F438" s="100">
        <f>IFERROR(F437/E437,0)</f>
        <v>0</v>
      </c>
      <c r="G438" s="26"/>
      <c r="H438" s="91"/>
      <c r="I438" s="100"/>
      <c r="J438" s="40"/>
      <c r="K438" s="7"/>
      <c r="L438" s="100">
        <f>IFERROR(L437/K437,0)</f>
        <v>0.71305238736021537</v>
      </c>
      <c r="M438" s="99"/>
      <c r="N438" s="39">
        <f>IFERROR(N437/M437,0)</f>
        <v>0</v>
      </c>
      <c r="O438" s="40"/>
      <c r="P438" s="7"/>
      <c r="Q438" s="100">
        <f>IFERROR(Q437/P437,0)</f>
        <v>0</v>
      </c>
      <c r="R438" s="40"/>
      <c r="S438" s="39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spans="1:40" ht="15.75" customHeight="1">
      <c r="A439" s="410"/>
      <c r="B439" s="7" t="s">
        <v>459</v>
      </c>
      <c r="C439" s="26"/>
      <c r="D439" s="53"/>
      <c r="E439" s="141"/>
      <c r="F439" s="87"/>
      <c r="G439" s="85"/>
      <c r="H439" s="141"/>
      <c r="I439" s="87"/>
      <c r="J439" s="85"/>
      <c r="K439" s="312">
        <f>IFERROR(K437/J437,0)</f>
        <v>162.28162650602408</v>
      </c>
      <c r="L439" s="84"/>
      <c r="M439" s="85"/>
      <c r="N439" s="84"/>
      <c r="O439" s="85"/>
      <c r="P439" s="312">
        <f>IFERROR(P437/O437,0)</f>
        <v>0</v>
      </c>
      <c r="Q439" s="84"/>
      <c r="R439" s="86"/>
      <c r="S439" s="250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spans="1:40" ht="15.75" customHeight="1">
      <c r="A440" s="410"/>
      <c r="B440" s="7" t="s">
        <v>459</v>
      </c>
      <c r="C440" s="335" t="s">
        <v>461</v>
      </c>
      <c r="D440" s="105" t="e">
        <f>+INDEX('[2]Budget original'!$A$2:$AO$501,MATCH($A440,'[2]Budget original'!$A$2:$A$501,0),MATCH(D$2,'[2]Budget original'!$A$2:$AO$2,0))</f>
        <v>#N/A</v>
      </c>
      <c r="E440" s="55" t="e">
        <f>+INDEX('[2]Budget original'!$A$2:$AO$501,MATCH($A440,'[2]Budget original'!$A$2:$A$501,0),MATCH(E$2,'[2]Budget original'!$A$2:$AO$2,0))</f>
        <v>#N/A</v>
      </c>
      <c r="F440" s="55" t="e">
        <f>+INDEX('[2]Budget original'!$A$2:$AO$501,MATCH($A440,'[2]Budget original'!$A$2:$A$501,0),MATCH(F$2,'[2]Budget original'!$A$2:$AO$2,0))</f>
        <v>#N/A</v>
      </c>
      <c r="G440" s="131"/>
      <c r="H440" s="55"/>
      <c r="I440" s="55"/>
      <c r="J440" s="106">
        <f>SUMIFS([2]BV_Data_An_Cour!$AW:$AW,[2]BV_Data_An_Cour!$AP:$AP,$B440,[2]BV_Data_An_Cour!$AQ:$AQ,$C440,[2]BV_Data_An_Cour!$AY:$AY,J$2)</f>
        <v>139</v>
      </c>
      <c r="K440" s="105">
        <f>-SUMIFS([2]BV_Data_An_Cour!$AM:$AM,[2]BV_Data_An_Cour!$AS:$AS,"Oui",[2]BV_Data_An_Cour!$AP:$AP,$B440,[2]BV_Data_An_Cour!$AQ:$AQ,$C440)</f>
        <v>17125</v>
      </c>
      <c r="L440" s="72">
        <f>-SUMIFS([2]BV_Data_An_Cour!$AM:$AM,[2]BV_Data_An_Cour!$AP:$AP,$B440,[2]BV_Data_An_Cour!$AQ:$AQ,$C440,[2]BV_Data_An_Cour!$AR:$AR,$L$2)</f>
        <v>12648.740000000005</v>
      </c>
      <c r="M440" s="109">
        <f>IFERROR((K440-E440)/E440,0)</f>
        <v>0</v>
      </c>
      <c r="N440" s="72" t="e">
        <f>L440-F440</f>
        <v>#N/A</v>
      </c>
      <c r="O440" s="106">
        <f>SUMIFS([2]BV_Data_An_Prec!$AW:$AW,[2]BV_Data_An_Prec!$AP:$AP,$B440,[2]BV_Data_An_Prec!$AQ:$AQ,$C440,[2]BV_Data_An_Prec!$AY:$AY,O$2)</f>
        <v>450</v>
      </c>
      <c r="P440" s="105">
        <f>-SUMIFS([2]BV_Data_An_Prec!$AM:$AM,[2]BV_Data_An_Prec!$AS:$AS,"Oui",[2]BV_Data_An_Prec!$AP:$AP,$B440,[2]BV_Data_An_Prec!$AQ:$AQ,$C440)</f>
        <v>63589.339999999967</v>
      </c>
      <c r="Q440" s="72">
        <f>-SUMIFS([2]BV_Data_An_Prec!$AM:$AM,[2]BV_Data_An_Prec!$AP:$AP,$B440,[2]BV_Data_An_Prec!$AQ:$AQ,$C440,[2]BV_Data_An_Prec!$AR:$AR,$L$2)</f>
        <v>46850.859999999986</v>
      </c>
      <c r="R440" s="99">
        <f>IF(O440=0,0,J440/O440)</f>
        <v>0.30888888888888888</v>
      </c>
      <c r="S440" s="39">
        <f>L440-Q440</f>
        <v>-34202.119999999981</v>
      </c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spans="1:40" ht="15.75" customHeight="1">
      <c r="A441" s="410"/>
      <c r="B441" s="7" t="s">
        <v>459</v>
      </c>
      <c r="C441" s="26" t="s">
        <v>82</v>
      </c>
      <c r="D441" s="7"/>
      <c r="E441" s="91"/>
      <c r="F441" s="100">
        <f>IFERROR(F440/E440,0)</f>
        <v>0</v>
      </c>
      <c r="G441" s="26"/>
      <c r="H441" s="91"/>
      <c r="I441" s="100"/>
      <c r="J441" s="40"/>
      <c r="K441" s="7"/>
      <c r="L441" s="100">
        <f>IFERROR(L440/K440,0)</f>
        <v>0.73861255474452581</v>
      </c>
      <c r="M441" s="99"/>
      <c r="N441" s="39">
        <f>IFERROR(N440/M440,0)</f>
        <v>0</v>
      </c>
      <c r="O441" s="40"/>
      <c r="P441" s="7"/>
      <c r="Q441" s="100">
        <f>IFERROR(Q440/P440,0)</f>
        <v>0.73677223257860536</v>
      </c>
      <c r="R441" s="40"/>
      <c r="S441" s="39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spans="1:40" ht="15.75" customHeight="1">
      <c r="A442" s="410"/>
      <c r="B442" s="7" t="s">
        <v>459</v>
      </c>
      <c r="C442" s="14"/>
      <c r="D442" s="73"/>
      <c r="E442" s="101"/>
      <c r="F442" s="102"/>
      <c r="G442" s="14"/>
      <c r="H442" s="101"/>
      <c r="I442" s="102"/>
      <c r="J442" s="103"/>
      <c r="K442" s="312">
        <f>IFERROR(K440/J440,0)</f>
        <v>123.20143884892086</v>
      </c>
      <c r="L442" s="102"/>
      <c r="M442" s="104"/>
      <c r="N442" s="61"/>
      <c r="O442" s="103"/>
      <c r="P442" s="312">
        <f>IFERROR(P440/O440,0)</f>
        <v>141.30964444444436</v>
      </c>
      <c r="Q442" s="102"/>
      <c r="R442" s="103"/>
      <c r="S442" s="61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spans="1:40" ht="15.75" customHeight="1">
      <c r="A443" s="410"/>
      <c r="B443" s="7" t="s">
        <v>459</v>
      </c>
      <c r="C443" s="335" t="s">
        <v>462</v>
      </c>
      <c r="D443" s="105">
        <v>0</v>
      </c>
      <c r="E443" s="55">
        <v>0</v>
      </c>
      <c r="F443" s="55">
        <v>0</v>
      </c>
      <c r="G443" s="106"/>
      <c r="H443" s="55"/>
      <c r="I443" s="55"/>
      <c r="J443" s="106">
        <f>SUMIFS([2]BV_Data_An_Cour!$AW:$AW,[2]BV_Data_An_Cour!$AP:$AP,$B443,[2]BV_Data_An_Cour!$AQ:$AQ,$C443,[2]BV_Data_An_Cour!$AY:$AY,J$2)</f>
        <v>5</v>
      </c>
      <c r="K443" s="55">
        <f>-SUMIFS([2]BV_Data_An_Cour!$AM:$AM,[2]BV_Data_An_Cour!$AS:$AS,"Oui",[2]BV_Data_An_Cour!$AP:$AP,$B443,[2]BV_Data_An_Cour!$AQ:$AQ,$C443)</f>
        <v>750</v>
      </c>
      <c r="L443" s="39">
        <f>-SUMIFS([2]BV_Data_An_Cour!$AM:$AM,[2]BV_Data_An_Cour!$AP:$AP,$B443,[2]BV_Data_An_Cour!$AQ:$AQ,$C443,[2]BV_Data_An_Cour!$AR:$AR,$L$2)</f>
        <v>536.94000000000005</v>
      </c>
      <c r="M443" s="99">
        <f>IFERROR((K443-E443)/E443,0)</f>
        <v>0</v>
      </c>
      <c r="N443" s="72">
        <f>L443-F443</f>
        <v>536.94000000000005</v>
      </c>
      <c r="O443" s="106">
        <f>SUMIFS([2]BV_Data_An_Prec!$AW:$AW,[2]BV_Data_An_Prec!$AP:$AP,$B443,[2]BV_Data_An_Prec!$AQ:$AQ,$C443,[2]BV_Data_An_Prec!$AY:$AY,O$2)</f>
        <v>16</v>
      </c>
      <c r="P443" s="55">
        <f>-SUMIFS([2]BV_Data_An_Prec!$AM:$AM,[2]BV_Data_An_Prec!$AS:$AS,"Oui",[2]BV_Data_An_Prec!$AP:$AP,$B443,[2]BV_Data_An_Prec!$AQ:$AQ,$C443)</f>
        <v>1795</v>
      </c>
      <c r="Q443" s="39">
        <f>-SUMIFS([2]BV_Data_An_Prec!$AM:$AM,[2]BV_Data_An_Prec!$AP:$AP,$B443,[2]BV_Data_An_Prec!$AQ:$AQ,$C443,[2]BV_Data_An_Prec!$AR:$AR,$L$2)</f>
        <v>1292.4499999999998</v>
      </c>
      <c r="R443" s="99">
        <f>IF(O443=0,0,J443/O443)</f>
        <v>0.3125</v>
      </c>
      <c r="S443" s="39">
        <f>L443-Q443</f>
        <v>-755.50999999999976</v>
      </c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spans="1:40" ht="15.75" customHeight="1">
      <c r="A444" s="410"/>
      <c r="B444" s="7" t="s">
        <v>459</v>
      </c>
      <c r="C444" s="26" t="s">
        <v>82</v>
      </c>
      <c r="D444" s="7"/>
      <c r="E444" s="7"/>
      <c r="F444" s="100">
        <f>IFERROR(F443/E443,0)</f>
        <v>0</v>
      </c>
      <c r="G444" s="26"/>
      <c r="H444" s="91"/>
      <c r="I444" s="100"/>
      <c r="J444" s="40"/>
      <c r="K444" s="7"/>
      <c r="L444" s="100">
        <f>IFERROR(L443/K443,0)</f>
        <v>0.71592000000000011</v>
      </c>
      <c r="M444" s="99"/>
      <c r="N444" s="39">
        <f>IFERROR(N443/M443,0)</f>
        <v>0</v>
      </c>
      <c r="O444" s="40"/>
      <c r="P444" s="7"/>
      <c r="Q444" s="100">
        <f>IFERROR(Q443/P443,0)</f>
        <v>0.72002785515320322</v>
      </c>
      <c r="R444" s="40"/>
      <c r="S444" s="39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spans="1:40" ht="15.75" customHeight="1">
      <c r="A445" s="410"/>
      <c r="B445" s="7" t="s">
        <v>459</v>
      </c>
      <c r="C445" s="26"/>
      <c r="D445" s="7"/>
      <c r="E445" s="7"/>
      <c r="F445" s="100"/>
      <c r="G445" s="7"/>
      <c r="H445" s="91"/>
      <c r="I445" s="93"/>
      <c r="J445" s="40"/>
      <c r="K445" s="418">
        <f>IFERROR(K443/J443,0)</f>
        <v>150</v>
      </c>
      <c r="L445" s="100"/>
      <c r="M445" s="99"/>
      <c r="N445" s="39"/>
      <c r="O445" s="40"/>
      <c r="P445" s="418">
        <f>IFERROR(P443/O443,0)</f>
        <v>112.1875</v>
      </c>
      <c r="Q445" s="100"/>
      <c r="R445" s="40"/>
      <c r="S445" s="39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spans="1:40" ht="15.75" customHeight="1">
      <c r="A446" s="410"/>
      <c r="B446" s="7" t="s">
        <v>459</v>
      </c>
      <c r="C446" s="26" t="s">
        <v>463</v>
      </c>
      <c r="D446" s="7"/>
      <c r="E446" s="7"/>
      <c r="F446" s="100"/>
      <c r="G446" s="7"/>
      <c r="H446" s="91"/>
      <c r="I446" s="93"/>
      <c r="J446" s="40"/>
      <c r="K446" s="7"/>
      <c r="L446" s="39">
        <f>-SUMIFS([2]BV_Data_An_Cour!$AM:$AM,[2]BV_Data_An_Cour!$AP:$AP,$B446,[2]BV_Data_An_Cour!$AQ:$AQ,$C446,[2]BV_Data_An_Cour!$AR:$AR,$L$2)</f>
        <v>-2023.32</v>
      </c>
      <c r="M446" s="99"/>
      <c r="N446" s="39"/>
      <c r="O446" s="40"/>
      <c r="P446" s="7"/>
      <c r="Q446" s="39">
        <f>-SUMIFS([2]BV_Data_An_Prec!$AM:$AM,[2]BV_Data_An_Prec!$AP:$AP,$B446,[2]BV_Data_An_Prec!$AQ:$AQ,$C446,[2]BV_Data_An_Prec!$AR:$AR,$L$2)</f>
        <v>0</v>
      </c>
      <c r="R446" s="40"/>
      <c r="S446" s="39">
        <f>L446-Q446</f>
        <v>-2023.32</v>
      </c>
      <c r="T446" s="6"/>
      <c r="U446" s="6"/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spans="1:40" ht="15.75" customHeight="1" thickBot="1">
      <c r="A447" s="410"/>
      <c r="B447" s="7" t="s">
        <v>459</v>
      </c>
      <c r="C447" s="26"/>
      <c r="D447" s="53"/>
      <c r="E447" s="53"/>
      <c r="F447" s="84"/>
      <c r="G447" s="53"/>
      <c r="H447" s="53"/>
      <c r="I447" s="53"/>
      <c r="J447" s="85"/>
      <c r="K447" s="53"/>
      <c r="L447" s="84"/>
      <c r="M447" s="85"/>
      <c r="N447" s="84"/>
      <c r="O447" s="85"/>
      <c r="P447" s="53"/>
      <c r="Q447" s="84"/>
      <c r="R447" s="85"/>
      <c r="S447" s="84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spans="1:40" ht="18" customHeight="1" thickTop="1">
      <c r="A448" s="410" t="s">
        <v>464</v>
      </c>
      <c r="B448" s="7" t="s">
        <v>459</v>
      </c>
      <c r="C448" s="264" t="s">
        <v>465</v>
      </c>
      <c r="D448" s="41" t="e">
        <f>+INDEX('[2]Budget original'!$A$2:$AO$501,MATCH($A448,'[2]Budget original'!$A$2:$A$501,0),MATCH(D$2,'[2]Budget original'!$A$2:$AO$2,0))</f>
        <v>#N/A</v>
      </c>
      <c r="E448" s="42">
        <f>IFERROR(F448/D448,0)</f>
        <v>0</v>
      </c>
      <c r="F448" s="43" t="e">
        <f>+INDEX('[2]Budget original'!$A$2:$AO$501,MATCH($A448,'[2]Budget original'!$A$2:$A$501,0),MATCH(F$2,'[2]Budget original'!$A$2:$AO$2,0))</f>
        <v>#N/A</v>
      </c>
      <c r="G448" s="44"/>
      <c r="H448" s="42"/>
      <c r="I448" s="43"/>
      <c r="J448" s="44"/>
      <c r="K448" s="41">
        <f>K437+K440+K443</f>
        <v>71752.5</v>
      </c>
      <c r="L448" s="43">
        <f>L437+L440+L443+L446</f>
        <v>49579.840000000011</v>
      </c>
      <c r="M448" s="44"/>
      <c r="N448" s="43"/>
      <c r="O448" s="44"/>
      <c r="P448" s="41">
        <f>P437+P440+P443</f>
        <v>65384.339999999967</v>
      </c>
      <c r="Q448" s="43">
        <f>Q437+Q440+Q443+Q446</f>
        <v>48143.309999999983</v>
      </c>
      <c r="R448" s="44">
        <f>IF(O448=0,0,(J448-O448)/O448)</f>
        <v>0</v>
      </c>
      <c r="S448" s="43">
        <f>S437+S440+S443+S446</f>
        <v>1436.5300000000227</v>
      </c>
      <c r="T448" s="6"/>
      <c r="U448" s="6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spans="1:40" ht="22.5" customHeight="1" thickBot="1">
      <c r="A449" s="410" t="s">
        <v>114</v>
      </c>
      <c r="B449" s="7" t="s">
        <v>459</v>
      </c>
      <c r="C449" s="47"/>
      <c r="D449" s="45"/>
      <c r="E449" s="45"/>
      <c r="F449" s="46"/>
      <c r="G449" s="47"/>
      <c r="H449" s="45"/>
      <c r="I449" s="46"/>
      <c r="J449" s="47"/>
      <c r="K449" s="265"/>
      <c r="L449" s="267">
        <f>L448/K448</f>
        <v>0.69098414689383658</v>
      </c>
      <c r="M449" s="48"/>
      <c r="N449" s="49"/>
      <c r="O449" s="47"/>
      <c r="P449" s="265"/>
      <c r="Q449" s="267">
        <f>Q448/P448</f>
        <v>0.73631254823402681</v>
      </c>
      <c r="R449" s="48"/>
      <c r="S449" s="267">
        <f>IF(Q448=0,0,S448/Q448)</f>
        <v>2.9838621399318477E-2</v>
      </c>
      <c r="T449" s="6"/>
      <c r="U449" s="6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spans="1:40" ht="15.75" customHeight="1" thickTop="1">
      <c r="A450" s="410" t="s">
        <v>114</v>
      </c>
      <c r="B450" s="7" t="s">
        <v>459</v>
      </c>
      <c r="C450" s="268"/>
      <c r="D450" s="7"/>
      <c r="E450" s="7"/>
      <c r="F450" s="39"/>
      <c r="G450" s="26"/>
      <c r="H450" s="7"/>
      <c r="I450" s="39"/>
      <c r="J450" s="26"/>
      <c r="K450" s="7"/>
      <c r="L450" s="25"/>
      <c r="M450" s="26"/>
      <c r="N450" s="100"/>
      <c r="O450" s="26"/>
      <c r="P450" s="7"/>
      <c r="Q450" s="25"/>
      <c r="R450" s="26"/>
      <c r="S450" s="25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spans="1:40" ht="15.75" customHeight="1">
      <c r="A451" s="410" t="s">
        <v>466</v>
      </c>
      <c r="B451" s="7" t="s">
        <v>459</v>
      </c>
      <c r="C451" s="268" t="s">
        <v>29</v>
      </c>
      <c r="D451" s="7"/>
      <c r="E451" s="7"/>
      <c r="F451" s="39"/>
      <c r="G451" s="26"/>
      <c r="H451" s="7"/>
      <c r="I451" s="39"/>
      <c r="J451" s="26"/>
      <c r="K451" s="7"/>
      <c r="L451" s="25"/>
      <c r="M451" s="26"/>
      <c r="N451" s="25"/>
      <c r="O451" s="26"/>
      <c r="P451" s="7"/>
      <c r="Q451" s="25"/>
      <c r="R451" s="26"/>
      <c r="S451" s="25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spans="1:40" ht="15.75" customHeight="1">
      <c r="A452" s="410" t="s">
        <v>467</v>
      </c>
      <c r="B452" s="7" t="s">
        <v>459</v>
      </c>
      <c r="C452" s="271" t="s">
        <v>40</v>
      </c>
      <c r="D452" s="7"/>
      <c r="E452" s="7"/>
      <c r="F452" s="19" t="e">
        <f>+INDEX('[2]Budget original'!$A$2:$AO$501,MATCH($A452,'[2]Budget original'!$A$2:$A$501,0),MATCH(F$2,'[2]Budget original'!$A$2:$AO$2,0))</f>
        <v>#N/A</v>
      </c>
      <c r="G452" s="26"/>
      <c r="H452" s="7"/>
      <c r="I452" s="19"/>
      <c r="J452" s="26"/>
      <c r="K452" s="7"/>
      <c r="L452" s="39">
        <f>SUMIFS([2]BV_Data_An_Cour!$AM:$AM,[2]BV_Data_An_Cour!$AP:$AP,$B452,[2]BV_Data_An_Cour!$AQ:$AQ,$C452,[2]BV_Data_An_Cour!$AR:$AR,$L$2)</f>
        <v>0</v>
      </c>
      <c r="M452" s="26"/>
      <c r="N452" s="25"/>
      <c r="O452" s="26"/>
      <c r="P452" s="7"/>
      <c r="Q452" s="39">
        <f>SUMIFS([2]BV_Data_An_Prec!$AM:$AM,[2]BV_Data_An_Prec!$AP:$AP,$B452,[2]BV_Data_An_Prec!$AQ:$AQ,$C452,[2]BV_Data_An_Prec!$AR:$AR,$L$2)</f>
        <v>0</v>
      </c>
      <c r="R452" s="26"/>
      <c r="S452" s="39">
        <f t="shared" ref="S452:S481" si="68">L452-Q452</f>
        <v>0</v>
      </c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spans="1:40" ht="15.75" customHeight="1">
      <c r="A453" s="410" t="s">
        <v>468</v>
      </c>
      <c r="B453" s="7" t="s">
        <v>459</v>
      </c>
      <c r="C453" s="272" t="s">
        <v>41</v>
      </c>
      <c r="D453" s="54"/>
      <c r="E453" s="7"/>
      <c r="F453" s="31" t="e">
        <f>+INDEX('[2]Budget original'!$A$2:$AO$501,MATCH($A453,'[2]Budget original'!$A$2:$A$501,0),MATCH(F$2,'[2]Budget original'!$A$2:$AO$2,0))</f>
        <v>#N/A</v>
      </c>
      <c r="G453" s="56"/>
      <c r="H453" s="7"/>
      <c r="I453" s="31"/>
      <c r="J453" s="26"/>
      <c r="K453" s="7"/>
      <c r="L453" s="61">
        <f>SUMIFS([2]BV_Data_An_Cour!$AM:$AM,[2]BV_Data_An_Cour!$AP:$AP,$B453,[2]BV_Data_An_Cour!$AQ:$AQ,$C453,[2]BV_Data_An_Cour!$AR:$AR,$L$2)</f>
        <v>4410.9700000000012</v>
      </c>
      <c r="M453" s="26"/>
      <c r="N453" s="39"/>
      <c r="O453" s="26"/>
      <c r="P453" s="7"/>
      <c r="Q453" s="61">
        <f>SUMIFS([2]BV_Data_An_Prec!$AM:$AM,[2]BV_Data_An_Prec!$AP:$AP,$B453,[2]BV_Data_An_Prec!$AQ:$AQ,$C453,[2]BV_Data_An_Prec!$AR:$AR,$L$2)</f>
        <v>0</v>
      </c>
      <c r="R453" s="26"/>
      <c r="S453" s="39">
        <f t="shared" si="68"/>
        <v>4410.9700000000012</v>
      </c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spans="1:40" ht="15.75" customHeight="1">
      <c r="A454" s="410" t="s">
        <v>469</v>
      </c>
      <c r="B454" s="7" t="s">
        <v>459</v>
      </c>
      <c r="C454" s="271" t="s">
        <v>42</v>
      </c>
      <c r="D454" s="68"/>
      <c r="E454" s="69"/>
      <c r="F454" s="19" t="e">
        <f>+INDEX('[2]Budget original'!$A$2:$AO$501,MATCH($A454,'[2]Budget original'!$A$2:$A$501,0),MATCH(F$2,'[2]Budget original'!$A$2:$AO$2,0))</f>
        <v>#N/A</v>
      </c>
      <c r="G454" s="70"/>
      <c r="H454" s="69"/>
      <c r="I454" s="19"/>
      <c r="J454" s="71"/>
      <c r="K454" s="69"/>
      <c r="L454" s="39">
        <f>SUMIFS([2]BV_Data_An_Cour!$AM:$AM,[2]BV_Data_An_Cour!$AP:$AP,$B454,[2]BV_Data_An_Cour!$AQ:$AQ,$C454,[2]BV_Data_An_Cour!$AR:$AR,$L$2)</f>
        <v>375</v>
      </c>
      <c r="M454" s="71"/>
      <c r="N454" s="72"/>
      <c r="O454" s="71"/>
      <c r="P454" s="69"/>
      <c r="Q454" s="39">
        <f>SUMIFS([2]BV_Data_An_Prec!$AM:$AM,[2]BV_Data_An_Prec!$AP:$AP,$B454,[2]BV_Data_An_Prec!$AQ:$AQ,$C454,[2]BV_Data_An_Prec!$AR:$AR,$L$2)</f>
        <v>0</v>
      </c>
      <c r="R454" s="71"/>
      <c r="S454" s="72">
        <f t="shared" si="68"/>
        <v>375</v>
      </c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spans="1:40" ht="15.75" customHeight="1">
      <c r="A455" s="410" t="s">
        <v>470</v>
      </c>
      <c r="B455" s="7" t="s">
        <v>459</v>
      </c>
      <c r="C455" s="271" t="s">
        <v>43</v>
      </c>
      <c r="D455" s="54"/>
      <c r="E455" s="7"/>
      <c r="F455" s="19" t="e">
        <f>+INDEX('[2]Budget original'!$A$2:$AO$501,MATCH($A455,'[2]Budget original'!$A$2:$A$501,0),MATCH(F$2,'[2]Budget original'!$A$2:$AO$2,0))</f>
        <v>#N/A</v>
      </c>
      <c r="G455" s="56"/>
      <c r="H455" s="7"/>
      <c r="I455" s="19"/>
      <c r="J455" s="26"/>
      <c r="K455" s="7"/>
      <c r="L455" s="39">
        <f>SUMIFS([2]BV_Data_An_Cour!$AM:$AM,[2]BV_Data_An_Cour!$AP:$AP,$B455,[2]BV_Data_An_Cour!$AQ:$AQ,$C455,[2]BV_Data_An_Cour!$AR:$AR,$L$2)</f>
        <v>0</v>
      </c>
      <c r="M455" s="26"/>
      <c r="N455" s="39"/>
      <c r="O455" s="26"/>
      <c r="P455" s="7"/>
      <c r="Q455" s="39">
        <f>SUMIFS([2]BV_Data_An_Prec!$AM:$AM,[2]BV_Data_An_Prec!$AP:$AP,$B455,[2]BV_Data_An_Prec!$AQ:$AQ,$C455,[2]BV_Data_An_Prec!$AR:$AR,$L$2)</f>
        <v>0</v>
      </c>
      <c r="R455" s="26"/>
      <c r="S455" s="39">
        <f t="shared" si="68"/>
        <v>0</v>
      </c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spans="1:40" ht="20.399999999999999" hidden="1" customHeight="1">
      <c r="A456" s="410" t="s">
        <v>471</v>
      </c>
      <c r="B456" s="7" t="s">
        <v>459</v>
      </c>
      <c r="C456" s="26" t="s">
        <v>19</v>
      </c>
      <c r="D456" s="54"/>
      <c r="E456" s="7"/>
      <c r="F456" s="19" t="e">
        <f>+INDEX('[2]Budget original'!$A$2:$AO$501,MATCH($A456,'[2]Budget original'!$A$2:$A$501,0),MATCH(F$2,'[2]Budget original'!$A$2:$AO$2,0))</f>
        <v>#N/A</v>
      </c>
      <c r="G456" s="56"/>
      <c r="H456" s="7"/>
      <c r="I456" s="19"/>
      <c r="J456" s="26"/>
      <c r="K456" s="7"/>
      <c r="L456" s="39">
        <f>SUMIFS([2]BV_Data_An_Cour!$AM:$AM,[2]BV_Data_An_Cour!$AP:$AP,$B456,[2]BV_Data_An_Cour!$AQ:$AQ,$C456,[2]BV_Data_An_Cour!$AR:$AR,$L$2)</f>
        <v>0</v>
      </c>
      <c r="M456" s="26"/>
      <c r="N456" s="39"/>
      <c r="O456" s="26"/>
      <c r="P456" s="7"/>
      <c r="Q456" s="39">
        <f>SUMIFS([2]BV_Data_An_Prec!$AM:$AM,[2]BV_Data_An_Prec!$AP:$AP,$B456,[2]BV_Data_An_Prec!$AQ:$AQ,$C456,[2]BV_Data_An_Prec!$AR:$AR,$L$2)</f>
        <v>0</v>
      </c>
      <c r="R456" s="26"/>
      <c r="S456" s="39">
        <f t="shared" si="68"/>
        <v>0</v>
      </c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spans="1:40" ht="20.399999999999999" hidden="1" customHeight="1">
      <c r="A457" s="410" t="s">
        <v>471</v>
      </c>
      <c r="B457" s="7" t="s">
        <v>459</v>
      </c>
      <c r="C457" s="26" t="s">
        <v>19</v>
      </c>
      <c r="D457" s="54"/>
      <c r="E457" s="7"/>
      <c r="F457" s="19" t="e">
        <f>+INDEX('[2]Budget original'!$A$2:$AO$501,MATCH($A457,'[2]Budget original'!$A$2:$A$501,0),MATCH(F$2,'[2]Budget original'!$A$2:$AO$2,0))</f>
        <v>#N/A</v>
      </c>
      <c r="G457" s="56"/>
      <c r="H457" s="7"/>
      <c r="I457" s="19"/>
      <c r="J457" s="26"/>
      <c r="K457" s="7"/>
      <c r="L457" s="39">
        <f>SUMIFS([2]BV_Data_An_Cour!$AM:$AM,[2]BV_Data_An_Cour!$AP:$AP,$B457,[2]BV_Data_An_Cour!$AQ:$AQ,$C457,[2]BV_Data_An_Cour!$AR:$AR,$L$2)</f>
        <v>0</v>
      </c>
      <c r="M457" s="26"/>
      <c r="N457" s="39"/>
      <c r="O457" s="26"/>
      <c r="P457" s="7"/>
      <c r="Q457" s="39">
        <f>SUMIFS([2]BV_Data_An_Prec!$AM:$AM,[2]BV_Data_An_Prec!$AP:$AP,$B457,[2]BV_Data_An_Prec!$AQ:$AQ,$C457,[2]BV_Data_An_Prec!$AR:$AR,$L$2)</f>
        <v>0</v>
      </c>
      <c r="R457" s="26"/>
      <c r="S457" s="39">
        <f t="shared" si="68"/>
        <v>0</v>
      </c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spans="1:40" ht="20.399999999999999" hidden="1" customHeight="1">
      <c r="A458" s="410" t="s">
        <v>471</v>
      </c>
      <c r="B458" s="7" t="s">
        <v>459</v>
      </c>
      <c r="C458" s="26" t="s">
        <v>19</v>
      </c>
      <c r="D458" s="54"/>
      <c r="E458" s="7"/>
      <c r="F458" s="19" t="e">
        <f>+INDEX('[2]Budget original'!$A$2:$AO$501,MATCH($A458,'[2]Budget original'!$A$2:$A$501,0),MATCH(F$2,'[2]Budget original'!$A$2:$AO$2,0))</f>
        <v>#N/A</v>
      </c>
      <c r="G458" s="56"/>
      <c r="H458" s="7"/>
      <c r="I458" s="19"/>
      <c r="J458" s="26"/>
      <c r="K458" s="7"/>
      <c r="L458" s="39">
        <f>SUMIFS([2]BV_Data_An_Cour!$AM:$AM,[2]BV_Data_An_Cour!$AP:$AP,$B458,[2]BV_Data_An_Cour!$AQ:$AQ,$C458,[2]BV_Data_An_Cour!$AR:$AR,$L$2)</f>
        <v>0</v>
      </c>
      <c r="M458" s="26"/>
      <c r="N458" s="39"/>
      <c r="O458" s="26"/>
      <c r="P458" s="7"/>
      <c r="Q458" s="39">
        <f>SUMIFS([2]BV_Data_An_Prec!$AM:$AM,[2]BV_Data_An_Prec!$AP:$AP,$B458,[2]BV_Data_An_Prec!$AQ:$AQ,$C458,[2]BV_Data_An_Prec!$AR:$AR,$L$2)</f>
        <v>0</v>
      </c>
      <c r="R458" s="26"/>
      <c r="S458" s="39">
        <f t="shared" si="68"/>
        <v>0</v>
      </c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spans="1:40" ht="15.75" customHeight="1">
      <c r="A459" s="410" t="s">
        <v>472</v>
      </c>
      <c r="B459" s="7" t="s">
        <v>459</v>
      </c>
      <c r="C459" s="272" t="s">
        <v>44</v>
      </c>
      <c r="D459" s="54"/>
      <c r="E459" s="7"/>
      <c r="F459" s="31" t="e">
        <f>+INDEX('[2]Budget original'!$A$2:$AO$501,MATCH($A459,'[2]Budget original'!$A$2:$A$501,0),MATCH(F$2,'[2]Budget original'!$A$2:$AO$2,0))</f>
        <v>#N/A</v>
      </c>
      <c r="G459" s="56"/>
      <c r="H459" s="7"/>
      <c r="I459" s="31"/>
      <c r="J459" s="26"/>
      <c r="K459" s="7"/>
      <c r="L459" s="61">
        <f>SUMIFS([2]BV_Data_An_Cour!$AM:$AM,[2]BV_Data_An_Cour!$AP:$AP,$B459,[2]BV_Data_An_Cour!$AQ:$AQ,$C459,[2]BV_Data_An_Cour!$AR:$AR,$L$2)</f>
        <v>3742.17</v>
      </c>
      <c r="M459" s="26"/>
      <c r="N459" s="39"/>
      <c r="O459" s="26"/>
      <c r="P459" s="7"/>
      <c r="Q459" s="61">
        <f>SUMIFS([2]BV_Data_An_Prec!$AM:$AM,[2]BV_Data_An_Prec!$AP:$AP,$B459,[2]BV_Data_An_Prec!$AQ:$AQ,$C459,[2]BV_Data_An_Prec!$AR:$AR,$L$2)</f>
        <v>0</v>
      </c>
      <c r="R459" s="26"/>
      <c r="S459" s="39">
        <f t="shared" si="68"/>
        <v>3742.17</v>
      </c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spans="1:40" ht="15.75" customHeight="1">
      <c r="A460" s="410" t="s">
        <v>473</v>
      </c>
      <c r="B460" s="7" t="s">
        <v>459</v>
      </c>
      <c r="C460" s="271" t="s">
        <v>45</v>
      </c>
      <c r="D460" s="68"/>
      <c r="E460" s="69"/>
      <c r="F460" s="19" t="e">
        <f>+INDEX('[2]Budget original'!$A$2:$AO$501,MATCH($A460,'[2]Budget original'!$A$2:$A$501,0),MATCH(F$2,'[2]Budget original'!$A$2:$AO$2,0))</f>
        <v>#N/A</v>
      </c>
      <c r="G460" s="70"/>
      <c r="H460" s="69"/>
      <c r="I460" s="19"/>
      <c r="J460" s="71"/>
      <c r="K460" s="69"/>
      <c r="L460" s="39">
        <f>SUMIFS([2]BV_Data_An_Cour!$AM:$AM,[2]BV_Data_An_Cour!$AP:$AP,$B460,[2]BV_Data_An_Cour!$AQ:$AQ,$C460,[2]BV_Data_An_Cour!$AR:$AR,$L$2)</f>
        <v>4901.619999999999</v>
      </c>
      <c r="M460" s="71"/>
      <c r="N460" s="72"/>
      <c r="O460" s="71"/>
      <c r="P460" s="69"/>
      <c r="Q460" s="39">
        <f>SUMIFS([2]BV_Data_An_Prec!$AM:$AM,[2]BV_Data_An_Prec!$AP:$AP,$B460,[2]BV_Data_An_Prec!$AQ:$AQ,$C460,[2]BV_Data_An_Prec!$AR:$AR,$L$2)</f>
        <v>0</v>
      </c>
      <c r="R460" s="71"/>
      <c r="S460" s="72">
        <f t="shared" si="68"/>
        <v>4901.619999999999</v>
      </c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spans="1:40" ht="15.75" customHeight="1">
      <c r="A461" s="410" t="s">
        <v>474</v>
      </c>
      <c r="B461" s="7" t="s">
        <v>459</v>
      </c>
      <c r="C461" s="271" t="s">
        <v>46</v>
      </c>
      <c r="D461" s="54"/>
      <c r="E461" s="7"/>
      <c r="F461" s="19" t="e">
        <f>+INDEX('[2]Budget original'!$A$2:$AO$501,MATCH($A461,'[2]Budget original'!$A$2:$A$501,0),MATCH(F$2,'[2]Budget original'!$A$2:$AO$2,0))</f>
        <v>#N/A</v>
      </c>
      <c r="G461" s="56"/>
      <c r="H461" s="7"/>
      <c r="I461" s="19"/>
      <c r="J461" s="26"/>
      <c r="K461" s="7"/>
      <c r="L461" s="39">
        <f>SUMIFS([2]BV_Data_An_Cour!$AM:$AM,[2]BV_Data_An_Cour!$AP:$AP,$B461,[2]BV_Data_An_Cour!$AQ:$AQ,$C461,[2]BV_Data_An_Cour!$AR:$AR,$L$2)</f>
        <v>1280.1999999999998</v>
      </c>
      <c r="M461" s="26"/>
      <c r="N461" s="39"/>
      <c r="O461" s="26"/>
      <c r="P461" s="7"/>
      <c r="Q461" s="39">
        <f>SUMIFS([2]BV_Data_An_Prec!$AM:$AM,[2]BV_Data_An_Prec!$AP:$AP,$B461,[2]BV_Data_An_Prec!$AQ:$AQ,$C461,[2]BV_Data_An_Prec!$AR:$AR,$L$2)</f>
        <v>0</v>
      </c>
      <c r="R461" s="26"/>
      <c r="S461" s="39">
        <f t="shared" si="68"/>
        <v>1280.1999999999998</v>
      </c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spans="1:40" ht="15.75" customHeight="1">
      <c r="A462" s="410" t="s">
        <v>475</v>
      </c>
      <c r="B462" s="7" t="s">
        <v>459</v>
      </c>
      <c r="C462" s="271" t="s">
        <v>47</v>
      </c>
      <c r="D462" s="54"/>
      <c r="E462" s="7"/>
      <c r="F462" s="19" t="e">
        <f>+INDEX('[2]Budget original'!$A$2:$AO$501,MATCH($A462,'[2]Budget original'!$A$2:$A$501,0),MATCH(F$2,'[2]Budget original'!$A$2:$AO$2,0))</f>
        <v>#N/A</v>
      </c>
      <c r="G462" s="56"/>
      <c r="H462" s="7"/>
      <c r="I462" s="19"/>
      <c r="J462" s="26"/>
      <c r="K462" s="7"/>
      <c r="L462" s="39">
        <f>SUMIFS([2]BV_Data_An_Cour!$AM:$AM,[2]BV_Data_An_Cour!$AP:$AP,$B462,[2]BV_Data_An_Cour!$AQ:$AQ,$C462,[2]BV_Data_An_Cour!$AR:$AR,$L$2)</f>
        <v>647.62999999999988</v>
      </c>
      <c r="M462" s="26"/>
      <c r="N462" s="39"/>
      <c r="O462" s="26"/>
      <c r="P462" s="7"/>
      <c r="Q462" s="39">
        <f>SUMIFS([2]BV_Data_An_Prec!$AM:$AM,[2]BV_Data_An_Prec!$AP:$AP,$B462,[2]BV_Data_An_Prec!$AQ:$AQ,$C462,[2]BV_Data_An_Prec!$AR:$AR,$L$2)</f>
        <v>0</v>
      </c>
      <c r="R462" s="26"/>
      <c r="S462" s="39">
        <f t="shared" si="68"/>
        <v>647.62999999999988</v>
      </c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spans="1:40" ht="20.399999999999999" hidden="1" customHeight="1">
      <c r="A463" s="410" t="s">
        <v>471</v>
      </c>
      <c r="B463" s="7" t="s">
        <v>459</v>
      </c>
      <c r="C463" s="26" t="s">
        <v>19</v>
      </c>
      <c r="D463" s="57"/>
      <c r="E463" s="73"/>
      <c r="F463" s="19" t="e">
        <f>+INDEX('[2]Budget original'!$A$2:$AO$501,MATCH($A463,'[2]Budget original'!$A$2:$A$501,0),MATCH(F$2,'[2]Budget original'!$A$2:$AO$2,0))</f>
        <v>#N/A</v>
      </c>
      <c r="G463" s="59"/>
      <c r="H463" s="73"/>
      <c r="I463" s="19"/>
      <c r="J463" s="14"/>
      <c r="K463" s="73"/>
      <c r="L463" s="39">
        <f>-SUMIFS([2]BV_Data_An_Cour!$AM:$AM,[2]BV_Data_An_Cour!$AP:$AP,$B463,[2]BV_Data_An_Cour!$AQ:$AQ,$C463,[2]BV_Data_An_Cour!$AR:$AR,$L$2)</f>
        <v>0</v>
      </c>
      <c r="M463" s="14"/>
      <c r="N463" s="61"/>
      <c r="O463" s="14"/>
      <c r="P463" s="73"/>
      <c r="Q463" s="39">
        <f>-SUMIFS([2]BV_Data_An_Prec!$AM:$AM,[2]BV_Data_An_Prec!$AP:$AP,$B463,[2]BV_Data_An_Prec!$AQ:$AQ,$C463,[2]BV_Data_An_Prec!$AR:$AR,$L$2)</f>
        <v>0</v>
      </c>
      <c r="R463" s="14"/>
      <c r="S463" s="61">
        <f t="shared" si="68"/>
        <v>0</v>
      </c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spans="1:40" ht="18.600000000000001" customHeight="1">
      <c r="A464" s="410" t="s">
        <v>476</v>
      </c>
      <c r="B464" s="7" t="s">
        <v>459</v>
      </c>
      <c r="C464" s="139" t="s">
        <v>48</v>
      </c>
      <c r="D464" s="62" t="s">
        <v>38</v>
      </c>
      <c r="E464" s="63">
        <f>IFERROR(F464/F$448,0)</f>
        <v>0</v>
      </c>
      <c r="F464" s="64" t="e">
        <f>+SUM(F452:F463)</f>
        <v>#N/A</v>
      </c>
      <c r="G464" s="65"/>
      <c r="H464" s="63"/>
      <c r="I464" s="64"/>
      <c r="J464" s="65" t="s">
        <v>38</v>
      </c>
      <c r="K464" s="63">
        <f>IFERROR(L464/L$448,0)</f>
        <v>0.30975473095516232</v>
      </c>
      <c r="L464" s="64">
        <f>+SUM(L452:L463)</f>
        <v>15357.589999999998</v>
      </c>
      <c r="M464" s="66"/>
      <c r="N464" s="64"/>
      <c r="O464" s="65" t="s">
        <v>38</v>
      </c>
      <c r="P464" s="63">
        <f>IFERROR(Q464/Q$448,0)</f>
        <v>0</v>
      </c>
      <c r="Q464" s="64">
        <f>+SUM(Q452:Q463)</f>
        <v>0</v>
      </c>
      <c r="R464" s="67"/>
      <c r="S464" s="64">
        <f t="shared" si="68"/>
        <v>15357.589999999998</v>
      </c>
      <c r="T464" s="6"/>
      <c r="U464" s="6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spans="1:40" ht="15.75" customHeight="1">
      <c r="A465" s="410" t="s">
        <v>477</v>
      </c>
      <c r="B465" s="7" t="s">
        <v>459</v>
      </c>
      <c r="C465" s="329" t="s">
        <v>49</v>
      </c>
      <c r="D465" s="54"/>
      <c r="E465" s="7"/>
      <c r="F465" s="19" t="e">
        <f>+INDEX('[2]Budget original'!$A$2:$AO$501,MATCH($A465,'[2]Budget original'!$A$2:$A$501,0),MATCH(F$2,'[2]Budget original'!$A$2:$AO$2,0))</f>
        <v>#N/A</v>
      </c>
      <c r="G465" s="56"/>
      <c r="H465" s="7"/>
      <c r="I465" s="19"/>
      <c r="J465" s="26"/>
      <c r="K465" s="7"/>
      <c r="L465" s="39">
        <f>SUMIFS([2]BV_Data_An_Cour!$AM:$AM,[2]BV_Data_An_Cour!$AP:$AP,$B465,[2]BV_Data_An_Cour!$AQ:$AQ,$C465,[2]BV_Data_An_Cour!$AR:$AR,$L$2)</f>
        <v>0</v>
      </c>
      <c r="M465" s="26"/>
      <c r="N465" s="39"/>
      <c r="O465" s="26"/>
      <c r="P465" s="7"/>
      <c r="Q465" s="39">
        <f>SUMIFS([2]BV_Data_An_Prec!$AM:$AM,[2]BV_Data_An_Prec!$AP:$AP,$B465,[2]BV_Data_An_Prec!$AQ:$AQ,$C465,[2]BV_Data_An_Prec!$AR:$AR,$L$2)</f>
        <v>0</v>
      </c>
      <c r="R465" s="26"/>
      <c r="S465" s="39">
        <f t="shared" si="68"/>
        <v>0</v>
      </c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spans="1:40" ht="15.75" customHeight="1">
      <c r="A466" s="410" t="s">
        <v>478</v>
      </c>
      <c r="B466" s="7" t="s">
        <v>459</v>
      </c>
      <c r="C466" s="271" t="s">
        <v>50</v>
      </c>
      <c r="D466" s="54"/>
      <c r="E466" s="7"/>
      <c r="F466" s="19" t="e">
        <f>+INDEX('[2]Budget original'!$A$2:$AO$501,MATCH($A466,'[2]Budget original'!$A$2:$A$501,0),MATCH(F$2,'[2]Budget original'!$A$2:$AO$2,0))</f>
        <v>#N/A</v>
      </c>
      <c r="G466" s="56"/>
      <c r="H466" s="7"/>
      <c r="I466" s="19"/>
      <c r="J466" s="26"/>
      <c r="K466" s="7"/>
      <c r="L466" s="39">
        <f>SUMIFS([2]BV_Data_An_Cour!$AM:$AM,[2]BV_Data_An_Cour!$AP:$AP,$B466,[2]BV_Data_An_Cour!$AQ:$AQ,$C466,[2]BV_Data_An_Cour!$AR:$AR,$L$2)</f>
        <v>0</v>
      </c>
      <c r="M466" s="26"/>
      <c r="N466" s="39"/>
      <c r="O466" s="26"/>
      <c r="P466" s="7"/>
      <c r="Q466" s="39">
        <f>SUMIFS([2]BV_Data_An_Prec!$AM:$AM,[2]BV_Data_An_Prec!$AP:$AP,$B466,[2]BV_Data_An_Prec!$AQ:$AQ,$C466,[2]BV_Data_An_Prec!$AR:$AR,$L$2)</f>
        <v>0</v>
      </c>
      <c r="R466" s="26"/>
      <c r="S466" s="39">
        <f t="shared" si="68"/>
        <v>0</v>
      </c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spans="1:40" ht="15.75" customHeight="1">
      <c r="A467" s="410" t="s">
        <v>479</v>
      </c>
      <c r="B467" s="7" t="s">
        <v>459</v>
      </c>
      <c r="C467" s="272" t="s">
        <v>51</v>
      </c>
      <c r="D467" s="57"/>
      <c r="E467" s="73"/>
      <c r="F467" s="31" t="e">
        <f>+INDEX('[2]Budget original'!$A$2:$AO$501,MATCH($A467,'[2]Budget original'!$A$2:$A$501,0),MATCH(F$2,'[2]Budget original'!$A$2:$AO$2,0))</f>
        <v>#N/A</v>
      </c>
      <c r="G467" s="59"/>
      <c r="H467" s="73"/>
      <c r="I467" s="31"/>
      <c r="J467" s="14"/>
      <c r="K467" s="73"/>
      <c r="L467" s="61">
        <f>SUMIFS([2]BV_Data_An_Cour!$AM:$AM,[2]BV_Data_An_Cour!$AP:$AP,$B467,[2]BV_Data_An_Cour!$AQ:$AQ,$C467,[2]BV_Data_An_Cour!$AR:$AR,$L$2)</f>
        <v>0</v>
      </c>
      <c r="M467" s="14"/>
      <c r="N467" s="61"/>
      <c r="O467" s="14"/>
      <c r="P467" s="73"/>
      <c r="Q467" s="61">
        <f>SUMIFS([2]BV_Data_An_Prec!$AM:$AM,[2]BV_Data_An_Prec!$AP:$AP,$B467,[2]BV_Data_An_Prec!$AQ:$AQ,$C467,[2]BV_Data_An_Prec!$AR:$AR,$L$2)</f>
        <v>0</v>
      </c>
      <c r="R467" s="14"/>
      <c r="S467" s="61">
        <f t="shared" si="68"/>
        <v>0</v>
      </c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spans="1:40" ht="15.75" customHeight="1">
      <c r="A468" s="410" t="s">
        <v>480</v>
      </c>
      <c r="B468" s="7" t="s">
        <v>459</v>
      </c>
      <c r="C468" s="271" t="s">
        <v>52</v>
      </c>
      <c r="D468" s="54"/>
      <c r="E468" s="7"/>
      <c r="F468" s="19" t="e">
        <f>+INDEX('[2]Budget original'!$A$2:$AO$501,MATCH($A468,'[2]Budget original'!$A$2:$A$501,0),MATCH(F$2,'[2]Budget original'!$A$2:$AO$2,0))</f>
        <v>#N/A</v>
      </c>
      <c r="G468" s="56"/>
      <c r="H468" s="7"/>
      <c r="I468" s="19"/>
      <c r="J468" s="26"/>
      <c r="K468" s="7"/>
      <c r="L468" s="39">
        <f>SUMIFS([2]BV_Data_An_Cour!$AM:$AM,[2]BV_Data_An_Cour!$AP:$AP,$B468,[2]BV_Data_An_Cour!$AQ:$AQ,$C468,[2]BV_Data_An_Cour!$AR:$AR,$L$2)</f>
        <v>0</v>
      </c>
      <c r="M468" s="26"/>
      <c r="N468" s="39"/>
      <c r="O468" s="26"/>
      <c r="P468" s="7"/>
      <c r="Q468" s="39">
        <f>SUMIFS([2]BV_Data_An_Prec!$AM:$AM,[2]BV_Data_An_Prec!$AP:$AP,$B468,[2]BV_Data_An_Prec!$AQ:$AQ,$C468,[2]BV_Data_An_Prec!$AR:$AR,$L$2)</f>
        <v>0</v>
      </c>
      <c r="R468" s="26"/>
      <c r="S468" s="39">
        <f t="shared" si="68"/>
        <v>0</v>
      </c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spans="1:40" ht="15.75" customHeight="1">
      <c r="A469" s="410" t="s">
        <v>481</v>
      </c>
      <c r="B469" s="7" t="s">
        <v>459</v>
      </c>
      <c r="C469" s="271" t="s">
        <v>53</v>
      </c>
      <c r="D469" s="54"/>
      <c r="E469" s="7"/>
      <c r="F469" s="19" t="e">
        <f>+INDEX('[2]Budget original'!$A$2:$AO$501,MATCH($A469,'[2]Budget original'!$A$2:$A$501,0),MATCH(F$2,'[2]Budget original'!$A$2:$AO$2,0))</f>
        <v>#N/A</v>
      </c>
      <c r="G469" s="56"/>
      <c r="H469" s="7"/>
      <c r="I469" s="19"/>
      <c r="J469" s="26"/>
      <c r="K469" s="7"/>
      <c r="L469" s="39">
        <f>SUMIFS([2]BV_Data_An_Cour!$AM:$AM,[2]BV_Data_An_Cour!$AP:$AP,$B469,[2]BV_Data_An_Cour!$AQ:$AQ,$C469,[2]BV_Data_An_Cour!$AR:$AR,$L$2)</f>
        <v>0</v>
      </c>
      <c r="M469" s="26"/>
      <c r="N469" s="39"/>
      <c r="O469" s="26"/>
      <c r="P469" s="7"/>
      <c r="Q469" s="39">
        <f>SUMIFS([2]BV_Data_An_Prec!$AM:$AM,[2]BV_Data_An_Prec!$AP:$AP,$B469,[2]BV_Data_An_Prec!$AQ:$AQ,$C469,[2]BV_Data_An_Prec!$AR:$AR,$L$2)</f>
        <v>0</v>
      </c>
      <c r="R469" s="26"/>
      <c r="S469" s="39">
        <f t="shared" si="68"/>
        <v>0</v>
      </c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spans="1:40" ht="15.75" customHeight="1">
      <c r="A470" s="410" t="s">
        <v>482</v>
      </c>
      <c r="B470" s="7" t="s">
        <v>459</v>
      </c>
      <c r="C470" s="271" t="s">
        <v>54</v>
      </c>
      <c r="D470" s="57"/>
      <c r="E470" s="73"/>
      <c r="F470" s="31" t="e">
        <f>+INDEX('[2]Budget original'!$A$2:$AO$501,MATCH($A470,'[2]Budget original'!$A$2:$A$501,0),MATCH(F$2,'[2]Budget original'!$A$2:$AO$2,0))</f>
        <v>#N/A</v>
      </c>
      <c r="G470" s="59"/>
      <c r="H470" s="73"/>
      <c r="I470" s="31"/>
      <c r="J470" s="14"/>
      <c r="K470" s="73"/>
      <c r="L470" s="61">
        <f>SUMIFS([2]BV_Data_An_Cour!$AM:$AM,[2]BV_Data_An_Cour!$AP:$AP,$B470,[2]BV_Data_An_Cour!$AQ:$AQ,$C470,[2]BV_Data_An_Cour!$AR:$AR,$L$2)</f>
        <v>0</v>
      </c>
      <c r="M470" s="14"/>
      <c r="N470" s="61"/>
      <c r="O470" s="14"/>
      <c r="P470" s="73"/>
      <c r="Q470" s="61">
        <f>SUMIFS([2]BV_Data_An_Prec!$AM:$AM,[2]BV_Data_An_Prec!$AP:$AP,$B470,[2]BV_Data_An_Prec!$AQ:$AQ,$C470,[2]BV_Data_An_Prec!$AR:$AR,$L$2)</f>
        <v>0</v>
      </c>
      <c r="R470" s="14"/>
      <c r="S470" s="61">
        <f t="shared" si="68"/>
        <v>0</v>
      </c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spans="1:40" ht="20.25" customHeight="1">
      <c r="A471" s="410" t="s">
        <v>483</v>
      </c>
      <c r="B471" s="7" t="s">
        <v>459</v>
      </c>
      <c r="C471" s="329" t="s">
        <v>55</v>
      </c>
      <c r="D471" s="54"/>
      <c r="E471" s="7"/>
      <c r="F471" s="19" t="e">
        <f>+INDEX('[2]Budget original'!$A$2:$AO$501,MATCH($A471,'[2]Budget original'!$A$2:$A$501,0),MATCH(F$2,'[2]Budget original'!$A$2:$AO$2,0))</f>
        <v>#N/A</v>
      </c>
      <c r="G471" s="56"/>
      <c r="H471" s="7"/>
      <c r="I471" s="19"/>
      <c r="J471" s="26"/>
      <c r="K471" s="7"/>
      <c r="L471" s="39">
        <f>SUMIFS([2]BV_Data_An_Cour!$AM:$AM,[2]BV_Data_An_Cour!$AP:$AP,$B471,[2]BV_Data_An_Cour!$AQ:$AQ,$C471,[2]BV_Data_An_Cour!$AR:$AR,$L$2)</f>
        <v>0</v>
      </c>
      <c r="M471" s="26"/>
      <c r="N471" s="39"/>
      <c r="O471" s="26"/>
      <c r="P471" s="7"/>
      <c r="Q471" s="39">
        <f>SUMIFS([2]BV_Data_An_Prec!$AM:$AM,[2]BV_Data_An_Prec!$AP:$AP,$B471,[2]BV_Data_An_Prec!$AQ:$AQ,$C471,[2]BV_Data_An_Prec!$AR:$AR,$L$2)</f>
        <v>0</v>
      </c>
      <c r="R471" s="26"/>
      <c r="S471" s="39">
        <f t="shared" si="68"/>
        <v>0</v>
      </c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spans="1:40" ht="20.25" customHeight="1">
      <c r="A472" s="410" t="s">
        <v>484</v>
      </c>
      <c r="B472" s="7" t="s">
        <v>459</v>
      </c>
      <c r="C472" s="271" t="s">
        <v>56</v>
      </c>
      <c r="D472" s="54"/>
      <c r="E472" s="7"/>
      <c r="F472" s="19" t="e">
        <f>+INDEX('[2]Budget original'!$A$2:$AO$501,MATCH($A472,'[2]Budget original'!$A$2:$A$501,0),MATCH(F$2,'[2]Budget original'!$A$2:$AO$2,0))</f>
        <v>#N/A</v>
      </c>
      <c r="G472" s="56"/>
      <c r="H472" s="7"/>
      <c r="I472" s="19"/>
      <c r="J472" s="26"/>
      <c r="K472" s="7"/>
      <c r="L472" s="39">
        <f>SUMIFS([2]BV_Data_An_Cour!$AM:$AM,[2]BV_Data_An_Cour!$AP:$AP,$B472,[2]BV_Data_An_Cour!$AQ:$AQ,$C472,[2]BV_Data_An_Cour!$AR:$AR,$L$2)</f>
        <v>435.59</v>
      </c>
      <c r="M472" s="26"/>
      <c r="N472" s="39"/>
      <c r="O472" s="26"/>
      <c r="P472" s="7"/>
      <c r="Q472" s="39">
        <f>SUMIFS([2]BV_Data_An_Prec!$AM:$AM,[2]BV_Data_An_Prec!$AP:$AP,$B472,[2]BV_Data_An_Prec!$AQ:$AQ,$C472,[2]BV_Data_An_Prec!$AR:$AR,$L$2)</f>
        <v>0</v>
      </c>
      <c r="R472" s="26"/>
      <c r="S472" s="39">
        <f t="shared" si="68"/>
        <v>435.59</v>
      </c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spans="1:40" ht="20.25" customHeight="1">
      <c r="A473" s="410" t="s">
        <v>485</v>
      </c>
      <c r="B473" s="7" t="s">
        <v>459</v>
      </c>
      <c r="C473" s="271" t="s">
        <v>57</v>
      </c>
      <c r="D473" s="54"/>
      <c r="E473" s="7"/>
      <c r="F473" s="19" t="e">
        <f>+INDEX('[2]Budget original'!$A$2:$AO$501,MATCH($A473,'[2]Budget original'!$A$2:$A$501,0),MATCH(F$2,'[2]Budget original'!$A$2:$AO$2,0))</f>
        <v>#N/A</v>
      </c>
      <c r="G473" s="56"/>
      <c r="H473" s="7"/>
      <c r="I473" s="19"/>
      <c r="J473" s="26"/>
      <c r="K473" s="7"/>
      <c r="L473" s="39">
        <f>SUMIFS([2]BV_Data_An_Cour!$AM:$AM,[2]BV_Data_An_Cour!$AP:$AP,$B473,[2]BV_Data_An_Cour!$AQ:$AQ,$C473,[2]BV_Data_An_Cour!$AR:$AR,$L$2)</f>
        <v>0</v>
      </c>
      <c r="M473" s="26"/>
      <c r="N473" s="39"/>
      <c r="O473" s="26"/>
      <c r="P473" s="7"/>
      <c r="Q473" s="39">
        <f>SUMIFS([2]BV_Data_An_Prec!$AM:$AM,[2]BV_Data_An_Prec!$AP:$AP,$B473,[2]BV_Data_An_Prec!$AQ:$AQ,$C473,[2]BV_Data_An_Prec!$AR:$AR,$L$2)</f>
        <v>0</v>
      </c>
      <c r="R473" s="26"/>
      <c r="S473" s="39">
        <f t="shared" si="68"/>
        <v>0</v>
      </c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spans="1:40" ht="20.25" customHeight="1">
      <c r="A474" s="410" t="s">
        <v>486</v>
      </c>
      <c r="B474" s="7" t="s">
        <v>459</v>
      </c>
      <c r="C474" s="271" t="s">
        <v>58</v>
      </c>
      <c r="D474" s="54"/>
      <c r="E474" s="7"/>
      <c r="F474" s="19" t="e">
        <f>+INDEX('[2]Budget original'!$A$2:$AO$501,MATCH($A474,'[2]Budget original'!$A$2:$A$501,0),MATCH(F$2,'[2]Budget original'!$A$2:$AO$2,0))</f>
        <v>#N/A</v>
      </c>
      <c r="G474" s="56"/>
      <c r="H474" s="7"/>
      <c r="I474" s="19"/>
      <c r="J474" s="26"/>
      <c r="K474" s="7"/>
      <c r="L474" s="39">
        <f>SUMIFS([2]BV_Data_An_Cour!$AM:$AM,[2]BV_Data_An_Cour!$AP:$AP,$B474,[2]BV_Data_An_Cour!$AQ:$AQ,$C474,[2]BV_Data_An_Cour!$AR:$AR,$L$2)</f>
        <v>0</v>
      </c>
      <c r="M474" s="26"/>
      <c r="N474" s="39"/>
      <c r="O474" s="26"/>
      <c r="P474" s="7"/>
      <c r="Q474" s="39">
        <f>SUMIFS([2]BV_Data_An_Prec!$AM:$AM,[2]BV_Data_An_Prec!$AP:$AP,$B474,[2]BV_Data_An_Prec!$AQ:$AQ,$C474,[2]BV_Data_An_Prec!$AR:$AR,$L$2)</f>
        <v>0</v>
      </c>
      <c r="R474" s="26"/>
      <c r="S474" s="39">
        <f t="shared" si="68"/>
        <v>0</v>
      </c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spans="1:40" ht="20.25" customHeight="1">
      <c r="A475" s="410" t="s">
        <v>487</v>
      </c>
      <c r="B475" s="7" t="s">
        <v>459</v>
      </c>
      <c r="C475" s="271" t="s">
        <v>59</v>
      </c>
      <c r="D475" s="54"/>
      <c r="E475" s="7"/>
      <c r="F475" s="19" t="e">
        <f>+INDEX('[2]Budget original'!$A$2:$AO$501,MATCH($A475,'[2]Budget original'!$A$2:$A$501,0),MATCH(F$2,'[2]Budget original'!$A$2:$AO$2,0))</f>
        <v>#N/A</v>
      </c>
      <c r="G475" s="56"/>
      <c r="H475" s="7"/>
      <c r="I475" s="19"/>
      <c r="J475" s="26"/>
      <c r="K475" s="7"/>
      <c r="L475" s="39">
        <f>SUMIFS([2]BV_Data_An_Cour!$AM:$AM,[2]BV_Data_An_Cour!$AP:$AP,$B475,[2]BV_Data_An_Cour!$AQ:$AQ,$C475,[2]BV_Data_An_Cour!$AR:$AR,$L$2)</f>
        <v>0</v>
      </c>
      <c r="M475" s="26"/>
      <c r="N475" s="39"/>
      <c r="O475" s="26"/>
      <c r="P475" s="7"/>
      <c r="Q475" s="39">
        <f>SUMIFS([2]BV_Data_An_Prec!$AM:$AM,[2]BV_Data_An_Prec!$AP:$AP,$B475,[2]BV_Data_An_Prec!$AQ:$AQ,$C475,[2]BV_Data_An_Prec!$AR:$AR,$L$2)</f>
        <v>0</v>
      </c>
      <c r="R475" s="26"/>
      <c r="S475" s="39">
        <f t="shared" si="68"/>
        <v>0</v>
      </c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spans="1:40" ht="20.25" customHeight="1">
      <c r="A476" s="410" t="s">
        <v>488</v>
      </c>
      <c r="B476" s="7" t="s">
        <v>459</v>
      </c>
      <c r="C476" s="271" t="s">
        <v>60</v>
      </c>
      <c r="D476" s="54"/>
      <c r="E476" s="7"/>
      <c r="F476" s="19" t="e">
        <f>+INDEX('[2]Budget original'!$A$2:$AO$501,MATCH($A476,'[2]Budget original'!$A$2:$A$501,0),MATCH(F$2,'[2]Budget original'!$A$2:$AO$2,0))</f>
        <v>#N/A</v>
      </c>
      <c r="G476" s="56"/>
      <c r="H476" s="7"/>
      <c r="I476" s="19"/>
      <c r="J476" s="26"/>
      <c r="K476" s="7"/>
      <c r="L476" s="39">
        <f>SUMIFS([2]BV_Data_An_Cour!$AM:$AM,[2]BV_Data_An_Cour!$AP:$AP,$B476,[2]BV_Data_An_Cour!$AQ:$AQ,$C476,[2]BV_Data_An_Cour!$AR:$AR,$L$2)</f>
        <v>0</v>
      </c>
      <c r="M476" s="26"/>
      <c r="N476" s="39"/>
      <c r="O476" s="26"/>
      <c r="P476" s="7"/>
      <c r="Q476" s="39">
        <f>SUMIFS([2]BV_Data_An_Prec!$AM:$AM,[2]BV_Data_An_Prec!$AP:$AP,$B476,[2]BV_Data_An_Prec!$AQ:$AQ,$C476,[2]BV_Data_An_Prec!$AR:$AR,$L$2)</f>
        <v>0</v>
      </c>
      <c r="R476" s="26"/>
      <c r="S476" s="39">
        <f t="shared" si="68"/>
        <v>0</v>
      </c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spans="1:40" ht="20.25" customHeight="1">
      <c r="A477" s="410" t="s">
        <v>489</v>
      </c>
      <c r="B477" s="7" t="s">
        <v>459</v>
      </c>
      <c r="C477" s="271" t="s">
        <v>61</v>
      </c>
      <c r="D477" s="54"/>
      <c r="E477" s="7"/>
      <c r="F477" s="19" t="e">
        <f>+INDEX('[2]Budget original'!$A$2:$AO$501,MATCH($A477,'[2]Budget original'!$A$2:$A$501,0),MATCH(F$2,'[2]Budget original'!$A$2:$AO$2,0))</f>
        <v>#N/A</v>
      </c>
      <c r="G477" s="56"/>
      <c r="H477" s="7"/>
      <c r="I477" s="19"/>
      <c r="J477" s="26"/>
      <c r="K477" s="7"/>
      <c r="L477" s="39">
        <f>SUMIFS([2]BV_Data_An_Cour!$AM:$AM,[2]BV_Data_An_Cour!$AP:$AP,$B477,[2]BV_Data_An_Cour!$AQ:$AQ,$C477,[2]BV_Data_An_Cour!$AR:$AR,$L$2)</f>
        <v>0</v>
      </c>
      <c r="M477" s="26"/>
      <c r="N477" s="39"/>
      <c r="O477" s="26"/>
      <c r="P477" s="7"/>
      <c r="Q477" s="39">
        <f>SUMIFS([2]BV_Data_An_Prec!$AM:$AM,[2]BV_Data_An_Prec!$AP:$AP,$B477,[2]BV_Data_An_Prec!$AQ:$AQ,$C477,[2]BV_Data_An_Prec!$AR:$AR,$L$2)</f>
        <v>0</v>
      </c>
      <c r="R477" s="26"/>
      <c r="S477" s="39">
        <f t="shared" si="68"/>
        <v>0</v>
      </c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spans="1:40" ht="19.95" customHeight="1">
      <c r="A478" s="410" t="s">
        <v>490</v>
      </c>
      <c r="B478" s="7" t="s">
        <v>459</v>
      </c>
      <c r="C478" s="271" t="s">
        <v>62</v>
      </c>
      <c r="D478" s="54"/>
      <c r="E478" s="7"/>
      <c r="F478" s="19" t="e">
        <f>+INDEX('[2]Budget original'!$A$2:$AO$501,MATCH($A478,'[2]Budget original'!$A$2:$A$501,0),MATCH(F$2,'[2]Budget original'!$A$2:$AO$2,0))</f>
        <v>#N/A</v>
      </c>
      <c r="G478" s="56"/>
      <c r="H478" s="7"/>
      <c r="I478" s="19"/>
      <c r="J478" s="26"/>
      <c r="K478" s="7"/>
      <c r="L478" s="39">
        <f>SUMIFS([2]BV_Data_An_Cour!$AM:$AM,[2]BV_Data_An_Cour!$AP:$AP,$B478,[2]BV_Data_An_Cour!$AQ:$AQ,$C478,[2]BV_Data_An_Cour!$AR:$AR,$L$2)</f>
        <v>0</v>
      </c>
      <c r="M478" s="26"/>
      <c r="N478" s="39"/>
      <c r="O478" s="26"/>
      <c r="P478" s="7"/>
      <c r="Q478" s="39">
        <f>SUMIFS([2]BV_Data_An_Prec!$AM:$AM,[2]BV_Data_An_Prec!$AP:$AP,$B478,[2]BV_Data_An_Prec!$AQ:$AQ,$C478,[2]BV_Data_An_Prec!$AR:$AR,$L$2)</f>
        <v>0</v>
      </c>
      <c r="R478" s="26"/>
      <c r="S478" s="39">
        <f t="shared" si="68"/>
        <v>0</v>
      </c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spans="1:40" ht="20.399999999999999" hidden="1" customHeight="1">
      <c r="A479" s="410" t="s">
        <v>471</v>
      </c>
      <c r="B479" s="7" t="s">
        <v>459</v>
      </c>
      <c r="C479" s="271" t="s">
        <v>19</v>
      </c>
      <c r="D479" s="54"/>
      <c r="E479" s="7"/>
      <c r="F479" s="19" t="e">
        <f>+INDEX('[2]Budget original'!$A$2:$AO$501,MATCH($A479,'[2]Budget original'!$A$2:$A$501,0),MATCH(F$2,'[2]Budget original'!$A$2:$AO$2,0))</f>
        <v>#N/A</v>
      </c>
      <c r="G479" s="56"/>
      <c r="H479" s="7"/>
      <c r="I479" s="19"/>
      <c r="J479" s="26"/>
      <c r="K479" s="7"/>
      <c r="L479" s="39">
        <f>-SUMIFS([2]BV_Data_An_Cour!$AM:$AM,[2]BV_Data_An_Cour!$AP:$AP,$B479,[2]BV_Data_An_Cour!$AQ:$AQ,$C479,[2]BV_Data_An_Cour!$AR:$AR,$L$2)</f>
        <v>0</v>
      </c>
      <c r="M479" s="26"/>
      <c r="N479" s="39"/>
      <c r="O479" s="26"/>
      <c r="P479" s="7"/>
      <c r="Q479" s="39">
        <f>-SUMIFS([2]BV_Data_An_Prec!$AM:$AM,[2]BV_Data_An_Prec!$AP:$AP,$B479,[2]BV_Data_An_Prec!$AQ:$AQ,$C479,[2]BV_Data_An_Prec!$AR:$AR,$L$2)</f>
        <v>0</v>
      </c>
      <c r="R479" s="26"/>
      <c r="S479" s="39">
        <f t="shared" si="68"/>
        <v>0</v>
      </c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spans="1:40" ht="20.399999999999999" hidden="1" customHeight="1">
      <c r="A480" s="410" t="s">
        <v>471</v>
      </c>
      <c r="B480" s="7" t="s">
        <v>459</v>
      </c>
      <c r="C480" s="271" t="s">
        <v>19</v>
      </c>
      <c r="D480" s="54"/>
      <c r="E480" s="7"/>
      <c r="F480" s="19" t="e">
        <f>+INDEX('[2]Budget original'!$A$2:$AO$501,MATCH($A480,'[2]Budget original'!$A$2:$A$501,0),MATCH(F$2,'[2]Budget original'!$A$2:$AO$2,0))</f>
        <v>#N/A</v>
      </c>
      <c r="G480" s="56"/>
      <c r="H480" s="7"/>
      <c r="I480" s="19"/>
      <c r="J480" s="26"/>
      <c r="K480" s="7"/>
      <c r="L480" s="39">
        <f>-SUMIFS([2]BV_Data_An_Cour!$AM:$AM,[2]BV_Data_An_Cour!$AP:$AP,$B480,[2]BV_Data_An_Cour!$AQ:$AQ,$C480,[2]BV_Data_An_Cour!$AR:$AR,$L$2)</f>
        <v>0</v>
      </c>
      <c r="M480" s="26"/>
      <c r="N480" s="39"/>
      <c r="O480" s="26"/>
      <c r="P480" s="7"/>
      <c r="Q480" s="39">
        <f>-SUMIFS([2]BV_Data_An_Prec!$AM:$AM,[2]BV_Data_An_Prec!$AP:$AP,$B480,[2]BV_Data_An_Prec!$AQ:$AQ,$C480,[2]BV_Data_An_Prec!$AR:$AR,$L$2)</f>
        <v>0</v>
      </c>
      <c r="R480" s="26"/>
      <c r="S480" s="39">
        <f t="shared" si="68"/>
        <v>0</v>
      </c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spans="1:61" ht="20.399999999999999" hidden="1" customHeight="1">
      <c r="A481" s="410" t="s">
        <v>471</v>
      </c>
      <c r="B481" s="7" t="s">
        <v>459</v>
      </c>
      <c r="C481" s="271" t="s">
        <v>19</v>
      </c>
      <c r="D481" s="57"/>
      <c r="E481" s="73"/>
      <c r="F481" s="19" t="e">
        <f>+INDEX('[2]Budget original'!$A$2:$AO$501,MATCH($A481,'[2]Budget original'!$A$2:$A$501,0),MATCH(F$2,'[2]Budget original'!$A$2:$AO$2,0))</f>
        <v>#N/A</v>
      </c>
      <c r="G481" s="59"/>
      <c r="H481" s="73"/>
      <c r="I481" s="19"/>
      <c r="J481" s="14"/>
      <c r="K481" s="73"/>
      <c r="L481" s="39">
        <f>-SUMIFS([2]BV_Data_An_Cour!$AM:$AM,[2]BV_Data_An_Cour!$AP:$AP,$B481,[2]BV_Data_An_Cour!$AQ:$AQ,$C481,[2]BV_Data_An_Cour!$AR:$AR,$L$2)</f>
        <v>0</v>
      </c>
      <c r="M481" s="14"/>
      <c r="N481" s="61"/>
      <c r="O481" s="14"/>
      <c r="P481" s="73"/>
      <c r="Q481" s="39">
        <f>-SUMIFS([2]BV_Data_An_Prec!$AM:$AM,[2]BV_Data_An_Prec!$AP:$AP,$B481,[2]BV_Data_An_Prec!$AQ:$AQ,$C481,[2]BV_Data_An_Prec!$AR:$AR,$L$2)</f>
        <v>0</v>
      </c>
      <c r="R481" s="14"/>
      <c r="S481" s="61">
        <f t="shared" si="68"/>
        <v>0</v>
      </c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spans="1:61" ht="18.600000000000001" customHeight="1">
      <c r="A482" s="410"/>
      <c r="B482" s="7"/>
      <c r="C482" s="139" t="s">
        <v>63</v>
      </c>
      <c r="D482" s="62" t="s">
        <v>38</v>
      </c>
      <c r="E482" s="63">
        <f>IFERROR(F482/F$448,0)</f>
        <v>0</v>
      </c>
      <c r="F482" s="64" t="e">
        <f>+SUM(F465:F481)</f>
        <v>#N/A</v>
      </c>
      <c r="G482" s="65"/>
      <c r="H482" s="63"/>
      <c r="I482" s="64"/>
      <c r="J482" s="65" t="s">
        <v>38</v>
      </c>
      <c r="K482" s="63">
        <f>IFERROR(L482/L$448,0)</f>
        <v>8.7856273840335071E-3</v>
      </c>
      <c r="L482" s="64">
        <f>+SUM(L465:L481)</f>
        <v>435.59</v>
      </c>
      <c r="M482" s="66"/>
      <c r="N482" s="64"/>
      <c r="O482" s="65" t="s">
        <v>38</v>
      </c>
      <c r="P482" s="63">
        <f>IFERROR(Q482/Q$448,0)</f>
        <v>0</v>
      </c>
      <c r="Q482" s="64">
        <f>+SUM(Q465:Q481)</f>
        <v>0</v>
      </c>
      <c r="R482" s="67"/>
      <c r="S482" s="64">
        <f>+SUM(S465:S481)</f>
        <v>435.59</v>
      </c>
      <c r="T482" s="6"/>
      <c r="U482" s="6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spans="1:61" ht="15.75" customHeight="1">
      <c r="B483" s="3"/>
      <c r="C483" s="26"/>
      <c r="D483" s="7"/>
      <c r="E483" s="7"/>
      <c r="F483" s="25"/>
      <c r="G483" s="26"/>
      <c r="H483" s="7"/>
      <c r="I483" s="25"/>
      <c r="J483" s="26"/>
      <c r="K483" s="7"/>
      <c r="L483" s="39"/>
      <c r="M483" s="52"/>
      <c r="N483" s="51"/>
      <c r="O483" s="26"/>
      <c r="P483" s="7"/>
      <c r="Q483" s="39"/>
      <c r="R483" s="26"/>
      <c r="S483" s="112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spans="1:61" ht="18.600000000000001" customHeight="1">
      <c r="A484" s="410"/>
      <c r="B484" s="7"/>
      <c r="C484" s="139" t="s">
        <v>64</v>
      </c>
      <c r="D484" s="62" t="s">
        <v>38</v>
      </c>
      <c r="E484" s="63">
        <f>IFERROR(F484/F$448,0)</f>
        <v>0</v>
      </c>
      <c r="F484" s="64" t="e">
        <f>F464+F482</f>
        <v>#N/A</v>
      </c>
      <c r="G484" s="65"/>
      <c r="H484" s="63"/>
      <c r="I484" s="64"/>
      <c r="J484" s="65" t="s">
        <v>38</v>
      </c>
      <c r="K484" s="63">
        <f>IFERROR(L484/L$448,0)</f>
        <v>0.31854035833919581</v>
      </c>
      <c r="L484" s="64">
        <f>L464+L482</f>
        <v>15793.179999999998</v>
      </c>
      <c r="M484" s="66"/>
      <c r="N484" s="64"/>
      <c r="O484" s="65" t="s">
        <v>38</v>
      </c>
      <c r="P484" s="63">
        <f>IFERROR(Q484/Q$448,0)</f>
        <v>0</v>
      </c>
      <c r="Q484" s="64">
        <f>Q464+Q482</f>
        <v>0</v>
      </c>
      <c r="R484" s="67"/>
      <c r="S484" s="64">
        <f>L484-Q484</f>
        <v>15793.179999999998</v>
      </c>
      <c r="T484" s="6"/>
      <c r="U484" s="6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spans="1:61" ht="15.75" customHeight="1">
      <c r="B485" s="3"/>
      <c r="C485" s="26"/>
      <c r="D485" s="7"/>
      <c r="E485" s="7"/>
      <c r="F485" s="39"/>
      <c r="G485" s="26"/>
      <c r="H485" s="7"/>
      <c r="I485" s="39"/>
      <c r="J485" s="26"/>
      <c r="K485" s="7"/>
      <c r="L485" s="39"/>
      <c r="M485" s="52"/>
      <c r="N485" s="51"/>
      <c r="O485" s="26"/>
      <c r="P485" s="7"/>
      <c r="Q485" s="39"/>
      <c r="R485" s="26"/>
      <c r="S485" s="112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spans="1:61" ht="18.600000000000001" customHeight="1" thickBot="1">
      <c r="A486" s="410"/>
      <c r="B486" s="7"/>
      <c r="C486" s="276" t="s">
        <v>69</v>
      </c>
      <c r="D486" s="277"/>
      <c r="E486" s="278"/>
      <c r="F486" s="138" t="e">
        <f>#REF!-F484</f>
        <v>#REF!</v>
      </c>
      <c r="G486" s="279"/>
      <c r="H486" s="278"/>
      <c r="I486" s="138"/>
      <c r="J486" s="279"/>
      <c r="K486" s="278"/>
      <c r="L486" s="138">
        <f>L448-L484</f>
        <v>33786.660000000011</v>
      </c>
      <c r="M486" s="280"/>
      <c r="N486" s="138"/>
      <c r="O486" s="279"/>
      <c r="P486" s="278"/>
      <c r="Q486" s="138">
        <f>Q448-Q484</f>
        <v>48143.309999999983</v>
      </c>
      <c r="R486" s="281"/>
      <c r="S486" s="138">
        <f>L486-Q486</f>
        <v>-14356.649999999972</v>
      </c>
      <c r="T486" s="6"/>
      <c r="U486" s="6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55"/>
      <c r="AG486" s="7"/>
      <c r="AH486" s="7"/>
      <c r="AI486" s="7"/>
      <c r="AJ486" s="55"/>
      <c r="AK486" s="7"/>
      <c r="AL486" s="7"/>
      <c r="AM486" s="7"/>
      <c r="AN486" s="7"/>
    </row>
    <row r="487" spans="1:61" ht="15.75" customHeight="1" thickTop="1">
      <c r="B487" s="3"/>
      <c r="C487" s="50"/>
      <c r="D487" s="290"/>
      <c r="E487" s="7"/>
      <c r="F487" s="74" t="e">
        <f>F390+F326+F268</f>
        <v>#N/A</v>
      </c>
      <c r="G487" s="54"/>
      <c r="H487" s="7"/>
      <c r="I487" s="74"/>
      <c r="J487" s="290"/>
      <c r="K487" s="50"/>
      <c r="L487" s="74"/>
      <c r="M487" s="50"/>
      <c r="N487" s="74"/>
      <c r="O487" s="50"/>
      <c r="P487" s="50"/>
      <c r="Q487" s="74"/>
      <c r="R487" s="50"/>
      <c r="S487" s="74"/>
      <c r="T487" s="6"/>
      <c r="U487" s="6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55"/>
      <c r="AG487" s="7"/>
      <c r="AH487" s="7"/>
      <c r="AI487" s="7"/>
      <c r="AJ487" s="7"/>
      <c r="AK487" s="7"/>
      <c r="AL487" s="7"/>
      <c r="AM487" s="7"/>
      <c r="AN487" s="7"/>
    </row>
    <row r="488" spans="1:61" ht="15.75" customHeight="1">
      <c r="B488" s="3"/>
      <c r="F488" s="74" t="e">
        <f>F429+F307+F365</f>
        <v>#N/A</v>
      </c>
      <c r="L488" s="74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spans="1:61" ht="35.4">
      <c r="B489" s="3"/>
      <c r="C489" s="336" t="s">
        <v>491</v>
      </c>
      <c r="F489" s="337"/>
      <c r="L489" s="337"/>
      <c r="V489" s="338" t="str">
        <f>C1</f>
        <v>Ste-Marie Auto</v>
      </c>
      <c r="W489" s="254"/>
      <c r="X489" s="254"/>
      <c r="Y489" s="254"/>
      <c r="Z489" s="254"/>
      <c r="AA489" s="254"/>
      <c r="AB489" s="254"/>
      <c r="AC489" s="254"/>
      <c r="AD489" s="254"/>
      <c r="AE489" s="339"/>
      <c r="AF489" s="339" t="s">
        <v>492</v>
      </c>
      <c r="AG489" s="254"/>
      <c r="AH489" s="254"/>
      <c r="AI489" s="254"/>
      <c r="AJ489" s="340"/>
      <c r="AK489" s="252"/>
      <c r="AL489" s="254"/>
      <c r="AM489" s="254"/>
      <c r="AN489" s="254"/>
      <c r="AO489" s="340" t="str">
        <f>$S$1</f>
        <v>Réalisé, Aout 2026</v>
      </c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</row>
    <row r="490" spans="1:61" ht="15.75" customHeight="1" thickBot="1">
      <c r="B490" s="3"/>
      <c r="C490" s="336" t="s">
        <v>491</v>
      </c>
      <c r="V490" s="140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</row>
    <row r="491" spans="1:61" ht="15.75" customHeight="1" thickTop="1" thickBot="1">
      <c r="A491" s="410" t="s">
        <v>493</v>
      </c>
      <c r="B491" s="3"/>
      <c r="C491" s="336" t="s">
        <v>491</v>
      </c>
      <c r="V491" s="341"/>
      <c r="W491" s="342"/>
      <c r="X491" s="403" t="s">
        <v>116</v>
      </c>
      <c r="Y491" s="401"/>
      <c r="Z491" s="404"/>
      <c r="AA491" s="400"/>
      <c r="AB491" s="401"/>
      <c r="AC491" s="404"/>
      <c r="AD491" s="400" t="s">
        <v>7</v>
      </c>
      <c r="AE491" s="401"/>
      <c r="AF491" s="404"/>
      <c r="AG491" s="400" t="s">
        <v>211</v>
      </c>
      <c r="AH491" s="401"/>
      <c r="AI491" s="404"/>
      <c r="AJ491" s="400" t="s">
        <v>117</v>
      </c>
      <c r="AK491" s="401"/>
      <c r="AL491" s="401"/>
      <c r="AM491" s="400" t="s">
        <v>118</v>
      </c>
      <c r="AN491" s="401"/>
      <c r="AO491" s="402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</row>
    <row r="492" spans="1:61" ht="15.75" customHeight="1">
      <c r="A492" s="410" t="s">
        <v>493</v>
      </c>
      <c r="B492" s="3"/>
      <c r="C492" s="336" t="s">
        <v>491</v>
      </c>
      <c r="V492" s="14"/>
      <c r="W492" s="141" t="s">
        <v>119</v>
      </c>
      <c r="X492" s="141" t="s">
        <v>120</v>
      </c>
      <c r="Y492" s="141" t="s">
        <v>121</v>
      </c>
      <c r="Z492" s="142" t="s">
        <v>122</v>
      </c>
      <c r="AA492" s="141"/>
      <c r="AB492" s="141"/>
      <c r="AC492" s="142"/>
      <c r="AD492" s="143" t="s">
        <v>120</v>
      </c>
      <c r="AE492" s="141" t="s">
        <v>121</v>
      </c>
      <c r="AF492" s="141" t="s">
        <v>122</v>
      </c>
      <c r="AG492" s="143" t="s">
        <v>123</v>
      </c>
      <c r="AH492" s="141" t="s">
        <v>124</v>
      </c>
      <c r="AI492" s="141" t="s">
        <v>125</v>
      </c>
      <c r="AJ492" s="143" t="s">
        <v>120</v>
      </c>
      <c r="AK492" s="141" t="s">
        <v>121</v>
      </c>
      <c r="AL492" s="141" t="s">
        <v>122</v>
      </c>
      <c r="AM492" s="144" t="s">
        <v>123</v>
      </c>
      <c r="AN492" s="141" t="s">
        <v>124</v>
      </c>
      <c r="AO492" s="87" t="s">
        <v>125</v>
      </c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</row>
    <row r="493" spans="1:61" ht="15.75" customHeight="1">
      <c r="A493" s="410" t="s">
        <v>14</v>
      </c>
      <c r="B493" s="3"/>
      <c r="C493" s="336" t="s">
        <v>491</v>
      </c>
      <c r="V493" s="272" t="s">
        <v>14</v>
      </c>
      <c r="W493" s="145"/>
      <c r="X493" s="145"/>
      <c r="Y493" s="145"/>
      <c r="Z493" s="146" t="e">
        <f>F5+F93+E268+E326+D390+#REF!</f>
        <v>#N/A</v>
      </c>
      <c r="AA493" s="145"/>
      <c r="AB493" s="145"/>
      <c r="AC493" s="146"/>
      <c r="AD493" s="147"/>
      <c r="AE493" s="148"/>
      <c r="AF493" s="146">
        <f>L5+L93+L173+K268+K326+J390+K448</f>
        <v>13948793.349999994</v>
      </c>
      <c r="AG493" s="147"/>
      <c r="AH493" s="148"/>
      <c r="AI493" s="149"/>
      <c r="AJ493" s="147"/>
      <c r="AK493" s="148"/>
      <c r="AL493" s="146">
        <f>Q5+Q93+Q173+P268+P326+O390+P448</f>
        <v>18784029.239999991</v>
      </c>
      <c r="AM493" s="150"/>
      <c r="AN493" s="148"/>
      <c r="AO493" s="343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</row>
    <row r="494" spans="1:61" ht="21" customHeight="1">
      <c r="A494" s="410" t="s">
        <v>126</v>
      </c>
      <c r="B494" s="3"/>
      <c r="C494" s="336" t="s">
        <v>491</v>
      </c>
      <c r="V494" s="344" t="s">
        <v>126</v>
      </c>
      <c r="W494" s="151"/>
      <c r="X494" s="345" t="e">
        <f>Z494/Z493</f>
        <v>#N/A</v>
      </c>
      <c r="Y494" s="151"/>
      <c r="Z494" s="152" t="e">
        <f>F27+F109+F268+F326+F390+#REF!</f>
        <v>#N/A</v>
      </c>
      <c r="AA494" s="151"/>
      <c r="AB494" s="151"/>
      <c r="AC494" s="152"/>
      <c r="AD494" s="345">
        <f>AF494/AF493</f>
        <v>3.3749383777342809E-2</v>
      </c>
      <c r="AE494" s="154"/>
      <c r="AF494" s="152">
        <f>L27+L109+L182+L268+L326+L390+L448</f>
        <v>470763.17999999708</v>
      </c>
      <c r="AG494" s="153"/>
      <c r="AH494" s="154" t="e">
        <f>AF494-Z494</f>
        <v>#N/A</v>
      </c>
      <c r="AI494" s="155" t="e">
        <f>AH494/Z494</f>
        <v>#N/A</v>
      </c>
      <c r="AJ494" s="345">
        <f>AL494/AL493</f>
        <v>4.2011977298220475E-2</v>
      </c>
      <c r="AK494" s="154"/>
      <c r="AL494" s="152">
        <f>Q27+Q109+Q182+Q268+Q326+Q390+Q448</f>
        <v>789154.20999998925</v>
      </c>
      <c r="AM494" s="156"/>
      <c r="AN494" s="154">
        <f>AF494-AL494</f>
        <v>-318391.02999999217</v>
      </c>
      <c r="AO494" s="346">
        <f>IF(AL494=0,0,AN494/AL494)</f>
        <v>-0.40345857117076839</v>
      </c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</row>
    <row r="495" spans="1:61" ht="15.75" customHeight="1">
      <c r="A495" s="410" t="s">
        <v>127</v>
      </c>
      <c r="B495" s="3"/>
      <c r="C495" s="336" t="s">
        <v>491</v>
      </c>
      <c r="V495" s="347" t="s">
        <v>127</v>
      </c>
      <c r="W495" s="157"/>
      <c r="X495" s="157"/>
      <c r="Y495" s="157"/>
      <c r="Z495" s="158"/>
      <c r="AA495" s="157"/>
      <c r="AB495" s="157"/>
      <c r="AC495" s="158"/>
      <c r="AD495" s="159"/>
      <c r="AE495" s="160"/>
      <c r="AF495" s="158"/>
      <c r="AG495" s="159"/>
      <c r="AH495" s="160"/>
      <c r="AI495" s="161"/>
      <c r="AJ495" s="159"/>
      <c r="AK495" s="160"/>
      <c r="AL495" s="158"/>
      <c r="AM495" s="162"/>
      <c r="AN495" s="160"/>
      <c r="AO495" s="348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</row>
    <row r="496" spans="1:61" ht="15.75" customHeight="1">
      <c r="A496" s="410" t="s">
        <v>30</v>
      </c>
      <c r="B496" s="3"/>
      <c r="C496" s="336" t="s">
        <v>491</v>
      </c>
      <c r="V496" s="271" t="s">
        <v>30</v>
      </c>
      <c r="W496" s="163" t="s">
        <v>128</v>
      </c>
      <c r="X496" s="157"/>
      <c r="Y496" s="164" t="e">
        <f t="shared" ref="Y496:Y505" si="69">Z496/(D$13+D$97)</f>
        <v>#N/A</v>
      </c>
      <c r="Z496" s="158" t="e">
        <f t="shared" ref="Z496:Z502" si="70">+SUMIF($C:$C,$V496,F:F)</f>
        <v>#N/A</v>
      </c>
      <c r="AA496" s="157"/>
      <c r="AB496" s="164"/>
      <c r="AC496" s="158"/>
      <c r="AD496" s="165"/>
      <c r="AE496" s="160">
        <f>IF(AF496=0,0,AF496/(J$13+J$97))</f>
        <v>716.76233766233702</v>
      </c>
      <c r="AF496" s="158">
        <f t="shared" ref="AF496:AF502" si="71">+SUMIF($C:$C,$V496,L:L)</f>
        <v>55190.699999999953</v>
      </c>
      <c r="AG496" s="159" t="e">
        <f t="shared" ref="AG496:AH511" si="72">AE496-Y496</f>
        <v>#N/A</v>
      </c>
      <c r="AH496" s="160" t="e">
        <f t="shared" si="72"/>
        <v>#N/A</v>
      </c>
      <c r="AI496" s="161" t="e">
        <f t="shared" ref="AI496:AI505" si="73">IF(Z496=0,0,AH496/Z496)</f>
        <v>#N/A</v>
      </c>
      <c r="AJ496" s="165"/>
      <c r="AK496" s="160">
        <f>IF(AL496=0,0,AL496/(O$13+O$97))</f>
        <v>1126.4604166666668</v>
      </c>
      <c r="AL496" s="158">
        <f>SUMIFS([2]BV_Data_An_Prec!$AM:$AM,[2]BV_Data_An_Prec!$AQ:$AQ,$V496)</f>
        <v>108140.20000000001</v>
      </c>
      <c r="AM496" s="162">
        <f>AE496-AK496</f>
        <v>-409.69807900432977</v>
      </c>
      <c r="AN496" s="160">
        <f>AF496-AL496</f>
        <v>-52949.500000000058</v>
      </c>
      <c r="AO496" s="349">
        <f>IF(AL496=0,0,AN496/AL496)</f>
        <v>-0.48963752610037758</v>
      </c>
      <c r="AP496" s="6"/>
      <c r="AQ496" s="6"/>
      <c r="AR496" s="3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</row>
    <row r="497" spans="1:61" ht="15.75" customHeight="1">
      <c r="A497" s="410" t="s">
        <v>31</v>
      </c>
      <c r="B497" s="3"/>
      <c r="C497" s="336" t="s">
        <v>491</v>
      </c>
      <c r="V497" s="272" t="s">
        <v>31</v>
      </c>
      <c r="W497" s="166" t="s">
        <v>129</v>
      </c>
      <c r="X497" s="145"/>
      <c r="Y497" s="167" t="e">
        <f t="shared" si="69"/>
        <v>#N/A</v>
      </c>
      <c r="Z497" s="146" t="e">
        <f t="shared" si="70"/>
        <v>#N/A</v>
      </c>
      <c r="AA497" s="145"/>
      <c r="AB497" s="167"/>
      <c r="AC497" s="146"/>
      <c r="AD497" s="168"/>
      <c r="AE497" s="148">
        <f t="shared" ref="AE497:AE504" si="74">IF(AF497=0,0,AF497/(J$13+J$97))</f>
        <v>192.46519480519481</v>
      </c>
      <c r="AF497" s="146">
        <f t="shared" si="71"/>
        <v>14819.82</v>
      </c>
      <c r="AG497" s="147" t="e">
        <f t="shared" si="72"/>
        <v>#N/A</v>
      </c>
      <c r="AH497" s="148" t="e">
        <f t="shared" si="72"/>
        <v>#N/A</v>
      </c>
      <c r="AI497" s="169" t="e">
        <f t="shared" si="73"/>
        <v>#N/A</v>
      </c>
      <c r="AJ497" s="168"/>
      <c r="AK497" s="148">
        <f t="shared" ref="AK497:AK504" si="75">IF(AL497=0,0,AL497/(O$13+O$97))</f>
        <v>219.16677083333323</v>
      </c>
      <c r="AL497" s="146">
        <f>SUMIFS([2]BV_Data_An_Prec!$AM:$AM,[2]BV_Data_An_Prec!$AQ:$AQ,$V497)</f>
        <v>21040.009999999991</v>
      </c>
      <c r="AM497" s="350">
        <f t="shared" ref="AM497:AN512" si="76">AE497-AK497</f>
        <v>-26.701576028138419</v>
      </c>
      <c r="AN497" s="148">
        <f t="shared" si="76"/>
        <v>-6220.1899999999914</v>
      </c>
      <c r="AO497" s="343">
        <f t="shared" ref="AO497:AO553" si="77">IF(AL497=0,0,AN497/AL497)</f>
        <v>-0.29563626633257273</v>
      </c>
      <c r="AP497" s="6"/>
      <c r="AQ497" s="6"/>
      <c r="AR497" s="7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</row>
    <row r="498" spans="1:61" ht="15.75" customHeight="1">
      <c r="A498" s="410" t="s">
        <v>32</v>
      </c>
      <c r="B498" s="3"/>
      <c r="C498" s="336" t="s">
        <v>491</v>
      </c>
      <c r="V498" s="271" t="s">
        <v>32</v>
      </c>
      <c r="W498" s="163" t="s">
        <v>130</v>
      </c>
      <c r="X498" s="157"/>
      <c r="Y498" s="164" t="e">
        <f t="shared" si="69"/>
        <v>#N/A</v>
      </c>
      <c r="Z498" s="158" t="e">
        <f t="shared" si="70"/>
        <v>#N/A</v>
      </c>
      <c r="AA498" s="157"/>
      <c r="AB498" s="164"/>
      <c r="AC498" s="158"/>
      <c r="AD498" s="165"/>
      <c r="AE498" s="160">
        <f t="shared" si="74"/>
        <v>-33.525194805194552</v>
      </c>
      <c r="AF498" s="158">
        <f t="shared" si="71"/>
        <v>-2581.4399999999805</v>
      </c>
      <c r="AG498" s="159" t="e">
        <f t="shared" si="72"/>
        <v>#N/A</v>
      </c>
      <c r="AH498" s="160" t="e">
        <f t="shared" si="72"/>
        <v>#N/A</v>
      </c>
      <c r="AI498" s="161" t="e">
        <f t="shared" si="73"/>
        <v>#N/A</v>
      </c>
      <c r="AJ498" s="165"/>
      <c r="AK498" s="160">
        <f t="shared" si="75"/>
        <v>-239.12885416666668</v>
      </c>
      <c r="AL498" s="158">
        <f>SUMIFS([2]BV_Data_An_Prec!$AM:$AM,[2]BV_Data_An_Prec!$AQ:$AQ,$V498)</f>
        <v>-22956.370000000003</v>
      </c>
      <c r="AM498" s="162">
        <f t="shared" si="76"/>
        <v>205.60365936147213</v>
      </c>
      <c r="AN498" s="160">
        <f t="shared" si="76"/>
        <v>20374.930000000022</v>
      </c>
      <c r="AO498" s="349">
        <f t="shared" si="77"/>
        <v>-0.88755016581454382</v>
      </c>
      <c r="AP498" s="6"/>
      <c r="AQ498" s="6"/>
      <c r="AR498" s="7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</row>
    <row r="499" spans="1:61" ht="15.75" customHeight="1">
      <c r="A499" s="410" t="s">
        <v>33</v>
      </c>
      <c r="B499" s="3"/>
      <c r="C499" s="336" t="s">
        <v>491</v>
      </c>
      <c r="V499" s="271" t="s">
        <v>33</v>
      </c>
      <c r="W499" s="163" t="s">
        <v>131</v>
      </c>
      <c r="X499" s="157"/>
      <c r="Y499" s="164" t="e">
        <f t="shared" si="69"/>
        <v>#N/A</v>
      </c>
      <c r="Z499" s="158" t="e">
        <f t="shared" si="70"/>
        <v>#N/A</v>
      </c>
      <c r="AA499" s="157"/>
      <c r="AB499" s="164"/>
      <c r="AC499" s="158"/>
      <c r="AD499" s="165"/>
      <c r="AE499" s="160">
        <f t="shared" si="74"/>
        <v>13.183116883116888</v>
      </c>
      <c r="AF499" s="158">
        <f t="shared" si="71"/>
        <v>1015.1000000000004</v>
      </c>
      <c r="AG499" s="159" t="e">
        <f t="shared" si="72"/>
        <v>#N/A</v>
      </c>
      <c r="AH499" s="160" t="e">
        <f t="shared" si="72"/>
        <v>#N/A</v>
      </c>
      <c r="AI499" s="161" t="e">
        <f t="shared" si="73"/>
        <v>#N/A</v>
      </c>
      <c r="AJ499" s="165"/>
      <c r="AK499" s="160">
        <f t="shared" si="75"/>
        <v>8.9744791666666632</v>
      </c>
      <c r="AL499" s="158">
        <f>SUMIFS([2]BV_Data_An_Prec!$AM:$AM,[2]BV_Data_An_Prec!$AQ:$AQ,$V499)</f>
        <v>861.54999999999973</v>
      </c>
      <c r="AM499" s="162">
        <f t="shared" si="76"/>
        <v>4.2086377164502249</v>
      </c>
      <c r="AN499" s="160">
        <f t="shared" si="76"/>
        <v>153.55000000000064</v>
      </c>
      <c r="AO499" s="349">
        <f t="shared" si="77"/>
        <v>0.17822529162555939</v>
      </c>
      <c r="AP499" s="6"/>
      <c r="AQ499" s="6"/>
      <c r="AR499" s="7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</row>
    <row r="500" spans="1:61" ht="15.75" customHeight="1">
      <c r="A500" s="410" t="s">
        <v>34</v>
      </c>
      <c r="B500" s="3"/>
      <c r="C500" s="336" t="s">
        <v>491</v>
      </c>
      <c r="V500" s="272" t="s">
        <v>34</v>
      </c>
      <c r="W500" s="166"/>
      <c r="X500" s="145"/>
      <c r="Y500" s="167" t="e">
        <f t="shared" si="69"/>
        <v>#N/A</v>
      </c>
      <c r="Z500" s="146" t="e">
        <f t="shared" si="70"/>
        <v>#N/A</v>
      </c>
      <c r="AA500" s="145"/>
      <c r="AB500" s="167"/>
      <c r="AC500" s="146"/>
      <c r="AD500" s="168"/>
      <c r="AE500" s="148">
        <f t="shared" si="74"/>
        <v>39.219220779220784</v>
      </c>
      <c r="AF500" s="146">
        <f t="shared" si="71"/>
        <v>3019.88</v>
      </c>
      <c r="AG500" s="147" t="e">
        <f t="shared" si="72"/>
        <v>#N/A</v>
      </c>
      <c r="AH500" s="148" t="e">
        <f t="shared" si="72"/>
        <v>#N/A</v>
      </c>
      <c r="AI500" s="169" t="e">
        <f t="shared" si="73"/>
        <v>#N/A</v>
      </c>
      <c r="AJ500" s="168"/>
      <c r="AK500" s="148">
        <f t="shared" si="75"/>
        <v>0</v>
      </c>
      <c r="AL500" s="146">
        <f>SUMIFS([2]BV_Data_An_Prec!$AM:$AM,[2]BV_Data_An_Prec!$AQ:$AQ,$V500)</f>
        <v>0</v>
      </c>
      <c r="AM500" s="350">
        <f t="shared" si="76"/>
        <v>39.219220779220784</v>
      </c>
      <c r="AN500" s="148">
        <f t="shared" si="76"/>
        <v>3019.88</v>
      </c>
      <c r="AO500" s="343">
        <f t="shared" si="77"/>
        <v>0</v>
      </c>
      <c r="AP500" s="6"/>
      <c r="AQ500" s="6"/>
      <c r="AR500" s="7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</row>
    <row r="501" spans="1:61" ht="15.75" customHeight="1">
      <c r="A501" s="410" t="s">
        <v>35</v>
      </c>
      <c r="B501" s="3"/>
      <c r="C501" s="336" t="s">
        <v>491</v>
      </c>
      <c r="V501" s="271" t="s">
        <v>35</v>
      </c>
      <c r="W501" s="163" t="s">
        <v>132</v>
      </c>
      <c r="X501" s="161"/>
      <c r="Y501" s="164" t="e">
        <f t="shared" si="69"/>
        <v>#N/A</v>
      </c>
      <c r="Z501" s="158" t="e">
        <f t="shared" si="70"/>
        <v>#N/A</v>
      </c>
      <c r="AA501" s="161"/>
      <c r="AB501" s="164"/>
      <c r="AC501" s="158"/>
      <c r="AD501" s="165"/>
      <c r="AE501" s="160">
        <f t="shared" si="74"/>
        <v>236.01883116883121</v>
      </c>
      <c r="AF501" s="158">
        <f t="shared" si="71"/>
        <v>18173.450000000004</v>
      </c>
      <c r="AG501" s="159" t="e">
        <f t="shared" si="72"/>
        <v>#N/A</v>
      </c>
      <c r="AH501" s="160" t="e">
        <f t="shared" si="72"/>
        <v>#N/A</v>
      </c>
      <c r="AI501" s="161" t="e">
        <f t="shared" si="73"/>
        <v>#N/A</v>
      </c>
      <c r="AJ501" s="165"/>
      <c r="AK501" s="160">
        <f t="shared" si="75"/>
        <v>188.70770833333339</v>
      </c>
      <c r="AL501" s="158">
        <f>SUMIFS([2]BV_Data_An_Prec!$AM:$AM,[2]BV_Data_An_Prec!$AQ:$AQ,$V501)</f>
        <v>18115.940000000006</v>
      </c>
      <c r="AM501" s="162">
        <f t="shared" si="76"/>
        <v>47.311122835497827</v>
      </c>
      <c r="AN501" s="160">
        <f t="shared" si="76"/>
        <v>57.509999999998399</v>
      </c>
      <c r="AO501" s="349">
        <f t="shared" si="77"/>
        <v>3.1745523555497743E-3</v>
      </c>
      <c r="AP501" s="6"/>
      <c r="AQ501" s="6"/>
      <c r="AR501" s="7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</row>
    <row r="502" spans="1:61" ht="15.75" customHeight="1">
      <c r="A502" s="410" t="s">
        <v>36</v>
      </c>
      <c r="B502" s="3"/>
      <c r="C502" s="336" t="s">
        <v>491</v>
      </c>
      <c r="V502" s="271" t="s">
        <v>36</v>
      </c>
      <c r="W502" s="163" t="s">
        <v>133</v>
      </c>
      <c r="X502" s="157"/>
      <c r="Y502" s="164" t="e">
        <f t="shared" si="69"/>
        <v>#N/A</v>
      </c>
      <c r="Z502" s="158" t="e">
        <f t="shared" si="70"/>
        <v>#N/A</v>
      </c>
      <c r="AA502" s="157"/>
      <c r="AB502" s="164"/>
      <c r="AC502" s="158"/>
      <c r="AD502" s="165"/>
      <c r="AE502" s="160">
        <f t="shared" si="74"/>
        <v>569.52792207792277</v>
      </c>
      <c r="AF502" s="158">
        <f t="shared" si="71"/>
        <v>43853.650000000052</v>
      </c>
      <c r="AG502" s="159" t="e">
        <f t="shared" si="72"/>
        <v>#N/A</v>
      </c>
      <c r="AH502" s="160" t="e">
        <f t="shared" si="72"/>
        <v>#N/A</v>
      </c>
      <c r="AI502" s="161" t="e">
        <f t="shared" si="73"/>
        <v>#N/A</v>
      </c>
      <c r="AJ502" s="165"/>
      <c r="AK502" s="160">
        <f t="shared" si="75"/>
        <v>1012.6367708333333</v>
      </c>
      <c r="AL502" s="158">
        <f>SUMIFS([2]BV_Data_An_Prec!$AM:$AM,[2]BV_Data_An_Prec!$AQ:$AQ,$V502)</f>
        <v>97213.13</v>
      </c>
      <c r="AM502" s="162">
        <f t="shared" si="76"/>
        <v>-443.10884875541058</v>
      </c>
      <c r="AN502" s="160">
        <f t="shared" si="76"/>
        <v>-53359.479999999952</v>
      </c>
      <c r="AO502" s="349">
        <f t="shared" si="77"/>
        <v>-0.54889169806588833</v>
      </c>
      <c r="AP502" s="6"/>
      <c r="AQ502" s="6"/>
      <c r="AR502" s="7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</row>
    <row r="503" spans="1:61" ht="15.75" customHeight="1">
      <c r="A503" s="410" t="s">
        <v>19</v>
      </c>
      <c r="B503" s="3"/>
      <c r="C503" s="336" t="s">
        <v>491</v>
      </c>
      <c r="V503" s="271" t="s">
        <v>303</v>
      </c>
      <c r="W503" s="163"/>
      <c r="X503" s="161"/>
      <c r="Y503" s="164" t="e">
        <f t="shared" si="69"/>
        <v>#N/A</v>
      </c>
      <c r="Z503" s="158">
        <f>IFERROR(SUMIF($C:$C,$V503,F:F),0)</f>
        <v>0</v>
      </c>
      <c r="AA503" s="157"/>
      <c r="AB503" s="164"/>
      <c r="AC503" s="158"/>
      <c r="AD503" s="165"/>
      <c r="AE503" s="160">
        <f>IF(AF503=0,0,AF503/(J$13+J$97))</f>
        <v>-859.56805194805179</v>
      </c>
      <c r="AF503" s="158">
        <f>IFERROR(SUMIF($C:$C,$V503,L:L),0)</f>
        <v>-66186.739999999991</v>
      </c>
      <c r="AG503" s="159" t="e">
        <f t="shared" si="72"/>
        <v>#N/A</v>
      </c>
      <c r="AH503" s="160">
        <f t="shared" si="72"/>
        <v>-66186.739999999991</v>
      </c>
      <c r="AI503" s="161">
        <f t="shared" si="73"/>
        <v>0</v>
      </c>
      <c r="AJ503" s="165"/>
      <c r="AK503" s="160">
        <f t="shared" si="75"/>
        <v>-1120.4801041666651</v>
      </c>
      <c r="AL503" s="158">
        <f>SUMIFS([2]BV_Data_An_Prec!$AM:$AM,[2]BV_Data_An_Prec!$AQ:$AQ,$V503)</f>
        <v>-107566.08999999985</v>
      </c>
      <c r="AM503" s="162">
        <f>AE503-AK503</f>
        <v>260.91205221861333</v>
      </c>
      <c r="AN503" s="160">
        <f t="shared" si="76"/>
        <v>41379.34999999986</v>
      </c>
      <c r="AO503" s="349">
        <f t="shared" si="77"/>
        <v>-0.38468768363710087</v>
      </c>
      <c r="AP503" s="6"/>
      <c r="AQ503" s="6"/>
      <c r="AR503" s="7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</row>
    <row r="504" spans="1:61" ht="15.75" customHeight="1">
      <c r="A504" s="410" t="s">
        <v>19</v>
      </c>
      <c r="B504" s="3"/>
      <c r="C504" s="336" t="s">
        <v>491</v>
      </c>
      <c r="V504" s="271" t="s">
        <v>304</v>
      </c>
      <c r="W504" s="163"/>
      <c r="X504" s="161"/>
      <c r="Y504" s="164" t="e">
        <f t="shared" si="69"/>
        <v>#N/A</v>
      </c>
      <c r="Z504" s="158">
        <f>IFERROR(SUMIF($C:$C,$V504,F:F),0)</f>
        <v>0</v>
      </c>
      <c r="AA504" s="157"/>
      <c r="AB504" s="164"/>
      <c r="AC504" s="158"/>
      <c r="AD504" s="165"/>
      <c r="AE504" s="160">
        <f t="shared" si="74"/>
        <v>-179.88662337662345</v>
      </c>
      <c r="AF504" s="158">
        <f>IFERROR(SUMIF($C:$C,$V504,L:L),0)</f>
        <v>-13851.270000000006</v>
      </c>
      <c r="AG504" s="159" t="e">
        <f t="shared" si="72"/>
        <v>#N/A</v>
      </c>
      <c r="AH504" s="160">
        <f t="shared" si="72"/>
        <v>-13851.270000000006</v>
      </c>
      <c r="AI504" s="161">
        <f t="shared" si="73"/>
        <v>0</v>
      </c>
      <c r="AJ504" s="165"/>
      <c r="AK504" s="160">
        <f t="shared" si="75"/>
        <v>0</v>
      </c>
      <c r="AL504" s="158">
        <f>SUMIFS([2]BV_Data_An_Prec!$AM:$AM,[2]BV_Data_An_Prec!$AQ:$AQ,$V504)</f>
        <v>0</v>
      </c>
      <c r="AM504" s="162">
        <f t="shared" si="76"/>
        <v>-179.88662337662345</v>
      </c>
      <c r="AN504" s="160">
        <f t="shared" si="76"/>
        <v>-13851.270000000006</v>
      </c>
      <c r="AO504" s="349">
        <f t="shared" si="77"/>
        <v>0</v>
      </c>
      <c r="AP504" s="6"/>
      <c r="AQ504" s="6"/>
      <c r="AR504" s="7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</row>
    <row r="505" spans="1:61" ht="20.399999999999999" hidden="1" customHeight="1">
      <c r="A505" s="410" t="s">
        <v>19</v>
      </c>
      <c r="B505" s="3"/>
      <c r="C505" s="336" t="s">
        <v>491</v>
      </c>
      <c r="V505" s="271" t="s">
        <v>19</v>
      </c>
      <c r="W505" s="163" t="s">
        <v>133</v>
      </c>
      <c r="X505" s="157"/>
      <c r="Y505" s="164" t="e">
        <f t="shared" si="69"/>
        <v>#N/A</v>
      </c>
      <c r="Z505" s="158">
        <f>IFERROR(SUMIF($C:$C,$V505,F:F),0)</f>
        <v>0</v>
      </c>
      <c r="AA505" s="157"/>
      <c r="AB505" s="164"/>
      <c r="AC505" s="158"/>
      <c r="AD505" s="165"/>
      <c r="AE505" s="160">
        <f>IF(AF505=0,0,AF505/(J$13+J$13))</f>
        <v>0</v>
      </c>
      <c r="AF505" s="158">
        <f>IFERROR(SUMIF($C:$C,$V505,L:L),0)</f>
        <v>0</v>
      </c>
      <c r="AG505" s="159" t="e">
        <f t="shared" si="72"/>
        <v>#N/A</v>
      </c>
      <c r="AH505" s="160">
        <f t="shared" si="72"/>
        <v>0</v>
      </c>
      <c r="AI505" s="161">
        <f t="shared" si="73"/>
        <v>0</v>
      </c>
      <c r="AJ505" s="165"/>
      <c r="AK505" s="160">
        <f>IF(AL505=0,0,AL505/(P$13+P$13))</f>
        <v>0</v>
      </c>
      <c r="AL505" s="158">
        <f>IFERROR(SUMIF($C:$C,$V505,R:R),0)</f>
        <v>0</v>
      </c>
      <c r="AM505" s="162" t="e">
        <f t="shared" ref="AM505" si="78">AE505-Y505</f>
        <v>#N/A</v>
      </c>
      <c r="AN505" s="160">
        <f t="shared" si="76"/>
        <v>0</v>
      </c>
      <c r="AO505" s="349">
        <f t="shared" si="77"/>
        <v>0</v>
      </c>
      <c r="AP505" s="6"/>
      <c r="AQ505" s="6"/>
      <c r="AR505" s="7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</row>
    <row r="506" spans="1:61" ht="21" customHeight="1">
      <c r="A506" s="410" t="s">
        <v>37</v>
      </c>
      <c r="B506" s="3"/>
      <c r="C506" s="336" t="s">
        <v>491</v>
      </c>
      <c r="V506" s="351" t="s">
        <v>37</v>
      </c>
      <c r="W506" s="170"/>
      <c r="X506" s="171" t="e">
        <f>Z506/Z494</f>
        <v>#N/A</v>
      </c>
      <c r="Y506" s="170"/>
      <c r="Z506" s="172" t="e">
        <f>SUM(Z496:Z505)</f>
        <v>#N/A</v>
      </c>
      <c r="AA506" s="171"/>
      <c r="AB506" s="170"/>
      <c r="AC506" s="172"/>
      <c r="AD506" s="173">
        <f>AF506/AF494</f>
        <v>0.11354573227243557</v>
      </c>
      <c r="AE506" s="175"/>
      <c r="AF506" s="172">
        <f>SUM(AF496:AF505)</f>
        <v>53453.150000000067</v>
      </c>
      <c r="AG506" s="174"/>
      <c r="AH506" s="175" t="e">
        <f t="shared" si="72"/>
        <v>#N/A</v>
      </c>
      <c r="AI506" s="171" t="e">
        <f>AH506/Z506</f>
        <v>#N/A</v>
      </c>
      <c r="AJ506" s="173">
        <f>AL506/AL494</f>
        <v>0.14553349465119336</v>
      </c>
      <c r="AK506" s="175"/>
      <c r="AL506" s="172">
        <f>SUM(AL496:AL505)</f>
        <v>114848.37000000017</v>
      </c>
      <c r="AM506" s="180"/>
      <c r="AN506" s="175">
        <f t="shared" si="76"/>
        <v>-61395.220000000103</v>
      </c>
      <c r="AO506" s="346">
        <f t="shared" si="77"/>
        <v>-0.53457632877157957</v>
      </c>
      <c r="AP506" s="6"/>
      <c r="AQ506" s="6"/>
      <c r="AR506" s="7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</row>
    <row r="507" spans="1:61" ht="15.75" customHeight="1">
      <c r="A507" s="410" t="s">
        <v>134</v>
      </c>
      <c r="B507" s="3"/>
      <c r="C507" s="336" t="s">
        <v>491</v>
      </c>
      <c r="V507" s="271" t="s">
        <v>134</v>
      </c>
      <c r="W507" s="163" t="s">
        <v>135</v>
      </c>
      <c r="X507" s="157"/>
      <c r="Y507" s="157"/>
      <c r="Z507" s="158" t="e">
        <f>+INDEX('[2]Budget original'!$A$2:$AO$501,MATCH($A507,'[2]Budget original'!$A$2:$A$501,0),MATCH(F$2,'[2]Budget original'!$A$2:$AO$2,0))</f>
        <v>#N/A</v>
      </c>
      <c r="AA507" s="157"/>
      <c r="AB507" s="157"/>
      <c r="AC507" s="158"/>
      <c r="AD507" s="165"/>
      <c r="AE507" s="164"/>
      <c r="AF507" s="158">
        <f>SUMIFS([2]BV_Data_An_Cour!$AM:$AM,[2]BV_Data_An_Cour!$AQ:$AQ,$V507)</f>
        <v>13557.709999999997</v>
      </c>
      <c r="AG507" s="159"/>
      <c r="AH507" s="160" t="e">
        <f t="shared" si="72"/>
        <v>#N/A</v>
      </c>
      <c r="AI507" s="161" t="e">
        <f t="shared" ref="AI507:AI519" si="79">IF(Z507=0,0,AH507/Z507)</f>
        <v>#N/A</v>
      </c>
      <c r="AJ507" s="165"/>
      <c r="AK507" s="164"/>
      <c r="AL507" s="158">
        <f>SUMIFS([2]BV_Data_An_Prec!$AM:$AM,[2]BV_Data_An_Prec!$AQ:$AQ,$V507)</f>
        <v>8472.9800000000141</v>
      </c>
      <c r="AM507" s="162"/>
      <c r="AN507" s="160">
        <f t="shared" si="76"/>
        <v>5084.7299999999832</v>
      </c>
      <c r="AO507" s="349">
        <f t="shared" si="77"/>
        <v>0.60011117694128568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</row>
    <row r="508" spans="1:61" ht="15.75" customHeight="1">
      <c r="A508" s="410" t="s">
        <v>40</v>
      </c>
      <c r="B508" s="3"/>
      <c r="C508" s="336" t="s">
        <v>491</v>
      </c>
      <c r="V508" s="271" t="s">
        <v>40</v>
      </c>
      <c r="W508" s="163" t="s">
        <v>136</v>
      </c>
      <c r="X508" s="157"/>
      <c r="Y508" s="157"/>
      <c r="Z508" s="158" t="e">
        <f t="shared" ref="Z508:Z518" si="80">+SUMIF($C:$C,$V508,F:F)</f>
        <v>#N/A</v>
      </c>
      <c r="AA508" s="157"/>
      <c r="AB508" s="157"/>
      <c r="AC508" s="158"/>
      <c r="AD508" s="165"/>
      <c r="AE508" s="164"/>
      <c r="AF508" s="158">
        <f>+SUMIF($C:$C,$V508,L:L)</f>
        <v>32819.069999999992</v>
      </c>
      <c r="AG508" s="159"/>
      <c r="AH508" s="160" t="e">
        <f t="shared" si="72"/>
        <v>#N/A</v>
      </c>
      <c r="AI508" s="161" t="e">
        <f t="shared" si="79"/>
        <v>#N/A</v>
      </c>
      <c r="AJ508" s="165"/>
      <c r="AK508" s="164"/>
      <c r="AL508" s="158">
        <f>SUMIFS([2]BV_Data_An_Prec!$AM:$AM,[2]BV_Data_An_Prec!$AQ:$AQ,$V508)</f>
        <v>69414.170000000042</v>
      </c>
      <c r="AM508" s="162"/>
      <c r="AN508" s="160">
        <f t="shared" si="76"/>
        <v>-36595.100000000049</v>
      </c>
      <c r="AO508" s="349">
        <f t="shared" si="77"/>
        <v>-0.52719927357771512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</row>
    <row r="509" spans="1:61" ht="15.75" customHeight="1">
      <c r="A509" s="410" t="s">
        <v>41</v>
      </c>
      <c r="B509" s="3"/>
      <c r="C509" s="336" t="s">
        <v>491</v>
      </c>
      <c r="V509" s="272" t="s">
        <v>41</v>
      </c>
      <c r="W509" s="166" t="s">
        <v>137</v>
      </c>
      <c r="X509" s="145"/>
      <c r="Y509" s="145"/>
      <c r="Z509" s="146" t="e">
        <f t="shared" si="80"/>
        <v>#N/A</v>
      </c>
      <c r="AA509" s="145"/>
      <c r="AB509" s="145"/>
      <c r="AC509" s="146"/>
      <c r="AD509" s="168"/>
      <c r="AE509" s="167"/>
      <c r="AF509" s="146">
        <f>+SUMIF($C:$C,$V509,L:L)</f>
        <v>25274.689999999988</v>
      </c>
      <c r="AG509" s="147"/>
      <c r="AH509" s="148" t="e">
        <f t="shared" si="72"/>
        <v>#N/A</v>
      </c>
      <c r="AI509" s="169" t="e">
        <f t="shared" si="79"/>
        <v>#N/A</v>
      </c>
      <c r="AJ509" s="168"/>
      <c r="AK509" s="167"/>
      <c r="AL509" s="146">
        <f>SUMIFS([2]BV_Data_An_Prec!$AM:$AM,[2]BV_Data_An_Prec!$AQ:$AQ,$V509)</f>
        <v>74596.130000000048</v>
      </c>
      <c r="AM509" s="150"/>
      <c r="AN509" s="148">
        <f t="shared" si="76"/>
        <v>-49321.440000000061</v>
      </c>
      <c r="AO509" s="343">
        <f t="shared" si="77"/>
        <v>-0.66117960811103782</v>
      </c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</row>
    <row r="510" spans="1:61" ht="15.75" customHeight="1">
      <c r="A510" s="410" t="s">
        <v>42</v>
      </c>
      <c r="B510" s="3"/>
      <c r="C510" s="336" t="s">
        <v>491</v>
      </c>
      <c r="V510" s="271" t="s">
        <v>42</v>
      </c>
      <c r="W510" s="163" t="s">
        <v>138</v>
      </c>
      <c r="X510" s="157"/>
      <c r="Y510" s="157"/>
      <c r="Z510" s="158" t="e">
        <f t="shared" si="80"/>
        <v>#N/A</v>
      </c>
      <c r="AA510" s="157"/>
      <c r="AB510" s="157"/>
      <c r="AC510" s="158"/>
      <c r="AD510" s="165"/>
      <c r="AE510" s="164"/>
      <c r="AF510" s="158">
        <f>+SUMIF($C:$C,$V510,L:L)</f>
        <v>33828.989999999991</v>
      </c>
      <c r="AG510" s="159"/>
      <c r="AH510" s="160" t="e">
        <f t="shared" si="72"/>
        <v>#N/A</v>
      </c>
      <c r="AI510" s="161" t="e">
        <f t="shared" si="79"/>
        <v>#N/A</v>
      </c>
      <c r="AJ510" s="165"/>
      <c r="AK510" s="164"/>
      <c r="AL510" s="158">
        <f>SUMIFS([2]BV_Data_An_Prec!$AM:$AM,[2]BV_Data_An_Prec!$AQ:$AQ,$V510)</f>
        <v>90767.849999999962</v>
      </c>
      <c r="AM510" s="162"/>
      <c r="AN510" s="160">
        <f t="shared" si="76"/>
        <v>-56938.859999999971</v>
      </c>
      <c r="AO510" s="349">
        <f t="shared" si="77"/>
        <v>-0.62730206785772713</v>
      </c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</row>
    <row r="511" spans="1:61" ht="15.75" customHeight="1">
      <c r="A511" s="410" t="s">
        <v>43</v>
      </c>
      <c r="B511" s="3"/>
      <c r="C511" s="336" t="s">
        <v>491</v>
      </c>
      <c r="V511" s="271" t="s">
        <v>43</v>
      </c>
      <c r="W511" s="163" t="s">
        <v>139</v>
      </c>
      <c r="X511" s="157"/>
      <c r="Y511" s="157"/>
      <c r="Z511" s="158" t="e">
        <f t="shared" si="80"/>
        <v>#N/A</v>
      </c>
      <c r="AA511" s="157"/>
      <c r="AB511" s="157"/>
      <c r="AC511" s="158"/>
      <c r="AD511" s="165"/>
      <c r="AE511" s="164"/>
      <c r="AF511" s="158">
        <f>+SUMIF($C:$C,$V511,L:L)</f>
        <v>9149.14</v>
      </c>
      <c r="AG511" s="159"/>
      <c r="AH511" s="160" t="e">
        <f t="shared" si="72"/>
        <v>#N/A</v>
      </c>
      <c r="AI511" s="161" t="e">
        <f t="shared" si="79"/>
        <v>#N/A</v>
      </c>
      <c r="AJ511" s="165"/>
      <c r="AK511" s="164"/>
      <c r="AL511" s="158">
        <f>SUMIFS([2]BV_Data_An_Prec!$AM:$AM,[2]BV_Data_An_Prec!$AQ:$AQ,$V511)</f>
        <v>0</v>
      </c>
      <c r="AM511" s="162"/>
      <c r="AN511" s="160">
        <f t="shared" si="76"/>
        <v>9149.14</v>
      </c>
      <c r="AO511" s="349">
        <f t="shared" si="77"/>
        <v>0</v>
      </c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</row>
    <row r="512" spans="1:61" ht="17.399999999999999" hidden="1" customHeight="1">
      <c r="A512" s="410" t="s">
        <v>19</v>
      </c>
      <c r="B512" s="3"/>
      <c r="C512" s="336" t="s">
        <v>491</v>
      </c>
      <c r="V512" s="271" t="s">
        <v>19</v>
      </c>
      <c r="W512" s="163"/>
      <c r="X512" s="157"/>
      <c r="Y512" s="157"/>
      <c r="Z512" s="158" t="e">
        <f t="shared" si="80"/>
        <v>#N/A</v>
      </c>
      <c r="AA512" s="157"/>
      <c r="AB512" s="157"/>
      <c r="AC512" s="158"/>
      <c r="AD512" s="165"/>
      <c r="AE512" s="164"/>
      <c r="AF512" s="158">
        <f>IFERROR(SUMIF($C:$C,$V512,L:L),0)</f>
        <v>0</v>
      </c>
      <c r="AG512" s="159"/>
      <c r="AH512" s="160" t="e">
        <f t="shared" ref="AH512:AH544" si="81">AF512-Z512</f>
        <v>#N/A</v>
      </c>
      <c r="AI512" s="161" t="e">
        <f t="shared" si="79"/>
        <v>#N/A</v>
      </c>
      <c r="AJ512" s="165"/>
      <c r="AK512" s="164"/>
      <c r="AL512" s="158">
        <f>SUMIFS([2]BV_Data_An_Prec!$AM:$AM,[2]BV_Data_An_Prec!$AQ:$AQ,$V512)</f>
        <v>0</v>
      </c>
      <c r="AM512" s="162"/>
      <c r="AN512" s="160">
        <f t="shared" si="76"/>
        <v>0</v>
      </c>
      <c r="AO512" s="349">
        <f t="shared" si="77"/>
        <v>0</v>
      </c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</row>
    <row r="513" spans="1:62" ht="17.399999999999999" hidden="1" customHeight="1">
      <c r="A513" s="410" t="s">
        <v>19</v>
      </c>
      <c r="B513" s="3"/>
      <c r="C513" s="336" t="s">
        <v>491</v>
      </c>
      <c r="V513" s="271" t="s">
        <v>19</v>
      </c>
      <c r="W513" s="163"/>
      <c r="X513" s="157"/>
      <c r="Y513" s="157"/>
      <c r="Z513" s="158" t="e">
        <f t="shared" si="80"/>
        <v>#N/A</v>
      </c>
      <c r="AA513" s="157"/>
      <c r="AB513" s="157"/>
      <c r="AC513" s="158"/>
      <c r="AD513" s="165"/>
      <c r="AE513" s="164"/>
      <c r="AF513" s="158">
        <f>IFERROR(SUMIF($C:$C,$V513,L:L),0)</f>
        <v>0</v>
      </c>
      <c r="AG513" s="159"/>
      <c r="AH513" s="160" t="e">
        <f t="shared" si="81"/>
        <v>#N/A</v>
      </c>
      <c r="AI513" s="161" t="e">
        <f t="shared" si="79"/>
        <v>#N/A</v>
      </c>
      <c r="AJ513" s="165"/>
      <c r="AK513" s="164"/>
      <c r="AL513" s="158">
        <f>SUMIFS([2]BV_Data_An_Prec!$AM:$AM,[2]BV_Data_An_Prec!$AQ:$AQ,$V513)</f>
        <v>0</v>
      </c>
      <c r="AM513" s="162"/>
      <c r="AN513" s="160">
        <f t="shared" ref="AN513:AN561" si="82">AF513-AL513</f>
        <v>0</v>
      </c>
      <c r="AO513" s="349">
        <f t="shared" si="77"/>
        <v>0</v>
      </c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</row>
    <row r="514" spans="1:62" ht="17.399999999999999" hidden="1" customHeight="1">
      <c r="A514" s="410" t="s">
        <v>19</v>
      </c>
      <c r="B514" s="3"/>
      <c r="C514" s="336" t="s">
        <v>491</v>
      </c>
      <c r="V514" s="271" t="s">
        <v>19</v>
      </c>
      <c r="W514" s="163"/>
      <c r="X514" s="157"/>
      <c r="Y514" s="157"/>
      <c r="Z514" s="158" t="e">
        <f t="shared" si="80"/>
        <v>#N/A</v>
      </c>
      <c r="AA514" s="157"/>
      <c r="AB514" s="157"/>
      <c r="AC514" s="158"/>
      <c r="AD514" s="165"/>
      <c r="AE514" s="164"/>
      <c r="AF514" s="158">
        <f>IFERROR(SUMIF($C:$C,$V514,L:L),0)</f>
        <v>0</v>
      </c>
      <c r="AG514" s="159"/>
      <c r="AH514" s="160" t="e">
        <f t="shared" si="81"/>
        <v>#N/A</v>
      </c>
      <c r="AI514" s="161" t="e">
        <f t="shared" si="79"/>
        <v>#N/A</v>
      </c>
      <c r="AJ514" s="165"/>
      <c r="AK514" s="164"/>
      <c r="AL514" s="158">
        <f>SUMIFS([2]BV_Data_An_Prec!$AM:$AM,[2]BV_Data_An_Prec!$AQ:$AQ,$V514)</f>
        <v>0</v>
      </c>
      <c r="AM514" s="162"/>
      <c r="AN514" s="160">
        <f t="shared" si="82"/>
        <v>0</v>
      </c>
      <c r="AO514" s="349">
        <f t="shared" si="77"/>
        <v>0</v>
      </c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</row>
    <row r="515" spans="1:62" ht="15.75" customHeight="1">
      <c r="A515" s="410" t="s">
        <v>44</v>
      </c>
      <c r="B515" s="3"/>
      <c r="C515" s="336" t="s">
        <v>491</v>
      </c>
      <c r="V515" s="272" t="s">
        <v>44</v>
      </c>
      <c r="W515" s="166" t="s">
        <v>140</v>
      </c>
      <c r="X515" s="145"/>
      <c r="Y515" s="352" t="e">
        <f>Z515/(SUM(Z507:Z511)+E268-F268+Z496+Z497)</f>
        <v>#N/A</v>
      </c>
      <c r="Z515" s="146" t="e">
        <f t="shared" si="80"/>
        <v>#N/A</v>
      </c>
      <c r="AA515" s="145"/>
      <c r="AB515" s="145"/>
      <c r="AC515" s="146"/>
      <c r="AD515" s="168"/>
      <c r="AE515" s="167"/>
      <c r="AF515" s="146">
        <f>+SUMIF($C:$C,$V515,L:L)</f>
        <v>26693.459999999985</v>
      </c>
      <c r="AG515" s="147"/>
      <c r="AH515" s="148" t="e">
        <f t="shared" si="81"/>
        <v>#N/A</v>
      </c>
      <c r="AI515" s="169" t="e">
        <f t="shared" si="79"/>
        <v>#N/A</v>
      </c>
      <c r="AJ515" s="168"/>
      <c r="AK515" s="167"/>
      <c r="AL515" s="146">
        <f>SUMIFS([2]BV_Data_An_Prec!$AM:$AM,[2]BV_Data_An_Prec!$AQ:$AQ,$V515)</f>
        <v>17647.25</v>
      </c>
      <c r="AM515" s="150"/>
      <c r="AN515" s="148">
        <f t="shared" si="82"/>
        <v>9046.2099999999846</v>
      </c>
      <c r="AO515" s="343">
        <f t="shared" si="77"/>
        <v>0.5126130133590211</v>
      </c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</row>
    <row r="516" spans="1:62" ht="15.75" customHeight="1">
      <c r="A516" s="410" t="s">
        <v>45</v>
      </c>
      <c r="B516" s="3"/>
      <c r="C516" s="336" t="s">
        <v>491</v>
      </c>
      <c r="V516" s="271" t="s">
        <v>45</v>
      </c>
      <c r="W516" s="163" t="s">
        <v>141</v>
      </c>
      <c r="X516" s="157"/>
      <c r="Y516" s="353" t="e">
        <f>Z516/(SUM(Z507:Z511)+E268-F268+Z496+Z497)</f>
        <v>#N/A</v>
      </c>
      <c r="Z516" s="158" t="e">
        <f t="shared" si="80"/>
        <v>#N/A</v>
      </c>
      <c r="AA516" s="157"/>
      <c r="AB516" s="157"/>
      <c r="AC516" s="158"/>
      <c r="AD516" s="165"/>
      <c r="AE516" s="164"/>
      <c r="AF516" s="158">
        <f>+SUMIF($C:$C,$V516,L:L)</f>
        <v>46233.479999999996</v>
      </c>
      <c r="AG516" s="159"/>
      <c r="AH516" s="160" t="e">
        <f t="shared" si="81"/>
        <v>#N/A</v>
      </c>
      <c r="AI516" s="161" t="e">
        <f t="shared" si="79"/>
        <v>#N/A</v>
      </c>
      <c r="AJ516" s="165"/>
      <c r="AK516" s="164"/>
      <c r="AL516" s="158">
        <f>SUMIFS([2]BV_Data_An_Prec!$AM:$AM,[2]BV_Data_An_Prec!$AQ:$AQ,$V516)</f>
        <v>45059.379999999976</v>
      </c>
      <c r="AM516" s="162"/>
      <c r="AN516" s="160">
        <f t="shared" si="82"/>
        <v>1174.1000000000204</v>
      </c>
      <c r="AO516" s="349">
        <f t="shared" si="77"/>
        <v>2.6056727811168752E-2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</row>
    <row r="517" spans="1:62" ht="15.75" customHeight="1">
      <c r="A517" s="410" t="s">
        <v>46</v>
      </c>
      <c r="B517" s="3"/>
      <c r="C517" s="336" t="s">
        <v>491</v>
      </c>
      <c r="V517" s="271" t="s">
        <v>46</v>
      </c>
      <c r="W517" s="163" t="s">
        <v>142</v>
      </c>
      <c r="X517" s="157"/>
      <c r="Y517" s="353" t="e">
        <f>Z517/(SUM(Z507:Z511)+E268-F268+Z497+Z496)</f>
        <v>#N/A</v>
      </c>
      <c r="Z517" s="158" t="e">
        <f t="shared" si="80"/>
        <v>#N/A</v>
      </c>
      <c r="AA517" s="157"/>
      <c r="AB517" s="157"/>
      <c r="AC517" s="158"/>
      <c r="AD517" s="165"/>
      <c r="AE517" s="164"/>
      <c r="AF517" s="158">
        <f>+SUMIF($C:$C,$V517,L:L)</f>
        <v>7310.7800000000016</v>
      </c>
      <c r="AG517" s="159"/>
      <c r="AH517" s="160" t="e">
        <f t="shared" si="81"/>
        <v>#N/A</v>
      </c>
      <c r="AI517" s="161" t="e">
        <f t="shared" si="79"/>
        <v>#N/A</v>
      </c>
      <c r="AJ517" s="165"/>
      <c r="AK517" s="164"/>
      <c r="AL517" s="158">
        <f>SUMIFS([2]BV_Data_An_Prec!$AM:$AM,[2]BV_Data_An_Prec!$AQ:$AQ,$V517)</f>
        <v>21241.299999999988</v>
      </c>
      <c r="AM517" s="162"/>
      <c r="AN517" s="160">
        <f t="shared" si="82"/>
        <v>-13930.519999999986</v>
      </c>
      <c r="AO517" s="349">
        <f t="shared" si="77"/>
        <v>-0.65582238375240653</v>
      </c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</row>
    <row r="518" spans="1:62" ht="15.75" customHeight="1">
      <c r="A518" s="410" t="s">
        <v>47</v>
      </c>
      <c r="B518" s="3"/>
      <c r="C518" s="336" t="s">
        <v>491</v>
      </c>
      <c r="V518" s="271" t="s">
        <v>47</v>
      </c>
      <c r="W518" s="163"/>
      <c r="X518" s="157"/>
      <c r="Y518" s="157"/>
      <c r="Z518" s="158" t="e">
        <f t="shared" si="80"/>
        <v>#N/A</v>
      </c>
      <c r="AA518" s="157"/>
      <c r="AB518" s="157"/>
      <c r="AC518" s="158"/>
      <c r="AD518" s="165"/>
      <c r="AE518" s="164"/>
      <c r="AF518" s="158">
        <f>+SUMIF($C:$C,$V518,L:L)</f>
        <v>15034.749999999998</v>
      </c>
      <c r="AG518" s="159"/>
      <c r="AH518" s="160" t="e">
        <f t="shared" si="81"/>
        <v>#N/A</v>
      </c>
      <c r="AI518" s="177" t="e">
        <f t="shared" si="79"/>
        <v>#N/A</v>
      </c>
      <c r="AJ518" s="165"/>
      <c r="AK518" s="164"/>
      <c r="AL518" s="158">
        <f>SUMIFS([2]BV_Data_An_Prec!$AM:$AM,[2]BV_Data_An_Prec!$AQ:$AQ,$V518)</f>
        <v>1095.6000000000008</v>
      </c>
      <c r="AM518" s="162"/>
      <c r="AN518" s="160">
        <f t="shared" si="82"/>
        <v>13939.149999999998</v>
      </c>
      <c r="AO518" s="349">
        <f t="shared" si="77"/>
        <v>12.722845929171219</v>
      </c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</row>
    <row r="519" spans="1:62" ht="20.399999999999999" hidden="1" customHeight="1">
      <c r="A519" s="410" t="s">
        <v>19</v>
      </c>
      <c r="B519" s="3"/>
      <c r="C519" s="336" t="s">
        <v>491</v>
      </c>
      <c r="V519" s="26" t="s">
        <v>19</v>
      </c>
      <c r="W519" s="163"/>
      <c r="X519" s="157"/>
      <c r="Y519" s="164"/>
      <c r="Z519" s="158">
        <f>IFERROR(SUMIF($C:$C,$V519,F:F),0)</f>
        <v>0</v>
      </c>
      <c r="AA519" s="157"/>
      <c r="AB519" s="157"/>
      <c r="AC519" s="158"/>
      <c r="AD519" s="165"/>
      <c r="AE519" s="164"/>
      <c r="AF519" s="158">
        <f>IFERROR(SUMIF($C:$C,$V519,L:L),0)</f>
        <v>0</v>
      </c>
      <c r="AG519" s="159"/>
      <c r="AH519" s="160">
        <f t="shared" si="81"/>
        <v>0</v>
      </c>
      <c r="AI519" s="161">
        <f t="shared" si="79"/>
        <v>0</v>
      </c>
      <c r="AJ519" s="165"/>
      <c r="AK519" s="164"/>
      <c r="AL519" s="158">
        <f>IFERROR(SUMIF($C:$C,$V519,R:R),0)</f>
        <v>0</v>
      </c>
      <c r="AM519" s="162"/>
      <c r="AN519" s="160">
        <f t="shared" si="82"/>
        <v>0</v>
      </c>
      <c r="AO519" s="343">
        <f t="shared" si="77"/>
        <v>0</v>
      </c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</row>
    <row r="520" spans="1:62" ht="21" customHeight="1">
      <c r="A520" s="410" t="s">
        <v>48</v>
      </c>
      <c r="B520" s="3"/>
      <c r="C520" s="336" t="s">
        <v>491</v>
      </c>
      <c r="V520" s="351" t="s">
        <v>48</v>
      </c>
      <c r="W520" s="170"/>
      <c r="X520" s="171" t="e">
        <f>Z520/Z494</f>
        <v>#N/A</v>
      </c>
      <c r="Y520" s="170"/>
      <c r="Z520" s="172" t="e">
        <f>SUM(Z507:Z519)</f>
        <v>#N/A</v>
      </c>
      <c r="AA520" s="171"/>
      <c r="AB520" s="170"/>
      <c r="AC520" s="172"/>
      <c r="AD520" s="173">
        <f>AF520/AF494</f>
        <v>0.44587614095053318</v>
      </c>
      <c r="AE520" s="178"/>
      <c r="AF520" s="172">
        <f>SUM(AF507:AF519)</f>
        <v>209902.06999999992</v>
      </c>
      <c r="AG520" s="174"/>
      <c r="AH520" s="175" t="e">
        <f t="shared" si="81"/>
        <v>#N/A</v>
      </c>
      <c r="AI520" s="171" t="e">
        <f>AH520/Z520</f>
        <v>#N/A</v>
      </c>
      <c r="AJ520" s="173">
        <f>AL520/AL494</f>
        <v>0.41600824761487926</v>
      </c>
      <c r="AK520" s="178"/>
      <c r="AL520" s="172">
        <f>SUM(AL507:AL519)</f>
        <v>328294.65999999997</v>
      </c>
      <c r="AM520" s="180"/>
      <c r="AN520" s="175">
        <f t="shared" si="82"/>
        <v>-118392.59000000005</v>
      </c>
      <c r="AO520" s="346">
        <f t="shared" si="77"/>
        <v>-0.36062904586995131</v>
      </c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</row>
    <row r="521" spans="1:62" ht="15.75" customHeight="1">
      <c r="A521" s="410" t="s">
        <v>49</v>
      </c>
      <c r="B521" s="3"/>
      <c r="C521" s="336" t="s">
        <v>491</v>
      </c>
      <c r="V521" s="329" t="s">
        <v>49</v>
      </c>
      <c r="W521" s="181" t="s">
        <v>132</v>
      </c>
      <c r="X521" s="182"/>
      <c r="Y521" s="182"/>
      <c r="Z521" s="183" t="e">
        <f t="shared" ref="Z521:Z535" si="83">+SUMIF($C:$C,$V521,F:F)</f>
        <v>#N/A</v>
      </c>
      <c r="AA521" s="182"/>
      <c r="AB521" s="182"/>
      <c r="AC521" s="183"/>
      <c r="AD521" s="184"/>
      <c r="AE521" s="185"/>
      <c r="AF521" s="183">
        <f>+SUMIF($C:$C,$V521,L:L)</f>
        <v>2789.2900000000009</v>
      </c>
      <c r="AG521" s="184"/>
      <c r="AH521" s="186" t="e">
        <f t="shared" si="81"/>
        <v>#N/A</v>
      </c>
      <c r="AI521" s="187" t="e">
        <f t="shared" ref="AI521:AI538" si="84">IF(Z521=0,0,AH521/Z521)</f>
        <v>#N/A</v>
      </c>
      <c r="AJ521" s="184"/>
      <c r="AK521" s="185"/>
      <c r="AL521" s="183">
        <f>SUMIFS([2]BV_Data_An_Prec!$AM:$AM,[2]BV_Data_An_Prec!$AQ:$AQ,$V521)</f>
        <v>3041.1800000000003</v>
      </c>
      <c r="AM521" s="188"/>
      <c r="AN521" s="186">
        <f t="shared" si="82"/>
        <v>-251.88999999999942</v>
      </c>
      <c r="AO521" s="348">
        <f t="shared" si="77"/>
        <v>-8.2826402909396815E-2</v>
      </c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</row>
    <row r="522" spans="1:62" ht="15.75" customHeight="1">
      <c r="A522" s="410" t="s">
        <v>50</v>
      </c>
      <c r="B522" s="3"/>
      <c r="C522" s="336" t="s">
        <v>491</v>
      </c>
      <c r="V522" s="271" t="s">
        <v>50</v>
      </c>
      <c r="W522" s="163" t="s">
        <v>143</v>
      </c>
      <c r="X522" s="157"/>
      <c r="Y522" s="157"/>
      <c r="Z522" s="158" t="e">
        <f t="shared" si="83"/>
        <v>#N/A</v>
      </c>
      <c r="AA522" s="157"/>
      <c r="AB522" s="157"/>
      <c r="AC522" s="158"/>
      <c r="AD522" s="165"/>
      <c r="AE522" s="164"/>
      <c r="AF522" s="158">
        <f>+SUMIF($C:$C,$V522,L:L)</f>
        <v>4099.07</v>
      </c>
      <c r="AG522" s="159"/>
      <c r="AH522" s="160" t="e">
        <f t="shared" si="81"/>
        <v>#N/A</v>
      </c>
      <c r="AI522" s="161" t="e">
        <f t="shared" si="84"/>
        <v>#N/A</v>
      </c>
      <c r="AJ522" s="165"/>
      <c r="AK522" s="164"/>
      <c r="AL522" s="158">
        <f>SUMIFS([2]BV_Data_An_Prec!$AM:$AM,[2]BV_Data_An_Prec!$AQ:$AQ,$V522)</f>
        <v>587.54000000000087</v>
      </c>
      <c r="AM522" s="162"/>
      <c r="AN522" s="160">
        <f t="shared" si="82"/>
        <v>3511.5299999999988</v>
      </c>
      <c r="AO522" s="349">
        <f t="shared" si="77"/>
        <v>5.9766654185246857</v>
      </c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</row>
    <row r="523" spans="1:62" ht="15.75" customHeight="1">
      <c r="A523" s="410" t="s">
        <v>51</v>
      </c>
      <c r="B523" s="3"/>
      <c r="C523" s="336" t="s">
        <v>491</v>
      </c>
      <c r="U523" s="386"/>
      <c r="V523" s="272" t="s">
        <v>51</v>
      </c>
      <c r="W523" s="166" t="s">
        <v>144</v>
      </c>
      <c r="X523" s="145"/>
      <c r="Y523" s="145"/>
      <c r="Z523" s="146" t="e">
        <f t="shared" si="83"/>
        <v>#N/A</v>
      </c>
      <c r="AA523" s="145"/>
      <c r="AB523" s="145"/>
      <c r="AC523" s="146"/>
      <c r="AD523" s="168"/>
      <c r="AE523" s="167"/>
      <c r="AF523" s="146">
        <f>+SUMIF($C:$C,$V523,L:L)</f>
        <v>25757.210000000014</v>
      </c>
      <c r="AG523" s="147"/>
      <c r="AH523" s="148" t="e">
        <f t="shared" si="81"/>
        <v>#N/A</v>
      </c>
      <c r="AI523" s="169" t="e">
        <f t="shared" si="84"/>
        <v>#N/A</v>
      </c>
      <c r="AJ523" s="168"/>
      <c r="AK523" s="167"/>
      <c r="AL523" s="146">
        <f>SUMIFS([2]BV_Data_An_Prec!$AM:$AM,[2]BV_Data_An_Prec!$AQ:$AQ,$V523)</f>
        <v>-24.409999999995307</v>
      </c>
      <c r="AM523" s="150"/>
      <c r="AN523" s="148">
        <f t="shared" si="82"/>
        <v>25781.62000000001</v>
      </c>
      <c r="AO523" s="343">
        <f t="shared" si="77"/>
        <v>-1056.1909053668564</v>
      </c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</row>
    <row r="524" spans="1:62" ht="15.75" customHeight="1">
      <c r="A524" s="410" t="s">
        <v>52</v>
      </c>
      <c r="B524" s="3"/>
      <c r="C524" s="336" t="s">
        <v>491</v>
      </c>
      <c r="U524" s="386"/>
      <c r="V524" s="271" t="s">
        <v>52</v>
      </c>
      <c r="W524" s="163" t="s">
        <v>145</v>
      </c>
      <c r="X524" s="157"/>
      <c r="Y524" s="157"/>
      <c r="Z524" s="158" t="e">
        <f t="shared" si="83"/>
        <v>#N/A</v>
      </c>
      <c r="AA524" s="157"/>
      <c r="AB524" s="157"/>
      <c r="AC524" s="158"/>
      <c r="AD524" s="165"/>
      <c r="AE524" s="164"/>
      <c r="AF524" s="158">
        <f>+SUMIF($C:$C,$V524,L:L)</f>
        <v>14103.610000000004</v>
      </c>
      <c r="AG524" s="159"/>
      <c r="AH524" s="160" t="e">
        <f t="shared" si="81"/>
        <v>#N/A</v>
      </c>
      <c r="AI524" s="161" t="e">
        <f t="shared" si="84"/>
        <v>#N/A</v>
      </c>
      <c r="AJ524" s="165"/>
      <c r="AK524" s="164"/>
      <c r="AL524" s="158">
        <f>SUMIFS([2]BV_Data_An_Prec!$AM:$AM,[2]BV_Data_An_Prec!$AQ:$AQ,$V524)</f>
        <v>14283.7</v>
      </c>
      <c r="AM524" s="162"/>
      <c r="AN524" s="160">
        <f t="shared" si="82"/>
        <v>-180.08999999999651</v>
      </c>
      <c r="AO524" s="349">
        <f t="shared" si="77"/>
        <v>-1.2608077738960949E-2</v>
      </c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</row>
    <row r="525" spans="1:62" ht="15.75" customHeight="1">
      <c r="A525" s="410" t="s">
        <v>53</v>
      </c>
      <c r="B525" s="3"/>
      <c r="C525" s="336" t="s">
        <v>491</v>
      </c>
      <c r="U525" s="386"/>
      <c r="V525" s="271" t="s">
        <v>53</v>
      </c>
      <c r="W525" s="163" t="s">
        <v>146</v>
      </c>
      <c r="X525" s="157"/>
      <c r="Y525" s="157"/>
      <c r="Z525" s="158" t="e">
        <f t="shared" si="83"/>
        <v>#N/A</v>
      </c>
      <c r="AA525" s="157"/>
      <c r="AB525" s="157"/>
      <c r="AC525" s="158"/>
      <c r="AD525" s="165"/>
      <c r="AE525" s="164"/>
      <c r="AF525" s="158">
        <f>+SUMIF($C:$C,$V525,L:L)</f>
        <v>3034.8699999999967</v>
      </c>
      <c r="AG525" s="159"/>
      <c r="AH525" s="160" t="e">
        <f t="shared" si="81"/>
        <v>#N/A</v>
      </c>
      <c r="AI525" s="161" t="e">
        <f t="shared" si="84"/>
        <v>#N/A</v>
      </c>
      <c r="AJ525" s="165"/>
      <c r="AK525" s="164"/>
      <c r="AL525" s="158">
        <f>SUMIFS([2]BV_Data_An_Prec!$AM:$AM,[2]BV_Data_An_Prec!$AQ:$AQ,$V525)</f>
        <v>2338.5599999999995</v>
      </c>
      <c r="AM525" s="162"/>
      <c r="AN525" s="160">
        <f t="shared" si="82"/>
        <v>696.30999999999722</v>
      </c>
      <c r="AO525" s="349">
        <f t="shared" si="77"/>
        <v>0.29775160782703775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</row>
    <row r="526" spans="1:62" ht="15.75" customHeight="1">
      <c r="A526" s="410" t="s">
        <v>54</v>
      </c>
      <c r="B526" s="3"/>
      <c r="C526" s="336" t="s">
        <v>491</v>
      </c>
      <c r="V526" s="271" t="s">
        <v>54</v>
      </c>
      <c r="W526" s="163" t="s">
        <v>147</v>
      </c>
      <c r="X526" s="157"/>
      <c r="Y526" s="157"/>
      <c r="Z526" s="158" t="e">
        <f t="shared" si="83"/>
        <v>#N/A</v>
      </c>
      <c r="AA526" s="157"/>
      <c r="AB526" s="157"/>
      <c r="AC526" s="158"/>
      <c r="AD526" s="165"/>
      <c r="AE526" s="164"/>
      <c r="AF526" s="158">
        <f>SUMIFS([2]BV_Data_An_Cour!$AM:$AM,[2]BV_Data_An_Cour!$AQ:$AQ,$V526)</f>
        <v>18156.589999999997</v>
      </c>
      <c r="AG526" s="159"/>
      <c r="AH526" s="160" t="e">
        <f t="shared" si="81"/>
        <v>#N/A</v>
      </c>
      <c r="AI526" s="161" t="e">
        <f t="shared" si="84"/>
        <v>#N/A</v>
      </c>
      <c r="AJ526" s="165"/>
      <c r="AK526" s="164"/>
      <c r="AL526" s="158">
        <f>SUMIFS([2]BV_Data_An_Prec!$AM:$AM,[2]BV_Data_An_Prec!$AQ:$AQ,$V526)</f>
        <v>26741.979999999989</v>
      </c>
      <c r="AM526" s="162"/>
      <c r="AN526" s="160">
        <f t="shared" si="82"/>
        <v>-8585.3899999999921</v>
      </c>
      <c r="AO526" s="349">
        <f t="shared" si="77"/>
        <v>-0.32104541249376434</v>
      </c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</row>
    <row r="527" spans="1:62" ht="15.75" customHeight="1">
      <c r="B527" s="3"/>
      <c r="C527" s="336" t="s">
        <v>491</v>
      </c>
      <c r="V527" s="329" t="s">
        <v>93</v>
      </c>
      <c r="W527" s="181"/>
      <c r="X527" s="182"/>
      <c r="Y527" s="182"/>
      <c r="Z527" s="183">
        <f t="shared" si="83"/>
        <v>0</v>
      </c>
      <c r="AA527" s="182"/>
      <c r="AB527" s="182"/>
      <c r="AC527" s="183"/>
      <c r="AD527" s="184"/>
      <c r="AE527" s="185"/>
      <c r="AF527" s="183">
        <f t="shared" ref="AF527:AF532" si="85">+SUMIF($C:$C,$V527,L:L)</f>
        <v>0</v>
      </c>
      <c r="AG527" s="355"/>
      <c r="AH527" s="186">
        <f t="shared" si="81"/>
        <v>0</v>
      </c>
      <c r="AI527" s="187">
        <f t="shared" si="84"/>
        <v>0</v>
      </c>
      <c r="AJ527" s="184"/>
      <c r="AK527" s="185"/>
      <c r="AL527" s="183">
        <f>SUMIFS([2]BV_Data_An_Prec!$AM:$AM,[2]BV_Data_An_Prec!$AQ:$AQ,$V527)</f>
        <v>0</v>
      </c>
      <c r="AM527" s="188"/>
      <c r="AN527" s="186">
        <f t="shared" si="82"/>
        <v>0</v>
      </c>
      <c r="AO527" s="348">
        <f t="shared" si="77"/>
        <v>0</v>
      </c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</row>
    <row r="528" spans="1:62" ht="15.75" customHeight="1">
      <c r="A528" s="410" t="s">
        <v>55</v>
      </c>
      <c r="B528" s="3"/>
      <c r="C528" s="336" t="s">
        <v>491</v>
      </c>
      <c r="V528" s="271" t="s">
        <v>55</v>
      </c>
      <c r="W528" s="163" t="s">
        <v>148</v>
      </c>
      <c r="X528" s="157"/>
      <c r="Y528" s="164"/>
      <c r="Z528" s="158" t="e">
        <f t="shared" si="83"/>
        <v>#N/A</v>
      </c>
      <c r="AA528" s="157"/>
      <c r="AB528" s="164"/>
      <c r="AC528" s="158"/>
      <c r="AD528" s="165"/>
      <c r="AE528" s="164"/>
      <c r="AF528" s="158">
        <f t="shared" si="85"/>
        <v>9028.5200000000077</v>
      </c>
      <c r="AG528" s="159"/>
      <c r="AH528" s="160" t="e">
        <f t="shared" si="81"/>
        <v>#N/A</v>
      </c>
      <c r="AI528" s="161" t="e">
        <f t="shared" si="84"/>
        <v>#N/A</v>
      </c>
      <c r="AJ528" s="165"/>
      <c r="AK528" s="164"/>
      <c r="AL528" s="158">
        <f>SUMIFS([2]BV_Data_An_Prec!$AM:$AM,[2]BV_Data_An_Prec!$AQ:$AQ,$V528)</f>
        <v>7515.7199999999984</v>
      </c>
      <c r="AM528" s="162"/>
      <c r="AN528" s="160">
        <f t="shared" si="82"/>
        <v>1512.8000000000093</v>
      </c>
      <c r="AO528" s="349">
        <f t="shared" si="77"/>
        <v>0.20128477378082335</v>
      </c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spans="1:62" ht="15.75" customHeight="1">
      <c r="A529" s="410" t="s">
        <v>56</v>
      </c>
      <c r="B529" s="3"/>
      <c r="C529" s="336" t="s">
        <v>491</v>
      </c>
      <c r="U529" s="6"/>
      <c r="V529" s="271" t="s">
        <v>56</v>
      </c>
      <c r="W529" s="163" t="s">
        <v>149</v>
      </c>
      <c r="X529" s="157"/>
      <c r="Y529" s="157"/>
      <c r="Z529" s="158" t="e">
        <f t="shared" si="83"/>
        <v>#N/A</v>
      </c>
      <c r="AA529" s="157"/>
      <c r="AB529" s="157"/>
      <c r="AC529" s="158"/>
      <c r="AD529" s="165"/>
      <c r="AE529" s="164"/>
      <c r="AF529" s="158">
        <f t="shared" si="85"/>
        <v>2181.89</v>
      </c>
      <c r="AG529" s="159"/>
      <c r="AH529" s="160" t="e">
        <f t="shared" si="81"/>
        <v>#N/A</v>
      </c>
      <c r="AI529" s="177" t="e">
        <f t="shared" si="84"/>
        <v>#N/A</v>
      </c>
      <c r="AJ529" s="165"/>
      <c r="AK529" s="164"/>
      <c r="AL529" s="158">
        <f>SUMIFS([2]BV_Data_An_Prec!$AM:$AM,[2]BV_Data_An_Prec!$AQ:$AQ,$V529)</f>
        <v>0</v>
      </c>
      <c r="AM529" s="162"/>
      <c r="AN529" s="160">
        <f t="shared" si="82"/>
        <v>2181.89</v>
      </c>
      <c r="AO529" s="349">
        <f t="shared" si="77"/>
        <v>0</v>
      </c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spans="1:62" ht="15.75" customHeight="1">
      <c r="A530" s="410" t="s">
        <v>57</v>
      </c>
      <c r="B530" s="3"/>
      <c r="C530" s="336" t="s">
        <v>491</v>
      </c>
      <c r="T530" s="6"/>
      <c r="U530" s="6"/>
      <c r="V530" s="271" t="s">
        <v>57</v>
      </c>
      <c r="W530" s="163" t="s">
        <v>150</v>
      </c>
      <c r="X530" s="157"/>
      <c r="Y530" s="157"/>
      <c r="Z530" s="158" t="e">
        <f t="shared" si="83"/>
        <v>#N/A</v>
      </c>
      <c r="AA530" s="157"/>
      <c r="AB530" s="157"/>
      <c r="AC530" s="158"/>
      <c r="AD530" s="165"/>
      <c r="AE530" s="164"/>
      <c r="AF530" s="158">
        <f t="shared" si="85"/>
        <v>5152.3700000000017</v>
      </c>
      <c r="AG530" s="159"/>
      <c r="AH530" s="160" t="e">
        <f t="shared" si="81"/>
        <v>#N/A</v>
      </c>
      <c r="AI530" s="161" t="e">
        <f t="shared" si="84"/>
        <v>#N/A</v>
      </c>
      <c r="AJ530" s="165"/>
      <c r="AK530" s="164"/>
      <c r="AL530" s="158">
        <f>SUMIFS([2]BV_Data_An_Prec!$AM:$AM,[2]BV_Data_An_Prec!$AQ:$AQ,$V530)</f>
        <v>5635.1900000000023</v>
      </c>
      <c r="AM530" s="162"/>
      <c r="AN530" s="160">
        <f t="shared" si="82"/>
        <v>-482.82000000000062</v>
      </c>
      <c r="AO530" s="349">
        <f t="shared" si="77"/>
        <v>-8.5679453576543191E-2</v>
      </c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spans="1:62" ht="15.75" customHeight="1">
      <c r="A531" s="410" t="s">
        <v>58</v>
      </c>
      <c r="B531" s="3"/>
      <c r="C531" s="336" t="s">
        <v>491</v>
      </c>
      <c r="T531" s="6"/>
      <c r="U531" s="6"/>
      <c r="V531" s="271" t="s">
        <v>58</v>
      </c>
      <c r="W531" s="163" t="s">
        <v>151</v>
      </c>
      <c r="X531" s="157"/>
      <c r="Y531" s="157"/>
      <c r="Z531" s="158" t="e">
        <f t="shared" si="83"/>
        <v>#N/A</v>
      </c>
      <c r="AA531" s="157"/>
      <c r="AB531" s="157"/>
      <c r="AC531" s="158"/>
      <c r="AD531" s="165"/>
      <c r="AE531" s="164"/>
      <c r="AF531" s="158">
        <f t="shared" si="85"/>
        <v>2296.1399999999994</v>
      </c>
      <c r="AG531" s="159"/>
      <c r="AH531" s="160" t="e">
        <f t="shared" si="81"/>
        <v>#N/A</v>
      </c>
      <c r="AI531" s="177" t="e">
        <f t="shared" si="84"/>
        <v>#N/A</v>
      </c>
      <c r="AJ531" s="165"/>
      <c r="AK531" s="164"/>
      <c r="AL531" s="158">
        <f>SUMIFS([2]BV_Data_An_Prec!$AM:$AM,[2]BV_Data_An_Prec!$AQ:$AQ,$V531)</f>
        <v>3287.599999999999</v>
      </c>
      <c r="AM531" s="162"/>
      <c r="AN531" s="160">
        <f t="shared" si="82"/>
        <v>-991.45999999999958</v>
      </c>
      <c r="AO531" s="349">
        <f t="shared" si="77"/>
        <v>-0.30157561747171185</v>
      </c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spans="1:62" ht="15.75" customHeight="1">
      <c r="A532" s="410" t="s">
        <v>59</v>
      </c>
      <c r="B532" s="3"/>
      <c r="C532" s="336" t="s">
        <v>491</v>
      </c>
      <c r="T532" s="6"/>
      <c r="U532" s="6"/>
      <c r="V532" s="271" t="s">
        <v>59</v>
      </c>
      <c r="W532" s="163" t="s">
        <v>152</v>
      </c>
      <c r="X532" s="157"/>
      <c r="Y532" s="157"/>
      <c r="Z532" s="158" t="e">
        <f t="shared" si="83"/>
        <v>#N/A</v>
      </c>
      <c r="AA532" s="157"/>
      <c r="AB532" s="157"/>
      <c r="AC532" s="158"/>
      <c r="AD532" s="165"/>
      <c r="AE532" s="164"/>
      <c r="AF532" s="158">
        <f t="shared" si="85"/>
        <v>2907.1199999999985</v>
      </c>
      <c r="AG532" s="159"/>
      <c r="AH532" s="160" t="e">
        <f t="shared" si="81"/>
        <v>#N/A</v>
      </c>
      <c r="AI532" s="161" t="e">
        <f t="shared" si="84"/>
        <v>#N/A</v>
      </c>
      <c r="AJ532" s="165"/>
      <c r="AK532" s="164"/>
      <c r="AL532" s="158">
        <f>SUMIFS([2]BV_Data_An_Prec!$AM:$AM,[2]BV_Data_An_Prec!$AQ:$AQ,$V532)</f>
        <v>4989.0299999999988</v>
      </c>
      <c r="AM532" s="162"/>
      <c r="AN532" s="160">
        <f t="shared" si="82"/>
        <v>-2081.9100000000003</v>
      </c>
      <c r="AO532" s="349">
        <f t="shared" si="77"/>
        <v>-0.41729755082651354</v>
      </c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spans="1:62" ht="15.75" customHeight="1">
      <c r="A533" s="410" t="s">
        <v>60</v>
      </c>
      <c r="B533" s="3"/>
      <c r="C533" s="336" t="s">
        <v>491</v>
      </c>
      <c r="T533" s="6"/>
      <c r="U533" s="6"/>
      <c r="V533" s="271" t="s">
        <v>60</v>
      </c>
      <c r="W533" s="163" t="s">
        <v>153</v>
      </c>
      <c r="X533" s="157"/>
      <c r="Y533" s="164"/>
      <c r="Z533" s="158" t="e">
        <f t="shared" si="83"/>
        <v>#N/A</v>
      </c>
      <c r="AA533" s="157"/>
      <c r="AB533" s="164"/>
      <c r="AC533" s="158"/>
      <c r="AD533" s="165"/>
      <c r="AE533" s="164"/>
      <c r="AF533" s="158">
        <f>SUMIFS([2]BV_Data_An_Cour!$AM:$AM,[2]BV_Data_An_Cour!$AQ:$AQ,$V533)</f>
        <v>9302.32</v>
      </c>
      <c r="AG533" s="159"/>
      <c r="AH533" s="160" t="e">
        <f t="shared" si="81"/>
        <v>#N/A</v>
      </c>
      <c r="AI533" s="177" t="e">
        <f t="shared" si="84"/>
        <v>#N/A</v>
      </c>
      <c r="AJ533" s="165"/>
      <c r="AK533" s="164"/>
      <c r="AL533" s="158">
        <f>SUMIFS([2]BV_Data_An_Prec!$AM:$AM,[2]BV_Data_An_Prec!$AQ:$AQ,$V533)</f>
        <v>12188.220000000001</v>
      </c>
      <c r="AM533" s="162"/>
      <c r="AN533" s="160">
        <f t="shared" si="82"/>
        <v>-2885.9000000000015</v>
      </c>
      <c r="AO533" s="349">
        <f t="shared" si="77"/>
        <v>-0.23677780676751825</v>
      </c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spans="1:62" ht="15.75" customHeight="1">
      <c r="A534" s="410" t="s">
        <v>61</v>
      </c>
      <c r="B534" s="3"/>
      <c r="C534" s="336" t="s">
        <v>491</v>
      </c>
      <c r="T534" s="6"/>
      <c r="U534" s="6"/>
      <c r="V534" s="271" t="s">
        <v>61</v>
      </c>
      <c r="W534" s="163" t="s">
        <v>154</v>
      </c>
      <c r="X534" s="157"/>
      <c r="Y534" s="164"/>
      <c r="Z534" s="158" t="e">
        <f t="shared" si="83"/>
        <v>#N/A</v>
      </c>
      <c r="AA534" s="157"/>
      <c r="AB534" s="164"/>
      <c r="AC534" s="158"/>
      <c r="AD534" s="165"/>
      <c r="AE534" s="164"/>
      <c r="AF534" s="158">
        <f>+SUMIF($C:$C,$V534,L:L)</f>
        <v>1736</v>
      </c>
      <c r="AG534" s="159"/>
      <c r="AH534" s="160" t="e">
        <f t="shared" si="81"/>
        <v>#N/A</v>
      </c>
      <c r="AI534" s="161" t="e">
        <f t="shared" si="84"/>
        <v>#N/A</v>
      </c>
      <c r="AJ534" s="165"/>
      <c r="AK534" s="164"/>
      <c r="AL534" s="158">
        <f>SUMIFS([2]BV_Data_An_Prec!$AM:$AM,[2]BV_Data_An_Prec!$AQ:$AQ,$V534)</f>
        <v>1365.5900000000001</v>
      </c>
      <c r="AM534" s="162"/>
      <c r="AN534" s="160">
        <f t="shared" si="82"/>
        <v>370.40999999999985</v>
      </c>
      <c r="AO534" s="349">
        <f t="shared" si="77"/>
        <v>0.27124539576300338</v>
      </c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spans="1:62" ht="15.75" customHeight="1">
      <c r="A535" s="410" t="s">
        <v>62</v>
      </c>
      <c r="B535" s="3"/>
      <c r="C535" s="336" t="s">
        <v>491</v>
      </c>
      <c r="T535" s="6"/>
      <c r="U535" s="6"/>
      <c r="V535" s="271" t="s">
        <v>62</v>
      </c>
      <c r="W535" s="163" t="s">
        <v>155</v>
      </c>
      <c r="X535" s="157"/>
      <c r="Y535" s="353" t="e">
        <f>Z535/Z493</f>
        <v>#N/A</v>
      </c>
      <c r="Z535" s="158" t="e">
        <f t="shared" si="83"/>
        <v>#N/A</v>
      </c>
      <c r="AA535" s="157"/>
      <c r="AB535" s="164"/>
      <c r="AC535" s="158"/>
      <c r="AD535" s="165"/>
      <c r="AE535" s="164"/>
      <c r="AF535" s="158">
        <f>SUMIFS([2]BV_Data_An_Cour!$AM:$AM,[2]BV_Data_An_Cour!$AQ:$AQ,$V535)</f>
        <v>4831.4800000000014</v>
      </c>
      <c r="AG535" s="159"/>
      <c r="AH535" s="160" t="e">
        <f t="shared" si="81"/>
        <v>#N/A</v>
      </c>
      <c r="AI535" s="161" t="e">
        <f t="shared" si="84"/>
        <v>#N/A</v>
      </c>
      <c r="AJ535" s="165"/>
      <c r="AK535" s="164"/>
      <c r="AL535" s="158">
        <f>SUMIFS([2]BV_Data_An_Prec!$AM:$AM,[2]BV_Data_An_Prec!$AQ:$AQ,$V535)</f>
        <v>994.98999999999933</v>
      </c>
      <c r="AM535" s="162"/>
      <c r="AN535" s="160">
        <f t="shared" si="82"/>
        <v>3836.4900000000021</v>
      </c>
      <c r="AO535" s="349">
        <f t="shared" si="77"/>
        <v>3.8558075960562466</v>
      </c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spans="1:62" ht="17.399999999999999" customHeight="1">
      <c r="A536" s="410" t="s">
        <v>19</v>
      </c>
      <c r="B536" s="3"/>
      <c r="C536" s="336" t="s">
        <v>491</v>
      </c>
      <c r="T536" s="6"/>
      <c r="U536" s="6"/>
      <c r="V536" s="271" t="s">
        <v>418</v>
      </c>
      <c r="W536" s="163"/>
      <c r="X536" s="157"/>
      <c r="Y536" s="164"/>
      <c r="Z536" s="158">
        <f>IFERROR(SUMIF($C:$C,$V536,F:F),0)</f>
        <v>0</v>
      </c>
      <c r="AA536" s="157"/>
      <c r="AB536" s="157"/>
      <c r="AC536" s="158"/>
      <c r="AD536" s="165"/>
      <c r="AE536" s="164"/>
      <c r="AF536" s="158">
        <f>IFERROR(SUMIF($C:$C,$V536,L:L),0)</f>
        <v>3356.1899999999987</v>
      </c>
      <c r="AG536" s="159"/>
      <c r="AH536" s="160">
        <f t="shared" si="81"/>
        <v>3356.1899999999987</v>
      </c>
      <c r="AI536" s="161">
        <f t="shared" si="84"/>
        <v>0</v>
      </c>
      <c r="AJ536" s="165"/>
      <c r="AK536" s="164"/>
      <c r="AL536" s="158">
        <f>IFERROR(SUMIF($C:$C,$V536,R:R),0)</f>
        <v>0</v>
      </c>
      <c r="AM536" s="162"/>
      <c r="AN536" s="160">
        <f t="shared" si="82"/>
        <v>3356.1899999999987</v>
      </c>
      <c r="AO536" s="349">
        <f t="shared" si="77"/>
        <v>0</v>
      </c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spans="1:62" ht="17.399999999999999" hidden="1" customHeight="1">
      <c r="A537" s="410" t="s">
        <v>19</v>
      </c>
      <c r="B537" s="3"/>
      <c r="C537" s="336" t="s">
        <v>491</v>
      </c>
      <c r="T537" s="6"/>
      <c r="U537" s="6"/>
      <c r="V537" s="271" t="s">
        <v>19</v>
      </c>
      <c r="W537" s="163"/>
      <c r="X537" s="157"/>
      <c r="Y537" s="164"/>
      <c r="Z537" s="158">
        <f>IFERROR(SUMIF($C:$C,$V537,F:F),0)</f>
        <v>0</v>
      </c>
      <c r="AA537" s="157"/>
      <c r="AB537" s="157"/>
      <c r="AC537" s="158"/>
      <c r="AD537" s="165"/>
      <c r="AE537" s="164"/>
      <c r="AF537" s="158">
        <f>IFERROR(SUMIF($C:$C,$V537,L:L),0)</f>
        <v>0</v>
      </c>
      <c r="AG537" s="159"/>
      <c r="AH537" s="160">
        <f t="shared" si="81"/>
        <v>0</v>
      </c>
      <c r="AI537" s="161">
        <f t="shared" si="84"/>
        <v>0</v>
      </c>
      <c r="AJ537" s="165"/>
      <c r="AK537" s="164"/>
      <c r="AL537" s="158">
        <f>IFERROR(SUMIF($C:$C,$V537,R:R),0)</f>
        <v>0</v>
      </c>
      <c r="AM537" s="162"/>
      <c r="AN537" s="160">
        <f t="shared" si="82"/>
        <v>0</v>
      </c>
      <c r="AO537" s="349">
        <f t="shared" si="77"/>
        <v>0</v>
      </c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spans="1:62" ht="17.399999999999999" hidden="1" customHeight="1">
      <c r="A538" s="410" t="s">
        <v>19</v>
      </c>
      <c r="B538" s="3"/>
      <c r="C538" s="336" t="s">
        <v>491</v>
      </c>
      <c r="T538" s="6"/>
      <c r="U538" s="6"/>
      <c r="V538" s="271" t="s">
        <v>19</v>
      </c>
      <c r="W538" s="163"/>
      <c r="X538" s="157"/>
      <c r="Y538" s="164"/>
      <c r="Z538" s="158">
        <f>IFERROR(SUMIF($C:$C,$V538,F:F),0)</f>
        <v>0</v>
      </c>
      <c r="AA538" s="157"/>
      <c r="AB538" s="157"/>
      <c r="AC538" s="158"/>
      <c r="AD538" s="165"/>
      <c r="AE538" s="164"/>
      <c r="AF538" s="158">
        <f>IFERROR(SUMIF($C:$C,$V538,L:L),0)</f>
        <v>0</v>
      </c>
      <c r="AG538" s="159"/>
      <c r="AH538" s="160">
        <f t="shared" si="81"/>
        <v>0</v>
      </c>
      <c r="AI538" s="161">
        <f t="shared" si="84"/>
        <v>0</v>
      </c>
      <c r="AJ538" s="165"/>
      <c r="AK538" s="164"/>
      <c r="AL538" s="158">
        <f>IFERROR(SUMIF($C:$C,$V538,R:R),0)</f>
        <v>0</v>
      </c>
      <c r="AM538" s="162"/>
      <c r="AN538" s="160">
        <f t="shared" si="82"/>
        <v>0</v>
      </c>
      <c r="AO538" s="349">
        <f t="shared" si="77"/>
        <v>0</v>
      </c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spans="1:62" ht="21" customHeight="1">
      <c r="A539" s="410" t="s">
        <v>63</v>
      </c>
      <c r="B539" s="3"/>
      <c r="C539" s="336" t="s">
        <v>491</v>
      </c>
      <c r="T539" s="6"/>
      <c r="U539" s="6"/>
      <c r="V539" s="351" t="s">
        <v>63</v>
      </c>
      <c r="W539" s="189"/>
      <c r="X539" s="171" t="e">
        <f>Z539/+Z494</f>
        <v>#N/A</v>
      </c>
      <c r="Y539" s="170"/>
      <c r="Z539" s="172" t="e">
        <f>+SUM(Z521:Z538)</f>
        <v>#N/A</v>
      </c>
      <c r="AA539" s="171"/>
      <c r="AB539" s="170"/>
      <c r="AC539" s="172"/>
      <c r="AD539" s="173">
        <f>AF539/AF494</f>
        <v>0.23097105852671118</v>
      </c>
      <c r="AE539" s="170"/>
      <c r="AF539" s="172">
        <f>+SUM(AF521:AF538)</f>
        <v>108732.67</v>
      </c>
      <c r="AG539" s="179"/>
      <c r="AH539" s="356" t="e">
        <f>+SUM(AH521:AH538)</f>
        <v>#N/A</v>
      </c>
      <c r="AI539" s="171" t="e">
        <f>AH539/Z539</f>
        <v>#N/A</v>
      </c>
      <c r="AJ539" s="173">
        <f>AL539/AL494</f>
        <v>0.10510606032248264</v>
      </c>
      <c r="AK539" s="170"/>
      <c r="AL539" s="172">
        <f>+SUM(AL521:AL538)</f>
        <v>82944.89</v>
      </c>
      <c r="AM539" s="180"/>
      <c r="AN539" s="175">
        <f t="shared" si="82"/>
        <v>25787.78</v>
      </c>
      <c r="AO539" s="357">
        <f t="shared" si="77"/>
        <v>0.31090257639741276</v>
      </c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spans="1:62" ht="15.75" customHeight="1">
      <c r="A540" s="410" t="s">
        <v>156</v>
      </c>
      <c r="B540" s="3"/>
      <c r="C540" s="336" t="s">
        <v>491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271" t="s">
        <v>156</v>
      </c>
      <c r="W540" s="163" t="s">
        <v>157</v>
      </c>
      <c r="X540" s="157"/>
      <c r="Y540" s="164"/>
      <c r="Z540" s="158" t="e">
        <f>+INDEX('[2]Budget original'!$A$2:$AO$501,MATCH($A540,'[2]Budget original'!$A$2:$A$501,0),MATCH(F$2,'[2]Budget original'!$A$2:$AO$2,0))</f>
        <v>#N/A</v>
      </c>
      <c r="AA540" s="157"/>
      <c r="AB540" s="164"/>
      <c r="AC540" s="158"/>
      <c r="AD540" s="165"/>
      <c r="AE540" s="164"/>
      <c r="AF540" s="158">
        <f>SUMIFS([2]BV_Data_An_Cour!$AM:$AM,[2]BV_Data_An_Cour!$AQ:$AQ,$V540)</f>
        <v>71253.999999999985</v>
      </c>
      <c r="AG540" s="159"/>
      <c r="AH540" s="160" t="e">
        <f t="shared" ref="AH540:AH548" si="86">AF540-Z540</f>
        <v>#N/A</v>
      </c>
      <c r="AI540" s="161" t="e">
        <f t="shared" ref="AI540:AI548" si="87">IF(Z540=0,0,AH540/Z540)</f>
        <v>#N/A</v>
      </c>
      <c r="AJ540" s="165"/>
      <c r="AK540" s="164"/>
      <c r="AL540" s="158">
        <f>SUMIFS([2]BV_Data_An_Prec!$AM:$AM,[2]BV_Data_An_Prec!$AQ:$AQ,$V540)</f>
        <v>146172.65</v>
      </c>
      <c r="AM540" s="162"/>
      <c r="AN540" s="160">
        <f t="shared" si="82"/>
        <v>-74918.650000000009</v>
      </c>
      <c r="AO540" s="349">
        <f t="shared" si="77"/>
        <v>-0.51253534775486398</v>
      </c>
      <c r="AP540" s="6"/>
      <c r="AQ540" s="392">
        <v>71050</v>
      </c>
      <c r="AR540" s="6" t="s">
        <v>515</v>
      </c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spans="1:62" ht="15.75" customHeight="1">
      <c r="A541" s="410" t="s">
        <v>158</v>
      </c>
      <c r="B541" s="3"/>
      <c r="C541" s="336" t="s">
        <v>491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271" t="s">
        <v>158</v>
      </c>
      <c r="W541" s="163" t="s">
        <v>159</v>
      </c>
      <c r="X541" s="157"/>
      <c r="Y541" s="164"/>
      <c r="Z541" s="158" t="e">
        <f>+INDEX('[2]Budget original'!$A$2:$AO$501,MATCH($A541,'[2]Budget original'!$A$2:$A$501,0),MATCH(F$2,'[2]Budget original'!$A$2:$AO$2,0))</f>
        <v>#N/A</v>
      </c>
      <c r="AA541" s="157"/>
      <c r="AB541" s="164"/>
      <c r="AC541" s="158"/>
      <c r="AD541" s="165"/>
      <c r="AE541" s="164"/>
      <c r="AF541" s="158">
        <f>SUMIFS([2]BV_Data_An_Cour!$AM:$AM,[2]BV_Data_An_Cour!$AQ:$AQ,$V541)</f>
        <v>7053.8900000000021</v>
      </c>
      <c r="AG541" s="159"/>
      <c r="AH541" s="160" t="e">
        <f t="shared" si="86"/>
        <v>#N/A</v>
      </c>
      <c r="AI541" s="161" t="e">
        <f t="shared" si="87"/>
        <v>#N/A</v>
      </c>
      <c r="AJ541" s="165"/>
      <c r="AK541" s="164"/>
      <c r="AL541" s="158">
        <f>SUMIFS([2]BV_Data_An_Prec!$AM:$AM,[2]BV_Data_An_Prec!$AQ:$AQ,$V541)</f>
        <v>12238</v>
      </c>
      <c r="AM541" s="162"/>
      <c r="AN541" s="160">
        <f t="shared" si="82"/>
        <v>-5184.1099999999979</v>
      </c>
      <c r="AO541" s="349">
        <f t="shared" si="77"/>
        <v>-0.42360761562346771</v>
      </c>
      <c r="AP541" s="6"/>
      <c r="AQ541" s="392">
        <v>7054</v>
      </c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spans="1:62" ht="15.75" customHeight="1">
      <c r="A542" s="410" t="s">
        <v>160</v>
      </c>
      <c r="B542" s="3"/>
      <c r="C542" s="336" t="s">
        <v>491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272" t="s">
        <v>160</v>
      </c>
      <c r="W542" s="166" t="s">
        <v>161</v>
      </c>
      <c r="X542" s="145"/>
      <c r="Y542" s="167"/>
      <c r="Z542" s="146" t="e">
        <f>+INDEX('[2]Budget original'!$A$2:$AO$501,MATCH($A542,'[2]Budget original'!$A$2:$A$501,0),MATCH(F$2,'[2]Budget original'!$A$2:$AO$2,0))</f>
        <v>#N/A</v>
      </c>
      <c r="AA542" s="145"/>
      <c r="AB542" s="167"/>
      <c r="AC542" s="146"/>
      <c r="AD542" s="168"/>
      <c r="AE542" s="167"/>
      <c r="AF542" s="146">
        <f>SUMIFS([2]BV_Data_An_Cour!$AM:$AM,[2]BV_Data_An_Cour!$AQ:$AQ,$V542)</f>
        <v>14727.61</v>
      </c>
      <c r="AG542" s="147"/>
      <c r="AH542" s="148" t="e">
        <f t="shared" si="86"/>
        <v>#N/A</v>
      </c>
      <c r="AI542" s="169" t="e">
        <f t="shared" si="87"/>
        <v>#N/A</v>
      </c>
      <c r="AJ542" s="168"/>
      <c r="AK542" s="167"/>
      <c r="AL542" s="146">
        <f>SUMIFS([2]BV_Data_An_Prec!$AM:$AM,[2]BV_Data_An_Prec!$AQ:$AQ,$V542)</f>
        <v>10000</v>
      </c>
      <c r="AM542" s="150"/>
      <c r="AN542" s="148">
        <f t="shared" si="82"/>
        <v>4727.6100000000006</v>
      </c>
      <c r="AO542" s="343">
        <f t="shared" si="77"/>
        <v>0.47276100000000004</v>
      </c>
      <c r="AP542" s="6"/>
      <c r="AQ542" s="392">
        <v>14728</v>
      </c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spans="1:62" ht="17.399999999999999" hidden="1" customHeight="1">
      <c r="A543" s="410" t="s">
        <v>162</v>
      </c>
      <c r="B543" s="3"/>
      <c r="C543" s="336" t="s">
        <v>491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271" t="s">
        <v>162</v>
      </c>
      <c r="W543" s="163"/>
      <c r="X543" s="157"/>
      <c r="Y543" s="164"/>
      <c r="Z543" s="158" t="e">
        <f>+INDEX('[2]Budget original'!$A$2:$AO$501,MATCH($A543,'[2]Budget original'!$A$2:$A$501,0),MATCH(F$2,'[2]Budget original'!$A$2:$AO$2,0))</f>
        <v>#N/A</v>
      </c>
      <c r="AA543" s="157"/>
      <c r="AB543" s="164"/>
      <c r="AC543" s="158"/>
      <c r="AD543" s="165"/>
      <c r="AE543" s="164"/>
      <c r="AF543" s="158">
        <f>SUMIFS([2]BV_Data_An_Cour!$AM:$AM,[2]BV_Data_An_Cour!$AQ:$AQ,$V543)</f>
        <v>0</v>
      </c>
      <c r="AG543" s="159"/>
      <c r="AH543" s="160" t="e">
        <f t="shared" si="86"/>
        <v>#N/A</v>
      </c>
      <c r="AI543" s="161" t="e">
        <f t="shared" si="87"/>
        <v>#N/A</v>
      </c>
      <c r="AJ543" s="165"/>
      <c r="AK543" s="164"/>
      <c r="AL543" s="158">
        <f>SUMIFS([2]BV_Data_An_Prec!$AM:$AM,[2]BV_Data_An_Prec!$AQ:$AQ,$V543)</f>
        <v>0</v>
      </c>
      <c r="AM543" s="162"/>
      <c r="AN543" s="160">
        <f t="shared" si="82"/>
        <v>0</v>
      </c>
      <c r="AO543" s="349">
        <f t="shared" si="77"/>
        <v>0</v>
      </c>
      <c r="AP543" s="6"/>
      <c r="AQ543" s="392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spans="1:62" ht="15.75" customHeight="1">
      <c r="A544" s="410" t="s">
        <v>163</v>
      </c>
      <c r="B544" s="3"/>
      <c r="C544" s="336" t="s">
        <v>491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272" t="s">
        <v>163</v>
      </c>
      <c r="W544" s="166" t="s">
        <v>164</v>
      </c>
      <c r="X544" s="145"/>
      <c r="Y544" s="167"/>
      <c r="Z544" s="146" t="e">
        <f>+INDEX('[2]Budget original'!$A$2:$AO$501,MATCH($A544,'[2]Budget original'!$A$2:$A$501,0),MATCH(F$2,'[2]Budget original'!$A$2:$AO$2,0))</f>
        <v>#N/A</v>
      </c>
      <c r="AA544" s="145"/>
      <c r="AB544" s="167"/>
      <c r="AC544" s="146"/>
      <c r="AD544" s="168"/>
      <c r="AE544" s="167"/>
      <c r="AF544" s="146">
        <f>SUMIF([2]BV_Data_An_Cour!$AQ:$AQ,[2]Print_Mois!$V544,[2]BV_Data_An_Cour!$AM:$AM)</f>
        <v>7841.2899999999991</v>
      </c>
      <c r="AG544" s="147"/>
      <c r="AH544" s="148" t="e">
        <f t="shared" si="86"/>
        <v>#N/A</v>
      </c>
      <c r="AI544" s="169" t="e">
        <f t="shared" si="87"/>
        <v>#N/A</v>
      </c>
      <c r="AJ544" s="168"/>
      <c r="AK544" s="167"/>
      <c r="AL544" s="146">
        <f>SUMIFS([2]BV_Data_An_Prec!$AM:$AM,[2]BV_Data_An_Prec!$AQ:$AQ,$V544)</f>
        <v>13073.609999999991</v>
      </c>
      <c r="AM544" s="150"/>
      <c r="AN544" s="148">
        <f t="shared" si="82"/>
        <v>-5232.3199999999924</v>
      </c>
      <c r="AO544" s="343">
        <f t="shared" si="77"/>
        <v>-0.40021998514564805</v>
      </c>
      <c r="AP544" s="6"/>
      <c r="AQ544" s="392">
        <v>7841</v>
      </c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spans="1:62" ht="15.75" customHeight="1">
      <c r="A545" s="410" t="s">
        <v>165</v>
      </c>
      <c r="B545" s="3"/>
      <c r="C545" s="336" t="s">
        <v>491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271" t="s">
        <v>165</v>
      </c>
      <c r="W545" s="163" t="s">
        <v>166</v>
      </c>
      <c r="X545" s="190"/>
      <c r="Y545" s="191"/>
      <c r="Z545" s="158" t="e">
        <f>+INDEX('[2]Budget original'!$A$2:$AO$501,MATCH($A545,'[2]Budget original'!$A$2:$A$501,0),MATCH(F$2,'[2]Budget original'!$A$2:$AO$2,0))</f>
        <v>#N/A</v>
      </c>
      <c r="AA545" s="190"/>
      <c r="AB545" s="191"/>
      <c r="AC545" s="158"/>
      <c r="AD545" s="165"/>
      <c r="AE545" s="164"/>
      <c r="AF545" s="158">
        <f>SUMIFS([2]BV_Data_An_Cour!$AM:$AM,[2]BV_Data_An_Cour!$AQ:$AQ,$V545)</f>
        <v>11100</v>
      </c>
      <c r="AG545" s="159"/>
      <c r="AH545" s="160" t="e">
        <f t="shared" si="86"/>
        <v>#N/A</v>
      </c>
      <c r="AI545" s="161" t="e">
        <f t="shared" si="87"/>
        <v>#N/A</v>
      </c>
      <c r="AJ545" s="165"/>
      <c r="AK545" s="164"/>
      <c r="AL545" s="158">
        <f>SUMIFS([2]BV_Data_An_Prec!$AM:$AM,[2]BV_Data_An_Prec!$AQ:$AQ,$V545)</f>
        <v>9669.4700000000012</v>
      </c>
      <c r="AM545" s="162"/>
      <c r="AN545" s="160">
        <f t="shared" si="82"/>
        <v>1430.5299999999988</v>
      </c>
      <c r="AO545" s="349">
        <f t="shared" si="77"/>
        <v>0.14794295861096821</v>
      </c>
      <c r="AP545" s="6"/>
      <c r="AQ545" s="392">
        <v>11100</v>
      </c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spans="1:62" ht="15.75" customHeight="1">
      <c r="A546" s="410" t="s">
        <v>167</v>
      </c>
      <c r="B546" s="3"/>
      <c r="C546" s="336" t="s">
        <v>491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271" t="s">
        <v>167</v>
      </c>
      <c r="W546" s="163" t="s">
        <v>168</v>
      </c>
      <c r="X546" s="157"/>
      <c r="Y546" s="164"/>
      <c r="Z546" s="158" t="e">
        <f>+INDEX('[2]Budget original'!$A$2:$AO$501,MATCH($A546,'[2]Budget original'!$A$2:$A$501,0),MATCH(F$2,'[2]Budget original'!$A$2:$AO$2,0))</f>
        <v>#N/A</v>
      </c>
      <c r="AA546" s="157"/>
      <c r="AB546" s="164"/>
      <c r="AC546" s="158"/>
      <c r="AD546" s="165"/>
      <c r="AE546" s="164"/>
      <c r="AF546" s="158">
        <f>SUMIFS([2]BV_Data_An_Cour!$AM:$AM,[2]BV_Data_An_Cour!$AQ:$AQ,$V546)</f>
        <v>10525.760000000002</v>
      </c>
      <c r="AG546" s="159"/>
      <c r="AH546" s="160" t="e">
        <f t="shared" si="86"/>
        <v>#N/A</v>
      </c>
      <c r="AI546" s="161" t="e">
        <f t="shared" si="87"/>
        <v>#N/A</v>
      </c>
      <c r="AJ546" s="165"/>
      <c r="AK546" s="164"/>
      <c r="AL546" s="158">
        <f>SUMIFS([2]BV_Data_An_Prec!$AM:$AM,[2]BV_Data_An_Prec!$AQ:$AQ,$V546)</f>
        <v>5066</v>
      </c>
      <c r="AM546" s="162"/>
      <c r="AN546" s="160">
        <f t="shared" si="82"/>
        <v>5459.760000000002</v>
      </c>
      <c r="AO546" s="349">
        <f t="shared" si="77"/>
        <v>1.0777260165811295</v>
      </c>
      <c r="AP546" s="6"/>
      <c r="AQ546" s="6"/>
      <c r="AR546" s="6" t="s">
        <v>516</v>
      </c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spans="1:62" ht="15.75" customHeight="1">
      <c r="A547" s="410" t="s">
        <v>169</v>
      </c>
      <c r="B547" s="3"/>
      <c r="C547" s="336" t="s">
        <v>491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272" t="s">
        <v>169</v>
      </c>
      <c r="W547" s="166" t="s">
        <v>170</v>
      </c>
      <c r="X547" s="145"/>
      <c r="Y547" s="167"/>
      <c r="Z547" s="146" t="e">
        <f>+INDEX('[2]Budget original'!$A$2:$AO$501,MATCH($A547,'[2]Budget original'!$A$2:$A$501,0),MATCH(F$2,'[2]Budget original'!$A$2:$AO$2,0))</f>
        <v>#N/A</v>
      </c>
      <c r="AA547" s="145"/>
      <c r="AB547" s="167"/>
      <c r="AC547" s="146"/>
      <c r="AD547" s="168"/>
      <c r="AE547" s="167"/>
      <c r="AF547" s="146">
        <f>SUMIFS([2]BV_Data_An_Cour!$AM:$AM,[2]BV_Data_An_Cour!$AQ:$AQ,$V547)</f>
        <v>1779.4899999999989</v>
      </c>
      <c r="AG547" s="147"/>
      <c r="AH547" s="148" t="e">
        <f t="shared" si="86"/>
        <v>#N/A</v>
      </c>
      <c r="AI547" s="169" t="e">
        <f t="shared" si="87"/>
        <v>#N/A</v>
      </c>
      <c r="AJ547" s="168"/>
      <c r="AK547" s="167"/>
      <c r="AL547" s="146">
        <f>SUMIFS([2]BV_Data_An_Prec!$AM:$AM,[2]BV_Data_An_Prec!$AQ:$AQ,$V547)</f>
        <v>4467.3999999999978</v>
      </c>
      <c r="AM547" s="150"/>
      <c r="AN547" s="148">
        <f t="shared" si="82"/>
        <v>-2687.9099999999989</v>
      </c>
      <c r="AO547" s="343">
        <f t="shared" si="77"/>
        <v>-0.60167211353359906</v>
      </c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spans="1:62" ht="15.75" customHeight="1">
      <c r="A548" s="410" t="s">
        <v>171</v>
      </c>
      <c r="B548" s="3"/>
      <c r="C548" s="336" t="s">
        <v>491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271" t="s">
        <v>171</v>
      </c>
      <c r="W548" s="163" t="s">
        <v>172</v>
      </c>
      <c r="X548" s="157"/>
      <c r="Y548" s="164"/>
      <c r="Z548" s="158" t="e">
        <f>+INDEX('[2]Budget original'!$A$2:$AO$501,MATCH($A548,'[2]Budget original'!$A$2:$A$501,0),MATCH(F$2,'[2]Budget original'!$A$2:$AO$2,0))</f>
        <v>#N/A</v>
      </c>
      <c r="AA548" s="157"/>
      <c r="AB548" s="164"/>
      <c r="AC548" s="158"/>
      <c r="AD548" s="165"/>
      <c r="AE548" s="164"/>
      <c r="AF548" s="158">
        <f>SUMIFS([2]BV_Data_An_Cour!$AM:$AM,[2]BV_Data_An_Cour!$AQ:$AQ,$V548)</f>
        <v>896.03000000000077</v>
      </c>
      <c r="AG548" s="159"/>
      <c r="AH548" s="160" t="e">
        <f t="shared" si="86"/>
        <v>#N/A</v>
      </c>
      <c r="AI548" s="192" t="e">
        <f t="shared" si="87"/>
        <v>#N/A</v>
      </c>
      <c r="AJ548" s="165"/>
      <c r="AK548" s="164"/>
      <c r="AL548" s="158">
        <f>SUMIFS([2]BV_Data_An_Prec!$AM:$AM,[2]BV_Data_An_Prec!$AQ:$AQ,$V548)</f>
        <v>158.19999999999973</v>
      </c>
      <c r="AM548" s="162"/>
      <c r="AN548" s="160">
        <f t="shared" si="82"/>
        <v>737.83000000000106</v>
      </c>
      <c r="AO548" s="349">
        <f t="shared" si="77"/>
        <v>4.6639064475347807</v>
      </c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spans="1:62" ht="17.399999999999999" hidden="1" customHeight="1">
      <c r="A549" s="410" t="s">
        <v>173</v>
      </c>
      <c r="B549" s="3"/>
      <c r="C549" s="336" t="s">
        <v>491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271" t="s">
        <v>173</v>
      </c>
      <c r="W549" s="163" t="s">
        <v>174</v>
      </c>
      <c r="X549" s="157"/>
      <c r="Y549" s="164"/>
      <c r="Z549" s="158">
        <v>0</v>
      </c>
      <c r="AA549" s="157"/>
      <c r="AB549" s="164"/>
      <c r="AC549" s="158"/>
      <c r="AD549" s="165"/>
      <c r="AE549" s="164"/>
      <c r="AF549" s="158">
        <f>SUMIFS([2]BV_Data_An_Cour!$AM:$AM,[2]BV_Data_An_Cour!$AQ:$AQ,$V549)</f>
        <v>0</v>
      </c>
      <c r="AG549" s="159"/>
      <c r="AH549" s="160">
        <v>0</v>
      </c>
      <c r="AI549" s="177">
        <v>0</v>
      </c>
      <c r="AJ549" s="165"/>
      <c r="AK549" s="164"/>
      <c r="AL549" s="158">
        <f>SUMIFS([2]BV_Data_An_Prec!$AM:$AM,[2]BV_Data_An_Prec!$AQ:$AQ,$V549)</f>
        <v>0</v>
      </c>
      <c r="AM549" s="162"/>
      <c r="AN549" s="160">
        <f t="shared" si="82"/>
        <v>0</v>
      </c>
      <c r="AO549" s="349">
        <f t="shared" si="77"/>
        <v>0</v>
      </c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spans="1:62" ht="17.399999999999999" hidden="1" customHeight="1">
      <c r="A550" s="410" t="s">
        <v>19</v>
      </c>
      <c r="B550" s="3"/>
      <c r="C550" s="336" t="s">
        <v>491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271" t="s">
        <v>19</v>
      </c>
      <c r="W550" s="163"/>
      <c r="X550" s="157"/>
      <c r="Y550" s="164"/>
      <c r="Z550" s="158">
        <f>IFERROR(SUMIF($C:$C,$V550,F:F),0)</f>
        <v>0</v>
      </c>
      <c r="AA550" s="157"/>
      <c r="AB550" s="157"/>
      <c r="AC550" s="158"/>
      <c r="AD550" s="165"/>
      <c r="AE550" s="164"/>
      <c r="AF550" s="158">
        <f>IFERROR(SUMIF($C:$C,$V550,L:L),0)</f>
        <v>0</v>
      </c>
      <c r="AG550" s="159"/>
      <c r="AH550" s="160">
        <f>AF550-Z550</f>
        <v>0</v>
      </c>
      <c r="AI550" s="161">
        <f>IF(Z550=0,0,AH550/Z550)</f>
        <v>0</v>
      </c>
      <c r="AJ550" s="165"/>
      <c r="AK550" s="164"/>
      <c r="AL550" s="158">
        <f>SUMIFS([2]BV_Data_An_Prec!$AM:$AM,[2]BV_Data_An_Prec!$AQ:$AQ,$V550)</f>
        <v>0</v>
      </c>
      <c r="AM550" s="162"/>
      <c r="AN550" s="160">
        <f t="shared" si="82"/>
        <v>0</v>
      </c>
      <c r="AO550" s="349">
        <f t="shared" si="77"/>
        <v>0</v>
      </c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spans="1:62" ht="17.399999999999999" hidden="1" customHeight="1">
      <c r="A551" s="410" t="s">
        <v>19</v>
      </c>
      <c r="B551" s="3"/>
      <c r="C551" s="336" t="s">
        <v>491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271" t="s">
        <v>19</v>
      </c>
      <c r="W551" s="163"/>
      <c r="X551" s="157"/>
      <c r="Y551" s="164"/>
      <c r="Z551" s="158">
        <f>IFERROR(SUMIF($C:$C,$V551,F:F),0)</f>
        <v>0</v>
      </c>
      <c r="AA551" s="157"/>
      <c r="AB551" s="157"/>
      <c r="AC551" s="158"/>
      <c r="AD551" s="165"/>
      <c r="AE551" s="164"/>
      <c r="AF551" s="158">
        <f>IFERROR(SUMIF($C:$C,$V551,L:L),0)</f>
        <v>0</v>
      </c>
      <c r="AG551" s="159"/>
      <c r="AH551" s="160">
        <f>AF551-Z551</f>
        <v>0</v>
      </c>
      <c r="AI551" s="161">
        <f>IF(Z551=0,0,AH551/Z551)</f>
        <v>0</v>
      </c>
      <c r="AJ551" s="165"/>
      <c r="AK551" s="164"/>
      <c r="AL551" s="158">
        <f>SUMIFS([2]BV_Data_An_Prec!$AM:$AM,[2]BV_Data_An_Prec!$AQ:$AQ,$V551)</f>
        <v>0</v>
      </c>
      <c r="AM551" s="162"/>
      <c r="AN551" s="160">
        <f t="shared" si="82"/>
        <v>0</v>
      </c>
      <c r="AO551" s="349">
        <f t="shared" si="77"/>
        <v>0</v>
      </c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spans="1:62" ht="17.399999999999999" hidden="1" customHeight="1">
      <c r="A552" s="410" t="s">
        <v>19</v>
      </c>
      <c r="B552" s="3"/>
      <c r="C552" s="336" t="s">
        <v>491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271" t="s">
        <v>19</v>
      </c>
      <c r="W552" s="163"/>
      <c r="X552" s="157"/>
      <c r="Y552" s="164"/>
      <c r="Z552" s="158">
        <f>IFERROR(SUMIF($C:$C,$V552,F:F),0)</f>
        <v>0</v>
      </c>
      <c r="AA552" s="157"/>
      <c r="AB552" s="157"/>
      <c r="AC552" s="158"/>
      <c r="AD552" s="165"/>
      <c r="AE552" s="164"/>
      <c r="AF552" s="158">
        <f>IFERROR(SUMIF($C:$C,$V552,L:L),0)</f>
        <v>0</v>
      </c>
      <c r="AG552" s="159"/>
      <c r="AH552" s="160">
        <f>AF552-Z552</f>
        <v>0</v>
      </c>
      <c r="AI552" s="161">
        <f>IF(Z552=0,0,AH552/Z552)</f>
        <v>0</v>
      </c>
      <c r="AJ552" s="165"/>
      <c r="AK552" s="164"/>
      <c r="AL552" s="158">
        <f>SUMIFS([2]BV_Data_An_Prec!$AM:$AM,[2]BV_Data_An_Prec!$AQ:$AQ,$V552)</f>
        <v>0</v>
      </c>
      <c r="AM552" s="162"/>
      <c r="AN552" s="160">
        <f t="shared" si="82"/>
        <v>0</v>
      </c>
      <c r="AO552" s="349">
        <f t="shared" si="77"/>
        <v>0</v>
      </c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spans="1:62" ht="21" customHeight="1">
      <c r="A553" s="410" t="s">
        <v>175</v>
      </c>
      <c r="B553" s="3"/>
      <c r="C553" s="336" t="s">
        <v>491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351" t="s">
        <v>175</v>
      </c>
      <c r="W553" s="170"/>
      <c r="X553" s="171" t="e">
        <f>Z553/+Z494</f>
        <v>#N/A</v>
      </c>
      <c r="Y553" s="170"/>
      <c r="Z553" s="172" t="e">
        <f>SUM(Z540:Z552)</f>
        <v>#N/A</v>
      </c>
      <c r="AA553" s="171"/>
      <c r="AB553" s="170"/>
      <c r="AC553" s="172"/>
      <c r="AD553" s="173">
        <f>AF553/AF494</f>
        <v>0.26590454674046676</v>
      </c>
      <c r="AE553" s="170"/>
      <c r="AF553" s="172">
        <f>SUM(AF540:AF552)</f>
        <v>125178.06999999999</v>
      </c>
      <c r="AG553" s="179"/>
      <c r="AH553" s="356" t="e">
        <f>SUM(AH540:AH552)</f>
        <v>#N/A</v>
      </c>
      <c r="AI553" s="171" t="e">
        <f>IF(Z553=0,0,AH553/Z553)</f>
        <v>#N/A</v>
      </c>
      <c r="AJ553" s="173">
        <f>AL553/AL494</f>
        <v>0.25450707536617301</v>
      </c>
      <c r="AK553" s="170"/>
      <c r="AL553" s="172">
        <f>SUM(AL540:AL552)</f>
        <v>200845.33</v>
      </c>
      <c r="AM553" s="180"/>
      <c r="AN553" s="175">
        <f t="shared" si="82"/>
        <v>-75667.259999999995</v>
      </c>
      <c r="AO553" s="357">
        <f t="shared" si="77"/>
        <v>-0.37674393524609212</v>
      </c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spans="1:62" ht="15.75" customHeight="1">
      <c r="A554" s="410" t="s">
        <v>493</v>
      </c>
      <c r="B554" s="3"/>
      <c r="C554" s="336" t="s">
        <v>491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271"/>
      <c r="W554" s="157"/>
      <c r="X554" s="157"/>
      <c r="Y554" s="157"/>
      <c r="Z554" s="193"/>
      <c r="AA554" s="157"/>
      <c r="AB554" s="157"/>
      <c r="AC554" s="193"/>
      <c r="AD554" s="165"/>
      <c r="AE554" s="157"/>
      <c r="AF554" s="158"/>
      <c r="AG554" s="165"/>
      <c r="AH554" s="160">
        <f t="shared" ref="AH554:AH568" si="88">AF554-Z554</f>
        <v>0</v>
      </c>
      <c r="AI554" s="161"/>
      <c r="AJ554" s="165"/>
      <c r="AK554" s="157"/>
      <c r="AL554" s="158"/>
      <c r="AM554" s="194"/>
      <c r="AN554" s="160"/>
      <c r="AO554" s="359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spans="1:62" ht="21" customHeight="1">
      <c r="A555" s="410" t="s">
        <v>64</v>
      </c>
      <c r="B555" s="3"/>
      <c r="C555" s="336" t="s">
        <v>491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351" t="s">
        <v>64</v>
      </c>
      <c r="W555" s="170"/>
      <c r="X555" s="171" t="e">
        <f>Z555/+Z494</f>
        <v>#N/A</v>
      </c>
      <c r="Y555" s="170"/>
      <c r="Z555" s="172" t="e">
        <f>Z506+Z520+Z539+Z553</f>
        <v>#N/A</v>
      </c>
      <c r="AA555" s="171"/>
      <c r="AB555" s="170"/>
      <c r="AC555" s="172"/>
      <c r="AD555" s="173">
        <f>AF555/AF494</f>
        <v>1.0562974784901467</v>
      </c>
      <c r="AE555" s="170"/>
      <c r="AF555" s="172">
        <f>AF506+AF520+AF539+AF553</f>
        <v>497265.95999999996</v>
      </c>
      <c r="AG555" s="179"/>
      <c r="AH555" s="356" t="e">
        <f t="shared" si="88"/>
        <v>#N/A</v>
      </c>
      <c r="AI555" s="171" t="e">
        <f>AH555/Z555</f>
        <v>#N/A</v>
      </c>
      <c r="AJ555" s="173">
        <f>AL555/AL494</f>
        <v>0.92115487795472828</v>
      </c>
      <c r="AK555" s="170"/>
      <c r="AL555" s="172">
        <f>AL506+AL520+AL539+AL553</f>
        <v>726933.25000000012</v>
      </c>
      <c r="AM555" s="180"/>
      <c r="AN555" s="175">
        <f t="shared" ref="AN555:AN568" si="89">AF555-AL555</f>
        <v>-229667.29000000015</v>
      </c>
      <c r="AO555" s="346">
        <f t="shared" ref="AO555:AO568" si="90">IF(AL555=0,0,AN555/AL555)</f>
        <v>-0.31593999861747984</v>
      </c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spans="1:62" ht="15.75" customHeight="1">
      <c r="A556" s="410" t="s">
        <v>176</v>
      </c>
      <c r="B556" s="3"/>
      <c r="C556" s="336" t="s">
        <v>491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271" t="s">
        <v>176</v>
      </c>
      <c r="W556" s="191"/>
      <c r="X556" s="191"/>
      <c r="Y556" s="157"/>
      <c r="Z556" s="183" t="e">
        <f>+INDEX('[2]Budget original'!$A$2:$AO$501,MATCH($A556,'[2]Budget original'!$A$2:$A$501,0),MATCH(F$2,'[2]Budget original'!$A$2:$AO$2,0))</f>
        <v>#N/A</v>
      </c>
      <c r="AA556" s="195"/>
      <c r="AB556" s="196"/>
      <c r="AC556" s="183"/>
      <c r="AD556" s="197"/>
      <c r="AE556" s="196"/>
      <c r="AF556" s="183">
        <f>-SUMIFS([2]BV_Data_An_Cour!$AM:$AM,[2]BV_Data_An_Cour!$AQ:$AQ,$V556)</f>
        <v>3910.6699999999942</v>
      </c>
      <c r="AG556" s="198"/>
      <c r="AH556" s="160" t="e">
        <f t="shared" si="88"/>
        <v>#N/A</v>
      </c>
      <c r="AI556" s="192" t="e">
        <f>IF(AH556=0,0,AH556/Z556)</f>
        <v>#N/A</v>
      </c>
      <c r="AJ556" s="197"/>
      <c r="AK556" s="196"/>
      <c r="AL556" s="183">
        <f>-SUMIFS([2]BV_Data_An_Prec!$AM:$AM,[2]BV_Data_An_Prec!$AQ:$AQ,$V556)</f>
        <v>-19182.250000000036</v>
      </c>
      <c r="AM556" s="199"/>
      <c r="AN556" s="160">
        <f t="shared" si="89"/>
        <v>23092.920000000031</v>
      </c>
      <c r="AO556" s="349">
        <f t="shared" si="90"/>
        <v>-1.2038692019966368</v>
      </c>
      <c r="AP556" s="6"/>
      <c r="AQ556" s="387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spans="1:62" ht="17.399999999999999" hidden="1" customHeight="1">
      <c r="A557" s="410" t="s">
        <v>66</v>
      </c>
      <c r="B557" s="3"/>
      <c r="C557" s="336" t="s">
        <v>491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271" t="s">
        <v>66</v>
      </c>
      <c r="W557" s="157"/>
      <c r="X557" s="157"/>
      <c r="Y557" s="157"/>
      <c r="Z557" s="158" t="e">
        <f t="shared" ref="Z557:Z563" si="91">+SUMIF($C:$C,$V557,F:F)</f>
        <v>#N/A</v>
      </c>
      <c r="AA557" s="190"/>
      <c r="AB557" s="160"/>
      <c r="AC557" s="158"/>
      <c r="AD557" s="202"/>
      <c r="AE557" s="360"/>
      <c r="AF557" s="158">
        <f t="shared" ref="AF557:AF563" si="92">+SUMIF($C:$C,$V557,L:L)</f>
        <v>0</v>
      </c>
      <c r="AG557" s="201"/>
      <c r="AH557" s="160" t="e">
        <f t="shared" si="88"/>
        <v>#N/A</v>
      </c>
      <c r="AI557" s="177" t="e">
        <f>IF(Z557=0,0,AH557/Z557)</f>
        <v>#N/A</v>
      </c>
      <c r="AJ557" s="202"/>
      <c r="AK557" s="360"/>
      <c r="AL557" s="158">
        <f>-SUMIFS([2]BV_Data_An_Prec!$AM:$AM,[2]BV_Data_An_Prec!$AQ:$AQ,$V557)</f>
        <v>0</v>
      </c>
      <c r="AM557" s="202"/>
      <c r="AN557" s="160">
        <f t="shared" si="89"/>
        <v>0</v>
      </c>
      <c r="AO557" s="349">
        <f t="shared" si="90"/>
        <v>0</v>
      </c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spans="1:62" ht="15.75" customHeight="1">
      <c r="A558" s="410" t="s">
        <v>494</v>
      </c>
      <c r="B558" s="3"/>
      <c r="C558" s="336" t="s">
        <v>491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271" t="s">
        <v>332</v>
      </c>
      <c r="W558" s="157"/>
      <c r="X558" s="157"/>
      <c r="Y558" s="157"/>
      <c r="Z558" s="158" t="e">
        <f t="shared" si="91"/>
        <v>#N/A</v>
      </c>
      <c r="AA558" s="190"/>
      <c r="AB558" s="191"/>
      <c r="AC558" s="158"/>
      <c r="AD558" s="200"/>
      <c r="AF558" s="158">
        <f t="shared" si="92"/>
        <v>35241.440000000002</v>
      </c>
      <c r="AG558" s="201"/>
      <c r="AH558" s="160" t="e">
        <f t="shared" si="88"/>
        <v>#N/A</v>
      </c>
      <c r="AI558" s="177" t="e">
        <f t="shared" ref="AI558:AI567" si="93">IF(AH558=0,0,AH558/Z558)</f>
        <v>#N/A</v>
      </c>
      <c r="AJ558" s="200"/>
      <c r="AL558" s="158">
        <f>-SUMIFS([2]BV_Data_An_Prec!$AM:$AM,[2]BV_Data_An_Prec!$AQ:$AQ,$V558)</f>
        <v>25446.580000000016</v>
      </c>
      <c r="AM558" s="202"/>
      <c r="AN558" s="160">
        <f t="shared" si="89"/>
        <v>9794.859999999986</v>
      </c>
      <c r="AO558" s="349">
        <f t="shared" si="90"/>
        <v>0.38491852343222466</v>
      </c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spans="1:62" ht="17.399999999999999" hidden="1" customHeight="1">
      <c r="A559" s="410" t="s">
        <v>187</v>
      </c>
      <c r="B559" s="3"/>
      <c r="C559" s="336" t="s">
        <v>491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271" t="s">
        <v>187</v>
      </c>
      <c r="W559" s="157"/>
      <c r="X559" s="157"/>
      <c r="Y559" s="157"/>
      <c r="Z559" s="158" t="e">
        <f t="shared" si="91"/>
        <v>#N/A</v>
      </c>
      <c r="AA559" s="190"/>
      <c r="AB559" s="191"/>
      <c r="AC559" s="158"/>
      <c r="AD559" s="200"/>
      <c r="AE559" s="191"/>
      <c r="AF559" s="158">
        <f t="shared" si="92"/>
        <v>0</v>
      </c>
      <c r="AG559" s="201"/>
      <c r="AH559" s="160" t="e">
        <f t="shared" si="88"/>
        <v>#N/A</v>
      </c>
      <c r="AI559" s="177" t="e">
        <f t="shared" si="93"/>
        <v>#N/A</v>
      </c>
      <c r="AJ559" s="200"/>
      <c r="AK559" s="191"/>
      <c r="AL559" s="158">
        <f>-SUMIFS([2]BV_Data_An_Prec!$AM:$AM,[2]BV_Data_An_Prec!$AQ:$AQ,$V559)</f>
        <v>0</v>
      </c>
      <c r="AM559" s="202"/>
      <c r="AN559" s="160">
        <f t="shared" si="89"/>
        <v>0</v>
      </c>
      <c r="AO559" s="349">
        <f t="shared" si="90"/>
        <v>0</v>
      </c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spans="1:62" ht="17.399999999999999" hidden="1" customHeight="1">
      <c r="A560" s="410" t="s">
        <v>65</v>
      </c>
      <c r="B560" s="3"/>
      <c r="C560" s="336" t="s">
        <v>491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271" t="s">
        <v>65</v>
      </c>
      <c r="W560" s="157"/>
      <c r="X560" s="157"/>
      <c r="Y560" s="157"/>
      <c r="Z560" s="158" t="e">
        <f t="shared" si="91"/>
        <v>#N/A</v>
      </c>
      <c r="AA560" s="190"/>
      <c r="AB560" s="191"/>
      <c r="AC560" s="158"/>
      <c r="AD560" s="200"/>
      <c r="AE560" s="191"/>
      <c r="AF560" s="158">
        <f t="shared" si="92"/>
        <v>0</v>
      </c>
      <c r="AG560" s="201"/>
      <c r="AH560" s="160" t="e">
        <f t="shared" si="88"/>
        <v>#N/A</v>
      </c>
      <c r="AI560" s="177" t="e">
        <f t="shared" si="93"/>
        <v>#N/A</v>
      </c>
      <c r="AJ560" s="200"/>
      <c r="AK560" s="191"/>
      <c r="AL560" s="158">
        <f>-SUMIFS([2]BV_Data_An_Prec!$AM:$AM,[2]BV_Data_An_Prec!$AQ:$AQ,$V560)</f>
        <v>0</v>
      </c>
      <c r="AM560" s="202"/>
      <c r="AN560" s="160">
        <f t="shared" si="89"/>
        <v>0</v>
      </c>
      <c r="AO560" s="349">
        <f t="shared" si="90"/>
        <v>0</v>
      </c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spans="1:62" ht="17.399999999999999" hidden="1" customHeight="1">
      <c r="A561" s="410" t="s">
        <v>267</v>
      </c>
      <c r="B561" s="3"/>
      <c r="C561" s="336" t="s">
        <v>491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271" t="s">
        <v>267</v>
      </c>
      <c r="W561" s="157"/>
      <c r="X561" s="157"/>
      <c r="Y561" s="157"/>
      <c r="Z561" s="158" t="e">
        <f t="shared" si="91"/>
        <v>#N/A</v>
      </c>
      <c r="AA561" s="190"/>
      <c r="AB561" s="191"/>
      <c r="AC561" s="158"/>
      <c r="AD561" s="200"/>
      <c r="AE561" s="191"/>
      <c r="AF561" s="158">
        <f t="shared" si="92"/>
        <v>0</v>
      </c>
      <c r="AG561" s="201"/>
      <c r="AH561" s="160" t="e">
        <f t="shared" si="88"/>
        <v>#N/A</v>
      </c>
      <c r="AI561" s="177" t="e">
        <f t="shared" si="93"/>
        <v>#N/A</v>
      </c>
      <c r="AJ561" s="200"/>
      <c r="AK561" s="191"/>
      <c r="AL561" s="158">
        <f>-SUMIFS([2]BV_Data_An_Prec!$AM:$AM,[2]BV_Data_An_Prec!$AQ:$AQ,$V561)</f>
        <v>0</v>
      </c>
      <c r="AM561" s="202"/>
      <c r="AN561" s="160">
        <f t="shared" si="89"/>
        <v>0</v>
      </c>
      <c r="AO561" s="349">
        <f t="shared" si="90"/>
        <v>0</v>
      </c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spans="1:62" ht="17.399999999999999" hidden="1" customHeight="1">
      <c r="A562" s="410" t="s">
        <v>269</v>
      </c>
      <c r="B562" s="3"/>
      <c r="C562" s="336" t="s">
        <v>491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271" t="s">
        <v>269</v>
      </c>
      <c r="W562" s="157"/>
      <c r="X562" s="157"/>
      <c r="Y562" s="157"/>
      <c r="Z562" s="158" t="e">
        <f t="shared" si="91"/>
        <v>#N/A</v>
      </c>
      <c r="AA562" s="190"/>
      <c r="AB562" s="191"/>
      <c r="AC562" s="158"/>
      <c r="AD562" s="200"/>
      <c r="AE562" s="191"/>
      <c r="AF562" s="158">
        <f t="shared" si="92"/>
        <v>0</v>
      </c>
      <c r="AG562" s="201"/>
      <c r="AH562" s="160" t="e">
        <f t="shared" si="88"/>
        <v>#N/A</v>
      </c>
      <c r="AI562" s="177" t="e">
        <f t="shared" si="93"/>
        <v>#N/A</v>
      </c>
      <c r="AJ562" s="200"/>
      <c r="AK562" s="191"/>
      <c r="AL562" s="158">
        <f>-SUMIFS([2]BV_Data_An_Prec!$AM:$AM,[2]BV_Data_An_Prec!$AQ:$AQ,$V562)</f>
        <v>0</v>
      </c>
      <c r="AM562" s="202"/>
      <c r="AN562" s="160">
        <f t="shared" si="89"/>
        <v>0</v>
      </c>
      <c r="AO562" s="349">
        <f t="shared" si="90"/>
        <v>0</v>
      </c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spans="1:62" ht="17.399999999999999" hidden="1" customHeight="1">
      <c r="A563" s="410" t="s">
        <v>77</v>
      </c>
      <c r="B563" s="3"/>
      <c r="C563" s="336" t="s">
        <v>491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271" t="s">
        <v>77</v>
      </c>
      <c r="W563" s="157"/>
      <c r="X563" s="157"/>
      <c r="Y563" s="157"/>
      <c r="Z563" s="158" t="e">
        <f t="shared" si="91"/>
        <v>#N/A</v>
      </c>
      <c r="AA563" s="190"/>
      <c r="AB563" s="191"/>
      <c r="AC563" s="158"/>
      <c r="AD563" s="200"/>
      <c r="AE563" s="191"/>
      <c r="AF563" s="158">
        <f t="shared" si="92"/>
        <v>0</v>
      </c>
      <c r="AG563" s="201"/>
      <c r="AH563" s="160" t="e">
        <f t="shared" si="88"/>
        <v>#N/A</v>
      </c>
      <c r="AI563" s="177" t="e">
        <f t="shared" si="93"/>
        <v>#N/A</v>
      </c>
      <c r="AJ563" s="200"/>
      <c r="AK563" s="191"/>
      <c r="AL563" s="158">
        <f>-SUMIFS([2]BV_Data_An_Prec!$AM:$AM,[2]BV_Data_An_Prec!$AQ:$AQ,$V563)</f>
        <v>0</v>
      </c>
      <c r="AM563" s="202"/>
      <c r="AN563" s="160">
        <f t="shared" si="89"/>
        <v>0</v>
      </c>
      <c r="AO563" s="349">
        <f t="shared" si="90"/>
        <v>0</v>
      </c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spans="1:62" ht="17.399999999999999" hidden="1" customHeight="1">
      <c r="A564" s="410" t="s">
        <v>19</v>
      </c>
      <c r="B564" s="3"/>
      <c r="C564" s="336" t="s">
        <v>491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271" t="s">
        <v>19</v>
      </c>
      <c r="W564" s="157"/>
      <c r="X564" s="157"/>
      <c r="Y564" s="157"/>
      <c r="Z564" s="158" t="e">
        <f>+INDEX('[2]Budget original'!$A$2:$AO$501,MATCH($A564,'[2]Budget original'!$A$2:$A$501,0),MATCH(F$2,'[2]Budget original'!$A$2:$AO$2,0))</f>
        <v>#N/A</v>
      </c>
      <c r="AA564" s="157"/>
      <c r="AB564" s="157"/>
      <c r="AC564" s="158"/>
      <c r="AD564" s="165"/>
      <c r="AE564" s="164"/>
      <c r="AF564" s="158">
        <f>IFERROR(SUMIF($C:$C,$V564,L:L),0)</f>
        <v>0</v>
      </c>
      <c r="AG564" s="159"/>
      <c r="AH564" s="160" t="e">
        <f t="shared" si="88"/>
        <v>#N/A</v>
      </c>
      <c r="AI564" s="161" t="e">
        <f t="shared" si="93"/>
        <v>#N/A</v>
      </c>
      <c r="AJ564" s="165"/>
      <c r="AK564" s="164"/>
      <c r="AL564" s="158">
        <f>-SUMIFS([2]BV_Data_An_Prec!$AM:$AM,[2]BV_Data_An_Prec!$AQ:$AQ,$V564)</f>
        <v>0</v>
      </c>
      <c r="AM564" s="202"/>
      <c r="AN564" s="160">
        <f t="shared" si="89"/>
        <v>0</v>
      </c>
      <c r="AO564" s="349">
        <f t="shared" si="90"/>
        <v>0</v>
      </c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spans="1:62" ht="17.399999999999999" hidden="1" customHeight="1">
      <c r="A565" s="410" t="s">
        <v>19</v>
      </c>
      <c r="B565" s="3"/>
      <c r="C565" s="336" t="s">
        <v>491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271" t="s">
        <v>19</v>
      </c>
      <c r="W565" s="157"/>
      <c r="X565" s="157"/>
      <c r="Y565" s="157"/>
      <c r="Z565" s="158">
        <f>IFERROR(SUMIF($C:$C,$V565,F:F),0)</f>
        <v>0</v>
      </c>
      <c r="AA565" s="157"/>
      <c r="AB565" s="157"/>
      <c r="AC565" s="158"/>
      <c r="AD565" s="165"/>
      <c r="AE565" s="164"/>
      <c r="AF565" s="158">
        <f>IFERROR(SUMIF($C:$C,$V565,L:L),0)</f>
        <v>0</v>
      </c>
      <c r="AG565" s="159"/>
      <c r="AH565" s="160">
        <f t="shared" si="88"/>
        <v>0</v>
      </c>
      <c r="AI565" s="161">
        <f t="shared" si="93"/>
        <v>0</v>
      </c>
      <c r="AJ565" s="165"/>
      <c r="AK565" s="164"/>
      <c r="AL565" s="158">
        <f>-SUMIFS([2]BV_Data_An_Prec!$AM:$AM,[2]BV_Data_An_Prec!$AQ:$AQ,$V565)</f>
        <v>0</v>
      </c>
      <c r="AM565" s="202"/>
      <c r="AN565" s="160">
        <f t="shared" si="89"/>
        <v>0</v>
      </c>
      <c r="AO565" s="349">
        <f t="shared" si="90"/>
        <v>0</v>
      </c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spans="1:62" ht="17.399999999999999" hidden="1" customHeight="1">
      <c r="A566" s="410" t="s">
        <v>19</v>
      </c>
      <c r="B566" s="3"/>
      <c r="C566" s="336" t="s">
        <v>491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271" t="s">
        <v>19</v>
      </c>
      <c r="W566" s="157"/>
      <c r="X566" s="157"/>
      <c r="Y566" s="157"/>
      <c r="Z566" s="158">
        <f>IFERROR(SUMIF($C:$C,$V566,F:F),0)</f>
        <v>0</v>
      </c>
      <c r="AA566" s="157"/>
      <c r="AB566" s="157"/>
      <c r="AC566" s="158"/>
      <c r="AD566" s="165"/>
      <c r="AE566" s="164"/>
      <c r="AF566" s="158">
        <f>IFERROR(SUMIF($C:$C,$V566,L:L),0)</f>
        <v>0</v>
      </c>
      <c r="AG566" s="159"/>
      <c r="AH566" s="160">
        <f t="shared" si="88"/>
        <v>0</v>
      </c>
      <c r="AI566" s="161">
        <f t="shared" si="93"/>
        <v>0</v>
      </c>
      <c r="AJ566" s="165"/>
      <c r="AK566" s="164"/>
      <c r="AL566" s="158">
        <f>-SUMIFS([2]BV_Data_An_Prec!$AM:$AM,[2]BV_Data_An_Prec!$AQ:$AQ,$V566)</f>
        <v>0</v>
      </c>
      <c r="AM566" s="202"/>
      <c r="AN566" s="160">
        <f t="shared" si="89"/>
        <v>0</v>
      </c>
      <c r="AO566" s="349">
        <f t="shared" si="90"/>
        <v>0</v>
      </c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spans="1:62" ht="15.75" customHeight="1">
      <c r="A567" s="410" t="s">
        <v>67</v>
      </c>
      <c r="B567" s="3"/>
      <c r="C567" s="336" t="s">
        <v>491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272" t="s">
        <v>67</v>
      </c>
      <c r="W567" s="157"/>
      <c r="X567" s="157"/>
      <c r="Y567" s="157"/>
      <c r="Z567" s="158" t="e">
        <f>+SUMIF($C:$C,$V567,F:F)</f>
        <v>#N/A</v>
      </c>
      <c r="AA567" s="190"/>
      <c r="AB567" s="191"/>
      <c r="AC567" s="158"/>
      <c r="AD567" s="361">
        <f>AF567/499</f>
        <v>49.118917835671333</v>
      </c>
      <c r="AE567" s="190">
        <f>(AF567/399)/(J13+J15+J97)</f>
        <v>0.79778472154411995</v>
      </c>
      <c r="AF567" s="158">
        <f>+SUMIF($C:$C,$V567,L:L)</f>
        <v>24510.339999999997</v>
      </c>
      <c r="AG567" s="201"/>
      <c r="AH567" s="160" t="e">
        <f t="shared" si="88"/>
        <v>#N/A</v>
      </c>
      <c r="AI567" s="177" t="e">
        <f t="shared" si="93"/>
        <v>#N/A</v>
      </c>
      <c r="AJ567" s="361">
        <f>AL567/499</f>
        <v>0</v>
      </c>
      <c r="AK567" s="190">
        <f>(AL567/399)/(P13+P15+P97)</f>
        <v>0</v>
      </c>
      <c r="AL567" s="158">
        <f>-SUMIFS([2]BV_Data_An_Prec!$AM:$AM,[2]BV_Data_An_Prec!$AQ:$AQ,$V567)</f>
        <v>0</v>
      </c>
      <c r="AM567" s="202"/>
      <c r="AN567" s="160">
        <f t="shared" si="89"/>
        <v>24510.339999999997</v>
      </c>
      <c r="AO567" s="349">
        <f t="shared" si="90"/>
        <v>0</v>
      </c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spans="1:62" ht="21" customHeight="1">
      <c r="A568" s="410" t="s">
        <v>177</v>
      </c>
      <c r="B568" s="3"/>
      <c r="C568" s="336" t="s">
        <v>491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351" t="s">
        <v>177</v>
      </c>
      <c r="W568" s="170"/>
      <c r="X568" s="171" t="e">
        <f>Z568/+Z494</f>
        <v>#N/A</v>
      </c>
      <c r="Y568" s="189"/>
      <c r="Z568" s="172" t="e">
        <f>SUM(Z556:Z567)</f>
        <v>#N/A</v>
      </c>
      <c r="AA568" s="171"/>
      <c r="AB568" s="189"/>
      <c r="AC568" s="172"/>
      <c r="AD568" s="171">
        <f>AF568/+AF494</f>
        <v>0.13523243257894635</v>
      </c>
      <c r="AE568" s="189"/>
      <c r="AF568" s="172">
        <f>SUM(AF556:AF567)</f>
        <v>63662.44999999999</v>
      </c>
      <c r="AG568" s="179"/>
      <c r="AH568" s="175" t="e">
        <f t="shared" si="88"/>
        <v>#N/A</v>
      </c>
      <c r="AI568" s="171" t="e">
        <f>AH568/Z568</f>
        <v>#N/A</v>
      </c>
      <c r="AJ568" s="171">
        <f>AL568/+AL494</f>
        <v>7.9380302615379393E-3</v>
      </c>
      <c r="AK568" s="189"/>
      <c r="AL568" s="172">
        <f>SUM(AL556:AL567)</f>
        <v>6264.3299999999799</v>
      </c>
      <c r="AM568" s="203"/>
      <c r="AN568" s="175">
        <f t="shared" si="89"/>
        <v>57398.12000000001</v>
      </c>
      <c r="AO568" s="357">
        <f t="shared" si="90"/>
        <v>9.162690982116235</v>
      </c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spans="1:62" ht="6" customHeight="1" thickBot="1">
      <c r="A569" s="410" t="s">
        <v>493</v>
      </c>
      <c r="B569" s="3"/>
      <c r="C569" s="336" t="s">
        <v>491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362"/>
      <c r="W569" s="204"/>
      <c r="X569" s="204"/>
      <c r="Y569" s="205"/>
      <c r="Z569" s="206"/>
      <c r="AA569" s="204"/>
      <c r="AB569" s="207"/>
      <c r="AC569" s="206"/>
      <c r="AD569" s="204"/>
      <c r="AE569" s="207"/>
      <c r="AF569" s="206"/>
      <c r="AG569" s="208"/>
      <c r="AH569" s="209"/>
      <c r="AI569" s="210"/>
      <c r="AJ569" s="204"/>
      <c r="AK569" s="207"/>
      <c r="AL569" s="206"/>
      <c r="AM569" s="211"/>
      <c r="AN569" s="209"/>
      <c r="AO569" s="363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spans="1:62" ht="21" customHeight="1" thickTop="1" thickBot="1">
      <c r="A570" s="410" t="s">
        <v>178</v>
      </c>
      <c r="B570" s="3"/>
      <c r="C570" s="336" t="s">
        <v>491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237" t="s">
        <v>178</v>
      </c>
      <c r="W570" s="238"/>
      <c r="X570" s="239" t="s">
        <v>179</v>
      </c>
      <c r="Y570" s="240" t="e">
        <f>Z570/Z493</f>
        <v>#N/A</v>
      </c>
      <c r="Z570" s="241" t="e">
        <f>Z494-Z555+Z568</f>
        <v>#N/A</v>
      </c>
      <c r="AA570" s="239"/>
      <c r="AB570" s="240"/>
      <c r="AC570" s="241"/>
      <c r="AD570" s="239" t="s">
        <v>179</v>
      </c>
      <c r="AE570" s="240">
        <f>AF570/AF493</f>
        <v>2.6640060589898356E-3</v>
      </c>
      <c r="AF570" s="241">
        <f>AF494-AF555+AF568</f>
        <v>37159.66999999711</v>
      </c>
      <c r="AG570" s="243"/>
      <c r="AH570" s="243" t="e">
        <f>AF570-Z570</f>
        <v>#N/A</v>
      </c>
      <c r="AI570" s="244" t="e">
        <f>AH570/Z570</f>
        <v>#N/A</v>
      </c>
      <c r="AJ570" s="239" t="s">
        <v>179</v>
      </c>
      <c r="AK570" s="240">
        <f>AL570/AL493</f>
        <v>3.6459318245816975E-3</v>
      </c>
      <c r="AL570" s="241">
        <f>AL494-AL555+AL568</f>
        <v>68485.289999989123</v>
      </c>
      <c r="AM570" s="245"/>
      <c r="AN570" s="242">
        <f>AF570-AL570</f>
        <v>-31325.619999992014</v>
      </c>
      <c r="AO570" s="364">
        <f>IF(AL570=0,0,AN570/AL570)</f>
        <v>-0.45740654671969688</v>
      </c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spans="1:62" ht="8.25" customHeight="1" thickTop="1">
      <c r="A571" s="410" t="s">
        <v>493</v>
      </c>
      <c r="B571" s="3"/>
      <c r="C571" s="336" t="s">
        <v>491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2"/>
      <c r="W571" s="2"/>
      <c r="X571" s="2"/>
      <c r="Y571" s="2"/>
      <c r="Z571" s="55"/>
      <c r="AA571" s="7"/>
      <c r="AB571" s="7"/>
      <c r="AC571" s="55"/>
      <c r="AD571" s="7"/>
      <c r="AE571" s="7"/>
      <c r="AF571" s="55"/>
      <c r="AG571" s="7"/>
      <c r="AH571" s="7"/>
      <c r="AI571" s="7"/>
      <c r="AJ571" s="7"/>
      <c r="AK571" s="7"/>
      <c r="AL571" s="55"/>
      <c r="AM571" s="7"/>
      <c r="AN571" s="7"/>
      <c r="AO571" s="7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spans="1:62" ht="22.8">
      <c r="A572" s="410" t="s">
        <v>495</v>
      </c>
      <c r="B572" s="3"/>
      <c r="C572" s="336" t="s">
        <v>491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365" t="str">
        <f>C1</f>
        <v>Ste-Marie Auto</v>
      </c>
      <c r="W572" s="365"/>
      <c r="X572" s="365"/>
      <c r="Y572" s="365"/>
      <c r="Z572" s="365"/>
      <c r="AA572" s="365"/>
      <c r="AB572" s="365"/>
      <c r="AC572" s="365"/>
      <c r="AD572" s="365"/>
      <c r="AE572" s="366" t="s">
        <v>180</v>
      </c>
      <c r="AF572" s="365"/>
      <c r="AG572" s="365"/>
      <c r="AH572" s="365"/>
      <c r="AI572" s="365"/>
      <c r="AJ572" s="365"/>
      <c r="AK572" s="366"/>
      <c r="AL572" s="365"/>
      <c r="AM572" s="365"/>
      <c r="AN572" s="365"/>
      <c r="AO572" s="367" t="str">
        <f>$S$1</f>
        <v>Réalisé, Aout 2026</v>
      </c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spans="1:62" ht="19.5" customHeight="1">
      <c r="A573" s="410" t="s">
        <v>493</v>
      </c>
      <c r="B573" s="3"/>
      <c r="C573" s="336" t="s">
        <v>491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2"/>
      <c r="W573" s="2"/>
      <c r="X573" s="2"/>
      <c r="Y573" s="2"/>
      <c r="Z573" s="55"/>
      <c r="AA573" s="7"/>
      <c r="AB573" s="7"/>
      <c r="AC573" s="55"/>
      <c r="AD573" s="7"/>
      <c r="AE573" s="7"/>
      <c r="AF573" s="55"/>
      <c r="AG573" s="7"/>
      <c r="AH573" s="7"/>
      <c r="AI573" s="7"/>
      <c r="AJ573" s="7"/>
      <c r="AK573" s="7"/>
      <c r="AL573" s="55"/>
      <c r="AM573" s="7"/>
      <c r="AN573" s="7"/>
      <c r="AO573" s="7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spans="1:62" ht="19.5" customHeight="1" thickBot="1">
      <c r="A574" s="410" t="s">
        <v>493</v>
      </c>
      <c r="B574" s="3"/>
      <c r="C574" s="336" t="s">
        <v>491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2"/>
      <c r="W574" s="2"/>
      <c r="X574" s="2"/>
      <c r="Y574" s="2"/>
      <c r="Z574" s="55"/>
      <c r="AA574" s="7"/>
      <c r="AB574" s="7"/>
      <c r="AC574" s="55"/>
      <c r="AD574" s="7"/>
      <c r="AE574" s="7"/>
      <c r="AF574" s="55"/>
      <c r="AG574" s="7"/>
      <c r="AH574" s="7"/>
      <c r="AI574" s="7"/>
      <c r="AJ574" s="7"/>
      <c r="AK574" s="7"/>
      <c r="AL574" s="55"/>
      <c r="AM574" s="7"/>
      <c r="AN574" s="7"/>
      <c r="AO574" s="7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spans="1:62" ht="19.2" hidden="1" customHeight="1">
      <c r="A575" s="410" t="s">
        <v>493</v>
      </c>
      <c r="B575" s="3"/>
      <c r="C575" s="336" t="s">
        <v>491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237" t="s">
        <v>208</v>
      </c>
      <c r="W575" s="238"/>
      <c r="X575" s="239" t="s">
        <v>179</v>
      </c>
      <c r="Y575" s="240" t="e">
        <f>Z575/Z493</f>
        <v>#N/A</v>
      </c>
      <c r="Z575" s="242" t="e">
        <f>Z576+Z502</f>
        <v>#N/A</v>
      </c>
      <c r="AA575" s="239"/>
      <c r="AB575" s="240"/>
      <c r="AC575" s="241"/>
      <c r="AD575" s="239" t="s">
        <v>179</v>
      </c>
      <c r="AE575" s="240">
        <f>AF575/AF493</f>
        <v>5.8079088253176533E-3</v>
      </c>
      <c r="AF575" s="242">
        <f>AF576+AF502</f>
        <v>81013.319999997155</v>
      </c>
      <c r="AG575" s="243"/>
      <c r="AH575" s="243" t="e">
        <f t="shared" ref="AH575" si="94">AF575-Z575</f>
        <v>#N/A</v>
      </c>
      <c r="AI575" s="244" t="e">
        <f>AH575/Z575</f>
        <v>#N/A</v>
      </c>
      <c r="AJ575" s="239" t="s">
        <v>179</v>
      </c>
      <c r="AK575" s="240">
        <f>IF($AL$493=0,0,AL575/$AL$493)</f>
        <v>8.8212394626782011E-3</v>
      </c>
      <c r="AL575" s="242">
        <f>AL576+AL502</f>
        <v>165698.41999998913</v>
      </c>
      <c r="AM575" s="245"/>
      <c r="AN575" s="242">
        <f t="shared" ref="AN575:AN585" si="95">AF575-AL575</f>
        <v>-84685.099999991973</v>
      </c>
      <c r="AO575" s="246">
        <f t="shared" ref="AO575:AO585" si="96">IF(AL575=0,0,AN575/AL575)</f>
        <v>-0.5110797073381721</v>
      </c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spans="1:62" ht="21" customHeight="1" thickTop="1" thickBot="1">
      <c r="A576" s="410" t="s">
        <v>178</v>
      </c>
      <c r="B576" s="3"/>
      <c r="C576" s="336" t="s">
        <v>491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237" t="s">
        <v>178</v>
      </c>
      <c r="W576" s="238"/>
      <c r="X576" s="239" t="s">
        <v>179</v>
      </c>
      <c r="Y576" s="240" t="e">
        <f>Z576/Z493</f>
        <v>#N/A</v>
      </c>
      <c r="Z576" s="241" t="e">
        <f>Z570</f>
        <v>#N/A</v>
      </c>
      <c r="AA576" s="239"/>
      <c r="AB576" s="240"/>
      <c r="AC576" s="241"/>
      <c r="AD576" s="239" t="s">
        <v>179</v>
      </c>
      <c r="AE576" s="240">
        <f>AF576/AF493</f>
        <v>2.6640060589898356E-3</v>
      </c>
      <c r="AF576" s="241">
        <f>AF570</f>
        <v>37159.66999999711</v>
      </c>
      <c r="AG576" s="242"/>
      <c r="AH576" s="243" t="e">
        <f>AF576-Z576</f>
        <v>#N/A</v>
      </c>
      <c r="AI576" s="244" t="e">
        <f>AH576/Z576</f>
        <v>#N/A</v>
      </c>
      <c r="AJ576" s="239" t="s">
        <v>179</v>
      </c>
      <c r="AK576" s="240">
        <f>IF($AL$493=0,0,AL576/$AL$493)</f>
        <v>3.6459318245816975E-3</v>
      </c>
      <c r="AL576" s="241">
        <f>AL570</f>
        <v>68485.289999989123</v>
      </c>
      <c r="AM576" s="368"/>
      <c r="AN576" s="369">
        <f t="shared" si="95"/>
        <v>-31325.619999992014</v>
      </c>
      <c r="AO576" s="370">
        <f t="shared" si="96"/>
        <v>-0.45740654671969688</v>
      </c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spans="1:62" ht="15.75" customHeight="1" thickTop="1">
      <c r="A577" s="410" t="s">
        <v>493</v>
      </c>
      <c r="B577" s="3"/>
      <c r="C577" s="336" t="s">
        <v>491</v>
      </c>
      <c r="D577" s="6"/>
      <c r="E577" s="6"/>
      <c r="F577" s="97"/>
      <c r="G577" s="6"/>
      <c r="H577" s="6"/>
      <c r="I577" s="97"/>
      <c r="J577" s="6"/>
      <c r="K577" s="6"/>
      <c r="L577" s="6"/>
      <c r="M577" s="97"/>
      <c r="N577" s="6"/>
      <c r="O577" s="6"/>
      <c r="P577" s="6"/>
      <c r="Q577" s="97"/>
      <c r="R577" s="97"/>
      <c r="S577" s="97"/>
      <c r="T577" s="358"/>
      <c r="U577" s="6"/>
      <c r="V577" s="371"/>
      <c r="W577" s="6"/>
      <c r="X577" s="6"/>
      <c r="Y577" s="6"/>
      <c r="Z577" s="372"/>
      <c r="AA577" s="6"/>
      <c r="AB577" s="6"/>
      <c r="AC577" s="6"/>
      <c r="AD577" s="388"/>
      <c r="AE577" s="6"/>
      <c r="AF577" s="372"/>
      <c r="AG577" s="6"/>
      <c r="AH577" s="6"/>
      <c r="AI577" s="373"/>
      <c r="AJ577" s="6"/>
      <c r="AK577" s="6"/>
      <c r="AL577" s="372"/>
      <c r="AM577" s="212"/>
      <c r="AN577" s="97"/>
      <c r="AO577" s="374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spans="1:62" ht="15.75" customHeight="1">
      <c r="A578" s="410" t="s">
        <v>181</v>
      </c>
      <c r="B578" s="3"/>
      <c r="C578" s="336" t="s">
        <v>491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271" t="s">
        <v>181</v>
      </c>
      <c r="W578" s="163"/>
      <c r="X578" s="157"/>
      <c r="Y578" s="164"/>
      <c r="Z578" s="158" t="e">
        <f>+INDEX('[2]Budget original'!$A$2:$AO$501,MATCH($A578,'[2]Budget original'!$A$2:$A$501,0),MATCH(F$2,'[2]Budget original'!$A$2:$AO$2,0))</f>
        <v>#N/A</v>
      </c>
      <c r="AA578" s="157"/>
      <c r="AB578" s="164"/>
      <c r="AC578" s="160"/>
      <c r="AD578" s="389"/>
      <c r="AE578" s="164"/>
      <c r="AF578" s="158">
        <f>SUMIFS([2]BV_Data_An_Cour!$AM:$AM,[2]BV_Data_An_Cour!$AQ:$AQ,$V578)</f>
        <v>10810</v>
      </c>
      <c r="AG578" s="157"/>
      <c r="AH578" s="160" t="e">
        <f t="shared" ref="AH578:AH585" si="97">AF578-Z578</f>
        <v>#N/A</v>
      </c>
      <c r="AI578" s="177" t="e">
        <f t="shared" ref="AI578:AI584" si="98">IF(Z578=0,0,AH578/Z578)</f>
        <v>#N/A</v>
      </c>
      <c r="AJ578" s="157"/>
      <c r="AK578" s="164"/>
      <c r="AL578" s="158">
        <f>SUMIFS([2]BV_Data_An_Prec!$AM:$AM,[2]BV_Data_An_Prec!$AQ:$AQ,$V578)</f>
        <v>10790.13</v>
      </c>
      <c r="AM578" s="162"/>
      <c r="AN578" s="160">
        <f t="shared" si="95"/>
        <v>19.8700000000008</v>
      </c>
      <c r="AO578" s="349">
        <f t="shared" si="96"/>
        <v>1.8414977391376008E-3</v>
      </c>
      <c r="AP578" s="6"/>
      <c r="AQ578" s="6">
        <v>10810</v>
      </c>
      <c r="AR578" s="6" t="s">
        <v>498</v>
      </c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spans="1:62" ht="15.75" customHeight="1">
      <c r="A579" s="410" t="s">
        <v>182</v>
      </c>
      <c r="B579" s="3"/>
      <c r="C579" s="336" t="s">
        <v>491</v>
      </c>
      <c r="D579" s="6"/>
      <c r="E579" s="6"/>
      <c r="F579" s="97"/>
      <c r="G579" s="6"/>
      <c r="H579" s="6"/>
      <c r="I579" s="97"/>
      <c r="J579" s="6"/>
      <c r="K579" s="6"/>
      <c r="L579" s="6"/>
      <c r="M579" s="97"/>
      <c r="N579" s="6"/>
      <c r="O579" s="6"/>
      <c r="P579" s="6"/>
      <c r="Q579" s="97"/>
      <c r="R579" s="97"/>
      <c r="S579" s="97"/>
      <c r="T579" s="6"/>
      <c r="U579" s="6"/>
      <c r="V579" s="271" t="s">
        <v>182</v>
      </c>
      <c r="W579" s="6"/>
      <c r="X579" s="6"/>
      <c r="Y579" s="6"/>
      <c r="Z579" s="158" t="e">
        <f>+INDEX('[2]Budget original'!$A$2:$AO$501,MATCH($A579,'[2]Budget original'!$A$2:$A$501,0),MATCH(F$2,'[2]Budget original'!$A$2:$AO$2,0))</f>
        <v>#N/A</v>
      </c>
      <c r="AA579" s="6"/>
      <c r="AB579" s="6"/>
      <c r="AC579" s="160"/>
      <c r="AD579" s="390"/>
      <c r="AE579" s="7"/>
      <c r="AF579" s="158">
        <f>SUMIFS([2]BV_Data_An_Cour!$AM:$AM,[2]BV_Data_An_Cour!$AQ:$AQ,$V579)</f>
        <v>0</v>
      </c>
      <c r="AG579" s="6"/>
      <c r="AH579" s="160" t="e">
        <f t="shared" si="97"/>
        <v>#N/A</v>
      </c>
      <c r="AI579" s="177" t="e">
        <f t="shared" si="98"/>
        <v>#N/A</v>
      </c>
      <c r="AJ579" s="6"/>
      <c r="AK579" s="7"/>
      <c r="AL579" s="158">
        <f>SUMIFS([2]BV_Data_An_Prec!$AM:$AM,[2]BV_Data_An_Prec!$AQ:$AQ,$V579)</f>
        <v>0</v>
      </c>
      <c r="AM579" s="212"/>
      <c r="AN579" s="160">
        <f t="shared" si="95"/>
        <v>0</v>
      </c>
      <c r="AO579" s="349">
        <f t="shared" si="96"/>
        <v>0</v>
      </c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spans="1:62" ht="15.75" customHeight="1">
      <c r="A580" s="410" t="s">
        <v>183</v>
      </c>
      <c r="B580" s="3"/>
      <c r="C580" s="336" t="s">
        <v>491</v>
      </c>
      <c r="D580" s="6"/>
      <c r="E580" s="6"/>
      <c r="F580" s="97"/>
      <c r="G580" s="6"/>
      <c r="H580" s="6"/>
      <c r="I580" s="97"/>
      <c r="J580" s="6"/>
      <c r="K580" s="6"/>
      <c r="L580" s="6"/>
      <c r="M580" s="97"/>
      <c r="N580" s="6"/>
      <c r="O580" s="6"/>
      <c r="P580" s="6"/>
      <c r="Q580" s="97"/>
      <c r="R580" s="97"/>
      <c r="S580" s="97"/>
      <c r="T580" s="6"/>
      <c r="U580" s="6"/>
      <c r="V580" s="271" t="s">
        <v>183</v>
      </c>
      <c r="W580" s="7"/>
      <c r="X580" s="7"/>
      <c r="Y580" s="7"/>
      <c r="Z580" s="158" t="e">
        <f>+INDEX('[2]Budget original'!$A$2:$AO$501,MATCH($A580,'[2]Budget original'!$A$2:$A$501,0),MATCH(F$2,'[2]Budget original'!$A$2:$AO$2,0))</f>
        <v>#N/A</v>
      </c>
      <c r="AA580" s="6"/>
      <c r="AB580" s="6"/>
      <c r="AC580" s="160"/>
      <c r="AD580" s="390"/>
      <c r="AE580" s="7"/>
      <c r="AF580" s="158">
        <f>SUMIFS([2]BV_Data_An_Cour!$AM:$AM,[2]BV_Data_An_Cour!$AQ:$AQ,$V580)</f>
        <v>7941.2200000000012</v>
      </c>
      <c r="AG580" s="6"/>
      <c r="AH580" s="160" t="e">
        <f t="shared" si="97"/>
        <v>#N/A</v>
      </c>
      <c r="AI580" s="177" t="e">
        <f t="shared" si="98"/>
        <v>#N/A</v>
      </c>
      <c r="AJ580" s="6"/>
      <c r="AK580" s="7"/>
      <c r="AL580" s="158">
        <f>SUMIFS([2]BV_Data_An_Prec!$AM:$AM,[2]BV_Data_An_Prec!$AQ:$AQ,$V580)</f>
        <v>0</v>
      </c>
      <c r="AM580" s="212"/>
      <c r="AN580" s="160">
        <f t="shared" si="95"/>
        <v>7941.2200000000012</v>
      </c>
      <c r="AO580" s="349">
        <f t="shared" si="96"/>
        <v>0</v>
      </c>
      <c r="AP580" s="6"/>
      <c r="AQ580" s="6">
        <v>7941</v>
      </c>
      <c r="AR580" s="97">
        <f>AQ580-AF580</f>
        <v>-0.22000000000116415</v>
      </c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spans="1:62" ht="15.75" customHeight="1">
      <c r="A581" s="410" t="s">
        <v>184</v>
      </c>
      <c r="B581" s="3"/>
      <c r="C581" s="336" t="s">
        <v>491</v>
      </c>
      <c r="D581" s="6"/>
      <c r="E581" s="6"/>
      <c r="F581" s="97"/>
      <c r="G581" s="6"/>
      <c r="H581" s="6"/>
      <c r="I581" s="97"/>
      <c r="J581" s="6"/>
      <c r="K581" s="6"/>
      <c r="L581" s="6"/>
      <c r="M581" s="97"/>
      <c r="N581" s="6"/>
      <c r="O581" s="6"/>
      <c r="P581" s="6"/>
      <c r="Q581" s="97"/>
      <c r="R581" s="97"/>
      <c r="S581" s="97"/>
      <c r="T581" s="6"/>
      <c r="U581" s="6"/>
      <c r="V581" s="271" t="s">
        <v>184</v>
      </c>
      <c r="W581" s="7"/>
      <c r="X581" s="7"/>
      <c r="Y581" s="7"/>
      <c r="Z581" s="158" t="e">
        <f>+INDEX('[2]Budget original'!$A$2:$AO$501,MATCH($A581,'[2]Budget original'!$A$2:$A$501,0),MATCH(F$2,'[2]Budget original'!$A$2:$AO$2,0))</f>
        <v>#N/A</v>
      </c>
      <c r="AA581" s="6"/>
      <c r="AB581" s="6"/>
      <c r="AC581" s="160"/>
      <c r="AD581" s="390"/>
      <c r="AE581" s="7"/>
      <c r="AF581" s="158">
        <f>SUMIFS([2]BV_Data_An_Cour!$AM:$AM,[2]BV_Data_An_Cour!$AQ:$AQ,$V581)</f>
        <v>0</v>
      </c>
      <c r="AG581" s="6"/>
      <c r="AH581" s="160" t="e">
        <f t="shared" si="97"/>
        <v>#N/A</v>
      </c>
      <c r="AI581" s="177" t="e">
        <f t="shared" si="98"/>
        <v>#N/A</v>
      </c>
      <c r="AJ581" s="6"/>
      <c r="AK581" s="7"/>
      <c r="AL581" s="158">
        <f>SUMIFS([2]BV_Data_An_Prec!$AM:$AM,[2]BV_Data_An_Prec!$AQ:$AQ,$V581)</f>
        <v>0</v>
      </c>
      <c r="AM581" s="212"/>
      <c r="AN581" s="160">
        <f t="shared" si="95"/>
        <v>0</v>
      </c>
      <c r="AO581" s="349">
        <f t="shared" si="96"/>
        <v>0</v>
      </c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spans="1:62" ht="20.399999999999999" hidden="1" customHeight="1">
      <c r="A582" s="410" t="s">
        <v>19</v>
      </c>
      <c r="B582" s="3"/>
      <c r="C582" s="336" t="s">
        <v>491</v>
      </c>
      <c r="D582" s="6"/>
      <c r="E582" s="6"/>
      <c r="F582" s="97"/>
      <c r="G582" s="6"/>
      <c r="H582" s="6"/>
      <c r="I582" s="97"/>
      <c r="J582" s="6"/>
      <c r="K582" s="6"/>
      <c r="L582" s="6"/>
      <c r="M582" s="97"/>
      <c r="N582" s="6"/>
      <c r="O582" s="6"/>
      <c r="P582" s="6"/>
      <c r="Q582" s="97"/>
      <c r="R582" s="97"/>
      <c r="S582" s="97"/>
      <c r="T582" s="6"/>
      <c r="U582" s="6"/>
      <c r="V582" s="271" t="s">
        <v>19</v>
      </c>
      <c r="W582" s="7"/>
      <c r="X582" s="7"/>
      <c r="Y582" s="7"/>
      <c r="Z582" s="158">
        <f>IFERROR(SUMIF($C:$C,$V582,F:F),0)</f>
        <v>0</v>
      </c>
      <c r="AA582" s="157"/>
      <c r="AB582" s="157"/>
      <c r="AC582" s="160"/>
      <c r="AD582" s="389"/>
      <c r="AE582" s="164"/>
      <c r="AF582" s="158">
        <f>IFERROR(SUMIF($C:$C,$V582,L:L),0)</f>
        <v>0</v>
      </c>
      <c r="AG582" s="159"/>
      <c r="AH582" s="160">
        <f t="shared" si="97"/>
        <v>0</v>
      </c>
      <c r="AI582" s="161">
        <f t="shared" si="98"/>
        <v>0</v>
      </c>
      <c r="AJ582" s="165"/>
      <c r="AK582" s="164"/>
      <c r="AL582" s="158">
        <f>SUMIFS([2]BV_Data_An_Prec!$AM:$AM,[2]BV_Data_An_Prec!$AQ:$AQ,$V582)</f>
        <v>0</v>
      </c>
      <c r="AM582" s="212"/>
      <c r="AN582" s="160">
        <f t="shared" si="95"/>
        <v>0</v>
      </c>
      <c r="AO582" s="349">
        <f t="shared" si="96"/>
        <v>0</v>
      </c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spans="1:62" ht="15.75" customHeight="1" thickBot="1">
      <c r="A583" s="271" t="str">
        <f>V583</f>
        <v>Revenus d'intérêts Floor plan</v>
      </c>
      <c r="B583" s="3"/>
      <c r="C583" s="336" t="s">
        <v>491</v>
      </c>
      <c r="D583" s="6"/>
      <c r="E583" s="6"/>
      <c r="F583" s="97"/>
      <c r="G583" s="6"/>
      <c r="H583" s="6"/>
      <c r="I583" s="97"/>
      <c r="J583" s="6"/>
      <c r="K583" s="6"/>
      <c r="L583" s="6"/>
      <c r="M583" s="97"/>
      <c r="N583" s="6"/>
      <c r="O583" s="6"/>
      <c r="P583" s="6"/>
      <c r="Q583" s="97"/>
      <c r="R583" s="97"/>
      <c r="S583" s="97"/>
      <c r="T583" s="6"/>
      <c r="U583" s="6"/>
      <c r="V583" s="271" t="s">
        <v>207</v>
      </c>
      <c r="W583" s="7"/>
      <c r="X583" s="7"/>
      <c r="Y583" s="7"/>
      <c r="Z583" s="158" t="e">
        <f>+INDEX('[2]Budget original'!$A$2:$AO$501,MATCH($A583,'[2]Budget original'!$A$2:$A$501,0),MATCH(F$2,'[2]Budget original'!$A$2:$AO$2,0))</f>
        <v>#N/A</v>
      </c>
      <c r="AA583" s="157"/>
      <c r="AB583" s="157"/>
      <c r="AC583" s="160"/>
      <c r="AD583" s="389"/>
      <c r="AE583" s="164"/>
      <c r="AF583" s="158">
        <f>SUMIFS([2]BV_Data_An_Cour!$AM:$AM,[2]BV_Data_An_Cour!$AQ:$AQ,$V583)</f>
        <v>0</v>
      </c>
      <c r="AG583" s="159"/>
      <c r="AH583" s="160" t="e">
        <f t="shared" si="97"/>
        <v>#N/A</v>
      </c>
      <c r="AI583" s="161" t="e">
        <f t="shared" si="98"/>
        <v>#N/A</v>
      </c>
      <c r="AJ583" s="165"/>
      <c r="AK583" s="164"/>
      <c r="AL583" s="158">
        <f>SUMIFS([2]BV_Data_An_Prec!$AM:$AM,[2]BV_Data_An_Prec!$AQ:$AQ,$V583)</f>
        <v>0</v>
      </c>
      <c r="AM583" s="212"/>
      <c r="AN583" s="160">
        <f t="shared" si="95"/>
        <v>0</v>
      </c>
      <c r="AO583" s="349">
        <f t="shared" si="96"/>
        <v>0</v>
      </c>
      <c r="AP583" s="6"/>
      <c r="AQ583" s="6">
        <v>-50.68</v>
      </c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spans="1:62" ht="21" hidden="1" customHeight="1">
      <c r="A584" s="410" t="s">
        <v>19</v>
      </c>
      <c r="B584" s="3"/>
      <c r="C584" s="336" t="s">
        <v>491</v>
      </c>
      <c r="D584" s="6"/>
      <c r="E584" s="6"/>
      <c r="F584" s="97"/>
      <c r="G584" s="6"/>
      <c r="H584" s="6"/>
      <c r="I584" s="97"/>
      <c r="J584" s="6"/>
      <c r="K584" s="6"/>
      <c r="L584" s="6"/>
      <c r="M584" s="97"/>
      <c r="N584" s="6"/>
      <c r="O584" s="6"/>
      <c r="P584" s="6"/>
      <c r="Q584" s="97"/>
      <c r="R584" s="97"/>
      <c r="S584" s="97"/>
      <c r="T584" s="6"/>
      <c r="U584" s="6"/>
      <c r="V584" s="271" t="s">
        <v>19</v>
      </c>
      <c r="W584" s="7"/>
      <c r="X584" s="6"/>
      <c r="Y584" s="7"/>
      <c r="Z584" s="158">
        <f>IFERROR(SUMIF($C:$C,$V584,F:F),0)</f>
        <v>0</v>
      </c>
      <c r="AA584" s="157"/>
      <c r="AB584" s="157"/>
      <c r="AC584" s="158"/>
      <c r="AD584" s="165"/>
      <c r="AE584" s="164"/>
      <c r="AF584" s="158">
        <f>IFERROR(SUMIF($C:$C,$V584,L:L),0)</f>
        <v>0</v>
      </c>
      <c r="AG584" s="159"/>
      <c r="AH584" s="160">
        <f t="shared" si="97"/>
        <v>0</v>
      </c>
      <c r="AI584" s="161">
        <f t="shared" si="98"/>
        <v>0</v>
      </c>
      <c r="AJ584" s="165"/>
      <c r="AK584" s="164"/>
      <c r="AL584" s="158">
        <f>SUMIFS([2]BV_Data_An_Prec!$AM:$AM,[2]BV_Data_An_Prec!$AQ:$AQ,$V584)</f>
        <v>0</v>
      </c>
      <c r="AM584" s="212"/>
      <c r="AN584" s="160">
        <f t="shared" si="95"/>
        <v>0</v>
      </c>
      <c r="AO584" s="349">
        <f t="shared" si="96"/>
        <v>0</v>
      </c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spans="1:62" ht="21" customHeight="1" thickTop="1" thickBot="1">
      <c r="A585" s="410" t="s">
        <v>185</v>
      </c>
      <c r="B585" s="3"/>
      <c r="C585" s="336" t="s">
        <v>491</v>
      </c>
      <c r="D585" s="6"/>
      <c r="E585" s="6"/>
      <c r="F585" s="97"/>
      <c r="G585" s="6"/>
      <c r="H585" s="6"/>
      <c r="I585" s="97"/>
      <c r="J585" s="6"/>
      <c r="K585" s="6"/>
      <c r="L585" s="6"/>
      <c r="M585" s="97"/>
      <c r="N585" s="6"/>
      <c r="O585" s="6"/>
      <c r="P585" s="6"/>
      <c r="Q585" s="97"/>
      <c r="R585" s="97"/>
      <c r="S585" s="97"/>
      <c r="T585" s="6"/>
      <c r="U585" s="6"/>
      <c r="V585" s="237" t="s">
        <v>185</v>
      </c>
      <c r="W585" s="238"/>
      <c r="X585" s="239" t="s">
        <v>179</v>
      </c>
      <c r="Y585" s="240" t="e">
        <f>Z585/Z493</f>
        <v>#N/A</v>
      </c>
      <c r="Z585" s="241" t="e">
        <f>Z576-Z578-Z579-Z580-Z584-Z583</f>
        <v>#N/A</v>
      </c>
      <c r="AA585" s="239"/>
      <c r="AB585" s="240"/>
      <c r="AC585" s="241"/>
      <c r="AD585" s="239" t="s">
        <v>179</v>
      </c>
      <c r="AE585" s="240">
        <f>AF585/AF493</f>
        <v>1.3197163036326089E-3</v>
      </c>
      <c r="AF585" s="241">
        <f>AF576-AF578-AF579-AF580-AF584-AF583</f>
        <v>18408.449999997109</v>
      </c>
      <c r="AG585" s="243"/>
      <c r="AH585" s="243" t="e">
        <f t="shared" si="97"/>
        <v>#N/A</v>
      </c>
      <c r="AI585" s="244" t="e">
        <f>AH585/Z585</f>
        <v>#N/A</v>
      </c>
      <c r="AJ585" s="239" t="s">
        <v>179</v>
      </c>
      <c r="AK585" s="240">
        <f>IF($AL$493=0,0,AL585/$AL$493)</f>
        <v>3.0715007553932636E-3</v>
      </c>
      <c r="AL585" s="241">
        <f>AL576-AL578-AL579-AL580-AL584-AL583</f>
        <v>57695.159999989126</v>
      </c>
      <c r="AM585" s="245"/>
      <c r="AN585" s="242">
        <f t="shared" si="95"/>
        <v>-39286.709999992017</v>
      </c>
      <c r="AO585" s="246">
        <f t="shared" si="96"/>
        <v>-0.68093597452540944</v>
      </c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spans="1:62" ht="15.75" customHeight="1" thickTop="1">
      <c r="A586" s="410" t="s">
        <v>493</v>
      </c>
      <c r="B586" s="3"/>
      <c r="C586" s="6"/>
      <c r="D586" s="6"/>
      <c r="E586" s="6"/>
      <c r="F586" s="97"/>
      <c r="G586" s="6"/>
      <c r="H586" s="6"/>
      <c r="I586" s="97"/>
      <c r="J586" s="6"/>
      <c r="K586" s="6"/>
      <c r="L586" s="6"/>
      <c r="M586" s="97"/>
      <c r="N586" s="6"/>
      <c r="O586" s="6"/>
      <c r="P586" s="6"/>
      <c r="Q586" s="97"/>
      <c r="R586" s="97"/>
      <c r="S586" s="97"/>
      <c r="T586" s="6"/>
      <c r="U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spans="1:62" ht="15.75" customHeight="1">
      <c r="B587" s="3"/>
      <c r="T587" s="6"/>
      <c r="U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spans="1:62" ht="15.75" customHeight="1">
      <c r="B588" s="3"/>
      <c r="C588" s="6"/>
      <c r="S588" s="97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spans="1:62" ht="15.75" customHeight="1">
      <c r="B589" s="3"/>
      <c r="C589" s="157"/>
      <c r="V589" s="6" t="s">
        <v>499</v>
      </c>
      <c r="W589" s="6"/>
      <c r="X589" s="6"/>
      <c r="Y589" s="6"/>
      <c r="Z589" s="97"/>
      <c r="AA589" s="6"/>
      <c r="AB589" s="6"/>
      <c r="AC589" s="97"/>
      <c r="AE589" s="176"/>
      <c r="AF589" s="176">
        <v>18408.45</v>
      </c>
      <c r="AG589" s="6"/>
      <c r="AH589" s="6"/>
      <c r="AI589" s="6"/>
      <c r="AJ589" s="375"/>
      <c r="AK589" s="376"/>
      <c r="AL589" s="377">
        <v>57693</v>
      </c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spans="1:62" ht="15.75" customHeight="1">
      <c r="B590" s="3"/>
      <c r="C590" s="157"/>
      <c r="W590" s="6"/>
      <c r="X590" s="6"/>
      <c r="Y590" s="6"/>
      <c r="Z590" s="97"/>
      <c r="AA590" s="6"/>
      <c r="AB590" s="6"/>
      <c r="AC590" s="97"/>
      <c r="AD590" s="6"/>
      <c r="AE590" s="6"/>
      <c r="AF590" s="176"/>
      <c r="AG590" s="6"/>
      <c r="AH590" s="6"/>
      <c r="AI590" s="6"/>
      <c r="AJ590" s="6"/>
      <c r="AL590" s="377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spans="1:62" ht="15.75" customHeight="1">
      <c r="B591" s="3"/>
      <c r="C591" s="157"/>
      <c r="W591" s="6"/>
      <c r="X591" s="6"/>
      <c r="Y591" s="6"/>
      <c r="AE591" s="6"/>
      <c r="AF591" s="378">
        <f>AF589-AF585</f>
        <v>2.8921931516379118E-9</v>
      </c>
      <c r="AL591" s="378">
        <f>AL589-AL585</f>
        <v>-2.1599999891259358</v>
      </c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spans="1:62" ht="15.75" customHeight="1">
      <c r="B592" s="3"/>
      <c r="C592" s="157"/>
      <c r="W592" s="6"/>
      <c r="X592" s="6"/>
      <c r="Y592" s="6"/>
      <c r="Z592" s="6"/>
      <c r="AA592" s="6"/>
      <c r="AB592" s="6"/>
      <c r="AC592" s="6"/>
      <c r="AD592" s="6"/>
      <c r="AE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spans="2:62" ht="15.75" customHeight="1">
      <c r="B593" s="3"/>
      <c r="C593" s="157"/>
      <c r="W593" s="6"/>
      <c r="X593" s="6"/>
      <c r="Y593" s="6"/>
      <c r="Z593" s="6"/>
      <c r="AA593" s="6"/>
      <c r="AB593" s="6"/>
      <c r="AC593" s="6"/>
      <c r="AD593" s="6"/>
      <c r="AE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spans="2:62" ht="15.75" customHeight="1">
      <c r="B594" s="3"/>
      <c r="C594" s="157"/>
      <c r="W594" s="6"/>
      <c r="X594" s="6"/>
      <c r="Y594" s="6"/>
      <c r="Z594" s="6"/>
      <c r="AA594" s="6"/>
      <c r="AB594" s="6"/>
      <c r="AC594" s="6"/>
      <c r="AD594" s="6"/>
      <c r="AE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spans="2:62" ht="15.75" customHeight="1">
      <c r="B595" s="3"/>
      <c r="C595" s="157"/>
      <c r="V595" s="410" t="s">
        <v>517</v>
      </c>
      <c r="W595" s="6"/>
      <c r="X595" s="6"/>
      <c r="Y595" s="6"/>
      <c r="Z595" s="6"/>
      <c r="AA595" s="6"/>
      <c r="AB595" s="6"/>
      <c r="AC595" s="6"/>
      <c r="AD595" s="6"/>
      <c r="AE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spans="2:62" ht="15.75" customHeight="1">
      <c r="B596" s="3"/>
      <c r="C596" s="157"/>
      <c r="W596" s="6"/>
      <c r="X596" s="6"/>
      <c r="Y596" s="6"/>
      <c r="Z596" s="6"/>
      <c r="AA596" s="6"/>
      <c r="AB596" s="6"/>
      <c r="AC596" s="6"/>
      <c r="AD596" s="6"/>
      <c r="AE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spans="2:62" ht="15.75" customHeight="1">
      <c r="B597" s="3"/>
      <c r="C597" s="157"/>
      <c r="W597" s="6"/>
      <c r="X597" s="6"/>
      <c r="Y597" s="6"/>
      <c r="Z597" s="6"/>
      <c r="AA597" s="6"/>
      <c r="AB597" s="6"/>
      <c r="AC597" s="6"/>
      <c r="AD597" s="6"/>
      <c r="AE597" s="6"/>
      <c r="AF597" s="337">
        <f>AF585+AF595</f>
        <v>18408.449999997109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spans="2:62" ht="15.75" customHeight="1">
      <c r="B598" s="3"/>
      <c r="C598" s="157"/>
      <c r="W598" s="6"/>
      <c r="X598" s="6"/>
      <c r="Y598" s="6"/>
      <c r="Z598" s="6"/>
      <c r="AA598" s="6"/>
      <c r="AB598" s="6"/>
      <c r="AC598" s="6"/>
      <c r="AD598" s="6"/>
      <c r="AE598" s="6"/>
      <c r="AF598" s="17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spans="2:62" ht="15.75" customHeight="1">
      <c r="B599" s="3"/>
      <c r="C599" s="157"/>
      <c r="W599" s="6"/>
      <c r="X599" s="6"/>
      <c r="Y599" s="6"/>
      <c r="Z599" s="6"/>
      <c r="AA599" s="6"/>
      <c r="AB599" s="6"/>
      <c r="AC599" s="6"/>
      <c r="AD599" s="6"/>
      <c r="AE599" s="6"/>
      <c r="AF599" s="380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spans="2:62" ht="15.75" customHeight="1">
      <c r="B600" s="3"/>
      <c r="C600" s="157"/>
      <c r="W600" s="6"/>
      <c r="X600" s="6"/>
      <c r="Y600" s="6"/>
      <c r="Z600" s="6"/>
      <c r="AA600" s="6"/>
      <c r="AB600" s="6"/>
      <c r="AC600" s="6"/>
      <c r="AD600" s="6"/>
      <c r="AE600" s="6"/>
      <c r="AF600" s="380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spans="2:62" ht="15.75" customHeight="1">
      <c r="B601" s="3"/>
      <c r="C601" s="157"/>
      <c r="W601" s="6"/>
      <c r="X601" s="6"/>
      <c r="Y601" s="6"/>
      <c r="Z601" s="6"/>
      <c r="AA601" s="6"/>
      <c r="AB601" s="6"/>
      <c r="AC601" s="6"/>
      <c r="AD601" s="6"/>
      <c r="AE601" s="6"/>
      <c r="AF601" s="380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spans="2:62" ht="15.75" customHeight="1">
      <c r="B602" s="3"/>
      <c r="C602" s="15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spans="2:62" ht="15.75" customHeight="1">
      <c r="B603" s="3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spans="2:62" ht="15.75" customHeight="1">
      <c r="B604" s="3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spans="2:62" ht="15.75" customHeight="1">
      <c r="B605" s="3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spans="2:62" ht="15.75" customHeight="1">
      <c r="B606" s="3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spans="2:62" ht="15.75" customHeight="1">
      <c r="B607" s="3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spans="2:62" ht="15.75" customHeight="1">
      <c r="B608" s="3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spans="2:62" ht="15.75" customHeight="1">
      <c r="B609" s="3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spans="2:62" ht="15.75" customHeight="1">
      <c r="B610" s="3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spans="2:62" ht="15.75" customHeight="1">
      <c r="B611" s="3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spans="2:62" ht="15.75" customHeight="1">
      <c r="B612" s="3"/>
      <c r="C612" s="15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spans="2:62" ht="15.75" customHeight="1">
      <c r="B613" s="3"/>
      <c r="C613" s="15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spans="2:62" ht="15.75" customHeight="1">
      <c r="B614" s="3"/>
      <c r="C614" s="15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spans="2:62" ht="15.75" customHeight="1">
      <c r="B615" s="3"/>
      <c r="C615" s="15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spans="2:62" ht="15.75" customHeight="1">
      <c r="B616" s="3"/>
      <c r="C616" s="15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spans="2:62" ht="15.75" customHeight="1">
      <c r="B617" s="3"/>
      <c r="C617" s="15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spans="2:62" ht="15.75" customHeight="1">
      <c r="B618" s="3"/>
      <c r="C618" s="15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spans="2:62" ht="15.75" customHeight="1">
      <c r="B619" s="3"/>
      <c r="C619" s="15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spans="2:62" ht="15.75" customHeight="1">
      <c r="B620" s="3"/>
      <c r="C620" s="15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spans="2:62" ht="15.75" customHeight="1">
      <c r="B621" s="3"/>
      <c r="C621" s="15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spans="2:62" ht="15.75" customHeight="1">
      <c r="B622" s="3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spans="2:62" ht="15.75" customHeight="1">
      <c r="B623" s="3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spans="2:62" ht="15.75" customHeight="1">
      <c r="B624" s="3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spans="2:62" ht="15.75" customHeight="1">
      <c r="B625" s="3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spans="2:62" ht="15.75" customHeight="1"/>
    <row r="627" spans="2:62" ht="15.75" customHeight="1"/>
    <row r="628" spans="2:62" ht="15.75" customHeight="1"/>
    <row r="629" spans="2:62" ht="15.75" customHeight="1"/>
    <row r="630" spans="2:62" ht="15.75" customHeight="1"/>
    <row r="631" spans="2:62" ht="15.75" customHeight="1"/>
    <row r="632" spans="2:62" ht="15.75" customHeight="1"/>
    <row r="633" spans="2:62" ht="15.75" customHeight="1"/>
    <row r="634" spans="2:62" ht="15.75" customHeight="1"/>
    <row r="635" spans="2:62" ht="15.75" customHeight="1"/>
    <row r="636" spans="2:62" ht="15.75" customHeight="1"/>
    <row r="637" spans="2:62" ht="15.75" customHeight="1"/>
    <row r="638" spans="2:62" ht="15.75" customHeight="1"/>
    <row r="639" spans="2:62" ht="15.75" customHeight="1"/>
    <row r="640" spans="2:62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</sheetData>
  <mergeCells count="48"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  <mergeCell ref="D369:F369"/>
    <mergeCell ref="G369:I369"/>
    <mergeCell ref="J369:L369"/>
    <mergeCell ref="R171:S171"/>
    <mergeCell ref="D171:F171"/>
    <mergeCell ref="G171:I171"/>
    <mergeCell ref="J171:L171"/>
    <mergeCell ref="M171:N171"/>
    <mergeCell ref="O171:Q171"/>
    <mergeCell ref="M369:N369"/>
    <mergeCell ref="O369:Q369"/>
    <mergeCell ref="R369:S369"/>
    <mergeCell ref="R244:S244"/>
    <mergeCell ref="D312:F312"/>
    <mergeCell ref="G312:I312"/>
    <mergeCell ref="J312:L312"/>
    <mergeCell ref="M312:N312"/>
    <mergeCell ref="O312:Q312"/>
    <mergeCell ref="R312:S312"/>
    <mergeCell ref="D244:F244"/>
    <mergeCell ref="G244:I244"/>
    <mergeCell ref="J244:L244"/>
    <mergeCell ref="M244:N244"/>
    <mergeCell ref="O244:Q244"/>
    <mergeCell ref="D434:F434"/>
    <mergeCell ref="G434:I434"/>
    <mergeCell ref="J434:L434"/>
    <mergeCell ref="M434:N434"/>
    <mergeCell ref="O434:Q434"/>
    <mergeCell ref="AJ491:AL491"/>
    <mergeCell ref="AM491:AO491"/>
    <mergeCell ref="R434:S434"/>
    <mergeCell ref="X491:Z491"/>
    <mergeCell ref="AA491:AC491"/>
    <mergeCell ref="AD491:AF491"/>
    <mergeCell ref="AG491:AI491"/>
  </mergeCells>
  <conditionalFormatting sqref="D113 H180:L181 I184:L185">
    <cfRule type="expression" dxfId="342" priority="137" stopIfTrue="1">
      <formula>"esterreur(reference)"</formula>
    </cfRule>
  </conditionalFormatting>
  <conditionalFormatting sqref="D246:D255">
    <cfRule type="expression" dxfId="341" priority="167" stopIfTrue="1">
      <formula>"esterreur(reference)"</formula>
    </cfRule>
  </conditionalFormatting>
  <conditionalFormatting sqref="D487">
    <cfRule type="expression" dxfId="340" priority="139" stopIfTrue="1">
      <formula>"esterreur(reference)"</formula>
    </cfRule>
  </conditionalFormatting>
  <conditionalFormatting sqref="D186:E192">
    <cfRule type="expression" dxfId="339" priority="110" stopIfTrue="1">
      <formula>"esterreur(reference)"</formula>
    </cfRule>
  </conditionalFormatting>
  <conditionalFormatting sqref="E260">
    <cfRule type="expression" dxfId="338" priority="168" stopIfTrue="1">
      <formula>"esterreur(reference)"</formula>
    </cfRule>
  </conditionalFormatting>
  <conditionalFormatting sqref="F5">
    <cfRule type="expression" dxfId="337" priority="165" stopIfTrue="1">
      <formula>"esterreur(reference)"</formula>
    </cfRule>
  </conditionalFormatting>
  <conditionalFormatting sqref="F84">
    <cfRule type="expression" dxfId="336" priority="164" stopIfTrue="1">
      <formula>"esterreur(reference)"</formula>
    </cfRule>
  </conditionalFormatting>
  <conditionalFormatting sqref="F102">
    <cfRule type="expression" dxfId="335" priority="169" stopIfTrue="1">
      <formula>"esterreur(reference)"</formula>
    </cfRule>
  </conditionalFormatting>
  <conditionalFormatting sqref="F258">
    <cfRule type="expression" dxfId="334" priority="156" stopIfTrue="1">
      <formula>"esterreur(reference)"</formula>
    </cfRule>
  </conditionalFormatting>
  <conditionalFormatting sqref="G31:G32">
    <cfRule type="expression" dxfId="333" priority="162" stopIfTrue="1">
      <formula>"esterreur(reference)"</formula>
    </cfRule>
  </conditionalFormatting>
  <conditionalFormatting sqref="G113:G114">
    <cfRule type="expression" dxfId="332" priority="159" stopIfTrue="1">
      <formula>"esterreur(reference)"</formula>
    </cfRule>
  </conditionalFormatting>
  <conditionalFormatting sqref="G186:G187">
    <cfRule type="expression" dxfId="331" priority="115" stopIfTrue="1">
      <formula>"esterreur(reference)"</formula>
    </cfRule>
  </conditionalFormatting>
  <conditionalFormatting sqref="G246:G255">
    <cfRule type="expression" dxfId="330" priority="166" stopIfTrue="1">
      <formula>"esterreur(reference)"</formula>
    </cfRule>
  </conditionalFormatting>
  <conditionalFormatting sqref="H25:H26 H28:H72">
    <cfRule type="expression" dxfId="329" priority="161" stopIfTrue="1">
      <formula>"esterreur(reference)"</formula>
    </cfRule>
  </conditionalFormatting>
  <conditionalFormatting sqref="H74">
    <cfRule type="expression" dxfId="328" priority="92" stopIfTrue="1">
      <formula>"esterreur(reference)"</formula>
    </cfRule>
  </conditionalFormatting>
  <conditionalFormatting sqref="H83">
    <cfRule type="expression" dxfId="327" priority="89" stopIfTrue="1">
      <formula>"esterreur(reference)"</formula>
    </cfRule>
  </conditionalFormatting>
  <conditionalFormatting sqref="H85">
    <cfRule type="expression" dxfId="326" priority="28" stopIfTrue="1">
      <formula>"esterreur(reference)"</formula>
    </cfRule>
  </conditionalFormatting>
  <conditionalFormatting sqref="H110:H154">
    <cfRule type="expression" dxfId="325" priority="23" stopIfTrue="1">
      <formula>"esterreur(reference)"</formula>
    </cfRule>
  </conditionalFormatting>
  <conditionalFormatting sqref="H156:H158">
    <cfRule type="expression" dxfId="324" priority="85" stopIfTrue="1">
      <formula>"esterreur(reference)"</formula>
    </cfRule>
  </conditionalFormatting>
  <conditionalFormatting sqref="H164">
    <cfRule type="expression" dxfId="323" priority="82" stopIfTrue="1">
      <formula>"esterreur(reference)"</formula>
    </cfRule>
  </conditionalFormatting>
  <conditionalFormatting sqref="H166">
    <cfRule type="expression" dxfId="322" priority="31" stopIfTrue="1">
      <formula>"esterreur(reference)"</formula>
    </cfRule>
  </conditionalFormatting>
  <conditionalFormatting sqref="H183:H227">
    <cfRule type="expression" dxfId="321" priority="19" stopIfTrue="1">
      <formula>"esterreur(reference)"</formula>
    </cfRule>
  </conditionalFormatting>
  <conditionalFormatting sqref="H229:H231">
    <cfRule type="expression" dxfId="320" priority="76" stopIfTrue="1">
      <formula>"esterreur(reference)"</formula>
    </cfRule>
  </conditionalFormatting>
  <conditionalFormatting sqref="H237">
    <cfRule type="expression" dxfId="319" priority="73" stopIfTrue="1">
      <formula>"esterreur(reference)"</formula>
    </cfRule>
  </conditionalFormatting>
  <conditionalFormatting sqref="H239">
    <cfRule type="expression" dxfId="318" priority="34" stopIfTrue="1">
      <formula>"esterreur(reference)"</formula>
    </cfRule>
  </conditionalFormatting>
  <conditionalFormatting sqref="H269">
    <cfRule type="expression" dxfId="317" priority="16" stopIfTrue="1">
      <formula>"esterreur(reference)"</formula>
    </cfRule>
  </conditionalFormatting>
  <conditionalFormatting sqref="H272:H303">
    <cfRule type="expression" dxfId="316" priority="70" stopIfTrue="1">
      <formula>"esterreur(reference)"</formula>
    </cfRule>
  </conditionalFormatting>
  <conditionalFormatting sqref="H305">
    <cfRule type="expression" dxfId="315" priority="68" stopIfTrue="1">
      <formula>"esterreur(reference)"</formula>
    </cfRule>
  </conditionalFormatting>
  <conditionalFormatting sqref="H307">
    <cfRule type="expression" dxfId="314" priority="37" stopIfTrue="1">
      <formula>"esterreur(reference)"</formula>
    </cfRule>
  </conditionalFormatting>
  <conditionalFormatting sqref="H327">
    <cfRule type="expression" dxfId="313" priority="12" stopIfTrue="1">
      <formula>"esterreur(reference)"</formula>
    </cfRule>
  </conditionalFormatting>
  <conditionalFormatting sqref="H330:H361">
    <cfRule type="expression" dxfId="312" priority="64" stopIfTrue="1">
      <formula>"esterreur(reference)"</formula>
    </cfRule>
  </conditionalFormatting>
  <conditionalFormatting sqref="H363">
    <cfRule type="expression" dxfId="311" priority="62" stopIfTrue="1">
      <formula>"esterreur(reference)"</formula>
    </cfRule>
  </conditionalFormatting>
  <conditionalFormatting sqref="H365">
    <cfRule type="expression" dxfId="310" priority="40" stopIfTrue="1">
      <formula>"esterreur(reference)"</formula>
    </cfRule>
  </conditionalFormatting>
  <conditionalFormatting sqref="H391">
    <cfRule type="expression" dxfId="309" priority="9" stopIfTrue="1">
      <formula>"esterreur(reference)"</formula>
    </cfRule>
  </conditionalFormatting>
  <conditionalFormatting sqref="H394:H425">
    <cfRule type="expression" dxfId="308" priority="59" stopIfTrue="1">
      <formula>"esterreur(reference)"</formula>
    </cfRule>
  </conditionalFormatting>
  <conditionalFormatting sqref="H427">
    <cfRule type="expression" dxfId="307" priority="57" stopIfTrue="1">
      <formula>"esterreur(reference)"</formula>
    </cfRule>
  </conditionalFormatting>
  <conditionalFormatting sqref="H429:H431">
    <cfRule type="expression" dxfId="306" priority="43" stopIfTrue="1">
      <formula>"esterreur(reference)"</formula>
    </cfRule>
  </conditionalFormatting>
  <conditionalFormatting sqref="H449">
    <cfRule type="expression" dxfId="305" priority="5" stopIfTrue="1">
      <formula>"esterreur(reference)"</formula>
    </cfRule>
  </conditionalFormatting>
  <conditionalFormatting sqref="H452:H482">
    <cfRule type="expression" dxfId="304" priority="52" stopIfTrue="1">
      <formula>"esterreur(reference)"</formula>
    </cfRule>
  </conditionalFormatting>
  <conditionalFormatting sqref="H484">
    <cfRule type="expression" dxfId="303" priority="49" stopIfTrue="1">
      <formula>"esterreur(reference)"</formula>
    </cfRule>
  </conditionalFormatting>
  <conditionalFormatting sqref="H486:H487">
    <cfRule type="expression" dxfId="302" priority="46" stopIfTrue="1">
      <formula>"esterreur(reference)"</formula>
    </cfRule>
  </conditionalFormatting>
  <conditionalFormatting sqref="H433:I433 K433:L433 J433:J434">
    <cfRule type="expression" dxfId="301" priority="146" stopIfTrue="1">
      <formula>"esterreur(reference)"</formula>
    </cfRule>
  </conditionalFormatting>
  <conditionalFormatting sqref="H317:J317">
    <cfRule type="expression" dxfId="300" priority="133" stopIfTrue="1">
      <formula>"esterreur(reference)"</formula>
    </cfRule>
  </conditionalFormatting>
  <conditionalFormatting sqref="H439:J439">
    <cfRule type="expression" dxfId="299" priority="107" stopIfTrue="1">
      <formula>"esterreur(reference)"</formula>
    </cfRule>
  </conditionalFormatting>
  <conditionalFormatting sqref="H435:L436">
    <cfRule type="expression" dxfId="298" priority="103" stopIfTrue="1">
      <formula>"esterreur(reference)"</formula>
    </cfRule>
  </conditionalFormatting>
  <conditionalFormatting sqref="H447:L447 H450:L451">
    <cfRule type="expression" dxfId="297" priority="102" stopIfTrue="1">
      <formula>"esterreur(reference)"</formula>
    </cfRule>
  </conditionalFormatting>
  <conditionalFormatting sqref="H483:L483 H485:L485">
    <cfRule type="expression" dxfId="296" priority="147" stopIfTrue="1">
      <formula>"esterreur(reference)"</formula>
    </cfRule>
  </conditionalFormatting>
  <conditionalFormatting sqref="I16:I18 I20 I24:I30">
    <cfRule type="expression" dxfId="295" priority="163" stopIfTrue="1">
      <formula>"esterreur(reference)"</formula>
    </cfRule>
  </conditionalFormatting>
  <conditionalFormatting sqref="I109:I110">
    <cfRule type="expression" dxfId="294" priority="24" stopIfTrue="1">
      <formula>"esterreur(reference)"</formula>
    </cfRule>
  </conditionalFormatting>
  <conditionalFormatting sqref="I182:I183">
    <cfRule type="expression" dxfId="293" priority="20" stopIfTrue="1">
      <formula>"esterreur(reference)"</formula>
    </cfRule>
  </conditionalFormatting>
  <conditionalFormatting sqref="I268:I269">
    <cfRule type="expression" dxfId="292" priority="17" stopIfTrue="1">
      <formula>"esterreur(reference)"</formula>
    </cfRule>
  </conditionalFormatting>
  <conditionalFormatting sqref="I326:I327">
    <cfRule type="expression" dxfId="291" priority="13" stopIfTrue="1">
      <formula>"esterreur(reference)"</formula>
    </cfRule>
  </conditionalFormatting>
  <conditionalFormatting sqref="I390:I391">
    <cfRule type="expression" dxfId="290" priority="10" stopIfTrue="1">
      <formula>"esterreur(reference)"</formula>
    </cfRule>
  </conditionalFormatting>
  <conditionalFormatting sqref="I448:I449">
    <cfRule type="expression" dxfId="289" priority="6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288" priority="140" stopIfTrue="1">
      <formula>"esterreur(reference)"</formula>
    </cfRule>
  </conditionalFormatting>
  <conditionalFormatting sqref="J16 L16:L24">
    <cfRule type="expression" dxfId="287" priority="135" stopIfTrue="1">
      <formula>"esterreur(reference)"</formula>
    </cfRule>
  </conditionalFormatting>
  <conditionalFormatting sqref="J182 J183:L183">
    <cfRule type="expression" dxfId="286" priority="21" stopIfTrue="1">
      <formula>"esterreur(reference)"</formula>
    </cfRule>
  </conditionalFormatting>
  <conditionalFormatting sqref="J326 J327:K327">
    <cfRule type="expression" dxfId="285" priority="14" stopIfTrue="1">
      <formula>"esterreur(reference)"</formula>
    </cfRule>
  </conditionalFormatting>
  <conditionalFormatting sqref="J371:J390">
    <cfRule type="expression" dxfId="284" priority="3" stopIfTrue="1">
      <formula>"esterreur(reference)"</formula>
    </cfRule>
  </conditionalFormatting>
  <conditionalFormatting sqref="J448 J449:K449">
    <cfRule type="expression" dxfId="283" priority="7" stopIfTrue="1">
      <formula>"esterreur(reference)"</formula>
    </cfRule>
  </conditionalFormatting>
  <conditionalFormatting sqref="J54:K54">
    <cfRule type="expression" dxfId="282" priority="96" stopIfTrue="1">
      <formula>"esterreur(reference)"</formula>
    </cfRule>
  </conditionalFormatting>
  <conditionalFormatting sqref="J72:K72">
    <cfRule type="expression" dxfId="281" priority="94" stopIfTrue="1">
      <formula>"esterreur(reference)"</formula>
    </cfRule>
  </conditionalFormatting>
  <conditionalFormatting sqref="J74:K74">
    <cfRule type="expression" dxfId="280" priority="91" stopIfTrue="1">
      <formula>"esterreur(reference)"</formula>
    </cfRule>
  </conditionalFormatting>
  <conditionalFormatting sqref="J85:K85">
    <cfRule type="expression" dxfId="279" priority="27" stopIfTrue="1">
      <formula>"esterreur(reference)"</formula>
    </cfRule>
  </conditionalFormatting>
  <conditionalFormatting sqref="J156:K158">
    <cfRule type="expression" dxfId="278" priority="84" stopIfTrue="1">
      <formula>"esterreur(reference)"</formula>
    </cfRule>
  </conditionalFormatting>
  <conditionalFormatting sqref="J164:K164">
    <cfRule type="expression" dxfId="277" priority="81" stopIfTrue="1">
      <formula>"esterreur(reference)"</formula>
    </cfRule>
  </conditionalFormatting>
  <conditionalFormatting sqref="J166:K166">
    <cfRule type="expression" dxfId="276" priority="30" stopIfTrue="1">
      <formula>"esterreur(reference)"</formula>
    </cfRule>
  </conditionalFormatting>
  <conditionalFormatting sqref="J229:K231">
    <cfRule type="expression" dxfId="275" priority="75" stopIfTrue="1">
      <formula>"esterreur(reference)"</formula>
    </cfRule>
  </conditionalFormatting>
  <conditionalFormatting sqref="J237:K237">
    <cfRule type="expression" dxfId="274" priority="72" stopIfTrue="1">
      <formula>"esterreur(reference)"</formula>
    </cfRule>
  </conditionalFormatting>
  <conditionalFormatting sqref="J239:K239">
    <cfRule type="expression" dxfId="273" priority="33" stopIfTrue="1">
      <formula>"esterreur(reference)"</formula>
    </cfRule>
  </conditionalFormatting>
  <conditionalFormatting sqref="J305:K305">
    <cfRule type="expression" dxfId="272" priority="67" stopIfTrue="1">
      <formula>"esterreur(reference)"</formula>
    </cfRule>
  </conditionalFormatting>
  <conditionalFormatting sqref="J307:K307">
    <cfRule type="expression" dxfId="271" priority="36" stopIfTrue="1">
      <formula>"esterreur(reference)"</formula>
    </cfRule>
  </conditionalFormatting>
  <conditionalFormatting sqref="J363:K363">
    <cfRule type="expression" dxfId="270" priority="61" stopIfTrue="1">
      <formula>"esterreur(reference)"</formula>
    </cfRule>
  </conditionalFormatting>
  <conditionalFormatting sqref="J365:K365">
    <cfRule type="expression" dxfId="269" priority="39" stopIfTrue="1">
      <formula>"esterreur(reference)"</formula>
    </cfRule>
  </conditionalFormatting>
  <conditionalFormatting sqref="J427:K427">
    <cfRule type="expression" dxfId="268" priority="56" stopIfTrue="1">
      <formula>"esterreur(reference)"</formula>
    </cfRule>
  </conditionalFormatting>
  <conditionalFormatting sqref="J429:K431">
    <cfRule type="expression" dxfId="267" priority="42" stopIfTrue="1">
      <formula>"esterreur(reference)"</formula>
    </cfRule>
  </conditionalFormatting>
  <conditionalFormatting sqref="J464:K464">
    <cfRule type="expression" dxfId="266" priority="54" stopIfTrue="1">
      <formula>"esterreur(reference)"</formula>
    </cfRule>
  </conditionalFormatting>
  <conditionalFormatting sqref="J482:K482">
    <cfRule type="expression" dxfId="265" priority="51" stopIfTrue="1">
      <formula>"esterreur(reference)"</formula>
    </cfRule>
  </conditionalFormatting>
  <conditionalFormatting sqref="J484:K484">
    <cfRule type="expression" dxfId="264" priority="48" stopIfTrue="1">
      <formula>"esterreur(reference)"</formula>
    </cfRule>
  </conditionalFormatting>
  <conditionalFormatting sqref="J486:K487">
    <cfRule type="expression" dxfId="263" priority="45" stopIfTrue="1">
      <formula>"esterreur(reference)"</formula>
    </cfRule>
  </conditionalFormatting>
  <conditionalFormatting sqref="J53:L53 J55:L71">
    <cfRule type="expression" dxfId="262" priority="134" stopIfTrue="1">
      <formula>"esterreur(reference)"</formula>
    </cfRule>
  </conditionalFormatting>
  <conditionalFormatting sqref="J465:L481">
    <cfRule type="expression" dxfId="261" priority="148" stopIfTrue="1">
      <formula>"esterreur(reference)"</formula>
    </cfRule>
  </conditionalFormatting>
  <conditionalFormatting sqref="K5">
    <cfRule type="expression" dxfId="260" priority="155" stopIfTrue="1">
      <formula>"esterreur(reference)"</formula>
    </cfRule>
  </conditionalFormatting>
  <conditionalFormatting sqref="K321:L321">
    <cfRule type="expression" dxfId="259" priority="153" stopIfTrue="1">
      <formula>"esterreur(reference)"</formula>
    </cfRule>
  </conditionalFormatting>
  <conditionalFormatting sqref="K437:L437 L439 K440:L440">
    <cfRule type="expression" dxfId="258" priority="108" stopIfTrue="1">
      <formula>"esterreur(reference)"</formula>
    </cfRule>
  </conditionalFormatting>
  <conditionalFormatting sqref="K443:L443">
    <cfRule type="expression" dxfId="257" priority="109" stopIfTrue="1">
      <formula>"esterreur(reference)"</formula>
    </cfRule>
  </conditionalFormatting>
  <conditionalFormatting sqref="L5:L14">
    <cfRule type="expression" dxfId="256" priority="25" stopIfTrue="1">
      <formula>"esterreur(reference)"</formula>
    </cfRule>
  </conditionalFormatting>
  <conditionalFormatting sqref="L75:L82">
    <cfRule type="expression" dxfId="255" priority="142" stopIfTrue="1">
      <formula>"esterreur(reference)"</formula>
    </cfRule>
  </conditionalFormatting>
  <conditionalFormatting sqref="L157:L163">
    <cfRule type="expression" dxfId="254" priority="152" stopIfTrue="1">
      <formula>"esterreur(reference)"</formula>
    </cfRule>
  </conditionalFormatting>
  <conditionalFormatting sqref="L230:L236">
    <cfRule type="expression" dxfId="253" priority="114" stopIfTrue="1">
      <formula>"esterreur(reference)"</formula>
    </cfRule>
  </conditionalFormatting>
  <conditionalFormatting sqref="L272:L283">
    <cfRule type="expression" dxfId="252" priority="150" stopIfTrue="1">
      <formula>"esterreur(reference)"</formula>
    </cfRule>
  </conditionalFormatting>
  <conditionalFormatting sqref="L285:L302">
    <cfRule type="expression" dxfId="251" priority="151" stopIfTrue="1">
      <formula>"esterreur(reference)"</formula>
    </cfRule>
  </conditionalFormatting>
  <conditionalFormatting sqref="L324">
    <cfRule type="expression" dxfId="250" priority="99" stopIfTrue="1">
      <formula>"esterreur(reference)"</formula>
    </cfRule>
  </conditionalFormatting>
  <conditionalFormatting sqref="L330:L341">
    <cfRule type="expression" dxfId="249" priority="154" stopIfTrue="1">
      <formula>"esterreur(reference)"</formula>
    </cfRule>
  </conditionalFormatting>
  <conditionalFormatting sqref="L422:L424">
    <cfRule type="expression" dxfId="248" priority="149" stopIfTrue="1">
      <formula>"esterreur(reference)"</formula>
    </cfRule>
  </conditionalFormatting>
  <conditionalFormatting sqref="L446">
    <cfRule type="expression" dxfId="247" priority="2" stopIfTrue="1">
      <formula>"esterreur(reference)"</formula>
    </cfRule>
  </conditionalFormatting>
  <conditionalFormatting sqref="M95:M97">
    <cfRule type="expression" dxfId="246" priority="141" stopIfTrue="1">
      <formula>"esterreur(reference)"</formula>
    </cfRule>
  </conditionalFormatting>
  <conditionalFormatting sqref="M177:M179">
    <cfRule type="expression" dxfId="245" priority="113" stopIfTrue="1">
      <formula>"esterreur(reference)"</formula>
    </cfRule>
  </conditionalFormatting>
  <conditionalFormatting sqref="N283">
    <cfRule type="expression" dxfId="244" priority="136" stopIfTrue="1">
      <formula>"esterreur(reference)"</formula>
    </cfRule>
  </conditionalFormatting>
  <conditionalFormatting sqref="N394:N404">
    <cfRule type="expression" dxfId="243" priority="138" stopIfTrue="1">
      <formula>"esterreur(reference)"</formula>
    </cfRule>
  </conditionalFormatting>
  <conditionalFormatting sqref="N271:Q271">
    <cfRule type="expression" dxfId="242" priority="124" stopIfTrue="1">
      <formula>"esterreur(reference)"</formula>
    </cfRule>
  </conditionalFormatting>
  <conditionalFormatting sqref="O16 Q16:Q24">
    <cfRule type="expression" dxfId="241" priority="129" stopIfTrue="1">
      <formula>"esterreur(reference)"</formula>
    </cfRule>
  </conditionalFormatting>
  <conditionalFormatting sqref="O109 O110:Q122">
    <cfRule type="expression" dxfId="240" priority="22" stopIfTrue="1">
      <formula>"esterreur(reference)"</formula>
    </cfRule>
  </conditionalFormatting>
  <conditionalFormatting sqref="O182 O183:Q195">
    <cfRule type="expression" dxfId="239" priority="18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238" priority="123" stopIfTrue="1">
      <formula>"esterreur(reference)"</formula>
    </cfRule>
  </conditionalFormatting>
  <conditionalFormatting sqref="O266:O268 O269:P269">
    <cfRule type="expression" dxfId="237" priority="15" stopIfTrue="1">
      <formula>"esterreur(reference)"</formula>
    </cfRule>
  </conditionalFormatting>
  <conditionalFormatting sqref="O317">
    <cfRule type="expression" dxfId="236" priority="119" stopIfTrue="1">
      <formula>"esterreur(reference)"</formula>
    </cfRule>
  </conditionalFormatting>
  <conditionalFormatting sqref="O326 O327:P327">
    <cfRule type="expression" dxfId="235" priority="11" stopIfTrue="1">
      <formula>"esterreur(reference)"</formula>
    </cfRule>
  </conditionalFormatting>
  <conditionalFormatting sqref="O390 O391:P391">
    <cfRule type="expression" dxfId="234" priority="8" stopIfTrue="1">
      <formula>"esterreur(reference)"</formula>
    </cfRule>
  </conditionalFormatting>
  <conditionalFormatting sqref="O439">
    <cfRule type="expression" dxfId="233" priority="104" stopIfTrue="1">
      <formula>"esterreur(reference)"</formula>
    </cfRule>
  </conditionalFormatting>
  <conditionalFormatting sqref="O448 O449:P449">
    <cfRule type="expression" dxfId="232" priority="4" stopIfTrue="1">
      <formula>"esterreur(reference)"</formula>
    </cfRule>
  </conditionalFormatting>
  <conditionalFormatting sqref="O54:P54">
    <cfRule type="expression" dxfId="231" priority="95" stopIfTrue="1">
      <formula>"esterreur(reference)"</formula>
    </cfRule>
  </conditionalFormatting>
  <conditionalFormatting sqref="O72:P72">
    <cfRule type="expression" dxfId="230" priority="93" stopIfTrue="1">
      <formula>"esterreur(reference)"</formula>
    </cfRule>
  </conditionalFormatting>
  <conditionalFormatting sqref="O74:P74">
    <cfRule type="expression" dxfId="229" priority="90" stopIfTrue="1">
      <formula>"esterreur(reference)"</formula>
    </cfRule>
  </conditionalFormatting>
  <conditionalFormatting sqref="O85:P85">
    <cfRule type="expression" dxfId="228" priority="26" stopIfTrue="1">
      <formula>"esterreur(reference)"</formula>
    </cfRule>
  </conditionalFormatting>
  <conditionalFormatting sqref="O123:P133">
    <cfRule type="expression" dxfId="227" priority="88" stopIfTrue="1">
      <formula>"esterreur(reference)"</formula>
    </cfRule>
  </conditionalFormatting>
  <conditionalFormatting sqref="O136:P136">
    <cfRule type="expression" dxfId="226" priority="87" stopIfTrue="1">
      <formula>"esterreur(reference)"</formula>
    </cfRule>
  </conditionalFormatting>
  <conditionalFormatting sqref="O154:P154">
    <cfRule type="expression" dxfId="225" priority="86" stopIfTrue="1">
      <formula>"esterreur(reference)"</formula>
    </cfRule>
  </conditionalFormatting>
  <conditionalFormatting sqref="O156:P158">
    <cfRule type="expression" dxfId="224" priority="83" stopIfTrue="1">
      <formula>"esterreur(reference)"</formula>
    </cfRule>
  </conditionalFormatting>
  <conditionalFormatting sqref="O164:P164">
    <cfRule type="expression" dxfId="223" priority="80" stopIfTrue="1">
      <formula>"esterreur(reference)"</formula>
    </cfRule>
  </conditionalFormatting>
  <conditionalFormatting sqref="O166:P166">
    <cfRule type="expression" dxfId="222" priority="29" stopIfTrue="1">
      <formula>"esterreur(reference)"</formula>
    </cfRule>
  </conditionalFormatting>
  <conditionalFormatting sqref="O196:P206">
    <cfRule type="expression" dxfId="221" priority="79" stopIfTrue="1">
      <formula>"esterreur(reference)"</formula>
    </cfRule>
  </conditionalFormatting>
  <conditionalFormatting sqref="O209:P209">
    <cfRule type="expression" dxfId="220" priority="78" stopIfTrue="1">
      <formula>"esterreur(reference)"</formula>
    </cfRule>
  </conditionalFormatting>
  <conditionalFormatting sqref="O227:P227">
    <cfRule type="expression" dxfId="219" priority="77" stopIfTrue="1">
      <formula>"esterreur(reference)"</formula>
    </cfRule>
  </conditionalFormatting>
  <conditionalFormatting sqref="O229:P231">
    <cfRule type="expression" dxfId="218" priority="74" stopIfTrue="1">
      <formula>"esterreur(reference)"</formula>
    </cfRule>
  </conditionalFormatting>
  <conditionalFormatting sqref="O237:P237">
    <cfRule type="expression" dxfId="217" priority="71" stopIfTrue="1">
      <formula>"esterreur(reference)"</formula>
    </cfRule>
  </conditionalFormatting>
  <conditionalFormatting sqref="O239:P239">
    <cfRule type="expression" dxfId="216" priority="32" stopIfTrue="1">
      <formula>"esterreur(reference)"</formula>
    </cfRule>
  </conditionalFormatting>
  <conditionalFormatting sqref="O276:P303">
    <cfRule type="expression" dxfId="215" priority="69" stopIfTrue="1">
      <formula>"esterreur(reference)"</formula>
    </cfRule>
  </conditionalFormatting>
  <conditionalFormatting sqref="O305:P305">
    <cfRule type="expression" dxfId="214" priority="66" stopIfTrue="1">
      <formula>"esterreur(reference)"</formula>
    </cfRule>
  </conditionalFormatting>
  <conditionalFormatting sqref="O307:P307">
    <cfRule type="expression" dxfId="213" priority="35" stopIfTrue="1">
      <formula>"esterreur(reference)"</formula>
    </cfRule>
  </conditionalFormatting>
  <conditionalFormatting sqref="O330:P342">
    <cfRule type="expression" dxfId="212" priority="65" stopIfTrue="1">
      <formula>"esterreur(reference)"</formula>
    </cfRule>
  </conditionalFormatting>
  <conditionalFormatting sqref="O361:P361">
    <cfRule type="expression" dxfId="211" priority="63" stopIfTrue="1">
      <formula>"esterreur(reference)"</formula>
    </cfRule>
  </conditionalFormatting>
  <conditionalFormatting sqref="O363:P363">
    <cfRule type="expression" dxfId="210" priority="60" stopIfTrue="1">
      <formula>"esterreur(reference)"</formula>
    </cfRule>
  </conditionalFormatting>
  <conditionalFormatting sqref="O365:P365">
    <cfRule type="expression" dxfId="209" priority="38" stopIfTrue="1">
      <formula>"esterreur(reference)"</formula>
    </cfRule>
  </conditionalFormatting>
  <conditionalFormatting sqref="O371:P379 O380:Q382 O383:P384 O385:Q389 O392:Q405 O428:Q428">
    <cfRule type="expression" dxfId="208" priority="117" stopIfTrue="1">
      <formula>"esterreur(reference)"</formula>
    </cfRule>
  </conditionalFormatting>
  <conditionalFormatting sqref="O406:P425">
    <cfRule type="expression" dxfId="207" priority="58" stopIfTrue="1">
      <formula>"esterreur(reference)"</formula>
    </cfRule>
  </conditionalFormatting>
  <conditionalFormatting sqref="O427:P427">
    <cfRule type="expression" dxfId="206" priority="55" stopIfTrue="1">
      <formula>"esterreur(reference)"</formula>
    </cfRule>
  </conditionalFormatting>
  <conditionalFormatting sqref="O429:P429">
    <cfRule type="expression" dxfId="205" priority="41" stopIfTrue="1">
      <formula>"esterreur(reference)"</formula>
    </cfRule>
  </conditionalFormatting>
  <conditionalFormatting sqref="O464:P464">
    <cfRule type="expression" dxfId="204" priority="53" stopIfTrue="1">
      <formula>"esterreur(reference)"</formula>
    </cfRule>
  </conditionalFormatting>
  <conditionalFormatting sqref="O482:P482">
    <cfRule type="expression" dxfId="203" priority="50" stopIfTrue="1">
      <formula>"esterreur(reference)"</formula>
    </cfRule>
  </conditionalFormatting>
  <conditionalFormatting sqref="O484:P484">
    <cfRule type="expression" dxfId="202" priority="47" stopIfTrue="1">
      <formula>"esterreur(reference)"</formula>
    </cfRule>
  </conditionalFormatting>
  <conditionalFormatting sqref="O486:P486">
    <cfRule type="expression" dxfId="201" priority="44" stopIfTrue="1">
      <formula>"esterreur(reference)"</formula>
    </cfRule>
  </conditionalFormatting>
  <conditionalFormatting sqref="O53:Q53 O55:Q71">
    <cfRule type="expression" dxfId="200" priority="128" stopIfTrue="1">
      <formula>"esterreur(reference)"</formula>
    </cfRule>
  </conditionalFormatting>
  <conditionalFormatting sqref="O180:Q181">
    <cfRule type="expression" dxfId="199" priority="111" stopIfTrue="1">
      <formula>"esterreur(reference)"</formula>
    </cfRule>
  </conditionalFormatting>
  <conditionalFormatting sqref="O436:Q436">
    <cfRule type="expression" dxfId="198" priority="116" stopIfTrue="1">
      <formula>"esterreur(reference)"</formula>
    </cfRule>
  </conditionalFormatting>
  <conditionalFormatting sqref="O447:Q447 O450:Q463 O465:Q481">
    <cfRule type="expression" dxfId="197" priority="101" stopIfTrue="1">
      <formula>"esterreur(reference)"</formula>
    </cfRule>
  </conditionalFormatting>
  <conditionalFormatting sqref="O483:Q483 O485:Q485">
    <cfRule type="expression" dxfId="196" priority="100" stopIfTrue="1">
      <formula>"esterreur(reference)"</formula>
    </cfRule>
  </conditionalFormatting>
  <conditionalFormatting sqref="P5:Q5">
    <cfRule type="expression" dxfId="195" priority="132" stopIfTrue="1">
      <formula>"esterreur(reference)"</formula>
    </cfRule>
  </conditionalFormatting>
  <conditionalFormatting sqref="P315:Q315 P317:Q318 O328:Q329 O343:Q360 O364:Q364">
    <cfRule type="expression" dxfId="194" priority="120" stopIfTrue="1">
      <formula>"esterreur(reference)"</formula>
    </cfRule>
  </conditionalFormatting>
  <conditionalFormatting sqref="P321:Q321">
    <cfRule type="expression" dxfId="193" priority="121" stopIfTrue="1">
      <formula>"esterreur(reference)"</formula>
    </cfRule>
  </conditionalFormatting>
  <conditionalFormatting sqref="P437:Q437 Q439 P440:Q440">
    <cfRule type="expression" dxfId="192" priority="105" stopIfTrue="1">
      <formula>"esterreur(reference)"</formula>
    </cfRule>
  </conditionalFormatting>
  <conditionalFormatting sqref="P443:Q443">
    <cfRule type="expression" dxfId="191" priority="106" stopIfTrue="1">
      <formula>"esterreur(reference)"</formula>
    </cfRule>
  </conditionalFormatting>
  <conditionalFormatting sqref="Q6:Q14 O13:O14 O18:O24 O25:Q26 O27 O28:Q30 O31:P36 O37 O38:P52 O83:P83 O84:Q84">
    <cfRule type="expression" dxfId="190" priority="130" stopIfTrue="1">
      <formula>"esterreur(reference)"</formula>
    </cfRule>
  </conditionalFormatting>
  <conditionalFormatting sqref="Q75:Q82">
    <cfRule type="expression" dxfId="189" priority="131" stopIfTrue="1">
      <formula>"esterreur(reference)"</formula>
    </cfRule>
  </conditionalFormatting>
  <conditionalFormatting sqref="Q157:Q163">
    <cfRule type="expression" dxfId="188" priority="127" stopIfTrue="1">
      <formula>"esterreur(reference)"</formula>
    </cfRule>
  </conditionalFormatting>
  <conditionalFormatting sqref="Q230:Q236">
    <cfRule type="expression" dxfId="187" priority="112" stopIfTrue="1">
      <formula>"esterreur(reference)"</formula>
    </cfRule>
  </conditionalFormatting>
  <conditionalFormatting sqref="Q259">
    <cfRule type="expression" dxfId="186" priority="97" stopIfTrue="1">
      <formula>"esterreur(reference)"</formula>
    </cfRule>
  </conditionalFormatting>
  <conditionalFormatting sqref="Q272:Q283">
    <cfRule type="expression" dxfId="185" priority="125" stopIfTrue="1">
      <formula>"esterreur(reference)"</formula>
    </cfRule>
  </conditionalFormatting>
  <conditionalFormatting sqref="Q285:Q302">
    <cfRule type="expression" dxfId="184" priority="126" stopIfTrue="1">
      <formula>"esterreur(reference)"</formula>
    </cfRule>
  </conditionalFormatting>
  <conditionalFormatting sqref="Q324">
    <cfRule type="expression" dxfId="183" priority="98" stopIfTrue="1">
      <formula>"esterreur(reference)"</formula>
    </cfRule>
  </conditionalFormatting>
  <conditionalFormatting sqref="Q330:Q341">
    <cfRule type="expression" dxfId="182" priority="122" stopIfTrue="1">
      <formula>"esterreur(reference)"</formula>
    </cfRule>
  </conditionalFormatting>
  <conditionalFormatting sqref="Q422:Q424">
    <cfRule type="expression" dxfId="181" priority="118" stopIfTrue="1">
      <formula>"esterreur(reference)"</formula>
    </cfRule>
  </conditionalFormatting>
  <conditionalFormatting sqref="Q446">
    <cfRule type="expression" dxfId="180" priority="1" stopIfTrue="1">
      <formula>"esterreur(reference)"</formula>
    </cfRule>
  </conditionalFormatting>
  <conditionalFormatting sqref="R388">
    <cfRule type="expression" dxfId="179" priority="143" stopIfTrue="1">
      <formula>"esterreur(reference)"</formula>
    </cfRule>
  </conditionalFormatting>
  <conditionalFormatting sqref="S260">
    <cfRule type="expression" dxfId="178" priority="157" stopIfTrue="1">
      <formula>"esterreur(reference)"</formula>
    </cfRule>
  </conditionalFormatting>
  <conditionalFormatting sqref="AG496:AI505 AH507:AI519 AH521:AI538 AH540:AI547 AH548:AH549 AH550:AI552 AH554:AI554 AH578:AI584">
    <cfRule type="cellIs" dxfId="177" priority="144" operator="greaterThan">
      <formula>0</formula>
    </cfRule>
  </conditionalFormatting>
  <conditionalFormatting sqref="AH556:AI563 AH567:AI567">
    <cfRule type="cellIs" dxfId="176" priority="145" operator="lessThan">
      <formula>0</formula>
    </cfRule>
  </conditionalFormatting>
  <conditionalFormatting sqref="AH564:AI566">
    <cfRule type="cellIs" dxfId="175" priority="160" operator="greaterThan">
      <formula>0</formula>
    </cfRule>
  </conditionalFormatting>
  <conditionalFormatting sqref="AO496:AO505">
    <cfRule type="cellIs" dxfId="174" priority="158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7">
    <pageSetUpPr fitToPage="1"/>
  </sheetPr>
  <dimension ref="A1:BJ780"/>
  <sheetViews>
    <sheetView zoomScale="70" zoomScaleNormal="70" workbookViewId="0">
      <selection activeCell="AF585" sqref="AF585"/>
    </sheetView>
  </sheetViews>
  <sheetFormatPr baseColWidth="10" defaultColWidth="12.59765625" defaultRowHeight="15" customHeight="1"/>
  <cols>
    <col min="1" max="1" width="5.3984375" customWidth="1"/>
    <col min="2" max="2" width="22.59765625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0" max="21" width="11.59765625" customWidth="1"/>
    <col min="22" max="22" width="42.3984375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11.59765625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  <col min="42" max="62" width="11.59765625" customWidth="1"/>
  </cols>
  <sheetData>
    <row r="1" spans="1:40" ht="36" thickBot="1">
      <c r="B1" s="424"/>
      <c r="C1" s="425" t="str">
        <f>[3]Parametres!B1</f>
        <v>Ste-Marie Auto</v>
      </c>
      <c r="D1" s="426"/>
      <c r="E1" s="427"/>
      <c r="F1" s="426"/>
      <c r="G1" s="426"/>
      <c r="H1" s="425"/>
      <c r="I1" s="426"/>
      <c r="J1" s="425"/>
      <c r="K1" s="428" t="s">
        <v>0</v>
      </c>
      <c r="L1" s="426"/>
      <c r="M1" s="426"/>
      <c r="N1" s="429"/>
      <c r="O1" s="425"/>
      <c r="P1" s="426"/>
      <c r="Q1" s="425"/>
      <c r="R1" s="426"/>
      <c r="S1" s="430" t="str">
        <f>CONCATENATE("Réalisé,"," ",[3]Parametres!B3," ",[3]Parametres!B4)</f>
        <v>Réalisé, Septembre 2026</v>
      </c>
      <c r="T1" s="431" t="s">
        <v>1</v>
      </c>
      <c r="U1" s="432"/>
      <c r="V1" s="424"/>
      <c r="W1" s="424"/>
      <c r="X1" s="424"/>
      <c r="Y1" s="424"/>
      <c r="Z1" s="424"/>
      <c r="AA1" s="424"/>
      <c r="AB1" s="424"/>
      <c r="AC1" s="424"/>
      <c r="AD1" s="424"/>
      <c r="AE1" s="424"/>
      <c r="AF1" s="424"/>
      <c r="AG1" s="424"/>
      <c r="AH1" s="424"/>
      <c r="AI1" s="424"/>
      <c r="AJ1" s="424"/>
      <c r="AK1" s="424"/>
      <c r="AL1" s="424"/>
      <c r="AM1" s="424"/>
      <c r="AN1" s="424"/>
    </row>
    <row r="2" spans="1:40" ht="15" customHeight="1" thickTop="1" thickBot="1">
      <c r="B2" s="433"/>
      <c r="C2" s="434"/>
      <c r="D2" s="435" t="s">
        <v>2</v>
      </c>
      <c r="E2" s="435" t="s">
        <v>3</v>
      </c>
      <c r="F2" s="435" t="s">
        <v>4</v>
      </c>
      <c r="G2" s="435"/>
      <c r="H2" s="435"/>
      <c r="I2" s="435"/>
      <c r="J2" s="435" t="s">
        <v>209</v>
      </c>
      <c r="K2" s="435"/>
      <c r="L2" s="435" t="s">
        <v>210</v>
      </c>
      <c r="M2" s="436"/>
      <c r="N2" s="436"/>
      <c r="O2" s="435" t="s">
        <v>209</v>
      </c>
      <c r="P2" s="435"/>
      <c r="Q2" s="435" t="s">
        <v>210</v>
      </c>
      <c r="R2" s="436"/>
      <c r="S2" s="436"/>
      <c r="T2" s="436"/>
      <c r="U2" s="436"/>
      <c r="V2" s="437" t="s">
        <v>272</v>
      </c>
      <c r="W2" s="438"/>
    </row>
    <row r="3" spans="1:40" ht="21.6" thickTop="1">
      <c r="B3" s="439"/>
      <c r="C3" s="440"/>
      <c r="D3" s="441" t="s">
        <v>5</v>
      </c>
      <c r="E3" s="442"/>
      <c r="F3" s="443"/>
      <c r="G3" s="444"/>
      <c r="H3" s="442"/>
      <c r="I3" s="443"/>
      <c r="J3" s="444" t="s">
        <v>7</v>
      </c>
      <c r="K3" s="442"/>
      <c r="L3" s="443"/>
      <c r="M3" s="444" t="s">
        <v>211</v>
      </c>
      <c r="N3" s="443"/>
      <c r="O3" s="441" t="s">
        <v>8</v>
      </c>
      <c r="P3" s="442"/>
      <c r="Q3" s="443"/>
      <c r="R3" s="444" t="s">
        <v>212</v>
      </c>
      <c r="S3" s="443"/>
      <c r="T3" s="436"/>
      <c r="U3" s="436"/>
      <c r="V3" s="445" t="s">
        <v>273</v>
      </c>
      <c r="W3" s="446">
        <v>0.45</v>
      </c>
      <c r="X3" s="439"/>
      <c r="Y3" s="439"/>
      <c r="Z3" s="439"/>
      <c r="AA3" s="439"/>
      <c r="AB3" s="439"/>
      <c r="AC3" s="439"/>
      <c r="AD3" s="439"/>
      <c r="AE3" s="439"/>
      <c r="AF3" s="439"/>
      <c r="AG3" s="439"/>
      <c r="AH3" s="439"/>
      <c r="AI3" s="439"/>
      <c r="AJ3" s="439"/>
      <c r="AK3" s="439"/>
      <c r="AL3" s="439"/>
      <c r="AM3" s="439"/>
      <c r="AN3" s="439"/>
    </row>
    <row r="4" spans="1:40" ht="20.399999999999999">
      <c r="B4" s="439"/>
      <c r="C4" s="447"/>
      <c r="D4" s="448" t="s">
        <v>10</v>
      </c>
      <c r="E4" s="449" t="s">
        <v>11</v>
      </c>
      <c r="F4" s="450" t="s">
        <v>12</v>
      </c>
      <c r="G4" s="451"/>
      <c r="H4" s="449"/>
      <c r="I4" s="450"/>
      <c r="J4" s="451" t="s">
        <v>221</v>
      </c>
      <c r="K4" s="449" t="s">
        <v>13</v>
      </c>
      <c r="L4" s="450" t="s">
        <v>12</v>
      </c>
      <c r="M4" s="451" t="s">
        <v>221</v>
      </c>
      <c r="N4" s="450" t="s">
        <v>12</v>
      </c>
      <c r="O4" s="451" t="s">
        <v>221</v>
      </c>
      <c r="P4" s="449" t="s">
        <v>13</v>
      </c>
      <c r="Q4" s="450" t="s">
        <v>12</v>
      </c>
      <c r="R4" s="451" t="s">
        <v>221</v>
      </c>
      <c r="S4" s="450" t="s">
        <v>12</v>
      </c>
      <c r="T4" s="436"/>
      <c r="U4" s="436"/>
      <c r="V4" s="445" t="s">
        <v>274</v>
      </c>
      <c r="W4" s="446">
        <v>0.1</v>
      </c>
      <c r="X4" s="439"/>
      <c r="Y4" s="439"/>
      <c r="Z4" s="439"/>
      <c r="AA4" s="439"/>
      <c r="AB4" s="439"/>
      <c r="AC4" s="439"/>
      <c r="AD4" s="439"/>
      <c r="AE4" s="439"/>
      <c r="AF4" s="439"/>
      <c r="AG4" s="439"/>
      <c r="AH4" s="439"/>
      <c r="AI4" s="439"/>
      <c r="AJ4" s="439"/>
      <c r="AK4" s="439"/>
      <c r="AL4" s="439"/>
      <c r="AM4" s="439"/>
      <c r="AN4" s="439"/>
    </row>
    <row r="5" spans="1:40" ht="20.399999999999999">
      <c r="A5" s="452" t="s">
        <v>275</v>
      </c>
      <c r="B5" s="439" t="s">
        <v>0</v>
      </c>
      <c r="C5" s="453" t="s">
        <v>14</v>
      </c>
      <c r="D5" s="454"/>
      <c r="E5" s="454"/>
      <c r="F5" s="455">
        <f t="array" ref="F5">+INDEX('[3]Budget original'!$A$2:$AO$501,MATCH($A5,'[3]Budget original'!$A$2:$A$501,0),MATCH(F$2,'[3]Budget original'!$A$2:$AO$2,0))</f>
        <v>0</v>
      </c>
      <c r="G5" s="454"/>
      <c r="H5" s="454"/>
      <c r="I5" s="456"/>
      <c r="J5" s="453"/>
      <c r="K5" s="457"/>
      <c r="L5" s="458">
        <f>-SUMIFS([3]BV_Data_An_Cour!$AM:$AM,[3]BV_Data_An_Cour!$AS:$AS,"Oui",[3]BV_Data_An_Cour!$AP:$AP,$B5)</f>
        <v>7465717.8300000057</v>
      </c>
      <c r="M5" s="459"/>
      <c r="N5" s="460"/>
      <c r="O5" s="453"/>
      <c r="P5" s="457"/>
      <c r="Q5" s="458">
        <f>-SUMIFS([3]BV_Data_An_Prec!$AM:$AM,[3]BV_Data_An_Prec!$AS:$AS,"Oui",[3]BV_Data_An_Prec!$AP:$AP,$B5)</f>
        <v>8922542.4800000098</v>
      </c>
      <c r="R5" s="459"/>
      <c r="S5" s="461"/>
      <c r="T5" s="436"/>
      <c r="U5" s="436">
        <f>L5/AF493</f>
        <v>0.66679020257111588</v>
      </c>
      <c r="V5" s="445" t="s">
        <v>276</v>
      </c>
      <c r="W5" s="446">
        <v>0.22500000000000001</v>
      </c>
      <c r="X5" s="439"/>
      <c r="Y5" s="439"/>
      <c r="Z5" s="439"/>
      <c r="AA5" s="439"/>
      <c r="AB5" s="439"/>
      <c r="AC5" s="439"/>
      <c r="AD5" s="439"/>
      <c r="AE5" s="439"/>
      <c r="AF5" s="439"/>
      <c r="AG5" s="439"/>
      <c r="AH5" s="439"/>
      <c r="AI5" s="439"/>
      <c r="AJ5" s="439"/>
      <c r="AK5" s="439"/>
      <c r="AL5" s="439"/>
      <c r="AM5" s="439"/>
      <c r="AN5" s="439"/>
    </row>
    <row r="6" spans="1:40" ht="20.399999999999999">
      <c r="A6" s="452" t="s">
        <v>277</v>
      </c>
      <c r="B6" s="439" t="s">
        <v>0</v>
      </c>
      <c r="C6" s="462" t="s">
        <v>15</v>
      </c>
      <c r="D6" s="463">
        <f t="array" ref="D6">+INDEX('[3]Budget original'!$A$2:$AO$501,MATCH($A6,'[3]Budget original'!$A$2:$A$501,0),MATCH(D$2,'[3]Budget original'!$A$2:$AO$2,0))</f>
        <v>0</v>
      </c>
      <c r="E6" s="463">
        <f t="shared" ref="E6:E12" si="0">IF(D6=0,0,F6/D6)</f>
        <v>0</v>
      </c>
      <c r="F6" s="463">
        <f t="array" ref="F6">+INDEX('[3]Budget original'!$A$2:$AO$501,MATCH($A6,'[3]Budget original'!$A$2:$A$501,0),MATCH(F$2,'[3]Budget original'!$A$2:$AO$2,0))</f>
        <v>0</v>
      </c>
      <c r="G6" s="464"/>
      <c r="H6" s="463"/>
      <c r="I6" s="463"/>
      <c r="J6" s="464">
        <f>SUMIFS([3]BV_Data_An_Cour!$AW:$AW,[3]BV_Data_An_Cour!$AP:$AP,$B6,[3]BV_Data_An_Cour!$AQ:$AQ,$C6,[3]BV_Data_An_Cour!$AY:$AY,J$2)</f>
        <v>1</v>
      </c>
      <c r="K6" s="465">
        <f t="shared" ref="K6:K12" si="1">IF(J6=0,0,L6/J6)</f>
        <v>11544.359999999986</v>
      </c>
      <c r="L6" s="466">
        <f>-SUMIFS([3]BV_Data_An_Cour!$AM:$AM,[3]BV_Data_An_Cour!$AP:$AP,$B6,[3]BV_Data_An_Cour!$AQ:$AQ,$C6,[3]BV_Data_An_Cour!$AR:$AR,L$2)</f>
        <v>11544.359999999986</v>
      </c>
      <c r="M6" s="464">
        <f t="shared" ref="M6:M12" si="2">J6-D6</f>
        <v>1</v>
      </c>
      <c r="N6" s="467">
        <f t="shared" ref="N6:N12" si="3">L6-F6</f>
        <v>11544.359999999986</v>
      </c>
      <c r="O6" s="464">
        <f>SUMIFS([3]BV_Data_An_Prec!$AW:$AW,[3]BV_Data_An_Prec!$AP:$AP,$B6,[3]BV_Data_An_Prec!$AQ:$AQ,$C6,[3]BV_Data_An_Prec!$AY:$AY,O$2)</f>
        <v>0</v>
      </c>
      <c r="P6" s="465">
        <f t="shared" ref="P6:P12" si="4">IF(O6=0,0,Q6/O6)</f>
        <v>0</v>
      </c>
      <c r="Q6" s="466">
        <f>-SUMIFS([3]BV_Data_An_Prec!$AM:$AM,[3]BV_Data_An_Prec!$AP:$AP,$B6,[3]BV_Data_An_Prec!$AQ:$AQ,$C6,[3]BV_Data_An_Prec!$AR:$AR,Q$2)</f>
        <v>0</v>
      </c>
      <c r="R6" s="468">
        <f t="shared" ref="R6:R12" si="5">J6-O6</f>
        <v>1</v>
      </c>
      <c r="S6" s="466">
        <f t="shared" ref="S6:S12" si="6">L6-Q6</f>
        <v>11544.359999999986</v>
      </c>
      <c r="T6" s="436"/>
      <c r="U6" s="436"/>
      <c r="V6" s="445" t="s">
        <v>278</v>
      </c>
      <c r="W6" s="446">
        <v>2.5000000000000001E-2</v>
      </c>
      <c r="X6" s="439"/>
      <c r="Y6" s="439"/>
      <c r="Z6" s="439"/>
      <c r="AA6" s="439"/>
      <c r="AB6" s="439"/>
      <c r="AC6" s="439"/>
      <c r="AD6" s="439"/>
      <c r="AE6" s="439"/>
      <c r="AF6" s="439"/>
      <c r="AG6" s="439"/>
      <c r="AH6" s="439"/>
      <c r="AI6" s="439"/>
      <c r="AJ6" s="439"/>
      <c r="AK6" s="439"/>
      <c r="AL6" s="439"/>
      <c r="AM6" s="439"/>
      <c r="AN6" s="439"/>
    </row>
    <row r="7" spans="1:40" ht="20.399999999999999">
      <c r="A7" s="452" t="s">
        <v>279</v>
      </c>
      <c r="B7" s="439" t="s">
        <v>0</v>
      </c>
      <c r="C7" s="462" t="s">
        <v>16</v>
      </c>
      <c r="D7" s="463">
        <f t="array" ref="D7">+INDEX('[3]Budget original'!$A$2:$AO$501,MATCH($A7,'[3]Budget original'!$A$2:$A$501,0),MATCH(D$2,'[3]Budget original'!$A$2:$AO$2,0))</f>
        <v>0</v>
      </c>
      <c r="E7" s="463">
        <f t="shared" si="0"/>
        <v>0</v>
      </c>
      <c r="F7" s="463">
        <f t="array" ref="F7">+INDEX('[3]Budget original'!$A$2:$AO$501,MATCH($A7,'[3]Budget original'!$A$2:$A$501,0),MATCH(F$2,'[3]Budget original'!$A$2:$AO$2,0))</f>
        <v>0</v>
      </c>
      <c r="G7" s="464"/>
      <c r="H7" s="463"/>
      <c r="I7" s="463"/>
      <c r="J7" s="464">
        <f>SUMIFS([3]BV_Data_An_Cour!$AW:$AW,[3]BV_Data_An_Cour!$AP:$AP,$B7,[3]BV_Data_An_Cour!$AQ:$AQ,$C7,[3]BV_Data_An_Cour!$AY:$AY,J$2)</f>
        <v>30</v>
      </c>
      <c r="K7" s="465">
        <f t="shared" si="1"/>
        <v>1763.6139999999928</v>
      </c>
      <c r="L7" s="466">
        <f>-SUMIFS([3]BV_Data_An_Cour!$AM:$AM,[3]BV_Data_An_Cour!$AP:$AP,$B7,[3]BV_Data_An_Cour!$AQ:$AQ,$C7,[3]BV_Data_An_Cour!$AR:$AR,L$2)</f>
        <v>52908.41999999978</v>
      </c>
      <c r="M7" s="464">
        <f t="shared" si="2"/>
        <v>30</v>
      </c>
      <c r="N7" s="467">
        <f t="shared" si="3"/>
        <v>52908.41999999978</v>
      </c>
      <c r="O7" s="464">
        <f>SUMIFS([3]BV_Data_An_Prec!$AW:$AW,[3]BV_Data_An_Prec!$AP:$AP,$B7,[3]BV_Data_An_Prec!$AQ:$AQ,$C7,[3]BV_Data_An_Prec!$AY:$AY,O$2)</f>
        <v>38</v>
      </c>
      <c r="P7" s="465">
        <f t="shared" si="4"/>
        <v>2884.9065789473702</v>
      </c>
      <c r="Q7" s="466">
        <f>-SUMIFS([3]BV_Data_An_Prec!$AM:$AM,[3]BV_Data_An_Prec!$AP:$AP,$B7,[3]BV_Data_An_Prec!$AQ:$AQ,$C7,[3]BV_Data_An_Prec!$AR:$AR,Q$2)</f>
        <v>109626.45000000007</v>
      </c>
      <c r="R7" s="468">
        <f t="shared" si="5"/>
        <v>-8</v>
      </c>
      <c r="S7" s="466">
        <f t="shared" si="6"/>
        <v>-56718.03000000029</v>
      </c>
      <c r="T7" s="436"/>
      <c r="U7" s="436"/>
      <c r="V7" s="445" t="s">
        <v>280</v>
      </c>
      <c r="W7" s="446">
        <v>0.2</v>
      </c>
      <c r="X7" s="439"/>
      <c r="Y7" s="439"/>
      <c r="Z7" s="439"/>
      <c r="AA7" s="439"/>
      <c r="AB7" s="439"/>
      <c r="AC7" s="439"/>
      <c r="AD7" s="439"/>
      <c r="AE7" s="439"/>
      <c r="AF7" s="439"/>
      <c r="AG7" s="439"/>
      <c r="AH7" s="439"/>
      <c r="AI7" s="439"/>
      <c r="AJ7" s="439"/>
      <c r="AK7" s="439"/>
      <c r="AL7" s="439"/>
      <c r="AM7" s="439"/>
      <c r="AN7" s="439"/>
    </row>
    <row r="8" spans="1:40" ht="21" thickBot="1">
      <c r="A8" s="452" t="s">
        <v>281</v>
      </c>
      <c r="B8" s="439" t="s">
        <v>0</v>
      </c>
      <c r="C8" s="462" t="s">
        <v>282</v>
      </c>
      <c r="D8" s="463">
        <f t="array" ref="D8">+INDEX('[3]Budget original'!$A$2:$AO$501,MATCH($A8,'[3]Budget original'!$A$2:$A$501,0),MATCH(D$2,'[3]Budget original'!$A$2:$AO$2,0))</f>
        <v>0</v>
      </c>
      <c r="E8" s="463">
        <f t="shared" si="0"/>
        <v>0</v>
      </c>
      <c r="F8" s="463">
        <f t="array" ref="F8">+INDEX('[3]Budget original'!$A$2:$AO$501,MATCH($A8,'[3]Budget original'!$A$2:$A$501,0),MATCH(F$2,'[3]Budget original'!$A$2:$AO$2,0))</f>
        <v>0</v>
      </c>
      <c r="G8" s="464"/>
      <c r="H8" s="463"/>
      <c r="I8" s="463"/>
      <c r="J8" s="464">
        <f>SUMIFS([3]BV_Data_An_Cour!$AW:$AW,[3]BV_Data_An_Cour!$AP:$AP,$B8,[3]BV_Data_An_Cour!$AQ:$AQ,$C8,[3]BV_Data_An_Cour!$AY:$AY,J$2)</f>
        <v>0</v>
      </c>
      <c r="K8" s="465">
        <f t="shared" si="1"/>
        <v>0</v>
      </c>
      <c r="L8" s="466">
        <f>-SUMIFS([3]BV_Data_An_Cour!$AM:$AM,[3]BV_Data_An_Cour!$AP:$AP,$B8,[3]BV_Data_An_Cour!$AQ:$AQ,$C8,[3]BV_Data_An_Cour!$AR:$AR,L$2)</f>
        <v>0</v>
      </c>
      <c r="M8" s="464">
        <f t="shared" si="2"/>
        <v>0</v>
      </c>
      <c r="N8" s="467">
        <f t="shared" si="3"/>
        <v>0</v>
      </c>
      <c r="O8" s="464">
        <f>SUMIFS([3]BV_Data_An_Prec!$AW:$AW,[3]BV_Data_An_Prec!$AP:$AP,$B8,[3]BV_Data_An_Prec!$AQ:$AQ,$C8,[3]BV_Data_An_Prec!$AY:$AY,O$2)</f>
        <v>0</v>
      </c>
      <c r="P8" s="465">
        <f t="shared" si="4"/>
        <v>0</v>
      </c>
      <c r="Q8" s="466">
        <f>-SUMIFS([3]BV_Data_An_Prec!$AM:$AM,[3]BV_Data_An_Prec!$AP:$AP,$B8,[3]BV_Data_An_Prec!$AQ:$AQ,$C8,[3]BV_Data_An_Prec!$AR:$AR,Q$2)</f>
        <v>0</v>
      </c>
      <c r="R8" s="468">
        <f t="shared" si="5"/>
        <v>0</v>
      </c>
      <c r="S8" s="466">
        <f t="shared" si="6"/>
        <v>0</v>
      </c>
      <c r="T8" s="436"/>
      <c r="U8" s="436"/>
      <c r="V8" s="469"/>
      <c r="W8" s="470">
        <f>SUM(W3:W7)</f>
        <v>1</v>
      </c>
      <c r="X8" s="439"/>
      <c r="Y8" s="439"/>
      <c r="Z8" s="439"/>
      <c r="AA8" s="439"/>
      <c r="AB8" s="439"/>
      <c r="AC8" s="439"/>
      <c r="AD8" s="439"/>
      <c r="AE8" s="439"/>
      <c r="AF8" s="439"/>
      <c r="AG8" s="439"/>
      <c r="AH8" s="439"/>
      <c r="AI8" s="439"/>
      <c r="AJ8" s="439"/>
      <c r="AK8" s="439"/>
      <c r="AL8" s="439"/>
      <c r="AM8" s="439"/>
      <c r="AN8" s="439"/>
    </row>
    <row r="9" spans="1:40" ht="21" thickTop="1">
      <c r="A9" s="452" t="s">
        <v>283</v>
      </c>
      <c r="B9" s="439" t="s">
        <v>0</v>
      </c>
      <c r="C9" s="462" t="s">
        <v>284</v>
      </c>
      <c r="D9" s="463">
        <f t="array" ref="D9">+INDEX('[3]Budget original'!$A$2:$AO$501,MATCH($A9,'[3]Budget original'!$A$2:$A$501,0),MATCH(D$2,'[3]Budget original'!$A$2:$AO$2,0))</f>
        <v>0</v>
      </c>
      <c r="E9" s="463">
        <f t="shared" si="0"/>
        <v>0</v>
      </c>
      <c r="F9" s="463">
        <f t="array" ref="F9">+INDEX('[3]Budget original'!$A$2:$AO$501,MATCH($A9,'[3]Budget original'!$A$2:$A$501,0),MATCH(F$2,'[3]Budget original'!$A$2:$AO$2,0))</f>
        <v>0</v>
      </c>
      <c r="G9" s="464"/>
      <c r="H9" s="463"/>
      <c r="I9" s="463"/>
      <c r="J9" s="464">
        <f>SUMIFS([3]BV_Data_An_Cour!$AW:$AW,[3]BV_Data_An_Cour!$AP:$AP,$B9,[3]BV_Data_An_Cour!$AQ:$AQ,$C9,[3]BV_Data_An_Cour!$AY:$AY,J$2)</f>
        <v>48</v>
      </c>
      <c r="K9" s="465">
        <f t="shared" si="1"/>
        <v>1201.5937500000073</v>
      </c>
      <c r="L9" s="466">
        <f>-SUMIFS([3]BV_Data_An_Cour!$AM:$AM,[3]BV_Data_An_Cour!$AP:$AP,$B9,[3]BV_Data_An_Cour!$AQ:$AQ,$C9,[3]BV_Data_An_Cour!$AR:$AR,L$2)</f>
        <v>57676.500000000349</v>
      </c>
      <c r="M9" s="464">
        <f t="shared" si="2"/>
        <v>48</v>
      </c>
      <c r="N9" s="467">
        <f t="shared" si="3"/>
        <v>57676.500000000349</v>
      </c>
      <c r="O9" s="464">
        <f>SUMIFS([3]BV_Data_An_Prec!$AW:$AW,[3]BV_Data_An_Prec!$AP:$AP,$B9,[3]BV_Data_An_Prec!$AQ:$AQ,$C9,[3]BV_Data_An_Prec!$AY:$AY,O$2)</f>
        <v>24</v>
      </c>
      <c r="P9" s="465">
        <f t="shared" si="4"/>
        <v>1502.0999999999767</v>
      </c>
      <c r="Q9" s="466">
        <f>-SUMIFS([3]BV_Data_An_Prec!$AM:$AM,[3]BV_Data_An_Prec!$AP:$AP,$B9,[3]BV_Data_An_Prec!$AQ:$AQ,$C9,[3]BV_Data_An_Prec!$AR:$AR,Q$2)</f>
        <v>36050.399999999441</v>
      </c>
      <c r="R9" s="468">
        <f t="shared" si="5"/>
        <v>24</v>
      </c>
      <c r="S9" s="466">
        <f t="shared" si="6"/>
        <v>21626.100000000908</v>
      </c>
      <c r="T9" s="436"/>
      <c r="U9" s="436" t="s">
        <v>506</v>
      </c>
      <c r="V9" s="439"/>
      <c r="W9" s="439"/>
      <c r="X9" s="439"/>
      <c r="Y9" s="439"/>
      <c r="Z9" s="439"/>
      <c r="AA9" s="439"/>
      <c r="AB9" s="439"/>
      <c r="AC9" s="439"/>
      <c r="AD9" s="439"/>
      <c r="AE9" s="439"/>
      <c r="AF9" s="439"/>
      <c r="AG9" s="439"/>
      <c r="AH9" s="439"/>
      <c r="AI9" s="439"/>
      <c r="AJ9" s="439"/>
      <c r="AK9" s="439"/>
      <c r="AL9" s="439"/>
      <c r="AM9" s="439"/>
      <c r="AN9" s="439"/>
    </row>
    <row r="10" spans="1:40" ht="20.25" hidden="1" customHeight="1">
      <c r="A10" s="452" t="s">
        <v>285</v>
      </c>
      <c r="B10" s="439" t="s">
        <v>0</v>
      </c>
      <c r="C10" s="462" t="s">
        <v>19</v>
      </c>
      <c r="D10" s="463">
        <f t="array" ref="D10">+INDEX('[3]Budget original'!$A$2:$AO$501,MATCH($A10,'[3]Budget original'!$A$2:$A$501,0),MATCH(D$2,'[3]Budget original'!$A$2:$AO$2,0))</f>
        <v>0</v>
      </c>
      <c r="E10" s="463">
        <f t="shared" si="0"/>
        <v>0</v>
      </c>
      <c r="F10" s="463">
        <f t="array" ref="F10">+INDEX('[3]Budget original'!$A$2:$AO$501,MATCH($A10,'[3]Budget original'!$A$2:$A$501,0),MATCH(F$2,'[3]Budget original'!$A$2:$AO$2,0))</f>
        <v>0</v>
      </c>
      <c r="G10" s="464"/>
      <c r="H10" s="463"/>
      <c r="I10" s="463"/>
      <c r="J10" s="464">
        <f>-SUMIFS([3]BV_Data_An_Cour!$AM:$AM,[3]BV_Data_An_Cour!$AP:$AP,$B10,[3]BV_Data_An_Cour!$AQ:$AQ,$C10,[3]BV_Data_An_Cour!$AR:$AR,J$2)</f>
        <v>0</v>
      </c>
      <c r="K10" s="465">
        <f t="shared" si="1"/>
        <v>0</v>
      </c>
      <c r="L10" s="466">
        <f>-SUMIFS([3]BV_Data_An_Cour!$AM:$AM,[3]BV_Data_An_Cour!$AP:$AP,$B10,[3]BV_Data_An_Cour!$AQ:$AQ,$C10,[3]BV_Data_An_Cour!$AR:$AR,L$2)</f>
        <v>0</v>
      </c>
      <c r="M10" s="464">
        <f t="shared" si="2"/>
        <v>0</v>
      </c>
      <c r="N10" s="467">
        <f t="shared" si="3"/>
        <v>0</v>
      </c>
      <c r="O10" s="464">
        <f>-SUMIFS([3]BV_Data_An_Prec!$AM:$AM,[3]BV_Data_An_Prec!$AP:$AP,$B10,[3]BV_Data_An_Prec!$AQ:$AQ,$C10,[3]BV_Data_An_Prec!$AR:$AR,O$2)</f>
        <v>0</v>
      </c>
      <c r="P10" s="465">
        <f t="shared" si="4"/>
        <v>0</v>
      </c>
      <c r="Q10" s="466">
        <f>-SUMIFS([3]BV_Data_An_Prec!$AM:$AM,[3]BV_Data_An_Prec!$AP:$AP,$B10,[3]BV_Data_An_Prec!$AQ:$AQ,$C10,[3]BV_Data_An_Prec!$AR:$AR,Q$2)</f>
        <v>0</v>
      </c>
      <c r="R10" s="471">
        <f t="shared" si="5"/>
        <v>0</v>
      </c>
      <c r="S10" s="466">
        <f t="shared" si="6"/>
        <v>0</v>
      </c>
      <c r="T10" s="436"/>
      <c r="U10" s="436"/>
      <c r="V10" s="439"/>
      <c r="W10" s="439"/>
      <c r="X10" s="439"/>
      <c r="Y10" s="439"/>
      <c r="Z10" s="439"/>
      <c r="AA10" s="439"/>
      <c r="AB10" s="439"/>
      <c r="AC10" s="439"/>
      <c r="AD10" s="439"/>
      <c r="AE10" s="439"/>
      <c r="AF10" s="439"/>
      <c r="AG10" s="439"/>
      <c r="AH10" s="439"/>
      <c r="AI10" s="439"/>
      <c r="AJ10" s="439"/>
      <c r="AK10" s="439"/>
      <c r="AL10" s="439"/>
      <c r="AM10" s="439"/>
      <c r="AN10" s="439"/>
    </row>
    <row r="11" spans="1:40" ht="20.25" hidden="1" customHeight="1">
      <c r="A11" s="452" t="s">
        <v>285</v>
      </c>
      <c r="B11" s="439" t="s">
        <v>0</v>
      </c>
      <c r="C11" s="462" t="s">
        <v>19</v>
      </c>
      <c r="D11" s="463">
        <f t="array" ref="D11">+INDEX('[3]Budget original'!$A$2:$AO$501,MATCH($A11,'[3]Budget original'!$A$2:$A$501,0),MATCH(D$2,'[3]Budget original'!$A$2:$AO$2,0))</f>
        <v>0</v>
      </c>
      <c r="E11" s="463">
        <f t="shared" si="0"/>
        <v>0</v>
      </c>
      <c r="F11" s="463">
        <f t="array" ref="F11">+INDEX('[3]Budget original'!$A$2:$AO$501,MATCH($A11,'[3]Budget original'!$A$2:$A$501,0),MATCH(F$2,'[3]Budget original'!$A$2:$AO$2,0))</f>
        <v>0</v>
      </c>
      <c r="G11" s="464"/>
      <c r="H11" s="463"/>
      <c r="I11" s="463"/>
      <c r="J11" s="464">
        <f>-SUMIFS([3]BV_Data_An_Cour!$AM:$AM,[3]BV_Data_An_Cour!$AP:$AP,$B11,[3]BV_Data_An_Cour!$AQ:$AQ,$C11,[3]BV_Data_An_Cour!$AR:$AR,J$2)</f>
        <v>0</v>
      </c>
      <c r="K11" s="465">
        <f t="shared" si="1"/>
        <v>0</v>
      </c>
      <c r="L11" s="466">
        <f>-SUMIFS([3]BV_Data_An_Cour!$AM:$AM,[3]BV_Data_An_Cour!$AP:$AP,$B11,[3]BV_Data_An_Cour!$AQ:$AQ,$C11,[3]BV_Data_An_Cour!$AR:$AR,L$2)</f>
        <v>0</v>
      </c>
      <c r="M11" s="464">
        <f t="shared" si="2"/>
        <v>0</v>
      </c>
      <c r="N11" s="467">
        <f t="shared" si="3"/>
        <v>0</v>
      </c>
      <c r="O11" s="464">
        <f>-SUMIFS([3]BV_Data_An_Prec!$AM:$AM,[3]BV_Data_An_Prec!$AP:$AP,$B11,[3]BV_Data_An_Prec!$AQ:$AQ,$C11,[3]BV_Data_An_Prec!$AR:$AR,O$2)</f>
        <v>0</v>
      </c>
      <c r="P11" s="465">
        <f t="shared" si="4"/>
        <v>0</v>
      </c>
      <c r="Q11" s="466">
        <f>-SUMIFS([3]BV_Data_An_Prec!$AM:$AM,[3]BV_Data_An_Prec!$AP:$AP,$B11,[3]BV_Data_An_Prec!$AQ:$AQ,$C11,[3]BV_Data_An_Prec!$AR:$AR,Q$2)</f>
        <v>0</v>
      </c>
      <c r="R11" s="464">
        <f t="shared" si="5"/>
        <v>0</v>
      </c>
      <c r="S11" s="466">
        <f t="shared" si="6"/>
        <v>0</v>
      </c>
      <c r="T11" s="436"/>
      <c r="U11" s="436"/>
      <c r="V11" s="439"/>
      <c r="W11" s="439"/>
      <c r="X11" s="439"/>
      <c r="Y11" s="439"/>
      <c r="Z11" s="439"/>
      <c r="AA11" s="439"/>
      <c r="AB11" s="439"/>
      <c r="AC11" s="439"/>
      <c r="AD11" s="439"/>
      <c r="AE11" s="439"/>
      <c r="AF11" s="439"/>
      <c r="AG11" s="439"/>
      <c r="AH11" s="439"/>
      <c r="AI11" s="439"/>
      <c r="AJ11" s="439"/>
      <c r="AK11" s="439"/>
      <c r="AL11" s="439"/>
      <c r="AM11" s="439"/>
      <c r="AN11" s="439"/>
    </row>
    <row r="12" spans="1:40" ht="20.25" hidden="1" customHeight="1">
      <c r="A12" s="452" t="s">
        <v>285</v>
      </c>
      <c r="B12" s="439" t="s">
        <v>0</v>
      </c>
      <c r="C12" s="462" t="s">
        <v>19</v>
      </c>
      <c r="D12" s="463">
        <f t="array" ref="D12">+INDEX('[3]Budget original'!$A$2:$AO$501,MATCH($A12,'[3]Budget original'!$A$2:$A$501,0),MATCH(D$2,'[3]Budget original'!$A$2:$AO$2,0))</f>
        <v>0</v>
      </c>
      <c r="E12" s="463">
        <f t="shared" si="0"/>
        <v>0</v>
      </c>
      <c r="F12" s="463">
        <f t="array" ref="F12">+INDEX('[3]Budget original'!$A$2:$AO$501,MATCH($A12,'[3]Budget original'!$A$2:$A$501,0),MATCH(F$2,'[3]Budget original'!$A$2:$AO$2,0))</f>
        <v>0</v>
      </c>
      <c r="G12" s="464"/>
      <c r="H12" s="463"/>
      <c r="I12" s="463"/>
      <c r="J12" s="464">
        <f>-SUMIFS([3]BV_Data_An_Cour!$AM:$AM,[3]BV_Data_An_Cour!$AP:$AP,$B12,[3]BV_Data_An_Cour!$AQ:$AQ,$C12,[3]BV_Data_An_Cour!$AR:$AR,J$2)</f>
        <v>0</v>
      </c>
      <c r="K12" s="465">
        <f t="shared" si="1"/>
        <v>0</v>
      </c>
      <c r="L12" s="466">
        <f>-SUMIFS([3]BV_Data_An_Cour!$AM:$AM,[3]BV_Data_An_Cour!$AP:$AP,$B12,[3]BV_Data_An_Cour!$AQ:$AQ,$C12,[3]BV_Data_An_Cour!$AR:$AR,L$2)</f>
        <v>0</v>
      </c>
      <c r="M12" s="464">
        <f t="shared" si="2"/>
        <v>0</v>
      </c>
      <c r="N12" s="467">
        <f t="shared" si="3"/>
        <v>0</v>
      </c>
      <c r="O12" s="464">
        <f>-SUMIFS([3]BV_Data_An_Prec!$AM:$AM,[3]BV_Data_An_Prec!$AP:$AP,$B12,[3]BV_Data_An_Prec!$AQ:$AQ,$C12,[3]BV_Data_An_Prec!$AR:$AR,O$2)</f>
        <v>0</v>
      </c>
      <c r="P12" s="465">
        <f t="shared" si="4"/>
        <v>0</v>
      </c>
      <c r="Q12" s="466">
        <f>-SUMIFS([3]BV_Data_An_Prec!$AM:$AM,[3]BV_Data_An_Prec!$AP:$AP,$B12,[3]BV_Data_An_Prec!$AQ:$AQ,$C12,[3]BV_Data_An_Prec!$AR:$AR,Q$2)</f>
        <v>0</v>
      </c>
      <c r="R12" s="464">
        <f t="shared" si="5"/>
        <v>0</v>
      </c>
      <c r="S12" s="466">
        <f t="shared" si="6"/>
        <v>0</v>
      </c>
      <c r="T12" s="436"/>
      <c r="U12" s="436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</row>
    <row r="13" spans="1:40" ht="21">
      <c r="A13" s="452" t="s">
        <v>286</v>
      </c>
      <c r="B13" s="439" t="s">
        <v>0</v>
      </c>
      <c r="C13" s="472" t="s">
        <v>20</v>
      </c>
      <c r="D13" s="473">
        <f>+SUM(D6:D12)</f>
        <v>0</v>
      </c>
      <c r="E13" s="473">
        <f>IF(D13&lt;=0,0,F13/D13)</f>
        <v>0</v>
      </c>
      <c r="F13" s="474">
        <f>+SUM(F6:F12)</f>
        <v>0</v>
      </c>
      <c r="G13" s="475"/>
      <c r="H13" s="473"/>
      <c r="I13" s="474"/>
      <c r="J13" s="475">
        <f>+SUM(J6:J12)</f>
        <v>79</v>
      </c>
      <c r="K13" s="476">
        <f>IF(J13&lt;=0,0,L13/J13)</f>
        <v>1545.9402531645585</v>
      </c>
      <c r="L13" s="477">
        <f t="shared" ref="L13:O13" si="7">+SUM(L6:L12)</f>
        <v>122129.28000000012</v>
      </c>
      <c r="M13" s="475">
        <f t="shared" si="7"/>
        <v>79</v>
      </c>
      <c r="N13" s="474">
        <f t="shared" si="7"/>
        <v>122129.28000000012</v>
      </c>
      <c r="O13" s="475">
        <f t="shared" si="7"/>
        <v>62</v>
      </c>
      <c r="P13" s="476">
        <f>IF(O13&lt;=0,0,Q13/O13)</f>
        <v>2349.6266129032178</v>
      </c>
      <c r="Q13" s="477">
        <f t="shared" ref="Q13:S13" si="8">+SUM(Q6:Q12)</f>
        <v>145676.84999999951</v>
      </c>
      <c r="R13" s="471">
        <f t="shared" si="8"/>
        <v>17</v>
      </c>
      <c r="S13" s="477">
        <f t="shared" si="8"/>
        <v>-23547.569999999396</v>
      </c>
      <c r="T13" s="436">
        <v>79</v>
      </c>
      <c r="U13" s="478">
        <v>122130</v>
      </c>
      <c r="V13" s="479">
        <f>L13-U13</f>
        <v>-0.71999999988474883</v>
      </c>
      <c r="W13" s="439"/>
      <c r="X13" s="439"/>
      <c r="Y13" s="439"/>
      <c r="Z13" s="439"/>
      <c r="AA13" s="439"/>
      <c r="AB13" s="439"/>
      <c r="AC13" s="439"/>
      <c r="AD13" s="465"/>
      <c r="AE13" s="439"/>
      <c r="AF13" s="439"/>
      <c r="AG13" s="439"/>
      <c r="AH13" s="439"/>
      <c r="AI13" s="439"/>
      <c r="AJ13" s="439"/>
      <c r="AK13" s="439"/>
      <c r="AL13" s="439"/>
      <c r="AM13" s="439"/>
      <c r="AN13" s="439"/>
    </row>
    <row r="14" spans="1:40" ht="21">
      <c r="A14" s="452" t="s">
        <v>0</v>
      </c>
      <c r="B14" s="439" t="s">
        <v>0</v>
      </c>
      <c r="C14" s="480"/>
      <c r="D14" s="481"/>
      <c r="E14" s="482"/>
      <c r="F14" s="483"/>
      <c r="G14" s="480"/>
      <c r="H14" s="482"/>
      <c r="I14" s="483"/>
      <c r="J14" s="480"/>
      <c r="K14" s="484"/>
      <c r="L14" s="485"/>
      <c r="M14" s="486">
        <f>IF(D13=0,0,M13/D13)</f>
        <v>0</v>
      </c>
      <c r="N14" s="487">
        <f>IF(F13=0,0,N13/F13)</f>
        <v>0</v>
      </c>
      <c r="O14" s="480"/>
      <c r="P14" s="484"/>
      <c r="Q14" s="485"/>
      <c r="R14" s="486">
        <f>R13/O13</f>
        <v>0.27419354838709675</v>
      </c>
      <c r="S14" s="488">
        <f>IF(Q13=0,0,(S13/Q13))</f>
        <v>-0.16164249844775938</v>
      </c>
      <c r="T14" s="436"/>
      <c r="U14" s="478"/>
      <c r="V14" s="479"/>
      <c r="W14" s="463"/>
      <c r="X14" s="463"/>
      <c r="Y14" s="439"/>
      <c r="Z14" s="439"/>
      <c r="AA14" s="439"/>
      <c r="AB14" s="439"/>
      <c r="AC14" s="439"/>
      <c r="AD14" s="439"/>
      <c r="AE14" s="439"/>
      <c r="AF14" s="439"/>
      <c r="AG14" s="439"/>
      <c r="AH14" s="439"/>
      <c r="AI14" s="439"/>
      <c r="AJ14" s="439"/>
      <c r="AK14" s="439"/>
      <c r="AL14" s="439"/>
      <c r="AM14" s="439"/>
      <c r="AN14" s="439"/>
    </row>
    <row r="15" spans="1:40" ht="21">
      <c r="A15" s="452" t="s">
        <v>287</v>
      </c>
      <c r="B15" s="439" t="s">
        <v>0</v>
      </c>
      <c r="C15" s="489" t="s">
        <v>21</v>
      </c>
      <c r="D15" s="490">
        <f t="array" ref="D15">+INDEX('[3]Budget original'!$A$2:$AO$501,MATCH($A15,'[3]Budget original'!$A$2:$A$501,0),MATCH(D$2,'[3]Budget original'!$A$2:$AO$2,0))</f>
        <v>0</v>
      </c>
      <c r="E15" s="490">
        <f>IF(D15=0,0,F15/D15)</f>
        <v>0</v>
      </c>
      <c r="F15" s="491">
        <f t="array" ref="F15">+INDEX('[3]Budget original'!$A$2:$AO$501,MATCH($A15,'[3]Budget original'!$A$2:$A$501,0),MATCH(F$2,'[3]Budget original'!$A$2:$AO$2,0))</f>
        <v>0</v>
      </c>
      <c r="G15" s="492"/>
      <c r="H15" s="490"/>
      <c r="I15" s="491"/>
      <c r="J15" s="493">
        <f>SUMIFS([3]BV_Data_An_Cour!$AW:$AW,[3]BV_Data_An_Cour!$AP:$AP,$B15,[3]BV_Data_An_Cour!$AQ:$AQ,$C15,[3]BV_Data_An_Cour!$AY:$AY,J$2)</f>
        <v>0</v>
      </c>
      <c r="K15" s="494">
        <f>IF(J15=0,0,L15/J15)</f>
        <v>0</v>
      </c>
      <c r="L15" s="494">
        <f>-SUMIFS([3]BV_Data_An_Cour!$AM:$AM,[3]BV_Data_An_Cour!$AP:$AP,$B15,[3]BV_Data_An_Cour!$AQ:$AQ,$C15,[3]BV_Data_An_Cour!$AR:$AR,L$2)</f>
        <v>0</v>
      </c>
      <c r="M15" s="493">
        <f>J15-D15</f>
        <v>0</v>
      </c>
      <c r="N15" s="455">
        <f>L15-F15</f>
        <v>0</v>
      </c>
      <c r="O15" s="493">
        <f>SUMIFS([3]BV_Data_An_Prec!$AW:$AW,[3]BV_Data_An_Prec!$AP:$AP,$B15,[3]BV_Data_An_Prec!$AQ:$AQ,$C15,[3]BV_Data_An_Prec!$AY:$AY,O$2)</f>
        <v>0</v>
      </c>
      <c r="P15" s="494">
        <f>IF(O15=0,0,Q15/O15)</f>
        <v>0</v>
      </c>
      <c r="Q15" s="494">
        <f>-SUMIFS([3]BV_Data_An_Prec!$AM:$AM,[3]BV_Data_An_Prec!$AP:$AP,$B15,[3]BV_Data_An_Prec!$AQ:$AQ,$C15,[3]BV_Data_An_Prec!$AR:$AR,Q$2)</f>
        <v>0</v>
      </c>
      <c r="R15" s="493">
        <f>J15-O15</f>
        <v>0</v>
      </c>
      <c r="S15" s="458">
        <f>L15-Q15</f>
        <v>0</v>
      </c>
      <c r="T15" s="436"/>
      <c r="U15" s="478"/>
      <c r="V15" s="479"/>
      <c r="W15" s="439"/>
      <c r="X15" s="439"/>
      <c r="Y15" s="439"/>
      <c r="Z15" s="439"/>
      <c r="AA15" s="439"/>
      <c r="AB15" s="439"/>
      <c r="AC15" s="439"/>
      <c r="AD15" s="439"/>
      <c r="AE15" s="439"/>
      <c r="AF15" s="439"/>
      <c r="AG15" s="439"/>
      <c r="AH15" s="439"/>
      <c r="AI15" s="439"/>
      <c r="AJ15" s="439"/>
      <c r="AK15" s="439"/>
      <c r="AL15" s="439"/>
      <c r="AM15" s="439"/>
      <c r="AN15" s="439"/>
    </row>
    <row r="16" spans="1:40" ht="20.399999999999999">
      <c r="A16" s="452" t="s">
        <v>0</v>
      </c>
      <c r="B16" s="439" t="s">
        <v>0</v>
      </c>
      <c r="C16" s="462"/>
      <c r="D16" s="439"/>
      <c r="E16" s="463"/>
      <c r="F16" s="495"/>
      <c r="G16" s="462"/>
      <c r="H16" s="463"/>
      <c r="I16" s="495"/>
      <c r="J16" s="462"/>
      <c r="K16" s="465"/>
      <c r="L16" s="466"/>
      <c r="M16" s="496"/>
      <c r="N16" s="497"/>
      <c r="O16" s="462"/>
      <c r="P16" s="465"/>
      <c r="Q16" s="466"/>
      <c r="R16" s="496"/>
      <c r="S16" s="466"/>
      <c r="T16" s="436"/>
      <c r="U16" s="478"/>
      <c r="V16" s="479"/>
      <c r="W16" s="439"/>
      <c r="X16" s="439"/>
      <c r="Y16" s="439"/>
      <c r="Z16" s="439"/>
      <c r="AA16" s="439"/>
      <c r="AB16" s="439"/>
      <c r="AC16" s="439"/>
      <c r="AD16" s="439"/>
      <c r="AE16" s="439"/>
      <c r="AF16" s="439"/>
      <c r="AG16" s="439"/>
      <c r="AH16" s="439"/>
      <c r="AI16" s="439"/>
      <c r="AJ16" s="439"/>
      <c r="AK16" s="439"/>
      <c r="AL16" s="439"/>
      <c r="AM16" s="439"/>
      <c r="AN16" s="439"/>
    </row>
    <row r="17" spans="1:40" ht="21">
      <c r="A17" s="452" t="s">
        <v>288</v>
      </c>
      <c r="B17" s="439" t="s">
        <v>0</v>
      </c>
      <c r="C17" s="480" t="s">
        <v>22</v>
      </c>
      <c r="D17" s="482">
        <f t="array" ref="D17">+INDEX('[3]Budget original'!$A$2:$AO$501,MATCH($A17,'[3]Budget original'!$A$2:$A$501,0),MATCH(D$2,'[3]Budget original'!$A$2:$AO$2,0))</f>
        <v>0</v>
      </c>
      <c r="E17" s="482">
        <f>IF(D17=0,0,F17/D17)</f>
        <v>0</v>
      </c>
      <c r="F17" s="482">
        <f t="array" ref="F17">+INDEX('[3]Budget original'!$A$2:$AO$501,MATCH($A17,'[3]Budget original'!$A$2:$A$501,0),MATCH(F$2,'[3]Budget original'!$A$2:$AO$2,0))</f>
        <v>0</v>
      </c>
      <c r="G17" s="498"/>
      <c r="H17" s="482"/>
      <c r="I17" s="482"/>
      <c r="J17" s="493">
        <f>SUMIFS([3]BV_Data_An_Cour!$AW:$AW,[3]BV_Data_An_Cour!$AP:$AP,$B17,[3]BV_Data_An_Cour!$AQ:$AQ,$C17,[3]BV_Data_An_Cour!$AY:$AY,J$2)</f>
        <v>51</v>
      </c>
      <c r="K17" s="465">
        <f>IF(J17=0,0,L17/J17)</f>
        <v>799.28000000016948</v>
      </c>
      <c r="L17" s="466">
        <f>-SUMIFS([3]BV_Data_An_Cour!$AM:$AM,[3]BV_Data_An_Cour!$AP:$AP,$B17,[3]BV_Data_An_Cour!$AQ:$AQ,$C17,[3]BV_Data_An_Cour!$AR:$AR,L$2)</f>
        <v>40763.280000008643</v>
      </c>
      <c r="M17" s="493">
        <f>J17-D17</f>
        <v>51</v>
      </c>
      <c r="N17" s="467">
        <f>L17-F17</f>
        <v>40763.280000008643</v>
      </c>
      <c r="O17" s="493">
        <f>SUMIFS([3]BV_Data_An_Prec!$AW:$AW,[3]BV_Data_An_Prec!$AP:$AP,$B17,[3]BV_Data_An_Prec!$AQ:$AQ,$C17,[3]BV_Data_An_Prec!$AY:$AY,O$2)</f>
        <v>82</v>
      </c>
      <c r="P17" s="465">
        <f>IF(O17=0,0,Q17/O17)</f>
        <v>669.57853658551846</v>
      </c>
      <c r="Q17" s="466">
        <f>-SUMIFS([3]BV_Data_An_Prec!$AM:$AM,[3]BV_Data_An_Prec!$AP:$AP,$B17,[3]BV_Data_An_Prec!$AQ:$AQ,$C17,[3]BV_Data_An_Prec!$AR:$AR,Q$2)</f>
        <v>54905.440000012517</v>
      </c>
      <c r="R17" s="468">
        <f>J17-O17</f>
        <v>-31</v>
      </c>
      <c r="S17" s="466">
        <f>L17-Q17</f>
        <v>-14142.160000003874</v>
      </c>
      <c r="T17" s="436">
        <v>51</v>
      </c>
      <c r="U17" s="478">
        <v>41372</v>
      </c>
      <c r="V17" s="479">
        <f>L17-U17</f>
        <v>-608.71999999135733</v>
      </c>
      <c r="W17" s="439"/>
      <c r="X17" s="439"/>
      <c r="Y17" s="439"/>
      <c r="Z17" s="439"/>
      <c r="AA17" s="463"/>
      <c r="AB17" s="439"/>
      <c r="AC17" s="439"/>
      <c r="AD17" s="465"/>
      <c r="AE17" s="439"/>
      <c r="AF17" s="439"/>
      <c r="AG17" s="439"/>
      <c r="AH17" s="439"/>
      <c r="AI17" s="439"/>
      <c r="AJ17" s="439"/>
      <c r="AK17" s="439"/>
      <c r="AL17" s="439"/>
      <c r="AM17" s="439"/>
      <c r="AN17" s="439"/>
    </row>
    <row r="18" spans="1:40" ht="21" hidden="1">
      <c r="A18" s="452" t="s">
        <v>0</v>
      </c>
      <c r="B18" s="439" t="s">
        <v>0</v>
      </c>
      <c r="C18" s="472"/>
      <c r="D18" s="499"/>
      <c r="E18" s="499"/>
      <c r="F18" s="500"/>
      <c r="G18" s="501"/>
      <c r="H18" s="499"/>
      <c r="I18" s="500"/>
      <c r="J18" s="464"/>
      <c r="K18" s="502"/>
      <c r="L18" s="503"/>
      <c r="M18" s="464"/>
      <c r="N18" s="500"/>
      <c r="O18" s="464"/>
      <c r="P18" s="502"/>
      <c r="Q18" s="503"/>
      <c r="R18" s="501"/>
      <c r="S18" s="503"/>
      <c r="T18" s="436"/>
      <c r="U18" s="478"/>
      <c r="V18" s="479"/>
      <c r="W18" s="439"/>
      <c r="X18" s="439"/>
      <c r="Y18" s="439"/>
      <c r="Z18" s="439"/>
      <c r="AA18" s="439"/>
      <c r="AB18" s="439"/>
      <c r="AC18" s="439"/>
      <c r="AD18" s="439"/>
      <c r="AE18" s="439"/>
      <c r="AF18" s="439"/>
      <c r="AG18" s="439"/>
      <c r="AH18" s="439"/>
      <c r="AI18" s="439"/>
      <c r="AJ18" s="439"/>
      <c r="AK18" s="439"/>
      <c r="AL18" s="439"/>
      <c r="AM18" s="439"/>
      <c r="AN18" s="439"/>
    </row>
    <row r="19" spans="1:40" ht="21" hidden="1">
      <c r="A19" s="452" t="s">
        <v>289</v>
      </c>
      <c r="B19" s="439" t="s">
        <v>0</v>
      </c>
      <c r="C19" s="489"/>
      <c r="D19" s="463"/>
      <c r="E19" s="463"/>
      <c r="F19" s="463"/>
      <c r="G19" s="464"/>
      <c r="H19" s="463"/>
      <c r="I19" s="463"/>
      <c r="J19" s="493"/>
      <c r="K19" s="465"/>
      <c r="L19" s="466"/>
      <c r="M19" s="464"/>
      <c r="N19" s="467"/>
      <c r="O19" s="493"/>
      <c r="P19" s="465"/>
      <c r="Q19" s="466"/>
      <c r="R19" s="464"/>
      <c r="S19" s="466"/>
      <c r="T19" s="436"/>
      <c r="U19" s="478"/>
      <c r="V19" s="479"/>
      <c r="W19" s="463"/>
      <c r="X19" s="504"/>
      <c r="Y19" s="439"/>
      <c r="Z19" s="439"/>
      <c r="AA19" s="439"/>
      <c r="AB19" s="439"/>
      <c r="AC19" s="439"/>
      <c r="AD19" s="439"/>
      <c r="AE19" s="439"/>
      <c r="AF19" s="439"/>
      <c r="AG19" s="439"/>
      <c r="AH19" s="439"/>
      <c r="AI19" s="439"/>
      <c r="AJ19" s="439"/>
      <c r="AK19" s="439"/>
      <c r="AL19" s="439"/>
      <c r="AM19" s="439"/>
      <c r="AN19" s="439"/>
    </row>
    <row r="20" spans="1:40" ht="21">
      <c r="A20" s="452" t="s">
        <v>0</v>
      </c>
      <c r="B20" s="439" t="s">
        <v>0</v>
      </c>
      <c r="C20" s="472"/>
      <c r="D20" s="499"/>
      <c r="E20" s="499"/>
      <c r="F20" s="500"/>
      <c r="G20" s="501"/>
      <c r="H20" s="499"/>
      <c r="I20" s="500"/>
      <c r="J20" s="464"/>
      <c r="K20" s="502"/>
      <c r="L20" s="503"/>
      <c r="M20" s="501"/>
      <c r="N20" s="500"/>
      <c r="O20" s="464"/>
      <c r="P20" s="502"/>
      <c r="Q20" s="503"/>
      <c r="R20" s="501"/>
      <c r="S20" s="503"/>
      <c r="T20" s="436"/>
      <c r="U20" s="478"/>
      <c r="V20" s="479"/>
      <c r="W20" s="463"/>
      <c r="X20" s="504"/>
      <c r="Y20" s="439"/>
      <c r="Z20" s="439"/>
      <c r="AA20" s="439"/>
      <c r="AB20" s="439"/>
      <c r="AC20" s="439"/>
      <c r="AD20" s="439"/>
      <c r="AE20" s="439"/>
      <c r="AF20" s="439"/>
      <c r="AG20" s="439"/>
      <c r="AH20" s="439"/>
      <c r="AI20" s="439"/>
      <c r="AJ20" s="439"/>
      <c r="AK20" s="439"/>
      <c r="AL20" s="439"/>
      <c r="AM20" s="439"/>
      <c r="AN20" s="439"/>
    </row>
    <row r="21" spans="1:40" ht="15.75" customHeight="1">
      <c r="A21" s="452" t="s">
        <v>290</v>
      </c>
      <c r="B21" s="439" t="s">
        <v>0</v>
      </c>
      <c r="C21" s="462" t="s">
        <v>24</v>
      </c>
      <c r="D21" s="463">
        <f t="array" ref="D21">+INDEX('[3]Budget original'!$A$2:$AO$501,MATCH($A21,'[3]Budget original'!$A$2:$A$501,0),MATCH(D$2,'[3]Budget original'!$A$2:$AO$2,0))</f>
        <v>0</v>
      </c>
      <c r="E21" s="463">
        <f t="shared" ref="E21:E23" si="9">IF(D21=0,0,F21/D21)</f>
        <v>0</v>
      </c>
      <c r="F21" s="463">
        <f t="array" ref="F21">+INDEX('[3]Budget original'!$A$2:$AO$501,MATCH($A21,'[3]Budget original'!$A$2:$A$501,0),MATCH(F$2,'[3]Budget original'!$A$2:$AO$2,0))</f>
        <v>0</v>
      </c>
      <c r="G21" s="464"/>
      <c r="H21" s="463"/>
      <c r="I21" s="463"/>
      <c r="J21" s="464"/>
      <c r="K21" s="465">
        <f>IF(J13=0,0,L21/(J13+J15))</f>
        <v>-16.825063291139244</v>
      </c>
      <c r="L21" s="466">
        <f>-SUMIFS([3]BV_Data_An_Cour!$AM:$AM,[3]BV_Data_An_Cour!$AP:$AP,$B21,[3]BV_Data_An_Cour!$AQ:$AQ,$C21,[3]BV_Data_An_Cour!$AR:$AR,L$2)</f>
        <v>-1329.1800000000003</v>
      </c>
      <c r="M21" s="464"/>
      <c r="N21" s="467">
        <f t="shared" ref="N21:N24" si="10">L21-F21</f>
        <v>-1329.1800000000003</v>
      </c>
      <c r="O21" s="464"/>
      <c r="P21" s="465">
        <f>IF(O13=0,0,Q21/(O13+O15))</f>
        <v>0</v>
      </c>
      <c r="Q21" s="466">
        <f>-SUMIFS([3]BV_Data_An_Prec!$AM:$AM,[3]BV_Data_An_Prec!$AP:$AP,$B21,[3]BV_Data_An_Prec!$AQ:$AQ,$C21,[3]BV_Data_An_Prec!$AR:$AR,Q$2)</f>
        <v>0</v>
      </c>
      <c r="R21" s="468">
        <f t="shared" ref="R21:R24" si="11">P21-K21</f>
        <v>16.825063291139244</v>
      </c>
      <c r="S21" s="466">
        <f t="shared" ref="S21:S24" si="12">L21-Q21</f>
        <v>-1329.1800000000003</v>
      </c>
      <c r="T21" s="436"/>
      <c r="U21" s="478"/>
      <c r="V21" s="479"/>
      <c r="W21" s="439"/>
      <c r="X21" s="504"/>
      <c r="Y21" s="439"/>
      <c r="Z21" s="439"/>
      <c r="AA21" s="439"/>
      <c r="AB21" s="439"/>
      <c r="AC21" s="439"/>
      <c r="AD21" s="439"/>
      <c r="AE21" s="439"/>
      <c r="AF21" s="439"/>
      <c r="AG21" s="439"/>
      <c r="AH21" s="439"/>
      <c r="AI21" s="439"/>
      <c r="AJ21" s="439"/>
      <c r="AK21" s="439"/>
      <c r="AL21" s="439"/>
      <c r="AM21" s="439"/>
      <c r="AN21" s="439"/>
    </row>
    <row r="22" spans="1:40" ht="18" customHeight="1">
      <c r="A22" s="452" t="s">
        <v>291</v>
      </c>
      <c r="B22" s="439" t="s">
        <v>0</v>
      </c>
      <c r="C22" s="462" t="s">
        <v>25</v>
      </c>
      <c r="D22" s="463">
        <f t="array" ref="D22">+INDEX('[3]Budget original'!$A$2:$AO$501,MATCH($A22,'[3]Budget original'!$A$2:$A$501,0),MATCH(D$2,'[3]Budget original'!$A$2:$AO$2,0))</f>
        <v>0</v>
      </c>
      <c r="E22" s="463">
        <f t="shared" si="9"/>
        <v>0</v>
      </c>
      <c r="F22" s="463">
        <f t="array" ref="F22">+INDEX('[3]Budget original'!$A$2:$AO$501,MATCH($A22,'[3]Budget original'!$A$2:$A$501,0),MATCH(F$2,'[3]Budget original'!$A$2:$AO$2,0))</f>
        <v>0</v>
      </c>
      <c r="G22" s="464"/>
      <c r="H22" s="463"/>
      <c r="I22" s="463"/>
      <c r="J22" s="464"/>
      <c r="K22" s="465">
        <f>IF(J13=0,0,L22/(J13+J15))</f>
        <v>563.21367088607542</v>
      </c>
      <c r="L22" s="466">
        <f>-SUMIFS([3]BV_Data_An_Cour!$AM:$AM,[3]BV_Data_An_Cour!$AP:$AP,$B22,[3]BV_Data_An_Cour!$AQ:$AQ,$C22,[3]BV_Data_An_Cour!$AR:$AR,L$2)</f>
        <v>44493.879999999961</v>
      </c>
      <c r="M22" s="464"/>
      <c r="N22" s="467">
        <f t="shared" si="10"/>
        <v>44493.879999999961</v>
      </c>
      <c r="O22" s="464"/>
      <c r="P22" s="465">
        <f>IF(O13=0,0,Q22/(O13+O15))</f>
        <v>752.96161290322573</v>
      </c>
      <c r="Q22" s="466">
        <f>-SUMIFS([3]BV_Data_An_Prec!$AM:$AM,[3]BV_Data_An_Prec!$AP:$AP,$B22,[3]BV_Data_An_Prec!$AQ:$AQ,$C22,[3]BV_Data_An_Prec!$AR:$AR,Q$2)</f>
        <v>46683.619999999995</v>
      </c>
      <c r="R22" s="468">
        <f t="shared" si="11"/>
        <v>189.74794201715031</v>
      </c>
      <c r="S22" s="466">
        <f t="shared" si="12"/>
        <v>-2189.7400000000343</v>
      </c>
      <c r="T22" s="436"/>
      <c r="U22" s="478"/>
      <c r="V22" s="47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</row>
    <row r="23" spans="1:40" ht="19.5" customHeight="1">
      <c r="A23" s="452" t="s">
        <v>292</v>
      </c>
      <c r="B23" s="439" t="s">
        <v>0</v>
      </c>
      <c r="C23" s="462" t="s">
        <v>26</v>
      </c>
      <c r="D23" s="463">
        <f t="array" ref="D23">+INDEX('[3]Budget original'!$A$2:$AO$501,MATCH($A23,'[3]Budget original'!$A$2:$A$501,0),MATCH(D$2,'[3]Budget original'!$A$2:$AO$2,0))</f>
        <v>0</v>
      </c>
      <c r="E23" s="463">
        <f t="shared" si="9"/>
        <v>0</v>
      </c>
      <c r="F23" s="463">
        <f t="array" ref="F23">+INDEX('[3]Budget original'!$A$2:$AO$501,MATCH($A23,'[3]Budget original'!$A$2:$A$501,0),MATCH(F$2,'[3]Budget original'!$A$2:$AO$2,0))</f>
        <v>0</v>
      </c>
      <c r="G23" s="464"/>
      <c r="H23" s="463"/>
      <c r="I23" s="463"/>
      <c r="J23" s="464"/>
      <c r="K23" s="465">
        <f>IF(J13=0,0,L23/(J13+J15))</f>
        <v>68.392405063291136</v>
      </c>
      <c r="L23" s="466">
        <f>-SUMIFS([3]BV_Data_An_Cour!$AM:$AM,[3]BV_Data_An_Cour!$AP:$AP,$B23,[3]BV_Data_An_Cour!$AQ:$AQ,$C23,[3]BV_Data_An_Cour!$AR:$AR,L$2)</f>
        <v>5403</v>
      </c>
      <c r="M23" s="493"/>
      <c r="N23" s="467">
        <f t="shared" si="10"/>
        <v>5403</v>
      </c>
      <c r="O23" s="464"/>
      <c r="P23" s="465">
        <f>IF(O13=0,0,Q23/(O13+O15))</f>
        <v>71.569354838709671</v>
      </c>
      <c r="Q23" s="466">
        <f>-SUMIFS([3]BV_Data_An_Prec!$AM:$AM,[3]BV_Data_An_Prec!$AP:$AP,$B23,[3]BV_Data_An_Prec!$AQ:$AQ,$C23,[3]BV_Data_An_Prec!$AR:$AR,Q$2)</f>
        <v>4437.2999999999993</v>
      </c>
      <c r="R23" s="468">
        <f t="shared" si="11"/>
        <v>3.1769497754185352</v>
      </c>
      <c r="S23" s="466">
        <f t="shared" si="12"/>
        <v>965.70000000000073</v>
      </c>
      <c r="T23" s="436"/>
      <c r="U23" s="478"/>
      <c r="V23" s="479"/>
      <c r="W23" s="439"/>
      <c r="X23" s="439"/>
      <c r="Y23" s="439"/>
      <c r="Z23" s="439"/>
      <c r="AA23" s="439"/>
      <c r="AB23" s="439"/>
      <c r="AC23" s="439"/>
      <c r="AD23" s="439"/>
      <c r="AE23" s="439"/>
      <c r="AF23" s="439"/>
      <c r="AG23" s="439"/>
      <c r="AH23" s="439"/>
      <c r="AI23" s="439"/>
      <c r="AJ23" s="439"/>
      <c r="AK23" s="439"/>
      <c r="AL23" s="439"/>
      <c r="AM23" s="439"/>
      <c r="AN23" s="439"/>
    </row>
    <row r="24" spans="1:40" ht="18" customHeight="1">
      <c r="A24" s="452" t="s">
        <v>293</v>
      </c>
      <c r="B24" s="439" t="s">
        <v>0</v>
      </c>
      <c r="C24" s="472" t="s">
        <v>27</v>
      </c>
      <c r="D24" s="473">
        <f>+D15+D13</f>
        <v>0</v>
      </c>
      <c r="E24" s="473">
        <f>IF(D24&lt;=0,0,F24/D24)</f>
        <v>0</v>
      </c>
      <c r="F24" s="474">
        <f>F21+F22+F23</f>
        <v>0</v>
      </c>
      <c r="G24" s="475"/>
      <c r="H24" s="473"/>
      <c r="I24" s="474"/>
      <c r="J24" s="475">
        <f>+J15+J13</f>
        <v>79</v>
      </c>
      <c r="K24" s="476">
        <f>IF(J24&lt;=0,0,L24/J24)</f>
        <v>614.78101265822738</v>
      </c>
      <c r="L24" s="477">
        <f>L21+L22+L23</f>
        <v>48567.699999999961</v>
      </c>
      <c r="M24" s="498">
        <f>J24-D24</f>
        <v>79</v>
      </c>
      <c r="N24" s="474">
        <f t="shared" si="10"/>
        <v>48567.699999999961</v>
      </c>
      <c r="O24" s="475">
        <f>+O15+O13</f>
        <v>62</v>
      </c>
      <c r="P24" s="476">
        <f>IF(O24&lt;=0,0,Q24/O24)</f>
        <v>824.53096774193546</v>
      </c>
      <c r="Q24" s="477">
        <f>Q21+Q22+Q23</f>
        <v>51120.92</v>
      </c>
      <c r="R24" s="505">
        <f t="shared" si="11"/>
        <v>209.74995508370807</v>
      </c>
      <c r="S24" s="477">
        <f t="shared" si="12"/>
        <v>-2553.2200000000375</v>
      </c>
      <c r="T24" s="436"/>
      <c r="U24" s="478">
        <v>48568</v>
      </c>
      <c r="V24" s="479">
        <f>L24-U24</f>
        <v>-0.30000000003929017</v>
      </c>
      <c r="W24" s="439"/>
      <c r="X24" s="439"/>
      <c r="Y24" s="439"/>
      <c r="Z24" s="439"/>
      <c r="AA24" s="439"/>
      <c r="AB24" s="439"/>
      <c r="AC24" s="439"/>
      <c r="AD24" s="465"/>
      <c r="AE24" s="465"/>
      <c r="AF24" s="439"/>
      <c r="AG24" s="439"/>
      <c r="AH24" s="439"/>
      <c r="AI24" s="439"/>
      <c r="AJ24" s="439"/>
      <c r="AK24" s="439"/>
      <c r="AL24" s="439"/>
      <c r="AM24" s="439"/>
      <c r="AN24" s="439"/>
    </row>
    <row r="25" spans="1:40" ht="15.75" customHeight="1">
      <c r="A25" s="452" t="s">
        <v>0</v>
      </c>
      <c r="B25" s="439" t="s">
        <v>0</v>
      </c>
      <c r="C25" s="462"/>
      <c r="D25" s="439"/>
      <c r="E25" s="439"/>
      <c r="F25" s="466"/>
      <c r="G25" s="462"/>
      <c r="H25" s="439"/>
      <c r="I25" s="466"/>
      <c r="J25" s="462"/>
      <c r="K25" s="465"/>
      <c r="L25" s="466"/>
      <c r="M25" s="506"/>
      <c r="N25" s="488" t="e">
        <f>IF(N24=0,0,N24/F24)</f>
        <v>#DIV/0!</v>
      </c>
      <c r="O25" s="462"/>
      <c r="P25" s="465"/>
      <c r="Q25" s="466"/>
      <c r="R25" s="468"/>
      <c r="S25" s="488">
        <f>IF(Q24=0,0,(S24/Q24))</f>
        <v>-4.9944719304739385E-2</v>
      </c>
      <c r="T25" s="436"/>
      <c r="U25" s="478"/>
      <c r="V25" s="479"/>
      <c r="W25" s="439"/>
      <c r="X25" s="439"/>
      <c r="Y25" s="439"/>
      <c r="Z25" s="439"/>
      <c r="AA25" s="439"/>
      <c r="AB25" s="439"/>
      <c r="AC25" s="439"/>
      <c r="AD25" s="439"/>
      <c r="AE25" s="439"/>
      <c r="AF25" s="439"/>
      <c r="AG25" s="439"/>
      <c r="AH25" s="439"/>
      <c r="AI25" s="439"/>
      <c r="AJ25" s="439"/>
      <c r="AK25" s="439"/>
      <c r="AL25" s="439"/>
      <c r="AM25" s="439"/>
      <c r="AN25" s="439"/>
    </row>
    <row r="26" spans="1:40" ht="15.75" customHeight="1" thickBot="1">
      <c r="A26" s="452" t="s">
        <v>0</v>
      </c>
      <c r="B26" s="439" t="s">
        <v>0</v>
      </c>
      <c r="C26" s="462"/>
      <c r="D26" s="439"/>
      <c r="E26" s="439"/>
      <c r="F26" s="495"/>
      <c r="G26" s="462"/>
      <c r="H26" s="439"/>
      <c r="I26" s="495"/>
      <c r="J26" s="462"/>
      <c r="K26" s="465"/>
      <c r="L26" s="466"/>
      <c r="M26" s="462"/>
      <c r="N26" s="495"/>
      <c r="O26" s="462"/>
      <c r="P26" s="465"/>
      <c r="Q26" s="466"/>
      <c r="R26" s="468"/>
      <c r="S26" s="466"/>
      <c r="T26" s="436"/>
      <c r="U26" s="478"/>
      <c r="V26" s="479"/>
      <c r="W26" s="439"/>
      <c r="X26" s="439"/>
      <c r="Y26" s="439"/>
      <c r="Z26" s="439"/>
      <c r="AA26" s="439"/>
      <c r="AB26" s="439"/>
      <c r="AC26" s="439"/>
      <c r="AD26" s="465"/>
      <c r="AE26" s="439"/>
      <c r="AF26" s="439"/>
      <c r="AG26" s="439"/>
      <c r="AH26" s="439"/>
      <c r="AI26" s="439"/>
      <c r="AJ26" s="439"/>
      <c r="AK26" s="439"/>
      <c r="AL26" s="439"/>
      <c r="AM26" s="439"/>
      <c r="AN26" s="439"/>
    </row>
    <row r="27" spans="1:40" ht="18" customHeight="1" thickTop="1">
      <c r="A27" s="452" t="s">
        <v>294</v>
      </c>
      <c r="B27" s="439" t="s">
        <v>0</v>
      </c>
      <c r="C27" s="507" t="s">
        <v>28</v>
      </c>
      <c r="D27" s="508">
        <f>+D13+D15+D17</f>
        <v>0</v>
      </c>
      <c r="E27" s="509">
        <f>IF(D27&lt;=0,0,F27/D27)</f>
        <v>0</v>
      </c>
      <c r="F27" s="510">
        <f>F13+F17+F24+F19+F15</f>
        <v>0</v>
      </c>
      <c r="G27" s="511"/>
      <c r="H27" s="509"/>
      <c r="I27" s="510"/>
      <c r="J27" s="511">
        <f>+J13+J15+J17</f>
        <v>130</v>
      </c>
      <c r="K27" s="508">
        <f>IF(J27&lt;=0,0,L27/J27)</f>
        <v>1626.6173846154516</v>
      </c>
      <c r="L27" s="510">
        <f>L13+L17+L24+L19+L15</f>
        <v>211460.26000000871</v>
      </c>
      <c r="M27" s="511">
        <f>J27-D27</f>
        <v>130</v>
      </c>
      <c r="N27" s="510">
        <f>L27-F27</f>
        <v>211460.26000000871</v>
      </c>
      <c r="O27" s="511">
        <f>+O13+O15+O17</f>
        <v>144</v>
      </c>
      <c r="P27" s="508">
        <f>IF(O27&lt;=0,0,Q27/O27)</f>
        <v>1747.9389583334168</v>
      </c>
      <c r="Q27" s="510">
        <f>Q13+Q17+Q24+Q19+Q15</f>
        <v>251703.21000001201</v>
      </c>
      <c r="R27" s="511">
        <f>J27-O27</f>
        <v>-14</v>
      </c>
      <c r="S27" s="510">
        <f>L27-Q27</f>
        <v>-40242.9500000033</v>
      </c>
      <c r="T27" s="436"/>
      <c r="U27" s="478">
        <f>SUM(U13:U26)</f>
        <v>212070</v>
      </c>
      <c r="V27" s="479">
        <f>L27-U27</f>
        <v>-609.73999999128864</v>
      </c>
      <c r="W27" s="439"/>
      <c r="X27" s="439"/>
      <c r="Y27" s="439"/>
      <c r="Z27" s="439"/>
      <c r="AA27" s="439"/>
      <c r="AB27" s="439"/>
      <c r="AC27" s="439"/>
      <c r="AD27" s="465"/>
      <c r="AE27" s="439"/>
      <c r="AF27" s="439"/>
      <c r="AG27" s="439"/>
      <c r="AH27" s="439"/>
      <c r="AI27" s="439"/>
      <c r="AJ27" s="439"/>
      <c r="AK27" s="439"/>
      <c r="AL27" s="439"/>
      <c r="AM27" s="439"/>
      <c r="AN27" s="439"/>
    </row>
    <row r="28" spans="1:40" ht="22.5" customHeight="1" thickBot="1">
      <c r="A28" s="452" t="s">
        <v>0</v>
      </c>
      <c r="B28" s="439" t="s">
        <v>0</v>
      </c>
      <c r="C28" s="512"/>
      <c r="D28" s="513"/>
      <c r="E28" s="513"/>
      <c r="F28" s="514"/>
      <c r="G28" s="512"/>
      <c r="H28" s="513"/>
      <c r="I28" s="514"/>
      <c r="J28" s="512"/>
      <c r="K28" s="515"/>
      <c r="L28" s="516"/>
      <c r="M28" s="517"/>
      <c r="N28" s="518"/>
      <c r="O28" s="512"/>
      <c r="P28" s="515"/>
      <c r="Q28" s="516"/>
      <c r="R28" s="517">
        <f>R27/O27</f>
        <v>-9.7222222222222224E-2</v>
      </c>
      <c r="S28" s="519">
        <f>IF(Q27=0,0,S27/Q27)</f>
        <v>-0.15988254579669994</v>
      </c>
      <c r="T28" s="436"/>
      <c r="U28" s="436"/>
      <c r="V28" s="520"/>
      <c r="W28" s="439"/>
      <c r="X28" s="439"/>
      <c r="Y28" s="439"/>
      <c r="Z28" s="439"/>
      <c r="AA28" s="439"/>
      <c r="AB28" s="439"/>
      <c r="AC28" s="439"/>
      <c r="AD28" s="439"/>
      <c r="AE28" s="439"/>
      <c r="AF28" s="439"/>
      <c r="AG28" s="439"/>
      <c r="AH28" s="439"/>
      <c r="AI28" s="439"/>
      <c r="AJ28" s="439"/>
      <c r="AK28" s="439"/>
      <c r="AL28" s="439"/>
      <c r="AM28" s="439"/>
      <c r="AN28" s="439"/>
    </row>
    <row r="29" spans="1:40" ht="15.75" customHeight="1" thickTop="1">
      <c r="A29" s="452" t="s">
        <v>0</v>
      </c>
      <c r="B29" s="439" t="s">
        <v>0</v>
      </c>
      <c r="C29" s="480"/>
      <c r="D29" s="481"/>
      <c r="E29" s="481"/>
      <c r="F29" s="483"/>
      <c r="G29" s="480"/>
      <c r="H29" s="481"/>
      <c r="I29" s="483"/>
      <c r="J29" s="480"/>
      <c r="K29" s="484"/>
      <c r="L29" s="485"/>
      <c r="M29" s="506"/>
      <c r="N29" s="488"/>
      <c r="O29" s="480"/>
      <c r="P29" s="484"/>
      <c r="Q29" s="485"/>
      <c r="R29" s="506"/>
      <c r="S29" s="485"/>
      <c r="T29" s="436"/>
      <c r="U29" s="521"/>
      <c r="V29" s="439"/>
      <c r="W29" s="439"/>
      <c r="X29" s="439"/>
      <c r="Y29" s="439"/>
      <c r="Z29" s="439"/>
      <c r="AA29" s="439"/>
      <c r="AB29" s="439"/>
      <c r="AC29" s="439"/>
      <c r="AD29" s="439"/>
      <c r="AE29" s="439"/>
      <c r="AF29" s="439"/>
      <c r="AG29" s="439"/>
      <c r="AH29" s="439"/>
      <c r="AI29" s="439"/>
      <c r="AJ29" s="439"/>
      <c r="AK29" s="439"/>
      <c r="AL29" s="439"/>
      <c r="AM29" s="439"/>
      <c r="AN29" s="439"/>
    </row>
    <row r="30" spans="1:40" ht="15.75" customHeight="1">
      <c r="A30" s="452" t="s">
        <v>295</v>
      </c>
      <c r="B30" s="439" t="s">
        <v>0</v>
      </c>
      <c r="C30" s="522" t="s">
        <v>29</v>
      </c>
      <c r="D30" s="439"/>
      <c r="E30" s="523"/>
      <c r="F30" s="466"/>
      <c r="G30" s="462"/>
      <c r="H30" s="523"/>
      <c r="I30" s="466"/>
      <c r="J30" s="462"/>
      <c r="K30" s="524"/>
      <c r="L30" s="466"/>
      <c r="M30" s="462"/>
      <c r="N30" s="495"/>
      <c r="O30" s="462"/>
      <c r="P30" s="524"/>
      <c r="Q30" s="466"/>
      <c r="R30" s="462"/>
      <c r="S30" s="466"/>
      <c r="T30" s="436"/>
      <c r="U30" s="436"/>
      <c r="V30" s="439"/>
      <c r="W30" s="439"/>
      <c r="X30" s="439"/>
      <c r="Y30" s="439"/>
      <c r="Z30" s="439"/>
      <c r="AA30" s="439"/>
      <c r="AB30" s="439"/>
      <c r="AC30" s="439"/>
      <c r="AD30" s="439"/>
      <c r="AE30" s="439"/>
      <c r="AF30" s="439"/>
      <c r="AG30" s="439"/>
      <c r="AH30" s="439"/>
      <c r="AI30" s="439"/>
      <c r="AJ30" s="439"/>
      <c r="AK30" s="439"/>
      <c r="AL30" s="439"/>
      <c r="AM30" s="439"/>
      <c r="AN30" s="439"/>
    </row>
    <row r="31" spans="1:40" ht="15.75" customHeight="1">
      <c r="A31" s="452" t="s">
        <v>296</v>
      </c>
      <c r="B31" s="439" t="s">
        <v>0</v>
      </c>
      <c r="C31" s="462" t="s">
        <v>30</v>
      </c>
      <c r="D31" s="525" t="e">
        <f>F31/(F13+F15)</f>
        <v>#DIV/0!</v>
      </c>
      <c r="E31" s="465" t="e">
        <f t="shared" ref="E31:E40" si="13">F31/D$24</f>
        <v>#DIV/0!</v>
      </c>
      <c r="F31" s="463">
        <f t="array" ref="F31">+INDEX('[3]Budget original'!$A$2:$AO$501,MATCH($A31,'[3]Budget original'!$A$2:$A$501,0),MATCH(F$2,'[3]Budget original'!$A$2:$AO$2,0))</f>
        <v>0</v>
      </c>
      <c r="G31" s="496"/>
      <c r="H31" s="465"/>
      <c r="I31" s="463"/>
      <c r="J31" s="496">
        <f>L31/(L15+L13+L17)</f>
        <v>0.26052675456753649</v>
      </c>
      <c r="K31" s="465">
        <f t="shared" ref="K31:K40" si="14">IF(L31=0,0,L31/J$24)</f>
        <v>537.18822784810118</v>
      </c>
      <c r="L31" s="466">
        <f>SUMIFS([3]BV_Data_An_Cour!$AM:$AM,[3]BV_Data_An_Cour!$AP:$AP,$B31,[3]BV_Data_An_Cour!$AQ:$AQ,$C31,[3]BV_Data_An_Cour!$AR:$AR,L$2)</f>
        <v>42437.869999999995</v>
      </c>
      <c r="M31" s="462"/>
      <c r="N31" s="466">
        <f t="shared" ref="N31:N53" si="15">L31-F31</f>
        <v>42437.869999999995</v>
      </c>
      <c r="O31" s="496">
        <f>Q31/(Q15+Q13+Q17)</f>
        <v>0.30837921932188661</v>
      </c>
      <c r="P31" s="465">
        <f t="shared" ref="P31:P40" si="16">IF(Q31=0,0,Q31/O$24)</f>
        <v>997.66790322580607</v>
      </c>
      <c r="Q31" s="466">
        <f>SUMIFS([3]BV_Data_An_Prec!$AM:$AM,[3]BV_Data_An_Prec!$AP:$AP,$B31,[3]BV_Data_An_Prec!$AQ:$AQ,$C31,[3]BV_Data_An_Prec!$AR:$AR,Q$2)</f>
        <v>61855.409999999974</v>
      </c>
      <c r="R31" s="462"/>
      <c r="S31" s="466">
        <f t="shared" ref="S31:S53" si="17">L31-Q31</f>
        <v>-19417.539999999979</v>
      </c>
      <c r="T31" s="436"/>
      <c r="U31" s="436"/>
      <c r="V31" s="439"/>
      <c r="W31" s="439"/>
      <c r="X31" s="439"/>
      <c r="Y31" s="439"/>
      <c r="Z31" s="439"/>
      <c r="AA31" s="439"/>
      <c r="AB31" s="439"/>
      <c r="AC31" s="439"/>
      <c r="AD31" s="439"/>
      <c r="AE31" s="439"/>
      <c r="AF31" s="439"/>
      <c r="AG31" s="439"/>
      <c r="AH31" s="439"/>
      <c r="AI31" s="439"/>
      <c r="AJ31" s="439"/>
      <c r="AK31" s="439"/>
      <c r="AL31" s="439"/>
      <c r="AM31" s="439"/>
      <c r="AN31" s="439"/>
    </row>
    <row r="32" spans="1:40" ht="15.75" customHeight="1">
      <c r="A32" s="452" t="s">
        <v>297</v>
      </c>
      <c r="B32" s="439" t="s">
        <v>0</v>
      </c>
      <c r="C32" s="453" t="s">
        <v>31</v>
      </c>
      <c r="D32" s="526" t="e">
        <f>F32/F24</f>
        <v>#DIV/0!</v>
      </c>
      <c r="E32" s="494" t="e">
        <f t="shared" si="13"/>
        <v>#DIV/0!</v>
      </c>
      <c r="F32" s="455">
        <f t="array" ref="F32">+INDEX('[3]Budget original'!$A$2:$AO$501,MATCH($A32,'[3]Budget original'!$A$2:$A$501,0),MATCH(F$2,'[3]Budget original'!$A$2:$AO$2,0))</f>
        <v>0</v>
      </c>
      <c r="G32" s="527"/>
      <c r="H32" s="494"/>
      <c r="I32" s="455"/>
      <c r="J32" s="527">
        <f>L32/L24</f>
        <v>0.29101728103245583</v>
      </c>
      <c r="K32" s="494">
        <f t="shared" si="14"/>
        <v>178.91189873417713</v>
      </c>
      <c r="L32" s="466">
        <f>SUMIFS([3]BV_Data_An_Cour!$AM:$AM,[3]BV_Data_An_Cour!$AP:$AP,$B32,[3]BV_Data_An_Cour!$AQ:$AQ,$C32,[3]BV_Data_An_Cour!$AR:$AR,L$2)</f>
        <v>14134.039999999994</v>
      </c>
      <c r="M32" s="453"/>
      <c r="N32" s="458">
        <f t="shared" si="15"/>
        <v>14134.039999999994</v>
      </c>
      <c r="O32" s="527">
        <f>Q32/Q24</f>
        <v>0.33260532087450717</v>
      </c>
      <c r="P32" s="494">
        <f t="shared" si="16"/>
        <v>274.24338709677437</v>
      </c>
      <c r="Q32" s="458">
        <f>SUMIFS([3]BV_Data_An_Prec!$AM:$AM,[3]BV_Data_An_Prec!$AP:$AP,$B32,[3]BV_Data_An_Prec!$AQ:$AQ,$C32,[3]BV_Data_An_Prec!$AR:$AR,Q$2)</f>
        <v>17003.090000000011</v>
      </c>
      <c r="R32" s="453"/>
      <c r="S32" s="458">
        <f t="shared" si="17"/>
        <v>-2869.0500000000175</v>
      </c>
      <c r="T32" s="436"/>
      <c r="U32" s="436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</row>
    <row r="33" spans="1:40" ht="15.75" customHeight="1">
      <c r="A33" s="452" t="s">
        <v>298</v>
      </c>
      <c r="B33" s="439" t="s">
        <v>0</v>
      </c>
      <c r="C33" s="462" t="s">
        <v>32</v>
      </c>
      <c r="D33" s="528"/>
      <c r="E33" s="465" t="e">
        <f t="shared" si="13"/>
        <v>#DIV/0!</v>
      </c>
      <c r="F33" s="463">
        <f t="array" ref="F33">+INDEX('[3]Budget original'!$A$2:$AO$501,MATCH($A33,'[3]Budget original'!$A$2:$A$501,0),MATCH(F$2,'[3]Budget original'!$A$2:$AO$2,0))</f>
        <v>0</v>
      </c>
      <c r="G33" s="529"/>
      <c r="H33" s="465"/>
      <c r="I33" s="463"/>
      <c r="J33" s="462"/>
      <c r="K33" s="465">
        <f t="shared" si="14"/>
        <v>357.47632911392373</v>
      </c>
      <c r="L33" s="503">
        <f>SUMIFS([3]BV_Data_An_Cour!$AM:$AM,[3]BV_Data_An_Cour!$AP:$AP,$B33,[3]BV_Data_An_Cour!$AQ:$AQ,$C33,[3]BV_Data_An_Cour!$AR:$AR,L$2)</f>
        <v>28240.629999999976</v>
      </c>
      <c r="M33" s="462"/>
      <c r="N33" s="466">
        <f t="shared" si="15"/>
        <v>28240.629999999976</v>
      </c>
      <c r="O33" s="462"/>
      <c r="P33" s="465">
        <f t="shared" si="16"/>
        <v>-34.543548387096727</v>
      </c>
      <c r="Q33" s="466">
        <f>SUMIFS([3]BV_Data_An_Prec!$AM:$AM,[3]BV_Data_An_Prec!$AP:$AP,$B33,[3]BV_Data_An_Prec!$AQ:$AQ,$C33,[3]BV_Data_An_Prec!$AR:$AR,Q$2)</f>
        <v>-2141.6999999999971</v>
      </c>
      <c r="R33" s="462"/>
      <c r="S33" s="466">
        <f t="shared" si="17"/>
        <v>30382.329999999973</v>
      </c>
      <c r="T33" s="436">
        <f>-3973+600</f>
        <v>-3373</v>
      </c>
      <c r="U33" s="530" t="s">
        <v>512</v>
      </c>
      <c r="Z33" s="439"/>
      <c r="AA33" s="439"/>
      <c r="AB33" s="439"/>
      <c r="AC33" s="439"/>
      <c r="AD33" s="439"/>
      <c r="AE33" s="439"/>
      <c r="AF33" s="439"/>
      <c r="AG33" s="439"/>
      <c r="AH33" s="439"/>
      <c r="AI33" s="439"/>
      <c r="AJ33" s="439"/>
      <c r="AK33" s="439"/>
      <c r="AL33" s="439"/>
      <c r="AM33" s="439"/>
      <c r="AN33" s="439"/>
    </row>
    <row r="34" spans="1:40" ht="15.75" customHeight="1">
      <c r="A34" s="452" t="s">
        <v>299</v>
      </c>
      <c r="B34" s="439" t="s">
        <v>0</v>
      </c>
      <c r="C34" s="462" t="s">
        <v>33</v>
      </c>
      <c r="D34" s="528"/>
      <c r="E34" s="465" t="e">
        <f t="shared" si="13"/>
        <v>#DIV/0!</v>
      </c>
      <c r="F34" s="463">
        <f t="array" ref="F34">+INDEX('[3]Budget original'!$A$2:$AO$501,MATCH($A34,'[3]Budget original'!$A$2:$A$501,0),MATCH(F$2,'[3]Budget original'!$A$2:$AO$2,0))</f>
        <v>0</v>
      </c>
      <c r="G34" s="529"/>
      <c r="H34" s="465"/>
      <c r="I34" s="463"/>
      <c r="J34" s="462"/>
      <c r="K34" s="465">
        <f t="shared" si="14"/>
        <v>6.6478481012658035</v>
      </c>
      <c r="L34" s="466">
        <f>SUMIFS([3]BV_Data_An_Cour!$AM:$AM,[3]BV_Data_An_Cour!$AP:$AP,$B34,[3]BV_Data_An_Cour!$AQ:$AQ,$C34,[3]BV_Data_An_Cour!$AR:$AR,L$2)</f>
        <v>525.17999999999847</v>
      </c>
      <c r="M34" s="462"/>
      <c r="N34" s="466">
        <f t="shared" si="15"/>
        <v>525.17999999999847</v>
      </c>
      <c r="O34" s="462"/>
      <c r="P34" s="465">
        <f t="shared" si="16"/>
        <v>5.536935483870967</v>
      </c>
      <c r="Q34" s="466">
        <f>SUMIFS([3]BV_Data_An_Prec!$AM:$AM,[3]BV_Data_An_Prec!$AP:$AP,$B34,[3]BV_Data_An_Prec!$AQ:$AQ,$C34,[3]BV_Data_An_Prec!$AR:$AR,Q$2)</f>
        <v>343.28999999999996</v>
      </c>
      <c r="R34" s="462"/>
      <c r="S34" s="466">
        <f t="shared" si="17"/>
        <v>181.88999999999851</v>
      </c>
      <c r="T34" s="436"/>
      <c r="U34" s="436"/>
      <c r="Z34" s="439"/>
      <c r="AA34" s="439"/>
      <c r="AB34" s="439"/>
      <c r="AC34" s="439"/>
      <c r="AD34" s="439"/>
      <c r="AE34" s="439"/>
      <c r="AF34" s="439"/>
      <c r="AG34" s="439"/>
      <c r="AH34" s="439"/>
      <c r="AI34" s="439"/>
      <c r="AJ34" s="439"/>
      <c r="AK34" s="439"/>
      <c r="AL34" s="439"/>
      <c r="AM34" s="439"/>
      <c r="AN34" s="439"/>
    </row>
    <row r="35" spans="1:40" ht="15.75" customHeight="1">
      <c r="A35" s="452" t="s">
        <v>300</v>
      </c>
      <c r="B35" s="439" t="s">
        <v>0</v>
      </c>
      <c r="C35" s="453" t="s">
        <v>34</v>
      </c>
      <c r="D35" s="531"/>
      <c r="E35" s="494" t="e">
        <f t="shared" si="13"/>
        <v>#DIV/0!</v>
      </c>
      <c r="F35" s="455">
        <f t="array" ref="F35">+INDEX('[3]Budget original'!$A$2:$AO$501,MATCH($A35,'[3]Budget original'!$A$2:$A$501,0),MATCH(F$2,'[3]Budget original'!$A$2:$AO$2,0))</f>
        <v>0</v>
      </c>
      <c r="G35" s="532"/>
      <c r="H35" s="494"/>
      <c r="I35" s="455"/>
      <c r="J35" s="453"/>
      <c r="K35" s="494">
        <f t="shared" si="14"/>
        <v>24.067341772151895</v>
      </c>
      <c r="L35" s="466">
        <f>SUMIFS([3]BV_Data_An_Cour!$AM:$AM,[3]BV_Data_An_Cour!$AP:$AP,$B35,[3]BV_Data_An_Cour!$AQ:$AQ,$C35,[3]BV_Data_An_Cour!$AR:$AR,L$2)</f>
        <v>1901.3199999999997</v>
      </c>
      <c r="M35" s="453"/>
      <c r="N35" s="458">
        <f t="shared" si="15"/>
        <v>1901.3199999999997</v>
      </c>
      <c r="O35" s="453"/>
      <c r="P35" s="494">
        <f t="shared" si="16"/>
        <v>0</v>
      </c>
      <c r="Q35" s="458">
        <f>SUMIFS([3]BV_Data_An_Prec!$AM:$AM,[3]BV_Data_An_Prec!$AP:$AP,$B35,[3]BV_Data_An_Prec!$AQ:$AQ,$C35,[3]BV_Data_An_Prec!$AR:$AR,Q$2)</f>
        <v>0</v>
      </c>
      <c r="R35" s="453"/>
      <c r="S35" s="458">
        <f t="shared" si="17"/>
        <v>1901.3199999999997</v>
      </c>
      <c r="T35" s="436"/>
      <c r="U35" s="436"/>
      <c r="Z35" s="439"/>
      <c r="AA35" s="439"/>
      <c r="AB35" s="439"/>
      <c r="AC35" s="439"/>
      <c r="AD35" s="439"/>
      <c r="AE35" s="439"/>
      <c r="AF35" s="439"/>
      <c r="AG35" s="439"/>
      <c r="AH35" s="439"/>
      <c r="AI35" s="439"/>
      <c r="AJ35" s="439"/>
      <c r="AK35" s="439"/>
      <c r="AL35" s="439"/>
      <c r="AM35" s="439"/>
      <c r="AN35" s="439"/>
    </row>
    <row r="36" spans="1:40" ht="15.75" customHeight="1">
      <c r="A36" s="452" t="s">
        <v>301</v>
      </c>
      <c r="B36" s="439" t="s">
        <v>0</v>
      </c>
      <c r="C36" s="462" t="s">
        <v>35</v>
      </c>
      <c r="D36" s="528"/>
      <c r="E36" s="465" t="e">
        <f t="shared" si="13"/>
        <v>#DIV/0!</v>
      </c>
      <c r="F36" s="463">
        <f t="array" ref="F36">+INDEX('[3]Budget original'!$A$2:$AO$501,MATCH($A36,'[3]Budget original'!$A$2:$A$501,0),MATCH(F$2,'[3]Budget original'!$A$2:$AO$2,0))</f>
        <v>0</v>
      </c>
      <c r="G36" s="529"/>
      <c r="H36" s="465"/>
      <c r="I36" s="463"/>
      <c r="J36" s="462"/>
      <c r="K36" s="465">
        <f t="shared" si="14"/>
        <v>-838.35860759493676</v>
      </c>
      <c r="L36" s="503">
        <f>SUMIFS([3]BV_Data_An_Cour!$AM:$AM,[3]BV_Data_An_Cour!$AP:$AP,$B36,[3]BV_Data_An_Cour!$AQ:$AQ,$C36,[3]BV_Data_An_Cour!$AR:$AR,L$2)</f>
        <v>-66230.33</v>
      </c>
      <c r="M36" s="462"/>
      <c r="N36" s="466">
        <f t="shared" si="15"/>
        <v>-66230.33</v>
      </c>
      <c r="O36" s="462"/>
      <c r="P36" s="465">
        <f t="shared" si="16"/>
        <v>-1597.146612903226</v>
      </c>
      <c r="Q36" s="466">
        <f>SUMIFS([3]BV_Data_An_Prec!$AM:$AM,[3]BV_Data_An_Prec!$AP:$AP,$B36,[3]BV_Data_An_Prec!$AQ:$AQ,$C36,[3]BV_Data_An_Prec!$AR:$AR,Q$2)</f>
        <v>-99023.090000000011</v>
      </c>
      <c r="R36" s="462"/>
      <c r="S36" s="466">
        <f t="shared" si="17"/>
        <v>32792.760000000009</v>
      </c>
      <c r="T36" s="436"/>
      <c r="U36" s="436"/>
      <c r="Z36" s="439"/>
      <c r="AA36" s="439"/>
      <c r="AB36" s="439"/>
      <c r="AC36" s="439"/>
      <c r="AD36" s="439"/>
      <c r="AE36" s="439"/>
      <c r="AF36" s="439"/>
      <c r="AG36" s="439"/>
      <c r="AH36" s="439"/>
      <c r="AI36" s="439"/>
      <c r="AJ36" s="439"/>
      <c r="AK36" s="439"/>
      <c r="AL36" s="439"/>
      <c r="AM36" s="439"/>
      <c r="AN36" s="439"/>
    </row>
    <row r="37" spans="1:40" ht="15.75" customHeight="1">
      <c r="A37" s="452" t="s">
        <v>302</v>
      </c>
      <c r="B37" s="439" t="s">
        <v>0</v>
      </c>
      <c r="C37" s="462" t="s">
        <v>36</v>
      </c>
      <c r="D37" s="528"/>
      <c r="E37" s="465" t="e">
        <f t="shared" si="13"/>
        <v>#DIV/0!</v>
      </c>
      <c r="F37" s="463">
        <f t="array" ref="F37">+INDEX('[3]Budget original'!$A$2:$AO$501,MATCH($A37,'[3]Budget original'!$A$2:$A$501,0),MATCH(F$2,'[3]Budget original'!$A$2:$AO$2,0))</f>
        <v>0</v>
      </c>
      <c r="G37" s="529"/>
      <c r="H37" s="465"/>
      <c r="I37" s="463"/>
      <c r="J37" s="462"/>
      <c r="K37" s="465">
        <f t="shared" si="14"/>
        <v>522.56708860759477</v>
      </c>
      <c r="L37" s="466">
        <f>SUMIFS([3]BV_Data_An_Cour!$AM:$AM,[3]BV_Data_An_Cour!$AP:$AP,$B37,[3]BV_Data_An_Cour!$AQ:$AQ,$C37,[3]BV_Data_An_Cour!$AR:$AR,L$2)</f>
        <v>41282.799999999988</v>
      </c>
      <c r="M37" s="462"/>
      <c r="N37" s="466">
        <f t="shared" si="15"/>
        <v>41282.799999999988</v>
      </c>
      <c r="O37" s="462"/>
      <c r="P37" s="465">
        <f t="shared" si="16"/>
        <v>702.84983870967653</v>
      </c>
      <c r="Q37" s="466">
        <f>SUMIFS([3]BV_Data_An_Prec!$AM:$AM,[3]BV_Data_An_Prec!$AP:$AP,$B37,[3]BV_Data_An_Prec!$AQ:$AQ,$C37,[3]BV_Data_An_Prec!$AR:$AR,Q$2)</f>
        <v>43576.689999999944</v>
      </c>
      <c r="R37" s="462"/>
      <c r="S37" s="466">
        <f t="shared" si="17"/>
        <v>-2293.8899999999558</v>
      </c>
      <c r="T37" s="436"/>
      <c r="U37" s="436"/>
      <c r="Z37" s="439"/>
      <c r="AA37" s="439"/>
      <c r="AB37" s="439"/>
      <c r="AC37" s="439"/>
      <c r="AD37" s="439"/>
      <c r="AE37" s="439"/>
      <c r="AF37" s="439"/>
      <c r="AG37" s="439"/>
      <c r="AH37" s="439"/>
      <c r="AI37" s="439"/>
      <c r="AJ37" s="439"/>
      <c r="AK37" s="439"/>
      <c r="AL37" s="439"/>
      <c r="AM37" s="439"/>
      <c r="AN37" s="439"/>
    </row>
    <row r="38" spans="1:40" ht="15.75" customHeight="1">
      <c r="A38" s="452" t="s">
        <v>285</v>
      </c>
      <c r="B38" s="439" t="s">
        <v>0</v>
      </c>
      <c r="C38" s="462" t="s">
        <v>303</v>
      </c>
      <c r="D38" s="528"/>
      <c r="E38" s="465" t="e">
        <f t="shared" si="13"/>
        <v>#DIV/0!</v>
      </c>
      <c r="F38" s="463">
        <f t="array" ref="F38">+INDEX('[3]Budget original'!$A$2:$AO$501,MATCH($A38,'[3]Budget original'!$A$2:$A$501,0),MATCH(F$2,'[3]Budget original'!$A$2:$AO$2,0))</f>
        <v>0</v>
      </c>
      <c r="G38" s="529"/>
      <c r="H38" s="465"/>
      <c r="I38" s="463"/>
      <c r="J38" s="462"/>
      <c r="K38" s="465">
        <f t="shared" si="14"/>
        <v>-1624.3030379746829</v>
      </c>
      <c r="L38" s="466">
        <f>SUMIFS([3]BV_Data_An_Cour!$AM:$AM,[3]BV_Data_An_Cour!$AP:$AP,$B38,[3]BV_Data_An_Cour!$AQ:$AQ,$C38,[3]BV_Data_An_Cour!$AR:$AR,L$2)</f>
        <v>-128319.93999999994</v>
      </c>
      <c r="M38" s="439"/>
      <c r="N38" s="466">
        <f t="shared" si="15"/>
        <v>-128319.93999999994</v>
      </c>
      <c r="O38" s="462"/>
      <c r="P38" s="465">
        <f t="shared" si="16"/>
        <v>-3558.1748387096786</v>
      </c>
      <c r="Q38" s="466">
        <f>SUMIFS([3]BV_Data_An_Prec!$AM:$AM,[3]BV_Data_An_Prec!$AP:$AP,$B38,[3]BV_Data_An_Prec!$AQ:$AQ,$C38,[3]BV_Data_An_Prec!$AR:$AR,Q$2)</f>
        <v>-220606.84000000008</v>
      </c>
      <c r="R38" s="462"/>
      <c r="S38" s="466">
        <f t="shared" si="17"/>
        <v>92286.90000000014</v>
      </c>
      <c r="T38" s="436">
        <v>55741</v>
      </c>
      <c r="U38" s="436"/>
      <c r="V38" s="439"/>
      <c r="W38" s="439"/>
      <c r="X38" s="439"/>
      <c r="Y38" s="439"/>
      <c r="Z38" s="439"/>
      <c r="AA38" s="439"/>
      <c r="AB38" s="439"/>
      <c r="AC38" s="439"/>
      <c r="AD38" s="439"/>
      <c r="AE38" s="439"/>
      <c r="AF38" s="439"/>
      <c r="AG38" s="439"/>
      <c r="AH38" s="439"/>
      <c r="AI38" s="439"/>
      <c r="AJ38" s="439"/>
      <c r="AK38" s="439"/>
      <c r="AL38" s="439"/>
      <c r="AM38" s="439"/>
      <c r="AN38" s="439"/>
    </row>
    <row r="39" spans="1:40" ht="15.75" customHeight="1">
      <c r="A39" s="452" t="s">
        <v>285</v>
      </c>
      <c r="B39" s="439" t="s">
        <v>0</v>
      </c>
      <c r="C39" s="462" t="s">
        <v>304</v>
      </c>
      <c r="D39" s="528"/>
      <c r="E39" s="465" t="e">
        <f t="shared" si="13"/>
        <v>#DIV/0!</v>
      </c>
      <c r="F39" s="463">
        <f t="array" ref="F39">+INDEX('[3]Budget original'!$A$2:$AO$501,MATCH($A39,'[3]Budget original'!$A$2:$A$501,0),MATCH(F$2,'[3]Budget original'!$A$2:$AO$2,0))</f>
        <v>0</v>
      </c>
      <c r="G39" s="529"/>
      <c r="H39" s="465"/>
      <c r="I39" s="463"/>
      <c r="J39" s="462"/>
      <c r="K39" s="465">
        <f t="shared" si="14"/>
        <v>-121.06151898734178</v>
      </c>
      <c r="L39" s="466">
        <f>SUMIFS([3]BV_Data_An_Cour!$AM:$AM,[3]BV_Data_An_Cour!$AP:$AP,$B39,[3]BV_Data_An_Cour!$AQ:$AQ,$C39,[3]BV_Data_An_Cour!$AR:$AR,L$2)</f>
        <v>-9563.86</v>
      </c>
      <c r="M39" s="439"/>
      <c r="N39" s="466">
        <f t="shared" si="15"/>
        <v>-9563.86</v>
      </c>
      <c r="O39" s="462"/>
      <c r="P39" s="465">
        <f t="shared" si="16"/>
        <v>0</v>
      </c>
      <c r="Q39" s="466">
        <f>SUMIFS([3]BV_Data_An_Prec!$AM:$AM,[3]BV_Data_An_Prec!$AP:$AP,$B39,[3]BV_Data_An_Prec!$AQ:$AQ,$C39,[3]BV_Data_An_Prec!$AR:$AR,Q$2)</f>
        <v>0</v>
      </c>
      <c r="R39" s="462"/>
      <c r="S39" s="466">
        <f t="shared" si="17"/>
        <v>-9563.86</v>
      </c>
      <c r="T39" s="436">
        <v>-9564</v>
      </c>
      <c r="U39" s="521">
        <f>L39+L121+L194</f>
        <v>-11636.600000000008</v>
      </c>
      <c r="V39" s="436"/>
      <c r="W39" s="439"/>
      <c r="X39" s="439"/>
      <c r="Y39" s="439"/>
      <c r="Z39" s="439"/>
      <c r="AA39" s="439"/>
      <c r="AB39" s="439"/>
      <c r="AC39" s="439"/>
      <c r="AD39" s="439"/>
      <c r="AE39" s="439"/>
      <c r="AF39" s="439"/>
      <c r="AG39" s="439"/>
      <c r="AH39" s="439"/>
      <c r="AI39" s="439"/>
      <c r="AJ39" s="439"/>
      <c r="AK39" s="439"/>
      <c r="AL39" s="439"/>
      <c r="AM39" s="439"/>
      <c r="AN39" s="439"/>
    </row>
    <row r="40" spans="1:40" ht="20.25" hidden="1" customHeight="1">
      <c r="A40" s="452" t="s">
        <v>285</v>
      </c>
      <c r="B40" s="439" t="s">
        <v>0</v>
      </c>
      <c r="C40" s="462" t="s">
        <v>19</v>
      </c>
      <c r="D40" s="528"/>
      <c r="E40" s="465" t="e">
        <f t="shared" si="13"/>
        <v>#DIV/0!</v>
      </c>
      <c r="F40" s="463">
        <f t="array" ref="F40">+INDEX('[3]Budget original'!$A$2:$AO$501,MATCH($A40,'[3]Budget original'!$A$2:$A$501,0),MATCH(F$2,'[3]Budget original'!$A$2:$AO$2,0))</f>
        <v>0</v>
      </c>
      <c r="G40" s="529"/>
      <c r="H40" s="465"/>
      <c r="I40" s="463"/>
      <c r="J40" s="462"/>
      <c r="K40" s="465">
        <f t="shared" si="14"/>
        <v>0</v>
      </c>
      <c r="L40" s="533">
        <f>SUMIFS([3]BV_Data_An_Cour!$AM:$AM,[3]BV_Data_An_Cour!$AP:$AP,$B40,[3]BV_Data_An_Cour!$AQ:$AQ,$C40,[3]BV_Data_An_Cour!$AR:$AR,L$2)</f>
        <v>0</v>
      </c>
      <c r="M40" s="439"/>
      <c r="N40" s="466">
        <f t="shared" si="15"/>
        <v>0</v>
      </c>
      <c r="O40" s="462"/>
      <c r="P40" s="465">
        <f t="shared" si="16"/>
        <v>0</v>
      </c>
      <c r="Q40" s="533">
        <f>SUMIFS([3]BV_Data_An_Prec!$AM:$AM,[3]BV_Data_An_Prec!$AP:$AP,$B40,[3]BV_Data_An_Prec!$AQ:$AQ,$C40,[3]BV_Data_An_Prec!$AR:$AR,Q$2)</f>
        <v>0</v>
      </c>
      <c r="R40" s="462"/>
      <c r="S40" s="466">
        <f t="shared" si="17"/>
        <v>0</v>
      </c>
      <c r="T40" s="436"/>
      <c r="U40" s="436"/>
      <c r="V40" s="439"/>
      <c r="W40" s="439"/>
      <c r="X40" s="439"/>
      <c r="Y40" s="439"/>
      <c r="Z40" s="439"/>
      <c r="AA40" s="439"/>
      <c r="AB40" s="439"/>
      <c r="AC40" s="439"/>
      <c r="AD40" s="439"/>
      <c r="AE40" s="439"/>
      <c r="AF40" s="439"/>
      <c r="AG40" s="439"/>
      <c r="AH40" s="439"/>
      <c r="AI40" s="439"/>
      <c r="AJ40" s="439"/>
      <c r="AK40" s="439"/>
      <c r="AL40" s="439"/>
      <c r="AM40" s="439"/>
      <c r="AN40" s="439"/>
    </row>
    <row r="41" spans="1:40" ht="18" customHeight="1">
      <c r="A41" s="452" t="s">
        <v>305</v>
      </c>
      <c r="B41" s="439" t="s">
        <v>0</v>
      </c>
      <c r="C41" s="534" t="s">
        <v>37</v>
      </c>
      <c r="D41" s="535" t="s">
        <v>38</v>
      </c>
      <c r="E41" s="536" t="e">
        <f>F41/F$27</f>
        <v>#DIV/0!</v>
      </c>
      <c r="F41" s="537">
        <f>SUM(F31:F40)</f>
        <v>0</v>
      </c>
      <c r="G41" s="538"/>
      <c r="H41" s="536"/>
      <c r="I41" s="537"/>
      <c r="J41" s="538" t="s">
        <v>38</v>
      </c>
      <c r="K41" s="536">
        <f>L41/L$27</f>
        <v>-0.35747752319985276</v>
      </c>
      <c r="L41" s="537">
        <f>SUM(L31:L40)</f>
        <v>-75592.290000000008</v>
      </c>
      <c r="M41" s="539"/>
      <c r="N41" s="537">
        <f t="shared" si="15"/>
        <v>-75592.290000000008</v>
      </c>
      <c r="O41" s="538" t="s">
        <v>38</v>
      </c>
      <c r="P41" s="536">
        <f>Q41/Q$27</f>
        <v>-0.79058646093544327</v>
      </c>
      <c r="Q41" s="537">
        <f>SUM(Q31:Q40)</f>
        <v>-198993.15000000017</v>
      </c>
      <c r="R41" s="540"/>
      <c r="S41" s="537">
        <f t="shared" si="17"/>
        <v>123400.86000000016</v>
      </c>
      <c r="T41" s="436"/>
      <c r="U41" s="436"/>
      <c r="V41" s="439"/>
      <c r="W41" s="439"/>
      <c r="X41" s="439"/>
      <c r="Y41" s="439"/>
      <c r="Z41" s="439"/>
      <c r="AA41" s="439"/>
      <c r="AB41" s="439"/>
      <c r="AC41" s="439"/>
      <c r="AD41" s="439"/>
      <c r="AE41" s="439"/>
      <c r="AF41" s="439"/>
      <c r="AG41" s="439"/>
      <c r="AH41" s="439"/>
      <c r="AI41" s="439"/>
      <c r="AJ41" s="439"/>
      <c r="AK41" s="439"/>
      <c r="AL41" s="439"/>
      <c r="AM41" s="439"/>
      <c r="AN41" s="439"/>
    </row>
    <row r="42" spans="1:40" ht="15.75" customHeight="1">
      <c r="A42" s="452" t="s">
        <v>306</v>
      </c>
      <c r="B42" s="439" t="s">
        <v>0</v>
      </c>
      <c r="C42" s="541" t="s">
        <v>40</v>
      </c>
      <c r="D42" s="439"/>
      <c r="E42" s="439"/>
      <c r="F42" s="463">
        <f t="array" ref="F42">+INDEX('[3]Budget original'!$A$2:$AO$501,MATCH($A42,'[3]Budget original'!$A$2:$A$501,0),MATCH(F$2,'[3]Budget original'!$A$2:$AO$2,0))</f>
        <v>0</v>
      </c>
      <c r="G42" s="462"/>
      <c r="H42" s="439"/>
      <c r="I42" s="463"/>
      <c r="J42" s="462"/>
      <c r="K42" s="439"/>
      <c r="L42" s="465">
        <f>SUMIFS([3]BV_Data_An_Cour!$AM:$AM,[3]BV_Data_An_Cour!$AP:$AP,$B42,[3]BV_Data_An_Cour!$AQ:$AQ,$C42,[3]BV_Data_An_Cour!$AR:$AR,L$2)</f>
        <v>29650.080000000002</v>
      </c>
      <c r="M42" s="462"/>
      <c r="N42" s="466">
        <f t="shared" si="15"/>
        <v>29650.080000000002</v>
      </c>
      <c r="O42" s="462"/>
      <c r="P42" s="439"/>
      <c r="Q42" s="465">
        <f>SUMIFS([3]BV_Data_An_Prec!$AM:$AM,[3]BV_Data_An_Prec!$AP:$AP,$B42,[3]BV_Data_An_Prec!$AQ:$AQ,$C42,[3]BV_Data_An_Prec!$AR:$AR,Q$2)</f>
        <v>3195.3999999999942</v>
      </c>
      <c r="R42" s="462"/>
      <c r="S42" s="466">
        <f t="shared" si="17"/>
        <v>26454.680000000008</v>
      </c>
      <c r="T42" s="436"/>
      <c r="U42" s="436"/>
      <c r="V42" s="439"/>
      <c r="W42" s="439"/>
      <c r="X42" s="439"/>
      <c r="Y42" s="439"/>
      <c r="Z42" s="439"/>
      <c r="AA42" s="439"/>
      <c r="AB42" s="439"/>
      <c r="AC42" s="439"/>
      <c r="AD42" s="439"/>
      <c r="AE42" s="439"/>
      <c r="AF42" s="439"/>
      <c r="AG42" s="439"/>
      <c r="AH42" s="439"/>
      <c r="AI42" s="439"/>
      <c r="AJ42" s="439"/>
      <c r="AK42" s="439"/>
      <c r="AL42" s="439"/>
      <c r="AM42" s="439"/>
      <c r="AN42" s="439"/>
    </row>
    <row r="43" spans="1:40" ht="15.75" customHeight="1">
      <c r="A43" s="452" t="s">
        <v>307</v>
      </c>
      <c r="B43" s="439" t="s">
        <v>0</v>
      </c>
      <c r="C43" s="542" t="s">
        <v>41</v>
      </c>
      <c r="D43" s="528"/>
      <c r="E43" s="439"/>
      <c r="F43" s="455">
        <f t="array" ref="F43">+INDEX('[3]Budget original'!$A$2:$AO$501,MATCH($A43,'[3]Budget original'!$A$2:$A$501,0),MATCH(F$2,'[3]Budget original'!$A$2:$AO$2,0))</f>
        <v>0</v>
      </c>
      <c r="G43" s="529"/>
      <c r="H43" s="439"/>
      <c r="I43" s="455"/>
      <c r="J43" s="462"/>
      <c r="K43" s="439"/>
      <c r="L43" s="458">
        <f>SUMIFS([3]BV_Data_An_Cour!$AM:$AM,[3]BV_Data_An_Cour!$AP:$AP,$B43,[3]BV_Data_An_Cour!$AQ:$AQ,$C43,[3]BV_Data_An_Cour!$AR:$AR,L$2)</f>
        <v>9795.2300000000105</v>
      </c>
      <c r="M43" s="462"/>
      <c r="N43" s="466">
        <f t="shared" si="15"/>
        <v>9795.2300000000105</v>
      </c>
      <c r="O43" s="462"/>
      <c r="P43" s="439"/>
      <c r="Q43" s="458">
        <f>SUMIFS([3]BV_Data_An_Prec!$AM:$AM,[3]BV_Data_An_Prec!$AP:$AP,$B43,[3]BV_Data_An_Prec!$AQ:$AQ,$C43,[3]BV_Data_An_Prec!$AR:$AR,Q$2)</f>
        <v>33101.899999999994</v>
      </c>
      <c r="R43" s="462"/>
      <c r="S43" s="466">
        <f t="shared" si="17"/>
        <v>-23306.669999999984</v>
      </c>
      <c r="T43" s="436"/>
      <c r="U43" s="436"/>
      <c r="V43" s="439"/>
      <c r="W43" s="439"/>
      <c r="X43" s="439"/>
      <c r="Y43" s="439"/>
      <c r="Z43" s="439"/>
      <c r="AA43" s="439"/>
      <c r="AB43" s="439"/>
      <c r="AC43" s="439"/>
      <c r="AD43" s="439"/>
      <c r="AE43" s="439"/>
      <c r="AF43" s="439"/>
      <c r="AG43" s="439"/>
      <c r="AH43" s="439"/>
      <c r="AI43" s="439"/>
      <c r="AJ43" s="439"/>
      <c r="AK43" s="439"/>
      <c r="AL43" s="439"/>
      <c r="AM43" s="439"/>
      <c r="AN43" s="439"/>
    </row>
    <row r="44" spans="1:40" ht="15.75" customHeight="1">
      <c r="A44" s="452" t="s">
        <v>308</v>
      </c>
      <c r="B44" s="439" t="s">
        <v>0</v>
      </c>
      <c r="C44" s="541" t="s">
        <v>42</v>
      </c>
      <c r="D44" s="543"/>
      <c r="E44" s="544"/>
      <c r="F44" s="463">
        <f t="array" ref="F44">+INDEX('[3]Budget original'!$A$2:$AO$501,MATCH($A44,'[3]Budget original'!$A$2:$A$501,0),MATCH(F$2,'[3]Budget original'!$A$2:$AO$2,0))</f>
        <v>0</v>
      </c>
      <c r="G44" s="545"/>
      <c r="H44" s="544"/>
      <c r="I44" s="463"/>
      <c r="J44" s="447"/>
      <c r="K44" s="544"/>
      <c r="L44" s="465">
        <f>SUMIFS([3]BV_Data_An_Cour!$AM:$AM,[3]BV_Data_An_Cour!$AP:$AP,$B44,[3]BV_Data_An_Cour!$AQ:$AQ,$C44,[3]BV_Data_An_Cour!$AR:$AR,L$2)</f>
        <v>12795.479999999996</v>
      </c>
      <c r="M44" s="447"/>
      <c r="N44" s="503">
        <f t="shared" si="15"/>
        <v>12795.479999999996</v>
      </c>
      <c r="O44" s="447"/>
      <c r="P44" s="544"/>
      <c r="Q44" s="465">
        <f>SUMIFS([3]BV_Data_An_Prec!$AM:$AM,[3]BV_Data_An_Prec!$AP:$AP,$B44,[3]BV_Data_An_Prec!$AQ:$AQ,$C44,[3]BV_Data_An_Prec!$AR:$AR,Q$2)</f>
        <v>4615.0499999999993</v>
      </c>
      <c r="R44" s="447"/>
      <c r="S44" s="503">
        <f t="shared" si="17"/>
        <v>8180.4299999999967</v>
      </c>
      <c r="T44" s="436"/>
      <c r="U44" s="436"/>
      <c r="V44" s="439"/>
      <c r="W44" s="439"/>
      <c r="X44" s="439"/>
      <c r="Y44" s="439"/>
      <c r="Z44" s="439"/>
      <c r="AA44" s="439"/>
      <c r="AB44" s="439"/>
      <c r="AC44" s="439"/>
      <c r="AD44" s="439"/>
      <c r="AE44" s="439"/>
      <c r="AF44" s="439"/>
      <c r="AG44" s="439"/>
      <c r="AH44" s="439"/>
      <c r="AI44" s="439"/>
      <c r="AJ44" s="439"/>
      <c r="AK44" s="439"/>
      <c r="AL44" s="439"/>
      <c r="AM44" s="439"/>
      <c r="AN44" s="439"/>
    </row>
    <row r="45" spans="1:40" ht="20.25" hidden="1" customHeight="1">
      <c r="A45" s="452" t="s">
        <v>309</v>
      </c>
      <c r="B45" s="439" t="s">
        <v>0</v>
      </c>
      <c r="C45" s="541" t="s">
        <v>43</v>
      </c>
      <c r="D45" s="528"/>
      <c r="E45" s="439"/>
      <c r="F45" s="463">
        <f t="array" ref="F45">+INDEX('[3]Budget original'!$A$2:$AO$501,MATCH($A45,'[3]Budget original'!$A$2:$A$501,0),MATCH(F$2,'[3]Budget original'!$A$2:$AO$2,0))</f>
        <v>0</v>
      </c>
      <c r="G45" s="529"/>
      <c r="H45" s="439"/>
      <c r="I45" s="463"/>
      <c r="J45" s="462"/>
      <c r="K45" s="439"/>
      <c r="L45" s="465">
        <f>SUMIFS([3]BV_Data_An_Cour!$AM:$AM,[3]BV_Data_An_Cour!$AP:$AP,$B45,[3]BV_Data_An_Cour!$AQ:$AQ,$C45,[3]BV_Data_An_Cour!$AR:$AR,L$2)</f>
        <v>0</v>
      </c>
      <c r="M45" s="462"/>
      <c r="N45" s="466">
        <f t="shared" si="15"/>
        <v>0</v>
      </c>
      <c r="O45" s="462"/>
      <c r="P45" s="439"/>
      <c r="Q45" s="465">
        <f>SUMIFS([3]BV_Data_An_Prec!$AM:$AM,[3]BV_Data_An_Prec!$AP:$AP,$B45,[3]BV_Data_An_Prec!$AQ:$AQ,$C45,[3]BV_Data_An_Prec!$AR:$AR,Q$2)</f>
        <v>0</v>
      </c>
      <c r="R45" s="462"/>
      <c r="S45" s="466">
        <f t="shared" si="17"/>
        <v>0</v>
      </c>
      <c r="T45" s="436"/>
      <c r="U45" s="436"/>
      <c r="V45" s="439"/>
      <c r="W45" s="439"/>
      <c r="X45" s="439"/>
      <c r="Y45" s="439"/>
      <c r="Z45" s="439"/>
      <c r="AA45" s="439"/>
      <c r="AB45" s="439"/>
      <c r="AC45" s="439"/>
      <c r="AD45" s="439"/>
      <c r="AE45" s="439"/>
      <c r="AF45" s="439"/>
      <c r="AG45" s="439"/>
      <c r="AH45" s="439"/>
      <c r="AI45" s="439"/>
      <c r="AJ45" s="439"/>
      <c r="AK45" s="439"/>
      <c r="AL45" s="439"/>
      <c r="AM45" s="439"/>
      <c r="AN45" s="439"/>
    </row>
    <row r="46" spans="1:40" ht="20.25" hidden="1" customHeight="1">
      <c r="A46" s="452" t="s">
        <v>285</v>
      </c>
      <c r="B46" s="439" t="s">
        <v>0</v>
      </c>
      <c r="C46" s="541" t="s">
        <v>19</v>
      </c>
      <c r="D46" s="528"/>
      <c r="E46" s="439"/>
      <c r="F46" s="463">
        <f t="array" ref="F46">+INDEX('[3]Budget original'!$A$2:$AO$501,MATCH($A46,'[3]Budget original'!$A$2:$A$501,0),MATCH(F$2,'[3]Budget original'!$A$2:$AO$2,0))</f>
        <v>0</v>
      </c>
      <c r="G46" s="529"/>
      <c r="H46" s="439"/>
      <c r="I46" s="463"/>
      <c r="J46" s="462"/>
      <c r="K46" s="439"/>
      <c r="L46" s="465">
        <f>SUMIFS([3]BV_Data_An_Cour!$AM:$AM,[3]BV_Data_An_Cour!$AP:$AP,$B46,[3]BV_Data_An_Cour!$AQ:$AQ,$C46,[3]BV_Data_An_Cour!$AR:$AR,L$2)</f>
        <v>0</v>
      </c>
      <c r="M46" s="462"/>
      <c r="N46" s="466">
        <f t="shared" si="15"/>
        <v>0</v>
      </c>
      <c r="O46" s="462"/>
      <c r="P46" s="439"/>
      <c r="Q46" s="465">
        <f>SUMIFS([3]BV_Data_An_Prec!$AM:$AM,[3]BV_Data_An_Prec!$AP:$AP,$B46,[3]BV_Data_An_Prec!$AQ:$AQ,$C46,[3]BV_Data_An_Prec!$AR:$AR,Q$2)</f>
        <v>0</v>
      </c>
      <c r="R46" s="462"/>
      <c r="S46" s="466">
        <f t="shared" si="17"/>
        <v>0</v>
      </c>
      <c r="T46" s="436"/>
      <c r="U46" s="436"/>
      <c r="V46" s="439"/>
      <c r="W46" s="439"/>
      <c r="X46" s="439"/>
      <c r="Y46" s="439"/>
      <c r="Z46" s="439"/>
      <c r="AA46" s="439"/>
      <c r="AB46" s="439"/>
      <c r="AC46" s="439"/>
      <c r="AD46" s="439"/>
      <c r="AE46" s="439"/>
      <c r="AF46" s="439"/>
      <c r="AG46" s="439"/>
      <c r="AH46" s="439"/>
      <c r="AI46" s="439"/>
      <c r="AJ46" s="439"/>
      <c r="AK46" s="439"/>
      <c r="AL46" s="439"/>
      <c r="AM46" s="439"/>
      <c r="AN46" s="439"/>
    </row>
    <row r="47" spans="1:40" ht="20.25" hidden="1" customHeight="1">
      <c r="A47" s="452" t="s">
        <v>285</v>
      </c>
      <c r="B47" s="439" t="s">
        <v>0</v>
      </c>
      <c r="C47" s="541" t="s">
        <v>19</v>
      </c>
      <c r="D47" s="528"/>
      <c r="E47" s="439"/>
      <c r="F47" s="463">
        <f t="array" ref="F47">+INDEX('[3]Budget original'!$A$2:$AO$501,MATCH($A47,'[3]Budget original'!$A$2:$A$501,0),MATCH(F$2,'[3]Budget original'!$A$2:$AO$2,0))</f>
        <v>0</v>
      </c>
      <c r="G47" s="529"/>
      <c r="H47" s="439"/>
      <c r="I47" s="463"/>
      <c r="J47" s="462"/>
      <c r="K47" s="439"/>
      <c r="L47" s="465">
        <f>SUMIFS([3]BV_Data_An_Cour!$AM:$AM,[3]BV_Data_An_Cour!$AP:$AP,$B47,[3]BV_Data_An_Cour!$AQ:$AQ,$C47,[3]BV_Data_An_Cour!$AR:$AR,L$2)</f>
        <v>0</v>
      </c>
      <c r="M47" s="462"/>
      <c r="N47" s="466">
        <f t="shared" si="15"/>
        <v>0</v>
      </c>
      <c r="O47" s="462"/>
      <c r="P47" s="439"/>
      <c r="Q47" s="465">
        <f>SUMIFS([3]BV_Data_An_Prec!$AM:$AM,[3]BV_Data_An_Prec!$AP:$AP,$B47,[3]BV_Data_An_Prec!$AQ:$AQ,$C47,[3]BV_Data_An_Prec!$AR:$AR,Q$2)</f>
        <v>0</v>
      </c>
      <c r="R47" s="462"/>
      <c r="S47" s="466">
        <f t="shared" si="17"/>
        <v>0</v>
      </c>
      <c r="T47" s="436"/>
      <c r="U47" s="436"/>
      <c r="V47" s="439"/>
      <c r="W47" s="439"/>
      <c r="X47" s="439"/>
      <c r="Y47" s="439"/>
      <c r="Z47" s="439"/>
      <c r="AA47" s="439"/>
      <c r="AB47" s="439"/>
      <c r="AC47" s="439"/>
      <c r="AD47" s="439"/>
      <c r="AE47" s="439"/>
      <c r="AF47" s="439"/>
      <c r="AG47" s="439"/>
      <c r="AH47" s="439"/>
      <c r="AI47" s="439"/>
      <c r="AJ47" s="439"/>
      <c r="AK47" s="439"/>
      <c r="AL47" s="439"/>
      <c r="AM47" s="439"/>
      <c r="AN47" s="439"/>
    </row>
    <row r="48" spans="1:40" ht="20.25" hidden="1" customHeight="1">
      <c r="A48" s="452" t="s">
        <v>285</v>
      </c>
      <c r="B48" s="439" t="s">
        <v>0</v>
      </c>
      <c r="C48" s="541" t="s">
        <v>19</v>
      </c>
      <c r="D48" s="528"/>
      <c r="E48" s="439"/>
      <c r="F48" s="463">
        <f t="array" ref="F48">+INDEX('[3]Budget original'!$A$2:$AO$501,MATCH($A48,'[3]Budget original'!$A$2:$A$501,0),MATCH(F$2,'[3]Budget original'!$A$2:$AO$2,0))</f>
        <v>0</v>
      </c>
      <c r="G48" s="529"/>
      <c r="H48" s="439"/>
      <c r="I48" s="463"/>
      <c r="J48" s="462"/>
      <c r="K48" s="439"/>
      <c r="L48" s="465">
        <f>SUMIFS([3]BV_Data_An_Cour!$AM:$AM,[3]BV_Data_An_Cour!$AP:$AP,$B48,[3]BV_Data_An_Cour!$AQ:$AQ,$C48,[3]BV_Data_An_Cour!$AR:$AR,L$2)</f>
        <v>0</v>
      </c>
      <c r="M48" s="462"/>
      <c r="N48" s="466">
        <f t="shared" si="15"/>
        <v>0</v>
      </c>
      <c r="O48" s="462"/>
      <c r="P48" s="439"/>
      <c r="Q48" s="465">
        <f>SUMIFS([3]BV_Data_An_Prec!$AM:$AM,[3]BV_Data_An_Prec!$AP:$AP,$B48,[3]BV_Data_An_Prec!$AQ:$AQ,$C48,[3]BV_Data_An_Prec!$AR:$AR,Q$2)</f>
        <v>0</v>
      </c>
      <c r="R48" s="462"/>
      <c r="S48" s="466">
        <f t="shared" si="17"/>
        <v>0</v>
      </c>
      <c r="T48" s="436"/>
      <c r="U48" s="436"/>
      <c r="V48" s="439"/>
      <c r="W48" s="439"/>
      <c r="X48" s="439"/>
      <c r="Y48" s="439"/>
      <c r="Z48" s="439"/>
      <c r="AA48" s="439"/>
      <c r="AB48" s="439"/>
      <c r="AC48" s="439"/>
      <c r="AD48" s="439"/>
      <c r="AE48" s="439"/>
      <c r="AF48" s="439"/>
      <c r="AG48" s="439"/>
      <c r="AH48" s="439"/>
      <c r="AI48" s="439"/>
      <c r="AJ48" s="439"/>
      <c r="AK48" s="439"/>
      <c r="AL48" s="439"/>
      <c r="AM48" s="439"/>
      <c r="AN48" s="439"/>
    </row>
    <row r="49" spans="1:40" ht="15.75" customHeight="1">
      <c r="A49" s="452" t="s">
        <v>310</v>
      </c>
      <c r="B49" s="439" t="s">
        <v>0</v>
      </c>
      <c r="C49" s="542" t="s">
        <v>44</v>
      </c>
      <c r="D49" s="528"/>
      <c r="E49" s="439"/>
      <c r="F49" s="455">
        <f t="array" ref="F49">+INDEX('[3]Budget original'!$A$2:$AO$501,MATCH($A49,'[3]Budget original'!$A$2:$A$501,0),MATCH(F$2,'[3]Budget original'!$A$2:$AO$2,0))</f>
        <v>0</v>
      </c>
      <c r="G49" s="529"/>
      <c r="H49" s="439"/>
      <c r="I49" s="455"/>
      <c r="J49" s="462"/>
      <c r="K49" s="439"/>
      <c r="L49" s="458">
        <f>SUMIFS([3]BV_Data_An_Cour!$AM:$AM,[3]BV_Data_An_Cour!$AP:$AP,$B49,[3]BV_Data_An_Cour!$AQ:$AQ,$C49,[3]BV_Data_An_Cour!$AR:$AR,L$2)</f>
        <v>9384.07</v>
      </c>
      <c r="M49" s="462"/>
      <c r="N49" s="466">
        <f t="shared" si="15"/>
        <v>9384.07</v>
      </c>
      <c r="O49" s="462"/>
      <c r="P49" s="439"/>
      <c r="Q49" s="458">
        <f>SUMIFS([3]BV_Data_An_Prec!$AM:$AM,[3]BV_Data_An_Prec!$AP:$AP,$B49,[3]BV_Data_An_Prec!$AQ:$AQ,$C49,[3]BV_Data_An_Prec!$AR:$AR,Q$2)</f>
        <v>13387.36</v>
      </c>
      <c r="R49" s="462"/>
      <c r="S49" s="466">
        <f t="shared" si="17"/>
        <v>-4003.2900000000009</v>
      </c>
      <c r="T49" s="436"/>
      <c r="U49" s="436"/>
      <c r="V49" s="439"/>
      <c r="W49" s="439"/>
      <c r="X49" s="436"/>
      <c r="Y49" s="439"/>
      <c r="Z49" s="439"/>
      <c r="AA49" s="439"/>
      <c r="AB49" s="439"/>
      <c r="AC49" s="439"/>
      <c r="AD49" s="439"/>
      <c r="AE49" s="439"/>
      <c r="AF49" s="439"/>
      <c r="AG49" s="439"/>
      <c r="AH49" s="439"/>
      <c r="AI49" s="439"/>
      <c r="AJ49" s="439"/>
      <c r="AK49" s="439"/>
      <c r="AL49" s="439"/>
      <c r="AM49" s="439"/>
      <c r="AN49" s="439"/>
    </row>
    <row r="50" spans="1:40" ht="15.75" customHeight="1">
      <c r="A50" s="452" t="s">
        <v>311</v>
      </c>
      <c r="B50" s="439" t="s">
        <v>0</v>
      </c>
      <c r="C50" s="541" t="s">
        <v>45</v>
      </c>
      <c r="D50" s="543"/>
      <c r="E50" s="544"/>
      <c r="F50" s="463">
        <f t="array" ref="F50">+INDEX('[3]Budget original'!$A$2:$AO$501,MATCH($A50,'[3]Budget original'!$A$2:$A$501,0),MATCH(F$2,'[3]Budget original'!$A$2:$AO$2,0))</f>
        <v>0</v>
      </c>
      <c r="G50" s="545"/>
      <c r="H50" s="544"/>
      <c r="I50" s="463"/>
      <c r="J50" s="447"/>
      <c r="K50" s="544"/>
      <c r="L50" s="465">
        <f>SUMIFS([3]BV_Data_An_Cour!$AM:$AM,[3]BV_Data_An_Cour!$AP:$AP,$B50,[3]BV_Data_An_Cour!$AQ:$AQ,$C50,[3]BV_Data_An_Cour!$AR:$AR,L$2)</f>
        <v>7549.1699999999983</v>
      </c>
      <c r="M50" s="447"/>
      <c r="N50" s="503">
        <f t="shared" si="15"/>
        <v>7549.1699999999983</v>
      </c>
      <c r="O50" s="447"/>
      <c r="P50" s="544"/>
      <c r="Q50" s="465">
        <f>SUMIFS([3]BV_Data_An_Prec!$AM:$AM,[3]BV_Data_An_Prec!$AP:$AP,$B50,[3]BV_Data_An_Prec!$AQ:$AQ,$C50,[3]BV_Data_An_Prec!$AR:$AR,Q$2)</f>
        <v>14720.75</v>
      </c>
      <c r="R50" s="447"/>
      <c r="S50" s="503">
        <f t="shared" si="17"/>
        <v>-7171.5800000000017</v>
      </c>
      <c r="T50" s="436"/>
      <c r="U50" s="436"/>
      <c r="V50" s="439"/>
      <c r="W50" s="439"/>
      <c r="X50" s="436"/>
      <c r="Y50" s="439"/>
      <c r="Z50" s="439"/>
      <c r="AA50" s="439"/>
      <c r="AB50" s="439"/>
      <c r="AC50" s="439"/>
      <c r="AD50" s="439"/>
      <c r="AE50" s="439"/>
      <c r="AF50" s="439"/>
      <c r="AG50" s="439"/>
      <c r="AH50" s="439"/>
      <c r="AI50" s="439"/>
      <c r="AJ50" s="439"/>
      <c r="AK50" s="439"/>
      <c r="AL50" s="439"/>
      <c r="AM50" s="439"/>
      <c r="AN50" s="439"/>
    </row>
    <row r="51" spans="1:40" ht="15.75" customHeight="1">
      <c r="A51" s="452" t="s">
        <v>312</v>
      </c>
      <c r="B51" s="439" t="s">
        <v>0</v>
      </c>
      <c r="C51" s="541" t="s">
        <v>46</v>
      </c>
      <c r="D51" s="528"/>
      <c r="E51" s="439"/>
      <c r="F51" s="463">
        <f t="array" ref="F51">+INDEX('[3]Budget original'!$A$2:$AO$501,MATCH($A51,'[3]Budget original'!$A$2:$A$501,0),MATCH(F$2,'[3]Budget original'!$A$2:$AO$2,0))</f>
        <v>0</v>
      </c>
      <c r="G51" s="529"/>
      <c r="H51" s="439"/>
      <c r="I51" s="463"/>
      <c r="J51" s="462"/>
      <c r="K51" s="439"/>
      <c r="L51" s="465">
        <f>SUMIFS([3]BV_Data_An_Cour!$AM:$AM,[3]BV_Data_An_Cour!$AP:$AP,$B51,[3]BV_Data_An_Cour!$AQ:$AQ,$C51,[3]BV_Data_An_Cour!$AR:$AR,L$2)</f>
        <v>3038.7299999999996</v>
      </c>
      <c r="M51" s="462"/>
      <c r="N51" s="466">
        <f t="shared" si="15"/>
        <v>3038.7299999999996</v>
      </c>
      <c r="O51" s="462"/>
      <c r="P51" s="439"/>
      <c r="Q51" s="465">
        <f>SUMIFS([3]BV_Data_An_Prec!$AM:$AM,[3]BV_Data_An_Prec!$AP:$AP,$B51,[3]BV_Data_An_Prec!$AQ:$AQ,$C51,[3]BV_Data_An_Prec!$AR:$AR,Q$2)</f>
        <v>4541.75</v>
      </c>
      <c r="R51" s="462"/>
      <c r="S51" s="466">
        <f t="shared" si="17"/>
        <v>-1503.0200000000004</v>
      </c>
      <c r="T51" s="436"/>
      <c r="U51" s="436"/>
      <c r="V51" s="439"/>
      <c r="W51" s="439"/>
      <c r="X51" s="436"/>
      <c r="Y51" s="439"/>
      <c r="Z51" s="439"/>
      <c r="AA51" s="439"/>
      <c r="AB51" s="439"/>
      <c r="AC51" s="439"/>
      <c r="AD51" s="439"/>
      <c r="AE51" s="439"/>
      <c r="AF51" s="439"/>
      <c r="AG51" s="439"/>
      <c r="AH51" s="439"/>
      <c r="AI51" s="439"/>
      <c r="AJ51" s="439"/>
      <c r="AK51" s="439"/>
      <c r="AL51" s="439"/>
      <c r="AM51" s="439"/>
      <c r="AN51" s="439"/>
    </row>
    <row r="52" spans="1:40" ht="15.75" customHeight="1">
      <c r="A52" s="452" t="s">
        <v>313</v>
      </c>
      <c r="B52" s="439" t="s">
        <v>0</v>
      </c>
      <c r="C52" s="541" t="s">
        <v>47</v>
      </c>
      <c r="D52" s="528"/>
      <c r="E52" s="439"/>
      <c r="F52" s="463">
        <f t="array" ref="F52">+INDEX('[3]Budget original'!$A$2:$AO$501,MATCH($A52,'[3]Budget original'!$A$2:$A$501,0),MATCH(F$2,'[3]Budget original'!$A$2:$AO$2,0))</f>
        <v>0</v>
      </c>
      <c r="G52" s="529"/>
      <c r="H52" s="439"/>
      <c r="I52" s="463"/>
      <c r="J52" s="462"/>
      <c r="K52" s="439"/>
      <c r="L52" s="465">
        <f>SUMIFS([3]BV_Data_An_Cour!$AM:$AM,[3]BV_Data_An_Cour!$AP:$AP,$B52,[3]BV_Data_An_Cour!$AQ:$AQ,$C52,[3]BV_Data_An_Cour!$AR:$AR,L$2)</f>
        <v>3813.6500000000015</v>
      </c>
      <c r="M52" s="462"/>
      <c r="N52" s="466">
        <f t="shared" si="15"/>
        <v>3813.6500000000015</v>
      </c>
      <c r="O52" s="462"/>
      <c r="P52" s="439"/>
      <c r="Q52" s="465">
        <f>SUMIFS([3]BV_Data_An_Prec!$AM:$AM,[3]BV_Data_An_Prec!$AP:$AP,$B52,[3]BV_Data_An_Prec!$AQ:$AQ,$C52,[3]BV_Data_An_Prec!$AR:$AR,Q$2)</f>
        <v>0.15999999999996817</v>
      </c>
      <c r="R52" s="462"/>
      <c r="S52" s="466">
        <f t="shared" si="17"/>
        <v>3813.4900000000016</v>
      </c>
      <c r="T52" s="436"/>
      <c r="U52" s="436"/>
      <c r="V52" s="439"/>
      <c r="W52" s="439"/>
      <c r="X52" s="436"/>
      <c r="Y52" s="439"/>
      <c r="Z52" s="439"/>
      <c r="AA52" s="439"/>
      <c r="AB52" s="439"/>
      <c r="AC52" s="439"/>
      <c r="AD52" s="439"/>
      <c r="AE52" s="439"/>
      <c r="AF52" s="439"/>
      <c r="AG52" s="439"/>
      <c r="AH52" s="439"/>
      <c r="AI52" s="439"/>
      <c r="AJ52" s="439"/>
      <c r="AK52" s="439"/>
      <c r="AL52" s="439"/>
      <c r="AM52" s="439"/>
      <c r="AN52" s="439"/>
    </row>
    <row r="53" spans="1:40" ht="20.25" hidden="1" customHeight="1">
      <c r="A53" s="452" t="s">
        <v>285</v>
      </c>
      <c r="B53" s="439" t="s">
        <v>0</v>
      </c>
      <c r="C53" s="462" t="s">
        <v>19</v>
      </c>
      <c r="D53" s="531" t="e">
        <f>VLOOKUP(C53,$B$2:$B$46,1,FALSE)</f>
        <v>#N/A</v>
      </c>
      <c r="E53" s="546"/>
      <c r="F53" s="463">
        <f t="array" ref="F53">+INDEX('[3]Budget original'!$A$2:$AO$501,MATCH($A53,'[3]Budget original'!$A$2:$A$501,0),MATCH(F$2,'[3]Budget original'!$A$2:$AO$2,0))</f>
        <v>0</v>
      </c>
      <c r="G53" s="532"/>
      <c r="H53" s="546"/>
      <c r="I53" s="463"/>
      <c r="J53" s="453"/>
      <c r="K53" s="546"/>
      <c r="L53" s="466">
        <f>SUMIFS([3]BV_Data_An_Cour!$AM:$AM,[3]BV_Data_An_Cour!$AP:$AP,$B53,[3]BV_Data_An_Cour!$AQ:$AQ,$C53,[3]BV_Data_An_Cour!$AR:$AR,L$2)</f>
        <v>0</v>
      </c>
      <c r="M53" s="453"/>
      <c r="N53" s="458">
        <f t="shared" si="15"/>
        <v>0</v>
      </c>
      <c r="O53" s="453"/>
      <c r="P53" s="546"/>
      <c r="Q53" s="466">
        <f>SUMIFS([3]BV_Data_An_Prec!$AM:$AM,[3]BV_Data_An_Prec!$AP:$AP,$B53,[3]BV_Data_An_Prec!$AQ:$AQ,$C53,[3]BV_Data_An_Prec!$AR:$AR,Q$2)</f>
        <v>0</v>
      </c>
      <c r="R53" s="453"/>
      <c r="S53" s="458">
        <f t="shared" si="17"/>
        <v>0</v>
      </c>
      <c r="T53" s="436"/>
      <c r="U53" s="436"/>
      <c r="V53" s="439"/>
      <c r="W53" s="439"/>
      <c r="X53" s="436"/>
      <c r="Y53" s="439"/>
      <c r="Z53" s="439"/>
      <c r="AA53" s="439"/>
      <c r="AB53" s="439"/>
      <c r="AC53" s="439"/>
      <c r="AD53" s="439"/>
      <c r="AE53" s="439"/>
      <c r="AF53" s="439"/>
      <c r="AG53" s="439"/>
      <c r="AH53" s="439"/>
      <c r="AI53" s="439"/>
      <c r="AJ53" s="439"/>
      <c r="AK53" s="439"/>
      <c r="AL53" s="439"/>
      <c r="AM53" s="439"/>
      <c r="AN53" s="439"/>
    </row>
    <row r="54" spans="1:40" ht="18" customHeight="1">
      <c r="A54" s="452" t="s">
        <v>314</v>
      </c>
      <c r="B54" s="439" t="s">
        <v>0</v>
      </c>
      <c r="C54" s="534" t="s">
        <v>48</v>
      </c>
      <c r="D54" s="535" t="s">
        <v>38</v>
      </c>
      <c r="E54" s="536" t="e">
        <f>F54/F$27</f>
        <v>#DIV/0!</v>
      </c>
      <c r="F54" s="537">
        <f>+SUM(F42:F53)</f>
        <v>0</v>
      </c>
      <c r="G54" s="538"/>
      <c r="H54" s="536"/>
      <c r="I54" s="537"/>
      <c r="J54" s="538" t="s">
        <v>38</v>
      </c>
      <c r="K54" s="536">
        <f>L54/L$27</f>
        <v>0.35953048577542124</v>
      </c>
      <c r="L54" s="537">
        <f>+SUM(L42:L53)</f>
        <v>76026.41</v>
      </c>
      <c r="M54" s="539"/>
      <c r="N54" s="537">
        <f>+SUM(N42:N53)</f>
        <v>76026.41</v>
      </c>
      <c r="O54" s="538" t="s">
        <v>38</v>
      </c>
      <c r="P54" s="536">
        <f>Q54/Q$27</f>
        <v>0.29225837048322301</v>
      </c>
      <c r="Q54" s="537">
        <f>+SUM(Q42:Q53)</f>
        <v>73562.37</v>
      </c>
      <c r="R54" s="540"/>
      <c r="S54" s="537">
        <f>+SUM(S42:S53)</f>
        <v>2464.0400000000191</v>
      </c>
      <c r="T54" s="436"/>
      <c r="U54" s="436"/>
      <c r="V54" s="439"/>
      <c r="W54" s="439"/>
      <c r="X54" s="439"/>
      <c r="Y54" s="439"/>
      <c r="Z54" s="439"/>
      <c r="AA54" s="439"/>
      <c r="AB54" s="439"/>
      <c r="AC54" s="439"/>
      <c r="AD54" s="439"/>
      <c r="AE54" s="439"/>
      <c r="AF54" s="439"/>
      <c r="AG54" s="439"/>
      <c r="AH54" s="439"/>
      <c r="AI54" s="439"/>
      <c r="AJ54" s="439"/>
      <c r="AK54" s="439"/>
      <c r="AL54" s="439"/>
      <c r="AM54" s="439"/>
      <c r="AN54" s="439"/>
    </row>
    <row r="55" spans="1:40" ht="20.25" hidden="1" customHeight="1">
      <c r="A55" s="452" t="s">
        <v>315</v>
      </c>
      <c r="B55" s="439" t="s">
        <v>0</v>
      </c>
      <c r="C55" s="462" t="s">
        <v>49</v>
      </c>
      <c r="D55" s="528"/>
      <c r="E55" s="439"/>
      <c r="F55" s="463">
        <f t="array" ref="F55">+INDEX('[3]Budget original'!$A$2:$AO$501,MATCH($A55,'[3]Budget original'!$A$2:$A$501,0),MATCH(F$2,'[3]Budget original'!$A$2:$AO$2,0))</f>
        <v>0</v>
      </c>
      <c r="G55" s="529"/>
      <c r="H55" s="439"/>
      <c r="I55" s="463"/>
      <c r="J55" s="462"/>
      <c r="K55" s="439"/>
      <c r="L55" s="466">
        <f>SUMIFS([3]BV_Data_An_Cour!$AM:$AM,[3]BV_Data_An_Cour!$AP:$AP,$B55,[3]BV_Data_An_Cour!$AQ:$AQ,$C55,[3]BV_Data_An_Cour!$AR:$AR,L$2)</f>
        <v>0</v>
      </c>
      <c r="M55" s="462"/>
      <c r="N55" s="466">
        <f t="shared" ref="N55:N71" si="18">L55-F55</f>
        <v>0</v>
      </c>
      <c r="O55" s="462"/>
      <c r="P55" s="439"/>
      <c r="Q55" s="466">
        <f>SUMIFS([3]BV_Data_An_Prec!$AM:$AM,[3]BV_Data_An_Prec!$AP:$AP,$B55,[3]BV_Data_An_Prec!$AQ:$AQ,$C55,[3]BV_Data_An_Prec!$AR:$AR,Q$2)</f>
        <v>0</v>
      </c>
      <c r="R55" s="462"/>
      <c r="S55" s="466">
        <f t="shared" ref="S55:S71" si="19">L55-Q55</f>
        <v>0</v>
      </c>
      <c r="T55" s="521"/>
      <c r="U55" s="436"/>
      <c r="V55" s="439"/>
      <c r="W55" s="439"/>
      <c r="X55" s="436"/>
      <c r="Y55" s="439"/>
      <c r="Z55" s="439"/>
      <c r="AA55" s="439"/>
      <c r="AB55" s="439"/>
      <c r="AC55" s="439"/>
      <c r="AD55" s="439"/>
      <c r="AE55" s="439"/>
      <c r="AF55" s="439"/>
      <c r="AG55" s="439"/>
      <c r="AH55" s="439"/>
      <c r="AI55" s="439"/>
      <c r="AJ55" s="439"/>
      <c r="AK55" s="439"/>
      <c r="AL55" s="439"/>
      <c r="AM55" s="439"/>
      <c r="AN55" s="439"/>
    </row>
    <row r="56" spans="1:40" ht="20.25" hidden="1" customHeight="1">
      <c r="A56" s="452" t="s">
        <v>316</v>
      </c>
      <c r="B56" s="439" t="s">
        <v>0</v>
      </c>
      <c r="C56" s="462" t="s">
        <v>50</v>
      </c>
      <c r="D56" s="528"/>
      <c r="E56" s="439"/>
      <c r="F56" s="463">
        <f t="array" ref="F56">+INDEX('[3]Budget original'!$A$2:$AO$501,MATCH($A56,'[3]Budget original'!$A$2:$A$501,0),MATCH(F$2,'[3]Budget original'!$A$2:$AO$2,0))</f>
        <v>0</v>
      </c>
      <c r="G56" s="529"/>
      <c r="H56" s="439"/>
      <c r="I56" s="463"/>
      <c r="J56" s="462"/>
      <c r="K56" s="439"/>
      <c r="L56" s="466">
        <f>SUMIFS([3]BV_Data_An_Cour!$AM:$AM,[3]BV_Data_An_Cour!$AP:$AP,$B56,[3]BV_Data_An_Cour!$AQ:$AQ,$C56,[3]BV_Data_An_Cour!$AR:$AR,L$2)</f>
        <v>0</v>
      </c>
      <c r="M56" s="462"/>
      <c r="N56" s="466">
        <f t="shared" si="18"/>
        <v>0</v>
      </c>
      <c r="O56" s="462"/>
      <c r="P56" s="439"/>
      <c r="Q56" s="466">
        <f>SUMIFS([3]BV_Data_An_Prec!$AM:$AM,[3]BV_Data_An_Prec!$AP:$AP,$B56,[3]BV_Data_An_Prec!$AQ:$AQ,$C56,[3]BV_Data_An_Prec!$AR:$AR,Q$2)</f>
        <v>0</v>
      </c>
      <c r="R56" s="462"/>
      <c r="S56" s="466">
        <f t="shared" si="19"/>
        <v>0</v>
      </c>
      <c r="T56" s="521"/>
      <c r="U56" s="436"/>
      <c r="V56" s="439"/>
      <c r="W56" s="439"/>
      <c r="X56" s="436"/>
      <c r="Y56" s="439"/>
      <c r="Z56" s="439"/>
      <c r="AA56" s="439"/>
      <c r="AB56" s="439"/>
      <c r="AC56" s="439"/>
      <c r="AD56" s="439"/>
      <c r="AE56" s="439"/>
      <c r="AF56" s="439"/>
      <c r="AG56" s="439"/>
      <c r="AH56" s="439"/>
      <c r="AI56" s="439"/>
      <c r="AJ56" s="439"/>
      <c r="AK56" s="439"/>
      <c r="AL56" s="439"/>
      <c r="AM56" s="439"/>
      <c r="AN56" s="439"/>
    </row>
    <row r="57" spans="1:40" ht="18.75" customHeight="1">
      <c r="A57" s="452" t="s">
        <v>317</v>
      </c>
      <c r="B57" s="439" t="s">
        <v>0</v>
      </c>
      <c r="C57" s="453" t="s">
        <v>51</v>
      </c>
      <c r="D57" s="531"/>
      <c r="E57" s="546"/>
      <c r="F57" s="455">
        <f t="array" ref="F57">+INDEX('[3]Budget original'!$A$2:$AO$501,MATCH($A57,'[3]Budget original'!$A$2:$A$501,0),MATCH(F$2,'[3]Budget original'!$A$2:$AO$2,0))</f>
        <v>0</v>
      </c>
      <c r="G57" s="532"/>
      <c r="H57" s="546"/>
      <c r="I57" s="455"/>
      <c r="J57" s="453"/>
      <c r="K57" s="546"/>
      <c r="L57" s="458">
        <f>SUMIFS([3]BV_Data_An_Cour!$AM:$AM,[3]BV_Data_An_Cour!$AP:$AP,$B57,[3]BV_Data_An_Cour!$AQ:$AQ,$C57,[3]BV_Data_An_Cour!$AR:$AR,L$2)</f>
        <v>6931.8999999999942</v>
      </c>
      <c r="M57" s="453"/>
      <c r="N57" s="458">
        <f t="shared" si="18"/>
        <v>6931.8999999999942</v>
      </c>
      <c r="O57" s="453"/>
      <c r="P57" s="546"/>
      <c r="Q57" s="458">
        <f>SUMIFS([3]BV_Data_An_Prec!$AM:$AM,[3]BV_Data_An_Prec!$AP:$AP,$B57,[3]BV_Data_An_Prec!$AQ:$AQ,$C57,[3]BV_Data_An_Prec!$AR:$AR,Q$2)</f>
        <v>9251.3499999999913</v>
      </c>
      <c r="R57" s="453"/>
      <c r="S57" s="458">
        <f t="shared" si="19"/>
        <v>-2319.4499999999971</v>
      </c>
      <c r="T57" s="547"/>
      <c r="U57" s="436"/>
      <c r="V57" s="439"/>
      <c r="W57" s="439"/>
      <c r="X57" s="436"/>
      <c r="Y57" s="439"/>
      <c r="Z57" s="439"/>
      <c r="AA57" s="439"/>
      <c r="AB57" s="439"/>
      <c r="AC57" s="439"/>
      <c r="AD57" s="439"/>
      <c r="AE57" s="439"/>
      <c r="AF57" s="439"/>
      <c r="AG57" s="439"/>
      <c r="AH57" s="439"/>
      <c r="AI57" s="439"/>
      <c r="AJ57" s="439"/>
      <c r="AK57" s="439"/>
      <c r="AL57" s="439"/>
      <c r="AM57" s="439"/>
      <c r="AN57" s="439"/>
    </row>
    <row r="58" spans="1:40" ht="15.75" customHeight="1">
      <c r="A58" s="452" t="s">
        <v>318</v>
      </c>
      <c r="B58" s="439" t="s">
        <v>0</v>
      </c>
      <c r="C58" s="462" t="s">
        <v>52</v>
      </c>
      <c r="D58" s="528"/>
      <c r="E58" s="439"/>
      <c r="F58" s="463">
        <f t="array" ref="F58">+INDEX('[3]Budget original'!$A$2:$AO$501,MATCH($A58,'[3]Budget original'!$A$2:$A$501,0),MATCH(F$2,'[3]Budget original'!$A$2:$AO$2,0))</f>
        <v>0</v>
      </c>
      <c r="G58" s="529"/>
      <c r="H58" s="439"/>
      <c r="I58" s="463"/>
      <c r="J58" s="462"/>
      <c r="K58" s="439"/>
      <c r="L58" s="466">
        <f>SUMIFS([3]BV_Data_An_Cour!$AM:$AM,[3]BV_Data_An_Cour!$AP:$AP,$B58,[3]BV_Data_An_Cour!$AQ:$AQ,$C58,[3]BV_Data_An_Cour!$AR:$AR,L$2)</f>
        <v>3443.6800000000003</v>
      </c>
      <c r="M58" s="462"/>
      <c r="N58" s="466">
        <f t="shared" si="18"/>
        <v>3443.6800000000003</v>
      </c>
      <c r="O58" s="462"/>
      <c r="P58" s="439"/>
      <c r="Q58" s="466">
        <f>SUMIFS([3]BV_Data_An_Prec!$AM:$AM,[3]BV_Data_An_Prec!$AP:$AP,$B58,[3]BV_Data_An_Prec!$AQ:$AQ,$C58,[3]BV_Data_An_Prec!$AR:$AR,Q$2)</f>
        <v>3035.2900000000009</v>
      </c>
      <c r="R58" s="462"/>
      <c r="S58" s="466">
        <f t="shared" si="19"/>
        <v>408.38999999999942</v>
      </c>
      <c r="T58" s="521"/>
      <c r="U58" s="436"/>
      <c r="V58" s="439"/>
      <c r="W58" s="439"/>
      <c r="X58" s="439"/>
      <c r="Y58" s="439"/>
      <c r="Z58" s="439"/>
      <c r="AA58" s="439"/>
      <c r="AB58" s="439"/>
      <c r="AC58" s="439"/>
      <c r="AD58" s="439"/>
      <c r="AE58" s="439"/>
      <c r="AF58" s="439"/>
      <c r="AG58" s="439"/>
      <c r="AH58" s="439"/>
      <c r="AI58" s="439"/>
      <c r="AJ58" s="439"/>
      <c r="AK58" s="439"/>
      <c r="AL58" s="439"/>
      <c r="AM58" s="439"/>
      <c r="AN58" s="439"/>
    </row>
    <row r="59" spans="1:40" ht="15.75" customHeight="1">
      <c r="A59" s="452" t="s">
        <v>319</v>
      </c>
      <c r="B59" s="439" t="s">
        <v>0</v>
      </c>
      <c r="C59" s="462" t="s">
        <v>53</v>
      </c>
      <c r="D59" s="528"/>
      <c r="E59" s="439"/>
      <c r="F59" s="463">
        <f t="array" ref="F59">+INDEX('[3]Budget original'!$A$2:$AO$501,MATCH($A59,'[3]Budget original'!$A$2:$A$501,0),MATCH(F$2,'[3]Budget original'!$A$2:$AO$2,0))</f>
        <v>0</v>
      </c>
      <c r="G59" s="529"/>
      <c r="H59" s="439"/>
      <c r="I59" s="463"/>
      <c r="J59" s="462"/>
      <c r="K59" s="439"/>
      <c r="L59" s="466">
        <f>SUMIFS([3]BV_Data_An_Cour!$AM:$AM,[3]BV_Data_An_Cour!$AP:$AP,$B59,[3]BV_Data_An_Cour!$AQ:$AQ,$C59,[3]BV_Data_An_Cour!$AR:$AR,L$2)</f>
        <v>904.69000000000051</v>
      </c>
      <c r="M59" s="462"/>
      <c r="N59" s="466">
        <f t="shared" si="18"/>
        <v>904.69000000000051</v>
      </c>
      <c r="O59" s="462"/>
      <c r="P59" s="439"/>
      <c r="Q59" s="466">
        <f>SUMIFS([3]BV_Data_An_Prec!$AM:$AM,[3]BV_Data_An_Prec!$AP:$AP,$B59,[3]BV_Data_An_Prec!$AQ:$AQ,$C59,[3]BV_Data_An_Prec!$AR:$AR,Q$2)</f>
        <v>11699.529999999999</v>
      </c>
      <c r="R59" s="462"/>
      <c r="S59" s="466">
        <f t="shared" si="19"/>
        <v>-10794.839999999998</v>
      </c>
      <c r="T59" s="436"/>
      <c r="U59" s="436"/>
      <c r="V59" s="439"/>
      <c r="W59" s="439"/>
      <c r="X59" s="439"/>
      <c r="Y59" s="439"/>
      <c r="Z59" s="439"/>
      <c r="AA59" s="439"/>
      <c r="AB59" s="439"/>
      <c r="AC59" s="439"/>
      <c r="AD59" s="439"/>
      <c r="AE59" s="439"/>
      <c r="AF59" s="439"/>
      <c r="AG59" s="439"/>
      <c r="AH59" s="439"/>
      <c r="AI59" s="439"/>
      <c r="AJ59" s="439"/>
      <c r="AK59" s="439"/>
      <c r="AL59" s="439"/>
      <c r="AM59" s="439"/>
      <c r="AN59" s="439"/>
    </row>
    <row r="60" spans="1:40" ht="15.75" customHeight="1">
      <c r="A60" s="452" t="s">
        <v>320</v>
      </c>
      <c r="B60" s="439" t="s">
        <v>0</v>
      </c>
      <c r="C60" s="453" t="s">
        <v>54</v>
      </c>
      <c r="D60" s="531"/>
      <c r="E60" s="546"/>
      <c r="F60" s="455">
        <f t="array" ref="F60">+INDEX('[3]Budget original'!$A$2:$AO$501,MATCH($A60,'[3]Budget original'!$A$2:$A$501,0),MATCH(F$2,'[3]Budget original'!$A$2:$AO$2,0))</f>
        <v>0</v>
      </c>
      <c r="G60" s="532"/>
      <c r="H60" s="546"/>
      <c r="I60" s="455"/>
      <c r="J60" s="453"/>
      <c r="K60" s="546"/>
      <c r="L60" s="458">
        <f>SUMIFS([3]BV_Data_An_Cour!$AM:$AM,[3]BV_Data_An_Cour!$AP:$AP,$B60,[3]BV_Data_An_Cour!$AQ:$AQ,$C60,[3]BV_Data_An_Cour!$AR:$AR,L$2)</f>
        <v>4676.7999999999993</v>
      </c>
      <c r="M60" s="453"/>
      <c r="N60" s="458">
        <f t="shared" si="18"/>
        <v>4676.7999999999993</v>
      </c>
      <c r="O60" s="453"/>
      <c r="P60" s="546"/>
      <c r="Q60" s="458">
        <f>SUMIFS([3]BV_Data_An_Prec!$AM:$AM,[3]BV_Data_An_Prec!$AP:$AP,$B60,[3]BV_Data_An_Prec!$AQ:$AQ,$C60,[3]BV_Data_An_Prec!$AR:$AR,Q$2)</f>
        <v>8700.1800000000039</v>
      </c>
      <c r="R60" s="453"/>
      <c r="S60" s="458">
        <f t="shared" si="19"/>
        <v>-4023.3800000000047</v>
      </c>
      <c r="T60" s="436"/>
      <c r="U60" s="436"/>
      <c r="V60" s="439"/>
      <c r="W60" s="439"/>
      <c r="X60" s="439"/>
      <c r="Y60" s="439"/>
      <c r="Z60" s="439"/>
      <c r="AA60" s="439"/>
      <c r="AB60" s="439"/>
      <c r="AC60" s="439"/>
      <c r="AD60" s="439"/>
      <c r="AE60" s="439"/>
      <c r="AF60" s="439"/>
      <c r="AG60" s="439"/>
      <c r="AH60" s="439"/>
      <c r="AI60" s="439"/>
      <c r="AJ60" s="439"/>
      <c r="AK60" s="439"/>
      <c r="AL60" s="439"/>
      <c r="AM60" s="439"/>
      <c r="AN60" s="439"/>
    </row>
    <row r="61" spans="1:40" ht="15.75" customHeight="1">
      <c r="A61" s="452" t="s">
        <v>321</v>
      </c>
      <c r="B61" s="439" t="s">
        <v>0</v>
      </c>
      <c r="C61" s="462" t="s">
        <v>55</v>
      </c>
      <c r="D61" s="528"/>
      <c r="E61" s="439"/>
      <c r="F61" s="463">
        <f t="array" ref="F61">+INDEX('[3]Budget original'!$A$2:$AO$501,MATCH($A61,'[3]Budget original'!$A$2:$A$501,0),MATCH(F$2,'[3]Budget original'!$A$2:$AO$2,0))</f>
        <v>0</v>
      </c>
      <c r="G61" s="529"/>
      <c r="H61" s="439"/>
      <c r="I61" s="463"/>
      <c r="J61" s="462"/>
      <c r="K61" s="439"/>
      <c r="L61" s="466">
        <f>SUMIFS([3]BV_Data_An_Cour!$AM:$AM,[3]BV_Data_An_Cour!$AP:$AP,$B61,[3]BV_Data_An_Cour!$AQ:$AQ,$C61,[3]BV_Data_An_Cour!$AR:$AR,L$2)</f>
        <v>252.29999999999973</v>
      </c>
      <c r="M61" s="462"/>
      <c r="N61" s="466">
        <f t="shared" si="18"/>
        <v>252.29999999999973</v>
      </c>
      <c r="O61" s="462"/>
      <c r="P61" s="439"/>
      <c r="Q61" s="466">
        <f>SUMIFS([3]BV_Data_An_Prec!$AM:$AM,[3]BV_Data_An_Prec!$AP:$AP,$B61,[3]BV_Data_An_Prec!$AQ:$AQ,$C61,[3]BV_Data_An_Prec!$AR:$AR,Q$2)</f>
        <v>255.26999999999953</v>
      </c>
      <c r="R61" s="462"/>
      <c r="S61" s="466">
        <f t="shared" si="19"/>
        <v>-2.9699999999997999</v>
      </c>
      <c r="T61" s="436"/>
      <c r="U61" s="436"/>
      <c r="V61" s="439"/>
      <c r="W61" s="439"/>
      <c r="X61" s="439"/>
      <c r="Y61" s="439"/>
      <c r="Z61" s="439"/>
      <c r="AA61" s="439"/>
      <c r="AB61" s="439"/>
      <c r="AC61" s="439"/>
      <c r="AD61" s="439"/>
      <c r="AE61" s="439"/>
      <c r="AF61" s="439"/>
      <c r="AG61" s="439"/>
      <c r="AH61" s="439"/>
      <c r="AI61" s="439"/>
      <c r="AJ61" s="439"/>
      <c r="AK61" s="439"/>
      <c r="AL61" s="439"/>
      <c r="AM61" s="439"/>
      <c r="AN61" s="439"/>
    </row>
    <row r="62" spans="1:40" ht="15.75" customHeight="1">
      <c r="A62" s="452" t="s">
        <v>322</v>
      </c>
      <c r="B62" s="439" t="s">
        <v>0</v>
      </c>
      <c r="C62" s="462" t="s">
        <v>56</v>
      </c>
      <c r="D62" s="528"/>
      <c r="E62" s="439"/>
      <c r="F62" s="463">
        <f t="array" ref="F62">+INDEX('[3]Budget original'!$A$2:$AO$501,MATCH($A62,'[3]Budget original'!$A$2:$A$501,0),MATCH(F$2,'[3]Budget original'!$A$2:$AO$2,0))</f>
        <v>0</v>
      </c>
      <c r="G62" s="529"/>
      <c r="H62" s="439"/>
      <c r="I62" s="463"/>
      <c r="J62" s="462"/>
      <c r="K62" s="439"/>
      <c r="L62" s="466">
        <f>SUMIFS([3]BV_Data_An_Cour!$AM:$AM,[3]BV_Data_An_Cour!$AP:$AP,$B62,[3]BV_Data_An_Cour!$AQ:$AQ,$C62,[3]BV_Data_An_Cour!$AR:$AR,L$2)</f>
        <v>0</v>
      </c>
      <c r="M62" s="462"/>
      <c r="N62" s="466">
        <f t="shared" si="18"/>
        <v>0</v>
      </c>
      <c r="O62" s="462"/>
      <c r="P62" s="439"/>
      <c r="Q62" s="466">
        <f>SUMIFS([3]BV_Data_An_Prec!$AM:$AM,[3]BV_Data_An_Prec!$AP:$AP,$B62,[3]BV_Data_An_Prec!$AQ:$AQ,$C62,[3]BV_Data_An_Prec!$AR:$AR,Q$2)</f>
        <v>0</v>
      </c>
      <c r="R62" s="462"/>
      <c r="S62" s="466">
        <f t="shared" si="19"/>
        <v>0</v>
      </c>
      <c r="T62" s="436"/>
      <c r="U62" s="436"/>
      <c r="V62" s="439"/>
      <c r="W62" s="439"/>
      <c r="X62" s="439"/>
      <c r="Y62" s="439"/>
      <c r="Z62" s="439"/>
      <c r="AA62" s="439"/>
      <c r="AB62" s="439"/>
      <c r="AC62" s="439"/>
      <c r="AD62" s="439"/>
      <c r="AE62" s="439"/>
      <c r="AF62" s="439"/>
      <c r="AG62" s="439"/>
      <c r="AH62" s="439"/>
      <c r="AI62" s="439"/>
      <c r="AJ62" s="439"/>
      <c r="AK62" s="439"/>
      <c r="AL62" s="439"/>
      <c r="AM62" s="439"/>
      <c r="AN62" s="439"/>
    </row>
    <row r="63" spans="1:40" ht="15.75" customHeight="1">
      <c r="A63" s="452" t="s">
        <v>323</v>
      </c>
      <c r="B63" s="439" t="s">
        <v>0</v>
      </c>
      <c r="C63" s="462" t="s">
        <v>57</v>
      </c>
      <c r="D63" s="528"/>
      <c r="E63" s="439"/>
      <c r="F63" s="463">
        <f t="array" ref="F63">+INDEX('[3]Budget original'!$A$2:$AO$501,MATCH($A63,'[3]Budget original'!$A$2:$A$501,0),MATCH(F$2,'[3]Budget original'!$A$2:$AO$2,0))</f>
        <v>0</v>
      </c>
      <c r="G63" s="529"/>
      <c r="H63" s="439"/>
      <c r="I63" s="463"/>
      <c r="J63" s="462"/>
      <c r="K63" s="439"/>
      <c r="L63" s="466">
        <f>SUMIFS([3]BV_Data_An_Cour!$AM:$AM,[3]BV_Data_An_Cour!$AP:$AP,$B63,[3]BV_Data_An_Cour!$AQ:$AQ,$C63,[3]BV_Data_An_Cour!$AR:$AR,L$2)</f>
        <v>740.47999999999956</v>
      </c>
      <c r="M63" s="462"/>
      <c r="N63" s="466">
        <f t="shared" si="18"/>
        <v>740.47999999999956</v>
      </c>
      <c r="O63" s="462"/>
      <c r="P63" s="439"/>
      <c r="Q63" s="466">
        <f>SUMIFS([3]BV_Data_An_Prec!$AM:$AM,[3]BV_Data_An_Prec!$AP:$AP,$B63,[3]BV_Data_An_Prec!$AQ:$AQ,$C63,[3]BV_Data_An_Prec!$AR:$AR,Q$2)</f>
        <v>2766.0299999999988</v>
      </c>
      <c r="R63" s="462"/>
      <c r="S63" s="466">
        <f t="shared" si="19"/>
        <v>-2025.5499999999993</v>
      </c>
      <c r="T63" s="436"/>
      <c r="U63" s="436"/>
      <c r="V63" s="439"/>
      <c r="W63" s="439"/>
      <c r="X63" s="439"/>
      <c r="Y63" s="439"/>
      <c r="Z63" s="439"/>
      <c r="AA63" s="439"/>
      <c r="AB63" s="439"/>
      <c r="AC63" s="439"/>
      <c r="AD63" s="439"/>
      <c r="AE63" s="439"/>
      <c r="AF63" s="439"/>
      <c r="AG63" s="439"/>
      <c r="AH63" s="439"/>
      <c r="AI63" s="439"/>
      <c r="AJ63" s="439"/>
      <c r="AK63" s="439"/>
      <c r="AL63" s="439"/>
      <c r="AM63" s="439"/>
      <c r="AN63" s="439"/>
    </row>
    <row r="64" spans="1:40" ht="15.75" customHeight="1">
      <c r="A64" s="452" t="s">
        <v>324</v>
      </c>
      <c r="B64" s="439" t="s">
        <v>0</v>
      </c>
      <c r="C64" s="462" t="s">
        <v>58</v>
      </c>
      <c r="D64" s="528"/>
      <c r="E64" s="439"/>
      <c r="F64" s="463">
        <f t="array" ref="F64">+INDEX('[3]Budget original'!$A$2:$AO$501,MATCH($A64,'[3]Budget original'!$A$2:$A$501,0),MATCH(F$2,'[3]Budget original'!$A$2:$AO$2,0))</f>
        <v>0</v>
      </c>
      <c r="G64" s="529"/>
      <c r="H64" s="439"/>
      <c r="I64" s="463"/>
      <c r="J64" s="462"/>
      <c r="K64" s="439"/>
      <c r="L64" s="466">
        <f>SUMIFS([3]BV_Data_An_Cour!$AM:$AM,[3]BV_Data_An_Cour!$AP:$AP,$B64,[3]BV_Data_An_Cour!$AQ:$AQ,$C64,[3]BV_Data_An_Cour!$AR:$AR,L$2)</f>
        <v>633.19000000000051</v>
      </c>
      <c r="M64" s="462"/>
      <c r="N64" s="466">
        <f t="shared" si="18"/>
        <v>633.19000000000051</v>
      </c>
      <c r="O64" s="462"/>
      <c r="P64" s="439"/>
      <c r="Q64" s="466">
        <f>SUMIFS([3]BV_Data_An_Prec!$AM:$AM,[3]BV_Data_An_Prec!$AP:$AP,$B64,[3]BV_Data_An_Prec!$AQ:$AQ,$C64,[3]BV_Data_An_Prec!$AR:$AR,Q$2)</f>
        <v>157.96999999999935</v>
      </c>
      <c r="R64" s="462"/>
      <c r="S64" s="466">
        <f t="shared" si="19"/>
        <v>475.22000000000116</v>
      </c>
      <c r="T64" s="436"/>
      <c r="U64" s="436"/>
      <c r="V64" s="439"/>
      <c r="W64" s="439"/>
      <c r="X64" s="439"/>
      <c r="Y64" s="439"/>
      <c r="Z64" s="439"/>
      <c r="AA64" s="439"/>
      <c r="AB64" s="439"/>
      <c r="AC64" s="439"/>
      <c r="AD64" s="439"/>
      <c r="AE64" s="439"/>
      <c r="AF64" s="439"/>
      <c r="AG64" s="439"/>
      <c r="AH64" s="439"/>
      <c r="AI64" s="439"/>
      <c r="AJ64" s="439"/>
      <c r="AK64" s="439"/>
      <c r="AL64" s="439"/>
      <c r="AM64" s="439"/>
      <c r="AN64" s="439"/>
    </row>
    <row r="65" spans="1:40" ht="15.75" customHeight="1">
      <c r="A65" s="452" t="s">
        <v>325</v>
      </c>
      <c r="B65" s="439" t="s">
        <v>0</v>
      </c>
      <c r="C65" s="462" t="s">
        <v>59</v>
      </c>
      <c r="D65" s="528"/>
      <c r="E65" s="439"/>
      <c r="F65" s="463">
        <f t="array" ref="F65">+INDEX('[3]Budget original'!$A$2:$AO$501,MATCH($A65,'[3]Budget original'!$A$2:$A$501,0),MATCH(F$2,'[3]Budget original'!$A$2:$AO$2,0))</f>
        <v>0</v>
      </c>
      <c r="G65" s="529"/>
      <c r="H65" s="439"/>
      <c r="I65" s="463"/>
      <c r="J65" s="462"/>
      <c r="K65" s="439"/>
      <c r="L65" s="466">
        <f>SUMIFS([3]BV_Data_An_Cour!$AM:$AM,[3]BV_Data_An_Cour!$AP:$AP,$B65,[3]BV_Data_An_Cour!$AQ:$AQ,$C65,[3]BV_Data_An_Cour!$AR:$AR,L$2)</f>
        <v>1314.3499999999985</v>
      </c>
      <c r="M65" s="462"/>
      <c r="N65" s="466">
        <f t="shared" si="18"/>
        <v>1314.3499999999985</v>
      </c>
      <c r="O65" s="462"/>
      <c r="P65" s="439"/>
      <c r="Q65" s="466">
        <f>SUMIFS([3]BV_Data_An_Prec!$AM:$AM,[3]BV_Data_An_Prec!$AP:$AP,$B65,[3]BV_Data_An_Prec!$AQ:$AQ,$C65,[3]BV_Data_An_Prec!$AR:$AR,Q$2)</f>
        <v>1214.46</v>
      </c>
      <c r="R65" s="462"/>
      <c r="S65" s="466">
        <f t="shared" si="19"/>
        <v>99.889999999998508</v>
      </c>
      <c r="T65" s="436"/>
      <c r="U65" s="436"/>
      <c r="V65" s="439"/>
      <c r="W65" s="439"/>
      <c r="X65" s="439"/>
      <c r="Y65" s="439"/>
      <c r="Z65" s="439"/>
      <c r="AA65" s="439"/>
      <c r="AB65" s="439"/>
      <c r="AC65" s="439"/>
      <c r="AD65" s="439"/>
      <c r="AE65" s="439"/>
      <c r="AF65" s="439"/>
      <c r="AG65" s="439"/>
      <c r="AH65" s="439"/>
      <c r="AI65" s="439"/>
      <c r="AJ65" s="439"/>
      <c r="AK65" s="439"/>
      <c r="AL65" s="439"/>
      <c r="AM65" s="439"/>
      <c r="AN65" s="439"/>
    </row>
    <row r="66" spans="1:40" ht="15.75" customHeight="1">
      <c r="A66" s="452" t="s">
        <v>326</v>
      </c>
      <c r="B66" s="439" t="s">
        <v>0</v>
      </c>
      <c r="C66" s="462" t="s">
        <v>60</v>
      </c>
      <c r="D66" s="528"/>
      <c r="E66" s="439"/>
      <c r="F66" s="463">
        <f t="array" ref="F66">+INDEX('[3]Budget original'!$A$2:$AO$501,MATCH($A66,'[3]Budget original'!$A$2:$A$501,0),MATCH(F$2,'[3]Budget original'!$A$2:$AO$2,0))</f>
        <v>0</v>
      </c>
      <c r="G66" s="529"/>
      <c r="H66" s="439"/>
      <c r="I66" s="463"/>
      <c r="J66" s="462"/>
      <c r="K66" s="439"/>
      <c r="L66" s="466">
        <f>SUMIFS([3]BV_Data_An_Cour!$AM:$AM,[3]BV_Data_An_Cour!$AP:$AP,$B66,[3]BV_Data_An_Cour!$AQ:$AQ,$C66,[3]BV_Data_An_Cour!$AR:$AR,L$2)</f>
        <v>3705.26</v>
      </c>
      <c r="M66" s="462"/>
      <c r="N66" s="466">
        <f t="shared" si="18"/>
        <v>3705.26</v>
      </c>
      <c r="O66" s="462"/>
      <c r="P66" s="439"/>
      <c r="Q66" s="466">
        <f>SUMIFS([3]BV_Data_An_Prec!$AM:$AM,[3]BV_Data_An_Prec!$AP:$AP,$B66,[3]BV_Data_An_Prec!$AQ:$AQ,$C66,[3]BV_Data_An_Prec!$AR:$AR,Q$2)</f>
        <v>4629.3500000000004</v>
      </c>
      <c r="R66" s="462"/>
      <c r="S66" s="466">
        <f t="shared" si="19"/>
        <v>-924.09000000000015</v>
      </c>
      <c r="T66" s="436"/>
      <c r="U66" s="436"/>
      <c r="V66" s="439"/>
      <c r="W66" s="439"/>
      <c r="X66" s="439"/>
      <c r="Y66" s="439"/>
      <c r="Z66" s="439"/>
      <c r="AA66" s="439"/>
      <c r="AB66" s="439"/>
      <c r="AC66" s="439"/>
      <c r="AD66" s="439"/>
      <c r="AE66" s="439"/>
      <c r="AF66" s="439"/>
      <c r="AG66" s="439"/>
      <c r="AH66" s="439"/>
      <c r="AI66" s="439"/>
      <c r="AJ66" s="439"/>
      <c r="AK66" s="439"/>
      <c r="AL66" s="439"/>
      <c r="AM66" s="439"/>
      <c r="AN66" s="439"/>
    </row>
    <row r="67" spans="1:40" ht="15.75" customHeight="1">
      <c r="A67" s="452" t="s">
        <v>327</v>
      </c>
      <c r="B67" s="439" t="s">
        <v>0</v>
      </c>
      <c r="C67" s="462" t="s">
        <v>61</v>
      </c>
      <c r="D67" s="528"/>
      <c r="E67" s="439"/>
      <c r="F67" s="463">
        <f t="array" ref="F67">+INDEX('[3]Budget original'!$A$2:$AO$501,MATCH($A67,'[3]Budget original'!$A$2:$A$501,0),MATCH(F$2,'[3]Budget original'!$A$2:$AO$2,0))</f>
        <v>0</v>
      </c>
      <c r="G67" s="529"/>
      <c r="H67" s="439"/>
      <c r="I67" s="463"/>
      <c r="J67" s="462"/>
      <c r="K67" s="439"/>
      <c r="L67" s="466">
        <f>SUMIFS([3]BV_Data_An_Cour!$AM:$AM,[3]BV_Data_An_Cour!$AP:$AP,$B67,[3]BV_Data_An_Cour!$AQ:$AQ,$C67,[3]BV_Data_An_Cour!$AR:$AR,L$2)</f>
        <v>570</v>
      </c>
      <c r="M67" s="462"/>
      <c r="N67" s="466">
        <f t="shared" si="18"/>
        <v>570</v>
      </c>
      <c r="O67" s="462"/>
      <c r="P67" s="439"/>
      <c r="Q67" s="466">
        <f>SUMIFS([3]BV_Data_An_Prec!$AM:$AM,[3]BV_Data_An_Prec!$AP:$AP,$B67,[3]BV_Data_An_Prec!$AQ:$AQ,$C67,[3]BV_Data_An_Prec!$AR:$AR,Q$2)</f>
        <v>965</v>
      </c>
      <c r="R67" s="462"/>
      <c r="S67" s="466">
        <f t="shared" si="19"/>
        <v>-395</v>
      </c>
      <c r="T67" s="436"/>
      <c r="U67" s="436"/>
      <c r="X67" s="439"/>
      <c r="Y67" s="439"/>
      <c r="Z67" s="439"/>
      <c r="AA67" s="439"/>
      <c r="AB67" s="439"/>
      <c r="AC67" s="439"/>
      <c r="AD67" s="439"/>
      <c r="AE67" s="439"/>
      <c r="AF67" s="439"/>
      <c r="AG67" s="439"/>
      <c r="AH67" s="439"/>
      <c r="AI67" s="439"/>
      <c r="AJ67" s="439"/>
      <c r="AK67" s="439"/>
      <c r="AL67" s="439"/>
      <c r="AM67" s="439"/>
      <c r="AN67" s="439"/>
    </row>
    <row r="68" spans="1:40" ht="15.75" customHeight="1">
      <c r="A68" s="452" t="s">
        <v>328</v>
      </c>
      <c r="B68" s="439" t="s">
        <v>0</v>
      </c>
      <c r="C68" s="462" t="s">
        <v>62</v>
      </c>
      <c r="D68" s="528"/>
      <c r="E68" s="439"/>
      <c r="F68" s="463">
        <f t="array" ref="F68">+INDEX('[3]Budget original'!$A$2:$AO$501,MATCH($A68,'[3]Budget original'!$A$2:$A$501,0),MATCH(F$2,'[3]Budget original'!$A$2:$AO$2,0))</f>
        <v>0</v>
      </c>
      <c r="G68" s="529"/>
      <c r="H68" s="439"/>
      <c r="I68" s="463"/>
      <c r="J68" s="462"/>
      <c r="K68" s="439"/>
      <c r="L68" s="466">
        <f>SUMIFS([3]BV_Data_An_Cour!$AM:$AM,[3]BV_Data_An_Cour!$AP:$AP,$B68,[3]BV_Data_An_Cour!$AQ:$AQ,$C68,[3]BV_Data_An_Cour!$AR:$AR,L$2)</f>
        <v>2389.3399999999983</v>
      </c>
      <c r="M68" s="462"/>
      <c r="N68" s="466">
        <f t="shared" si="18"/>
        <v>2389.3399999999983</v>
      </c>
      <c r="O68" s="462"/>
      <c r="P68" s="439"/>
      <c r="Q68" s="466">
        <f>SUMIFS([3]BV_Data_An_Prec!$AM:$AM,[3]BV_Data_An_Prec!$AP:$AP,$B68,[3]BV_Data_An_Prec!$AQ:$AQ,$C68,[3]BV_Data_An_Prec!$AR:$AR,Q$2)</f>
        <v>385.63000000000011</v>
      </c>
      <c r="R68" s="462"/>
      <c r="S68" s="466">
        <f t="shared" si="19"/>
        <v>2003.7099999999982</v>
      </c>
      <c r="T68" s="436"/>
      <c r="U68" s="436"/>
      <c r="X68" s="439"/>
      <c r="Y68" s="439"/>
      <c r="Z68" s="439"/>
      <c r="AA68" s="439"/>
      <c r="AB68" s="439"/>
      <c r="AC68" s="439"/>
      <c r="AD68" s="439"/>
      <c r="AE68" s="439"/>
      <c r="AF68" s="439"/>
      <c r="AG68" s="439"/>
      <c r="AH68" s="439"/>
      <c r="AI68" s="439"/>
      <c r="AJ68" s="439"/>
      <c r="AK68" s="439"/>
      <c r="AL68" s="439"/>
      <c r="AM68" s="439"/>
      <c r="AN68" s="439"/>
    </row>
    <row r="69" spans="1:40" ht="20.25" hidden="1" customHeight="1">
      <c r="A69" s="452" t="s">
        <v>285</v>
      </c>
      <c r="B69" s="439" t="s">
        <v>0</v>
      </c>
      <c r="C69" s="462" t="s">
        <v>19</v>
      </c>
      <c r="D69" s="528"/>
      <c r="E69" s="439"/>
      <c r="F69" s="463">
        <f t="array" ref="F69">+INDEX('[3]Budget original'!$A$2:$AO$501,MATCH($A69,'[3]Budget original'!$A$2:$A$501,0),MATCH(F$2,'[3]Budget original'!$A$2:$AO$2,0))</f>
        <v>0</v>
      </c>
      <c r="G69" s="529"/>
      <c r="H69" s="439"/>
      <c r="I69" s="463"/>
      <c r="J69" s="462"/>
      <c r="K69" s="439"/>
      <c r="L69" s="466"/>
      <c r="M69" s="462"/>
      <c r="N69" s="466">
        <f t="shared" si="18"/>
        <v>0</v>
      </c>
      <c r="O69" s="462"/>
      <c r="P69" s="439"/>
      <c r="Q69" s="466"/>
      <c r="R69" s="462"/>
      <c r="S69" s="466">
        <f t="shared" si="19"/>
        <v>0</v>
      </c>
      <c r="T69" s="436"/>
      <c r="U69" s="436"/>
      <c r="X69" s="439"/>
      <c r="Y69" s="439"/>
      <c r="Z69" s="439"/>
      <c r="AA69" s="439"/>
      <c r="AB69" s="439"/>
      <c r="AC69" s="439"/>
      <c r="AD69" s="439"/>
      <c r="AE69" s="439"/>
      <c r="AF69" s="439"/>
      <c r="AG69" s="439"/>
      <c r="AH69" s="439"/>
      <c r="AI69" s="439"/>
      <c r="AJ69" s="439"/>
      <c r="AK69" s="439"/>
      <c r="AL69" s="439"/>
      <c r="AM69" s="439"/>
      <c r="AN69" s="439"/>
    </row>
    <row r="70" spans="1:40" ht="20.25" hidden="1" customHeight="1">
      <c r="A70" s="452" t="s">
        <v>285</v>
      </c>
      <c r="B70" s="439" t="s">
        <v>0</v>
      </c>
      <c r="C70" s="462" t="s">
        <v>19</v>
      </c>
      <c r="D70" s="528"/>
      <c r="E70" s="439"/>
      <c r="F70" s="463">
        <f t="array" ref="F70">+INDEX('[3]Budget original'!$A$2:$AO$501,MATCH($A70,'[3]Budget original'!$A$2:$A$501,0),MATCH(F$2,'[3]Budget original'!$A$2:$AO$2,0))</f>
        <v>0</v>
      </c>
      <c r="G70" s="529"/>
      <c r="H70" s="439"/>
      <c r="I70" s="463"/>
      <c r="J70" s="462"/>
      <c r="K70" s="439"/>
      <c r="L70" s="466">
        <f>SUMIFS([3]BV_Data_An_Cour!$AM:$AM,[3]BV_Data_An_Cour!$AP:$AP,$B70,[3]BV_Data_An_Cour!$AQ:$AQ,$C70,[3]BV_Data_An_Cour!$AR:$AR,L$2)</f>
        <v>0</v>
      </c>
      <c r="M70" s="462"/>
      <c r="N70" s="466">
        <f t="shared" si="18"/>
        <v>0</v>
      </c>
      <c r="O70" s="462"/>
      <c r="P70" s="439"/>
      <c r="Q70" s="466">
        <f>SUMIFS([3]BV_Data_An_Prec!$AM:$AM,[3]BV_Data_An_Prec!$AP:$AP,$B70,[3]BV_Data_An_Prec!$AQ:$AQ,$C70,[3]BV_Data_An_Prec!$AR:$AR,Q$2)</f>
        <v>0</v>
      </c>
      <c r="R70" s="462"/>
      <c r="S70" s="466">
        <f t="shared" si="19"/>
        <v>0</v>
      </c>
      <c r="T70" s="436"/>
      <c r="U70" s="436"/>
      <c r="X70" s="439"/>
      <c r="Y70" s="439"/>
      <c r="Z70" s="439"/>
      <c r="AA70" s="439"/>
      <c r="AB70" s="439"/>
      <c r="AC70" s="439"/>
      <c r="AD70" s="439"/>
      <c r="AE70" s="439"/>
      <c r="AF70" s="439"/>
      <c r="AG70" s="439"/>
      <c r="AH70" s="439"/>
      <c r="AI70" s="439"/>
      <c r="AJ70" s="439"/>
      <c r="AK70" s="439"/>
      <c r="AL70" s="439"/>
      <c r="AM70" s="439"/>
      <c r="AN70" s="439"/>
    </row>
    <row r="71" spans="1:40" ht="20.25" hidden="1" customHeight="1">
      <c r="A71" s="452" t="s">
        <v>285</v>
      </c>
      <c r="B71" s="439" t="s">
        <v>0</v>
      </c>
      <c r="C71" s="462" t="s">
        <v>19</v>
      </c>
      <c r="D71" s="528"/>
      <c r="E71" s="439"/>
      <c r="F71" s="463">
        <f t="array" ref="F71">+INDEX('[3]Budget original'!$A$2:$AO$501,MATCH($A71,'[3]Budget original'!$A$2:$A$501,0),MATCH(F$2,'[3]Budget original'!$A$2:$AO$2,0))</f>
        <v>0</v>
      </c>
      <c r="G71" s="529"/>
      <c r="H71" s="439"/>
      <c r="I71" s="463"/>
      <c r="J71" s="462"/>
      <c r="K71" s="439"/>
      <c r="L71" s="466">
        <f>SUMIFS([3]BV_Data_An_Cour!$AM:$AM,[3]BV_Data_An_Cour!$AP:$AP,$B71,[3]BV_Data_An_Cour!$AQ:$AQ,$C71,[3]BV_Data_An_Cour!$AR:$AR,L$2)*0.32</f>
        <v>0</v>
      </c>
      <c r="M71" s="462"/>
      <c r="N71" s="466">
        <f t="shared" si="18"/>
        <v>0</v>
      </c>
      <c r="O71" s="462"/>
      <c r="P71" s="439"/>
      <c r="Q71" s="466">
        <f>SUMIFS([3]BV_Data_An_Prec!$AM:$AM,[3]BV_Data_An_Prec!$AP:$AP,$B71,[3]BV_Data_An_Prec!$AQ:$AQ,$C71,[3]BV_Data_An_Prec!$AR:$AR,Q$2)*0.32</f>
        <v>0</v>
      </c>
      <c r="R71" s="462"/>
      <c r="S71" s="466">
        <f t="shared" si="19"/>
        <v>0</v>
      </c>
      <c r="T71" s="436"/>
      <c r="U71" s="436"/>
      <c r="X71" s="439"/>
      <c r="Y71" s="439"/>
      <c r="Z71" s="439"/>
      <c r="AA71" s="439"/>
      <c r="AB71" s="439"/>
      <c r="AC71" s="439"/>
      <c r="AD71" s="439"/>
      <c r="AE71" s="439"/>
      <c r="AF71" s="439"/>
      <c r="AG71" s="439"/>
      <c r="AH71" s="439"/>
      <c r="AI71" s="439"/>
      <c r="AJ71" s="439"/>
      <c r="AK71" s="439"/>
      <c r="AL71" s="439"/>
      <c r="AM71" s="439"/>
      <c r="AN71" s="439"/>
    </row>
    <row r="72" spans="1:40" ht="18" customHeight="1">
      <c r="A72" s="452" t="s">
        <v>329</v>
      </c>
      <c r="B72" s="439" t="s">
        <v>0</v>
      </c>
      <c r="C72" s="534" t="s">
        <v>63</v>
      </c>
      <c r="D72" s="535" t="s">
        <v>38</v>
      </c>
      <c r="E72" s="536" t="e">
        <f>F72/F$27</f>
        <v>#DIV/0!</v>
      </c>
      <c r="F72" s="537">
        <f>+SUM(F55:F71)</f>
        <v>0</v>
      </c>
      <c r="G72" s="538"/>
      <c r="H72" s="536"/>
      <c r="I72" s="537"/>
      <c r="J72" s="538" t="s">
        <v>38</v>
      </c>
      <c r="K72" s="536">
        <f>L72/L$27</f>
        <v>0.12088318627811645</v>
      </c>
      <c r="L72" s="537">
        <f>+SUM(L55:L71)</f>
        <v>25561.989999999991</v>
      </c>
      <c r="M72" s="539"/>
      <c r="N72" s="537">
        <f>+SUM(N55:N71)</f>
        <v>25561.989999999991</v>
      </c>
      <c r="O72" s="538" t="s">
        <v>38</v>
      </c>
      <c r="P72" s="536">
        <f>Q72/Q$27</f>
        <v>0.17107473520102479</v>
      </c>
      <c r="Q72" s="537">
        <f>+SUM(Q55:Q71)</f>
        <v>43060.05999999999</v>
      </c>
      <c r="R72" s="540"/>
      <c r="S72" s="537">
        <f>+SUM(S55:S71)</f>
        <v>-17498.07</v>
      </c>
      <c r="T72" s="436"/>
      <c r="U72" s="436"/>
      <c r="V72" s="439"/>
      <c r="W72" s="439"/>
      <c r="X72" s="439"/>
      <c r="Y72" s="439"/>
      <c r="Z72" s="439"/>
      <c r="AA72" s="439"/>
      <c r="AB72" s="439"/>
      <c r="AC72" s="439"/>
      <c r="AD72" s="439"/>
      <c r="AE72" s="439"/>
      <c r="AF72" s="439"/>
      <c r="AG72" s="439"/>
      <c r="AH72" s="439"/>
      <c r="AI72" s="439"/>
      <c r="AJ72" s="439"/>
      <c r="AK72" s="439"/>
      <c r="AL72" s="439"/>
      <c r="AM72" s="439"/>
      <c r="AN72" s="439"/>
    </row>
    <row r="73" spans="1:40" ht="15.75" customHeight="1">
      <c r="A73" s="452" t="s">
        <v>0</v>
      </c>
      <c r="B73" s="439" t="s">
        <v>0</v>
      </c>
      <c r="C73" s="453"/>
      <c r="D73" s="531"/>
      <c r="E73" s="546"/>
      <c r="F73" s="466"/>
      <c r="G73" s="532"/>
      <c r="H73" s="546"/>
      <c r="I73" s="466"/>
      <c r="J73" s="453"/>
      <c r="K73" s="546"/>
      <c r="L73" s="458"/>
      <c r="M73" s="453"/>
      <c r="N73" s="458"/>
      <c r="O73" s="453"/>
      <c r="P73" s="546"/>
      <c r="Q73" s="458"/>
      <c r="R73" s="453"/>
      <c r="S73" s="458"/>
      <c r="T73" s="436"/>
      <c r="U73" s="436"/>
      <c r="V73" s="439"/>
      <c r="W73" s="439"/>
      <c r="X73" s="439"/>
      <c r="Y73" s="439"/>
      <c r="Z73" s="439"/>
      <c r="AA73" s="439"/>
      <c r="AB73" s="439"/>
      <c r="AC73" s="439"/>
      <c r="AD73" s="439"/>
      <c r="AE73" s="439"/>
      <c r="AF73" s="439"/>
      <c r="AG73" s="439"/>
      <c r="AH73" s="439"/>
      <c r="AI73" s="439"/>
      <c r="AJ73" s="439"/>
      <c r="AK73" s="439"/>
      <c r="AL73" s="439"/>
      <c r="AM73" s="439"/>
      <c r="AN73" s="439"/>
    </row>
    <row r="74" spans="1:40" ht="18" customHeight="1">
      <c r="A74" s="452" t="s">
        <v>330</v>
      </c>
      <c r="B74" s="439" t="s">
        <v>0</v>
      </c>
      <c r="C74" s="534" t="s">
        <v>64</v>
      </c>
      <c r="D74" s="535" t="s">
        <v>38</v>
      </c>
      <c r="E74" s="536" t="e">
        <f>F74/F$27</f>
        <v>#DIV/0!</v>
      </c>
      <c r="F74" s="537">
        <f>F41+F54+F72</f>
        <v>0</v>
      </c>
      <c r="G74" s="538"/>
      <c r="H74" s="536"/>
      <c r="I74" s="537"/>
      <c r="J74" s="538" t="s">
        <v>38</v>
      </c>
      <c r="K74" s="536">
        <f>L74/L$27</f>
        <v>0.12293614885368492</v>
      </c>
      <c r="L74" s="537">
        <f>L41+L54+L72</f>
        <v>25996.109999999986</v>
      </c>
      <c r="M74" s="539"/>
      <c r="N74" s="537">
        <f t="shared" ref="N74:N82" si="20">L74-F74</f>
        <v>25996.109999999986</v>
      </c>
      <c r="O74" s="538" t="s">
        <v>38</v>
      </c>
      <c r="P74" s="536">
        <f>Q74/Q$27</f>
        <v>-0.32725335525119542</v>
      </c>
      <c r="Q74" s="537">
        <f>Q41+Q54+Q72</f>
        <v>-82370.720000000176</v>
      </c>
      <c r="R74" s="540"/>
      <c r="S74" s="537">
        <f t="shared" ref="S74:S82" si="21">L74-Q74</f>
        <v>108366.83000000016</v>
      </c>
      <c r="T74" s="436"/>
      <c r="U74" s="436"/>
      <c r="V74" s="439"/>
      <c r="W74" s="439"/>
      <c r="X74" s="439"/>
      <c r="Y74" s="439"/>
      <c r="Z74" s="439"/>
      <c r="AA74" s="439"/>
      <c r="AB74" s="439"/>
      <c r="AC74" s="439"/>
      <c r="AD74" s="439"/>
      <c r="AE74" s="439"/>
      <c r="AF74" s="439"/>
      <c r="AG74" s="439"/>
      <c r="AH74" s="439"/>
      <c r="AI74" s="439"/>
      <c r="AJ74" s="439"/>
      <c r="AK74" s="439"/>
      <c r="AL74" s="439"/>
      <c r="AM74" s="439"/>
      <c r="AN74" s="439"/>
    </row>
    <row r="75" spans="1:40" ht="15.75" customHeight="1">
      <c r="A75" s="452" t="s">
        <v>331</v>
      </c>
      <c r="B75" s="439" t="s">
        <v>0</v>
      </c>
      <c r="C75" s="462" t="s">
        <v>332</v>
      </c>
      <c r="D75" s="528"/>
      <c r="E75" s="439"/>
      <c r="F75" s="463">
        <f t="array" ref="F75">+INDEX('[3]Budget original'!$A$2:$AO$501,MATCH($A75,'[3]Budget original'!$A$2:$A$501,0),MATCH(F$2,'[3]Budget original'!$A$2:$AO$2,0))</f>
        <v>0</v>
      </c>
      <c r="G75" s="529"/>
      <c r="H75" s="439"/>
      <c r="I75" s="463"/>
      <c r="J75" s="462"/>
      <c r="K75" s="439"/>
      <c r="L75" s="466">
        <f>-SUMIFS([3]BV_Data_An_Cour!$AM:$AM,[3]BV_Data_An_Cour!$AP:$AP,$B75,[3]BV_Data_An_Cour!$AQ:$AQ,$C75,[3]BV_Data_An_Cour!$AR:$AR,L$2)</f>
        <v>45385.709999999992</v>
      </c>
      <c r="M75" s="462"/>
      <c r="N75" s="466">
        <f t="shared" si="20"/>
        <v>45385.709999999992</v>
      </c>
      <c r="O75" s="462"/>
      <c r="P75" s="439"/>
      <c r="Q75" s="466">
        <f>-SUMIFS([3]BV_Data_An_Prec!$AM:$AM,[3]BV_Data_An_Prec!$AP:$AP,$B75,[3]BV_Data_An_Prec!$AQ:$AQ,$C75,[3]BV_Data_An_Prec!$AR:$AR,Q$2)-Q157</f>
        <v>26831.50999999998</v>
      </c>
      <c r="R75" s="462"/>
      <c r="S75" s="466">
        <f t="shared" si="21"/>
        <v>18554.200000000012</v>
      </c>
      <c r="T75" s="436"/>
      <c r="U75" s="436"/>
      <c r="V75" s="439"/>
      <c r="W75" s="439"/>
      <c r="X75" s="439"/>
      <c r="Y75" s="439"/>
      <c r="Z75" s="439"/>
      <c r="AA75" s="439"/>
      <c r="AB75" s="439"/>
      <c r="AC75" s="439"/>
      <c r="AD75" s="439"/>
      <c r="AE75" s="439"/>
      <c r="AF75" s="439"/>
      <c r="AG75" s="439"/>
      <c r="AH75" s="439"/>
      <c r="AI75" s="439"/>
      <c r="AJ75" s="439"/>
      <c r="AK75" s="439"/>
      <c r="AL75" s="439"/>
      <c r="AM75" s="439"/>
      <c r="AN75" s="439"/>
    </row>
    <row r="76" spans="1:40" ht="15.75" hidden="1" customHeight="1">
      <c r="A76" s="452" t="s">
        <v>333</v>
      </c>
      <c r="B76" s="439" t="s">
        <v>0</v>
      </c>
      <c r="C76" s="548" t="s">
        <v>187</v>
      </c>
      <c r="D76" s="528"/>
      <c r="E76" s="439"/>
      <c r="F76" s="463">
        <f t="array" ref="F76">+INDEX('[3]Budget original'!$A$2:$AO$501,MATCH($A76,'[3]Budget original'!$A$2:$A$501,0),MATCH(F$2,'[3]Budget original'!$A$2:$AO$2,0))</f>
        <v>0</v>
      </c>
      <c r="G76" s="529"/>
      <c r="H76" s="439"/>
      <c r="I76" s="463"/>
      <c r="J76" s="462"/>
      <c r="K76" s="439"/>
      <c r="L76" s="466">
        <f>-SUMIFS([3]BV_Data_An_Cour!$AM:$AM,[3]BV_Data_An_Cour!$AP:$AP,$B76,[3]BV_Data_An_Cour!$AQ:$AQ,$C76,[3]BV_Data_An_Cour!$AR:$AR,L$2)</f>
        <v>0</v>
      </c>
      <c r="M76" s="462"/>
      <c r="N76" s="466">
        <f t="shared" si="20"/>
        <v>0</v>
      </c>
      <c r="O76" s="462"/>
      <c r="P76" s="439"/>
      <c r="Q76" s="466">
        <f>-SUMIFS([3]BV_Data_An_Prec!$AM:$AM,[3]BV_Data_An_Prec!$AP:$AP,$B76,[3]BV_Data_An_Prec!$AQ:$AQ,$C76,[3]BV_Data_An_Prec!$AR:$AR,Q$2)</f>
        <v>0</v>
      </c>
      <c r="R76" s="462"/>
      <c r="S76" s="466">
        <f t="shared" si="21"/>
        <v>0</v>
      </c>
      <c r="T76" s="436"/>
      <c r="U76" s="436"/>
      <c r="V76" s="439"/>
      <c r="W76" s="439"/>
      <c r="X76" s="439"/>
      <c r="Y76" s="439"/>
      <c r="Z76" s="439"/>
      <c r="AA76" s="439"/>
      <c r="AB76" s="439"/>
      <c r="AC76" s="439"/>
      <c r="AD76" s="439"/>
      <c r="AE76" s="439"/>
      <c r="AF76" s="439"/>
      <c r="AG76" s="439"/>
      <c r="AH76" s="439"/>
      <c r="AI76" s="439"/>
      <c r="AJ76" s="439"/>
      <c r="AK76" s="439"/>
      <c r="AL76" s="439"/>
      <c r="AM76" s="439"/>
      <c r="AN76" s="439"/>
    </row>
    <row r="77" spans="1:40" ht="15.75" hidden="1" customHeight="1">
      <c r="A77" s="452" t="s">
        <v>334</v>
      </c>
      <c r="B77" s="439" t="s">
        <v>0</v>
      </c>
      <c r="C77" s="548" t="s">
        <v>65</v>
      </c>
      <c r="D77" s="528"/>
      <c r="E77" s="439"/>
      <c r="F77" s="463">
        <f t="array" ref="F77">+INDEX('[3]Budget original'!$A$2:$AO$501,MATCH($A77,'[3]Budget original'!$A$2:$A$501,0),MATCH(F$2,'[3]Budget original'!$A$2:$AO$2,0))</f>
        <v>0</v>
      </c>
      <c r="G77" s="529"/>
      <c r="H77" s="439"/>
      <c r="I77" s="463"/>
      <c r="J77" s="462"/>
      <c r="K77" s="439"/>
      <c r="L77" s="466">
        <f>-SUMIFS([3]BV_Data_An_Cour!$AM:$AM,[3]BV_Data_An_Cour!$AP:$AP,$B77,[3]BV_Data_An_Cour!$AQ:$AQ,$C77,[3]BV_Data_An_Cour!$AR:$AR,L$2)</f>
        <v>0</v>
      </c>
      <c r="M77" s="462"/>
      <c r="N77" s="466">
        <f t="shared" si="20"/>
        <v>0</v>
      </c>
      <c r="O77" s="462"/>
      <c r="P77" s="439"/>
      <c r="Q77" s="466">
        <f>-SUMIFS([3]BV_Data_An_Prec!$AM:$AM,[3]BV_Data_An_Prec!$AP:$AP,$B77,[3]BV_Data_An_Prec!$AQ:$AQ,$C77,[3]BV_Data_An_Prec!$AR:$AR,Q$2)</f>
        <v>0</v>
      </c>
      <c r="R77" s="462"/>
      <c r="S77" s="466">
        <f t="shared" si="21"/>
        <v>0</v>
      </c>
      <c r="T77" s="436"/>
      <c r="U77" s="436"/>
      <c r="V77" s="439"/>
      <c r="W77" s="439"/>
      <c r="X77" s="439"/>
      <c r="Y77" s="439"/>
      <c r="Z77" s="439"/>
      <c r="AA77" s="439"/>
      <c r="AB77" s="439"/>
      <c r="AC77" s="439"/>
      <c r="AD77" s="439"/>
      <c r="AE77" s="439"/>
      <c r="AF77" s="439"/>
      <c r="AG77" s="439"/>
      <c r="AH77" s="439"/>
      <c r="AI77" s="439"/>
      <c r="AJ77" s="439"/>
      <c r="AK77" s="439"/>
      <c r="AL77" s="439"/>
      <c r="AM77" s="439"/>
      <c r="AN77" s="439"/>
    </row>
    <row r="78" spans="1:40" ht="15.75" hidden="1" customHeight="1">
      <c r="A78" s="452" t="s">
        <v>335</v>
      </c>
      <c r="B78" s="439" t="s">
        <v>0</v>
      </c>
      <c r="C78" s="548" t="s">
        <v>66</v>
      </c>
      <c r="D78" s="528"/>
      <c r="E78" s="549" t="e">
        <f>+F78/D27</f>
        <v>#DIV/0!</v>
      </c>
      <c r="F78" s="463">
        <f t="array" ref="F78">+INDEX('[3]Budget original'!$A$2:$AO$501,MATCH($A78,'[3]Budget original'!$A$2:$A$501,0),MATCH(F$2,'[3]Budget original'!$A$2:$AO$2,0))</f>
        <v>0</v>
      </c>
      <c r="G78" s="529"/>
      <c r="H78" s="439"/>
      <c r="I78" s="463"/>
      <c r="J78" s="550"/>
      <c r="K78" s="549">
        <f>+L78/J27</f>
        <v>0</v>
      </c>
      <c r="L78" s="466">
        <f>-SUMIFS([3]BV_Data_An_Cour!$AM:$AM,[3]BV_Data_An_Cour!$AP:$AP,$B78,[3]BV_Data_An_Cour!$AQ:$AQ,$C78,[3]BV_Data_An_Cour!$AR:$AR,L$2)</f>
        <v>0</v>
      </c>
      <c r="M78" s="462"/>
      <c r="N78" s="466">
        <f t="shared" si="20"/>
        <v>0</v>
      </c>
      <c r="O78" s="550"/>
      <c r="P78" s="549">
        <f>+Q78/O27</f>
        <v>0</v>
      </c>
      <c r="Q78" s="466">
        <f>-SUMIFS([3]BV_Data_An_Prec!$AM:$AM,[3]BV_Data_An_Prec!$AP:$AP,$B78,[3]BV_Data_An_Prec!$AQ:$AQ,$C78,[3]BV_Data_An_Prec!$AR:$AR,Q$2)</f>
        <v>0</v>
      </c>
      <c r="R78" s="462"/>
      <c r="S78" s="466">
        <f t="shared" si="21"/>
        <v>0</v>
      </c>
      <c r="T78" s="436"/>
      <c r="U78" s="436"/>
      <c r="V78" s="439"/>
      <c r="W78" s="439"/>
      <c r="X78" s="439"/>
      <c r="Y78" s="439"/>
      <c r="Z78" s="439"/>
      <c r="AA78" s="439"/>
      <c r="AB78" s="439"/>
      <c r="AC78" s="439"/>
      <c r="AD78" s="439"/>
      <c r="AE78" s="439"/>
      <c r="AF78" s="439"/>
      <c r="AG78" s="439"/>
      <c r="AH78" s="439"/>
      <c r="AI78" s="439"/>
      <c r="AJ78" s="439"/>
      <c r="AK78" s="439"/>
      <c r="AL78" s="439"/>
      <c r="AM78" s="439"/>
      <c r="AN78" s="439"/>
    </row>
    <row r="79" spans="1:40" ht="15.75" hidden="1" customHeight="1">
      <c r="A79" s="452" t="s">
        <v>285</v>
      </c>
      <c r="B79" s="439" t="s">
        <v>0</v>
      </c>
      <c r="C79" s="548" t="s">
        <v>19</v>
      </c>
      <c r="D79" s="528"/>
      <c r="E79" s="439"/>
      <c r="F79" s="463">
        <f t="array" ref="F79">+INDEX('[3]Budget original'!$A$2:$AO$501,MATCH($A79,'[3]Budget original'!$A$2:$A$501,0),MATCH(F$2,'[3]Budget original'!$A$2:$AO$2,0))</f>
        <v>0</v>
      </c>
      <c r="G79" s="529"/>
      <c r="H79" s="439"/>
      <c r="I79" s="463"/>
      <c r="J79" s="462"/>
      <c r="K79" s="439"/>
      <c r="L79" s="466">
        <f>-SUMIFS([3]BV_Data_An_Cour!$AM:$AM,[3]BV_Data_An_Cour!$AP:$AP,$B79,[3]BV_Data_An_Cour!$AQ:$AQ,$C79,[3]BV_Data_An_Cour!$AR:$AR,L$2)</f>
        <v>0</v>
      </c>
      <c r="M79" s="462"/>
      <c r="N79" s="466">
        <f t="shared" si="20"/>
        <v>0</v>
      </c>
      <c r="O79" s="462"/>
      <c r="P79" s="439"/>
      <c r="Q79" s="466">
        <f>-SUMIFS([3]BV_Data_An_Prec!$AM:$AM,[3]BV_Data_An_Prec!$AP:$AP,$B79,[3]BV_Data_An_Prec!$AQ:$AQ,$C79,[3]BV_Data_An_Prec!$AR:$AR,Q$2)</f>
        <v>0</v>
      </c>
      <c r="R79" s="462"/>
      <c r="S79" s="466">
        <f t="shared" si="21"/>
        <v>0</v>
      </c>
      <c r="T79" s="436"/>
      <c r="U79" s="436"/>
      <c r="V79" s="439"/>
      <c r="W79" s="439"/>
      <c r="X79" s="439"/>
      <c r="Y79" s="439"/>
      <c r="Z79" s="439"/>
      <c r="AA79" s="439"/>
      <c r="AB79" s="439"/>
      <c r="AC79" s="439"/>
      <c r="AD79" s="439"/>
      <c r="AE79" s="439"/>
      <c r="AF79" s="439"/>
      <c r="AG79" s="439"/>
      <c r="AH79" s="439"/>
      <c r="AI79" s="439"/>
      <c r="AJ79" s="439"/>
      <c r="AK79" s="439"/>
      <c r="AL79" s="439"/>
      <c r="AM79" s="439"/>
      <c r="AN79" s="439"/>
    </row>
    <row r="80" spans="1:40" ht="15.75" hidden="1" customHeight="1">
      <c r="A80" s="452" t="s">
        <v>285</v>
      </c>
      <c r="B80" s="439" t="s">
        <v>0</v>
      </c>
      <c r="C80" s="548" t="s">
        <v>19</v>
      </c>
      <c r="D80" s="528"/>
      <c r="E80" s="439"/>
      <c r="F80" s="463">
        <f t="array" ref="F80">+INDEX('[3]Budget original'!$A$2:$AO$501,MATCH($A80,'[3]Budget original'!$A$2:$A$501,0),MATCH(F$2,'[3]Budget original'!$A$2:$AO$2,0))</f>
        <v>0</v>
      </c>
      <c r="G80" s="529"/>
      <c r="H80" s="439"/>
      <c r="I80" s="463"/>
      <c r="J80" s="462"/>
      <c r="K80" s="439"/>
      <c r="L80" s="466">
        <f>-SUMIFS([3]BV_Data_An_Cour!$AM:$AM,[3]BV_Data_An_Cour!$AP:$AP,$B80,[3]BV_Data_An_Cour!$AQ:$AQ,$C80,[3]BV_Data_An_Cour!$AR:$AR,L$2)</f>
        <v>0</v>
      </c>
      <c r="M80" s="462"/>
      <c r="N80" s="466">
        <f t="shared" si="20"/>
        <v>0</v>
      </c>
      <c r="O80" s="462"/>
      <c r="P80" s="439"/>
      <c r="Q80" s="466">
        <f>-SUMIFS([3]BV_Data_An_Prec!$AM:$AM,[3]BV_Data_An_Prec!$AP:$AP,$B80,[3]BV_Data_An_Prec!$AQ:$AQ,$C80,[3]BV_Data_An_Prec!$AR:$AR,Q$2)</f>
        <v>0</v>
      </c>
      <c r="R80" s="462"/>
      <c r="S80" s="466">
        <f t="shared" si="21"/>
        <v>0</v>
      </c>
      <c r="T80" s="436"/>
      <c r="U80" s="436"/>
      <c r="V80" s="439"/>
      <c r="W80" s="439"/>
      <c r="X80" s="439"/>
      <c r="Y80" s="439"/>
      <c r="Z80" s="439"/>
      <c r="AA80" s="439"/>
      <c r="AB80" s="439"/>
      <c r="AC80" s="439"/>
      <c r="AD80" s="439"/>
      <c r="AE80" s="439"/>
      <c r="AF80" s="439"/>
      <c r="AG80" s="439"/>
      <c r="AH80" s="439"/>
      <c r="AI80" s="439"/>
      <c r="AJ80" s="439"/>
      <c r="AK80" s="439"/>
      <c r="AL80" s="439"/>
      <c r="AM80" s="439"/>
      <c r="AN80" s="439"/>
    </row>
    <row r="81" spans="1:40" ht="15.75" hidden="1" customHeight="1">
      <c r="A81" s="452" t="s">
        <v>285</v>
      </c>
      <c r="B81" s="439" t="s">
        <v>0</v>
      </c>
      <c r="C81" s="548" t="s">
        <v>19</v>
      </c>
      <c r="D81" s="528"/>
      <c r="E81" s="439"/>
      <c r="F81" s="463">
        <f t="array" ref="F81">+INDEX('[3]Budget original'!$A$2:$AO$501,MATCH($A81,'[3]Budget original'!$A$2:$A$501,0),MATCH(F$2,'[3]Budget original'!$A$2:$AO$2,0))</f>
        <v>0</v>
      </c>
      <c r="G81" s="529"/>
      <c r="H81" s="439"/>
      <c r="I81" s="463"/>
      <c r="J81" s="462"/>
      <c r="K81" s="439"/>
      <c r="L81" s="466">
        <f>-SUMIFS([3]BV_Data_An_Cour!$AM:$AM,[3]BV_Data_An_Cour!$AP:$AP,$B81,[3]BV_Data_An_Cour!$AQ:$AQ,$C81,[3]BV_Data_An_Cour!$AR:$AR,L$2)</f>
        <v>0</v>
      </c>
      <c r="M81" s="462"/>
      <c r="N81" s="466">
        <f t="shared" si="20"/>
        <v>0</v>
      </c>
      <c r="O81" s="462"/>
      <c r="P81" s="439"/>
      <c r="Q81" s="466">
        <f>-SUMIFS([3]BV_Data_An_Prec!$AM:$AM,[3]BV_Data_An_Prec!$AP:$AP,$B81,[3]BV_Data_An_Prec!$AQ:$AQ,$C81,[3]BV_Data_An_Prec!$AR:$AR,Q$2)</f>
        <v>0</v>
      </c>
      <c r="R81" s="462"/>
      <c r="S81" s="466">
        <f t="shared" si="21"/>
        <v>0</v>
      </c>
      <c r="T81" s="436"/>
      <c r="U81" s="436"/>
      <c r="V81" s="439"/>
      <c r="W81" s="439"/>
      <c r="X81" s="439"/>
      <c r="Y81" s="439"/>
      <c r="Z81" s="439"/>
      <c r="AA81" s="439"/>
      <c r="AB81" s="439"/>
      <c r="AC81" s="439"/>
      <c r="AD81" s="439"/>
      <c r="AE81" s="439"/>
      <c r="AF81" s="439"/>
      <c r="AG81" s="439"/>
      <c r="AH81" s="439"/>
      <c r="AI81" s="439"/>
      <c r="AJ81" s="439"/>
      <c r="AK81" s="439"/>
      <c r="AL81" s="439"/>
      <c r="AM81" s="439"/>
      <c r="AN81" s="439"/>
    </row>
    <row r="82" spans="1:40" ht="15.75" customHeight="1">
      <c r="A82" s="452" t="s">
        <v>336</v>
      </c>
      <c r="B82" s="439" t="s">
        <v>0</v>
      </c>
      <c r="C82" s="462" t="s">
        <v>67</v>
      </c>
      <c r="D82" s="551" t="e">
        <f>E82/499</f>
        <v>#DIV/0!</v>
      </c>
      <c r="E82" s="549" t="e">
        <f>+F82/D24</f>
        <v>#DIV/0!</v>
      </c>
      <c r="F82" s="463">
        <f t="array" ref="F82">+INDEX('[3]Budget original'!$A$2:$AO$501,MATCH($A82,'[3]Budget original'!$A$2:$A$501,0),MATCH(F$2,'[3]Budget original'!$A$2:$AO$2,0))</f>
        <v>0</v>
      </c>
      <c r="G82" s="529"/>
      <c r="H82" s="439"/>
      <c r="I82" s="463"/>
      <c r="J82" s="552">
        <f>K82/699</f>
        <v>0.88071566976331472</v>
      </c>
      <c r="K82" s="549">
        <f>+L82/J24</f>
        <v>615.62025316455697</v>
      </c>
      <c r="L82" s="466">
        <f>-SUMIFS([3]BV_Data_An_Cour!$AM:$AM,[3]BV_Data_An_Cour!$AP:$AP,$B82,[3]BV_Data_An_Cour!$AQ:$AQ,$C82,[3]BV_Data_An_Cour!$AR:$AR,L$2)</f>
        <v>48634</v>
      </c>
      <c r="M82" s="462"/>
      <c r="N82" s="466">
        <f t="shared" si="20"/>
        <v>48634</v>
      </c>
      <c r="O82" s="552">
        <f>P82/699</f>
        <v>0</v>
      </c>
      <c r="P82" s="549">
        <f>+Q82/O24</f>
        <v>0</v>
      </c>
      <c r="Q82" s="466">
        <f>-SUMIFS([3]BV_Data_An_Prec!$AM:$AM,[3]BV_Data_An_Prec!$AP:$AP,$B82,[3]BV_Data_An_Prec!$AQ:$AQ,$C82,[3]BV_Data_An_Prec!$AR:$AR,Q$2)</f>
        <v>0</v>
      </c>
      <c r="R82" s="462"/>
      <c r="S82" s="466">
        <f t="shared" si="21"/>
        <v>48634</v>
      </c>
      <c r="T82" s="436"/>
      <c r="U82" s="6" t="s">
        <v>518</v>
      </c>
      <c r="V82" s="439"/>
      <c r="W82" s="439"/>
      <c r="X82" s="439"/>
      <c r="Y82" s="439"/>
      <c r="Z82" s="439"/>
      <c r="AA82" s="439"/>
      <c r="AB82" s="439"/>
      <c r="AC82" s="439"/>
      <c r="AD82" s="439"/>
      <c r="AE82" s="439"/>
      <c r="AF82" s="439"/>
      <c r="AG82" s="439"/>
      <c r="AH82" s="439"/>
      <c r="AI82" s="439"/>
      <c r="AJ82" s="439"/>
      <c r="AK82" s="439"/>
      <c r="AL82" s="439"/>
      <c r="AM82" s="439"/>
      <c r="AN82" s="439"/>
    </row>
    <row r="83" spans="1:40" ht="18" customHeight="1">
      <c r="A83" s="452" t="s">
        <v>337</v>
      </c>
      <c r="B83" s="439" t="s">
        <v>0</v>
      </c>
      <c r="C83" s="534" t="s">
        <v>68</v>
      </c>
      <c r="D83" s="535"/>
      <c r="E83" s="536"/>
      <c r="F83" s="537">
        <f>+SUM(F75:F82)</f>
        <v>0</v>
      </c>
      <c r="G83" s="538"/>
      <c r="H83" s="536"/>
      <c r="I83" s="537"/>
      <c r="J83" s="538"/>
      <c r="K83" s="536"/>
      <c r="L83" s="537">
        <f>+SUM(L75:L82)</f>
        <v>94019.709999999992</v>
      </c>
      <c r="M83" s="539"/>
      <c r="N83" s="537">
        <f>+SUM(N75:N82)</f>
        <v>94019.709999999992</v>
      </c>
      <c r="O83" s="538"/>
      <c r="P83" s="536"/>
      <c r="Q83" s="537">
        <f>+SUM(Q75:Q82)</f>
        <v>26831.50999999998</v>
      </c>
      <c r="R83" s="540"/>
      <c r="S83" s="537">
        <f>+SUM(S75:S82)</f>
        <v>67188.200000000012</v>
      </c>
      <c r="T83" s="436"/>
      <c r="U83" s="436"/>
      <c r="V83" s="439"/>
      <c r="W83" s="439"/>
      <c r="X83" s="439"/>
      <c r="Y83" s="439"/>
      <c r="Z83" s="439"/>
      <c r="AA83" s="439"/>
      <c r="AB83" s="439"/>
      <c r="AC83" s="439"/>
      <c r="AD83" s="439"/>
      <c r="AE83" s="439"/>
      <c r="AF83" s="439"/>
      <c r="AG83" s="439"/>
      <c r="AH83" s="439"/>
      <c r="AI83" s="439"/>
      <c r="AJ83" s="439"/>
      <c r="AK83" s="439"/>
      <c r="AL83" s="439"/>
      <c r="AM83" s="439"/>
      <c r="AN83" s="439"/>
    </row>
    <row r="84" spans="1:40" ht="15.75" customHeight="1">
      <c r="A84" s="452" t="s">
        <v>0</v>
      </c>
      <c r="B84" s="439" t="s">
        <v>0</v>
      </c>
      <c r="C84" s="553"/>
      <c r="D84" s="554"/>
      <c r="E84" s="555"/>
      <c r="F84" s="556"/>
      <c r="G84" s="557"/>
      <c r="H84" s="555"/>
      <c r="I84" s="556"/>
      <c r="J84" s="558"/>
      <c r="K84" s="559"/>
      <c r="L84" s="556"/>
      <c r="M84" s="558"/>
      <c r="N84" s="560"/>
      <c r="O84" s="558"/>
      <c r="P84" s="559"/>
      <c r="Q84" s="556"/>
      <c r="R84" s="558"/>
      <c r="S84" s="560"/>
      <c r="T84" s="436"/>
      <c r="U84" s="436"/>
      <c r="V84" s="439"/>
      <c r="W84" s="439"/>
      <c r="X84" s="439"/>
      <c r="Y84" s="439"/>
      <c r="Z84" s="439"/>
      <c r="AA84" s="439"/>
      <c r="AB84" s="439"/>
      <c r="AC84" s="439"/>
      <c r="AD84" s="439"/>
      <c r="AE84" s="439"/>
      <c r="AF84" s="439"/>
      <c r="AG84" s="439"/>
      <c r="AH84" s="439"/>
      <c r="AI84" s="439"/>
      <c r="AJ84" s="439"/>
      <c r="AK84" s="439"/>
      <c r="AL84" s="439"/>
      <c r="AM84" s="439"/>
      <c r="AN84" s="439"/>
    </row>
    <row r="85" spans="1:40" ht="18" customHeight="1" thickBot="1">
      <c r="A85" s="452" t="s">
        <v>338</v>
      </c>
      <c r="B85" s="439" t="s">
        <v>0</v>
      </c>
      <c r="C85" s="561" t="s">
        <v>69</v>
      </c>
      <c r="D85" s="562"/>
      <c r="E85" s="563"/>
      <c r="F85" s="564">
        <f>F27-F74+F83</f>
        <v>0</v>
      </c>
      <c r="G85" s="565"/>
      <c r="H85" s="563"/>
      <c r="I85" s="564"/>
      <c r="J85" s="565"/>
      <c r="K85" s="563"/>
      <c r="L85" s="564">
        <f>L27-L74+L83</f>
        <v>279483.86000000872</v>
      </c>
      <c r="M85" s="566"/>
      <c r="N85" s="564">
        <f>N27-N41-N54-N72+N83</f>
        <v>279483.86000000872</v>
      </c>
      <c r="O85" s="565"/>
      <c r="P85" s="563"/>
      <c r="Q85" s="564">
        <f>Q27-Q74+Q83</f>
        <v>360905.44000001217</v>
      </c>
      <c r="R85" s="567"/>
      <c r="S85" s="564">
        <f>S27-S41-S54-S72+S83</f>
        <v>-81421.580000003451</v>
      </c>
      <c r="T85" s="436"/>
      <c r="U85" s="436"/>
      <c r="V85" s="439"/>
      <c r="W85" s="439"/>
      <c r="X85" s="439"/>
      <c r="Y85" s="439"/>
      <c r="Z85" s="439"/>
      <c r="AA85" s="439"/>
      <c r="AB85" s="439"/>
      <c r="AC85" s="439"/>
      <c r="AD85" s="439"/>
      <c r="AE85" s="439"/>
      <c r="AF85" s="439"/>
      <c r="AG85" s="439"/>
      <c r="AH85" s="439"/>
      <c r="AI85" s="439"/>
      <c r="AJ85" s="439"/>
      <c r="AK85" s="439"/>
      <c r="AL85" s="439"/>
      <c r="AM85" s="439"/>
      <c r="AN85" s="439"/>
    </row>
    <row r="86" spans="1:40" ht="15.75" customHeight="1" thickTop="1">
      <c r="B86" s="568"/>
      <c r="C86" s="568"/>
      <c r="D86" s="568"/>
      <c r="E86" s="568"/>
      <c r="F86" s="568"/>
      <c r="G86" s="568"/>
      <c r="H86" s="568"/>
      <c r="I86" s="568"/>
      <c r="J86" s="569"/>
      <c r="K86" s="568"/>
      <c r="L86" s="570"/>
      <c r="M86" s="568"/>
      <c r="N86" s="568"/>
      <c r="O86" s="568"/>
      <c r="P86" s="568"/>
      <c r="Q86" s="571"/>
      <c r="R86" s="568"/>
      <c r="S86" s="568"/>
      <c r="T86" s="436"/>
      <c r="U86" s="436"/>
      <c r="V86" s="568"/>
      <c r="W86" s="568"/>
      <c r="X86" s="568"/>
      <c r="Y86" s="568"/>
      <c r="Z86" s="568"/>
      <c r="AA86" s="568"/>
      <c r="AB86" s="568"/>
      <c r="AC86" s="568"/>
      <c r="AD86" s="568"/>
      <c r="AE86" s="568"/>
      <c r="AF86" s="568"/>
      <c r="AG86" s="568"/>
      <c r="AH86" s="568"/>
      <c r="AI86" s="568"/>
      <c r="AJ86" s="568"/>
      <c r="AK86" s="568"/>
      <c r="AL86" s="568"/>
      <c r="AM86" s="568"/>
      <c r="AN86" s="568"/>
    </row>
    <row r="87" spans="1:40" ht="12.75" customHeight="1">
      <c r="B87" s="568"/>
      <c r="C87" s="568"/>
      <c r="D87" s="568"/>
      <c r="E87" s="568"/>
      <c r="F87" s="568"/>
      <c r="G87" s="568"/>
      <c r="H87" s="568"/>
      <c r="I87" s="571"/>
      <c r="J87" s="568"/>
      <c r="K87" s="568"/>
      <c r="L87" s="568"/>
      <c r="M87" s="568"/>
      <c r="N87" s="568"/>
      <c r="O87" s="568"/>
      <c r="P87" s="568"/>
      <c r="Q87" s="568"/>
      <c r="R87" s="568"/>
      <c r="S87" s="568"/>
      <c r="T87" s="436"/>
      <c r="U87" s="436"/>
      <c r="V87" s="568"/>
      <c r="W87" s="568"/>
      <c r="X87" s="568"/>
      <c r="Y87" s="568"/>
      <c r="Z87" s="568"/>
      <c r="AA87" s="568"/>
      <c r="AB87" s="568"/>
      <c r="AC87" s="568"/>
      <c r="AD87" s="568"/>
      <c r="AE87" s="568"/>
      <c r="AF87" s="568"/>
      <c r="AG87" s="568"/>
      <c r="AH87" s="568"/>
      <c r="AI87" s="568"/>
      <c r="AJ87" s="568"/>
      <c r="AK87" s="568"/>
      <c r="AL87" s="568"/>
      <c r="AM87" s="568"/>
      <c r="AN87" s="568"/>
    </row>
    <row r="88" spans="1:40" ht="15" hidden="1" customHeight="1">
      <c r="B88" s="433"/>
      <c r="C88" s="436"/>
      <c r="D88" s="436"/>
      <c r="E88" s="436"/>
      <c r="F88" s="436"/>
      <c r="G88" s="436"/>
      <c r="H88" s="436"/>
      <c r="I88" s="436"/>
      <c r="J88" s="436"/>
      <c r="K88" s="436"/>
      <c r="L88" s="436"/>
      <c r="M88" s="436"/>
      <c r="N88" s="436"/>
      <c r="O88" s="436"/>
      <c r="P88" s="436"/>
      <c r="Q88" s="436"/>
      <c r="R88" s="436"/>
      <c r="S88" s="436"/>
      <c r="T88" s="436"/>
      <c r="U88" s="436"/>
    </row>
    <row r="89" spans="1:40" ht="33" customHeight="1">
      <c r="B89" s="424"/>
      <c r="C89" s="425" t="str">
        <f>C1</f>
        <v>Ste-Marie Auto</v>
      </c>
      <c r="D89" s="426"/>
      <c r="E89" s="427"/>
      <c r="F89" s="426"/>
      <c r="G89" s="426"/>
      <c r="H89" s="425"/>
      <c r="I89" s="426"/>
      <c r="J89" s="425"/>
      <c r="K89" s="428" t="s">
        <v>70</v>
      </c>
      <c r="L89" s="426"/>
      <c r="M89" s="426"/>
      <c r="N89" s="429"/>
      <c r="O89" s="425"/>
      <c r="P89" s="426"/>
      <c r="Q89" s="425"/>
      <c r="R89" s="426"/>
      <c r="S89" s="430" t="str">
        <f>$S$1</f>
        <v>Réalisé, Septembre 2026</v>
      </c>
      <c r="T89" s="432"/>
      <c r="U89" s="432"/>
      <c r="V89" s="424"/>
      <c r="W89" s="424"/>
      <c r="X89" s="424"/>
      <c r="Y89" s="424"/>
      <c r="Z89" s="424"/>
      <c r="AA89" s="424"/>
      <c r="AB89" s="424"/>
      <c r="AC89" s="424"/>
      <c r="AD89" s="424"/>
      <c r="AE89" s="424"/>
      <c r="AF89" s="424"/>
      <c r="AG89" s="424"/>
      <c r="AH89" s="424"/>
      <c r="AI89" s="424"/>
      <c r="AJ89" s="424"/>
      <c r="AK89" s="424"/>
      <c r="AL89" s="424"/>
      <c r="AM89" s="424"/>
      <c r="AN89" s="424"/>
    </row>
    <row r="90" spans="1:40" ht="15.75" customHeight="1" thickBot="1">
      <c r="B90" s="433"/>
      <c r="C90" s="434"/>
      <c r="D90" s="436"/>
      <c r="E90" s="436"/>
      <c r="F90" s="436"/>
      <c r="G90" s="436"/>
      <c r="H90" s="436"/>
      <c r="I90" s="436"/>
      <c r="J90" s="436"/>
      <c r="K90" s="436"/>
      <c r="L90" s="436"/>
      <c r="M90" s="436"/>
      <c r="N90" s="436"/>
      <c r="O90" s="436"/>
      <c r="P90" s="436"/>
      <c r="Q90" s="436"/>
      <c r="R90" s="436"/>
      <c r="S90" s="436"/>
      <c r="T90" s="436"/>
      <c r="U90" s="436"/>
    </row>
    <row r="91" spans="1:40" ht="15.75" customHeight="1" thickTop="1">
      <c r="B91" s="439"/>
      <c r="C91" s="440"/>
      <c r="D91" s="441" t="s">
        <v>5</v>
      </c>
      <c r="E91" s="442"/>
      <c r="F91" s="443"/>
      <c r="G91" s="444"/>
      <c r="H91" s="442"/>
      <c r="I91" s="443"/>
      <c r="J91" s="444" t="s">
        <v>7</v>
      </c>
      <c r="K91" s="442"/>
      <c r="L91" s="443"/>
      <c r="M91" s="444" t="s">
        <v>211</v>
      </c>
      <c r="N91" s="443"/>
      <c r="O91" s="441" t="s">
        <v>8</v>
      </c>
      <c r="P91" s="442"/>
      <c r="Q91" s="443"/>
      <c r="R91" s="444" t="s">
        <v>212</v>
      </c>
      <c r="S91" s="443"/>
      <c r="T91" s="436"/>
      <c r="U91" s="436"/>
      <c r="V91" s="439"/>
      <c r="W91" s="439"/>
      <c r="X91" s="439"/>
      <c r="Y91" s="439"/>
      <c r="Z91" s="439"/>
      <c r="AA91" s="439"/>
      <c r="AB91" s="439"/>
      <c r="AC91" s="439"/>
      <c r="AD91" s="439"/>
      <c r="AE91" s="439"/>
      <c r="AF91" s="439"/>
      <c r="AG91" s="439"/>
      <c r="AH91" s="439"/>
      <c r="AI91" s="439"/>
      <c r="AJ91" s="439"/>
      <c r="AK91" s="439"/>
      <c r="AL91" s="439"/>
      <c r="AM91" s="439"/>
      <c r="AN91" s="439"/>
    </row>
    <row r="92" spans="1:40" ht="15.75" customHeight="1">
      <c r="B92" s="439"/>
      <c r="C92" s="462"/>
      <c r="D92" s="448" t="s">
        <v>10</v>
      </c>
      <c r="E92" s="449" t="s">
        <v>11</v>
      </c>
      <c r="F92" s="450" t="s">
        <v>12</v>
      </c>
      <c r="G92" s="451"/>
      <c r="H92" s="449"/>
      <c r="I92" s="450"/>
      <c r="J92" s="451" t="s">
        <v>221</v>
      </c>
      <c r="K92" s="449" t="s">
        <v>13</v>
      </c>
      <c r="L92" s="450" t="s">
        <v>12</v>
      </c>
      <c r="M92" s="451" t="s">
        <v>221</v>
      </c>
      <c r="N92" s="450" t="s">
        <v>12</v>
      </c>
      <c r="O92" s="449" t="s">
        <v>10</v>
      </c>
      <c r="P92" s="449" t="s">
        <v>11</v>
      </c>
      <c r="Q92" s="450" t="s">
        <v>12</v>
      </c>
      <c r="R92" s="451" t="s">
        <v>221</v>
      </c>
      <c r="S92" s="450" t="s">
        <v>12</v>
      </c>
      <c r="T92" s="436"/>
      <c r="U92" s="436"/>
      <c r="V92" s="439"/>
      <c r="W92" s="439"/>
      <c r="X92" s="439"/>
      <c r="Y92" s="439"/>
      <c r="Z92" s="439"/>
      <c r="AA92" s="439"/>
      <c r="AB92" s="439"/>
      <c r="AC92" s="439"/>
      <c r="AD92" s="439"/>
      <c r="AE92" s="439"/>
      <c r="AF92" s="439"/>
      <c r="AG92" s="439"/>
      <c r="AH92" s="439"/>
      <c r="AI92" s="439"/>
      <c r="AJ92" s="439"/>
      <c r="AK92" s="439"/>
      <c r="AL92" s="439"/>
      <c r="AM92" s="439"/>
      <c r="AN92" s="439"/>
    </row>
    <row r="93" spans="1:40" ht="24" customHeight="1">
      <c r="A93" s="452" t="s">
        <v>222</v>
      </c>
      <c r="B93" s="439" t="s">
        <v>70</v>
      </c>
      <c r="C93" s="453" t="s">
        <v>14</v>
      </c>
      <c r="D93" s="457"/>
      <c r="E93" s="457"/>
      <c r="F93" s="455">
        <f t="array" ref="F93">+INDEX('[3]Budget original'!$A$2:$AO$501,MATCH($A93,'[3]Budget original'!$A$2:$A$501,0),MATCH(F$2,'[3]Budget original'!$A$2:$AO$2,0))</f>
        <v>0</v>
      </c>
      <c r="G93" s="493"/>
      <c r="H93" s="457"/>
      <c r="I93" s="455"/>
      <c r="J93" s="453"/>
      <c r="K93" s="494"/>
      <c r="L93" s="458">
        <f>-SUMIFS([3]BV_Data_An_Cour!$AM:$AM,[3]BV_Data_An_Cour!$AS:$AS,"Oui",[3]BV_Data_An_Cour!$AP:$AP,$B93)</f>
        <v>1404913.7299999997</v>
      </c>
      <c r="M93" s="572"/>
      <c r="N93" s="573"/>
      <c r="O93" s="453"/>
      <c r="P93" s="494"/>
      <c r="Q93" s="458">
        <f>-SUMIFS([3]BV_Data_An_Prec!$AM:$AM,[3]BV_Data_An_Prec!$AS:$AS,"Oui",[3]BV_Data_An_Prec!$AP:$AP,$B93)</f>
        <v>2798079.140000002</v>
      </c>
      <c r="R93" s="574"/>
      <c r="S93" s="461"/>
      <c r="T93" s="436"/>
      <c r="U93" s="436"/>
      <c r="V93" s="439"/>
      <c r="W93" s="439"/>
      <c r="X93" s="439"/>
      <c r="Y93" s="439"/>
      <c r="Z93" s="439"/>
      <c r="AA93" s="439"/>
      <c r="AB93" s="439"/>
      <c r="AC93" s="439"/>
      <c r="AD93" s="439"/>
      <c r="AE93" s="439"/>
      <c r="AF93" s="439"/>
      <c r="AG93" s="439"/>
      <c r="AH93" s="439"/>
      <c r="AI93" s="439"/>
      <c r="AJ93" s="439"/>
      <c r="AK93" s="439"/>
      <c r="AL93" s="439"/>
      <c r="AM93" s="439"/>
      <c r="AN93" s="439"/>
    </row>
    <row r="94" spans="1:40" ht="21.75" customHeight="1">
      <c r="A94" s="452" t="s">
        <v>224</v>
      </c>
      <c r="B94" s="439" t="s">
        <v>70</v>
      </c>
      <c r="C94" s="462" t="s">
        <v>72</v>
      </c>
      <c r="D94" s="463">
        <f t="array" ref="D94">+INDEX('[3]Budget original'!$A$2:$AO$501,MATCH($A94,'[3]Budget original'!$A$2:$A$501,0),MATCH(D$2,'[3]Budget original'!$A$2:$AO$2,0))</f>
        <v>0</v>
      </c>
      <c r="E94" s="463">
        <f t="shared" ref="E94:E98" si="22">IF(D94=0,0,F94/D94)</f>
        <v>0</v>
      </c>
      <c r="F94" s="463">
        <f t="array" ref="F94">+INDEX('[3]Budget original'!$A$2:$AO$501,MATCH($A94,'[3]Budget original'!$A$2:$A$501,0),MATCH(F$2,'[3]Budget original'!$A$2:$AO$2,0))</f>
        <v>0</v>
      </c>
      <c r="G94" s="464"/>
      <c r="H94" s="463"/>
      <c r="I94" s="463"/>
      <c r="J94" s="464">
        <f>SUMIFS([3]BV_Data_An_Cour!$AW:$AW,[3]BV_Data_An_Cour!$AP:$AP,$B94,[3]BV_Data_An_Cour!$AQ:$AQ,$C94,[3]BV_Data_An_Cour!$AY:$AY,J$2)</f>
        <v>0</v>
      </c>
      <c r="K94" s="465">
        <f t="shared" ref="K94:K96" si="23">IF(J94=0,0,L94/J94)</f>
        <v>0</v>
      </c>
      <c r="L94" s="466">
        <f>-SUMIFS([3]BV_Data_An_Cour!$AM:$AM,[3]BV_Data_An_Cour!$AP:$AP,$B94,[3]BV_Data_An_Cour!$AQ:$AQ,$C94,[3]BV_Data_An_Cour!$AR:$AR,$L2)</f>
        <v>0</v>
      </c>
      <c r="M94" s="464">
        <f t="shared" ref="M94:M97" si="24">J94-D94</f>
        <v>0</v>
      </c>
      <c r="N94" s="467">
        <f t="shared" ref="N94:N97" si="25">L94-F94</f>
        <v>0</v>
      </c>
      <c r="O94" s="464">
        <f>SUMIFS([3]BV_Data_An_Prec!$AW:$AW,[3]BV_Data_An_Prec!$AP:$AP,$B94,[3]BV_Data_An_Prec!$AQ:$AQ,$C94,[3]BV_Data_An_Prec!$AY:$AY,O$2)</f>
        <v>0</v>
      </c>
      <c r="P94" s="465">
        <f t="shared" ref="P94:P96" si="26">IF(O94=0,0,Q94/O94)</f>
        <v>0</v>
      </c>
      <c r="Q94" s="466">
        <f>-SUMIFS([3]BV_Data_An_Prec!$AM:$AM,[3]BV_Data_An_Prec!$AP:$AP,$B94,[3]BV_Data_An_Prec!$AQ:$AQ,$C94,[3]BV_Data_An_Prec!$AR:$AR,$L2)</f>
        <v>0</v>
      </c>
      <c r="R94" s="464">
        <f t="shared" ref="R94:R96" si="27">J94-O94</f>
        <v>0</v>
      </c>
      <c r="S94" s="466">
        <f t="shared" ref="S94:S96" si="28">L94-Q94</f>
        <v>0</v>
      </c>
      <c r="T94" s="436"/>
      <c r="U94" s="436"/>
      <c r="V94" s="439"/>
      <c r="W94" s="439"/>
      <c r="X94" s="439"/>
      <c r="Y94" s="439"/>
      <c r="Z94" s="439"/>
      <c r="AA94" s="439"/>
      <c r="AB94" s="439"/>
      <c r="AC94" s="439"/>
      <c r="AD94" s="439"/>
      <c r="AE94" s="439"/>
      <c r="AF94" s="439"/>
      <c r="AG94" s="439"/>
      <c r="AH94" s="439"/>
      <c r="AI94" s="439"/>
      <c r="AJ94" s="439"/>
      <c r="AK94" s="439"/>
      <c r="AL94" s="439"/>
      <c r="AM94" s="439"/>
      <c r="AN94" s="439"/>
    </row>
    <row r="95" spans="1:40" ht="18.75" customHeight="1">
      <c r="A95" s="452" t="s">
        <v>226</v>
      </c>
      <c r="B95" s="439" t="s">
        <v>70</v>
      </c>
      <c r="C95" s="462" t="s">
        <v>73</v>
      </c>
      <c r="D95" s="463">
        <f t="array" ref="D95">+INDEX('[3]Budget original'!$A$2:$AO$501,MATCH($A95,'[3]Budget original'!$A$2:$A$501,0),MATCH(D$2,'[3]Budget original'!$A$2:$AO$2,0))</f>
        <v>0</v>
      </c>
      <c r="E95" s="463">
        <f t="shared" si="22"/>
        <v>0</v>
      </c>
      <c r="F95" s="463">
        <f t="array" ref="F95">+INDEX('[3]Budget original'!$A$2:$AO$501,MATCH($A95,'[3]Budget original'!$A$2:$A$501,0),MATCH(F$2,'[3]Budget original'!$A$2:$AO$2,0))</f>
        <v>0</v>
      </c>
      <c r="G95" s="464"/>
      <c r="H95" s="463"/>
      <c r="I95" s="463"/>
      <c r="J95" s="464">
        <f>SUMIFS([3]BV_Data_An_Cour!$AW:$AW,[3]BV_Data_An_Cour!$AP:$AP,$B95,[3]BV_Data_An_Cour!$AQ:$AQ,$C95,[3]BV_Data_An_Cour!$AY:$AY,J$2)</f>
        <v>22</v>
      </c>
      <c r="K95" s="465">
        <f t="shared" si="23"/>
        <v>1635.4431818181765</v>
      </c>
      <c r="L95" s="466">
        <f>-SUMIFS([3]BV_Data_An_Cour!$AM:$AM,[3]BV_Data_An_Cour!$AP:$AP,$B95,[3]BV_Data_An_Cour!$AQ:$AQ,$C95,[3]BV_Data_An_Cour!$AR:$AR,$L2)</f>
        <v>35979.749999999884</v>
      </c>
      <c r="M95" s="464">
        <f t="shared" si="24"/>
        <v>22</v>
      </c>
      <c r="N95" s="467">
        <f t="shared" si="25"/>
        <v>35979.749999999884</v>
      </c>
      <c r="O95" s="464">
        <f>SUMIFS([3]BV_Data_An_Prec!$AW:$AW,[3]BV_Data_An_Prec!$AP:$AP,$B95,[3]BV_Data_An_Prec!$AQ:$AQ,$C95,[3]BV_Data_An_Prec!$AY:$AY,O$2)</f>
        <v>14</v>
      </c>
      <c r="P95" s="465">
        <f t="shared" si="26"/>
        <v>262.2285714285598</v>
      </c>
      <c r="Q95" s="466">
        <f>-SUMIFS([3]BV_Data_An_Prec!$AM:$AM,[3]BV_Data_An_Prec!$AP:$AP,$B95,[3]BV_Data_An_Prec!$AQ:$AQ,$C95,[3]BV_Data_An_Prec!$AR:$AR,$L2)</f>
        <v>3671.199999999837</v>
      </c>
      <c r="R95" s="464">
        <f t="shared" si="27"/>
        <v>8</v>
      </c>
      <c r="S95" s="466">
        <f t="shared" si="28"/>
        <v>32308.550000000047</v>
      </c>
      <c r="T95" s="436"/>
      <c r="U95" s="436" t="s">
        <v>506</v>
      </c>
      <c r="V95" s="439"/>
      <c r="W95" s="439"/>
      <c r="X95" s="439"/>
      <c r="Y95" s="439"/>
      <c r="Z95" s="439"/>
      <c r="AA95" s="439"/>
      <c r="AB95" s="439"/>
      <c r="AC95" s="439"/>
      <c r="AD95" s="439"/>
      <c r="AE95" s="439"/>
      <c r="AF95" s="439"/>
      <c r="AG95" s="439"/>
      <c r="AH95" s="439"/>
      <c r="AI95" s="439"/>
      <c r="AJ95" s="439"/>
      <c r="AK95" s="439"/>
      <c r="AL95" s="439"/>
      <c r="AM95" s="439"/>
      <c r="AN95" s="439"/>
    </row>
    <row r="96" spans="1:40" ht="18.75" customHeight="1">
      <c r="A96" s="452" t="str">
        <f t="shared" ref="A96:A100" si="29">B96&amp;C96</f>
        <v>Véhicules usagésAutres Marques</v>
      </c>
      <c r="B96" s="439" t="s">
        <v>70</v>
      </c>
      <c r="C96" s="462" t="s">
        <v>339</v>
      </c>
      <c r="D96" s="463">
        <f t="array" ref="D96">+INDEX('[3]Budget original'!$A$2:$AO$501,MATCH($A96,'[3]Budget original'!$A$2:$A$501,0),MATCH(D$2,'[3]Budget original'!$A$2:$AO$2,0))</f>
        <v>0</v>
      </c>
      <c r="E96" s="457">
        <f t="shared" si="22"/>
        <v>0</v>
      </c>
      <c r="F96" s="463">
        <f t="array" ref="F96">+INDEX('[3]Budget original'!$A$2:$AO$501,MATCH($A96,'[3]Budget original'!$A$2:$A$501,0),MATCH(F$2,'[3]Budget original'!$A$2:$AO$2,0))</f>
        <v>0</v>
      </c>
      <c r="G96" s="464"/>
      <c r="H96" s="463"/>
      <c r="I96" s="463"/>
      <c r="J96" s="464">
        <f>SUMIFS([3]BV_Data_An_Cour!$AW:$AW,[3]BV_Data_An_Cour!$AP:$AP,$B96,[3]BV_Data_An_Cour!$AQ:$AQ,$C96,[3]BV_Data_An_Cour!$AY:$AY,J$2)</f>
        <v>0</v>
      </c>
      <c r="K96" s="494">
        <f t="shared" si="23"/>
        <v>0</v>
      </c>
      <c r="L96" s="466">
        <f>-SUMIFS([3]BV_Data_An_Cour!$AM:$AM,[3]BV_Data_An_Cour!$AP:$AP,$B96,[3]BV_Data_An_Cour!$AQ:$AQ,$C96,[3]BV_Data_An_Cour!$AR:$AR,$L2)</f>
        <v>0</v>
      </c>
      <c r="M96" s="464">
        <f t="shared" si="24"/>
        <v>0</v>
      </c>
      <c r="N96" s="467">
        <f t="shared" si="25"/>
        <v>0</v>
      </c>
      <c r="O96" s="464">
        <f>SUMIFS([3]BV_Data_An_Prec!$AW:$AW,[3]BV_Data_An_Prec!$AP:$AP,$B96,[3]BV_Data_An_Prec!$AQ:$AQ,$C96,[3]BV_Data_An_Prec!$AY:$AY,O$2)</f>
        <v>0</v>
      </c>
      <c r="P96" s="494">
        <f t="shared" si="26"/>
        <v>0</v>
      </c>
      <c r="Q96" s="466">
        <f>-SUMIFS([3]BV_Data_An_Prec!$AM:$AM,[3]BV_Data_An_Prec!$AP:$AP,$B96,[3]BV_Data_An_Prec!$AQ:$AQ,$C96,[3]BV_Data_An_Prec!$AR:$AR,$L2)</f>
        <v>0</v>
      </c>
      <c r="R96" s="464">
        <f t="shared" si="27"/>
        <v>0</v>
      </c>
      <c r="S96" s="466">
        <f t="shared" si="28"/>
        <v>0</v>
      </c>
      <c r="T96" s="436"/>
      <c r="U96" s="436"/>
      <c r="V96" s="439"/>
      <c r="W96" s="439"/>
      <c r="X96" s="439"/>
      <c r="Y96" s="439"/>
      <c r="Z96" s="439"/>
      <c r="AA96" s="439"/>
      <c r="AB96" s="439"/>
      <c r="AC96" s="439"/>
      <c r="AD96" s="439"/>
      <c r="AE96" s="439"/>
      <c r="AF96" s="439"/>
      <c r="AG96" s="439"/>
      <c r="AH96" s="439"/>
      <c r="AI96" s="439"/>
      <c r="AJ96" s="439"/>
      <c r="AK96" s="439"/>
      <c r="AL96" s="439"/>
      <c r="AM96" s="439"/>
      <c r="AN96" s="439"/>
    </row>
    <row r="97" spans="1:40" ht="15.75" customHeight="1">
      <c r="A97" s="452" t="str">
        <f t="shared" si="29"/>
        <v>Véhicules usagésTotal Usagés</v>
      </c>
      <c r="B97" s="439" t="s">
        <v>70</v>
      </c>
      <c r="C97" s="472" t="s">
        <v>74</v>
      </c>
      <c r="D97" s="473">
        <f>+D95+D94+D96</f>
        <v>0</v>
      </c>
      <c r="E97" s="482">
        <f t="shared" si="22"/>
        <v>0</v>
      </c>
      <c r="F97" s="474">
        <f>+F94+F95+F96</f>
        <v>0</v>
      </c>
      <c r="G97" s="475"/>
      <c r="H97" s="473"/>
      <c r="I97" s="474"/>
      <c r="J97" s="475">
        <f>+J94+J95+J96</f>
        <v>22</v>
      </c>
      <c r="K97" s="484">
        <f>IF(J97&lt;=0,0,L97/J97)</f>
        <v>1635.4431818181765</v>
      </c>
      <c r="L97" s="477">
        <f>+L94+L95+L96</f>
        <v>35979.749999999884</v>
      </c>
      <c r="M97" s="475">
        <f t="shared" si="24"/>
        <v>22</v>
      </c>
      <c r="N97" s="474">
        <f t="shared" si="25"/>
        <v>35979.749999999884</v>
      </c>
      <c r="O97" s="473">
        <f>+O94+O95+O96</f>
        <v>14</v>
      </c>
      <c r="P97" s="484">
        <f>IF(O97&lt;=0,0,Q97/O97)</f>
        <v>262.2285714285598</v>
      </c>
      <c r="Q97" s="477">
        <f>+Q94+Q95+Q96</f>
        <v>3671.199999999837</v>
      </c>
      <c r="R97" s="475">
        <f t="shared" ref="R97:S97" si="30">R94+R95</f>
        <v>8</v>
      </c>
      <c r="S97" s="477">
        <f t="shared" si="30"/>
        <v>32308.550000000047</v>
      </c>
      <c r="T97" s="436">
        <v>22</v>
      </c>
      <c r="U97" s="478">
        <v>35980</v>
      </c>
      <c r="V97" s="479">
        <f>L97-U97</f>
        <v>-0.25000000011641532</v>
      </c>
      <c r="W97" s="439"/>
      <c r="X97" s="439"/>
      <c r="Y97" s="439"/>
      <c r="Z97" s="439"/>
      <c r="AA97" s="439"/>
      <c r="AB97" s="439"/>
      <c r="AC97" s="465"/>
      <c r="AD97" s="465"/>
      <c r="AE97" s="439"/>
      <c r="AF97" s="465"/>
      <c r="AG97" s="439"/>
      <c r="AH97" s="439"/>
      <c r="AI97" s="439"/>
      <c r="AJ97" s="439"/>
      <c r="AK97" s="439"/>
      <c r="AL97" s="439"/>
      <c r="AM97" s="439"/>
      <c r="AN97" s="439"/>
    </row>
    <row r="98" spans="1:40" ht="15.75" customHeight="1">
      <c r="A98" s="452" t="str">
        <f t="shared" si="29"/>
        <v>Véhicules usagés</v>
      </c>
      <c r="B98" s="439" t="s">
        <v>70</v>
      </c>
      <c r="C98" s="480"/>
      <c r="D98" s="481"/>
      <c r="E98" s="482">
        <f t="shared" si="22"/>
        <v>0</v>
      </c>
      <c r="F98" s="483"/>
      <c r="G98" s="480"/>
      <c r="H98" s="481"/>
      <c r="I98" s="483"/>
      <c r="J98" s="480"/>
      <c r="K98" s="484"/>
      <c r="L98" s="485"/>
      <c r="M98" s="575"/>
      <c r="N98" s="576"/>
      <c r="O98" s="480"/>
      <c r="P98" s="484"/>
      <c r="Q98" s="485"/>
      <c r="R98" s="486">
        <f>R97/O97</f>
        <v>0.5714285714285714</v>
      </c>
      <c r="S98" s="488">
        <f>IF(Q97=0,0,(S97/Q97))</f>
        <v>8.8005420570934518</v>
      </c>
      <c r="T98" s="436"/>
      <c r="U98" s="478"/>
      <c r="V98" s="479"/>
      <c r="W98" s="439"/>
      <c r="X98" s="439"/>
      <c r="Y98" s="439"/>
      <c r="Z98" s="439"/>
      <c r="AA98" s="439"/>
      <c r="AB98" s="439"/>
      <c r="AC98" s="439"/>
      <c r="AD98" s="439"/>
      <c r="AE98" s="439"/>
      <c r="AF98" s="439"/>
      <c r="AG98" s="439"/>
      <c r="AH98" s="439"/>
      <c r="AI98" s="439"/>
      <c r="AJ98" s="439"/>
      <c r="AK98" s="439"/>
      <c r="AL98" s="439"/>
      <c r="AM98" s="439"/>
      <c r="AN98" s="439"/>
    </row>
    <row r="99" spans="1:40" ht="15.75" customHeight="1">
      <c r="A99" s="452" t="str">
        <f t="shared" si="29"/>
        <v>Véhicules usagésRachat bail</v>
      </c>
      <c r="B99" s="439" t="s">
        <v>70</v>
      </c>
      <c r="C99" s="480" t="s">
        <v>23</v>
      </c>
      <c r="D99" s="463"/>
      <c r="E99" s="463"/>
      <c r="F99" s="463"/>
      <c r="G99" s="464"/>
      <c r="H99" s="463"/>
      <c r="I99" s="463"/>
      <c r="J99" s="464"/>
      <c r="K99" s="465">
        <f>IF(J99=0,0,L99/J99)</f>
        <v>0</v>
      </c>
      <c r="L99" s="466">
        <f>-SUMIFS([3]BV_Data_An_Cour!$AM:$AM,[3]BV_Data_An_Cour!$AP:$AP,$B99,[3]BV_Data_An_Cour!$AQ:$AQ,$C99,[3]BV_Data_An_Cour!$AR:$AR,L$2)</f>
        <v>0</v>
      </c>
      <c r="M99" s="464">
        <f>J99-D99</f>
        <v>0</v>
      </c>
      <c r="N99" s="467">
        <f>L99-F99</f>
        <v>0</v>
      </c>
      <c r="O99" s="464"/>
      <c r="P99" s="465">
        <f>IF(O99=0,0,Q99/O99)</f>
        <v>0</v>
      </c>
      <c r="Q99" s="466">
        <f>-SUMIFS([3]BV_Data_An_Prec!$AM:$AM,[3]BV_Data_An_Prec!$AP:$AP,$B99,[3]BV_Data_An_Prec!$AQ:$AQ,$C99,[3]BV_Data_An_Prec!$AR:$AR,Q$2)</f>
        <v>0</v>
      </c>
      <c r="R99" s="464">
        <f>J99-O99</f>
        <v>0</v>
      </c>
      <c r="S99" s="466">
        <f>L99-Q99</f>
        <v>0</v>
      </c>
      <c r="T99" s="436"/>
      <c r="U99" s="478"/>
      <c r="V99" s="479"/>
      <c r="W99" s="439"/>
      <c r="X99" s="439"/>
      <c r="Y99" s="439"/>
      <c r="Z99" s="439"/>
      <c r="AA99" s="439"/>
      <c r="AB99" s="439"/>
      <c r="AC99" s="439"/>
      <c r="AD99" s="439"/>
      <c r="AE99" s="439"/>
      <c r="AF99" s="439"/>
      <c r="AG99" s="439"/>
      <c r="AH99" s="439"/>
      <c r="AI99" s="439"/>
      <c r="AJ99" s="439"/>
      <c r="AK99" s="439"/>
      <c r="AL99" s="439"/>
      <c r="AM99" s="439"/>
      <c r="AN99" s="439"/>
    </row>
    <row r="100" spans="1:40" ht="15.75" customHeight="1">
      <c r="A100" s="452" t="str">
        <f t="shared" si="29"/>
        <v>Véhicules usagés</v>
      </c>
      <c r="B100" s="439" t="s">
        <v>70</v>
      </c>
      <c r="C100" s="480"/>
      <c r="D100" s="463"/>
      <c r="E100" s="463"/>
      <c r="F100" s="463"/>
      <c r="G100" s="464"/>
      <c r="H100" s="463"/>
      <c r="I100" s="463"/>
      <c r="J100" s="464"/>
      <c r="K100" s="465"/>
      <c r="L100" s="466"/>
      <c r="M100" s="464"/>
      <c r="N100" s="467"/>
      <c r="O100" s="464"/>
      <c r="P100" s="465"/>
      <c r="Q100" s="466"/>
      <c r="R100" s="464"/>
      <c r="S100" s="466"/>
      <c r="T100" s="436"/>
      <c r="U100" s="478"/>
      <c r="V100" s="479"/>
      <c r="W100" s="463"/>
      <c r="X100" s="463"/>
      <c r="Y100" s="439"/>
      <c r="Z100" s="439"/>
      <c r="AA100" s="439"/>
      <c r="AB100" s="439"/>
      <c r="AC100" s="439"/>
      <c r="AD100" s="439"/>
      <c r="AE100" s="439"/>
      <c r="AF100" s="439"/>
      <c r="AG100" s="439"/>
      <c r="AH100" s="439"/>
      <c r="AI100" s="439"/>
      <c r="AJ100" s="439"/>
      <c r="AK100" s="439"/>
      <c r="AL100" s="439"/>
      <c r="AM100" s="439"/>
      <c r="AN100" s="439"/>
    </row>
    <row r="101" spans="1:40" ht="15.75" customHeight="1">
      <c r="A101" s="452" t="s">
        <v>340</v>
      </c>
      <c r="B101" s="439" t="s">
        <v>70</v>
      </c>
      <c r="C101" s="480" t="s">
        <v>75</v>
      </c>
      <c r="D101" s="463">
        <f t="array" ref="D101">+INDEX('[3]Budget original'!$A$2:$AO$501,MATCH($A101,'[3]Budget original'!$A$2:$A$501,0),MATCH(D$2,'[3]Budget original'!$A$2:$AO$2,0))</f>
        <v>0</v>
      </c>
      <c r="E101" s="463">
        <f>IF(D101=0,0,F101/D101)</f>
        <v>0</v>
      </c>
      <c r="F101" s="463">
        <f t="array" ref="F101">+INDEX('[3]Budget original'!$A$2:$AO$501,MATCH($A101,'[3]Budget original'!$A$2:$A$501,0),MATCH(F$2,'[3]Budget original'!$A$2:$AO$2,0))</f>
        <v>0</v>
      </c>
      <c r="G101" s="464"/>
      <c r="H101" s="463"/>
      <c r="I101" s="463"/>
      <c r="J101" s="464">
        <f>SUMIFS([3]BV_Data_An_Cour!$AW:$AW,[3]BV_Data_An_Cour!$AP:$AP,$B101,[3]BV_Data_An_Cour!$AQ:$AQ,$C101,[3]BV_Data_An_Cour!$AY:$AY,J$2)</f>
        <v>23</v>
      </c>
      <c r="K101" s="465">
        <f>IF(J101=0,0,L101/J101)</f>
        <v>-126.60695652173752</v>
      </c>
      <c r="L101" s="466">
        <f>-SUMIFS([3]BV_Data_An_Cour!$AM:$AM,[3]BV_Data_An_Cour!$AP:$AP,$B101,[3]BV_Data_An_Cour!$AQ:$AQ,$C101,[3]BV_Data_An_Cour!$AR:$AR,L$2)</f>
        <v>-2911.9599999999627</v>
      </c>
      <c r="M101" s="464">
        <f>J101-D101</f>
        <v>23</v>
      </c>
      <c r="N101" s="467">
        <f>L101-F101</f>
        <v>-2911.9599999999627</v>
      </c>
      <c r="O101" s="464">
        <f>SUMIFS([3]BV_Data_An_Prec!$AW:$AW,[3]BV_Data_An_Prec!$AP:$AP,$B101,[3]BV_Data_An_Prec!$AQ:$AQ,$C101,[3]BV_Data_An_Prec!$AY:$AY,O$2)</f>
        <v>65</v>
      </c>
      <c r="P101" s="465">
        <f>IF(O101=0,0,Q101/O101)</f>
        <v>1596.9832307692545</v>
      </c>
      <c r="Q101" s="466">
        <f>-SUMIFS([3]BV_Data_An_Prec!$AM:$AM,[3]BV_Data_An_Prec!$AP:$AP,$B101,[3]BV_Data_An_Prec!$AQ:$AQ,$C101,[3]BV_Data_An_Prec!$AR:$AR,Q$2)</f>
        <v>103803.91000000155</v>
      </c>
      <c r="R101" s="468">
        <f>J101-O101</f>
        <v>-42</v>
      </c>
      <c r="S101" s="466">
        <f>L101-Q101</f>
        <v>-106715.87000000151</v>
      </c>
      <c r="T101" s="436">
        <v>23</v>
      </c>
      <c r="U101" s="478">
        <v>-2912</v>
      </c>
      <c r="V101" s="479">
        <f>L101-U101</f>
        <v>4.0000000037252903E-2</v>
      </c>
      <c r="W101" s="439"/>
      <c r="X101" s="439"/>
      <c r="Y101" s="439"/>
      <c r="Z101" s="439"/>
      <c r="AA101" s="439"/>
      <c r="AB101" s="439"/>
      <c r="AC101" s="465"/>
      <c r="AD101" s="439"/>
      <c r="AE101" s="439"/>
      <c r="AF101" s="577"/>
      <c r="AG101" s="439"/>
      <c r="AH101" s="439"/>
      <c r="AI101" s="439"/>
      <c r="AJ101" s="439"/>
      <c r="AK101" s="439"/>
      <c r="AL101" s="439"/>
      <c r="AM101" s="439"/>
      <c r="AN101" s="439"/>
    </row>
    <row r="102" spans="1:40" ht="15.75" customHeight="1">
      <c r="A102" s="452" t="s">
        <v>70</v>
      </c>
      <c r="B102" s="439" t="s">
        <v>70</v>
      </c>
      <c r="C102" s="453"/>
      <c r="D102" s="457"/>
      <c r="E102" s="457"/>
      <c r="F102" s="455"/>
      <c r="G102" s="493"/>
      <c r="H102" s="457"/>
      <c r="I102" s="455"/>
      <c r="J102" s="493"/>
      <c r="K102" s="494"/>
      <c r="L102" s="458"/>
      <c r="M102" s="492"/>
      <c r="N102" s="491"/>
      <c r="O102" s="493"/>
      <c r="P102" s="494"/>
      <c r="Q102" s="458"/>
      <c r="R102" s="492"/>
      <c r="S102" s="578"/>
      <c r="T102" s="436"/>
      <c r="U102" s="478"/>
      <c r="V102" s="479"/>
      <c r="W102" s="463"/>
      <c r="X102" s="439"/>
      <c r="Y102" s="439"/>
      <c r="Z102" s="439"/>
      <c r="AA102" s="439"/>
      <c r="AB102" s="439"/>
      <c r="AC102" s="439"/>
      <c r="AD102" s="439"/>
      <c r="AE102" s="439"/>
      <c r="AF102" s="577"/>
      <c r="AG102" s="439"/>
      <c r="AH102" s="439"/>
      <c r="AI102" s="439"/>
      <c r="AJ102" s="439"/>
      <c r="AK102" s="439"/>
      <c r="AL102" s="439"/>
      <c r="AM102" s="439"/>
      <c r="AN102" s="439"/>
    </row>
    <row r="103" spans="1:40" ht="15.75" customHeight="1">
      <c r="A103" s="452" t="s">
        <v>341</v>
      </c>
      <c r="B103" s="439" t="s">
        <v>70</v>
      </c>
      <c r="C103" s="462" t="s">
        <v>24</v>
      </c>
      <c r="D103" s="463">
        <f t="array" ref="D103">+INDEX('[3]Budget original'!$A$2:$AO$501,MATCH($A103,'[3]Budget original'!$A$2:$A$501,0),MATCH(D$2,'[3]Budget original'!$A$2:$AO$2,0))</f>
        <v>0</v>
      </c>
      <c r="E103" s="463">
        <f t="shared" ref="E103:E106" si="31">IF(D103=0,0,F103/D103)</f>
        <v>0</v>
      </c>
      <c r="F103" s="467">
        <f t="array" ref="F103">+INDEX('[3]Budget original'!$A$2:$AO$501,MATCH($A103,'[3]Budget original'!$A$2:$A$501,0),MATCH(F$2,'[3]Budget original'!$A$2:$AO$2,0))</f>
        <v>0</v>
      </c>
      <c r="G103" s="464"/>
      <c r="H103" s="463"/>
      <c r="I103" s="463"/>
      <c r="J103" s="464"/>
      <c r="K103" s="465">
        <f>IF(J97=0,0,L103/J97)</f>
        <v>212.73363636363635</v>
      </c>
      <c r="L103" s="466">
        <f>-SUMIFS([3]BV_Data_An_Cour!$AM:$AM,[3]BV_Data_An_Cour!$AP:$AP,$B103,[3]BV_Data_An_Cour!$AQ:$AQ,$C103,[3]BV_Data_An_Cour!$AR:$AR,$L2)</f>
        <v>4680.1399999999994</v>
      </c>
      <c r="M103" s="464"/>
      <c r="N103" s="467">
        <f t="shared" ref="N103:N106" si="32">L103-F103</f>
        <v>4680.1399999999994</v>
      </c>
      <c r="O103" s="464"/>
      <c r="P103" s="465">
        <f>IF(O97=0,0,Q103/O97)</f>
        <v>331.59928571428566</v>
      </c>
      <c r="Q103" s="466">
        <f>-SUMIFS([3]BV_Data_An_Prec!$AM:$AM,[3]BV_Data_An_Prec!$AP:$AP,$B103,[3]BV_Data_An_Prec!$AQ:$AQ,$C103,[3]BV_Data_An_Prec!$AR:$AR,$L2)</f>
        <v>4642.3899999999994</v>
      </c>
      <c r="R103" s="468">
        <f t="shared" ref="R103:R106" si="33">P103-K103</f>
        <v>118.86564935064931</v>
      </c>
      <c r="S103" s="466">
        <f t="shared" ref="S103:S106" si="34">L103-Q103</f>
        <v>37.75</v>
      </c>
      <c r="T103" s="436"/>
      <c r="U103" s="478"/>
      <c r="V103" s="479"/>
      <c r="W103" s="439"/>
      <c r="X103" s="439"/>
      <c r="Y103" s="439"/>
      <c r="Z103" s="439"/>
      <c r="AA103" s="439"/>
      <c r="AB103" s="439"/>
      <c r="AC103" s="439"/>
      <c r="AD103" s="439"/>
      <c r="AE103" s="439"/>
      <c r="AF103" s="439"/>
      <c r="AG103" s="439"/>
      <c r="AH103" s="439"/>
      <c r="AI103" s="439"/>
      <c r="AJ103" s="439"/>
      <c r="AK103" s="439"/>
      <c r="AL103" s="439"/>
      <c r="AM103" s="439"/>
      <c r="AN103" s="439"/>
    </row>
    <row r="104" spans="1:40" ht="15.75" customHeight="1">
      <c r="A104" s="452" t="s">
        <v>342</v>
      </c>
      <c r="B104" s="439" t="s">
        <v>70</v>
      </c>
      <c r="C104" s="462" t="s">
        <v>25</v>
      </c>
      <c r="D104" s="463">
        <f t="array" ref="D104">+INDEX('[3]Budget original'!$A$2:$AO$501,MATCH($A104,'[3]Budget original'!$A$2:$A$501,0),MATCH(D$2,'[3]Budget original'!$A$2:$AO$2,0))</f>
        <v>0</v>
      </c>
      <c r="E104" s="463">
        <f t="shared" si="31"/>
        <v>0</v>
      </c>
      <c r="F104" s="467">
        <f t="array" ref="F104">+INDEX('[3]Budget original'!$A$2:$AO$501,MATCH($A104,'[3]Budget original'!$A$2:$A$501,0),MATCH(F$2,'[3]Budget original'!$A$2:$AO$2,0))</f>
        <v>0</v>
      </c>
      <c r="G104" s="464"/>
      <c r="H104" s="463"/>
      <c r="I104" s="463"/>
      <c r="J104" s="464"/>
      <c r="K104" s="465">
        <f>IF(J97=0,0,L104/J97)</f>
        <v>90.909090909090907</v>
      </c>
      <c r="L104" s="466">
        <f>-SUMIFS([3]BV_Data_An_Cour!$AM:$AM,[3]BV_Data_An_Cour!$AP:$AP,$B104,[3]BV_Data_An_Cour!$AQ:$AQ,$C104,[3]BV_Data_An_Cour!$AR:$AR,$L2)</f>
        <v>2000</v>
      </c>
      <c r="M104" s="464"/>
      <c r="N104" s="467">
        <f t="shared" si="32"/>
        <v>2000</v>
      </c>
      <c r="O104" s="464"/>
      <c r="P104" s="465">
        <f>IF(O97=0,0,Q104/O97)</f>
        <v>697.64285714285711</v>
      </c>
      <c r="Q104" s="466">
        <f>-SUMIFS([3]BV_Data_An_Prec!$AM:$AM,[3]BV_Data_An_Prec!$AP:$AP,$B104,[3]BV_Data_An_Prec!$AQ:$AQ,$C104,[3]BV_Data_An_Prec!$AR:$AR,$L2)</f>
        <v>9767</v>
      </c>
      <c r="R104" s="468">
        <f t="shared" si="33"/>
        <v>606.73376623376623</v>
      </c>
      <c r="S104" s="466">
        <f t="shared" si="34"/>
        <v>-7767</v>
      </c>
      <c r="T104" s="436"/>
      <c r="U104" s="478"/>
      <c r="V104" s="479"/>
      <c r="W104" s="439"/>
      <c r="X104" s="439"/>
      <c r="Y104" s="439"/>
      <c r="Z104" s="439"/>
      <c r="AA104" s="439"/>
      <c r="AB104" s="439"/>
      <c r="AC104" s="439"/>
      <c r="AD104" s="439"/>
      <c r="AE104" s="439"/>
      <c r="AF104" s="439"/>
      <c r="AG104" s="439"/>
      <c r="AH104" s="439"/>
      <c r="AI104" s="439"/>
      <c r="AJ104" s="439"/>
      <c r="AK104" s="439"/>
      <c r="AL104" s="439"/>
      <c r="AM104" s="439"/>
      <c r="AN104" s="439"/>
    </row>
    <row r="105" spans="1:40" ht="15.75" customHeight="1">
      <c r="A105" s="452" t="s">
        <v>343</v>
      </c>
      <c r="B105" s="439" t="s">
        <v>70</v>
      </c>
      <c r="C105" s="462" t="s">
        <v>26</v>
      </c>
      <c r="D105" s="463">
        <f t="array" ref="D105">+INDEX('[3]Budget original'!$A$2:$AO$501,MATCH($A105,'[3]Budget original'!$A$2:$A$501,0),MATCH(D$2,'[3]Budget original'!$A$2:$AO$2,0))</f>
        <v>0</v>
      </c>
      <c r="E105" s="457">
        <f t="shared" si="31"/>
        <v>0</v>
      </c>
      <c r="F105" s="467">
        <f t="array" ref="F105">+INDEX('[3]Budget original'!$A$2:$AO$501,MATCH($A105,'[3]Budget original'!$A$2:$A$501,0),MATCH(F$2,'[3]Budget original'!$A$2:$AO$2,0))</f>
        <v>0</v>
      </c>
      <c r="G105" s="464"/>
      <c r="H105" s="457"/>
      <c r="I105" s="463"/>
      <c r="J105" s="464"/>
      <c r="K105" s="494">
        <f>IF(J97=0,0,L105/J97)</f>
        <v>0</v>
      </c>
      <c r="L105" s="466">
        <f>-SUMIFS([3]BV_Data_An_Cour!$AM:$AM,[3]BV_Data_An_Cour!$AP:$AP,$B105,[3]BV_Data_An_Cour!$AQ:$AQ,$C105,[3]BV_Data_An_Cour!$AR:$AR,$L$2)</f>
        <v>0</v>
      </c>
      <c r="M105" s="493"/>
      <c r="N105" s="467">
        <f t="shared" si="32"/>
        <v>0</v>
      </c>
      <c r="O105" s="464"/>
      <c r="P105" s="494">
        <f>IF(O97=0,0,Q105/O97)</f>
        <v>0</v>
      </c>
      <c r="Q105" s="466">
        <f>-SUMIFS([3]BV_Data_An_Prec!$AM:$AM,[3]BV_Data_An_Prec!$AP:$AP,$B105,[3]BV_Data_An_Prec!$AQ:$AQ,$C105,[3]BV_Data_An_Prec!$AR:$AR,$L$2)</f>
        <v>0</v>
      </c>
      <c r="R105" s="468">
        <f t="shared" si="33"/>
        <v>0</v>
      </c>
      <c r="S105" s="466">
        <f t="shared" si="34"/>
        <v>0</v>
      </c>
      <c r="T105" s="436"/>
      <c r="U105" s="478"/>
      <c r="V105" s="479"/>
      <c r="W105" s="439"/>
      <c r="X105" s="439"/>
      <c r="Y105" s="439"/>
      <c r="Z105" s="439"/>
      <c r="AA105" s="439"/>
      <c r="AB105" s="439"/>
      <c r="AC105" s="439"/>
      <c r="AD105" s="439"/>
      <c r="AE105" s="439"/>
      <c r="AF105" s="439"/>
      <c r="AG105" s="439"/>
      <c r="AH105" s="439"/>
      <c r="AI105" s="439"/>
      <c r="AJ105" s="439"/>
      <c r="AK105" s="439"/>
      <c r="AL105" s="439"/>
      <c r="AM105" s="439"/>
      <c r="AN105" s="439"/>
    </row>
    <row r="106" spans="1:40" ht="15.75" customHeight="1">
      <c r="A106" s="452" t="s">
        <v>344</v>
      </c>
      <c r="B106" s="439" t="s">
        <v>70</v>
      </c>
      <c r="C106" s="472" t="s">
        <v>27</v>
      </c>
      <c r="D106" s="473">
        <f>D97</f>
        <v>0</v>
      </c>
      <c r="E106" s="482">
        <f t="shared" si="31"/>
        <v>0</v>
      </c>
      <c r="F106" s="474">
        <f>F103+F104+F105</f>
        <v>0</v>
      </c>
      <c r="G106" s="475"/>
      <c r="H106" s="473"/>
      <c r="I106" s="474"/>
      <c r="J106" s="475">
        <f>J97</f>
        <v>22</v>
      </c>
      <c r="K106" s="476">
        <f>IF(J106&lt;=0,0,L106/J106)</f>
        <v>303.64272727272726</v>
      </c>
      <c r="L106" s="477">
        <f>L103+L104+L105</f>
        <v>6680.1399999999994</v>
      </c>
      <c r="M106" s="498">
        <f>J106-D106</f>
        <v>22</v>
      </c>
      <c r="N106" s="474">
        <f t="shared" si="32"/>
        <v>6680.1399999999994</v>
      </c>
      <c r="O106" s="475">
        <f>O97</f>
        <v>14</v>
      </c>
      <c r="P106" s="476">
        <f>IF(O106&lt;=0,0,Q106/O106)</f>
        <v>1029.2421428571429</v>
      </c>
      <c r="Q106" s="477">
        <f>Q103+Q104+Q105</f>
        <v>14409.39</v>
      </c>
      <c r="R106" s="471">
        <f t="shared" si="33"/>
        <v>725.59941558441562</v>
      </c>
      <c r="S106" s="477">
        <f t="shared" si="34"/>
        <v>-7729.25</v>
      </c>
      <c r="T106" s="436"/>
      <c r="U106" s="478">
        <v>6680</v>
      </c>
      <c r="V106" s="479">
        <f>L106-U106</f>
        <v>0.13999999999941792</v>
      </c>
      <c r="W106" s="439"/>
      <c r="X106" s="439"/>
      <c r="Y106" s="439"/>
      <c r="Z106" s="439"/>
      <c r="AA106" s="439"/>
      <c r="AB106" s="439"/>
      <c r="AC106" s="439"/>
      <c r="AD106" s="465"/>
      <c r="AE106" s="439"/>
      <c r="AF106" s="439"/>
      <c r="AG106" s="439"/>
      <c r="AH106" s="439"/>
      <c r="AI106" s="439"/>
      <c r="AJ106" s="439"/>
      <c r="AK106" s="439"/>
      <c r="AL106" s="439"/>
      <c r="AM106" s="439"/>
      <c r="AN106" s="439"/>
    </row>
    <row r="107" spans="1:40" ht="15.75" customHeight="1">
      <c r="A107" s="452" t="s">
        <v>70</v>
      </c>
      <c r="B107" s="439" t="s">
        <v>70</v>
      </c>
      <c r="C107" s="480"/>
      <c r="D107" s="481"/>
      <c r="E107" s="481"/>
      <c r="F107" s="485"/>
      <c r="G107" s="480"/>
      <c r="H107" s="579"/>
      <c r="I107" s="485"/>
      <c r="J107" s="480"/>
      <c r="K107" s="484"/>
      <c r="L107" s="485"/>
      <c r="M107" s="506"/>
      <c r="N107" s="488" t="e">
        <f>N106/F106</f>
        <v>#DIV/0!</v>
      </c>
      <c r="O107" s="480"/>
      <c r="P107" s="484"/>
      <c r="Q107" s="485"/>
      <c r="R107" s="580"/>
      <c r="S107" s="488">
        <f>IF(Q106=0,0,(S106/Q106))</f>
        <v>-0.53640369231452545</v>
      </c>
      <c r="T107" s="436"/>
      <c r="U107" s="478"/>
      <c r="V107" s="479"/>
      <c r="W107" s="439"/>
      <c r="X107" s="439"/>
      <c r="Y107" s="439"/>
      <c r="Z107" s="439"/>
      <c r="AA107" s="439"/>
      <c r="AB107" s="439"/>
      <c r="AC107" s="439"/>
      <c r="AD107" s="439"/>
      <c r="AE107" s="439"/>
      <c r="AF107" s="439"/>
      <c r="AG107" s="439"/>
      <c r="AH107" s="439"/>
      <c r="AI107" s="439"/>
      <c r="AJ107" s="439"/>
      <c r="AK107" s="439"/>
      <c r="AL107" s="439"/>
      <c r="AM107" s="439"/>
      <c r="AN107" s="439"/>
    </row>
    <row r="108" spans="1:40" ht="15.75" customHeight="1" thickBot="1">
      <c r="A108" s="452" t="s">
        <v>70</v>
      </c>
      <c r="B108" s="439" t="s">
        <v>70</v>
      </c>
      <c r="C108" s="462"/>
      <c r="D108" s="439"/>
      <c r="E108" s="439"/>
      <c r="F108" s="466"/>
      <c r="G108" s="462"/>
      <c r="H108" s="581"/>
      <c r="I108" s="466"/>
      <c r="J108" s="462"/>
      <c r="K108" s="465"/>
      <c r="L108" s="466"/>
      <c r="M108" s="506"/>
      <c r="N108" s="488"/>
      <c r="O108" s="462"/>
      <c r="P108" s="465"/>
      <c r="Q108" s="466"/>
      <c r="R108" s="468"/>
      <c r="S108" s="488"/>
      <c r="T108" s="436"/>
      <c r="U108" s="478"/>
      <c r="V108" s="479"/>
      <c r="W108" s="439"/>
      <c r="X108" s="439"/>
      <c r="Y108" s="439"/>
      <c r="Z108" s="439"/>
      <c r="AA108" s="439"/>
      <c r="AB108" s="439"/>
      <c r="AC108" s="439"/>
      <c r="AD108" s="439"/>
      <c r="AE108" s="439"/>
      <c r="AF108" s="439"/>
      <c r="AG108" s="439"/>
      <c r="AH108" s="439"/>
      <c r="AI108" s="439"/>
      <c r="AJ108" s="439"/>
      <c r="AK108" s="439"/>
      <c r="AL108" s="439"/>
      <c r="AM108" s="439"/>
      <c r="AN108" s="439"/>
    </row>
    <row r="109" spans="1:40" ht="18" customHeight="1" thickTop="1">
      <c r="A109" s="452" t="s">
        <v>229</v>
      </c>
      <c r="B109" s="439" t="s">
        <v>70</v>
      </c>
      <c r="C109" s="507" t="s">
        <v>76</v>
      </c>
      <c r="D109" s="508">
        <f>D97+D101</f>
        <v>0</v>
      </c>
      <c r="E109" s="509">
        <f>IF(D109&lt;=0,0,F109/D109)</f>
        <v>0</v>
      </c>
      <c r="F109" s="510">
        <f>F97+F106+F101</f>
        <v>0</v>
      </c>
      <c r="G109" s="511"/>
      <c r="H109" s="509"/>
      <c r="I109" s="510"/>
      <c r="J109" s="511">
        <f>J97+J101</f>
        <v>45</v>
      </c>
      <c r="K109" s="508">
        <f>IF(J109&lt;=0,0,L109/J109)</f>
        <v>883.28733333333162</v>
      </c>
      <c r="L109" s="510">
        <f>L97+L106+L101+L99</f>
        <v>39747.92999999992</v>
      </c>
      <c r="M109" s="511">
        <f>J109-D109</f>
        <v>45</v>
      </c>
      <c r="N109" s="510">
        <f>L109-F109</f>
        <v>39747.92999999992</v>
      </c>
      <c r="O109" s="511">
        <f>O97+O101</f>
        <v>79</v>
      </c>
      <c r="P109" s="508">
        <f>IF(O109&lt;=0,0,Q109/O109)</f>
        <v>1542.8417721519163</v>
      </c>
      <c r="Q109" s="510">
        <f>Q97+Q106+Q101+Q99</f>
        <v>121884.50000000138</v>
      </c>
      <c r="R109" s="511">
        <f>J109-O109</f>
        <v>-34</v>
      </c>
      <c r="S109" s="510">
        <f>L109-Q109</f>
        <v>-82136.570000001462</v>
      </c>
      <c r="T109" s="436"/>
      <c r="U109" s="478">
        <f>SUM(U97:U107)</f>
        <v>39748</v>
      </c>
      <c r="V109" s="479">
        <f>L109-U109</f>
        <v>-7.0000000079744495E-2</v>
      </c>
      <c r="W109" s="439"/>
      <c r="X109" s="439"/>
      <c r="Y109" s="439"/>
      <c r="Z109" s="439"/>
      <c r="AA109" s="439"/>
      <c r="AB109" s="439"/>
      <c r="AC109" s="439"/>
      <c r="AD109" s="439"/>
      <c r="AE109" s="439"/>
      <c r="AF109" s="439"/>
      <c r="AG109" s="439"/>
      <c r="AH109" s="439"/>
      <c r="AI109" s="439"/>
      <c r="AJ109" s="439"/>
      <c r="AK109" s="439"/>
      <c r="AL109" s="439"/>
      <c r="AM109" s="439"/>
      <c r="AN109" s="439"/>
    </row>
    <row r="110" spans="1:40" ht="22.5" customHeight="1" thickBot="1">
      <c r="A110" s="452" t="s">
        <v>70</v>
      </c>
      <c r="B110" s="439" t="s">
        <v>70</v>
      </c>
      <c r="C110" s="512"/>
      <c r="D110" s="513"/>
      <c r="E110" s="513"/>
      <c r="F110" s="514"/>
      <c r="G110" s="512"/>
      <c r="H110" s="513"/>
      <c r="I110" s="514"/>
      <c r="J110" s="512"/>
      <c r="K110" s="515"/>
      <c r="L110" s="516"/>
      <c r="M110" s="517"/>
      <c r="N110" s="518"/>
      <c r="O110" s="512"/>
      <c r="P110" s="515"/>
      <c r="Q110" s="516"/>
      <c r="R110" s="517">
        <f>O109/R109</f>
        <v>-2.3235294117647061</v>
      </c>
      <c r="S110" s="519">
        <f>IF(Q109=0,0,(S109/Q109))</f>
        <v>-0.67388855843032158</v>
      </c>
      <c r="T110" s="436"/>
      <c r="U110" s="478"/>
      <c r="V110" s="479"/>
      <c r="W110" s="439"/>
      <c r="X110" s="439"/>
      <c r="Y110" s="439"/>
      <c r="Z110" s="439"/>
      <c r="AA110" s="439"/>
      <c r="AB110" s="439"/>
      <c r="AC110" s="439"/>
      <c r="AD110" s="439"/>
      <c r="AE110" s="439"/>
      <c r="AF110" s="439"/>
      <c r="AG110" s="439"/>
      <c r="AH110" s="439"/>
      <c r="AI110" s="439"/>
      <c r="AJ110" s="439"/>
      <c r="AK110" s="439"/>
      <c r="AL110" s="439"/>
      <c r="AM110" s="439"/>
      <c r="AN110" s="439"/>
    </row>
    <row r="111" spans="1:40" ht="15.75" customHeight="1" thickTop="1">
      <c r="A111" s="452" t="s">
        <v>70</v>
      </c>
      <c r="B111" s="439" t="s">
        <v>70</v>
      </c>
      <c r="C111" s="480"/>
      <c r="D111" s="481"/>
      <c r="E111" s="481"/>
      <c r="F111" s="483"/>
      <c r="G111" s="480"/>
      <c r="H111" s="481"/>
      <c r="I111" s="483"/>
      <c r="J111" s="480"/>
      <c r="K111" s="484"/>
      <c r="L111" s="485"/>
      <c r="M111" s="506"/>
      <c r="N111" s="488"/>
      <c r="O111" s="480"/>
      <c r="P111" s="484"/>
      <c r="Q111" s="485"/>
      <c r="R111" s="506"/>
      <c r="S111" s="485"/>
      <c r="T111" s="436"/>
      <c r="U111" s="478"/>
      <c r="V111" s="479"/>
      <c r="W111" s="439"/>
      <c r="X111" s="439"/>
      <c r="Y111" s="439"/>
      <c r="Z111" s="439"/>
      <c r="AA111" s="439"/>
      <c r="AB111" s="439"/>
      <c r="AC111" s="439"/>
      <c r="AD111" s="439"/>
      <c r="AE111" s="439"/>
      <c r="AF111" s="439"/>
      <c r="AG111" s="439"/>
      <c r="AH111" s="439"/>
      <c r="AI111" s="439"/>
      <c r="AJ111" s="439"/>
      <c r="AK111" s="439"/>
      <c r="AL111" s="439"/>
      <c r="AM111" s="439"/>
      <c r="AN111" s="439"/>
    </row>
    <row r="112" spans="1:40" ht="15.75" customHeight="1">
      <c r="A112" s="452" t="s">
        <v>231</v>
      </c>
      <c r="B112" s="439" t="s">
        <v>70</v>
      </c>
      <c r="C112" s="522" t="s">
        <v>29</v>
      </c>
      <c r="D112" s="439"/>
      <c r="E112" s="523"/>
      <c r="F112" s="466"/>
      <c r="G112" s="462"/>
      <c r="H112" s="523"/>
      <c r="I112" s="466"/>
      <c r="J112" s="462"/>
      <c r="K112" s="524"/>
      <c r="L112" s="466"/>
      <c r="M112" s="462"/>
      <c r="N112" s="495"/>
      <c r="O112" s="462"/>
      <c r="P112" s="524"/>
      <c r="Q112" s="466"/>
      <c r="R112" s="462"/>
      <c r="S112" s="466"/>
      <c r="T112" s="436"/>
      <c r="U112" s="436"/>
      <c r="V112" s="439"/>
      <c r="W112" s="439"/>
      <c r="X112" s="439"/>
      <c r="Y112" s="439"/>
      <c r="Z112" s="439"/>
      <c r="AA112" s="439"/>
      <c r="AB112" s="439"/>
      <c r="AC112" s="439"/>
      <c r="AD112" s="439"/>
      <c r="AE112" s="439"/>
      <c r="AF112" s="439"/>
      <c r="AG112" s="439"/>
      <c r="AH112" s="439"/>
      <c r="AI112" s="439"/>
      <c r="AJ112" s="439"/>
      <c r="AK112" s="439"/>
      <c r="AL112" s="439"/>
      <c r="AM112" s="439"/>
      <c r="AN112" s="439"/>
    </row>
    <row r="113" spans="1:40" ht="15.75" customHeight="1">
      <c r="A113" s="452" t="s">
        <v>232</v>
      </c>
      <c r="B113" s="439" t="s">
        <v>70</v>
      </c>
      <c r="C113" s="462" t="s">
        <v>30</v>
      </c>
      <c r="D113" s="582" t="e">
        <f>F113/F97</f>
        <v>#DIV/0!</v>
      </c>
      <c r="E113" s="465" t="e">
        <f t="shared" ref="E113:E122" si="35">F113/D$97</f>
        <v>#DIV/0!</v>
      </c>
      <c r="F113" s="463">
        <f t="array" ref="F113">+INDEX('[3]Budget original'!$A$2:$AO$501,MATCH($A113,'[3]Budget original'!$A$2:$A$501,0),MATCH(F$2,'[3]Budget original'!$A$2:$AO$2,0))</f>
        <v>0</v>
      </c>
      <c r="G113" s="496"/>
      <c r="H113" s="465"/>
      <c r="I113" s="463"/>
      <c r="J113" s="496">
        <f>L113/L97</f>
        <v>0.24474628089411493</v>
      </c>
      <c r="K113" s="465">
        <f>IF($J$97=0,0,L113/(J$94+J$95+J96))</f>
        <v>400.26863636363652</v>
      </c>
      <c r="L113" s="466">
        <f>SUMIFS([3]BV_Data_An_Cour!$AM:$AM,[3]BV_Data_An_Cour!$AP:$AP,$B113,[3]BV_Data_An_Cour!$AQ:$AQ,$C113,[3]BV_Data_An_Cour!$AR:$AR,$L$2)</f>
        <v>8805.9100000000035</v>
      </c>
      <c r="M113" s="462"/>
      <c r="N113" s="466">
        <f t="shared" ref="N113:N154" si="36">L113-F113</f>
        <v>8805.9100000000035</v>
      </c>
      <c r="O113" s="496">
        <f>Q113/Q97</f>
        <v>6.2610835694053781</v>
      </c>
      <c r="P113" s="465">
        <f>IF($J$97=0,0,Q113/(O$94+O$95+O96))</f>
        <v>1641.8350000000003</v>
      </c>
      <c r="Q113" s="466">
        <f>SUMIFS([3]BV_Data_An_Prec!$AM:$AM,[3]BV_Data_An_Prec!$AP:$AP,$B113,[3]BV_Data_An_Prec!$AQ:$AQ,$C113,[3]BV_Data_An_Prec!$AR:$AR,$L$2)</f>
        <v>22985.690000000002</v>
      </c>
      <c r="R113" s="462"/>
      <c r="S113" s="466">
        <f t="shared" ref="S113:S154" si="37">L113-Q113</f>
        <v>-14179.779999999999</v>
      </c>
      <c r="T113" s="436"/>
      <c r="U113" s="436" t="s">
        <v>501</v>
      </c>
      <c r="V113" s="439"/>
      <c r="W113" s="439"/>
      <c r="X113" s="439"/>
      <c r="Y113" s="439"/>
      <c r="Z113" s="439"/>
      <c r="AA113" s="439"/>
      <c r="AB113" s="439"/>
      <c r="AC113" s="439"/>
      <c r="AD113" s="439"/>
      <c r="AE113" s="439"/>
      <c r="AF113" s="439"/>
      <c r="AG113" s="439"/>
      <c r="AH113" s="439"/>
      <c r="AI113" s="439"/>
      <c r="AJ113" s="439"/>
      <c r="AK113" s="439"/>
      <c r="AL113" s="439"/>
      <c r="AM113" s="439"/>
      <c r="AN113" s="439"/>
    </row>
    <row r="114" spans="1:40" ht="15.75" customHeight="1">
      <c r="A114" s="452" t="s">
        <v>233</v>
      </c>
      <c r="B114" s="439" t="s">
        <v>70</v>
      </c>
      <c r="C114" s="453" t="s">
        <v>31</v>
      </c>
      <c r="D114" s="583" t="e">
        <f>F114/(F106)</f>
        <v>#DIV/0!</v>
      </c>
      <c r="E114" s="494" t="e">
        <f t="shared" si="35"/>
        <v>#DIV/0!</v>
      </c>
      <c r="F114" s="455">
        <f t="array" ref="F114">+INDEX('[3]Budget original'!$A$2:$AO$501,MATCH($A114,'[3]Budget original'!$A$2:$A$501,0),MATCH(F$2,'[3]Budget original'!$A$2:$AO$2,0))</f>
        <v>0</v>
      </c>
      <c r="G114" s="527"/>
      <c r="H114" s="494"/>
      <c r="I114" s="455"/>
      <c r="J114" s="527">
        <f>L114/(L106)</f>
        <v>0.3800219755873378</v>
      </c>
      <c r="K114" s="494">
        <f>IF($J$97=0,0,L114/(J$94+J$95+J96))</f>
        <v>115.39090909090902</v>
      </c>
      <c r="L114" s="466">
        <f>SUMIFS([3]BV_Data_An_Cour!$AM:$AM,[3]BV_Data_An_Cour!$AP:$AP,$B114,[3]BV_Data_An_Cour!$AQ:$AQ,$C114,[3]BV_Data_An_Cour!$AR:$AR,$L$2)</f>
        <v>2538.5999999999985</v>
      </c>
      <c r="M114" s="453"/>
      <c r="N114" s="458">
        <f t="shared" si="36"/>
        <v>2538.5999999999985</v>
      </c>
      <c r="O114" s="527">
        <f>Q114/(Q106)</f>
        <v>0.28982698087844105</v>
      </c>
      <c r="P114" s="494">
        <f>IF($J$97=0,0,Q114/(O$94+O$95+O96))</f>
        <v>298.30214285714283</v>
      </c>
      <c r="Q114" s="466">
        <f>SUMIFS([3]BV_Data_An_Prec!$AM:$AM,[3]BV_Data_An_Prec!$AP:$AP,$B114,[3]BV_Data_An_Prec!$AQ:$AQ,$C114,[3]BV_Data_An_Prec!$AR:$AR,$L$2)</f>
        <v>4176.2299999999996</v>
      </c>
      <c r="R114" s="453"/>
      <c r="S114" s="458">
        <f t="shared" si="37"/>
        <v>-1637.630000000001</v>
      </c>
      <c r="T114" s="436"/>
      <c r="U114" s="436"/>
      <c r="V114" s="439"/>
      <c r="W114" s="439"/>
      <c r="X114" s="439"/>
      <c r="Y114" s="439"/>
      <c r="Z114" s="439"/>
      <c r="AA114" s="439"/>
      <c r="AB114" s="439"/>
      <c r="AC114" s="439"/>
      <c r="AD114" s="439"/>
      <c r="AE114" s="439"/>
      <c r="AF114" s="439"/>
      <c r="AG114" s="439"/>
      <c r="AH114" s="439"/>
      <c r="AI114" s="439"/>
      <c r="AJ114" s="439"/>
      <c r="AK114" s="439"/>
      <c r="AL114" s="439"/>
      <c r="AM114" s="439"/>
      <c r="AN114" s="439"/>
    </row>
    <row r="115" spans="1:40" ht="15.75" customHeight="1">
      <c r="A115" s="452" t="s">
        <v>234</v>
      </c>
      <c r="B115" s="439" t="s">
        <v>70</v>
      </c>
      <c r="C115" s="462" t="s">
        <v>32</v>
      </c>
      <c r="D115" s="528"/>
      <c r="E115" s="465" t="e">
        <f t="shared" si="35"/>
        <v>#DIV/0!</v>
      </c>
      <c r="F115" s="463">
        <f t="array" ref="F115">+INDEX('[3]Budget original'!$A$2:$AO$501,MATCH($A115,'[3]Budget original'!$A$2:$A$501,0),MATCH(F$2,'[3]Budget original'!$A$2:$AO$2,0))</f>
        <v>0</v>
      </c>
      <c r="G115" s="529"/>
      <c r="H115" s="465"/>
      <c r="I115" s="463"/>
      <c r="J115" s="462"/>
      <c r="K115" s="465">
        <f>IF($J$97=0,0,L115/(J$94+J$95+J96))</f>
        <v>-38.075454545454541</v>
      </c>
      <c r="L115" s="503">
        <f>SUMIFS([3]BV_Data_An_Cour!$AM:$AM,[3]BV_Data_An_Cour!$AP:$AP,$B115,[3]BV_Data_An_Cour!$AQ:$AQ,$C115,[3]BV_Data_An_Cour!$AR:$AR,$L$2)</f>
        <v>-837.65999999999985</v>
      </c>
      <c r="M115" s="462"/>
      <c r="N115" s="466">
        <f t="shared" si="36"/>
        <v>-837.65999999999985</v>
      </c>
      <c r="O115" s="462"/>
      <c r="P115" s="465">
        <f>IF($J$97=0,0,Q115/(O$94+O$95+O96))</f>
        <v>-397.77000000000004</v>
      </c>
      <c r="Q115" s="503">
        <f>SUMIFS([3]BV_Data_An_Prec!$AM:$AM,[3]BV_Data_An_Prec!$AP:$AP,$B115,[3]BV_Data_An_Prec!$AQ:$AQ,$C115,[3]BV_Data_An_Prec!$AR:$AR,$L$2)</f>
        <v>-5568.7800000000007</v>
      </c>
      <c r="R115" s="462"/>
      <c r="S115" s="466">
        <f t="shared" si="37"/>
        <v>4731.1200000000008</v>
      </c>
      <c r="T115" s="436"/>
      <c r="U115" s="436"/>
      <c r="V115" s="439"/>
      <c r="W115" s="463"/>
      <c r="X115" s="439"/>
      <c r="Y115" s="439"/>
      <c r="Z115" s="439"/>
      <c r="AA115" s="439"/>
      <c r="AB115" s="439"/>
      <c r="AC115" s="439"/>
      <c r="AD115" s="439"/>
      <c r="AE115" s="439"/>
      <c r="AF115" s="439"/>
      <c r="AG115" s="439"/>
      <c r="AH115" s="439"/>
      <c r="AI115" s="439"/>
      <c r="AJ115" s="439"/>
      <c r="AK115" s="439"/>
      <c r="AL115" s="439"/>
      <c r="AM115" s="439"/>
      <c r="AN115" s="439"/>
    </row>
    <row r="116" spans="1:40" ht="15.75" customHeight="1">
      <c r="A116" s="452" t="s">
        <v>235</v>
      </c>
      <c r="B116" s="439" t="s">
        <v>70</v>
      </c>
      <c r="C116" s="462" t="s">
        <v>33</v>
      </c>
      <c r="D116" s="528"/>
      <c r="E116" s="465" t="e">
        <f t="shared" si="35"/>
        <v>#DIV/0!</v>
      </c>
      <c r="F116" s="463">
        <f t="array" ref="F116">+INDEX('[3]Budget original'!$A$2:$AO$501,MATCH($A116,'[3]Budget original'!$A$2:$A$501,0),MATCH(F$2,'[3]Budget original'!$A$2:$AO$2,0))</f>
        <v>0</v>
      </c>
      <c r="G116" s="529"/>
      <c r="H116" s="465"/>
      <c r="I116" s="463"/>
      <c r="J116" s="462"/>
      <c r="K116" s="465">
        <f>IF($J$97=0,0,L116/(J$94+J$95+J96))</f>
        <v>11.772272727272718</v>
      </c>
      <c r="L116" s="466">
        <f>SUMIFS([3]BV_Data_An_Cour!$AM:$AM,[3]BV_Data_An_Cour!$AP:$AP,$B116,[3]BV_Data_An_Cour!$AQ:$AQ,$C116,[3]BV_Data_An_Cour!$AR:$AR,$L$2)</f>
        <v>258.98999999999978</v>
      </c>
      <c r="M116" s="462"/>
      <c r="N116" s="466">
        <f t="shared" si="36"/>
        <v>258.98999999999978</v>
      </c>
      <c r="O116" s="462"/>
      <c r="P116" s="465">
        <f>IF($J$97=0,0,Q116/(O$94+O$95+O96))</f>
        <v>9.1950000000000021</v>
      </c>
      <c r="Q116" s="466">
        <f>SUMIFS([3]BV_Data_An_Prec!$AM:$AM,[3]BV_Data_An_Prec!$AP:$AP,$B116,[3]BV_Data_An_Prec!$AQ:$AQ,$C116,[3]BV_Data_An_Prec!$AR:$AR,$L$2)</f>
        <v>128.73000000000002</v>
      </c>
      <c r="R116" s="462"/>
      <c r="S116" s="466">
        <f t="shared" si="37"/>
        <v>130.25999999999976</v>
      </c>
      <c r="T116" s="436"/>
      <c r="U116" s="436"/>
      <c r="V116" s="439"/>
      <c r="W116" s="463"/>
      <c r="X116" s="439"/>
      <c r="Y116" s="439"/>
      <c r="Z116" s="439"/>
      <c r="AA116" s="439"/>
      <c r="AB116" s="439"/>
      <c r="AC116" s="439"/>
      <c r="AD116" s="439"/>
      <c r="AE116" s="439"/>
      <c r="AF116" s="439"/>
      <c r="AG116" s="439"/>
      <c r="AH116" s="439"/>
      <c r="AI116" s="439"/>
      <c r="AJ116" s="439"/>
      <c r="AK116" s="439"/>
      <c r="AL116" s="439"/>
      <c r="AM116" s="439"/>
      <c r="AN116" s="439"/>
    </row>
    <row r="117" spans="1:40" ht="15.75" customHeight="1">
      <c r="A117" s="452" t="s">
        <v>236</v>
      </c>
      <c r="B117" s="439" t="s">
        <v>70</v>
      </c>
      <c r="C117" s="453" t="s">
        <v>34</v>
      </c>
      <c r="D117" s="531"/>
      <c r="E117" s="494" t="e">
        <f t="shared" si="35"/>
        <v>#DIV/0!</v>
      </c>
      <c r="F117" s="455">
        <f t="array" ref="F117">+INDEX('[3]Budget original'!$A$2:$AO$501,MATCH($A117,'[3]Budget original'!$A$2:$A$501,0),MATCH(F$2,'[3]Budget original'!$A$2:$AO$2,0))</f>
        <v>0</v>
      </c>
      <c r="G117" s="532"/>
      <c r="H117" s="494"/>
      <c r="I117" s="455"/>
      <c r="J117" s="453"/>
      <c r="K117" s="494">
        <f>IF($J$97=0,0,L117/(J$94+J$95+J96))</f>
        <v>55.264999999999993</v>
      </c>
      <c r="L117" s="458">
        <f>SUMIFS([3]BV_Data_An_Cour!$AM:$AM,[3]BV_Data_An_Cour!$AP:$AP,$B117,[3]BV_Data_An_Cour!$AQ:$AQ,$C117,[3]BV_Data_An_Cour!$AR:$AR,$L$2)</f>
        <v>1215.83</v>
      </c>
      <c r="M117" s="453"/>
      <c r="N117" s="458">
        <f t="shared" si="36"/>
        <v>1215.83</v>
      </c>
      <c r="O117" s="453"/>
      <c r="P117" s="494">
        <f>IF($J$97=0,0,Q117/(O$94+O$95+O96))</f>
        <v>0</v>
      </c>
      <c r="Q117" s="458">
        <f>SUMIFS([3]BV_Data_An_Prec!$AM:$AM,[3]BV_Data_An_Prec!$AP:$AP,$B117,[3]BV_Data_An_Prec!$AQ:$AQ,$C117,[3]BV_Data_An_Prec!$AR:$AR,$L$2)</f>
        <v>0</v>
      </c>
      <c r="R117" s="453"/>
      <c r="S117" s="458">
        <f t="shared" si="37"/>
        <v>1215.83</v>
      </c>
      <c r="T117" s="436"/>
      <c r="U117" s="521"/>
      <c r="V117" s="439"/>
      <c r="W117" s="463"/>
      <c r="X117" s="439"/>
      <c r="Y117" s="439"/>
      <c r="Z117" s="439"/>
      <c r="AA117" s="439"/>
      <c r="AB117" s="439"/>
      <c r="AC117" s="439"/>
      <c r="AD117" s="439"/>
      <c r="AE117" s="439"/>
      <c r="AF117" s="439"/>
      <c r="AG117" s="439"/>
      <c r="AH117" s="439"/>
      <c r="AI117" s="439"/>
      <c r="AJ117" s="439"/>
      <c r="AK117" s="439"/>
      <c r="AL117" s="439"/>
      <c r="AM117" s="439"/>
      <c r="AN117" s="439"/>
    </row>
    <row r="118" spans="1:40" ht="19.5" customHeight="1">
      <c r="A118" s="452" t="s">
        <v>237</v>
      </c>
      <c r="B118" s="439" t="s">
        <v>70</v>
      </c>
      <c r="C118" s="462" t="s">
        <v>35</v>
      </c>
      <c r="D118" s="528"/>
      <c r="E118" s="465" t="e">
        <f t="shared" si="35"/>
        <v>#DIV/0!</v>
      </c>
      <c r="F118" s="463">
        <f t="array" ref="F118">+INDEX('[3]Budget original'!$A$2:$AO$501,MATCH($A118,'[3]Budget original'!$A$2:$A$501,0),MATCH(F$2,'[3]Budget original'!$A$2:$AO$2,0))</f>
        <v>0</v>
      </c>
      <c r="G118" s="529"/>
      <c r="H118" s="465"/>
      <c r="I118" s="463"/>
      <c r="J118" s="462"/>
      <c r="K118" s="465">
        <f>IF($J$97=0,0,L118/(J$94+J$95+J96))</f>
        <v>493.69772727272738</v>
      </c>
      <c r="L118" s="466">
        <f>SUMIFS([3]BV_Data_An_Cour!$AM:$AM,[3]BV_Data_An_Cour!$AP:$AP,$B118,[3]BV_Data_An_Cour!$AQ:$AQ,$C118,[3]BV_Data_An_Cour!$AR:$AR,$L$2)</f>
        <v>10861.350000000002</v>
      </c>
      <c r="M118" s="462"/>
      <c r="N118" s="466">
        <f t="shared" si="36"/>
        <v>10861.350000000002</v>
      </c>
      <c r="O118" s="462"/>
      <c r="P118" s="465">
        <f>IF($J$97=0,0,Q118/(O$94+O$95+O96))</f>
        <v>634.28142857142848</v>
      </c>
      <c r="Q118" s="466">
        <f>SUMIFS([3]BV_Data_An_Prec!$AM:$AM,[3]BV_Data_An_Prec!$AP:$AP,$B118,[3]BV_Data_An_Prec!$AQ:$AQ,$C118,[3]BV_Data_An_Prec!$AR:$AR,$L$2)</f>
        <v>8879.9399999999987</v>
      </c>
      <c r="R118" s="462"/>
      <c r="S118" s="466">
        <f t="shared" si="37"/>
        <v>1981.4100000000035</v>
      </c>
      <c r="T118" s="436"/>
      <c r="U118" s="521"/>
      <c r="V118" s="439"/>
      <c r="W118" s="463"/>
      <c r="Z118" s="439"/>
      <c r="AA118" s="439"/>
      <c r="AB118" s="439"/>
      <c r="AC118" s="439"/>
      <c r="AD118" s="439"/>
      <c r="AE118" s="439"/>
      <c r="AF118" s="439"/>
      <c r="AG118" s="439"/>
      <c r="AH118" s="439"/>
      <c r="AI118" s="439"/>
      <c r="AJ118" s="439"/>
      <c r="AK118" s="439"/>
      <c r="AL118" s="439"/>
      <c r="AM118" s="439"/>
      <c r="AN118" s="439"/>
    </row>
    <row r="119" spans="1:40" ht="15.75" customHeight="1">
      <c r="A119" s="452" t="s">
        <v>238</v>
      </c>
      <c r="B119" s="439" t="s">
        <v>70</v>
      </c>
      <c r="C119" s="462" t="s">
        <v>36</v>
      </c>
      <c r="D119" s="528"/>
      <c r="E119" s="465" t="e">
        <f t="shared" si="35"/>
        <v>#DIV/0!</v>
      </c>
      <c r="F119" s="463">
        <f t="array" ref="F119">+INDEX('[3]Budget original'!$A$2:$AO$501,MATCH($A119,'[3]Budget original'!$A$2:$A$501,0),MATCH(F$2,'[3]Budget original'!$A$2:$AO$2,0))</f>
        <v>0</v>
      </c>
      <c r="G119" s="529"/>
      <c r="H119" s="465"/>
      <c r="I119" s="463"/>
      <c r="J119" s="462"/>
      <c r="K119" s="465">
        <f>IF($J$97=0,0,L119/(J$94+J$95+J96))</f>
        <v>110.39227272727294</v>
      </c>
      <c r="L119" s="466">
        <f>SUMIFS([3]BV_Data_An_Cour!$AM:$AM,[3]BV_Data_An_Cour!$AP:$AP,$B119,[3]BV_Data_An_Cour!$AQ:$AQ,$C119,[3]BV_Data_An_Cour!$AR:$AR,$L$2)</f>
        <v>2428.6300000000047</v>
      </c>
      <c r="M119" s="462"/>
      <c r="N119" s="466">
        <f t="shared" si="36"/>
        <v>2428.6300000000047</v>
      </c>
      <c r="O119" s="462"/>
      <c r="P119" s="465">
        <f>IF($J$97=0,0,Q119/(O$94+O$95+O96))</f>
        <v>928.15285714285812</v>
      </c>
      <c r="Q119" s="466">
        <f>SUMIFS([3]BV_Data_An_Prec!$AM:$AM,[3]BV_Data_An_Prec!$AP:$AP,$B119,[3]BV_Data_An_Prec!$AQ:$AQ,$C119,[3]BV_Data_An_Prec!$AR:$AR,$L$2)</f>
        <v>12994.140000000014</v>
      </c>
      <c r="R119" s="462"/>
      <c r="S119" s="466">
        <f t="shared" si="37"/>
        <v>-10565.510000000009</v>
      </c>
      <c r="T119" s="436">
        <f>6679-4250</f>
        <v>2429</v>
      </c>
      <c r="U119" s="521"/>
      <c r="W119" s="463"/>
      <c r="X119" s="439"/>
      <c r="Y119" s="439"/>
      <c r="Z119" s="439"/>
      <c r="AA119" s="439"/>
      <c r="AB119" s="439"/>
      <c r="AC119" s="439"/>
      <c r="AD119" s="439"/>
      <c r="AE119" s="439"/>
      <c r="AF119" s="439"/>
      <c r="AG119" s="439"/>
      <c r="AH119" s="439"/>
      <c r="AI119" s="439"/>
      <c r="AJ119" s="439"/>
      <c r="AK119" s="439"/>
      <c r="AL119" s="439"/>
      <c r="AM119" s="439"/>
      <c r="AN119" s="439"/>
    </row>
    <row r="120" spans="1:40" ht="15.75" customHeight="1">
      <c r="A120" s="452" t="s">
        <v>239</v>
      </c>
      <c r="B120" s="439" t="s">
        <v>70</v>
      </c>
      <c r="C120" s="462" t="s">
        <v>303</v>
      </c>
      <c r="D120" s="528"/>
      <c r="E120" s="465" t="e">
        <f t="shared" si="35"/>
        <v>#DIV/0!</v>
      </c>
      <c r="F120" s="463">
        <f t="array" ref="F120">+INDEX('[3]Budget original'!$A$2:$AO$501,MATCH($A120,'[3]Budget original'!$A$2:$A$501,0),MATCH(F$2,'[3]Budget original'!$A$2:$AO$2,0))</f>
        <v>0</v>
      </c>
      <c r="G120" s="529"/>
      <c r="H120" s="465"/>
      <c r="I120" s="463"/>
      <c r="J120" s="462"/>
      <c r="K120" s="465">
        <f t="shared" ref="K120:K122" si="38">IF($J$97=0,0,L120/(J$94+J$95))</f>
        <v>0</v>
      </c>
      <c r="L120" s="466">
        <f>SUMIFS([3]BV_Data_An_Cour!$AM:$AM,[3]BV_Data_An_Cour!$AP:$AP,$B120,[3]BV_Data_An_Cour!$AQ:$AQ,$C120,[3]BV_Data_An_Cour!$AR:$AR,$L$2)</f>
        <v>0</v>
      </c>
      <c r="M120" s="462"/>
      <c r="N120" s="466">
        <f t="shared" si="36"/>
        <v>0</v>
      </c>
      <c r="O120" s="462"/>
      <c r="P120" s="465">
        <f t="shared" ref="P120:P122" si="39">IF($J$97=0,0,Q120/(O$94+O$95))</f>
        <v>0</v>
      </c>
      <c r="Q120" s="466">
        <f>SUMIFS([3]BV_Data_An_Prec!$AM:$AM,[3]BV_Data_An_Prec!$AP:$AP,$B120,[3]BV_Data_An_Prec!$AQ:$AQ,$C120,[3]BV_Data_An_Prec!$AR:$AR,$L$2)</f>
        <v>0</v>
      </c>
      <c r="R120" s="462"/>
      <c r="S120" s="466">
        <f t="shared" si="37"/>
        <v>0</v>
      </c>
      <c r="T120" s="436"/>
      <c r="U120" s="439"/>
      <c r="W120" s="439"/>
      <c r="X120" s="439"/>
      <c r="Y120" s="439"/>
      <c r="Z120" s="439"/>
      <c r="AA120" s="439"/>
      <c r="AB120" s="439"/>
      <c r="AC120" s="439"/>
      <c r="AD120" s="439"/>
      <c r="AE120" s="439"/>
      <c r="AF120" s="439"/>
      <c r="AG120" s="439"/>
      <c r="AH120" s="439"/>
      <c r="AI120" s="439"/>
      <c r="AJ120" s="439"/>
      <c r="AK120" s="439"/>
      <c r="AL120" s="439"/>
      <c r="AM120" s="439"/>
      <c r="AN120" s="439"/>
    </row>
    <row r="121" spans="1:40" ht="15.75" customHeight="1">
      <c r="A121" s="452" t="s">
        <v>239</v>
      </c>
      <c r="B121" s="439" t="s">
        <v>70</v>
      </c>
      <c r="C121" s="462" t="s">
        <v>304</v>
      </c>
      <c r="D121" s="528"/>
      <c r="E121" s="465" t="e">
        <f t="shared" si="35"/>
        <v>#DIV/0!</v>
      </c>
      <c r="F121" s="463">
        <f t="array" ref="F121">+INDEX('[3]Budget original'!$A$2:$AO$501,MATCH($A121,'[3]Budget original'!$A$2:$A$501,0),MATCH(F$2,'[3]Budget original'!$A$2:$AO$2,0))</f>
        <v>0</v>
      </c>
      <c r="G121" s="529"/>
      <c r="H121" s="465"/>
      <c r="I121" s="463"/>
      <c r="J121" s="462"/>
      <c r="K121" s="465">
        <f t="shared" si="38"/>
        <v>-52.085909090909396</v>
      </c>
      <c r="L121" s="466">
        <f>SUMIFS([3]BV_Data_An_Cour!$AM:$AM,[3]BV_Data_An_Cour!$AP:$AP,$B121,[3]BV_Data_An_Cour!$AQ:$AQ,$C121,[3]BV_Data_An_Cour!$AR:$AR,$L$2)</f>
        <v>-1145.8900000000067</v>
      </c>
      <c r="M121" s="462"/>
      <c r="N121" s="466">
        <f t="shared" si="36"/>
        <v>-1145.8900000000067</v>
      </c>
      <c r="O121" s="462"/>
      <c r="P121" s="465">
        <f t="shared" si="39"/>
        <v>0</v>
      </c>
      <c r="Q121" s="466">
        <f>SUMIFS([3]BV_Data_An_Prec!$AM:$AM,[3]BV_Data_An_Prec!$AP:$AP,$B121,[3]BV_Data_An_Prec!$AQ:$AQ,$C121,[3]BV_Data_An_Prec!$AR:$AR,$L$2)</f>
        <v>0</v>
      </c>
      <c r="R121" s="462"/>
      <c r="S121" s="466">
        <f t="shared" si="37"/>
        <v>-1145.8900000000067</v>
      </c>
      <c r="T121" s="436">
        <v>-1146</v>
      </c>
      <c r="U121" s="439"/>
      <c r="W121" s="439"/>
      <c r="X121" s="439"/>
      <c r="Y121" s="439"/>
      <c r="Z121" s="439"/>
      <c r="AA121" s="439"/>
      <c r="AB121" s="439"/>
      <c r="AC121" s="439"/>
      <c r="AD121" s="439"/>
      <c r="AE121" s="439"/>
      <c r="AF121" s="439"/>
      <c r="AG121" s="439"/>
      <c r="AH121" s="439"/>
      <c r="AI121" s="439"/>
      <c r="AJ121" s="439"/>
      <c r="AK121" s="439"/>
      <c r="AL121" s="439"/>
      <c r="AM121" s="439"/>
      <c r="AN121" s="439"/>
    </row>
    <row r="122" spans="1:40" ht="20.25" hidden="1" customHeight="1">
      <c r="A122" s="452" t="s">
        <v>239</v>
      </c>
      <c r="B122" s="439" t="s">
        <v>70</v>
      </c>
      <c r="C122" s="462" t="s">
        <v>19</v>
      </c>
      <c r="D122" s="528"/>
      <c r="E122" s="465" t="e">
        <f t="shared" si="35"/>
        <v>#DIV/0!</v>
      </c>
      <c r="F122" s="463">
        <f t="array" ref="F122">+INDEX('[3]Budget original'!$A$2:$AO$501,MATCH($A122,'[3]Budget original'!$A$2:$A$501,0),MATCH(F$2,'[3]Budget original'!$A$2:$AO$2,0))</f>
        <v>0</v>
      </c>
      <c r="G122" s="529"/>
      <c r="H122" s="465"/>
      <c r="I122" s="463"/>
      <c r="J122" s="462"/>
      <c r="K122" s="465">
        <f t="shared" si="38"/>
        <v>0</v>
      </c>
      <c r="L122" s="467">
        <f>SUMIFS([3]BV_Data_An_Cour!$AM:$AM,[3]BV_Data_An_Cour!$AP:$AP,$B122,[3]BV_Data_An_Cour!$AQ:$AQ,$C122,[3]BV_Data_An_Cour!$AR:$AR,$L$2)</f>
        <v>0</v>
      </c>
      <c r="M122" s="462"/>
      <c r="N122" s="466">
        <f t="shared" si="36"/>
        <v>0</v>
      </c>
      <c r="O122" s="462"/>
      <c r="P122" s="465">
        <f t="shared" si="39"/>
        <v>0</v>
      </c>
      <c r="Q122" s="467">
        <f>SUMIFS([3]BV_Data_An_Prec!$AM:$AM,[3]BV_Data_An_Prec!$AP:$AP,$B122,[3]BV_Data_An_Prec!$AQ:$AQ,$C122,[3]BV_Data_An_Prec!$AR:$AR,$L$2)</f>
        <v>0</v>
      </c>
      <c r="R122" s="462"/>
      <c r="S122" s="466">
        <f t="shared" si="37"/>
        <v>0</v>
      </c>
      <c r="T122" s="436"/>
      <c r="U122" s="436"/>
      <c r="V122" s="439"/>
      <c r="W122" s="439"/>
      <c r="X122" s="439"/>
      <c r="Y122" s="439"/>
      <c r="Z122" s="439"/>
      <c r="AA122" s="439"/>
      <c r="AB122" s="439"/>
      <c r="AC122" s="439"/>
      <c r="AD122" s="439"/>
      <c r="AE122" s="439"/>
      <c r="AF122" s="439"/>
      <c r="AG122" s="439"/>
      <c r="AH122" s="439"/>
      <c r="AI122" s="439"/>
      <c r="AJ122" s="439"/>
      <c r="AK122" s="439"/>
      <c r="AL122" s="439"/>
      <c r="AM122" s="439"/>
      <c r="AN122" s="439"/>
    </row>
    <row r="123" spans="1:40" ht="18" customHeight="1">
      <c r="A123" s="452" t="s">
        <v>240</v>
      </c>
      <c r="B123" s="439" t="s">
        <v>70</v>
      </c>
      <c r="C123" s="534" t="s">
        <v>37</v>
      </c>
      <c r="D123" s="535" t="s">
        <v>38</v>
      </c>
      <c r="E123" s="536" t="e">
        <f>F123/F$109</f>
        <v>#DIV/0!</v>
      </c>
      <c r="F123" s="537">
        <f>SUM(F113:F122)</f>
        <v>0</v>
      </c>
      <c r="G123" s="538"/>
      <c r="H123" s="536"/>
      <c r="I123" s="537"/>
      <c r="J123" s="538" t="s">
        <v>38</v>
      </c>
      <c r="K123" s="536">
        <f>L123/L$109</f>
        <v>0.60696896668581357</v>
      </c>
      <c r="L123" s="537">
        <f>SUM(L113:L122)</f>
        <v>24125.760000000002</v>
      </c>
      <c r="M123" s="539"/>
      <c r="N123" s="537">
        <f t="shared" si="36"/>
        <v>24125.760000000002</v>
      </c>
      <c r="O123" s="538" t="s">
        <v>38</v>
      </c>
      <c r="P123" s="536">
        <f>Q123/Q$109</f>
        <v>0.35768247808375564</v>
      </c>
      <c r="Q123" s="537">
        <f>SUM(Q113:Q122)</f>
        <v>43595.950000000012</v>
      </c>
      <c r="R123" s="540"/>
      <c r="S123" s="537">
        <f t="shared" si="37"/>
        <v>-19470.19000000001</v>
      </c>
      <c r="T123" s="436"/>
      <c r="U123" s="436"/>
      <c r="V123" s="439"/>
      <c r="W123" s="439"/>
      <c r="X123" s="439"/>
      <c r="Y123" s="439"/>
      <c r="Z123" s="439"/>
      <c r="AA123" s="439"/>
      <c r="AB123" s="439"/>
      <c r="AC123" s="439"/>
      <c r="AD123" s="439"/>
      <c r="AE123" s="439"/>
      <c r="AF123" s="439"/>
      <c r="AG123" s="439"/>
      <c r="AH123" s="439"/>
      <c r="AI123" s="439"/>
      <c r="AJ123" s="439"/>
      <c r="AK123" s="439"/>
      <c r="AL123" s="439"/>
      <c r="AM123" s="439"/>
      <c r="AN123" s="439"/>
    </row>
    <row r="124" spans="1:40" ht="15.75" customHeight="1">
      <c r="A124" s="452" t="s">
        <v>241</v>
      </c>
      <c r="B124" s="439" t="s">
        <v>70</v>
      </c>
      <c r="C124" s="541" t="s">
        <v>40</v>
      </c>
      <c r="D124" s="439"/>
      <c r="E124" s="439"/>
      <c r="F124" s="463">
        <f t="array" ref="F124">+INDEX('[3]Budget original'!$A$2:$AO$501,MATCH($A124,'[3]Budget original'!$A$2:$A$501,0),MATCH(F$2,'[3]Budget original'!$A$2:$AO$2,0))</f>
        <v>0</v>
      </c>
      <c r="G124" s="462"/>
      <c r="H124" s="439"/>
      <c r="I124" s="463"/>
      <c r="J124" s="462"/>
      <c r="K124" s="439"/>
      <c r="L124" s="466">
        <f>SUMIFS([3]BV_Data_An_Cour!$AM:$AM,[3]BV_Data_An_Cour!$AP:$AP,$B124,[3]BV_Data_An_Cour!$AQ:$AQ,$C124,[3]BV_Data_An_Cour!$AR:$AR,$L$2)</f>
        <v>14148.75</v>
      </c>
      <c r="M124" s="462"/>
      <c r="N124" s="466">
        <f t="shared" si="36"/>
        <v>14148.75</v>
      </c>
      <c r="O124" s="462"/>
      <c r="P124" s="439"/>
      <c r="Q124" s="466">
        <f>SUMIFS([3]BV_Data_An_Prec!$AM:$AM,[3]BV_Data_An_Prec!$AP:$AP,$B124,[3]BV_Data_An_Prec!$AQ:$AQ,$C124,[3]BV_Data_An_Prec!$AR:$AR,$L$2)</f>
        <v>8566.4900000000052</v>
      </c>
      <c r="R124" s="462"/>
      <c r="S124" s="466">
        <f t="shared" si="37"/>
        <v>5582.2599999999948</v>
      </c>
      <c r="T124" s="436"/>
      <c r="U124" s="436"/>
      <c r="V124" s="439"/>
      <c r="W124" s="439"/>
      <c r="X124" s="439"/>
      <c r="Y124" s="439"/>
      <c r="Z124" s="439"/>
      <c r="AA124" s="439"/>
      <c r="AB124" s="439"/>
      <c r="AC124" s="439"/>
      <c r="AD124" s="439"/>
      <c r="AE124" s="439"/>
      <c r="AF124" s="439"/>
      <c r="AG124" s="439"/>
      <c r="AH124" s="439"/>
      <c r="AI124" s="439"/>
      <c r="AJ124" s="439"/>
      <c r="AK124" s="439"/>
      <c r="AL124" s="439"/>
      <c r="AM124" s="439"/>
      <c r="AN124" s="439"/>
    </row>
    <row r="125" spans="1:40" ht="15.75" customHeight="1">
      <c r="A125" s="452" t="s">
        <v>242</v>
      </c>
      <c r="B125" s="439" t="s">
        <v>70</v>
      </c>
      <c r="C125" s="542" t="s">
        <v>41</v>
      </c>
      <c r="D125" s="528"/>
      <c r="E125" s="439"/>
      <c r="F125" s="455">
        <f t="array" ref="F125">+INDEX('[3]Budget original'!$A$2:$AO$501,MATCH($A125,'[3]Budget original'!$A$2:$A$501,0),MATCH(F$2,'[3]Budget original'!$A$2:$AO$2,0))</f>
        <v>0</v>
      </c>
      <c r="G125" s="529"/>
      <c r="H125" s="439"/>
      <c r="I125" s="455"/>
      <c r="J125" s="462"/>
      <c r="K125" s="439"/>
      <c r="L125" s="466">
        <f>SUMIFS([3]BV_Data_An_Cour!$AM:$AM,[3]BV_Data_An_Cour!$AP:$AP,$B125,[3]BV_Data_An_Cour!$AQ:$AQ,$C125,[3]BV_Data_An_Cour!$AR:$AR,$L$2)</f>
        <v>6530.1699999999983</v>
      </c>
      <c r="M125" s="462"/>
      <c r="N125" s="466">
        <f t="shared" si="36"/>
        <v>6530.1699999999983</v>
      </c>
      <c r="O125" s="462"/>
      <c r="P125" s="439"/>
      <c r="Q125" s="466">
        <f>SUMIFS([3]BV_Data_An_Prec!$AM:$AM,[3]BV_Data_An_Prec!$AP:$AP,$B125,[3]BV_Data_An_Prec!$AQ:$AQ,$C125,[3]BV_Data_An_Prec!$AR:$AR,$L$2)</f>
        <v>14083.079999999994</v>
      </c>
      <c r="R125" s="462"/>
      <c r="S125" s="466">
        <f t="shared" si="37"/>
        <v>-7552.9099999999962</v>
      </c>
      <c r="T125" s="436"/>
      <c r="U125" s="436"/>
      <c r="V125" s="439"/>
      <c r="W125" s="439"/>
      <c r="X125" s="439"/>
      <c r="Y125" s="439"/>
      <c r="Z125" s="439"/>
      <c r="AA125" s="439"/>
      <c r="AB125" s="439"/>
      <c r="AC125" s="439"/>
      <c r="AD125" s="439"/>
      <c r="AE125" s="439"/>
      <c r="AF125" s="439"/>
      <c r="AG125" s="439"/>
      <c r="AH125" s="439"/>
      <c r="AI125" s="439"/>
      <c r="AJ125" s="439"/>
      <c r="AK125" s="439"/>
      <c r="AL125" s="439"/>
      <c r="AM125" s="439"/>
      <c r="AN125" s="439"/>
    </row>
    <row r="126" spans="1:40" ht="15.75" customHeight="1">
      <c r="A126" s="452" t="s">
        <v>243</v>
      </c>
      <c r="B126" s="439" t="s">
        <v>70</v>
      </c>
      <c r="C126" s="541" t="s">
        <v>42</v>
      </c>
      <c r="D126" s="543"/>
      <c r="E126" s="544"/>
      <c r="F126" s="463">
        <f t="array" ref="F126">+INDEX('[3]Budget original'!$A$2:$AO$501,MATCH($A126,'[3]Budget original'!$A$2:$A$501,0),MATCH(F$2,'[3]Budget original'!$A$2:$AO$2,0))</f>
        <v>0</v>
      </c>
      <c r="G126" s="545"/>
      <c r="H126" s="544"/>
      <c r="I126" s="463"/>
      <c r="J126" s="447"/>
      <c r="K126" s="544"/>
      <c r="L126" s="503">
        <f>SUMIFS([3]BV_Data_An_Cour!$AM:$AM,[3]BV_Data_An_Cour!$AP:$AP,$B126,[3]BV_Data_An_Cour!$AQ:$AQ,$C126,[3]BV_Data_An_Cour!$AR:$AR,$L$2)</f>
        <v>2431.3599999999988</v>
      </c>
      <c r="M126" s="447"/>
      <c r="N126" s="503">
        <f t="shared" si="36"/>
        <v>2431.3599999999988</v>
      </c>
      <c r="O126" s="447"/>
      <c r="P126" s="544"/>
      <c r="Q126" s="503">
        <f>SUMIFS([3]BV_Data_An_Prec!$AM:$AM,[3]BV_Data_An_Prec!$AP:$AP,$B126,[3]BV_Data_An_Prec!$AQ:$AQ,$C126,[3]BV_Data_An_Prec!$AR:$AR,$L$2)</f>
        <v>1534.6799999999985</v>
      </c>
      <c r="R126" s="447"/>
      <c r="S126" s="503">
        <f t="shared" si="37"/>
        <v>896.68000000000029</v>
      </c>
      <c r="T126" s="436"/>
      <c r="U126" s="436"/>
      <c r="V126" s="439"/>
      <c r="W126" s="439"/>
      <c r="X126" s="439"/>
      <c r="Y126" s="439"/>
      <c r="Z126" s="439"/>
      <c r="AA126" s="439"/>
      <c r="AB126" s="439"/>
      <c r="AC126" s="439"/>
      <c r="AD126" s="439"/>
      <c r="AE126" s="439"/>
      <c r="AF126" s="439"/>
      <c r="AG126" s="439"/>
      <c r="AH126" s="439"/>
      <c r="AI126" s="439"/>
      <c r="AJ126" s="439"/>
      <c r="AK126" s="439"/>
      <c r="AL126" s="439"/>
      <c r="AM126" s="439"/>
      <c r="AN126" s="439"/>
    </row>
    <row r="127" spans="1:40" ht="20.25" hidden="1" customHeight="1">
      <c r="A127" s="452" t="s">
        <v>244</v>
      </c>
      <c r="B127" s="439" t="s">
        <v>70</v>
      </c>
      <c r="C127" s="541" t="s">
        <v>43</v>
      </c>
      <c r="D127" s="528"/>
      <c r="E127" s="439"/>
      <c r="F127" s="463">
        <f t="array" ref="F127">+INDEX('[3]Budget original'!$A$2:$AO$501,MATCH($A127,'[3]Budget original'!$A$2:$A$501,0),MATCH(F$2,'[3]Budget original'!$A$2:$AO$2,0))</f>
        <v>0</v>
      </c>
      <c r="G127" s="529"/>
      <c r="H127" s="439"/>
      <c r="I127" s="463"/>
      <c r="J127" s="462"/>
      <c r="K127" s="439"/>
      <c r="L127" s="466">
        <f>SUMIFS([3]BV_Data_An_Cour!$AM:$AM,[3]BV_Data_An_Cour!$AP:$AP,$B127,[3]BV_Data_An_Cour!$AQ:$AQ,$C127,[3]BV_Data_An_Cour!$AR:$AR,$L$2)</f>
        <v>0</v>
      </c>
      <c r="M127" s="462"/>
      <c r="N127" s="466">
        <f t="shared" si="36"/>
        <v>0</v>
      </c>
      <c r="O127" s="462"/>
      <c r="P127" s="439"/>
      <c r="Q127" s="466">
        <f>SUMIFS([3]BV_Data_An_Prec!$AM:$AM,[3]BV_Data_An_Prec!$AP:$AP,$B127,[3]BV_Data_An_Prec!$AQ:$AQ,$C127,[3]BV_Data_An_Prec!$AR:$AR,$L$2)</f>
        <v>0</v>
      </c>
      <c r="R127" s="462"/>
      <c r="S127" s="466">
        <f t="shared" si="37"/>
        <v>0</v>
      </c>
      <c r="T127" s="436"/>
      <c r="U127" s="436"/>
      <c r="V127" s="439"/>
      <c r="W127" s="439"/>
      <c r="X127" s="439"/>
      <c r="Y127" s="439"/>
      <c r="Z127" s="439"/>
      <c r="AA127" s="439"/>
      <c r="AB127" s="439"/>
      <c r="AC127" s="439"/>
      <c r="AD127" s="439"/>
      <c r="AE127" s="439"/>
      <c r="AF127" s="439"/>
      <c r="AG127" s="439"/>
      <c r="AH127" s="439"/>
      <c r="AI127" s="439"/>
      <c r="AJ127" s="439"/>
      <c r="AK127" s="439"/>
      <c r="AL127" s="439"/>
      <c r="AM127" s="439"/>
      <c r="AN127" s="439"/>
    </row>
    <row r="128" spans="1:40" ht="20.25" hidden="1" customHeight="1">
      <c r="A128" s="452" t="s">
        <v>239</v>
      </c>
      <c r="B128" s="439" t="s">
        <v>70</v>
      </c>
      <c r="C128" s="541" t="s">
        <v>19</v>
      </c>
      <c r="D128" s="528"/>
      <c r="E128" s="439"/>
      <c r="F128" s="463">
        <f t="array" ref="F128">+INDEX('[3]Budget original'!$A$2:$AO$501,MATCH($A128,'[3]Budget original'!$A$2:$A$501,0),MATCH(F$2,'[3]Budget original'!$A$2:$AO$2,0))</f>
        <v>0</v>
      </c>
      <c r="G128" s="529"/>
      <c r="H128" s="439"/>
      <c r="I128" s="463"/>
      <c r="J128" s="462"/>
      <c r="K128" s="439"/>
      <c r="L128" s="466">
        <f>SUMIFS([3]BV_Data_An_Cour!$AM:$AM,[3]BV_Data_An_Cour!$AP:$AP,$B128,[3]BV_Data_An_Cour!$AQ:$AQ,$C128,[3]BV_Data_An_Cour!$AR:$AR,$L$2)</f>
        <v>0</v>
      </c>
      <c r="M128" s="462"/>
      <c r="N128" s="466">
        <f t="shared" si="36"/>
        <v>0</v>
      </c>
      <c r="O128" s="462"/>
      <c r="P128" s="439"/>
      <c r="Q128" s="466">
        <f>SUMIFS([3]BV_Data_An_Prec!$AM:$AM,[3]BV_Data_An_Prec!$AP:$AP,$B128,[3]BV_Data_An_Prec!$AQ:$AQ,$C128,[3]BV_Data_An_Prec!$AR:$AR,$L$2)</f>
        <v>0</v>
      </c>
      <c r="R128" s="462"/>
      <c r="S128" s="466">
        <f t="shared" si="37"/>
        <v>0</v>
      </c>
      <c r="T128" s="436"/>
      <c r="U128" s="436"/>
      <c r="V128" s="439"/>
      <c r="W128" s="439"/>
      <c r="X128" s="439"/>
      <c r="Y128" s="439"/>
      <c r="Z128" s="439"/>
      <c r="AA128" s="439"/>
      <c r="AB128" s="439"/>
      <c r="AC128" s="439"/>
      <c r="AD128" s="439"/>
      <c r="AE128" s="439"/>
      <c r="AF128" s="439"/>
      <c r="AG128" s="439"/>
      <c r="AH128" s="439"/>
      <c r="AI128" s="439"/>
      <c r="AJ128" s="439"/>
      <c r="AK128" s="439"/>
      <c r="AL128" s="439"/>
      <c r="AM128" s="439"/>
      <c r="AN128" s="439"/>
    </row>
    <row r="129" spans="1:40" ht="20.25" hidden="1" customHeight="1">
      <c r="A129" s="452" t="s">
        <v>239</v>
      </c>
      <c r="B129" s="439" t="s">
        <v>70</v>
      </c>
      <c r="C129" s="541" t="s">
        <v>19</v>
      </c>
      <c r="D129" s="528"/>
      <c r="E129" s="439"/>
      <c r="F129" s="463">
        <f t="array" ref="F129">+INDEX('[3]Budget original'!$A$2:$AO$501,MATCH($A129,'[3]Budget original'!$A$2:$A$501,0),MATCH(F$2,'[3]Budget original'!$A$2:$AO$2,0))</f>
        <v>0</v>
      </c>
      <c r="G129" s="529"/>
      <c r="H129" s="439"/>
      <c r="I129" s="463"/>
      <c r="J129" s="462"/>
      <c r="K129" s="439"/>
      <c r="L129" s="466">
        <f>SUMIFS([3]BV_Data_An_Cour!$AM:$AM,[3]BV_Data_An_Cour!$AP:$AP,$B129,[3]BV_Data_An_Cour!$AQ:$AQ,$C129,[3]BV_Data_An_Cour!$AR:$AR,$L$2)</f>
        <v>0</v>
      </c>
      <c r="M129" s="462"/>
      <c r="N129" s="466">
        <f t="shared" si="36"/>
        <v>0</v>
      </c>
      <c r="O129" s="462"/>
      <c r="P129" s="439"/>
      <c r="Q129" s="466">
        <f>SUMIFS([3]BV_Data_An_Prec!$AM:$AM,[3]BV_Data_An_Prec!$AP:$AP,$B129,[3]BV_Data_An_Prec!$AQ:$AQ,$C129,[3]BV_Data_An_Prec!$AR:$AR,$L$2)</f>
        <v>0</v>
      </c>
      <c r="R129" s="462"/>
      <c r="S129" s="466">
        <f t="shared" si="37"/>
        <v>0</v>
      </c>
      <c r="T129" s="436"/>
      <c r="U129" s="436"/>
      <c r="V129" s="439"/>
      <c r="W129" s="439"/>
      <c r="X129" s="439"/>
      <c r="Y129" s="439"/>
      <c r="Z129" s="439"/>
      <c r="AA129" s="439"/>
      <c r="AB129" s="439"/>
      <c r="AC129" s="439"/>
      <c r="AD129" s="439"/>
      <c r="AE129" s="439"/>
      <c r="AF129" s="439"/>
      <c r="AG129" s="439"/>
      <c r="AH129" s="439"/>
      <c r="AI129" s="439"/>
      <c r="AJ129" s="439"/>
      <c r="AK129" s="439"/>
      <c r="AL129" s="439"/>
      <c r="AM129" s="439"/>
      <c r="AN129" s="439"/>
    </row>
    <row r="130" spans="1:40" ht="20.25" hidden="1" customHeight="1">
      <c r="A130" s="452" t="s">
        <v>239</v>
      </c>
      <c r="B130" s="439" t="s">
        <v>70</v>
      </c>
      <c r="C130" s="541" t="s">
        <v>19</v>
      </c>
      <c r="D130" s="528"/>
      <c r="E130" s="439"/>
      <c r="F130" s="463">
        <f t="array" ref="F130">+INDEX('[3]Budget original'!$A$2:$AO$501,MATCH($A130,'[3]Budget original'!$A$2:$A$501,0),MATCH(F$2,'[3]Budget original'!$A$2:$AO$2,0))</f>
        <v>0</v>
      </c>
      <c r="G130" s="529"/>
      <c r="H130" s="439"/>
      <c r="I130" s="463"/>
      <c r="J130" s="462"/>
      <c r="K130" s="439"/>
      <c r="L130" s="466">
        <f>SUMIFS([3]BV_Data_An_Cour!$AM:$AM,[3]BV_Data_An_Cour!$AP:$AP,$B130,[3]BV_Data_An_Cour!$AQ:$AQ,$C130,[3]BV_Data_An_Cour!$AR:$AR,$L$2)</f>
        <v>0</v>
      </c>
      <c r="M130" s="462"/>
      <c r="N130" s="466">
        <f t="shared" si="36"/>
        <v>0</v>
      </c>
      <c r="O130" s="462"/>
      <c r="P130" s="439"/>
      <c r="Q130" s="466">
        <f>SUMIFS([3]BV_Data_An_Prec!$AM:$AM,[3]BV_Data_An_Prec!$AP:$AP,$B130,[3]BV_Data_An_Prec!$AQ:$AQ,$C130,[3]BV_Data_An_Prec!$AR:$AR,$L$2)</f>
        <v>0</v>
      </c>
      <c r="R130" s="462"/>
      <c r="S130" s="466">
        <f t="shared" si="37"/>
        <v>0</v>
      </c>
      <c r="T130" s="436"/>
      <c r="U130" s="436"/>
      <c r="V130" s="439"/>
      <c r="W130" s="439"/>
      <c r="X130" s="439"/>
      <c r="Y130" s="439"/>
      <c r="Z130" s="439"/>
      <c r="AA130" s="439"/>
      <c r="AB130" s="439"/>
      <c r="AC130" s="439"/>
      <c r="AD130" s="439"/>
      <c r="AE130" s="439"/>
      <c r="AF130" s="439"/>
      <c r="AG130" s="439"/>
      <c r="AH130" s="439"/>
      <c r="AI130" s="439"/>
      <c r="AJ130" s="439"/>
      <c r="AK130" s="439"/>
      <c r="AL130" s="439"/>
      <c r="AM130" s="439"/>
      <c r="AN130" s="439"/>
    </row>
    <row r="131" spans="1:40" ht="15.75" customHeight="1">
      <c r="A131" s="452" t="s">
        <v>245</v>
      </c>
      <c r="B131" s="439" t="s">
        <v>70</v>
      </c>
      <c r="C131" s="542" t="s">
        <v>44</v>
      </c>
      <c r="D131" s="528"/>
      <c r="E131" s="439"/>
      <c r="F131" s="463">
        <f t="array" ref="F131">+INDEX('[3]Budget original'!$A$2:$AO$501,MATCH($A131,'[3]Budget original'!$A$2:$A$501,0),MATCH(F$2,'[3]Budget original'!$A$2:$AO$2,0))</f>
        <v>0</v>
      </c>
      <c r="G131" s="529"/>
      <c r="H131" s="439"/>
      <c r="I131" s="463"/>
      <c r="J131" s="462"/>
      <c r="K131" s="439"/>
      <c r="L131" s="466">
        <f>SUMIFS([3]BV_Data_An_Cour!$AM:$AM,[3]BV_Data_An_Cour!$AP:$AP,$B131,[3]BV_Data_An_Cour!$AQ:$AQ,$C131,[3]BV_Data_An_Cour!$AR:$AR,$L$2)</f>
        <v>4655.2400000000016</v>
      </c>
      <c r="M131" s="462"/>
      <c r="N131" s="466">
        <f t="shared" si="36"/>
        <v>4655.2400000000016</v>
      </c>
      <c r="O131" s="462"/>
      <c r="P131" s="439"/>
      <c r="Q131" s="466">
        <f>SUMIFS([3]BV_Data_An_Prec!$AM:$AM,[3]BV_Data_An_Prec!$AP:$AP,$B131,[3]BV_Data_An_Prec!$AQ:$AQ,$C131,[3]BV_Data_An_Prec!$AR:$AR,$L$2)</f>
        <v>1439.1000000000004</v>
      </c>
      <c r="R131" s="462"/>
      <c r="S131" s="466">
        <f t="shared" si="37"/>
        <v>3216.1400000000012</v>
      </c>
      <c r="T131" s="436"/>
      <c r="U131" s="436"/>
      <c r="V131" s="439"/>
      <c r="W131" s="439"/>
      <c r="X131" s="439"/>
      <c r="Y131" s="439"/>
      <c r="Z131" s="439"/>
      <c r="AA131" s="439"/>
      <c r="AB131" s="439"/>
      <c r="AC131" s="439"/>
      <c r="AD131" s="439"/>
      <c r="AE131" s="439"/>
      <c r="AF131" s="439"/>
      <c r="AG131" s="439"/>
      <c r="AH131" s="439"/>
      <c r="AI131" s="439"/>
      <c r="AJ131" s="439"/>
      <c r="AK131" s="439"/>
      <c r="AL131" s="439"/>
      <c r="AM131" s="439"/>
      <c r="AN131" s="439"/>
    </row>
    <row r="132" spans="1:40" ht="15.75" customHeight="1">
      <c r="A132" s="452" t="s">
        <v>246</v>
      </c>
      <c r="B132" s="439" t="s">
        <v>70</v>
      </c>
      <c r="C132" s="541" t="s">
        <v>45</v>
      </c>
      <c r="D132" s="543"/>
      <c r="E132" s="544"/>
      <c r="F132" s="499">
        <f t="array" ref="F132">+INDEX('[3]Budget original'!$A$2:$AO$501,MATCH($A132,'[3]Budget original'!$A$2:$A$501,0),MATCH(F$2,'[3]Budget original'!$A$2:$AO$2,0))</f>
        <v>0</v>
      </c>
      <c r="G132" s="545"/>
      <c r="H132" s="544"/>
      <c r="I132" s="499"/>
      <c r="J132" s="447"/>
      <c r="K132" s="544"/>
      <c r="L132" s="503">
        <f>SUMIFS([3]BV_Data_An_Cour!$AM:$AM,[3]BV_Data_An_Cour!$AP:$AP,$B132,[3]BV_Data_An_Cour!$AQ:$AQ,$C132,[3]BV_Data_An_Cour!$AR:$AR,$L$2)</f>
        <v>4370.8899999999994</v>
      </c>
      <c r="M132" s="447"/>
      <c r="N132" s="503">
        <f t="shared" si="36"/>
        <v>4370.8899999999994</v>
      </c>
      <c r="O132" s="447"/>
      <c r="P132" s="544"/>
      <c r="Q132" s="503">
        <f>SUMIFS([3]BV_Data_An_Prec!$AM:$AM,[3]BV_Data_An_Prec!$AP:$AP,$B132,[3]BV_Data_An_Prec!$AQ:$AQ,$C132,[3]BV_Data_An_Prec!$AR:$AR,$L$2)</f>
        <v>1792.9300000000003</v>
      </c>
      <c r="R132" s="447"/>
      <c r="S132" s="503">
        <f t="shared" si="37"/>
        <v>2577.9599999999991</v>
      </c>
      <c r="T132" s="436"/>
      <c r="U132" s="436"/>
      <c r="V132" s="439"/>
      <c r="W132" s="439"/>
      <c r="X132" s="439"/>
      <c r="Y132" s="439"/>
      <c r="Z132" s="439"/>
      <c r="AA132" s="439"/>
      <c r="AB132" s="439"/>
      <c r="AC132" s="439"/>
      <c r="AD132" s="439"/>
      <c r="AE132" s="439"/>
      <c r="AF132" s="439"/>
      <c r="AG132" s="439"/>
      <c r="AH132" s="439"/>
      <c r="AI132" s="439"/>
      <c r="AJ132" s="439"/>
      <c r="AK132" s="439"/>
      <c r="AL132" s="439"/>
      <c r="AM132" s="439"/>
      <c r="AN132" s="439"/>
    </row>
    <row r="133" spans="1:40" ht="15.75" customHeight="1">
      <c r="A133" s="452" t="s">
        <v>247</v>
      </c>
      <c r="B133" s="439" t="s">
        <v>70</v>
      </c>
      <c r="C133" s="541" t="s">
        <v>46</v>
      </c>
      <c r="D133" s="528"/>
      <c r="E133" s="439"/>
      <c r="F133" s="463">
        <f t="array" ref="F133">+INDEX('[3]Budget original'!$A$2:$AO$501,MATCH($A133,'[3]Budget original'!$A$2:$A$501,0),MATCH(F$2,'[3]Budget original'!$A$2:$AO$2,0))</f>
        <v>0</v>
      </c>
      <c r="G133" s="529"/>
      <c r="H133" s="439"/>
      <c r="I133" s="463"/>
      <c r="J133" s="462"/>
      <c r="K133" s="439"/>
      <c r="L133" s="466">
        <f>SUMIFS([3]BV_Data_An_Cour!$AM:$AM,[3]BV_Data_An_Cour!$AP:$AP,$B133,[3]BV_Data_An_Cour!$AQ:$AQ,$C133,[3]BV_Data_An_Cour!$AR:$AR,$L$2)</f>
        <v>1961.6800000000003</v>
      </c>
      <c r="M133" s="462"/>
      <c r="N133" s="466">
        <f t="shared" si="36"/>
        <v>1961.6800000000003</v>
      </c>
      <c r="O133" s="462"/>
      <c r="P133" s="439"/>
      <c r="Q133" s="466">
        <f>SUMIFS([3]BV_Data_An_Prec!$AM:$AM,[3]BV_Data_An_Prec!$AP:$AP,$B133,[3]BV_Data_An_Prec!$AQ:$AQ,$C133,[3]BV_Data_An_Prec!$AR:$AR,$L$2)</f>
        <v>3430.5800000000017</v>
      </c>
      <c r="R133" s="462"/>
      <c r="S133" s="466">
        <f t="shared" si="37"/>
        <v>-1468.9000000000015</v>
      </c>
      <c r="T133" s="436"/>
      <c r="U133" s="436"/>
      <c r="V133" s="439"/>
      <c r="W133" s="439"/>
      <c r="X133" s="439"/>
      <c r="Y133" s="439"/>
      <c r="Z133" s="439"/>
      <c r="AA133" s="439"/>
      <c r="AB133" s="439"/>
      <c r="AC133" s="439"/>
      <c r="AD133" s="439"/>
      <c r="AE133" s="439"/>
      <c r="AF133" s="439"/>
      <c r="AG133" s="439"/>
      <c r="AH133" s="439"/>
      <c r="AI133" s="439"/>
      <c r="AJ133" s="439"/>
      <c r="AK133" s="439"/>
      <c r="AL133" s="439"/>
      <c r="AM133" s="439"/>
      <c r="AN133" s="439"/>
    </row>
    <row r="134" spans="1:40" ht="15.75" customHeight="1">
      <c r="A134" s="452" t="s">
        <v>248</v>
      </c>
      <c r="B134" s="439" t="s">
        <v>70</v>
      </c>
      <c r="C134" s="541" t="s">
        <v>47</v>
      </c>
      <c r="D134" s="528"/>
      <c r="E134" s="439"/>
      <c r="F134" s="463">
        <f t="array" ref="F134">+INDEX('[3]Budget original'!$A$2:$AO$501,MATCH($A134,'[3]Budget original'!$A$2:$A$501,0),MATCH(F$2,'[3]Budget original'!$A$2:$AO$2,0))</f>
        <v>0</v>
      </c>
      <c r="G134" s="529"/>
      <c r="H134" s="439"/>
      <c r="I134" s="463"/>
      <c r="J134" s="462"/>
      <c r="K134" s="439"/>
      <c r="L134" s="466">
        <f>SUMIFS([3]BV_Data_An_Cour!$AM:$AM,[3]BV_Data_An_Cour!$AP:$AP,$B134,[3]BV_Data_An_Cour!$AQ:$AQ,$C134,[3]BV_Data_An_Cour!$AR:$AR,$L$2)</f>
        <v>2430.42</v>
      </c>
      <c r="M134" s="462"/>
      <c r="N134" s="466">
        <f t="shared" si="36"/>
        <v>2430.42</v>
      </c>
      <c r="O134" s="462"/>
      <c r="P134" s="439"/>
      <c r="Q134" s="466">
        <f>SUMIFS([3]BV_Data_An_Prec!$AM:$AM,[3]BV_Data_An_Prec!$AP:$AP,$B134,[3]BV_Data_An_Prec!$AQ:$AQ,$C134,[3]BV_Data_An_Prec!$AR:$AR,$L$2)</f>
        <v>31.949999999999989</v>
      </c>
      <c r="R134" s="462"/>
      <c r="S134" s="466">
        <f t="shared" si="37"/>
        <v>2398.4700000000003</v>
      </c>
      <c r="T134" s="436"/>
      <c r="U134" s="436"/>
      <c r="V134" s="439"/>
      <c r="W134" s="439"/>
      <c r="X134" s="439"/>
      <c r="Y134" s="439"/>
      <c r="Z134" s="439"/>
      <c r="AA134" s="439"/>
      <c r="AB134" s="439"/>
      <c r="AC134" s="439"/>
      <c r="AD134" s="439"/>
      <c r="AE134" s="439"/>
      <c r="AF134" s="439"/>
      <c r="AG134" s="439"/>
      <c r="AH134" s="439"/>
      <c r="AI134" s="439"/>
      <c r="AJ134" s="439"/>
      <c r="AK134" s="439"/>
      <c r="AL134" s="439"/>
      <c r="AM134" s="439"/>
      <c r="AN134" s="439"/>
    </row>
    <row r="135" spans="1:40" ht="20.25" hidden="1" customHeight="1">
      <c r="A135" s="452" t="s">
        <v>239</v>
      </c>
      <c r="B135" s="439" t="s">
        <v>70</v>
      </c>
      <c r="C135" s="462" t="s">
        <v>19</v>
      </c>
      <c r="D135" s="531"/>
      <c r="E135" s="546"/>
      <c r="F135" s="463">
        <f t="array" ref="F135">+INDEX('[3]Budget original'!$A$2:$AO$501,MATCH($A135,'[3]Budget original'!$A$2:$A$501,0),MATCH(F$2,'[3]Budget original'!$A$2:$AO$2,0))</f>
        <v>0</v>
      </c>
      <c r="G135" s="532"/>
      <c r="H135" s="546"/>
      <c r="I135" s="463"/>
      <c r="J135" s="453"/>
      <c r="K135" s="546"/>
      <c r="L135" s="466">
        <f>SUMIFS([3]BV_Data_An_Cour!$AM:$AM,[3]BV_Data_An_Cour!$AP:$AP,$B135,[3]BV_Data_An_Cour!$AQ:$AQ,$C135,[3]BV_Data_An_Cour!$AR:$AR,$L$2)</f>
        <v>0</v>
      </c>
      <c r="M135" s="453"/>
      <c r="N135" s="458">
        <f t="shared" si="36"/>
        <v>0</v>
      </c>
      <c r="O135" s="453"/>
      <c r="P135" s="546"/>
      <c r="Q135" s="466">
        <f>SUMIFS([3]BV_Data_An_Prec!$AM:$AM,[3]BV_Data_An_Prec!$AP:$AP,$B135,[3]BV_Data_An_Prec!$AQ:$AQ,$C135,[3]BV_Data_An_Prec!$AR:$AR,$L$2)</f>
        <v>0</v>
      </c>
      <c r="R135" s="453"/>
      <c r="S135" s="458">
        <f t="shared" si="37"/>
        <v>0</v>
      </c>
      <c r="T135" s="436"/>
      <c r="U135" s="436"/>
      <c r="V135" s="439"/>
      <c r="W135" s="439"/>
      <c r="X135" s="439"/>
      <c r="Y135" s="439"/>
      <c r="Z135" s="439"/>
      <c r="AA135" s="439"/>
      <c r="AB135" s="439"/>
      <c r="AC135" s="439"/>
      <c r="AD135" s="439"/>
      <c r="AE135" s="439"/>
      <c r="AF135" s="439"/>
      <c r="AG135" s="439"/>
      <c r="AH135" s="439"/>
      <c r="AI135" s="439"/>
      <c r="AJ135" s="439"/>
      <c r="AK135" s="439"/>
      <c r="AL135" s="439"/>
      <c r="AM135" s="439"/>
      <c r="AN135" s="439"/>
    </row>
    <row r="136" spans="1:40" ht="18" customHeight="1">
      <c r="A136" s="452" t="s">
        <v>249</v>
      </c>
      <c r="B136" s="439" t="s">
        <v>70</v>
      </c>
      <c r="C136" s="534" t="s">
        <v>48</v>
      </c>
      <c r="D136" s="535" t="s">
        <v>38</v>
      </c>
      <c r="E136" s="536" t="e">
        <f>F136/F$109</f>
        <v>#DIV/0!</v>
      </c>
      <c r="F136" s="537">
        <f>+SUM(F124:F135)</f>
        <v>0</v>
      </c>
      <c r="G136" s="538"/>
      <c r="H136" s="536"/>
      <c r="I136" s="537"/>
      <c r="J136" s="538" t="s">
        <v>38</v>
      </c>
      <c r="K136" s="536">
        <f>L136/L$109</f>
        <v>0.9190040839862621</v>
      </c>
      <c r="L136" s="537">
        <f>SUM(L124:L135)</f>
        <v>36528.509999999995</v>
      </c>
      <c r="M136" s="539"/>
      <c r="N136" s="537">
        <f t="shared" si="36"/>
        <v>36528.509999999995</v>
      </c>
      <c r="O136" s="538" t="s">
        <v>38</v>
      </c>
      <c r="P136" s="536">
        <f>Q136/Q$109</f>
        <v>0.25334484696577209</v>
      </c>
      <c r="Q136" s="537">
        <f>SUM(Q124:Q135)</f>
        <v>30878.81</v>
      </c>
      <c r="R136" s="540"/>
      <c r="S136" s="537">
        <f t="shared" si="37"/>
        <v>5649.6999999999935</v>
      </c>
      <c r="T136" s="436"/>
      <c r="U136" s="436"/>
      <c r="V136" s="439"/>
      <c r="W136" s="439"/>
      <c r="X136" s="439"/>
      <c r="Y136" s="439"/>
      <c r="Z136" s="439"/>
      <c r="AA136" s="439"/>
      <c r="AB136" s="439"/>
      <c r="AC136" s="439"/>
      <c r="AD136" s="439"/>
      <c r="AE136" s="439"/>
      <c r="AF136" s="439"/>
      <c r="AG136" s="439"/>
      <c r="AH136" s="439"/>
      <c r="AI136" s="439"/>
      <c r="AJ136" s="439"/>
      <c r="AK136" s="439"/>
      <c r="AL136" s="439"/>
      <c r="AM136" s="439"/>
      <c r="AN136" s="439"/>
    </row>
    <row r="137" spans="1:40" ht="20.25" hidden="1" customHeight="1">
      <c r="A137" s="452" t="s">
        <v>250</v>
      </c>
      <c r="B137" s="439" t="s">
        <v>70</v>
      </c>
      <c r="C137" s="462" t="s">
        <v>49</v>
      </c>
      <c r="D137" s="528"/>
      <c r="E137" s="439"/>
      <c r="F137" s="463">
        <f t="array" ref="F137">+INDEX('[3]Budget original'!$A$2:$AO$501,MATCH($A137,'[3]Budget original'!$A$2:$A$501,0),MATCH(F$2,'[3]Budget original'!$A$2:$AO$2,0))</f>
        <v>0</v>
      </c>
      <c r="G137" s="529"/>
      <c r="H137" s="439"/>
      <c r="I137" s="463"/>
      <c r="J137" s="462"/>
      <c r="K137" s="439"/>
      <c r="L137" s="466">
        <f>SUMIFS([3]BV_Data_An_Cour!$AM:$AM,[3]BV_Data_An_Cour!$AP:$AP,$B137,[3]BV_Data_An_Cour!$AQ:$AQ,$C137,[3]BV_Data_An_Cour!$AR:$AR,$L$2)</f>
        <v>0</v>
      </c>
      <c r="M137" s="462"/>
      <c r="N137" s="466">
        <f t="shared" si="36"/>
        <v>0</v>
      </c>
      <c r="O137" s="462"/>
      <c r="P137" s="439"/>
      <c r="Q137" s="466">
        <f>SUMIFS([3]BV_Data_An_Prec!$AM:$AM,[3]BV_Data_An_Prec!$AP:$AP,$B137,[3]BV_Data_An_Prec!$AQ:$AQ,$C137,[3]BV_Data_An_Prec!$AR:$AR,$L$2)</f>
        <v>0</v>
      </c>
      <c r="R137" s="462"/>
      <c r="S137" s="466">
        <f t="shared" si="37"/>
        <v>0</v>
      </c>
      <c r="T137" s="436"/>
      <c r="U137" s="436"/>
      <c r="V137" s="439"/>
      <c r="W137" s="439"/>
      <c r="X137" s="439"/>
      <c r="Y137" s="439"/>
      <c r="Z137" s="439"/>
      <c r="AA137" s="439"/>
      <c r="AB137" s="439"/>
      <c r="AC137" s="439"/>
      <c r="AD137" s="439"/>
      <c r="AE137" s="439"/>
      <c r="AF137" s="439"/>
      <c r="AG137" s="439"/>
      <c r="AH137" s="439"/>
      <c r="AI137" s="439"/>
      <c r="AJ137" s="439"/>
      <c r="AK137" s="439"/>
      <c r="AL137" s="439"/>
      <c r="AM137" s="439"/>
      <c r="AN137" s="439"/>
    </row>
    <row r="138" spans="1:40" ht="20.25" hidden="1" customHeight="1">
      <c r="A138" s="452" t="s">
        <v>251</v>
      </c>
      <c r="B138" s="439" t="s">
        <v>70</v>
      </c>
      <c r="C138" s="462" t="s">
        <v>50</v>
      </c>
      <c r="D138" s="528"/>
      <c r="E138" s="439"/>
      <c r="F138" s="463">
        <f t="array" ref="F138">+INDEX('[3]Budget original'!$A$2:$AO$501,MATCH($A138,'[3]Budget original'!$A$2:$A$501,0),MATCH(F$2,'[3]Budget original'!$A$2:$AO$2,0))</f>
        <v>0</v>
      </c>
      <c r="G138" s="529"/>
      <c r="H138" s="439"/>
      <c r="I138" s="463"/>
      <c r="J138" s="462"/>
      <c r="K138" s="439"/>
      <c r="L138" s="466">
        <f>SUMIFS([3]BV_Data_An_Cour!$AM:$AM,[3]BV_Data_An_Cour!$AP:$AP,$B138,[3]BV_Data_An_Cour!$AQ:$AQ,$C138,[3]BV_Data_An_Cour!$AR:$AR,$L$2)</f>
        <v>0</v>
      </c>
      <c r="M138" s="462"/>
      <c r="N138" s="466">
        <f t="shared" si="36"/>
        <v>0</v>
      </c>
      <c r="O138" s="462"/>
      <c r="P138" s="439"/>
      <c r="Q138" s="466">
        <f>SUMIFS([3]BV_Data_An_Prec!$AM:$AM,[3]BV_Data_An_Prec!$AP:$AP,$B138,[3]BV_Data_An_Prec!$AQ:$AQ,$C138,[3]BV_Data_An_Prec!$AR:$AR,$L$2)</f>
        <v>0</v>
      </c>
      <c r="R138" s="462"/>
      <c r="S138" s="466">
        <f t="shared" si="37"/>
        <v>0</v>
      </c>
      <c r="T138" s="436"/>
      <c r="U138" s="436"/>
      <c r="V138" s="439"/>
      <c r="W138" s="439"/>
      <c r="X138" s="439"/>
      <c r="Y138" s="439"/>
      <c r="Z138" s="439"/>
      <c r="AA138" s="439"/>
      <c r="AB138" s="439"/>
      <c r="AC138" s="439"/>
      <c r="AD138" s="439"/>
      <c r="AE138" s="439"/>
      <c r="AF138" s="439"/>
      <c r="AG138" s="439"/>
      <c r="AH138" s="439"/>
      <c r="AI138" s="439"/>
      <c r="AJ138" s="439"/>
      <c r="AK138" s="439"/>
      <c r="AL138" s="439"/>
      <c r="AM138" s="439"/>
      <c r="AN138" s="439"/>
    </row>
    <row r="139" spans="1:40" ht="15.75" customHeight="1">
      <c r="A139" s="452" t="s">
        <v>252</v>
      </c>
      <c r="B139" s="439" t="s">
        <v>70</v>
      </c>
      <c r="C139" s="453" t="s">
        <v>51</v>
      </c>
      <c r="D139" s="531"/>
      <c r="E139" s="546"/>
      <c r="F139" s="455">
        <f t="array" ref="F139">+INDEX('[3]Budget original'!$A$2:$AO$501,MATCH($A139,'[3]Budget original'!$A$2:$A$501,0),MATCH(F$2,'[3]Budget original'!$A$2:$AO$2,0))</f>
        <v>0</v>
      </c>
      <c r="G139" s="532"/>
      <c r="H139" s="546"/>
      <c r="I139" s="455"/>
      <c r="J139" s="453"/>
      <c r="K139" s="546"/>
      <c r="L139" s="458">
        <f>SUMIFS([3]BV_Data_An_Cour!$AM:$AM,[3]BV_Data_An_Cour!$AP:$AP,$B139,[3]BV_Data_An_Cour!$AQ:$AQ,$C139,[3]BV_Data_An_Cour!$AR:$AR,$L$2)</f>
        <v>1747.1299999999974</v>
      </c>
      <c r="M139" s="453"/>
      <c r="N139" s="458">
        <f t="shared" si="36"/>
        <v>1747.1299999999974</v>
      </c>
      <c r="O139" s="453"/>
      <c r="P139" s="546"/>
      <c r="Q139" s="458">
        <f>SUMIFS([3]BV_Data_An_Prec!$AM:$AM,[3]BV_Data_An_Prec!$AP:$AP,$B139,[3]BV_Data_An_Prec!$AQ:$AQ,$C139,[3]BV_Data_An_Prec!$AR:$AR,$L$2)</f>
        <v>3988.6800000000021</v>
      </c>
      <c r="R139" s="453"/>
      <c r="S139" s="458">
        <f t="shared" si="37"/>
        <v>-2241.5500000000047</v>
      </c>
      <c r="T139" s="436"/>
      <c r="U139" s="436"/>
      <c r="V139" s="439"/>
      <c r="W139" s="439"/>
      <c r="X139" s="439"/>
      <c r="Y139" s="439"/>
      <c r="Z139" s="439"/>
      <c r="AA139" s="439"/>
      <c r="AB139" s="439"/>
      <c r="AC139" s="439"/>
      <c r="AD139" s="439"/>
      <c r="AE139" s="439"/>
      <c r="AF139" s="439"/>
      <c r="AG139" s="439"/>
      <c r="AH139" s="439"/>
      <c r="AI139" s="439"/>
      <c r="AJ139" s="439"/>
      <c r="AK139" s="439"/>
      <c r="AL139" s="439"/>
      <c r="AM139" s="439"/>
      <c r="AN139" s="439"/>
    </row>
    <row r="140" spans="1:40" ht="15.75" customHeight="1">
      <c r="A140" s="452" t="s">
        <v>253</v>
      </c>
      <c r="B140" s="439" t="s">
        <v>70</v>
      </c>
      <c r="C140" s="462" t="s">
        <v>52</v>
      </c>
      <c r="D140" s="528"/>
      <c r="E140" s="439"/>
      <c r="F140" s="463">
        <f t="array" ref="F140">+INDEX('[3]Budget original'!$A$2:$AO$501,MATCH($A140,'[3]Budget original'!$A$2:$A$501,0),MATCH(F$2,'[3]Budget original'!$A$2:$AO$2,0))</f>
        <v>0</v>
      </c>
      <c r="G140" s="529"/>
      <c r="H140" s="439"/>
      <c r="I140" s="463"/>
      <c r="J140" s="462"/>
      <c r="K140" s="439"/>
      <c r="L140" s="466">
        <f>SUMIFS([3]BV_Data_An_Cour!$AM:$AM,[3]BV_Data_An_Cour!$AP:$AP,$B140,[3]BV_Data_An_Cour!$AQ:$AQ,$C140,[3]BV_Data_An_Cour!$AR:$AR,$L$2)</f>
        <v>1889.5299999999988</v>
      </c>
      <c r="M140" s="462"/>
      <c r="N140" s="466">
        <f t="shared" si="36"/>
        <v>1889.5299999999988</v>
      </c>
      <c r="O140" s="462"/>
      <c r="P140" s="439"/>
      <c r="Q140" s="466">
        <f>SUMIFS([3]BV_Data_An_Prec!$AM:$AM,[3]BV_Data_An_Prec!$AP:$AP,$B140,[3]BV_Data_An_Prec!$AQ:$AQ,$C140,[3]BV_Data_An_Prec!$AR:$AR,$L$2)</f>
        <v>892.35999999999876</v>
      </c>
      <c r="R140" s="462"/>
      <c r="S140" s="466">
        <f t="shared" si="37"/>
        <v>997.17000000000007</v>
      </c>
      <c r="T140" s="436"/>
      <c r="U140" s="436"/>
      <c r="V140" s="439"/>
      <c r="W140" s="439"/>
      <c r="X140" s="439"/>
      <c r="Y140" s="439"/>
      <c r="Z140" s="439"/>
      <c r="AA140" s="439"/>
      <c r="AB140" s="439"/>
      <c r="AC140" s="439"/>
      <c r="AD140" s="439"/>
      <c r="AE140" s="439"/>
      <c r="AF140" s="439"/>
      <c r="AG140" s="439"/>
      <c r="AH140" s="439"/>
      <c r="AI140" s="439"/>
      <c r="AJ140" s="439"/>
      <c r="AK140" s="439"/>
      <c r="AL140" s="439"/>
      <c r="AM140" s="439"/>
      <c r="AN140" s="439"/>
    </row>
    <row r="141" spans="1:40" ht="15.75" customHeight="1">
      <c r="A141" s="452" t="s">
        <v>254</v>
      </c>
      <c r="B141" s="439" t="s">
        <v>70</v>
      </c>
      <c r="C141" s="462" t="s">
        <v>53</v>
      </c>
      <c r="D141" s="528"/>
      <c r="E141" s="439"/>
      <c r="F141" s="463">
        <f t="array" ref="F141">+INDEX('[3]Budget original'!$A$2:$AO$501,MATCH($A141,'[3]Budget original'!$A$2:$A$501,0),MATCH(F$2,'[3]Budget original'!$A$2:$AO$2,0))</f>
        <v>0</v>
      </c>
      <c r="G141" s="529"/>
      <c r="H141" s="439"/>
      <c r="I141" s="463"/>
      <c r="J141" s="462"/>
      <c r="K141" s="439"/>
      <c r="L141" s="466">
        <f>SUMIFS([3]BV_Data_An_Cour!$AM:$AM,[3]BV_Data_An_Cour!$AP:$AP,$B141,[3]BV_Data_An_Cour!$AQ:$AQ,$C141,[3]BV_Data_An_Cour!$AR:$AR,$L$2)</f>
        <v>439.38999999999942</v>
      </c>
      <c r="M141" s="462"/>
      <c r="N141" s="466">
        <f t="shared" si="36"/>
        <v>439.38999999999942</v>
      </c>
      <c r="O141" s="462"/>
      <c r="P141" s="439"/>
      <c r="Q141" s="466">
        <f>SUMIFS([3]BV_Data_An_Prec!$AM:$AM,[3]BV_Data_An_Prec!$AP:$AP,$B141,[3]BV_Data_An_Prec!$AQ:$AQ,$C141,[3]BV_Data_An_Prec!$AR:$AR,$L$2)</f>
        <v>6479.02</v>
      </c>
      <c r="R141" s="462"/>
      <c r="S141" s="466">
        <f t="shared" si="37"/>
        <v>-6039.630000000001</v>
      </c>
      <c r="T141" s="584"/>
      <c r="U141" s="436"/>
      <c r="V141" s="439"/>
      <c r="W141" s="439"/>
      <c r="X141" s="439"/>
      <c r="Y141" s="439"/>
      <c r="Z141" s="439"/>
      <c r="AA141" s="439"/>
      <c r="AB141" s="439"/>
      <c r="AC141" s="439"/>
      <c r="AD141" s="439"/>
      <c r="AE141" s="439"/>
      <c r="AF141" s="439"/>
      <c r="AG141" s="439"/>
      <c r="AH141" s="439"/>
      <c r="AI141" s="439"/>
      <c r="AJ141" s="439"/>
      <c r="AK141" s="439"/>
      <c r="AL141" s="439"/>
      <c r="AM141" s="439"/>
      <c r="AN141" s="439"/>
    </row>
    <row r="142" spans="1:40" ht="15.75" customHeight="1">
      <c r="A142" s="452" t="s">
        <v>255</v>
      </c>
      <c r="B142" s="439" t="s">
        <v>70</v>
      </c>
      <c r="C142" s="453" t="s">
        <v>54</v>
      </c>
      <c r="D142" s="531"/>
      <c r="E142" s="546"/>
      <c r="F142" s="455">
        <f t="array" ref="F142">+INDEX('[3]Budget original'!$A$2:$AO$501,MATCH($A142,'[3]Budget original'!$A$2:$A$501,0),MATCH(F$2,'[3]Budget original'!$A$2:$AO$2,0))</f>
        <v>0</v>
      </c>
      <c r="G142" s="532"/>
      <c r="H142" s="546"/>
      <c r="I142" s="455"/>
      <c r="J142" s="453"/>
      <c r="K142" s="546"/>
      <c r="L142" s="458">
        <f>SUMIFS([3]BV_Data_An_Cour!$AM:$AM,[3]BV_Data_An_Cour!$AP:$AP,$B142,[3]BV_Data_An_Cour!$AQ:$AQ,$C142,[3]BV_Data_An_Cour!$AR:$AR,$L$2)</f>
        <v>2853.41</v>
      </c>
      <c r="M142" s="453"/>
      <c r="N142" s="458">
        <f t="shared" si="36"/>
        <v>2853.41</v>
      </c>
      <c r="O142" s="453"/>
      <c r="P142" s="546"/>
      <c r="Q142" s="458">
        <f>SUMIFS([3]BV_Data_An_Prec!$AM:$AM,[3]BV_Data_An_Prec!$AP:$AP,$B142,[3]BV_Data_An_Prec!$AQ:$AQ,$C142,[3]BV_Data_An_Prec!$AR:$AR,$L$2)</f>
        <v>5700.76</v>
      </c>
      <c r="R142" s="453"/>
      <c r="S142" s="458">
        <f t="shared" si="37"/>
        <v>-2847.3500000000004</v>
      </c>
      <c r="T142" s="436"/>
      <c r="U142" s="521"/>
      <c r="V142" s="439"/>
      <c r="W142" s="439"/>
      <c r="X142" s="439"/>
      <c r="Y142" s="439"/>
      <c r="Z142" s="439"/>
      <c r="AA142" s="439"/>
      <c r="AB142" s="439"/>
      <c r="AC142" s="439"/>
      <c r="AD142" s="439"/>
      <c r="AE142" s="439"/>
      <c r="AF142" s="439"/>
      <c r="AG142" s="439"/>
      <c r="AH142" s="439"/>
      <c r="AI142" s="439"/>
      <c r="AJ142" s="439"/>
      <c r="AK142" s="439"/>
      <c r="AL142" s="439"/>
      <c r="AM142" s="439"/>
      <c r="AN142" s="439"/>
    </row>
    <row r="143" spans="1:40" ht="15.75" customHeight="1">
      <c r="A143" s="452" t="s">
        <v>256</v>
      </c>
      <c r="B143" s="439" t="s">
        <v>70</v>
      </c>
      <c r="C143" s="462" t="s">
        <v>55</v>
      </c>
      <c r="D143" s="528"/>
      <c r="E143" s="439"/>
      <c r="F143" s="463">
        <f t="array" ref="F143">+INDEX('[3]Budget original'!$A$2:$AO$501,MATCH($A143,'[3]Budget original'!$A$2:$A$501,0),MATCH(F$2,'[3]Budget original'!$A$2:$AO$2,0))</f>
        <v>0</v>
      </c>
      <c r="G143" s="529"/>
      <c r="H143" s="439"/>
      <c r="I143" s="463"/>
      <c r="J143" s="462"/>
      <c r="K143" s="439"/>
      <c r="L143" s="466">
        <f>SUMIFS([3]BV_Data_An_Cour!$AM:$AM,[3]BV_Data_An_Cour!$AP:$AP,$B143,[3]BV_Data_An_Cour!$AQ:$AQ,$C143,[3]BV_Data_An_Cour!$AR:$AR,$L$2)</f>
        <v>210.47000000000003</v>
      </c>
      <c r="M143" s="462"/>
      <c r="N143" s="466">
        <f t="shared" si="36"/>
        <v>210.47000000000003</v>
      </c>
      <c r="O143" s="462"/>
      <c r="P143" s="439"/>
      <c r="Q143" s="466">
        <f>SUMIFS([3]BV_Data_An_Prec!$AM:$AM,[3]BV_Data_An_Prec!$AP:$AP,$B143,[3]BV_Data_An_Prec!$AQ:$AQ,$C143,[3]BV_Data_An_Prec!$AR:$AR,$L$2)</f>
        <v>104.11999999999989</v>
      </c>
      <c r="R143" s="462"/>
      <c r="S143" s="466">
        <f t="shared" si="37"/>
        <v>106.35000000000014</v>
      </c>
      <c r="T143" s="436"/>
      <c r="U143" s="436"/>
      <c r="V143" s="439"/>
      <c r="W143" s="439"/>
      <c r="X143" s="439"/>
      <c r="Y143" s="439"/>
      <c r="Z143" s="439"/>
      <c r="AA143" s="439"/>
      <c r="AB143" s="439"/>
      <c r="AC143" s="439"/>
      <c r="AD143" s="439"/>
      <c r="AE143" s="439"/>
      <c r="AF143" s="439"/>
      <c r="AG143" s="439"/>
      <c r="AH143" s="439"/>
      <c r="AI143" s="439"/>
      <c r="AJ143" s="439"/>
      <c r="AK143" s="439"/>
      <c r="AL143" s="439"/>
      <c r="AM143" s="439"/>
      <c r="AN143" s="439"/>
    </row>
    <row r="144" spans="1:40" ht="15.75" customHeight="1">
      <c r="A144" s="452" t="s">
        <v>257</v>
      </c>
      <c r="B144" s="439" t="s">
        <v>70</v>
      </c>
      <c r="C144" s="462" t="s">
        <v>56</v>
      </c>
      <c r="D144" s="528"/>
      <c r="E144" s="439"/>
      <c r="F144" s="463">
        <f t="array" ref="F144">+INDEX('[3]Budget original'!$A$2:$AO$501,MATCH($A144,'[3]Budget original'!$A$2:$A$501,0),MATCH(F$2,'[3]Budget original'!$A$2:$AO$2,0))</f>
        <v>0</v>
      </c>
      <c r="G144" s="529"/>
      <c r="H144" s="439"/>
      <c r="I144" s="463"/>
      <c r="J144" s="462"/>
      <c r="K144" s="439"/>
      <c r="L144" s="466">
        <f>SUMIFS([3]BV_Data_An_Cour!$AM:$AM,[3]BV_Data_An_Cour!$AP:$AP,$B144,[3]BV_Data_An_Cour!$AQ:$AQ,$C144,[3]BV_Data_An_Cour!$AR:$AR,$L$2)</f>
        <v>0</v>
      </c>
      <c r="M144" s="462"/>
      <c r="N144" s="466">
        <f t="shared" si="36"/>
        <v>0</v>
      </c>
      <c r="O144" s="462"/>
      <c r="P144" s="439"/>
      <c r="Q144" s="466">
        <f>SUMIFS([3]BV_Data_An_Prec!$AM:$AM,[3]BV_Data_An_Prec!$AP:$AP,$B144,[3]BV_Data_An_Prec!$AQ:$AQ,$C144,[3]BV_Data_An_Prec!$AR:$AR,$L$2)</f>
        <v>0</v>
      </c>
      <c r="R144" s="462"/>
      <c r="S144" s="466">
        <f t="shared" si="37"/>
        <v>0</v>
      </c>
      <c r="T144" s="436"/>
      <c r="U144" s="521"/>
      <c r="V144" s="439"/>
      <c r="W144" s="439"/>
      <c r="X144" s="439"/>
      <c r="Y144" s="439"/>
      <c r="Z144" s="439"/>
      <c r="AA144" s="439"/>
      <c r="AB144" s="439"/>
      <c r="AC144" s="439"/>
      <c r="AD144" s="439"/>
      <c r="AE144" s="439"/>
      <c r="AF144" s="439"/>
      <c r="AG144" s="439"/>
      <c r="AH144" s="439"/>
      <c r="AI144" s="439"/>
      <c r="AJ144" s="439"/>
      <c r="AK144" s="439"/>
      <c r="AL144" s="439"/>
      <c r="AM144" s="439"/>
      <c r="AN144" s="439"/>
    </row>
    <row r="145" spans="1:40" ht="15.75" customHeight="1">
      <c r="A145" s="452" t="s">
        <v>258</v>
      </c>
      <c r="B145" s="439" t="s">
        <v>70</v>
      </c>
      <c r="C145" s="462" t="s">
        <v>57</v>
      </c>
      <c r="D145" s="528"/>
      <c r="E145" s="439"/>
      <c r="F145" s="463">
        <f t="array" ref="F145">+INDEX('[3]Budget original'!$A$2:$AO$501,MATCH($A145,'[3]Budget original'!$A$2:$A$501,0),MATCH(F$2,'[3]Budget original'!$A$2:$AO$2,0))</f>
        <v>0</v>
      </c>
      <c r="G145" s="529"/>
      <c r="H145" s="439"/>
      <c r="I145" s="463"/>
      <c r="J145" s="462"/>
      <c r="K145" s="439"/>
      <c r="L145" s="466">
        <f>SUMIFS([3]BV_Data_An_Cour!$AM:$AM,[3]BV_Data_An_Cour!$AP:$AP,$B145,[3]BV_Data_An_Cour!$AQ:$AQ,$C145,[3]BV_Data_An_Cour!$AR:$AR,$L$2)</f>
        <v>162.69999999999982</v>
      </c>
      <c r="M145" s="462"/>
      <c r="N145" s="466">
        <f t="shared" si="36"/>
        <v>162.69999999999982</v>
      </c>
      <c r="O145" s="462"/>
      <c r="P145" s="439"/>
      <c r="Q145" s="466">
        <f>SUMIFS([3]BV_Data_An_Prec!$AM:$AM,[3]BV_Data_An_Prec!$AP:$AP,$B145,[3]BV_Data_An_Prec!$AQ:$AQ,$C145,[3]BV_Data_An_Prec!$AR:$AR,$L$2)</f>
        <v>240.25</v>
      </c>
      <c r="R145" s="462"/>
      <c r="S145" s="466">
        <f t="shared" si="37"/>
        <v>-77.550000000000182</v>
      </c>
      <c r="T145" s="436"/>
      <c r="U145" s="436"/>
      <c r="V145" s="439"/>
      <c r="W145" s="439"/>
      <c r="X145" s="439"/>
      <c r="Y145" s="439"/>
      <c r="Z145" s="439"/>
      <c r="AA145" s="439"/>
      <c r="AB145" s="439"/>
      <c r="AC145" s="439"/>
      <c r="AD145" s="439"/>
      <c r="AE145" s="439"/>
      <c r="AF145" s="439"/>
      <c r="AG145" s="439"/>
      <c r="AH145" s="439"/>
      <c r="AI145" s="439"/>
      <c r="AJ145" s="439"/>
      <c r="AK145" s="439"/>
      <c r="AL145" s="439"/>
      <c r="AM145" s="439"/>
      <c r="AN145" s="439"/>
    </row>
    <row r="146" spans="1:40" ht="15.75" customHeight="1">
      <c r="A146" s="452" t="s">
        <v>259</v>
      </c>
      <c r="B146" s="439" t="s">
        <v>70</v>
      </c>
      <c r="C146" s="462" t="s">
        <v>58</v>
      </c>
      <c r="D146" s="528"/>
      <c r="E146" s="439"/>
      <c r="F146" s="463">
        <f t="array" ref="F146">+INDEX('[3]Budget original'!$A$2:$AO$501,MATCH($A146,'[3]Budget original'!$A$2:$A$501,0),MATCH(F$2,'[3]Budget original'!$A$2:$AO$2,0))</f>
        <v>0</v>
      </c>
      <c r="G146" s="529"/>
      <c r="H146" s="439"/>
      <c r="I146" s="463"/>
      <c r="J146" s="462"/>
      <c r="K146" s="439"/>
      <c r="L146" s="466">
        <f>SUMIFS([3]BV_Data_An_Cour!$AM:$AM,[3]BV_Data_An_Cour!$AP:$AP,$B146,[3]BV_Data_An_Cour!$AQ:$AQ,$C146,[3]BV_Data_An_Cour!$AR:$AR,$L$2)</f>
        <v>422.13000000000011</v>
      </c>
      <c r="M146" s="462"/>
      <c r="N146" s="466">
        <f t="shared" si="36"/>
        <v>422.13000000000011</v>
      </c>
      <c r="O146" s="462"/>
      <c r="P146" s="439"/>
      <c r="Q146" s="466">
        <f>SUMIFS([3]BV_Data_An_Prec!$AM:$AM,[3]BV_Data_An_Prec!$AP:$AP,$B146,[3]BV_Data_An_Prec!$AQ:$AQ,$C146,[3]BV_Data_An_Prec!$AR:$AR,$L$2)</f>
        <v>105.3100000000004</v>
      </c>
      <c r="R146" s="462"/>
      <c r="S146" s="466">
        <f t="shared" si="37"/>
        <v>316.81999999999971</v>
      </c>
      <c r="T146" s="436"/>
      <c r="U146" s="436"/>
      <c r="V146" s="439"/>
      <c r="W146" s="439"/>
      <c r="X146" s="439"/>
      <c r="Y146" s="439"/>
      <c r="Z146" s="439"/>
      <c r="AA146" s="439"/>
      <c r="AB146" s="439"/>
      <c r="AC146" s="439"/>
      <c r="AD146" s="439"/>
      <c r="AE146" s="439"/>
      <c r="AF146" s="439"/>
      <c r="AG146" s="439"/>
      <c r="AH146" s="439"/>
      <c r="AI146" s="439"/>
      <c r="AJ146" s="439"/>
      <c r="AK146" s="439"/>
      <c r="AL146" s="439"/>
      <c r="AM146" s="439"/>
      <c r="AN146" s="439"/>
    </row>
    <row r="147" spans="1:40" ht="15.75" customHeight="1">
      <c r="A147" s="452" t="s">
        <v>260</v>
      </c>
      <c r="B147" s="439" t="s">
        <v>70</v>
      </c>
      <c r="C147" s="462" t="s">
        <v>59</v>
      </c>
      <c r="D147" s="528"/>
      <c r="E147" s="439"/>
      <c r="F147" s="463">
        <f t="array" ref="F147">+INDEX('[3]Budget original'!$A$2:$AO$501,MATCH($A147,'[3]Budget original'!$A$2:$A$501,0),MATCH(F$2,'[3]Budget original'!$A$2:$AO$2,0))</f>
        <v>0</v>
      </c>
      <c r="G147" s="529"/>
      <c r="H147" s="439"/>
      <c r="I147" s="463"/>
      <c r="J147" s="462"/>
      <c r="K147" s="439"/>
      <c r="L147" s="466">
        <f>SUMIFS([3]BV_Data_An_Cour!$AM:$AM,[3]BV_Data_An_Cour!$AP:$AP,$B147,[3]BV_Data_An_Cour!$AQ:$AQ,$C147,[3]BV_Data_An_Cour!$AR:$AR,$L$2)</f>
        <v>765.27999999999884</v>
      </c>
      <c r="M147" s="462"/>
      <c r="N147" s="466">
        <f t="shared" si="36"/>
        <v>765.27999999999884</v>
      </c>
      <c r="O147" s="462"/>
      <c r="P147" s="439"/>
      <c r="Q147" s="466">
        <f>SUMIFS([3]BV_Data_An_Prec!$AM:$AM,[3]BV_Data_An_Prec!$AP:$AP,$B147,[3]BV_Data_An_Prec!$AQ:$AQ,$C147,[3]BV_Data_An_Prec!$AR:$AR,$L$2)</f>
        <v>1586.2599999999993</v>
      </c>
      <c r="R147" s="462"/>
      <c r="S147" s="466">
        <f t="shared" si="37"/>
        <v>-820.98000000000047</v>
      </c>
      <c r="T147" s="436"/>
      <c r="U147" s="436"/>
      <c r="V147" s="439"/>
      <c r="W147" s="439"/>
      <c r="X147" s="439"/>
      <c r="Y147" s="439"/>
      <c r="Z147" s="439"/>
      <c r="AA147" s="439"/>
      <c r="AB147" s="439"/>
      <c r="AC147" s="439"/>
      <c r="AD147" s="439"/>
      <c r="AE147" s="439"/>
      <c r="AF147" s="439"/>
      <c r="AG147" s="439"/>
      <c r="AH147" s="439"/>
      <c r="AI147" s="439"/>
      <c r="AJ147" s="439"/>
      <c r="AK147" s="439"/>
      <c r="AL147" s="439"/>
      <c r="AM147" s="439"/>
      <c r="AN147" s="439"/>
    </row>
    <row r="148" spans="1:40" ht="15.75" customHeight="1">
      <c r="A148" s="452" t="s">
        <v>261</v>
      </c>
      <c r="B148" s="439" t="s">
        <v>70</v>
      </c>
      <c r="C148" s="462" t="s">
        <v>60</v>
      </c>
      <c r="D148" s="528"/>
      <c r="E148" s="439"/>
      <c r="F148" s="463">
        <f t="array" ref="F148">+INDEX('[3]Budget original'!$A$2:$AO$501,MATCH($A148,'[3]Budget original'!$A$2:$A$501,0),MATCH(F$2,'[3]Budget original'!$A$2:$AO$2,0))</f>
        <v>0</v>
      </c>
      <c r="G148" s="529"/>
      <c r="H148" s="439"/>
      <c r="I148" s="463"/>
      <c r="J148" s="462"/>
      <c r="K148" s="439"/>
      <c r="L148" s="466">
        <f>SUMIFS([3]BV_Data_An_Cour!$AM:$AM,[3]BV_Data_An_Cour!$AP:$AP,$B148,[3]BV_Data_An_Cour!$AQ:$AQ,$C148,[3]BV_Data_An_Cour!$AR:$AR,$L$2)</f>
        <v>1872.1899999999996</v>
      </c>
      <c r="M148" s="462"/>
      <c r="N148" s="466">
        <f t="shared" si="36"/>
        <v>1872.1899999999996</v>
      </c>
      <c r="O148" s="462"/>
      <c r="P148" s="439"/>
      <c r="Q148" s="466">
        <f>SUMIFS([3]BV_Data_An_Prec!$AM:$AM,[3]BV_Data_An_Prec!$AP:$AP,$B148,[3]BV_Data_An_Prec!$AQ:$AQ,$C148,[3]BV_Data_An_Prec!$AR:$AR,$L$2)</f>
        <v>3098.5</v>
      </c>
      <c r="R148" s="462"/>
      <c r="S148" s="466">
        <f t="shared" si="37"/>
        <v>-1226.3100000000004</v>
      </c>
      <c r="T148" s="436"/>
      <c r="U148" s="436"/>
      <c r="V148" s="439"/>
      <c r="W148" s="439"/>
      <c r="X148" s="439"/>
      <c r="Y148" s="439"/>
      <c r="Z148" s="439"/>
      <c r="AA148" s="439"/>
      <c r="AB148" s="439"/>
      <c r="AC148" s="439"/>
      <c r="AD148" s="439"/>
      <c r="AE148" s="439"/>
      <c r="AF148" s="439"/>
      <c r="AG148" s="439"/>
      <c r="AH148" s="439"/>
      <c r="AI148" s="439"/>
      <c r="AJ148" s="439"/>
      <c r="AK148" s="439"/>
      <c r="AL148" s="439"/>
      <c r="AM148" s="439"/>
      <c r="AN148" s="439"/>
    </row>
    <row r="149" spans="1:40" ht="15.75" customHeight="1">
      <c r="A149" s="452" t="s">
        <v>262</v>
      </c>
      <c r="B149" s="439" t="s">
        <v>70</v>
      </c>
      <c r="C149" s="462" t="s">
        <v>61</v>
      </c>
      <c r="D149" s="528"/>
      <c r="E149" s="439"/>
      <c r="F149" s="463">
        <f t="array" ref="F149">+INDEX('[3]Budget original'!$A$2:$AO$501,MATCH($A149,'[3]Budget original'!$A$2:$A$501,0),MATCH(F$2,'[3]Budget original'!$A$2:$AO$2,0))</f>
        <v>0</v>
      </c>
      <c r="G149" s="529"/>
      <c r="H149" s="439"/>
      <c r="I149" s="463"/>
      <c r="J149" s="462"/>
      <c r="K149" s="439"/>
      <c r="L149" s="466">
        <f>SUMIFS([3]BV_Data_An_Cour!$AM:$AM,[3]BV_Data_An_Cour!$AP:$AP,$B149,[3]BV_Data_An_Cour!$AQ:$AQ,$C149,[3]BV_Data_An_Cour!$AR:$AR,$L$2)</f>
        <v>0</v>
      </c>
      <c r="M149" s="462"/>
      <c r="N149" s="466">
        <f t="shared" si="36"/>
        <v>0</v>
      </c>
      <c r="O149" s="462"/>
      <c r="P149" s="439"/>
      <c r="Q149" s="466">
        <f>SUMIFS([3]BV_Data_An_Prec!$AM:$AM,[3]BV_Data_An_Prec!$AP:$AP,$B149,[3]BV_Data_An_Prec!$AQ:$AQ,$C149,[3]BV_Data_An_Prec!$AR:$AR,$L$2)</f>
        <v>0</v>
      </c>
      <c r="R149" s="462"/>
      <c r="S149" s="466">
        <f t="shared" si="37"/>
        <v>0</v>
      </c>
      <c r="T149" s="436"/>
      <c r="U149" s="436"/>
      <c r="X149" s="439"/>
      <c r="Y149" s="439"/>
      <c r="Z149" s="439"/>
      <c r="AA149" s="439"/>
      <c r="AB149" s="439"/>
      <c r="AC149" s="439"/>
      <c r="AD149" s="439"/>
      <c r="AE149" s="439"/>
      <c r="AF149" s="439"/>
      <c r="AG149" s="439"/>
      <c r="AH149" s="439"/>
      <c r="AI149" s="439"/>
      <c r="AJ149" s="439"/>
      <c r="AK149" s="439"/>
      <c r="AL149" s="439"/>
      <c r="AM149" s="439"/>
      <c r="AN149" s="439"/>
    </row>
    <row r="150" spans="1:40" ht="15.75" customHeight="1">
      <c r="A150" s="452" t="s">
        <v>263</v>
      </c>
      <c r="B150" s="439" t="s">
        <v>70</v>
      </c>
      <c r="C150" s="462" t="s">
        <v>62</v>
      </c>
      <c r="D150" s="528"/>
      <c r="E150" s="439"/>
      <c r="F150" s="463">
        <f t="array" ref="F150">+INDEX('[3]Budget original'!$A$2:$AO$501,MATCH($A150,'[3]Budget original'!$A$2:$A$501,0),MATCH(F$2,'[3]Budget original'!$A$2:$AO$2,0))</f>
        <v>0</v>
      </c>
      <c r="G150" s="529"/>
      <c r="H150" s="439"/>
      <c r="I150" s="463"/>
      <c r="J150" s="462"/>
      <c r="K150" s="439"/>
      <c r="L150" s="466">
        <f>SUMIFS([3]BV_Data_An_Cour!$AM:$AM,[3]BV_Data_An_Cour!$AP:$AP,$B150,[3]BV_Data_An_Cour!$AQ:$AQ,$C150,[3]BV_Data_An_Cour!$AR:$AR,$L$2)</f>
        <v>1645.38</v>
      </c>
      <c r="M150" s="462"/>
      <c r="N150" s="466">
        <f t="shared" si="36"/>
        <v>1645.38</v>
      </c>
      <c r="O150" s="462"/>
      <c r="P150" s="439"/>
      <c r="Q150" s="466">
        <f>SUMIFS([3]BV_Data_An_Prec!$AM:$AM,[3]BV_Data_An_Prec!$AP:$AP,$B150,[3]BV_Data_An_Prec!$AQ:$AQ,$C150,[3]BV_Data_An_Prec!$AR:$AR,$L$2)</f>
        <v>251.75</v>
      </c>
      <c r="R150" s="462"/>
      <c r="S150" s="466">
        <f t="shared" si="37"/>
        <v>1393.63</v>
      </c>
      <c r="T150" s="521"/>
      <c r="U150" s="436"/>
      <c r="X150" s="439"/>
      <c r="Y150" s="439"/>
      <c r="Z150" s="439"/>
      <c r="AA150" s="439"/>
      <c r="AB150" s="439"/>
      <c r="AC150" s="439"/>
      <c r="AD150" s="439"/>
      <c r="AE150" s="439"/>
      <c r="AF150" s="439"/>
      <c r="AG150" s="439"/>
      <c r="AH150" s="439"/>
      <c r="AI150" s="439"/>
      <c r="AJ150" s="439"/>
      <c r="AK150" s="439"/>
      <c r="AL150" s="439"/>
      <c r="AM150" s="439"/>
      <c r="AN150" s="439"/>
    </row>
    <row r="151" spans="1:40" ht="20.25" hidden="1" customHeight="1">
      <c r="A151" s="452" t="s">
        <v>239</v>
      </c>
      <c r="B151" s="439" t="s">
        <v>70</v>
      </c>
      <c r="C151" s="462" t="s">
        <v>19</v>
      </c>
      <c r="D151" s="528"/>
      <c r="E151" s="439"/>
      <c r="F151" s="463">
        <f t="array" ref="F151">+INDEX('[3]Budget original'!$A$2:$AO$501,MATCH($A151,'[3]Budget original'!$A$2:$A$501,0),MATCH(F$2,'[3]Budget original'!$A$2:$AO$2,0))</f>
        <v>0</v>
      </c>
      <c r="G151" s="529"/>
      <c r="H151" s="439"/>
      <c r="I151" s="463"/>
      <c r="J151" s="462"/>
      <c r="K151" s="439"/>
      <c r="L151" s="466">
        <f>SUMIFS([3]BV_Data_An_Cour!$AM:$AM,[3]BV_Data_An_Cour!$AP:$AP,$B151,[3]BV_Data_An_Cour!$AQ:$AQ,$C151,[3]BV_Data_An_Cour!$AR:$AR,$L$2)</f>
        <v>0</v>
      </c>
      <c r="M151" s="462"/>
      <c r="N151" s="466">
        <f t="shared" si="36"/>
        <v>0</v>
      </c>
      <c r="O151" s="462"/>
      <c r="P151" s="439"/>
      <c r="Q151" s="466">
        <f>SUMIFS([3]BV_Data_An_Prec!$AM:$AM,[3]BV_Data_An_Prec!$AP:$AP,$B151,[3]BV_Data_An_Prec!$AQ:$AQ,$C151,[3]BV_Data_An_Prec!$AR:$AR,$L$2)</f>
        <v>0</v>
      </c>
      <c r="R151" s="462"/>
      <c r="S151" s="466">
        <f t="shared" si="37"/>
        <v>0</v>
      </c>
      <c r="T151" s="436"/>
      <c r="U151" s="436"/>
      <c r="X151" s="439"/>
      <c r="Y151" s="439"/>
      <c r="Z151" s="439"/>
      <c r="AA151" s="439"/>
      <c r="AB151" s="439"/>
      <c r="AC151" s="439"/>
      <c r="AD151" s="439"/>
      <c r="AE151" s="439"/>
      <c r="AF151" s="439"/>
      <c r="AG151" s="439"/>
      <c r="AH151" s="439"/>
      <c r="AI151" s="439"/>
      <c r="AJ151" s="439"/>
      <c r="AK151" s="439"/>
      <c r="AL151" s="439"/>
      <c r="AM151" s="439"/>
      <c r="AN151" s="439"/>
    </row>
    <row r="152" spans="1:40" ht="20.25" hidden="1" customHeight="1">
      <c r="A152" s="452" t="s">
        <v>239</v>
      </c>
      <c r="B152" s="439" t="s">
        <v>70</v>
      </c>
      <c r="C152" s="462" t="s">
        <v>19</v>
      </c>
      <c r="D152" s="528"/>
      <c r="E152" s="439"/>
      <c r="F152" s="463">
        <f t="array" ref="F152">+INDEX('[3]Budget original'!$A$2:$AO$501,MATCH($A152,'[3]Budget original'!$A$2:$A$501,0),MATCH(F$2,'[3]Budget original'!$A$2:$AO$2,0))</f>
        <v>0</v>
      </c>
      <c r="G152" s="529"/>
      <c r="H152" s="439"/>
      <c r="I152" s="463"/>
      <c r="J152" s="462"/>
      <c r="K152" s="439"/>
      <c r="L152" s="466">
        <f>SUMIFS([3]BV_Data_An_Cour!$AM:$AM,[3]BV_Data_An_Cour!$AP:$AP,$B152,[3]BV_Data_An_Cour!$AQ:$AQ,$C152,[3]BV_Data_An_Cour!$AR:$AR,$L$2)</f>
        <v>0</v>
      </c>
      <c r="M152" s="462"/>
      <c r="N152" s="466">
        <f t="shared" si="36"/>
        <v>0</v>
      </c>
      <c r="O152" s="462"/>
      <c r="P152" s="439"/>
      <c r="Q152" s="466">
        <f>SUMIFS([3]BV_Data_An_Prec!$AM:$AM,[3]BV_Data_An_Prec!$AP:$AP,$B152,[3]BV_Data_An_Prec!$AQ:$AQ,$C152,[3]BV_Data_An_Prec!$AR:$AR,$L$2)</f>
        <v>0</v>
      </c>
      <c r="R152" s="462"/>
      <c r="S152" s="466">
        <f t="shared" si="37"/>
        <v>0</v>
      </c>
      <c r="T152" s="436"/>
      <c r="U152" s="436"/>
      <c r="X152" s="439"/>
      <c r="Y152" s="439"/>
      <c r="Z152" s="439"/>
      <c r="AA152" s="439"/>
      <c r="AB152" s="439"/>
      <c r="AC152" s="439"/>
      <c r="AD152" s="439"/>
      <c r="AE152" s="439"/>
      <c r="AF152" s="439"/>
      <c r="AG152" s="439"/>
      <c r="AH152" s="439"/>
      <c r="AI152" s="439"/>
      <c r="AJ152" s="439"/>
      <c r="AK152" s="439"/>
      <c r="AL152" s="439"/>
      <c r="AM152" s="439"/>
      <c r="AN152" s="439"/>
    </row>
    <row r="153" spans="1:40" ht="20.25" hidden="1" customHeight="1">
      <c r="A153" s="452" t="s">
        <v>239</v>
      </c>
      <c r="B153" s="439" t="s">
        <v>70</v>
      </c>
      <c r="C153" s="462" t="s">
        <v>19</v>
      </c>
      <c r="D153" s="528"/>
      <c r="E153" s="439"/>
      <c r="F153" s="463">
        <f t="array" ref="F153">+INDEX('[3]Budget original'!$A$2:$AO$501,MATCH($A153,'[3]Budget original'!$A$2:$A$501,0),MATCH(F$2,'[3]Budget original'!$A$2:$AO$2,0))</f>
        <v>0</v>
      </c>
      <c r="G153" s="529"/>
      <c r="H153" s="439"/>
      <c r="I153" s="463"/>
      <c r="J153" s="462"/>
      <c r="K153" s="439"/>
      <c r="L153" s="466">
        <f>SUMIFS([3]BV_Data_An_Cour!$AM:$AM,[3]BV_Data_An_Cour!$AP:$AP,$B153,[3]BV_Data_An_Cour!$AQ:$AQ,$C153,[3]BV_Data_An_Cour!$AR:$AR,$L$2)</f>
        <v>0</v>
      </c>
      <c r="M153" s="462"/>
      <c r="N153" s="466">
        <f t="shared" si="36"/>
        <v>0</v>
      </c>
      <c r="O153" s="462"/>
      <c r="P153" s="439"/>
      <c r="Q153" s="466">
        <f>SUMIFS([3]BV_Data_An_Prec!$AM:$AM,[3]BV_Data_An_Prec!$AP:$AP,$B153,[3]BV_Data_An_Prec!$AQ:$AQ,$C153,[3]BV_Data_An_Prec!$AR:$AR,$L$2)</f>
        <v>0</v>
      </c>
      <c r="R153" s="462"/>
      <c r="S153" s="466">
        <f t="shared" si="37"/>
        <v>0</v>
      </c>
      <c r="T153" s="521"/>
      <c r="U153" s="436"/>
      <c r="X153" s="439"/>
      <c r="Y153" s="439"/>
      <c r="Z153" s="439"/>
      <c r="AA153" s="439"/>
      <c r="AB153" s="439"/>
      <c r="AC153" s="439"/>
      <c r="AD153" s="439"/>
      <c r="AE153" s="439"/>
      <c r="AF153" s="439"/>
      <c r="AG153" s="439"/>
      <c r="AH153" s="439"/>
      <c r="AI153" s="439"/>
      <c r="AJ153" s="439"/>
      <c r="AK153" s="439"/>
      <c r="AL153" s="439"/>
      <c r="AM153" s="439"/>
      <c r="AN153" s="439"/>
    </row>
    <row r="154" spans="1:40" ht="18" customHeight="1">
      <c r="A154" s="452" t="s">
        <v>264</v>
      </c>
      <c r="B154" s="439" t="s">
        <v>70</v>
      </c>
      <c r="C154" s="534" t="s">
        <v>63</v>
      </c>
      <c r="D154" s="535" t="s">
        <v>38</v>
      </c>
      <c r="E154" s="536" t="e">
        <f>F154/F$109</f>
        <v>#DIV/0!</v>
      </c>
      <c r="F154" s="537">
        <f>+SUM(F137:F153)</f>
        <v>0</v>
      </c>
      <c r="G154" s="538"/>
      <c r="H154" s="536"/>
      <c r="I154" s="537"/>
      <c r="J154" s="538" t="s">
        <v>38</v>
      </c>
      <c r="K154" s="536">
        <f>L154/L$109</f>
        <v>0.30209397067973143</v>
      </c>
      <c r="L154" s="537">
        <f>+SUM(L137:L153)</f>
        <v>12007.609999999993</v>
      </c>
      <c r="M154" s="539"/>
      <c r="N154" s="537">
        <f t="shared" si="36"/>
        <v>12007.609999999993</v>
      </c>
      <c r="O154" s="538" t="s">
        <v>38</v>
      </c>
      <c r="P154" s="536">
        <f>Q154/Q$109</f>
        <v>0.18416623934954604</v>
      </c>
      <c r="Q154" s="537">
        <f>+SUM(Q137:Q153)</f>
        <v>22447.01</v>
      </c>
      <c r="R154" s="540"/>
      <c r="S154" s="537">
        <f t="shared" si="37"/>
        <v>-10439.400000000005</v>
      </c>
      <c r="T154" s="436"/>
      <c r="U154" s="436"/>
      <c r="V154" s="439"/>
      <c r="W154" s="439"/>
      <c r="X154" s="439"/>
      <c r="Y154" s="439"/>
      <c r="Z154" s="439"/>
      <c r="AA154" s="439"/>
      <c r="AB154" s="439"/>
      <c r="AC154" s="439"/>
      <c r="AD154" s="439"/>
      <c r="AE154" s="439"/>
      <c r="AF154" s="439"/>
      <c r="AG154" s="439"/>
      <c r="AH154" s="439"/>
      <c r="AI154" s="439"/>
      <c r="AJ154" s="439"/>
      <c r="AK154" s="439"/>
      <c r="AL154" s="439"/>
      <c r="AM154" s="439"/>
      <c r="AN154" s="439"/>
    </row>
    <row r="155" spans="1:40" ht="15.75" customHeight="1">
      <c r="A155" s="452" t="s">
        <v>70</v>
      </c>
      <c r="B155" s="439" t="s">
        <v>70</v>
      </c>
      <c r="C155" s="453"/>
      <c r="D155" s="531"/>
      <c r="E155" s="546"/>
      <c r="F155" s="466"/>
      <c r="G155" s="532"/>
      <c r="H155" s="546"/>
      <c r="I155" s="466"/>
      <c r="J155" s="453"/>
      <c r="K155" s="546"/>
      <c r="L155" s="458"/>
      <c r="M155" s="453"/>
      <c r="N155" s="458"/>
      <c r="O155" s="453"/>
      <c r="P155" s="546"/>
      <c r="Q155" s="458"/>
      <c r="R155" s="453"/>
      <c r="S155" s="458"/>
      <c r="T155" s="547"/>
      <c r="U155" s="436"/>
      <c r="V155" s="439"/>
      <c r="W155" s="439"/>
      <c r="X155" s="439"/>
      <c r="Y155" s="439"/>
      <c r="Z155" s="439"/>
      <c r="AA155" s="439"/>
      <c r="AB155" s="439"/>
      <c r="AC155" s="439"/>
      <c r="AD155" s="439"/>
      <c r="AE155" s="439"/>
      <c r="AF155" s="439"/>
      <c r="AG155" s="439"/>
      <c r="AH155" s="439"/>
      <c r="AI155" s="439"/>
      <c r="AJ155" s="439"/>
      <c r="AK155" s="439"/>
      <c r="AL155" s="439"/>
      <c r="AM155" s="439"/>
      <c r="AN155" s="439"/>
    </row>
    <row r="156" spans="1:40" ht="18" customHeight="1">
      <c r="A156" s="452" t="s">
        <v>265</v>
      </c>
      <c r="B156" s="439" t="s">
        <v>70</v>
      </c>
      <c r="C156" s="534" t="s">
        <v>64</v>
      </c>
      <c r="D156" s="535" t="s">
        <v>38</v>
      </c>
      <c r="E156" s="536" t="e">
        <f>F156/F$109</f>
        <v>#DIV/0!</v>
      </c>
      <c r="F156" s="537">
        <f>F123+F136+F154</f>
        <v>0</v>
      </c>
      <c r="G156" s="538"/>
      <c r="H156" s="536"/>
      <c r="I156" s="537"/>
      <c r="J156" s="538" t="s">
        <v>38</v>
      </c>
      <c r="K156" s="536">
        <f>L156/L$109</f>
        <v>1.8280670213518071</v>
      </c>
      <c r="L156" s="537">
        <f>L123+L136+L154</f>
        <v>72661.87999999999</v>
      </c>
      <c r="M156" s="539"/>
      <c r="N156" s="537">
        <f t="shared" ref="N156:N163" si="40">L156-F156</f>
        <v>72661.87999999999</v>
      </c>
      <c r="O156" s="538" t="s">
        <v>38</v>
      </c>
      <c r="P156" s="536">
        <f>Q156/Q$109</f>
        <v>0.79519356439907374</v>
      </c>
      <c r="Q156" s="537">
        <f>Q123+Q136+Q154</f>
        <v>96921.77</v>
      </c>
      <c r="R156" s="540"/>
      <c r="S156" s="537">
        <f t="shared" ref="S156:S164" si="41">L156-Q156</f>
        <v>-24259.890000000014</v>
      </c>
      <c r="T156" s="436"/>
      <c r="U156" s="436"/>
      <c r="V156" s="439"/>
      <c r="W156" s="439"/>
      <c r="X156" s="439"/>
      <c r="Y156" s="439"/>
      <c r="Z156" s="439"/>
      <c r="AA156" s="439"/>
      <c r="AB156" s="439"/>
      <c r="AC156" s="439"/>
      <c r="AD156" s="439"/>
      <c r="AE156" s="439"/>
      <c r="AF156" s="439"/>
      <c r="AG156" s="439"/>
      <c r="AH156" s="439"/>
      <c r="AI156" s="439"/>
      <c r="AJ156" s="439"/>
      <c r="AK156" s="439"/>
      <c r="AL156" s="439"/>
      <c r="AM156" s="439"/>
      <c r="AN156" s="439"/>
    </row>
    <row r="157" spans="1:40" ht="21" hidden="1" customHeight="1">
      <c r="A157" s="452" t="s">
        <v>266</v>
      </c>
      <c r="B157" s="439" t="s">
        <v>70</v>
      </c>
      <c r="C157" s="548" t="s">
        <v>267</v>
      </c>
      <c r="D157" s="585"/>
      <c r="E157" s="586"/>
      <c r="F157" s="463">
        <f t="array" ref="F157">+INDEX('[3]Budget original'!$A$2:$AO$501,MATCH($A157,'[3]Budget original'!$A$2:$A$501,0),MATCH(F$2,'[3]Budget original'!$A$2:$AO$2,0))</f>
        <v>0</v>
      </c>
      <c r="G157" s="587"/>
      <c r="H157" s="586"/>
      <c r="I157" s="463"/>
      <c r="J157" s="587"/>
      <c r="K157" s="586"/>
      <c r="L157" s="466">
        <v>0</v>
      </c>
      <c r="M157" s="462"/>
      <c r="N157" s="466">
        <f t="shared" si="40"/>
        <v>0</v>
      </c>
      <c r="O157" s="587"/>
      <c r="P157" s="586"/>
      <c r="Q157" s="466">
        <v>0</v>
      </c>
      <c r="R157" s="462"/>
      <c r="S157" s="466">
        <f t="shared" si="41"/>
        <v>0</v>
      </c>
      <c r="T157" s="547"/>
      <c r="U157" s="436"/>
      <c r="V157" s="439"/>
      <c r="W157" s="439"/>
      <c r="X157" s="439"/>
      <c r="Y157" s="439"/>
      <c r="Z157" s="439"/>
      <c r="AA157" s="439"/>
      <c r="AB157" s="439"/>
      <c r="AC157" s="439"/>
      <c r="AD157" s="439"/>
      <c r="AE157" s="439"/>
      <c r="AF157" s="439"/>
      <c r="AG157" s="439"/>
      <c r="AH157" s="439"/>
      <c r="AI157" s="439"/>
      <c r="AJ157" s="439"/>
      <c r="AK157" s="439"/>
      <c r="AL157" s="439"/>
      <c r="AM157" s="439"/>
      <c r="AN157" s="439"/>
    </row>
    <row r="158" spans="1:40" ht="21" hidden="1" customHeight="1">
      <c r="A158" s="452" t="s">
        <v>268</v>
      </c>
      <c r="B158" s="439" t="s">
        <v>70</v>
      </c>
      <c r="C158" s="548" t="s">
        <v>269</v>
      </c>
      <c r="D158" s="585"/>
      <c r="E158" s="586"/>
      <c r="F158" s="463">
        <f t="array" ref="F158">+INDEX('[3]Budget original'!$A$2:$AO$501,MATCH($A158,'[3]Budget original'!$A$2:$A$501,0),MATCH(F$2,'[3]Budget original'!$A$2:$AO$2,0))</f>
        <v>0</v>
      </c>
      <c r="G158" s="587"/>
      <c r="H158" s="586"/>
      <c r="I158" s="463"/>
      <c r="J158" s="587"/>
      <c r="K158" s="586"/>
      <c r="L158" s="466">
        <f>-SUMIFS([3]BV_Data_An_Cour!$AM:$AM,[3]BV_Data_An_Cour!$AP:$AP,$B158,[3]BV_Data_An_Cour!$AQ:$AQ,$C158,[3]BV_Data_An_Cour!$AR:$AR,$L$2)</f>
        <v>0</v>
      </c>
      <c r="M158" s="462"/>
      <c r="N158" s="466">
        <f t="shared" si="40"/>
        <v>0</v>
      </c>
      <c r="O158" s="587"/>
      <c r="P158" s="586"/>
      <c r="Q158" s="466">
        <f>-SUMIFS([3]BV_Data_An_Prec!$AM:$AM,[3]BV_Data_An_Prec!$AP:$AP,$B158,[3]BV_Data_An_Prec!$AQ:$AQ,$C158,[3]BV_Data_An_Prec!$AR:$AR,$L$2)</f>
        <v>0</v>
      </c>
      <c r="R158" s="462"/>
      <c r="S158" s="466">
        <f t="shared" si="41"/>
        <v>0</v>
      </c>
      <c r="T158" s="547"/>
      <c r="U158" s="436"/>
      <c r="V158" s="439"/>
      <c r="W158" s="439"/>
      <c r="X158" s="439"/>
      <c r="Y158" s="439"/>
      <c r="Z158" s="439"/>
      <c r="AA158" s="439"/>
      <c r="AB158" s="439"/>
      <c r="AC158" s="439"/>
      <c r="AD158" s="439"/>
      <c r="AE158" s="439"/>
      <c r="AF158" s="439"/>
      <c r="AG158" s="439"/>
      <c r="AH158" s="439"/>
      <c r="AI158" s="439"/>
      <c r="AJ158" s="439"/>
      <c r="AK158" s="439"/>
      <c r="AL158" s="439"/>
      <c r="AM158" s="439"/>
      <c r="AN158" s="439"/>
    </row>
    <row r="159" spans="1:40" ht="21" hidden="1" customHeight="1">
      <c r="A159" s="452" t="s">
        <v>270</v>
      </c>
      <c r="B159" s="439" t="s">
        <v>70</v>
      </c>
      <c r="C159" s="548" t="s">
        <v>77</v>
      </c>
      <c r="D159" s="528"/>
      <c r="E159" s="439"/>
      <c r="F159" s="463">
        <f t="array" ref="F159">+INDEX('[3]Budget original'!$A$2:$AO$501,MATCH($A159,'[3]Budget original'!$A$2:$A$501,0),MATCH(F$2,'[3]Budget original'!$A$2:$AO$2,0))</f>
        <v>0</v>
      </c>
      <c r="G159" s="529"/>
      <c r="H159" s="439"/>
      <c r="I159" s="463"/>
      <c r="J159" s="462"/>
      <c r="K159" s="439"/>
      <c r="L159" s="466">
        <f>-SUMIFS([3]BV_Data_An_Cour!$AM:$AM,[3]BV_Data_An_Cour!$AP:$AP,$B159,[3]BV_Data_An_Cour!$AQ:$AQ,$C159,[3]BV_Data_An_Cour!$AR:$AR,$L$2)</f>
        <v>0</v>
      </c>
      <c r="M159" s="462"/>
      <c r="N159" s="466">
        <f t="shared" si="40"/>
        <v>0</v>
      </c>
      <c r="O159" s="462"/>
      <c r="P159" s="439"/>
      <c r="Q159" s="466">
        <f>-SUMIFS([3]BV_Data_An_Prec!$AM:$AM,[3]BV_Data_An_Prec!$AP:$AP,$B159,[3]BV_Data_An_Prec!$AQ:$AQ,$C159,[3]BV_Data_An_Prec!$AR:$AR,$L$2)</f>
        <v>0</v>
      </c>
      <c r="R159" s="462"/>
      <c r="S159" s="466">
        <f t="shared" si="41"/>
        <v>0</v>
      </c>
      <c r="T159" s="547"/>
      <c r="U159" s="436"/>
      <c r="V159" s="439"/>
      <c r="W159" s="439"/>
      <c r="X159" s="439"/>
      <c r="Y159" s="439"/>
      <c r="Z159" s="439"/>
      <c r="AA159" s="439"/>
      <c r="AB159" s="439"/>
      <c r="AC159" s="439"/>
      <c r="AD159" s="439"/>
      <c r="AE159" s="439"/>
      <c r="AF159" s="439"/>
      <c r="AG159" s="439"/>
      <c r="AH159" s="439"/>
      <c r="AI159" s="439"/>
      <c r="AJ159" s="439"/>
      <c r="AK159" s="439"/>
      <c r="AL159" s="439"/>
      <c r="AM159" s="439"/>
      <c r="AN159" s="439"/>
    </row>
    <row r="160" spans="1:40" ht="21" customHeight="1">
      <c r="A160" s="452" t="s">
        <v>271</v>
      </c>
      <c r="B160" s="439" t="s">
        <v>70</v>
      </c>
      <c r="C160" s="462" t="s">
        <v>67</v>
      </c>
      <c r="D160" s="588" t="e">
        <f>E160/474</f>
        <v>#DIV/0!</v>
      </c>
      <c r="E160" s="549" t="e">
        <f>F160/D97</f>
        <v>#DIV/0!</v>
      </c>
      <c r="F160" s="463">
        <f t="array" ref="F160">+INDEX('[3]Budget original'!$A$2:$AO$501,MATCH($A160,'[3]Budget original'!$A$2:$A$501,0),MATCH(F$2,'[3]Budget original'!$A$2:$AO$2,0))</f>
        <v>0</v>
      </c>
      <c r="G160" s="529"/>
      <c r="H160" s="439"/>
      <c r="I160" s="463"/>
      <c r="J160" s="552">
        <f>K160/500</f>
        <v>0.5</v>
      </c>
      <c r="K160" s="549">
        <f>L160/J97</f>
        <v>250</v>
      </c>
      <c r="L160" s="466">
        <f>-SUMIFS([3]BV_Data_An_Cour!$AM:$AM,[3]BV_Data_An_Cour!$AP:$AP,$B160,[3]BV_Data_An_Cour!$AQ:$AQ,$C160,[3]BV_Data_An_Cour!$AR:$AR,L$2)</f>
        <v>5500</v>
      </c>
      <c r="M160" s="462"/>
      <c r="N160" s="466">
        <f t="shared" si="40"/>
        <v>5500</v>
      </c>
      <c r="O160" s="552">
        <f>P160/500</f>
        <v>0</v>
      </c>
      <c r="P160" s="549">
        <f>Q160/O97</f>
        <v>0</v>
      </c>
      <c r="Q160" s="466">
        <f>-SUMIFS([3]BV_Data_An_Prec!$AM:$AM,[3]BV_Data_An_Prec!$AP:$AP,$B160,[3]BV_Data_An_Prec!$AQ:$AQ,$C160,[3]BV_Data_An_Prec!$AR:$AR,Q$2)</f>
        <v>0</v>
      </c>
      <c r="R160" s="462"/>
      <c r="S160" s="466">
        <f t="shared" si="41"/>
        <v>5500</v>
      </c>
      <c r="T160" s="547"/>
      <c r="U160" s="436"/>
      <c r="V160" s="439"/>
      <c r="W160" s="439"/>
      <c r="X160" s="439"/>
      <c r="Y160" s="439"/>
      <c r="Z160" s="439"/>
      <c r="AA160" s="439"/>
      <c r="AB160" s="439"/>
      <c r="AC160" s="439"/>
      <c r="AD160" s="439"/>
      <c r="AE160" s="439"/>
      <c r="AF160" s="439"/>
      <c r="AG160" s="439"/>
      <c r="AH160" s="439"/>
      <c r="AI160" s="439"/>
      <c r="AJ160" s="439"/>
      <c r="AK160" s="439"/>
      <c r="AL160" s="439"/>
      <c r="AM160" s="439"/>
      <c r="AN160" s="439"/>
    </row>
    <row r="161" spans="1:40" ht="21" hidden="1" customHeight="1">
      <c r="A161" s="452" t="s">
        <v>239</v>
      </c>
      <c r="B161" s="439" t="s">
        <v>70</v>
      </c>
      <c r="C161" s="462" t="s">
        <v>19</v>
      </c>
      <c r="D161" s="528"/>
      <c r="E161" s="439"/>
      <c r="F161" s="463">
        <f t="array" ref="F161">+INDEX('[3]Budget original'!$A$2:$AO$501,MATCH($A161,'[3]Budget original'!$A$2:$A$501,0),MATCH(F$2,'[3]Budget original'!$A$2:$AO$2,0))</f>
        <v>0</v>
      </c>
      <c r="G161" s="529"/>
      <c r="H161" s="439"/>
      <c r="I161" s="463"/>
      <c r="J161" s="462"/>
      <c r="K161" s="439"/>
      <c r="L161" s="466">
        <f>-SUMIFS([3]BV_Data_An_Cour!$AM:$AM,[3]BV_Data_An_Cour!$AP:$AP,$B161,[3]BV_Data_An_Cour!$AQ:$AQ,$C161,[3]BV_Data_An_Cour!$AR:$AR,$L$2)</f>
        <v>0</v>
      </c>
      <c r="M161" s="462"/>
      <c r="N161" s="466">
        <f t="shared" si="40"/>
        <v>0</v>
      </c>
      <c r="O161" s="462"/>
      <c r="P161" s="439"/>
      <c r="Q161" s="466">
        <f>-SUMIFS([3]BV_Data_An_Prec!$AM:$AM,[3]BV_Data_An_Prec!$AP:$AP,$B161,[3]BV_Data_An_Prec!$AQ:$AQ,$C161,[3]BV_Data_An_Prec!$AR:$AR,$L$2)</f>
        <v>0</v>
      </c>
      <c r="R161" s="462"/>
      <c r="S161" s="466">
        <f t="shared" si="41"/>
        <v>0</v>
      </c>
      <c r="T161" s="547"/>
      <c r="U161" s="436"/>
      <c r="V161" s="439"/>
      <c r="W161" s="439"/>
      <c r="X161" s="439"/>
      <c r="Y161" s="439"/>
      <c r="Z161" s="439"/>
      <c r="AA161" s="439"/>
      <c r="AB161" s="439"/>
      <c r="AC161" s="439"/>
      <c r="AD161" s="439"/>
      <c r="AE161" s="439"/>
      <c r="AF161" s="439"/>
      <c r="AG161" s="439"/>
      <c r="AH161" s="439"/>
      <c r="AI161" s="439"/>
      <c r="AJ161" s="439"/>
      <c r="AK161" s="439"/>
      <c r="AL161" s="439"/>
      <c r="AM161" s="439"/>
      <c r="AN161" s="439"/>
    </row>
    <row r="162" spans="1:40" ht="21" hidden="1" customHeight="1">
      <c r="A162" s="452" t="s">
        <v>239</v>
      </c>
      <c r="B162" s="439" t="s">
        <v>70</v>
      </c>
      <c r="C162" s="462" t="s">
        <v>19</v>
      </c>
      <c r="D162" s="528"/>
      <c r="E162" s="439"/>
      <c r="F162" s="463">
        <f t="array" ref="F162">+INDEX('[3]Budget original'!$A$2:$AO$501,MATCH($A162,'[3]Budget original'!$A$2:$A$501,0),MATCH(F$2,'[3]Budget original'!$A$2:$AO$2,0))</f>
        <v>0</v>
      </c>
      <c r="G162" s="529"/>
      <c r="H162" s="439"/>
      <c r="I162" s="463"/>
      <c r="J162" s="462"/>
      <c r="K162" s="439"/>
      <c r="L162" s="466">
        <f>-SUMIFS([3]BV_Data_An_Cour!$AM:$AM,[3]BV_Data_An_Cour!$AP:$AP,$B162,[3]BV_Data_An_Cour!$AQ:$AQ,$C162,[3]BV_Data_An_Cour!$AR:$AR,$L$2)</f>
        <v>0</v>
      </c>
      <c r="M162" s="462"/>
      <c r="N162" s="466">
        <f t="shared" si="40"/>
        <v>0</v>
      </c>
      <c r="O162" s="462"/>
      <c r="P162" s="439"/>
      <c r="Q162" s="466">
        <f>-SUMIFS([3]BV_Data_An_Prec!$AM:$AM,[3]BV_Data_An_Prec!$AP:$AP,$B162,[3]BV_Data_An_Prec!$AQ:$AQ,$C162,[3]BV_Data_An_Prec!$AR:$AR,$L$2)</f>
        <v>0</v>
      </c>
      <c r="R162" s="462"/>
      <c r="S162" s="466">
        <f t="shared" si="41"/>
        <v>0</v>
      </c>
      <c r="T162" s="547"/>
      <c r="U162" s="436"/>
      <c r="V162" s="439"/>
      <c r="W162" s="439"/>
      <c r="X162" s="439"/>
      <c r="Y162" s="439"/>
      <c r="Z162" s="439"/>
      <c r="AA162" s="439"/>
      <c r="AB162" s="439"/>
      <c r="AC162" s="439"/>
      <c r="AD162" s="439"/>
      <c r="AE162" s="439"/>
      <c r="AF162" s="439"/>
      <c r="AG162" s="439"/>
      <c r="AH162" s="439"/>
      <c r="AI162" s="439"/>
      <c r="AJ162" s="439"/>
      <c r="AK162" s="439"/>
      <c r="AL162" s="439"/>
      <c r="AM162" s="439"/>
      <c r="AN162" s="439"/>
    </row>
    <row r="163" spans="1:40" ht="21" hidden="1" customHeight="1">
      <c r="A163" s="452" t="s">
        <v>239</v>
      </c>
      <c r="B163" s="439" t="s">
        <v>70</v>
      </c>
      <c r="C163" s="453" t="s">
        <v>19</v>
      </c>
      <c r="D163" s="531"/>
      <c r="E163" s="546"/>
      <c r="F163" s="463">
        <f t="array" ref="F163">+INDEX('[3]Budget original'!$A$2:$AO$501,MATCH($A163,'[3]Budget original'!$A$2:$A$501,0),MATCH(F$2,'[3]Budget original'!$A$2:$AO$2,0))</f>
        <v>0</v>
      </c>
      <c r="G163" s="529"/>
      <c r="H163" s="439"/>
      <c r="I163" s="463"/>
      <c r="J163" s="462"/>
      <c r="K163" s="439"/>
      <c r="L163" s="466">
        <f>-SUMIFS([3]BV_Data_An_Cour!$AM:$AM,[3]BV_Data_An_Cour!$AP:$AP,$B163,[3]BV_Data_An_Cour!$AQ:$AQ,$C163,[3]BV_Data_An_Cour!$AR:$AR,$L$2)</f>
        <v>0</v>
      </c>
      <c r="M163" s="462"/>
      <c r="N163" s="466">
        <f t="shared" si="40"/>
        <v>0</v>
      </c>
      <c r="O163" s="462"/>
      <c r="P163" s="439"/>
      <c r="Q163" s="466">
        <f>-SUMIFS([3]BV_Data_An_Prec!$AM:$AM,[3]BV_Data_An_Prec!$AP:$AP,$B163,[3]BV_Data_An_Prec!$AQ:$AQ,$C163,[3]BV_Data_An_Prec!$AR:$AR,$L$2)</f>
        <v>0</v>
      </c>
      <c r="R163" s="462"/>
      <c r="S163" s="466">
        <f t="shared" si="41"/>
        <v>0</v>
      </c>
      <c r="T163" s="547"/>
      <c r="U163" s="436"/>
      <c r="V163" s="439"/>
      <c r="W163" s="439"/>
      <c r="X163" s="439"/>
      <c r="Y163" s="439"/>
      <c r="Z163" s="439"/>
      <c r="AA163" s="439"/>
      <c r="AB163" s="439"/>
      <c r="AC163" s="439"/>
      <c r="AD163" s="439"/>
      <c r="AE163" s="439"/>
      <c r="AF163" s="439"/>
      <c r="AG163" s="439"/>
      <c r="AH163" s="439"/>
      <c r="AI163" s="439"/>
      <c r="AJ163" s="439"/>
      <c r="AK163" s="439"/>
      <c r="AL163" s="439"/>
      <c r="AM163" s="439"/>
      <c r="AN163" s="439"/>
    </row>
    <row r="164" spans="1:40" ht="18" customHeight="1">
      <c r="A164" s="452"/>
      <c r="B164" s="439"/>
      <c r="C164" s="534" t="s">
        <v>68</v>
      </c>
      <c r="D164" s="535"/>
      <c r="E164" s="536"/>
      <c r="F164" s="537">
        <f>+SUM(F157:F163)</f>
        <v>0</v>
      </c>
      <c r="G164" s="538"/>
      <c r="H164" s="536"/>
      <c r="I164" s="537"/>
      <c r="J164" s="538"/>
      <c r="K164" s="536"/>
      <c r="L164" s="537">
        <f>+SUM(L157:L163)</f>
        <v>5500</v>
      </c>
      <c r="M164" s="539"/>
      <c r="N164" s="537">
        <f>SUM(N157:N160)</f>
        <v>5500</v>
      </c>
      <c r="O164" s="538"/>
      <c r="P164" s="536"/>
      <c r="Q164" s="537">
        <f>+SUM(Q157:Q163)</f>
        <v>0</v>
      </c>
      <c r="R164" s="540"/>
      <c r="S164" s="537">
        <f t="shared" si="41"/>
        <v>5500</v>
      </c>
      <c r="T164" s="436"/>
      <c r="U164" s="436"/>
      <c r="V164" s="439"/>
      <c r="W164" s="439"/>
      <c r="X164" s="439"/>
      <c r="Y164" s="439"/>
      <c r="Z164" s="439"/>
      <c r="AA164" s="439"/>
      <c r="AB164" s="439"/>
      <c r="AC164" s="439"/>
      <c r="AD164" s="439"/>
      <c r="AE164" s="439"/>
      <c r="AF164" s="439"/>
      <c r="AG164" s="439"/>
      <c r="AH164" s="439"/>
      <c r="AI164" s="439"/>
      <c r="AJ164" s="439"/>
      <c r="AK164" s="439"/>
      <c r="AL164" s="439"/>
      <c r="AM164" s="439"/>
      <c r="AN164" s="439"/>
    </row>
    <row r="165" spans="1:40" ht="15.75" customHeight="1">
      <c r="B165" s="439"/>
      <c r="C165" s="462"/>
      <c r="D165" s="528"/>
      <c r="E165" s="439"/>
      <c r="F165" s="466"/>
      <c r="G165" s="529"/>
      <c r="H165" s="439"/>
      <c r="I165" s="466"/>
      <c r="J165" s="462"/>
      <c r="K165" s="439"/>
      <c r="L165" s="466"/>
      <c r="M165" s="462"/>
      <c r="N165" s="466"/>
      <c r="O165" s="462"/>
      <c r="P165" s="439"/>
      <c r="Q165" s="466"/>
      <c r="R165" s="462"/>
      <c r="S165" s="466"/>
      <c r="T165" s="589"/>
      <c r="U165" s="436"/>
      <c r="V165" s="439"/>
      <c r="W165" s="439"/>
      <c r="X165" s="439"/>
      <c r="Y165" s="439"/>
      <c r="Z165" s="439"/>
      <c r="AA165" s="439"/>
      <c r="AB165" s="439"/>
      <c r="AC165" s="439"/>
      <c r="AD165" s="439"/>
      <c r="AE165" s="439"/>
      <c r="AF165" s="439"/>
      <c r="AG165" s="439"/>
      <c r="AH165" s="439"/>
      <c r="AI165" s="439"/>
      <c r="AJ165" s="439"/>
      <c r="AK165" s="439"/>
      <c r="AL165" s="439"/>
      <c r="AM165" s="439"/>
      <c r="AN165" s="439"/>
    </row>
    <row r="166" spans="1:40" ht="18" customHeight="1" thickBot="1">
      <c r="A166" s="452"/>
      <c r="B166" s="439"/>
      <c r="C166" s="561" t="s">
        <v>69</v>
      </c>
      <c r="D166" s="562"/>
      <c r="E166" s="563"/>
      <c r="F166" s="564">
        <f>F109-F156+F164</f>
        <v>0</v>
      </c>
      <c r="G166" s="565"/>
      <c r="H166" s="563"/>
      <c r="I166" s="564"/>
      <c r="J166" s="565"/>
      <c r="K166" s="563"/>
      <c r="L166" s="564">
        <f>L109-L156+L164</f>
        <v>-27413.95000000007</v>
      </c>
      <c r="M166" s="566"/>
      <c r="N166" s="564">
        <f>L166-F166</f>
        <v>-27413.95000000007</v>
      </c>
      <c r="O166" s="565"/>
      <c r="P166" s="563"/>
      <c r="Q166" s="564">
        <f>Q109-Q156+Q164</f>
        <v>24962.730000001378</v>
      </c>
      <c r="R166" s="567"/>
      <c r="S166" s="564">
        <f>L166-Q166</f>
        <v>-52376.680000001448</v>
      </c>
      <c r="T166" s="436"/>
      <c r="U166" s="436"/>
      <c r="V166" s="439"/>
      <c r="W166" s="439"/>
      <c r="X166" s="439"/>
      <c r="Y166" s="439"/>
      <c r="Z166" s="439"/>
      <c r="AA166" s="439"/>
      <c r="AB166" s="439"/>
      <c r="AC166" s="439"/>
      <c r="AD166" s="439"/>
      <c r="AE166" s="439"/>
      <c r="AF166" s="439"/>
      <c r="AG166" s="439"/>
      <c r="AH166" s="439"/>
      <c r="AI166" s="439"/>
      <c r="AJ166" s="439"/>
      <c r="AK166" s="439"/>
      <c r="AL166" s="439"/>
      <c r="AM166" s="439"/>
      <c r="AN166" s="439"/>
    </row>
    <row r="167" spans="1:40" ht="15.75" customHeight="1" thickTop="1">
      <c r="B167" s="439"/>
      <c r="C167" s="436"/>
      <c r="D167" s="436"/>
      <c r="E167" s="436"/>
      <c r="F167" s="521"/>
      <c r="G167" s="436"/>
      <c r="H167" s="436"/>
      <c r="I167" s="436"/>
      <c r="J167" s="436"/>
      <c r="K167" s="436"/>
      <c r="L167" s="521"/>
      <c r="M167" s="436"/>
      <c r="N167" s="436"/>
      <c r="O167" s="436"/>
      <c r="P167" s="436"/>
      <c r="Q167" s="436"/>
      <c r="R167" s="521"/>
      <c r="S167" s="436"/>
      <c r="T167" s="521"/>
      <c r="U167" s="436"/>
      <c r="V167" s="439"/>
      <c r="W167" s="439"/>
      <c r="X167" s="439"/>
      <c r="Y167" s="439"/>
      <c r="Z167" s="439"/>
      <c r="AA167" s="439"/>
      <c r="AB167" s="439"/>
      <c r="AC167" s="439"/>
      <c r="AD167" s="439"/>
      <c r="AE167" s="439"/>
      <c r="AF167" s="439"/>
      <c r="AG167" s="439"/>
      <c r="AH167" s="439"/>
      <c r="AI167" s="439"/>
      <c r="AJ167" s="439"/>
      <c r="AK167" s="439"/>
      <c r="AL167" s="439"/>
      <c r="AM167" s="439"/>
      <c r="AN167" s="439"/>
    </row>
    <row r="168" spans="1:40" ht="15.75" customHeight="1">
      <c r="B168" s="439"/>
      <c r="C168" s="436"/>
      <c r="D168" s="436"/>
      <c r="E168" s="436"/>
      <c r="F168" s="521"/>
      <c r="G168" s="436"/>
      <c r="H168" s="436"/>
      <c r="I168" s="436"/>
      <c r="J168" s="436"/>
      <c r="K168" s="436"/>
      <c r="L168" s="521"/>
      <c r="M168" s="436"/>
      <c r="N168" s="436"/>
      <c r="O168" s="436"/>
      <c r="P168" s="436"/>
      <c r="Q168" s="436"/>
      <c r="R168" s="521"/>
      <c r="S168" s="436"/>
      <c r="T168" s="521"/>
      <c r="U168" s="436"/>
      <c r="V168" s="439"/>
      <c r="W168" s="439"/>
      <c r="X168" s="439"/>
      <c r="Y168" s="439"/>
      <c r="Z168" s="439"/>
      <c r="AA168" s="439"/>
      <c r="AB168" s="439"/>
      <c r="AC168" s="439"/>
      <c r="AD168" s="439"/>
      <c r="AE168" s="439"/>
      <c r="AF168" s="439"/>
      <c r="AG168" s="439"/>
      <c r="AH168" s="439"/>
      <c r="AI168" s="439"/>
      <c r="AJ168" s="439"/>
      <c r="AK168" s="439"/>
      <c r="AL168" s="439"/>
      <c r="AM168" s="439"/>
      <c r="AN168" s="439"/>
    </row>
    <row r="169" spans="1:40" ht="33" customHeight="1">
      <c r="B169" s="424"/>
      <c r="C169" s="425" t="str">
        <f>C1</f>
        <v>Ste-Marie Auto</v>
      </c>
      <c r="D169" s="426"/>
      <c r="E169" s="427"/>
      <c r="F169" s="426"/>
      <c r="G169" s="426"/>
      <c r="H169" s="425"/>
      <c r="I169" s="426"/>
      <c r="J169" s="425"/>
      <c r="K169" s="428" t="s">
        <v>220</v>
      </c>
      <c r="L169" s="426"/>
      <c r="M169" s="426"/>
      <c r="N169" s="429"/>
      <c r="O169" s="425"/>
      <c r="P169" s="426"/>
      <c r="Q169" s="425"/>
      <c r="R169" s="426"/>
      <c r="S169" s="430" t="str">
        <f>$S$1</f>
        <v>Réalisé, Septembre 2026</v>
      </c>
      <c r="T169" s="432"/>
      <c r="U169" s="432"/>
      <c r="V169" s="424"/>
      <c r="W169" s="424"/>
      <c r="X169" s="424"/>
      <c r="Y169" s="424"/>
      <c r="Z169" s="424"/>
      <c r="AA169" s="424"/>
      <c r="AB169" s="424"/>
      <c r="AC169" s="424"/>
      <c r="AD169" s="424"/>
      <c r="AE169" s="424"/>
      <c r="AF169" s="424"/>
      <c r="AG169" s="424"/>
      <c r="AH169" s="424"/>
      <c r="AI169" s="424"/>
      <c r="AJ169" s="424"/>
      <c r="AK169" s="424"/>
      <c r="AL169" s="424"/>
      <c r="AM169" s="424"/>
      <c r="AN169" s="424"/>
    </row>
    <row r="170" spans="1:40" ht="15.75" customHeight="1" thickBot="1">
      <c r="B170" s="433"/>
      <c r="C170" s="434"/>
      <c r="D170" s="436"/>
      <c r="E170" s="436"/>
      <c r="F170" s="436"/>
      <c r="G170" s="436"/>
      <c r="H170" s="436"/>
      <c r="I170" s="436"/>
      <c r="J170" s="436"/>
      <c r="K170" s="436"/>
      <c r="L170" s="436"/>
      <c r="M170" s="436"/>
      <c r="N170" s="436"/>
      <c r="O170" s="436"/>
      <c r="P170" s="436"/>
      <c r="Q170" s="436"/>
      <c r="R170" s="436"/>
      <c r="S170" s="436"/>
      <c r="T170" s="436"/>
      <c r="U170" s="436"/>
    </row>
    <row r="171" spans="1:40" ht="15.75" customHeight="1" thickTop="1">
      <c r="B171" s="439"/>
      <c r="C171" s="440"/>
      <c r="D171" s="441" t="s">
        <v>5</v>
      </c>
      <c r="E171" s="442"/>
      <c r="F171" s="443"/>
      <c r="G171" s="444"/>
      <c r="H171" s="442"/>
      <c r="I171" s="443"/>
      <c r="J171" s="444" t="s">
        <v>7</v>
      </c>
      <c r="K171" s="442"/>
      <c r="L171" s="443"/>
      <c r="M171" s="444" t="s">
        <v>211</v>
      </c>
      <c r="N171" s="443"/>
      <c r="O171" s="444" t="s">
        <v>8</v>
      </c>
      <c r="P171" s="442"/>
      <c r="Q171" s="443"/>
      <c r="R171" s="444" t="s">
        <v>212</v>
      </c>
      <c r="S171" s="443"/>
      <c r="T171" s="436"/>
      <c r="U171" s="436"/>
      <c r="V171" s="439"/>
      <c r="W171" s="439"/>
      <c r="X171" s="439"/>
      <c r="Y171" s="439"/>
      <c r="Z171" s="439"/>
      <c r="AA171" s="439"/>
      <c r="AB171" s="439"/>
      <c r="AC171" s="439"/>
      <c r="AD171" s="439"/>
      <c r="AE171" s="439"/>
      <c r="AF171" s="439"/>
      <c r="AG171" s="439"/>
      <c r="AH171" s="439"/>
      <c r="AI171" s="439"/>
      <c r="AJ171" s="439"/>
      <c r="AK171" s="439"/>
      <c r="AL171" s="439"/>
      <c r="AM171" s="439"/>
      <c r="AN171" s="439"/>
    </row>
    <row r="172" spans="1:40" ht="15.75" customHeight="1">
      <c r="B172" s="439"/>
      <c r="C172" s="462"/>
      <c r="D172" s="448" t="s">
        <v>10</v>
      </c>
      <c r="E172" s="449" t="s">
        <v>11</v>
      </c>
      <c r="F172" s="450" t="s">
        <v>12</v>
      </c>
      <c r="G172" s="451"/>
      <c r="H172" s="449"/>
      <c r="I172" s="450"/>
      <c r="J172" s="451" t="s">
        <v>221</v>
      </c>
      <c r="K172" s="449" t="s">
        <v>13</v>
      </c>
      <c r="L172" s="450" t="s">
        <v>12</v>
      </c>
      <c r="M172" s="451" t="s">
        <v>221</v>
      </c>
      <c r="N172" s="450" t="s">
        <v>12</v>
      </c>
      <c r="O172" s="449" t="s">
        <v>10</v>
      </c>
      <c r="P172" s="449" t="s">
        <v>11</v>
      </c>
      <c r="Q172" s="450" t="s">
        <v>12</v>
      </c>
      <c r="R172" s="451" t="s">
        <v>221</v>
      </c>
      <c r="S172" s="450" t="s">
        <v>12</v>
      </c>
      <c r="T172" s="436"/>
      <c r="U172" s="436"/>
      <c r="V172" s="439"/>
      <c r="W172" s="439"/>
      <c r="X172" s="439"/>
      <c r="Y172" s="439"/>
      <c r="Z172" s="439"/>
      <c r="AA172" s="439"/>
      <c r="AB172" s="439"/>
      <c r="AC172" s="439"/>
      <c r="AD172" s="439"/>
      <c r="AE172" s="439"/>
      <c r="AF172" s="439"/>
      <c r="AG172" s="439"/>
      <c r="AH172" s="439"/>
      <c r="AI172" s="439"/>
      <c r="AJ172" s="439"/>
      <c r="AK172" s="439"/>
      <c r="AL172" s="439"/>
      <c r="AM172" s="439"/>
      <c r="AN172" s="439"/>
    </row>
    <row r="173" spans="1:40" ht="24" customHeight="1">
      <c r="A173" s="452" t="s">
        <v>222</v>
      </c>
      <c r="B173" s="439" t="s">
        <v>223</v>
      </c>
      <c r="C173" s="453" t="s">
        <v>14</v>
      </c>
      <c r="D173" s="457"/>
      <c r="E173" s="457"/>
      <c r="F173" s="455">
        <f t="array" ref="F173">+INDEX('[3]Budget original'!$A$2:$AO$501,MATCH($A173,'[3]Budget original'!$A$2:$A$501,0),MATCH(F$2,'[3]Budget original'!$A$2:$AO$2,0))</f>
        <v>0</v>
      </c>
      <c r="G173" s="493"/>
      <c r="H173" s="457"/>
      <c r="I173" s="455"/>
      <c r="J173" s="453"/>
      <c r="K173" s="494"/>
      <c r="L173" s="458">
        <f>-SUMIFS([3]BV_Data_An_Cour!$AM:$AM,[3]BV_Data_An_Cour!$AS:$AS,"Oui",[3]BV_Data_An_Cour!$AP:$AP,$B173)</f>
        <v>1505174.4299999997</v>
      </c>
      <c r="M173" s="572"/>
      <c r="N173" s="573"/>
      <c r="O173" s="453"/>
      <c r="P173" s="494"/>
      <c r="Q173" s="458">
        <f>-SUMIFS([3]BV_Data_An_Prec!$AM:$AM,[3]BV_Data_An_Prec!$AS:$AS,"Oui",[3]BV_Data_An_Prec!$AP:$AP,$B173)</f>
        <v>3840991.4200000018</v>
      </c>
      <c r="R173" s="572"/>
      <c r="S173" s="573"/>
      <c r="T173" s="436"/>
      <c r="U173" s="478"/>
      <c r="V173" s="479"/>
      <c r="W173" s="439"/>
      <c r="X173" s="439"/>
      <c r="Y173" s="439"/>
      <c r="Z173" s="439"/>
      <c r="AA173" s="439"/>
      <c r="AB173" s="439"/>
      <c r="AC173" s="439"/>
      <c r="AD173" s="439"/>
      <c r="AE173" s="439"/>
      <c r="AF173" s="439"/>
      <c r="AG173" s="439"/>
      <c r="AH173" s="439"/>
      <c r="AI173" s="439"/>
      <c r="AJ173" s="439"/>
      <c r="AK173" s="439"/>
      <c r="AL173" s="439"/>
      <c r="AM173" s="439"/>
      <c r="AN173" s="439"/>
    </row>
    <row r="174" spans="1:40" ht="24" customHeight="1">
      <c r="A174" s="452"/>
      <c r="B174" s="439" t="s">
        <v>223</v>
      </c>
      <c r="C174" s="462"/>
      <c r="D174" s="463"/>
      <c r="E174" s="463"/>
      <c r="F174" s="463"/>
      <c r="G174" s="464"/>
      <c r="H174" s="463"/>
      <c r="I174" s="463"/>
      <c r="J174" s="462"/>
      <c r="K174" s="465"/>
      <c r="L174" s="466"/>
      <c r="M174" s="590"/>
      <c r="N174" s="591"/>
      <c r="O174" s="462"/>
      <c r="P174" s="465"/>
      <c r="Q174" s="466"/>
      <c r="R174" s="590"/>
      <c r="S174" s="592"/>
      <c r="T174" s="436"/>
      <c r="U174" s="478"/>
      <c r="V174" s="479"/>
      <c r="W174" s="439"/>
      <c r="X174" s="439"/>
      <c r="Y174" s="439"/>
      <c r="Z174" s="439"/>
      <c r="AA174" s="439"/>
      <c r="AB174" s="439"/>
      <c r="AC174" s="439"/>
      <c r="AD174" s="439"/>
      <c r="AE174" s="439"/>
      <c r="AF174" s="439"/>
      <c r="AG174" s="439"/>
      <c r="AH174" s="439"/>
      <c r="AI174" s="439"/>
      <c r="AJ174" s="439"/>
      <c r="AK174" s="439"/>
      <c r="AL174" s="439"/>
      <c r="AM174" s="439"/>
      <c r="AN174" s="439"/>
    </row>
    <row r="175" spans="1:40" ht="21.75" customHeight="1">
      <c r="A175" s="452" t="s">
        <v>224</v>
      </c>
      <c r="B175" s="439" t="s">
        <v>223</v>
      </c>
      <c r="C175" s="462" t="s">
        <v>225</v>
      </c>
      <c r="D175" s="463">
        <f t="array" ref="D175">+INDEX('[3]Budget original'!$A$2:$AO$501,MATCH($A175,'[3]Budget original'!$A$2:$A$501,0),MATCH(D$2,'[3]Budget original'!$A$2:$AO$2,0))</f>
        <v>0</v>
      </c>
      <c r="E175" s="463">
        <f>IF(D175=0,0,F175/D175)</f>
        <v>0</v>
      </c>
      <c r="F175" s="463">
        <f t="array" ref="F175">+INDEX('[3]Budget original'!$A$2:$AO$501,MATCH($A175,'[3]Budget original'!$A$2:$A$501,0),MATCH(F$2,'[3]Budget original'!$A$2:$AO$2,0))</f>
        <v>0</v>
      </c>
      <c r="G175" s="464"/>
      <c r="H175" s="463"/>
      <c r="I175" s="463"/>
      <c r="J175" s="464">
        <f>SUMIFS([3]BV_Data_An_Cour!$AW:$AW,[3]BV_Data_An_Cour!$AP:$AP,$B175,[3]BV_Data_An_Cour!$AQ:$AQ,$C175,[3]BV_Data_An_Cour!$AY:$AY,J$2)</f>
        <v>12</v>
      </c>
      <c r="K175" s="465">
        <f>IF(J175=0,0,L175/J175)</f>
        <v>-5622.9991666668402</v>
      </c>
      <c r="L175" s="466">
        <f>-SUMIFS([3]BV_Data_An_Cour!$AM:$AM,[3]BV_Data_An_Cour!$AP:$AP,$B175,[3]BV_Data_An_Cour!$AQ:$AQ,$C175,[3]BV_Data_An_Cour!$AR:$AR,$L2)</f>
        <v>-67475.990000002086</v>
      </c>
      <c r="M175" s="464">
        <f>J175-D175</f>
        <v>12</v>
      </c>
      <c r="N175" s="467">
        <f>L175-F175</f>
        <v>-67475.990000002086</v>
      </c>
      <c r="O175" s="464">
        <f>SUMIFS([3]BV_Data_An_Prec!$AW:$AW,[3]BV_Data_An_Prec!$AP:$AP,$B175,[3]BV_Data_An_Prec!$AQ:$AQ,$C175,[3]BV_Data_An_Prec!$AY:$AY,O$2)</f>
        <v>10</v>
      </c>
      <c r="P175" s="465">
        <f>IF(O175=0,0,Q175/O175)</f>
        <v>-1561.5249999999883</v>
      </c>
      <c r="Q175" s="466">
        <f>-SUMIFS([3]BV_Data_An_Prec!$AM:$AM,[3]BV_Data_An_Prec!$AP:$AP,$B175,[3]BV_Data_An_Prec!$AQ:$AQ,$C175,[3]BV_Data_An_Prec!$AR:$AR,$L2)</f>
        <v>-15615.249999999884</v>
      </c>
      <c r="R175" s="464">
        <f>J175-O175</f>
        <v>2</v>
      </c>
      <c r="S175" s="466">
        <f>L175-Q175</f>
        <v>-51860.740000002203</v>
      </c>
      <c r="T175" s="436">
        <v>12</v>
      </c>
      <c r="U175" s="478">
        <v>-67475.98</v>
      </c>
      <c r="V175" s="479">
        <f>L175-U175</f>
        <v>-1.0000002090237103E-2</v>
      </c>
      <c r="W175" s="439"/>
      <c r="X175" s="439"/>
      <c r="Y175" s="439"/>
      <c r="Z175" s="439"/>
      <c r="AA175" s="439"/>
      <c r="AB175" s="439"/>
      <c r="AC175" s="439"/>
      <c r="AD175" s="439"/>
      <c r="AE175" s="439"/>
      <c r="AF175" s="439"/>
      <c r="AG175" s="439"/>
      <c r="AH175" s="439"/>
      <c r="AI175" s="439"/>
      <c r="AJ175" s="439"/>
      <c r="AK175" s="439"/>
      <c r="AL175" s="439"/>
      <c r="AM175" s="439"/>
      <c r="AN175" s="439"/>
    </row>
    <row r="176" spans="1:40" ht="21.75" customHeight="1">
      <c r="A176" s="452"/>
      <c r="B176" s="439" t="s">
        <v>223</v>
      </c>
      <c r="C176" s="453"/>
      <c r="D176" s="457"/>
      <c r="E176" s="457"/>
      <c r="F176" s="457"/>
      <c r="G176" s="493"/>
      <c r="H176" s="457"/>
      <c r="I176" s="457"/>
      <c r="J176" s="493"/>
      <c r="K176" s="494"/>
      <c r="L176" s="458"/>
      <c r="M176" s="493"/>
      <c r="N176" s="455"/>
      <c r="O176" s="493"/>
      <c r="P176" s="494"/>
      <c r="Q176" s="458"/>
      <c r="R176" s="593">
        <f>R175/O175</f>
        <v>0.2</v>
      </c>
      <c r="S176" s="594">
        <f>IF(Q175=0,0,(S175/Q175))</f>
        <v>3.3211597636927102</v>
      </c>
      <c r="T176" s="436"/>
      <c r="U176" s="478"/>
      <c r="V176" s="479"/>
      <c r="W176" s="439"/>
      <c r="X176" s="439"/>
      <c r="Y176" s="439"/>
      <c r="Z176" s="439"/>
      <c r="AA176" s="439"/>
      <c r="AB176" s="439"/>
      <c r="AC176" s="439"/>
      <c r="AD176" s="439"/>
      <c r="AE176" s="439"/>
      <c r="AF176" s="439"/>
      <c r="AG176" s="439"/>
      <c r="AH176" s="439"/>
      <c r="AI176" s="439"/>
      <c r="AJ176" s="439"/>
      <c r="AK176" s="439"/>
      <c r="AL176" s="439"/>
      <c r="AM176" s="439"/>
      <c r="AN176" s="439"/>
    </row>
    <row r="177" spans="1:40" ht="18.75" customHeight="1">
      <c r="A177" s="452" t="s">
        <v>226</v>
      </c>
      <c r="B177" s="439" t="s">
        <v>223</v>
      </c>
      <c r="C177" s="462" t="s">
        <v>227</v>
      </c>
      <c r="D177" s="463">
        <f t="array" ref="D177">+INDEX('[3]Budget original'!$A$2:$AO$501,MATCH($A177,'[3]Budget original'!$A$2:$A$501,0),MATCH(D$2,'[3]Budget original'!$A$2:$AO$2,0))</f>
        <v>0</v>
      </c>
      <c r="E177" s="463">
        <f>IF(D177=0,0,F177/D177)</f>
        <v>0</v>
      </c>
      <c r="F177" s="463">
        <f t="array" ref="F177">+INDEX('[3]Budget original'!$A$2:$AO$501,MATCH($A177,'[3]Budget original'!$A$2:$A$501,0),MATCH(F$2,'[3]Budget original'!$A$2:$AO$2,0))</f>
        <v>0</v>
      </c>
      <c r="G177" s="464"/>
      <c r="H177" s="463"/>
      <c r="I177" s="463"/>
      <c r="J177" s="464">
        <f>SUMIFS([3]BV_Data_An_Cour!$AW:$AW,[3]BV_Data_An_Cour!$AP:$AP,$B177,[3]BV_Data_An_Cour!$AQ:$AQ,$C177,[3]BV_Data_An_Cour!$AY:$AY,J$2)</f>
        <v>18</v>
      </c>
      <c r="K177" s="465">
        <f>IF(J177=0,0,L177/J177)</f>
        <v>1090.676111111107</v>
      </c>
      <c r="L177" s="466">
        <f>-SUMIFS([3]BV_Data_An_Cour!$AM:$AM,[3]BV_Data_An_Cour!$AP:$AP,$B177,[3]BV_Data_An_Cour!$AQ:$AQ,$C177,[3]BV_Data_An_Cour!$AR:$AR,$L2)</f>
        <v>19632.169999999925</v>
      </c>
      <c r="M177" s="464">
        <f>J177-D177</f>
        <v>18</v>
      </c>
      <c r="N177" s="467">
        <f>L177-F177</f>
        <v>19632.169999999925</v>
      </c>
      <c r="O177" s="464">
        <f>SUMIFS([3]BV_Data_An_Prec!$AW:$AW,[3]BV_Data_An_Prec!$AP:$AP,$B177,[3]BV_Data_An_Prec!$AQ:$AQ,$C177,[3]BV_Data_An_Prec!$AY:$AY,O$2)</f>
        <v>0</v>
      </c>
      <c r="P177" s="465">
        <f>IF(O177=0,0,Q177/O177)</f>
        <v>0</v>
      </c>
      <c r="Q177" s="466">
        <f>-SUMIFS([3]BV_Data_An_Prec!$AM:$AM,[3]BV_Data_An_Prec!$AP:$AP,$B177,[3]BV_Data_An_Prec!$AQ:$AQ,$C177,[3]BV_Data_An_Prec!$AR:$AR,$L2)</f>
        <v>0</v>
      </c>
      <c r="R177" s="464">
        <f>J177-O177</f>
        <v>18</v>
      </c>
      <c r="S177" s="466">
        <f>L177-Q177</f>
        <v>19632.169999999925</v>
      </c>
      <c r="T177" s="436">
        <v>18</v>
      </c>
      <c r="U177" s="478">
        <v>19632</v>
      </c>
      <c r="V177" s="479">
        <f>L177-U177</f>
        <v>0.16999999992549419</v>
      </c>
      <c r="W177" s="439"/>
      <c r="X177" s="439"/>
      <c r="Y177" s="439"/>
      <c r="Z177" s="439"/>
      <c r="AA177" s="439"/>
      <c r="AB177" s="439"/>
      <c r="AC177" s="439"/>
      <c r="AD177" s="595"/>
      <c r="AE177" s="439"/>
      <c r="AF177" s="439"/>
      <c r="AG177" s="439"/>
      <c r="AH177" s="439"/>
      <c r="AI177" s="439"/>
      <c r="AJ177" s="439"/>
      <c r="AK177" s="439"/>
      <c r="AL177" s="439"/>
      <c r="AM177" s="439"/>
      <c r="AN177" s="439"/>
    </row>
    <row r="178" spans="1:40" ht="18.75" customHeight="1">
      <c r="A178" s="452"/>
      <c r="B178" s="439" t="s">
        <v>223</v>
      </c>
      <c r="C178" s="453"/>
      <c r="D178" s="457"/>
      <c r="E178" s="457"/>
      <c r="F178" s="457"/>
      <c r="G178" s="493"/>
      <c r="H178" s="457"/>
      <c r="I178" s="457"/>
      <c r="J178" s="493"/>
      <c r="K178" s="494"/>
      <c r="L178" s="458"/>
      <c r="M178" s="493"/>
      <c r="N178" s="455"/>
      <c r="O178" s="493"/>
      <c r="P178" s="494"/>
      <c r="Q178" s="458"/>
      <c r="R178" s="593" t="e">
        <f>R177/O177</f>
        <v>#DIV/0!</v>
      </c>
      <c r="S178" s="594">
        <f>IF(Q177=0,0,(S177/Q177))</f>
        <v>0</v>
      </c>
      <c r="T178" s="436"/>
      <c r="U178" s="478"/>
      <c r="V178" s="479"/>
      <c r="W178" s="439"/>
      <c r="X178" s="439"/>
      <c r="Y178" s="439"/>
      <c r="Z178" s="439"/>
      <c r="AA178" s="439"/>
      <c r="AB178" s="439"/>
      <c r="AC178" s="439"/>
      <c r="AD178" s="439"/>
      <c r="AE178" s="439"/>
      <c r="AF178" s="439"/>
      <c r="AG178" s="439"/>
      <c r="AH178" s="439"/>
      <c r="AI178" s="439"/>
      <c r="AJ178" s="439"/>
      <c r="AK178" s="439"/>
      <c r="AL178" s="439"/>
      <c r="AM178" s="439"/>
      <c r="AN178" s="439"/>
    </row>
    <row r="179" spans="1:40" ht="18.75" customHeight="1">
      <c r="A179" s="452" t="str">
        <f>B179&amp;C179</f>
        <v>Wholesale autresWholesale Luxueux</v>
      </c>
      <c r="B179" s="439" t="s">
        <v>223</v>
      </c>
      <c r="C179" s="462" t="s">
        <v>228</v>
      </c>
      <c r="D179" s="463" t="e">
        <f t="array" ref="D179">+INDEX('[3]Budget original'!$A$2:$AO$501,MATCH($A179,'[3]Budget original'!$A$2:$A$501,0),MATCH(D$2,'[3]Budget original'!$A$2:$AO$2,0))</f>
        <v>#N/A</v>
      </c>
      <c r="E179" s="463" t="e">
        <f>IF(D179=0,0,F179/D179)</f>
        <v>#N/A</v>
      </c>
      <c r="F179" s="463" t="e">
        <f t="array" ref="F179">+INDEX('[3]Budget original'!$A$2:$AO$501,MATCH($A179,'[3]Budget original'!$A$2:$A$501,0),MATCH(F$2,'[3]Budget original'!$A$2:$AO$2,0))</f>
        <v>#N/A</v>
      </c>
      <c r="G179" s="464"/>
      <c r="H179" s="463"/>
      <c r="I179" s="463"/>
      <c r="J179" s="464">
        <f>SUMIFS([3]BV_Data_An_Cour!$AW:$AW,[3]BV_Data_An_Cour!$AP:$AP,$B179,[3]BV_Data_An_Cour!$AQ:$AQ,$C179,[3]BV_Data_An_Cour!$AY:$AY,J$2)</f>
        <v>1</v>
      </c>
      <c r="K179" s="465">
        <f>IF(J179=0,0,L179/J179)</f>
        <v>6000</v>
      </c>
      <c r="L179" s="466">
        <f>-SUMIFS([3]BV_Data_An_Cour!$AM:$AM,[3]BV_Data_An_Cour!$AP:$AP,$B179,[3]BV_Data_An_Cour!$AQ:$AQ,$C179,[3]BV_Data_An_Cour!$AR:$AR,$L2)</f>
        <v>6000</v>
      </c>
      <c r="M179" s="464" t="e">
        <f>J179-D179</f>
        <v>#N/A</v>
      </c>
      <c r="N179" s="467" t="e">
        <f>L179-F179</f>
        <v>#N/A</v>
      </c>
      <c r="O179" s="464">
        <f>SUMIFS([3]BV_Data_An_Prec!$AW:$AW,[3]BV_Data_An_Prec!$AP:$AP,$B179,[3]BV_Data_An_Prec!$AQ:$AQ,$C179,[3]BV_Data_An_Prec!$AY:$AY,O$2)</f>
        <v>21</v>
      </c>
      <c r="P179" s="465">
        <f>IF(O179=0,0,Q179/O179)</f>
        <v>3421.4285714285716</v>
      </c>
      <c r="Q179" s="466">
        <f>-SUMIFS([3]BV_Data_An_Prec!$AM:$AM,[3]BV_Data_An_Prec!$AP:$AP,$B179,[3]BV_Data_An_Prec!$AQ:$AQ,$C179,[3]BV_Data_An_Prec!$AR:$AR,$L2)</f>
        <v>71850</v>
      </c>
      <c r="R179" s="464">
        <f>J179-O179</f>
        <v>-20</v>
      </c>
      <c r="S179" s="466">
        <f>L179-Q179</f>
        <v>-65850</v>
      </c>
      <c r="T179" s="436">
        <v>1</v>
      </c>
      <c r="U179" s="478">
        <v>6000</v>
      </c>
      <c r="V179" s="479">
        <f>L179-U179</f>
        <v>0</v>
      </c>
      <c r="W179" s="439"/>
      <c r="X179" s="439"/>
      <c r="Y179" s="439"/>
      <c r="Z179" s="439"/>
      <c r="AA179" s="439"/>
      <c r="AB179" s="439"/>
      <c r="AC179" s="439"/>
      <c r="AD179" s="439"/>
      <c r="AE179" s="439"/>
      <c r="AF179" s="439"/>
      <c r="AG179" s="439"/>
      <c r="AH179" s="439"/>
      <c r="AI179" s="439"/>
      <c r="AJ179" s="439"/>
      <c r="AK179" s="439"/>
      <c r="AL179" s="439"/>
      <c r="AM179" s="439"/>
      <c r="AN179" s="439"/>
    </row>
    <row r="180" spans="1:40" ht="15.75" customHeight="1">
      <c r="A180" s="452" t="s">
        <v>70</v>
      </c>
      <c r="B180" s="439" t="s">
        <v>223</v>
      </c>
      <c r="C180" s="462"/>
      <c r="D180" s="439"/>
      <c r="E180" s="439"/>
      <c r="F180" s="466"/>
      <c r="G180" s="462"/>
      <c r="H180" s="581"/>
      <c r="I180" s="466"/>
      <c r="J180" s="462"/>
      <c r="K180" s="465"/>
      <c r="L180" s="466"/>
      <c r="M180" s="506"/>
      <c r="N180" s="488" t="e">
        <f>#REF!/#REF!</f>
        <v>#REF!</v>
      </c>
      <c r="O180" s="462"/>
      <c r="P180" s="465"/>
      <c r="Q180" s="466"/>
      <c r="R180" s="596">
        <f>R179/O179</f>
        <v>-0.95238095238095233</v>
      </c>
      <c r="S180" s="497">
        <f>IF(Q179=0,0,(S179/Q179))</f>
        <v>-0.91649269311064718</v>
      </c>
      <c r="T180" s="436"/>
      <c r="U180" s="478"/>
      <c r="V180" s="479"/>
      <c r="W180" s="439"/>
      <c r="X180" s="439"/>
      <c r="Y180" s="439"/>
      <c r="Z180" s="439"/>
      <c r="AA180" s="439"/>
      <c r="AB180" s="439"/>
      <c r="AC180" s="439"/>
      <c r="AD180" s="439"/>
      <c r="AE180" s="439"/>
      <c r="AF180" s="439"/>
      <c r="AG180" s="439"/>
      <c r="AH180" s="439"/>
      <c r="AI180" s="439"/>
      <c r="AJ180" s="439"/>
      <c r="AK180" s="439"/>
      <c r="AL180" s="439"/>
      <c r="AM180" s="439"/>
      <c r="AN180" s="439"/>
    </row>
    <row r="181" spans="1:40" ht="15.75" customHeight="1" thickBot="1">
      <c r="A181" s="452" t="s">
        <v>70</v>
      </c>
      <c r="B181" s="439" t="s">
        <v>223</v>
      </c>
      <c r="C181" s="462"/>
      <c r="D181" s="439"/>
      <c r="E181" s="439"/>
      <c r="F181" s="466"/>
      <c r="G181" s="462"/>
      <c r="H181" s="581"/>
      <c r="I181" s="466"/>
      <c r="J181" s="462"/>
      <c r="K181" s="465"/>
      <c r="L181" s="466"/>
      <c r="M181" s="506"/>
      <c r="N181" s="488"/>
      <c r="O181" s="462"/>
      <c r="P181" s="465"/>
      <c r="Q181" s="466"/>
      <c r="R181" s="468"/>
      <c r="S181" s="485"/>
      <c r="T181" s="436"/>
      <c r="U181" s="478"/>
      <c r="V181" s="479"/>
      <c r="W181" s="439"/>
      <c r="X181" s="439"/>
      <c r="Y181" s="439"/>
      <c r="Z181" s="439"/>
      <c r="AA181" s="439"/>
      <c r="AB181" s="439"/>
      <c r="AC181" s="439"/>
      <c r="AD181" s="439"/>
      <c r="AE181" s="439"/>
      <c r="AF181" s="439"/>
      <c r="AG181" s="439"/>
      <c r="AH181" s="439"/>
      <c r="AI181" s="439"/>
      <c r="AJ181" s="439"/>
      <c r="AK181" s="439"/>
      <c r="AL181" s="439"/>
      <c r="AM181" s="439"/>
      <c r="AN181" s="439"/>
    </row>
    <row r="182" spans="1:40" ht="18" customHeight="1" thickTop="1">
      <c r="A182" s="452" t="s">
        <v>229</v>
      </c>
      <c r="B182" s="439" t="s">
        <v>223</v>
      </c>
      <c r="C182" s="507" t="s">
        <v>230</v>
      </c>
      <c r="D182" s="508" t="e">
        <f>D175+D177+D179</f>
        <v>#N/A</v>
      </c>
      <c r="E182" s="509" t="e">
        <f>IF(D182&lt;=0,0,F182/D182)</f>
        <v>#N/A</v>
      </c>
      <c r="F182" s="510" t="e">
        <f>#REF!+#REF!+#REF!</f>
        <v>#REF!</v>
      </c>
      <c r="G182" s="511"/>
      <c r="H182" s="509"/>
      <c r="I182" s="510"/>
      <c r="J182" s="511">
        <f>J175+J177+J179</f>
        <v>31</v>
      </c>
      <c r="K182" s="508">
        <f>IF(J182&lt;=0,0,L182/J182)</f>
        <v>-1349.8006451613601</v>
      </c>
      <c r="L182" s="510">
        <f>L175+L179+L177</f>
        <v>-41843.820000002161</v>
      </c>
      <c r="M182" s="511" t="e">
        <f>J182-D182</f>
        <v>#N/A</v>
      </c>
      <c r="N182" s="510" t="e">
        <f>L182-F182</f>
        <v>#REF!</v>
      </c>
      <c r="O182" s="511">
        <f>O175+O177+O179</f>
        <v>31</v>
      </c>
      <c r="P182" s="508">
        <f>IF(O182&lt;=0,0,Q182/O182)</f>
        <v>1814.0241935483909</v>
      </c>
      <c r="Q182" s="510">
        <f>Q175+Q179+Q177</f>
        <v>56234.750000000116</v>
      </c>
      <c r="R182" s="511">
        <f>J182-O182</f>
        <v>0</v>
      </c>
      <c r="S182" s="510">
        <f>L182-Q182</f>
        <v>-98078.570000002277</v>
      </c>
      <c r="T182" s="436"/>
      <c r="U182" s="478">
        <f>SUM(U175:U181)</f>
        <v>-41843.979999999996</v>
      </c>
      <c r="V182" s="479">
        <f>L182-U182</f>
        <v>0.15999999783525709</v>
      </c>
      <c r="W182" s="439"/>
      <c r="X182" s="439"/>
      <c r="Y182" s="439"/>
      <c r="Z182" s="439"/>
      <c r="AA182" s="439"/>
      <c r="AB182" s="439"/>
      <c r="AC182" s="439"/>
      <c r="AD182" s="439"/>
      <c r="AE182" s="439"/>
      <c r="AF182" s="439"/>
      <c r="AG182" s="439"/>
      <c r="AH182" s="439"/>
      <c r="AI182" s="439"/>
      <c r="AJ182" s="439"/>
      <c r="AK182" s="439"/>
      <c r="AL182" s="439"/>
      <c r="AM182" s="439"/>
      <c r="AN182" s="439"/>
    </row>
    <row r="183" spans="1:40" ht="22.5" customHeight="1" thickBot="1">
      <c r="A183" s="452" t="s">
        <v>70</v>
      </c>
      <c r="B183" s="439" t="s">
        <v>223</v>
      </c>
      <c r="C183" s="512"/>
      <c r="D183" s="513"/>
      <c r="E183" s="513"/>
      <c r="F183" s="514"/>
      <c r="G183" s="512"/>
      <c r="H183" s="513"/>
      <c r="I183" s="514"/>
      <c r="J183" s="512"/>
      <c r="K183" s="515"/>
      <c r="L183" s="516"/>
      <c r="M183" s="517"/>
      <c r="N183" s="518"/>
      <c r="O183" s="512"/>
      <c r="P183" s="515"/>
      <c r="Q183" s="516"/>
      <c r="R183" s="517" t="e">
        <f>O182/R182</f>
        <v>#DIV/0!</v>
      </c>
      <c r="S183" s="519">
        <f>IF(Q182=0,0,(S182/Q182))</f>
        <v>-1.7440918649056336</v>
      </c>
      <c r="T183" s="436"/>
      <c r="U183" s="478"/>
      <c r="V183" s="479"/>
      <c r="W183" s="439"/>
      <c r="X183" s="439"/>
      <c r="Y183" s="439"/>
      <c r="Z183" s="439"/>
      <c r="AA183" s="439"/>
      <c r="AB183" s="439"/>
      <c r="AC183" s="439"/>
      <c r="AD183" s="439"/>
      <c r="AE183" s="439"/>
      <c r="AF183" s="439"/>
      <c r="AG183" s="439"/>
      <c r="AH183" s="439"/>
      <c r="AI183" s="439"/>
      <c r="AJ183" s="439"/>
      <c r="AK183" s="439"/>
      <c r="AL183" s="439"/>
      <c r="AM183" s="439"/>
      <c r="AN183" s="439"/>
    </row>
    <row r="184" spans="1:40" ht="15.75" customHeight="1" thickTop="1">
      <c r="A184" s="452" t="s">
        <v>70</v>
      </c>
      <c r="B184" s="439" t="s">
        <v>223</v>
      </c>
      <c r="C184" s="480"/>
      <c r="D184" s="481"/>
      <c r="E184" s="481"/>
      <c r="F184" s="483"/>
      <c r="G184" s="480"/>
      <c r="H184" s="481"/>
      <c r="I184" s="483"/>
      <c r="J184" s="480"/>
      <c r="K184" s="484"/>
      <c r="L184" s="485"/>
      <c r="M184" s="506"/>
      <c r="N184" s="488"/>
      <c r="O184" s="480"/>
      <c r="P184" s="484"/>
      <c r="Q184" s="485"/>
      <c r="R184" s="506"/>
      <c r="S184" s="488"/>
      <c r="T184" s="436"/>
      <c r="U184" s="478"/>
      <c r="V184" s="479"/>
      <c r="W184" s="439"/>
      <c r="X184" s="439"/>
      <c r="Y184" s="439"/>
      <c r="Z184" s="439"/>
      <c r="AA184" s="439"/>
      <c r="AB184" s="439"/>
      <c r="AC184" s="439"/>
      <c r="AD184" s="439"/>
      <c r="AE184" s="439"/>
      <c r="AF184" s="439"/>
      <c r="AG184" s="439"/>
      <c r="AH184" s="439"/>
      <c r="AI184" s="439"/>
      <c r="AJ184" s="439"/>
      <c r="AK184" s="439"/>
      <c r="AL184" s="439"/>
      <c r="AM184" s="439"/>
      <c r="AN184" s="439"/>
    </row>
    <row r="185" spans="1:40" ht="15.75" customHeight="1">
      <c r="A185" s="452" t="s">
        <v>231</v>
      </c>
      <c r="B185" s="439" t="s">
        <v>223</v>
      </c>
      <c r="C185" s="522" t="s">
        <v>29</v>
      </c>
      <c r="D185" s="439"/>
      <c r="E185" s="523"/>
      <c r="F185" s="466"/>
      <c r="G185" s="462"/>
      <c r="H185" s="523"/>
      <c r="I185" s="466"/>
      <c r="J185" s="462"/>
      <c r="K185" s="524"/>
      <c r="L185" s="466"/>
      <c r="M185" s="462"/>
      <c r="N185" s="495"/>
      <c r="O185" s="496"/>
      <c r="P185" s="465"/>
      <c r="Q185" s="466"/>
      <c r="R185" s="462"/>
      <c r="S185" s="495"/>
      <c r="T185" s="436"/>
      <c r="U185" s="478"/>
      <c r="V185" s="479"/>
      <c r="W185" s="439"/>
      <c r="X185" s="439"/>
      <c r="Y185" s="439"/>
      <c r="Z185" s="439"/>
      <c r="AA185" s="439"/>
      <c r="AB185" s="439"/>
      <c r="AC185" s="439"/>
      <c r="AD185" s="439"/>
      <c r="AE185" s="439"/>
      <c r="AF185" s="439"/>
      <c r="AG185" s="439"/>
      <c r="AH185" s="439"/>
      <c r="AI185" s="439"/>
      <c r="AJ185" s="439"/>
      <c r="AK185" s="439"/>
      <c r="AL185" s="439"/>
      <c r="AM185" s="439"/>
      <c r="AN185" s="439"/>
    </row>
    <row r="186" spans="1:40" ht="15.75" customHeight="1">
      <c r="A186" s="452" t="s">
        <v>232</v>
      </c>
      <c r="B186" s="439" t="s">
        <v>223</v>
      </c>
      <c r="C186" s="462" t="s">
        <v>30</v>
      </c>
      <c r="D186" s="496" t="e">
        <f>F186/F182</f>
        <v>#REF!</v>
      </c>
      <c r="E186" s="465" t="e">
        <f>IF($J$97=0,0,F186/(D$94+D$95+D182))</f>
        <v>#N/A</v>
      </c>
      <c r="F186" s="463">
        <f t="array" ref="F186">+INDEX('[3]Budget original'!$A$2:$AO$501,MATCH($A186,'[3]Budget original'!$A$2:$A$501,0),MATCH(F$2,'[3]Budget original'!$A$2:$AO$2,0))</f>
        <v>0</v>
      </c>
      <c r="G186" s="496"/>
      <c r="H186" s="465"/>
      <c r="I186" s="463"/>
      <c r="J186" s="496">
        <f>L186/L182</f>
        <v>-6.7263218319929749E-2</v>
      </c>
      <c r="K186" s="465">
        <f>IF($J$97=0,0,L186/(J$94+J$95+J182))</f>
        <v>53.104716981131858</v>
      </c>
      <c r="L186" s="466">
        <f>SUMIFS([3]BV_Data_An_Cour!$AM:$AM,[3]BV_Data_An_Cour!$AP:$AP,$B186,[3]BV_Data_An_Cour!$AQ:$AQ,$C186,[3]BV_Data_An_Cour!$AR:$AR,$L$2)</f>
        <v>2814.5499999999884</v>
      </c>
      <c r="M186" s="462"/>
      <c r="N186" s="466">
        <f t="shared" ref="N186:N227" si="42">L186-F186</f>
        <v>2814.5499999999884</v>
      </c>
      <c r="O186" s="496">
        <f>Q186/Q182</f>
        <v>0</v>
      </c>
      <c r="P186" s="465">
        <f>IF($J$97=0,0,Q186/(O$94+O$95+O182))</f>
        <v>0</v>
      </c>
      <c r="Q186" s="466">
        <f>SUMIFS([3]BV_Data_An_Prec!$AM:$AM,[3]BV_Data_An_Prec!$AP:$AP,$B186,[3]BV_Data_An_Prec!$AQ:$AQ,$C186,[3]BV_Data_An_Prec!$AR:$AR,$L$2)</f>
        <v>0</v>
      </c>
      <c r="R186" s="462"/>
      <c r="S186" s="466">
        <f t="shared" ref="S186:S227" si="43">L186-Q186</f>
        <v>2814.5499999999884</v>
      </c>
      <c r="T186" s="436"/>
      <c r="U186" s="436" t="s">
        <v>502</v>
      </c>
      <c r="V186" s="436" t="s">
        <v>502</v>
      </c>
      <c r="W186" s="439"/>
      <c r="X186" s="439"/>
      <c r="Y186" s="439"/>
      <c r="Z186" s="439"/>
      <c r="AA186" s="439"/>
      <c r="AB186" s="439"/>
      <c r="AC186" s="439"/>
      <c r="AD186" s="439"/>
      <c r="AE186" s="439"/>
      <c r="AF186" s="439"/>
      <c r="AG186" s="439"/>
      <c r="AH186" s="439"/>
      <c r="AI186" s="439"/>
      <c r="AJ186" s="439"/>
      <c r="AK186" s="439"/>
      <c r="AL186" s="439"/>
      <c r="AM186" s="439"/>
      <c r="AN186" s="439"/>
    </row>
    <row r="187" spans="1:40" ht="15.75" customHeight="1">
      <c r="A187" s="452" t="s">
        <v>233</v>
      </c>
      <c r="B187" s="439" t="s">
        <v>223</v>
      </c>
      <c r="C187" s="453" t="s">
        <v>31</v>
      </c>
      <c r="D187" s="527" t="e">
        <f>F187/(F182)</f>
        <v>#REF!</v>
      </c>
      <c r="E187" s="494" t="e">
        <f>IF($J$97=0,0,F187/(D$94+D$95+D182))</f>
        <v>#N/A</v>
      </c>
      <c r="F187" s="455">
        <f t="array" ref="F187">+INDEX('[3]Budget original'!$A$2:$AO$501,MATCH($A187,'[3]Budget original'!$A$2:$A$501,0),MATCH(F$2,'[3]Budget original'!$A$2:$AO$2,0))</f>
        <v>0</v>
      </c>
      <c r="G187" s="527"/>
      <c r="H187" s="494"/>
      <c r="I187" s="455"/>
      <c r="J187" s="527">
        <f>L187/(L182)</f>
        <v>0</v>
      </c>
      <c r="K187" s="494">
        <f>IF($J$97=0,0,L187/(J$94+J$95+J182))</f>
        <v>0</v>
      </c>
      <c r="L187" s="466">
        <f>SUMIFS([3]BV_Data_An_Cour!$AM:$AM,[3]BV_Data_An_Cour!$AP:$AP,$B187,[3]BV_Data_An_Cour!$AQ:$AQ,$C187,[3]BV_Data_An_Cour!$AR:$AR,$L$2)</f>
        <v>0</v>
      </c>
      <c r="M187" s="453"/>
      <c r="N187" s="458">
        <f t="shared" si="42"/>
        <v>0</v>
      </c>
      <c r="O187" s="527">
        <f>Q187/(Q182)</f>
        <v>0</v>
      </c>
      <c r="P187" s="494">
        <f>IF($J$97=0,0,Q187/(O$94+O$95+O182))</f>
        <v>0</v>
      </c>
      <c r="Q187" s="466">
        <f>SUMIFS([3]BV_Data_An_Prec!$AM:$AM,[3]BV_Data_An_Prec!$AP:$AP,$B187,[3]BV_Data_An_Prec!$AQ:$AQ,$C187,[3]BV_Data_An_Prec!$AR:$AR,$L$2)</f>
        <v>0</v>
      </c>
      <c r="R187" s="453"/>
      <c r="S187" s="458">
        <f t="shared" si="43"/>
        <v>0</v>
      </c>
      <c r="T187" s="436"/>
      <c r="U187" s="436"/>
      <c r="V187" s="439"/>
      <c r="W187" s="439"/>
      <c r="X187" s="439"/>
      <c r="Y187" s="439"/>
      <c r="Z187" s="439"/>
      <c r="AA187" s="439"/>
      <c r="AB187" s="439"/>
      <c r="AC187" s="439"/>
      <c r="AD187" s="439"/>
      <c r="AE187" s="439"/>
      <c r="AF187" s="439"/>
      <c r="AG187" s="439"/>
      <c r="AH187" s="439"/>
      <c r="AI187" s="439"/>
      <c r="AJ187" s="439"/>
      <c r="AK187" s="439"/>
      <c r="AL187" s="439"/>
      <c r="AM187" s="439"/>
      <c r="AN187" s="439"/>
    </row>
    <row r="188" spans="1:40" ht="15.75" customHeight="1">
      <c r="A188" s="452" t="s">
        <v>234</v>
      </c>
      <c r="B188" s="439" t="s">
        <v>223</v>
      </c>
      <c r="C188" s="462" t="s">
        <v>32</v>
      </c>
      <c r="D188" s="462"/>
      <c r="E188" s="465" t="e">
        <f>IF($J$97=0,0,F188/(D$94+D$95+D182))</f>
        <v>#N/A</v>
      </c>
      <c r="F188" s="463">
        <f t="array" ref="F188">+INDEX('[3]Budget original'!$A$2:$AO$501,MATCH($A188,'[3]Budget original'!$A$2:$A$501,0),MATCH(F$2,'[3]Budget original'!$A$2:$AO$2,0))</f>
        <v>0</v>
      </c>
      <c r="G188" s="529"/>
      <c r="H188" s="465"/>
      <c r="I188" s="463"/>
      <c r="J188" s="462"/>
      <c r="K188" s="465">
        <f>IF($J$97=0,0,L188/(J$94+J$95+J182))</f>
        <v>7.3916981132075517</v>
      </c>
      <c r="L188" s="503">
        <f>SUMIFS([3]BV_Data_An_Cour!$AM:$AM,[3]BV_Data_An_Cour!$AP:$AP,$B188,[3]BV_Data_An_Cour!$AQ:$AQ,$C188,[3]BV_Data_An_Cour!$AR:$AR,$L$2)</f>
        <v>391.76000000000022</v>
      </c>
      <c r="M188" s="462"/>
      <c r="N188" s="466">
        <f t="shared" si="42"/>
        <v>391.76000000000022</v>
      </c>
      <c r="O188" s="462"/>
      <c r="P188" s="465">
        <f>IF($J$97=0,0,Q188/(O$94+O$95+O182))</f>
        <v>49.010222222222225</v>
      </c>
      <c r="Q188" s="503">
        <f>SUMIFS([3]BV_Data_An_Prec!$AM:$AM,[3]BV_Data_An_Prec!$AP:$AP,$B188,[3]BV_Data_An_Prec!$AQ:$AQ,$C188,[3]BV_Data_An_Prec!$AR:$AR,$L$2)</f>
        <v>2205.46</v>
      </c>
      <c r="R188" s="462"/>
      <c r="S188" s="466">
        <f t="shared" si="43"/>
        <v>-1813.6999999999998</v>
      </c>
      <c r="T188" s="436"/>
      <c r="U188" s="436"/>
      <c r="V188" s="439"/>
      <c r="W188" s="463"/>
      <c r="X188" s="439"/>
      <c r="Y188" s="439"/>
      <c r="Z188" s="439"/>
      <c r="AA188" s="439"/>
      <c r="AB188" s="439"/>
      <c r="AC188" s="439"/>
      <c r="AD188" s="439"/>
      <c r="AE188" s="439"/>
      <c r="AF188" s="439"/>
      <c r="AG188" s="439"/>
      <c r="AH188" s="439"/>
      <c r="AI188" s="439"/>
      <c r="AJ188" s="439"/>
      <c r="AK188" s="439"/>
      <c r="AL188" s="439"/>
      <c r="AM188" s="439"/>
      <c r="AN188" s="439"/>
    </row>
    <row r="189" spans="1:40" ht="15.75" customHeight="1">
      <c r="A189" s="452" t="s">
        <v>235</v>
      </c>
      <c r="B189" s="439" t="s">
        <v>223</v>
      </c>
      <c r="C189" s="462" t="s">
        <v>33</v>
      </c>
      <c r="D189" s="462"/>
      <c r="E189" s="465" t="e">
        <f>IF($J$97=0,0,F189/(D$94+D$95+D182))</f>
        <v>#N/A</v>
      </c>
      <c r="F189" s="463">
        <f t="array" ref="F189">+INDEX('[3]Budget original'!$A$2:$AO$501,MATCH($A189,'[3]Budget original'!$A$2:$A$501,0),MATCH(F$2,'[3]Budget original'!$A$2:$AO$2,0))</f>
        <v>0</v>
      </c>
      <c r="G189" s="529"/>
      <c r="H189" s="465"/>
      <c r="I189" s="463"/>
      <c r="J189" s="462"/>
      <c r="K189" s="465">
        <f>IF($J$97=0,0,L189/(J$94+J$95+J182))</f>
        <v>0</v>
      </c>
      <c r="L189" s="466">
        <f>SUMIFS([3]BV_Data_An_Cour!$AM:$AM,[3]BV_Data_An_Cour!$AP:$AP,$B189,[3]BV_Data_An_Cour!$AQ:$AQ,$C189,[3]BV_Data_An_Cour!$AR:$AR,$L$2)</f>
        <v>0</v>
      </c>
      <c r="M189" s="462"/>
      <c r="N189" s="466">
        <f t="shared" si="42"/>
        <v>0</v>
      </c>
      <c r="O189" s="462"/>
      <c r="P189" s="465">
        <f>IF($J$97=0,0,Q189/(O$94+O$95+O182))</f>
        <v>0</v>
      </c>
      <c r="Q189" s="466">
        <f>SUMIFS([3]BV_Data_An_Prec!$AM:$AM,[3]BV_Data_An_Prec!$AP:$AP,$B189,[3]BV_Data_An_Prec!$AQ:$AQ,$C189,[3]BV_Data_An_Prec!$AR:$AR,$L$2)</f>
        <v>0</v>
      </c>
      <c r="R189" s="462"/>
      <c r="S189" s="466">
        <f t="shared" si="43"/>
        <v>0</v>
      </c>
      <c r="T189" s="436"/>
      <c r="U189" s="436"/>
      <c r="V189" s="439"/>
      <c r="W189" s="463"/>
      <c r="X189" s="439"/>
      <c r="Y189" s="439"/>
      <c r="Z189" s="439"/>
      <c r="AA189" s="439"/>
      <c r="AB189" s="439"/>
      <c r="AC189" s="439"/>
      <c r="AD189" s="439"/>
      <c r="AE189" s="439"/>
      <c r="AF189" s="439"/>
      <c r="AG189" s="439"/>
      <c r="AH189" s="439"/>
      <c r="AI189" s="439"/>
      <c r="AJ189" s="439"/>
      <c r="AK189" s="439"/>
      <c r="AL189" s="439"/>
      <c r="AM189" s="439"/>
      <c r="AN189" s="439"/>
    </row>
    <row r="190" spans="1:40" ht="15.75" customHeight="1">
      <c r="A190" s="452" t="s">
        <v>236</v>
      </c>
      <c r="B190" s="439" t="s">
        <v>223</v>
      </c>
      <c r="C190" s="453" t="s">
        <v>34</v>
      </c>
      <c r="D190" s="453"/>
      <c r="E190" s="494" t="e">
        <f>IF($J$97=0,0,F190/(D$94+D$95+D182))</f>
        <v>#N/A</v>
      </c>
      <c r="F190" s="455">
        <f t="array" ref="F190">+INDEX('[3]Budget original'!$A$2:$AO$501,MATCH($A190,'[3]Budget original'!$A$2:$A$501,0),MATCH(F$2,'[3]Budget original'!$A$2:$AO$2,0))</f>
        <v>0</v>
      </c>
      <c r="G190" s="532"/>
      <c r="H190" s="494"/>
      <c r="I190" s="455"/>
      <c r="J190" s="453"/>
      <c r="K190" s="494">
        <f>IF($J$97=0,0,L190/(J$94+J$95+J182))</f>
        <v>0.330188679245283</v>
      </c>
      <c r="L190" s="458">
        <f>SUMIFS([3]BV_Data_An_Cour!$AM:$AM,[3]BV_Data_An_Cour!$AP:$AP,$B190,[3]BV_Data_An_Cour!$AQ:$AQ,$C190,[3]BV_Data_An_Cour!$AR:$AR,$L$2)</f>
        <v>17.5</v>
      </c>
      <c r="M190" s="453"/>
      <c r="N190" s="458">
        <f t="shared" si="42"/>
        <v>17.5</v>
      </c>
      <c r="O190" s="453"/>
      <c r="P190" s="494">
        <f>IF($J$97=0,0,Q190/(O$94+O$95+O182))</f>
        <v>0</v>
      </c>
      <c r="Q190" s="458">
        <f>SUMIFS([3]BV_Data_An_Prec!$AM:$AM,[3]BV_Data_An_Prec!$AP:$AP,$B190,[3]BV_Data_An_Prec!$AQ:$AQ,$C190,[3]BV_Data_An_Prec!$AR:$AR,$L$2)</f>
        <v>0</v>
      </c>
      <c r="R190" s="453"/>
      <c r="S190" s="458">
        <f t="shared" si="43"/>
        <v>17.5</v>
      </c>
      <c r="T190" s="521"/>
      <c r="U190" s="436"/>
      <c r="V190" s="439"/>
      <c r="W190" s="463"/>
      <c r="X190" s="439"/>
      <c r="Y190" s="439"/>
      <c r="Z190" s="439"/>
      <c r="AA190" s="439"/>
      <c r="AB190" s="439"/>
      <c r="AC190" s="439"/>
      <c r="AD190" s="439"/>
      <c r="AE190" s="439"/>
      <c r="AF190" s="439"/>
      <c r="AG190" s="439"/>
      <c r="AH190" s="439"/>
      <c r="AI190" s="439"/>
      <c r="AJ190" s="439"/>
      <c r="AK190" s="439"/>
      <c r="AL190" s="439"/>
      <c r="AM190" s="439"/>
      <c r="AN190" s="439"/>
    </row>
    <row r="191" spans="1:40" ht="19.5" customHeight="1">
      <c r="A191" s="452" t="s">
        <v>237</v>
      </c>
      <c r="B191" s="439" t="s">
        <v>223</v>
      </c>
      <c r="C191" s="462" t="s">
        <v>35</v>
      </c>
      <c r="D191" s="462"/>
      <c r="E191" s="465" t="e">
        <f>IF($J$97=0,0,F191/(D$94+D$95+D182))</f>
        <v>#N/A</v>
      </c>
      <c r="F191" s="463">
        <f t="array" ref="F191">+INDEX('[3]Budget original'!$A$2:$AO$501,MATCH($A191,'[3]Budget original'!$A$2:$A$501,0),MATCH(F$2,'[3]Budget original'!$A$2:$AO$2,0))</f>
        <v>0</v>
      </c>
      <c r="G191" s="529"/>
      <c r="H191" s="465"/>
      <c r="I191" s="463"/>
      <c r="J191" s="462"/>
      <c r="K191" s="465">
        <f>IF($J$97=0,0,L191/(J$94+J$95+J182))</f>
        <v>0</v>
      </c>
      <c r="L191" s="466">
        <f>SUMIFS([3]BV_Data_An_Cour!$AM:$AM,[3]BV_Data_An_Cour!$AP:$AP,$B191,[3]BV_Data_An_Cour!$AQ:$AQ,$C191,[3]BV_Data_An_Cour!$AR:$AR,$L$2)</f>
        <v>0</v>
      </c>
      <c r="M191" s="462"/>
      <c r="N191" s="466">
        <f t="shared" si="42"/>
        <v>0</v>
      </c>
      <c r="O191" s="462"/>
      <c r="P191" s="465">
        <f>IF($J$97=0,0,Q191/(O$94+O$95+O182))</f>
        <v>0</v>
      </c>
      <c r="Q191" s="466">
        <f>SUMIFS([3]BV_Data_An_Prec!$AM:$AM,[3]BV_Data_An_Prec!$AP:$AP,$B191,[3]BV_Data_An_Prec!$AQ:$AQ,$C191,[3]BV_Data_An_Prec!$AR:$AR,$L$2)</f>
        <v>0</v>
      </c>
      <c r="R191" s="462"/>
      <c r="S191" s="466">
        <f t="shared" si="43"/>
        <v>0</v>
      </c>
      <c r="T191" s="521"/>
      <c r="U191" s="436"/>
      <c r="V191" s="439"/>
      <c r="W191" s="463"/>
      <c r="Z191" s="439"/>
      <c r="AA191" s="439"/>
      <c r="AB191" s="439"/>
      <c r="AC191" s="439"/>
      <c r="AD191" s="439"/>
      <c r="AE191" s="439"/>
      <c r="AF191" s="439"/>
      <c r="AG191" s="439"/>
      <c r="AH191" s="439"/>
      <c r="AI191" s="439"/>
      <c r="AJ191" s="439"/>
      <c r="AK191" s="439"/>
      <c r="AL191" s="439"/>
      <c r="AM191" s="439"/>
      <c r="AN191" s="439"/>
    </row>
    <row r="192" spans="1:40" ht="15.75" customHeight="1">
      <c r="A192" s="452" t="s">
        <v>238</v>
      </c>
      <c r="B192" s="439" t="s">
        <v>223</v>
      </c>
      <c r="C192" s="462" t="s">
        <v>36</v>
      </c>
      <c r="D192" s="462"/>
      <c r="E192" s="465" t="e">
        <f>IF($J$97=0,0,F192/(D$94+D$95+D182))</f>
        <v>#N/A</v>
      </c>
      <c r="F192" s="463">
        <f t="array" ref="F192">+INDEX('[3]Budget original'!$A$2:$AO$501,MATCH($A192,'[3]Budget original'!$A$2:$A$501,0),MATCH(F$2,'[3]Budget original'!$A$2:$AO$2,0))</f>
        <v>0</v>
      </c>
      <c r="G192" s="529"/>
      <c r="H192" s="465"/>
      <c r="I192" s="463"/>
      <c r="J192" s="462"/>
      <c r="K192" s="465">
        <f>IF($J$97=0,0,L192/(J$94+J$95+J182))</f>
        <v>103.8105660377357</v>
      </c>
      <c r="L192" s="466">
        <f>SUMIFS([3]BV_Data_An_Cour!$AM:$AM,[3]BV_Data_An_Cour!$AP:$AP,$B192,[3]BV_Data_An_Cour!$AQ:$AQ,$C192,[3]BV_Data_An_Cour!$AR:$AR,$L$2)</f>
        <v>5501.9599999999919</v>
      </c>
      <c r="M192" s="462"/>
      <c r="N192" s="466">
        <f t="shared" si="42"/>
        <v>5501.9599999999919</v>
      </c>
      <c r="O192" s="462"/>
      <c r="P192" s="465">
        <f>IF($J$97=0,0,Q192/(O$94+O$95+O182))</f>
        <v>36.94688888888858</v>
      </c>
      <c r="Q192" s="466">
        <f>SUMIFS([3]BV_Data_An_Prec!$AM:$AM,[3]BV_Data_An_Prec!$AP:$AP,$B192,[3]BV_Data_An_Prec!$AQ:$AQ,$C192,[3]BV_Data_An_Prec!$AR:$AR,$L$2)</f>
        <v>1662.609999999986</v>
      </c>
      <c r="R192" s="462"/>
      <c r="S192" s="466">
        <f t="shared" si="43"/>
        <v>3839.3500000000058</v>
      </c>
      <c r="T192" s="436">
        <f>5502</f>
        <v>5502</v>
      </c>
      <c r="U192" s="436"/>
      <c r="V192" s="439"/>
      <c r="W192" s="463"/>
      <c r="X192" s="439"/>
      <c r="Y192" s="439"/>
      <c r="Z192" s="439"/>
      <c r="AA192" s="439"/>
      <c r="AB192" s="439"/>
      <c r="AC192" s="439"/>
      <c r="AD192" s="439"/>
      <c r="AE192" s="439"/>
      <c r="AF192" s="439"/>
      <c r="AG192" s="439"/>
      <c r="AH192" s="439"/>
      <c r="AI192" s="439"/>
      <c r="AJ192" s="439"/>
      <c r="AK192" s="439"/>
      <c r="AL192" s="439"/>
      <c r="AM192" s="439"/>
      <c r="AN192" s="439"/>
    </row>
    <row r="193" spans="1:40" ht="20.25" customHeight="1">
      <c r="A193" s="452" t="s">
        <v>239</v>
      </c>
      <c r="B193" s="439" t="s">
        <v>223</v>
      </c>
      <c r="C193" s="462" t="s">
        <v>303</v>
      </c>
      <c r="D193" s="528"/>
      <c r="E193" s="465" t="e">
        <f t="shared" ref="E193:E195" si="44">F193/D$97</f>
        <v>#DIV/0!</v>
      </c>
      <c r="F193" s="463">
        <f t="array" ref="F193">+INDEX('[3]Budget original'!$A$2:$AO$501,MATCH($A193,'[3]Budget original'!$A$2:$A$501,0),MATCH(F$2,'[3]Budget original'!$A$2:$AO$2,0))</f>
        <v>0</v>
      </c>
      <c r="G193" s="529"/>
      <c r="H193" s="465"/>
      <c r="I193" s="463"/>
      <c r="J193" s="462"/>
      <c r="K193" s="465">
        <f t="shared" ref="K193:K195" si="45">IF($J$97=0,0,L193/(J$94+J$95))</f>
        <v>0</v>
      </c>
      <c r="L193" s="467">
        <f>SUMIFS([3]BV_Data_An_Cour!$AM:$AM,[3]BV_Data_An_Cour!$AP:$AP,$B193,[3]BV_Data_An_Cour!$AQ:$AQ,$C193,[3]BV_Data_An_Cour!$AR:$AR,$L$2)</f>
        <v>0</v>
      </c>
      <c r="M193" s="462"/>
      <c r="N193" s="466">
        <f t="shared" si="42"/>
        <v>0</v>
      </c>
      <c r="O193" s="462"/>
      <c r="P193" s="465">
        <f t="shared" ref="P193:P195" si="46">IF($J$97=0,0,Q193/(O$94+O$95))</f>
        <v>0</v>
      </c>
      <c r="Q193" s="467">
        <f>SUMIFS([3]BV_Data_An_Prec!$AM:$AM,[3]BV_Data_An_Prec!$AP:$AP,$B193,[3]BV_Data_An_Prec!$AQ:$AQ,$C193,[3]BV_Data_An_Prec!$AR:$AR,$L$2)</f>
        <v>0</v>
      </c>
      <c r="R193" s="462"/>
      <c r="S193" s="466">
        <f t="shared" si="43"/>
        <v>0</v>
      </c>
      <c r="T193" s="436"/>
      <c r="U193" s="436"/>
      <c r="V193" s="439"/>
      <c r="W193" s="439"/>
      <c r="X193" s="439"/>
      <c r="Y193" s="439"/>
      <c r="Z193" s="439"/>
      <c r="AA193" s="439"/>
      <c r="AB193" s="439"/>
      <c r="AC193" s="439"/>
      <c r="AD193" s="439"/>
      <c r="AE193" s="439"/>
      <c r="AF193" s="439"/>
      <c r="AG193" s="439"/>
      <c r="AH193" s="439"/>
      <c r="AI193" s="439"/>
      <c r="AJ193" s="439"/>
      <c r="AK193" s="439"/>
      <c r="AL193" s="439"/>
      <c r="AM193" s="439"/>
      <c r="AN193" s="439"/>
    </row>
    <row r="194" spans="1:40" ht="20.25" customHeight="1">
      <c r="A194" s="452" t="s">
        <v>239</v>
      </c>
      <c r="B194" s="439" t="s">
        <v>223</v>
      </c>
      <c r="C194" s="462" t="s">
        <v>304</v>
      </c>
      <c r="D194" s="528"/>
      <c r="E194" s="465" t="e">
        <f t="shared" si="44"/>
        <v>#DIV/0!</v>
      </c>
      <c r="F194" s="463">
        <f t="array" ref="F194">+INDEX('[3]Budget original'!$A$2:$AO$501,MATCH($A194,'[3]Budget original'!$A$2:$A$501,0),MATCH(F$2,'[3]Budget original'!$A$2:$AO$2,0))</f>
        <v>0</v>
      </c>
      <c r="G194" s="529"/>
      <c r="H194" s="465"/>
      <c r="I194" s="463"/>
      <c r="J194" s="462"/>
      <c r="K194" s="465">
        <f t="shared" si="45"/>
        <v>-42.129545454545472</v>
      </c>
      <c r="L194" s="466">
        <f>SUMIFS([3]BV_Data_An_Cour!$AM:$AM,[3]BV_Data_An_Cour!$AP:$AP,$B194,[3]BV_Data_An_Cour!$AQ:$AQ,$C194,[3]BV_Data_An_Cour!$AR:$AR,$L$2)</f>
        <v>-926.85000000000036</v>
      </c>
      <c r="M194" s="462"/>
      <c r="N194" s="466">
        <f t="shared" si="42"/>
        <v>-926.85000000000036</v>
      </c>
      <c r="O194" s="462"/>
      <c r="P194" s="465">
        <f t="shared" si="46"/>
        <v>0</v>
      </c>
      <c r="Q194" s="467">
        <f>SUMIFS([3]BV_Data_An_Prec!$AM:$AM,[3]BV_Data_An_Prec!$AP:$AP,$B194,[3]BV_Data_An_Prec!$AQ:$AQ,$C194,[3]BV_Data_An_Prec!$AR:$AR,$L$2)</f>
        <v>0</v>
      </c>
      <c r="R194" s="462"/>
      <c r="S194" s="466">
        <f t="shared" si="43"/>
        <v>-926.85000000000036</v>
      </c>
      <c r="T194" s="436">
        <v>-927</v>
      </c>
      <c r="U194" s="436"/>
      <c r="V194" s="439"/>
      <c r="W194" s="439"/>
      <c r="X194" s="439"/>
      <c r="Y194" s="439"/>
      <c r="Z194" s="439"/>
      <c r="AA194" s="439"/>
      <c r="AB194" s="439"/>
      <c r="AC194" s="439"/>
      <c r="AD194" s="439"/>
      <c r="AE194" s="439"/>
      <c r="AF194" s="439"/>
      <c r="AG194" s="439"/>
      <c r="AH194" s="439"/>
      <c r="AI194" s="439"/>
      <c r="AJ194" s="439"/>
      <c r="AK194" s="439"/>
      <c r="AL194" s="439"/>
      <c r="AM194" s="439"/>
      <c r="AN194" s="439"/>
    </row>
    <row r="195" spans="1:40" ht="20.25" hidden="1" customHeight="1" thickTop="1">
      <c r="A195" s="452" t="s">
        <v>239</v>
      </c>
      <c r="B195" s="439" t="s">
        <v>223</v>
      </c>
      <c r="C195" s="462" t="s">
        <v>19</v>
      </c>
      <c r="D195" s="528"/>
      <c r="E195" s="465" t="e">
        <f t="shared" si="44"/>
        <v>#DIV/0!</v>
      </c>
      <c r="F195" s="463">
        <f t="array" ref="F195">+INDEX('[3]Budget original'!$A$2:$AO$501,MATCH($A195,'[3]Budget original'!$A$2:$A$501,0),MATCH(F$2,'[3]Budget original'!$A$2:$AO$2,0))</f>
        <v>0</v>
      </c>
      <c r="G195" s="529"/>
      <c r="H195" s="465"/>
      <c r="I195" s="463"/>
      <c r="J195" s="462"/>
      <c r="K195" s="465">
        <f t="shared" si="45"/>
        <v>0</v>
      </c>
      <c r="L195" s="467">
        <f>SUMIFS([3]BV_Data_An_Cour!$AM:$AM,[3]BV_Data_An_Cour!$AP:$AP,$B195,[3]BV_Data_An_Cour!$AQ:$AQ,$C195,[3]BV_Data_An_Cour!$AR:$AR,$L$2)</f>
        <v>0</v>
      </c>
      <c r="M195" s="462"/>
      <c r="N195" s="466">
        <f t="shared" si="42"/>
        <v>0</v>
      </c>
      <c r="O195" s="462"/>
      <c r="P195" s="465">
        <f t="shared" si="46"/>
        <v>0</v>
      </c>
      <c r="Q195" s="467">
        <f>SUMIFS([3]BV_Data_An_Prec!$AM:$AM,[3]BV_Data_An_Prec!$AP:$AP,$B195,[3]BV_Data_An_Prec!$AQ:$AQ,$C195,[3]BV_Data_An_Prec!$AR:$AR,$L$2)</f>
        <v>0</v>
      </c>
      <c r="R195" s="462"/>
      <c r="S195" s="466">
        <f t="shared" si="43"/>
        <v>0</v>
      </c>
      <c r="T195" s="436"/>
      <c r="U195" s="436"/>
      <c r="V195" s="439"/>
      <c r="W195" s="439"/>
      <c r="X195" s="439"/>
      <c r="Y195" s="439"/>
      <c r="Z195" s="439"/>
      <c r="AA195" s="439"/>
      <c r="AB195" s="439"/>
      <c r="AC195" s="439"/>
      <c r="AD195" s="439"/>
      <c r="AE195" s="439"/>
      <c r="AF195" s="439"/>
      <c r="AG195" s="439"/>
      <c r="AH195" s="439"/>
      <c r="AI195" s="439"/>
      <c r="AJ195" s="439"/>
      <c r="AK195" s="439"/>
      <c r="AL195" s="439"/>
      <c r="AM195" s="439"/>
      <c r="AN195" s="439"/>
    </row>
    <row r="196" spans="1:40" ht="18" customHeight="1">
      <c r="A196" s="452" t="s">
        <v>240</v>
      </c>
      <c r="B196" s="439" t="s">
        <v>223</v>
      </c>
      <c r="C196" s="534" t="s">
        <v>37</v>
      </c>
      <c r="D196" s="535" t="s">
        <v>38</v>
      </c>
      <c r="E196" s="536" t="e">
        <f>F196/F$109</f>
        <v>#DIV/0!</v>
      </c>
      <c r="F196" s="537">
        <f>SUM(F186:F195)</f>
        <v>0</v>
      </c>
      <c r="G196" s="538"/>
      <c r="H196" s="536"/>
      <c r="I196" s="537"/>
      <c r="J196" s="538" t="s">
        <v>38</v>
      </c>
      <c r="K196" s="536">
        <f>L196/L$109</f>
        <v>0.19620946298335526</v>
      </c>
      <c r="L196" s="537">
        <f>SUM(L186:L195)</f>
        <v>7798.9199999999801</v>
      </c>
      <c r="M196" s="539"/>
      <c r="N196" s="537">
        <f t="shared" si="42"/>
        <v>7798.9199999999801</v>
      </c>
      <c r="O196" s="538" t="s">
        <v>38</v>
      </c>
      <c r="P196" s="536">
        <f>Q196/Q$109</f>
        <v>3.1735536512025257E-2</v>
      </c>
      <c r="Q196" s="537">
        <f>SUM(Q186:Q195)</f>
        <v>3868.0699999999861</v>
      </c>
      <c r="R196" s="540"/>
      <c r="S196" s="537">
        <f t="shared" si="43"/>
        <v>3930.849999999994</v>
      </c>
      <c r="T196" s="436"/>
      <c r="U196" s="436"/>
      <c r="V196" s="439"/>
      <c r="W196" s="439"/>
      <c r="X196" s="439"/>
      <c r="Y196" s="439"/>
      <c r="Z196" s="439"/>
      <c r="AA196" s="439"/>
      <c r="AB196" s="439"/>
      <c r="AC196" s="439"/>
      <c r="AD196" s="439"/>
      <c r="AE196" s="439"/>
      <c r="AF196" s="439"/>
      <c r="AG196" s="439"/>
      <c r="AH196" s="439"/>
      <c r="AI196" s="439"/>
      <c r="AJ196" s="439"/>
      <c r="AK196" s="439"/>
      <c r="AL196" s="439"/>
      <c r="AM196" s="439"/>
      <c r="AN196" s="439"/>
    </row>
    <row r="197" spans="1:40" ht="15.75" customHeight="1">
      <c r="A197" s="452" t="s">
        <v>241</v>
      </c>
      <c r="B197" s="439" t="s">
        <v>223</v>
      </c>
      <c r="C197" s="541" t="s">
        <v>40</v>
      </c>
      <c r="D197" s="439"/>
      <c r="E197" s="439"/>
      <c r="F197" s="463">
        <f t="array" ref="F197">+INDEX('[3]Budget original'!$A$2:$AO$501,MATCH($A197,'[3]Budget original'!$A$2:$A$501,0),MATCH(F$2,'[3]Budget original'!$A$2:$AO$2,0))</f>
        <v>0</v>
      </c>
      <c r="G197" s="462"/>
      <c r="H197" s="439"/>
      <c r="I197" s="463"/>
      <c r="J197" s="462"/>
      <c r="K197" s="439"/>
      <c r="L197" s="466">
        <f>SUMIFS([3]BV_Data_An_Cour!$AM:$AM,[3]BV_Data_An_Cour!$AP:$AP,$B197,[3]BV_Data_An_Cour!$AQ:$AQ,$C197,[3]BV_Data_An_Cour!$AR:$AR,$L$2)</f>
        <v>3670.7999999999884</v>
      </c>
      <c r="M197" s="462"/>
      <c r="N197" s="466">
        <f t="shared" si="42"/>
        <v>3670.7999999999884</v>
      </c>
      <c r="O197" s="462"/>
      <c r="P197" s="439"/>
      <c r="Q197" s="466">
        <f>SUMIFS([3]BV_Data_An_Prec!$AM:$AM,[3]BV_Data_An_Prec!$AP:$AP,$B197,[3]BV_Data_An_Prec!$AQ:$AQ,$C197,[3]BV_Data_An_Prec!$AR:$AR,$L$2)</f>
        <v>1000</v>
      </c>
      <c r="R197" s="462"/>
      <c r="S197" s="466">
        <f t="shared" si="43"/>
        <v>2670.7999999999884</v>
      </c>
      <c r="T197" s="436"/>
      <c r="U197" s="436" t="s">
        <v>497</v>
      </c>
      <c r="V197" s="439"/>
      <c r="W197" s="439"/>
      <c r="X197" s="439"/>
      <c r="Y197" s="439"/>
      <c r="Z197" s="439"/>
      <c r="AA197" s="439"/>
      <c r="AB197" s="439"/>
      <c r="AC197" s="439"/>
      <c r="AD197" s="439"/>
      <c r="AE197" s="439"/>
      <c r="AF197" s="439"/>
      <c r="AG197" s="439"/>
      <c r="AH197" s="439"/>
      <c r="AI197" s="439"/>
      <c r="AJ197" s="439"/>
      <c r="AK197" s="439"/>
      <c r="AL197" s="439"/>
      <c r="AM197" s="439"/>
      <c r="AN197" s="439"/>
    </row>
    <row r="198" spans="1:40" ht="15.75" customHeight="1">
      <c r="A198" s="452" t="s">
        <v>242</v>
      </c>
      <c r="B198" s="439" t="s">
        <v>223</v>
      </c>
      <c r="C198" s="542" t="s">
        <v>41</v>
      </c>
      <c r="D198" s="528"/>
      <c r="E198" s="439"/>
      <c r="F198" s="455">
        <f t="array" ref="F198">+INDEX('[3]Budget original'!$A$2:$AO$501,MATCH($A198,'[3]Budget original'!$A$2:$A$501,0),MATCH(F$2,'[3]Budget original'!$A$2:$AO$2,0))</f>
        <v>0</v>
      </c>
      <c r="G198" s="529"/>
      <c r="H198" s="439"/>
      <c r="I198" s="455"/>
      <c r="J198" s="462"/>
      <c r="K198" s="439"/>
      <c r="L198" s="466">
        <f>SUMIFS([3]BV_Data_An_Cour!$AM:$AM,[3]BV_Data_An_Cour!$AP:$AP,$B198,[3]BV_Data_An_Cour!$AQ:$AQ,$C198,[3]BV_Data_An_Cour!$AR:$AR,$L$2)</f>
        <v>5819.4099999999962</v>
      </c>
      <c r="M198" s="462"/>
      <c r="N198" s="466">
        <f t="shared" si="42"/>
        <v>5819.4099999999962</v>
      </c>
      <c r="O198" s="462"/>
      <c r="P198" s="439"/>
      <c r="Q198" s="466">
        <f>SUMIFS([3]BV_Data_An_Prec!$AM:$AM,[3]BV_Data_An_Prec!$AP:$AP,$B198,[3]BV_Data_An_Prec!$AQ:$AQ,$C198,[3]BV_Data_An_Prec!$AR:$AR,$L$2)</f>
        <v>13845.399999999994</v>
      </c>
      <c r="R198" s="462"/>
      <c r="S198" s="466">
        <f t="shared" si="43"/>
        <v>-8025.989999999998</v>
      </c>
      <c r="T198" s="436"/>
      <c r="U198" s="436" t="s">
        <v>503</v>
      </c>
      <c r="V198" s="439"/>
      <c r="W198" s="439"/>
      <c r="X198" s="439"/>
      <c r="Y198" s="439"/>
      <c r="Z198" s="439"/>
      <c r="AA198" s="439"/>
      <c r="AB198" s="439"/>
      <c r="AC198" s="439"/>
      <c r="AD198" s="439"/>
      <c r="AE198" s="439"/>
      <c r="AF198" s="439"/>
      <c r="AG198" s="439"/>
      <c r="AH198" s="439"/>
      <c r="AI198" s="439"/>
      <c r="AJ198" s="439"/>
      <c r="AK198" s="439"/>
      <c r="AL198" s="439"/>
      <c r="AM198" s="439"/>
      <c r="AN198" s="439"/>
    </row>
    <row r="199" spans="1:40" ht="15.75" customHeight="1">
      <c r="A199" s="452" t="s">
        <v>243</v>
      </c>
      <c r="B199" s="439" t="s">
        <v>223</v>
      </c>
      <c r="C199" s="541" t="s">
        <v>42</v>
      </c>
      <c r="D199" s="543"/>
      <c r="E199" s="544"/>
      <c r="F199" s="463">
        <f t="array" ref="F199">+INDEX('[3]Budget original'!$A$2:$AO$501,MATCH($A199,'[3]Budget original'!$A$2:$A$501,0),MATCH(F$2,'[3]Budget original'!$A$2:$AO$2,0))</f>
        <v>0</v>
      </c>
      <c r="G199" s="545"/>
      <c r="H199" s="544"/>
      <c r="I199" s="463"/>
      <c r="J199" s="447"/>
      <c r="K199" s="544"/>
      <c r="L199" s="503">
        <f>SUMIFS([3]BV_Data_An_Cour!$AM:$AM,[3]BV_Data_An_Cour!$AP:$AP,$B199,[3]BV_Data_An_Cour!$AQ:$AQ,$C199,[3]BV_Data_An_Cour!$AR:$AR,$L$2)</f>
        <v>0</v>
      </c>
      <c r="M199" s="447"/>
      <c r="N199" s="503">
        <f t="shared" si="42"/>
        <v>0</v>
      </c>
      <c r="O199" s="447"/>
      <c r="P199" s="544"/>
      <c r="Q199" s="503">
        <f>SUMIFS([3]BV_Data_An_Prec!$AM:$AM,[3]BV_Data_An_Prec!$AP:$AP,$B199,[3]BV_Data_An_Prec!$AQ:$AQ,$C199,[3]BV_Data_An_Prec!$AR:$AR,$L$2)</f>
        <v>46957.5</v>
      </c>
      <c r="R199" s="447"/>
      <c r="S199" s="503">
        <f t="shared" si="43"/>
        <v>-46957.5</v>
      </c>
      <c r="T199" s="436"/>
      <c r="U199" s="436"/>
      <c r="V199" s="439"/>
      <c r="W199" s="439"/>
      <c r="X199" s="439"/>
      <c r="Y199" s="439"/>
      <c r="Z199" s="439"/>
      <c r="AA199" s="439"/>
      <c r="AB199" s="439"/>
      <c r="AC199" s="439"/>
      <c r="AD199" s="439"/>
      <c r="AE199" s="439"/>
      <c r="AF199" s="439"/>
      <c r="AG199" s="439"/>
      <c r="AH199" s="439"/>
      <c r="AI199" s="439"/>
      <c r="AJ199" s="439"/>
      <c r="AK199" s="439"/>
      <c r="AL199" s="439"/>
      <c r="AM199" s="439"/>
      <c r="AN199" s="439"/>
    </row>
    <row r="200" spans="1:40" ht="20.25" hidden="1" customHeight="1">
      <c r="A200" s="452" t="s">
        <v>244</v>
      </c>
      <c r="B200" s="439" t="s">
        <v>223</v>
      </c>
      <c r="C200" s="541" t="s">
        <v>43</v>
      </c>
      <c r="D200" s="528"/>
      <c r="E200" s="439"/>
      <c r="F200" s="463">
        <f t="array" ref="F200">+INDEX('[3]Budget original'!$A$2:$AO$501,MATCH($A200,'[3]Budget original'!$A$2:$A$501,0),MATCH(F$2,'[3]Budget original'!$A$2:$AO$2,0))</f>
        <v>0</v>
      </c>
      <c r="G200" s="529"/>
      <c r="H200" s="439"/>
      <c r="I200" s="463"/>
      <c r="J200" s="462"/>
      <c r="K200" s="439"/>
      <c r="L200" s="466">
        <f>SUMIFS([3]BV_Data_An_Cour!$AM:$AM,[3]BV_Data_An_Cour!$AP:$AP,$B200,[3]BV_Data_An_Cour!$AQ:$AQ,$C200,[3]BV_Data_An_Cour!$AR:$AR,$L$2)</f>
        <v>0</v>
      </c>
      <c r="M200" s="462"/>
      <c r="N200" s="466">
        <f t="shared" si="42"/>
        <v>0</v>
      </c>
      <c r="O200" s="462"/>
      <c r="P200" s="439"/>
      <c r="Q200" s="466">
        <f>SUMIFS([3]BV_Data_An_Prec!$AM:$AM,[3]BV_Data_An_Prec!$AP:$AP,$B200,[3]BV_Data_An_Prec!$AQ:$AQ,$C200,[3]BV_Data_An_Prec!$AR:$AR,$L$2)</f>
        <v>0</v>
      </c>
      <c r="R200" s="462"/>
      <c r="S200" s="466">
        <f t="shared" si="43"/>
        <v>0</v>
      </c>
      <c r="T200" s="436"/>
      <c r="U200" s="436"/>
      <c r="V200" s="439"/>
      <c r="W200" s="439"/>
      <c r="X200" s="439"/>
      <c r="Y200" s="439"/>
      <c r="Z200" s="439"/>
      <c r="AA200" s="439"/>
      <c r="AB200" s="439"/>
      <c r="AC200" s="439"/>
      <c r="AD200" s="439"/>
      <c r="AE200" s="439"/>
      <c r="AF200" s="439"/>
      <c r="AG200" s="439"/>
      <c r="AH200" s="439"/>
      <c r="AI200" s="439"/>
      <c r="AJ200" s="439"/>
      <c r="AK200" s="439"/>
      <c r="AL200" s="439"/>
      <c r="AM200" s="439"/>
      <c r="AN200" s="439"/>
    </row>
    <row r="201" spans="1:40" ht="20.25" hidden="1" customHeight="1">
      <c r="A201" s="452" t="s">
        <v>239</v>
      </c>
      <c r="B201" s="439" t="s">
        <v>223</v>
      </c>
      <c r="C201" s="541" t="s">
        <v>19</v>
      </c>
      <c r="D201" s="528"/>
      <c r="E201" s="439"/>
      <c r="F201" s="463">
        <f t="array" ref="F201">+INDEX('[3]Budget original'!$A$2:$AO$501,MATCH($A201,'[3]Budget original'!$A$2:$A$501,0),MATCH(F$2,'[3]Budget original'!$A$2:$AO$2,0))</f>
        <v>0</v>
      </c>
      <c r="G201" s="529"/>
      <c r="H201" s="439"/>
      <c r="I201" s="463"/>
      <c r="J201" s="462"/>
      <c r="K201" s="439"/>
      <c r="L201" s="466">
        <f>SUMIFS([3]BV_Data_An_Cour!$AM:$AM,[3]BV_Data_An_Cour!$AP:$AP,$B201,[3]BV_Data_An_Cour!$AQ:$AQ,$C201,[3]BV_Data_An_Cour!$AR:$AR,$L$2)</f>
        <v>0</v>
      </c>
      <c r="M201" s="462"/>
      <c r="N201" s="466">
        <f t="shared" si="42"/>
        <v>0</v>
      </c>
      <c r="O201" s="462"/>
      <c r="P201" s="439"/>
      <c r="Q201" s="466">
        <f>SUMIFS([3]BV_Data_An_Prec!$AM:$AM,[3]BV_Data_An_Prec!$AP:$AP,$B201,[3]BV_Data_An_Prec!$AQ:$AQ,$C201,[3]BV_Data_An_Prec!$AR:$AR,$L$2)</f>
        <v>0</v>
      </c>
      <c r="R201" s="462"/>
      <c r="S201" s="466">
        <f t="shared" si="43"/>
        <v>0</v>
      </c>
      <c r="T201" s="436"/>
      <c r="U201" s="436"/>
      <c r="V201" s="439"/>
      <c r="W201" s="439"/>
      <c r="X201" s="439"/>
      <c r="Y201" s="439"/>
      <c r="Z201" s="439"/>
      <c r="AA201" s="439"/>
      <c r="AB201" s="439"/>
      <c r="AC201" s="439"/>
      <c r="AD201" s="439"/>
      <c r="AE201" s="439"/>
      <c r="AF201" s="439"/>
      <c r="AG201" s="439"/>
      <c r="AH201" s="439"/>
      <c r="AI201" s="439"/>
      <c r="AJ201" s="439"/>
      <c r="AK201" s="439"/>
      <c r="AL201" s="439"/>
      <c r="AM201" s="439"/>
      <c r="AN201" s="439"/>
    </row>
    <row r="202" spans="1:40" ht="20.25" hidden="1" customHeight="1">
      <c r="A202" s="452" t="s">
        <v>239</v>
      </c>
      <c r="B202" s="439" t="s">
        <v>223</v>
      </c>
      <c r="C202" s="541" t="s">
        <v>19</v>
      </c>
      <c r="D202" s="528"/>
      <c r="E202" s="439"/>
      <c r="F202" s="463">
        <f t="array" ref="F202">+INDEX('[3]Budget original'!$A$2:$AO$501,MATCH($A202,'[3]Budget original'!$A$2:$A$501,0),MATCH(F$2,'[3]Budget original'!$A$2:$AO$2,0))</f>
        <v>0</v>
      </c>
      <c r="G202" s="529"/>
      <c r="H202" s="439"/>
      <c r="I202" s="463"/>
      <c r="J202" s="462"/>
      <c r="K202" s="439"/>
      <c r="L202" s="466">
        <f>SUMIFS([3]BV_Data_An_Cour!$AM:$AM,[3]BV_Data_An_Cour!$AP:$AP,$B202,[3]BV_Data_An_Cour!$AQ:$AQ,$C202,[3]BV_Data_An_Cour!$AR:$AR,$L$2)</f>
        <v>0</v>
      </c>
      <c r="M202" s="462"/>
      <c r="N202" s="466">
        <f t="shared" si="42"/>
        <v>0</v>
      </c>
      <c r="O202" s="462"/>
      <c r="P202" s="439"/>
      <c r="Q202" s="466">
        <f>SUMIFS([3]BV_Data_An_Prec!$AM:$AM,[3]BV_Data_An_Prec!$AP:$AP,$B202,[3]BV_Data_An_Prec!$AQ:$AQ,$C202,[3]BV_Data_An_Prec!$AR:$AR,$L$2)</f>
        <v>0</v>
      </c>
      <c r="R202" s="462"/>
      <c r="S202" s="466">
        <f t="shared" si="43"/>
        <v>0</v>
      </c>
      <c r="T202" s="436"/>
      <c r="U202" s="436"/>
      <c r="V202" s="439"/>
      <c r="W202" s="439"/>
      <c r="X202" s="439"/>
      <c r="Y202" s="439"/>
      <c r="Z202" s="439"/>
      <c r="AA202" s="439"/>
      <c r="AB202" s="439"/>
      <c r="AC202" s="439"/>
      <c r="AD202" s="439"/>
      <c r="AE202" s="439"/>
      <c r="AF202" s="439"/>
      <c r="AG202" s="439"/>
      <c r="AH202" s="439"/>
      <c r="AI202" s="439"/>
      <c r="AJ202" s="439"/>
      <c r="AK202" s="439"/>
      <c r="AL202" s="439"/>
      <c r="AM202" s="439"/>
      <c r="AN202" s="439"/>
    </row>
    <row r="203" spans="1:40" ht="20.25" hidden="1" customHeight="1">
      <c r="A203" s="452" t="s">
        <v>239</v>
      </c>
      <c r="B203" s="439" t="s">
        <v>223</v>
      </c>
      <c r="C203" s="541" t="s">
        <v>19</v>
      </c>
      <c r="D203" s="528"/>
      <c r="E203" s="439"/>
      <c r="F203" s="463">
        <f t="array" ref="F203">+INDEX('[3]Budget original'!$A$2:$AO$501,MATCH($A203,'[3]Budget original'!$A$2:$A$501,0),MATCH(F$2,'[3]Budget original'!$A$2:$AO$2,0))</f>
        <v>0</v>
      </c>
      <c r="G203" s="529"/>
      <c r="H203" s="439"/>
      <c r="I203" s="463"/>
      <c r="J203" s="462"/>
      <c r="K203" s="439"/>
      <c r="L203" s="466">
        <f>SUMIFS([3]BV_Data_An_Cour!$AM:$AM,[3]BV_Data_An_Cour!$AP:$AP,$B203,[3]BV_Data_An_Cour!$AQ:$AQ,$C203,[3]BV_Data_An_Cour!$AR:$AR,$L$2)</f>
        <v>0</v>
      </c>
      <c r="M203" s="462"/>
      <c r="N203" s="466">
        <f t="shared" si="42"/>
        <v>0</v>
      </c>
      <c r="O203" s="462"/>
      <c r="P203" s="439"/>
      <c r="Q203" s="466">
        <f>SUMIFS([3]BV_Data_An_Prec!$AM:$AM,[3]BV_Data_An_Prec!$AP:$AP,$B203,[3]BV_Data_An_Prec!$AQ:$AQ,$C203,[3]BV_Data_An_Prec!$AR:$AR,$L$2)</f>
        <v>0</v>
      </c>
      <c r="R203" s="462"/>
      <c r="S203" s="466">
        <f t="shared" si="43"/>
        <v>0</v>
      </c>
      <c r="T203" s="436"/>
      <c r="U203" s="436"/>
      <c r="V203" s="439"/>
      <c r="W203" s="439"/>
      <c r="X203" s="439"/>
      <c r="Y203" s="439"/>
      <c r="Z203" s="439"/>
      <c r="AA203" s="439"/>
      <c r="AB203" s="439"/>
      <c r="AC203" s="439"/>
      <c r="AD203" s="439"/>
      <c r="AE203" s="439"/>
      <c r="AF203" s="439"/>
      <c r="AG203" s="439"/>
      <c r="AH203" s="439"/>
      <c r="AI203" s="439"/>
      <c r="AJ203" s="439"/>
      <c r="AK203" s="439"/>
      <c r="AL203" s="439"/>
      <c r="AM203" s="439"/>
      <c r="AN203" s="439"/>
    </row>
    <row r="204" spans="1:40" ht="15.75" customHeight="1">
      <c r="A204" s="452" t="s">
        <v>245</v>
      </c>
      <c r="B204" s="439" t="s">
        <v>223</v>
      </c>
      <c r="C204" s="542" t="s">
        <v>44</v>
      </c>
      <c r="D204" s="528"/>
      <c r="E204" s="439"/>
      <c r="F204" s="463">
        <f t="array" ref="F204">+INDEX('[3]Budget original'!$A$2:$AO$501,MATCH($A204,'[3]Budget original'!$A$2:$A$501,0),MATCH(F$2,'[3]Budget original'!$A$2:$AO$2,0))</f>
        <v>0</v>
      </c>
      <c r="G204" s="529"/>
      <c r="H204" s="439"/>
      <c r="I204" s="463"/>
      <c r="J204" s="462"/>
      <c r="K204" s="439"/>
      <c r="L204" s="466">
        <f>SUMIFS([3]BV_Data_An_Cour!$AM:$AM,[3]BV_Data_An_Cour!$AP:$AP,$B204,[3]BV_Data_An_Cour!$AQ:$AQ,$C204,[3]BV_Data_An_Cour!$AR:$AR,$L$2)</f>
        <v>2976.4599999999991</v>
      </c>
      <c r="M204" s="462"/>
      <c r="N204" s="466">
        <f t="shared" si="42"/>
        <v>2976.4599999999991</v>
      </c>
      <c r="O204" s="462"/>
      <c r="P204" s="439"/>
      <c r="Q204" s="466">
        <f>SUMIFS([3]BV_Data_An_Prec!$AM:$AM,[3]BV_Data_An_Prec!$AP:$AP,$B204,[3]BV_Data_An_Prec!$AQ:$AQ,$C204,[3]BV_Data_An_Prec!$AR:$AR,$L$2)</f>
        <v>2708.369999999999</v>
      </c>
      <c r="R204" s="462"/>
      <c r="S204" s="466">
        <f t="shared" si="43"/>
        <v>268.09000000000015</v>
      </c>
      <c r="T204" s="436"/>
      <c r="U204" s="436"/>
      <c r="V204" s="439"/>
      <c r="W204" s="439"/>
      <c r="X204" s="439"/>
      <c r="Y204" s="439"/>
      <c r="Z204" s="439"/>
      <c r="AA204" s="439"/>
      <c r="AB204" s="439"/>
      <c r="AC204" s="439"/>
      <c r="AD204" s="439"/>
      <c r="AE204" s="439"/>
      <c r="AF204" s="439"/>
      <c r="AG204" s="439"/>
      <c r="AH204" s="439"/>
      <c r="AI204" s="439"/>
      <c r="AJ204" s="439"/>
      <c r="AK204" s="439"/>
      <c r="AL204" s="439"/>
      <c r="AM204" s="439"/>
      <c r="AN204" s="439"/>
    </row>
    <row r="205" spans="1:40" ht="15.75" customHeight="1">
      <c r="A205" s="452" t="s">
        <v>246</v>
      </c>
      <c r="B205" s="439" t="s">
        <v>223</v>
      </c>
      <c r="C205" s="541" t="s">
        <v>45</v>
      </c>
      <c r="D205" s="543"/>
      <c r="E205" s="544"/>
      <c r="F205" s="499">
        <f t="array" ref="F205">+INDEX('[3]Budget original'!$A$2:$AO$501,MATCH($A205,'[3]Budget original'!$A$2:$A$501,0),MATCH(F$2,'[3]Budget original'!$A$2:$AO$2,0))</f>
        <v>0</v>
      </c>
      <c r="G205" s="545"/>
      <c r="H205" s="544"/>
      <c r="I205" s="499"/>
      <c r="J205" s="447"/>
      <c r="K205" s="544"/>
      <c r="L205" s="503">
        <f>SUMIFS([3]BV_Data_An_Cour!$AM:$AM,[3]BV_Data_An_Cour!$AP:$AP,$B205,[3]BV_Data_An_Cour!$AQ:$AQ,$C205,[3]BV_Data_An_Cour!$AR:$AR,$L$2)</f>
        <v>3343.8799999999974</v>
      </c>
      <c r="M205" s="447"/>
      <c r="N205" s="503">
        <f t="shared" si="42"/>
        <v>3343.8799999999974</v>
      </c>
      <c r="O205" s="447"/>
      <c r="P205" s="544"/>
      <c r="Q205" s="503">
        <f>SUMIFS([3]BV_Data_An_Prec!$AM:$AM,[3]BV_Data_An_Prec!$AP:$AP,$B205,[3]BV_Data_An_Prec!$AQ:$AQ,$C205,[3]BV_Data_An_Prec!$AR:$AR,$L$2)</f>
        <v>3245.260000000002</v>
      </c>
      <c r="R205" s="447"/>
      <c r="S205" s="503">
        <f t="shared" si="43"/>
        <v>98.619999999995343</v>
      </c>
      <c r="T205" s="436"/>
      <c r="U205" s="436"/>
      <c r="V205" s="439"/>
      <c r="W205" s="439"/>
      <c r="X205" s="439"/>
      <c r="Y205" s="439"/>
      <c r="Z205" s="439"/>
      <c r="AA205" s="439"/>
      <c r="AB205" s="439"/>
      <c r="AC205" s="439"/>
      <c r="AD205" s="439"/>
      <c r="AE205" s="439"/>
      <c r="AF205" s="439"/>
      <c r="AG205" s="439"/>
      <c r="AH205" s="439"/>
      <c r="AI205" s="439"/>
      <c r="AJ205" s="439"/>
      <c r="AK205" s="439"/>
      <c r="AL205" s="439"/>
      <c r="AM205" s="439"/>
      <c r="AN205" s="439"/>
    </row>
    <row r="206" spans="1:40" ht="15.75" customHeight="1">
      <c r="A206" s="452" t="s">
        <v>247</v>
      </c>
      <c r="B206" s="439" t="s">
        <v>223</v>
      </c>
      <c r="C206" s="541" t="s">
        <v>46</v>
      </c>
      <c r="D206" s="528"/>
      <c r="E206" s="439"/>
      <c r="F206" s="463">
        <f t="array" ref="F206">+INDEX('[3]Budget original'!$A$2:$AO$501,MATCH($A206,'[3]Budget original'!$A$2:$A$501,0),MATCH(F$2,'[3]Budget original'!$A$2:$AO$2,0))</f>
        <v>0</v>
      </c>
      <c r="G206" s="529"/>
      <c r="H206" s="439"/>
      <c r="I206" s="463"/>
      <c r="J206" s="462"/>
      <c r="K206" s="439"/>
      <c r="L206" s="466">
        <f>SUMIFS([3]BV_Data_An_Cour!$AM:$AM,[3]BV_Data_An_Cour!$AP:$AP,$B206,[3]BV_Data_An_Cour!$AQ:$AQ,$C206,[3]BV_Data_An_Cour!$AR:$AR,$L$2)</f>
        <v>228.64999999999964</v>
      </c>
      <c r="M206" s="462"/>
      <c r="N206" s="466">
        <f t="shared" si="42"/>
        <v>228.64999999999964</v>
      </c>
      <c r="O206" s="462"/>
      <c r="P206" s="439"/>
      <c r="Q206" s="466">
        <f>SUMIFS([3]BV_Data_An_Prec!$AM:$AM,[3]BV_Data_An_Prec!$AP:$AP,$B206,[3]BV_Data_An_Prec!$AQ:$AQ,$C206,[3]BV_Data_An_Prec!$AR:$AR,$L$2)</f>
        <v>311.31999999999971</v>
      </c>
      <c r="R206" s="462"/>
      <c r="S206" s="466">
        <f t="shared" si="43"/>
        <v>-82.670000000000073</v>
      </c>
      <c r="T206" s="436"/>
      <c r="U206" s="436"/>
      <c r="V206" s="439"/>
      <c r="W206" s="439"/>
      <c r="X206" s="439"/>
      <c r="Y206" s="439"/>
      <c r="Z206" s="439"/>
      <c r="AA206" s="439"/>
      <c r="AB206" s="439"/>
      <c r="AC206" s="439"/>
      <c r="AD206" s="439"/>
      <c r="AE206" s="439"/>
      <c r="AF206" s="439"/>
      <c r="AG206" s="439"/>
      <c r="AH206" s="439"/>
      <c r="AI206" s="439"/>
      <c r="AJ206" s="439"/>
      <c r="AK206" s="439"/>
      <c r="AL206" s="439"/>
      <c r="AM206" s="439"/>
      <c r="AN206" s="439"/>
    </row>
    <row r="207" spans="1:40" ht="15.75" customHeight="1">
      <c r="A207" s="452" t="s">
        <v>248</v>
      </c>
      <c r="B207" s="439" t="s">
        <v>223</v>
      </c>
      <c r="C207" s="541" t="s">
        <v>47</v>
      </c>
      <c r="D207" s="528"/>
      <c r="E207" s="439"/>
      <c r="F207" s="463">
        <f t="array" ref="F207">+INDEX('[3]Budget original'!$A$2:$AO$501,MATCH($A207,'[3]Budget original'!$A$2:$A$501,0),MATCH(F$2,'[3]Budget original'!$A$2:$AO$2,0))</f>
        <v>0</v>
      </c>
      <c r="G207" s="529"/>
      <c r="H207" s="439"/>
      <c r="I207" s="463"/>
      <c r="J207" s="462"/>
      <c r="K207" s="439"/>
      <c r="L207" s="466">
        <f>SUMIFS([3]BV_Data_An_Cour!$AM:$AM,[3]BV_Data_An_Cour!$AP:$AP,$B207,[3]BV_Data_An_Cour!$AQ:$AQ,$C207,[3]BV_Data_An_Cour!$AR:$AR,$L$2)</f>
        <v>328.96000000000004</v>
      </c>
      <c r="M207" s="462"/>
      <c r="N207" s="466">
        <f t="shared" si="42"/>
        <v>328.96000000000004</v>
      </c>
      <c r="O207" s="462"/>
      <c r="P207" s="439"/>
      <c r="Q207" s="466">
        <f>SUMIFS([3]BV_Data_An_Prec!$AM:$AM,[3]BV_Data_An_Prec!$AP:$AP,$B207,[3]BV_Data_An_Prec!$AQ:$AQ,$C207,[3]BV_Data_An_Prec!$AR:$AR,$L$2)</f>
        <v>0</v>
      </c>
      <c r="R207" s="462"/>
      <c r="S207" s="466">
        <f t="shared" si="43"/>
        <v>328.96000000000004</v>
      </c>
      <c r="T207" s="436"/>
      <c r="U207" s="436"/>
      <c r="V207" s="439"/>
      <c r="W207" s="439"/>
      <c r="X207" s="439"/>
      <c r="Y207" s="439"/>
      <c r="Z207" s="439"/>
      <c r="AA207" s="439"/>
      <c r="AB207" s="439"/>
      <c r="AC207" s="439"/>
      <c r="AD207" s="439"/>
      <c r="AE207" s="439"/>
      <c r="AF207" s="439"/>
      <c r="AG207" s="439"/>
      <c r="AH207" s="439"/>
      <c r="AI207" s="439"/>
      <c r="AJ207" s="439"/>
      <c r="AK207" s="439"/>
      <c r="AL207" s="439"/>
      <c r="AM207" s="439"/>
      <c r="AN207" s="439"/>
    </row>
    <row r="208" spans="1:40" ht="20.25" hidden="1" customHeight="1">
      <c r="A208" s="452" t="s">
        <v>239</v>
      </c>
      <c r="B208" s="439" t="s">
        <v>223</v>
      </c>
      <c r="C208" s="462" t="s">
        <v>19</v>
      </c>
      <c r="D208" s="531"/>
      <c r="E208" s="546"/>
      <c r="F208" s="463">
        <f t="array" ref="F208">+INDEX('[3]Budget original'!$A$2:$AO$501,MATCH($A208,'[3]Budget original'!$A$2:$A$501,0),MATCH(F$2,'[3]Budget original'!$A$2:$AO$2,0))</f>
        <v>0</v>
      </c>
      <c r="G208" s="532"/>
      <c r="H208" s="546"/>
      <c r="I208" s="463"/>
      <c r="J208" s="453"/>
      <c r="K208" s="546"/>
      <c r="L208" s="466">
        <f>SUMIFS([3]BV_Data_An_Cour!$AM:$AM,[3]BV_Data_An_Cour!$AP:$AP,$B208,[3]BV_Data_An_Cour!$AQ:$AQ,$C208,[3]BV_Data_An_Cour!$AR:$AR,$L$2)</f>
        <v>0</v>
      </c>
      <c r="M208" s="453"/>
      <c r="N208" s="458">
        <f t="shared" si="42"/>
        <v>0</v>
      </c>
      <c r="O208" s="453"/>
      <c r="P208" s="546"/>
      <c r="Q208" s="466">
        <f>SUMIFS([3]BV_Data_An_Prec!$AM:$AM,[3]BV_Data_An_Prec!$AP:$AP,$B208,[3]BV_Data_An_Prec!$AQ:$AQ,$C208,[3]BV_Data_An_Prec!$AR:$AR,$L$2)</f>
        <v>0</v>
      </c>
      <c r="R208" s="453"/>
      <c r="S208" s="458">
        <f t="shared" si="43"/>
        <v>0</v>
      </c>
      <c r="T208" s="436"/>
      <c r="U208" s="436"/>
      <c r="V208" s="439"/>
      <c r="W208" s="439"/>
      <c r="X208" s="439"/>
      <c r="Y208" s="439"/>
      <c r="Z208" s="439"/>
      <c r="AA208" s="439"/>
      <c r="AB208" s="439"/>
      <c r="AC208" s="439"/>
      <c r="AD208" s="439"/>
      <c r="AE208" s="439"/>
      <c r="AF208" s="439"/>
      <c r="AG208" s="439"/>
      <c r="AH208" s="439"/>
      <c r="AI208" s="439"/>
      <c r="AJ208" s="439"/>
      <c r="AK208" s="439"/>
      <c r="AL208" s="439"/>
      <c r="AM208" s="439"/>
      <c r="AN208" s="439"/>
    </row>
    <row r="209" spans="1:40" ht="18" customHeight="1">
      <c r="A209" s="452" t="s">
        <v>249</v>
      </c>
      <c r="B209" s="439" t="s">
        <v>223</v>
      </c>
      <c r="C209" s="534" t="s">
        <v>48</v>
      </c>
      <c r="D209" s="535" t="s">
        <v>38</v>
      </c>
      <c r="E209" s="536" t="e">
        <f>F209/F$109</f>
        <v>#DIV/0!</v>
      </c>
      <c r="F209" s="537">
        <f>+SUM(F197:F208)</f>
        <v>0</v>
      </c>
      <c r="G209" s="538"/>
      <c r="H209" s="536"/>
      <c r="I209" s="537"/>
      <c r="J209" s="538" t="s">
        <v>38</v>
      </c>
      <c r="K209" s="536">
        <f>L209/L$109</f>
        <v>0.41179905469291139</v>
      </c>
      <c r="L209" s="537">
        <f>SUM(L197:L208)</f>
        <v>16368.159999999982</v>
      </c>
      <c r="M209" s="539"/>
      <c r="N209" s="537">
        <f t="shared" si="42"/>
        <v>16368.159999999982</v>
      </c>
      <c r="O209" s="538" t="s">
        <v>38</v>
      </c>
      <c r="P209" s="536">
        <f>Q209/Q$109</f>
        <v>0.55846190450794997</v>
      </c>
      <c r="Q209" s="537">
        <f>SUM(Q197:Q208)</f>
        <v>68067.850000000006</v>
      </c>
      <c r="R209" s="540"/>
      <c r="S209" s="537">
        <f t="shared" si="43"/>
        <v>-51699.690000000024</v>
      </c>
      <c r="T209" s="436"/>
      <c r="U209" s="436"/>
      <c r="V209" s="439"/>
      <c r="W209" s="439"/>
      <c r="X209" s="439"/>
      <c r="Y209" s="439"/>
      <c r="Z209" s="439"/>
      <c r="AA209" s="439"/>
      <c r="AB209" s="439"/>
      <c r="AC209" s="439"/>
      <c r="AD209" s="439"/>
      <c r="AE209" s="439"/>
      <c r="AF209" s="439"/>
      <c r="AG209" s="439"/>
      <c r="AH209" s="439"/>
      <c r="AI209" s="439"/>
      <c r="AJ209" s="439"/>
      <c r="AK209" s="439"/>
      <c r="AL209" s="439"/>
      <c r="AM209" s="439"/>
      <c r="AN209" s="439"/>
    </row>
    <row r="210" spans="1:40" ht="20.25" hidden="1" customHeight="1">
      <c r="A210" s="452" t="s">
        <v>250</v>
      </c>
      <c r="B210" s="439" t="s">
        <v>223</v>
      </c>
      <c r="C210" s="462" t="s">
        <v>49</v>
      </c>
      <c r="D210" s="528"/>
      <c r="E210" s="439"/>
      <c r="F210" s="463">
        <f t="array" ref="F210">+INDEX('[3]Budget original'!$A$2:$AO$501,MATCH($A210,'[3]Budget original'!$A$2:$A$501,0),MATCH(F$2,'[3]Budget original'!$A$2:$AO$2,0))</f>
        <v>0</v>
      </c>
      <c r="G210" s="529"/>
      <c r="H210" s="439"/>
      <c r="I210" s="463"/>
      <c r="J210" s="462"/>
      <c r="K210" s="439"/>
      <c r="L210" s="466">
        <f>SUMIFS([3]BV_Data_An_Cour!$AM:$AM,[3]BV_Data_An_Cour!$AP:$AP,$B210,[3]BV_Data_An_Cour!$AQ:$AQ,$C210,[3]BV_Data_An_Cour!$AR:$AR,$L$2)</f>
        <v>0</v>
      </c>
      <c r="M210" s="462"/>
      <c r="N210" s="466">
        <f t="shared" si="42"/>
        <v>0</v>
      </c>
      <c r="O210" s="462"/>
      <c r="P210" s="439"/>
      <c r="Q210" s="466">
        <f>SUMIFS([3]BV_Data_An_Prec!$AM:$AM,[3]BV_Data_An_Prec!$AP:$AP,$B210,[3]BV_Data_An_Prec!$AQ:$AQ,$C210,[3]BV_Data_An_Prec!$AR:$AR,$L$2)</f>
        <v>0</v>
      </c>
      <c r="R210" s="462"/>
      <c r="S210" s="466">
        <f t="shared" si="43"/>
        <v>0</v>
      </c>
      <c r="T210" s="436"/>
      <c r="U210" s="436"/>
      <c r="V210" s="439"/>
      <c r="W210" s="439"/>
      <c r="X210" s="439"/>
      <c r="Y210" s="439"/>
      <c r="Z210" s="439"/>
      <c r="AA210" s="439"/>
      <c r="AB210" s="439"/>
      <c r="AC210" s="439"/>
      <c r="AD210" s="439"/>
      <c r="AE210" s="439"/>
      <c r="AF210" s="439"/>
      <c r="AG210" s="439"/>
      <c r="AH210" s="439"/>
      <c r="AI210" s="439"/>
      <c r="AJ210" s="439"/>
      <c r="AK210" s="439"/>
      <c r="AL210" s="439"/>
      <c r="AM210" s="439"/>
      <c r="AN210" s="439"/>
    </row>
    <row r="211" spans="1:40" ht="20.25" hidden="1" customHeight="1">
      <c r="A211" s="452" t="s">
        <v>251</v>
      </c>
      <c r="B211" s="439" t="s">
        <v>223</v>
      </c>
      <c r="C211" s="462" t="s">
        <v>50</v>
      </c>
      <c r="D211" s="528"/>
      <c r="E211" s="439"/>
      <c r="F211" s="463">
        <f t="array" ref="F211">+INDEX('[3]Budget original'!$A$2:$AO$501,MATCH($A211,'[3]Budget original'!$A$2:$A$501,0),MATCH(F$2,'[3]Budget original'!$A$2:$AO$2,0))</f>
        <v>0</v>
      </c>
      <c r="G211" s="529"/>
      <c r="H211" s="439"/>
      <c r="I211" s="463"/>
      <c r="J211" s="462"/>
      <c r="K211" s="439"/>
      <c r="L211" s="466">
        <f>SUMIFS([3]BV_Data_An_Cour!$AM:$AM,[3]BV_Data_An_Cour!$AP:$AP,$B211,[3]BV_Data_An_Cour!$AQ:$AQ,$C211,[3]BV_Data_An_Cour!$AR:$AR,$L$2)</f>
        <v>0</v>
      </c>
      <c r="M211" s="462"/>
      <c r="N211" s="466">
        <f t="shared" si="42"/>
        <v>0</v>
      </c>
      <c r="O211" s="462"/>
      <c r="P211" s="439"/>
      <c r="Q211" s="466">
        <f>SUMIFS([3]BV_Data_An_Prec!$AM:$AM,[3]BV_Data_An_Prec!$AP:$AP,$B211,[3]BV_Data_An_Prec!$AQ:$AQ,$C211,[3]BV_Data_An_Prec!$AR:$AR,$L$2)</f>
        <v>0</v>
      </c>
      <c r="R211" s="462"/>
      <c r="S211" s="466">
        <f t="shared" si="43"/>
        <v>0</v>
      </c>
      <c r="T211" s="436"/>
      <c r="U211" s="436"/>
      <c r="V211" s="439"/>
      <c r="W211" s="439"/>
      <c r="X211" s="439"/>
      <c r="Y211" s="439"/>
      <c r="Z211" s="439"/>
      <c r="AA211" s="439"/>
      <c r="AB211" s="439"/>
      <c r="AC211" s="439"/>
      <c r="AD211" s="439"/>
      <c r="AE211" s="439"/>
      <c r="AF211" s="439"/>
      <c r="AG211" s="439"/>
      <c r="AH211" s="439"/>
      <c r="AI211" s="439"/>
      <c r="AJ211" s="439"/>
      <c r="AK211" s="439"/>
      <c r="AL211" s="439"/>
      <c r="AM211" s="439"/>
      <c r="AN211" s="439"/>
    </row>
    <row r="212" spans="1:40" ht="15.75" customHeight="1">
      <c r="A212" s="452" t="s">
        <v>252</v>
      </c>
      <c r="B212" s="439" t="s">
        <v>223</v>
      </c>
      <c r="C212" s="453" t="s">
        <v>51</v>
      </c>
      <c r="D212" s="531"/>
      <c r="E212" s="546"/>
      <c r="F212" s="455">
        <f t="array" ref="F212">+INDEX('[3]Budget original'!$A$2:$AO$501,MATCH($A212,'[3]Budget original'!$A$2:$A$501,0),MATCH(F$2,'[3]Budget original'!$A$2:$AO$2,0))</f>
        <v>0</v>
      </c>
      <c r="G212" s="532"/>
      <c r="H212" s="546"/>
      <c r="I212" s="455"/>
      <c r="J212" s="453"/>
      <c r="K212" s="546"/>
      <c r="L212" s="458">
        <f>SUMIFS([3]BV_Data_An_Cour!$AM:$AM,[3]BV_Data_An_Cour!$AP:$AP,$B212,[3]BV_Data_An_Cour!$AQ:$AQ,$C212,[3]BV_Data_An_Cour!$AR:$AR,$L$2)</f>
        <v>0</v>
      </c>
      <c r="M212" s="453"/>
      <c r="N212" s="458">
        <f t="shared" si="42"/>
        <v>0</v>
      </c>
      <c r="O212" s="453"/>
      <c r="P212" s="546"/>
      <c r="Q212" s="458">
        <f>SUMIFS([3]BV_Data_An_Prec!$AM:$AM,[3]BV_Data_An_Prec!$AP:$AP,$B212,[3]BV_Data_An_Prec!$AQ:$AQ,$C212,[3]BV_Data_An_Prec!$AR:$AR,$L$2)</f>
        <v>0</v>
      </c>
      <c r="R212" s="453"/>
      <c r="S212" s="458">
        <f t="shared" si="43"/>
        <v>0</v>
      </c>
      <c r="T212" s="436"/>
      <c r="U212" s="436"/>
      <c r="V212" s="439"/>
      <c r="W212" s="439"/>
      <c r="X212" s="439"/>
      <c r="Y212" s="439"/>
      <c r="Z212" s="439"/>
      <c r="AA212" s="439"/>
      <c r="AB212" s="439"/>
      <c r="AC212" s="439"/>
      <c r="AD212" s="439"/>
      <c r="AE212" s="439"/>
      <c r="AF212" s="439"/>
      <c r="AG212" s="439"/>
      <c r="AH212" s="439"/>
      <c r="AI212" s="439"/>
      <c r="AJ212" s="439"/>
      <c r="AK212" s="439"/>
      <c r="AL212" s="439"/>
      <c r="AM212" s="439"/>
      <c r="AN212" s="439"/>
    </row>
    <row r="213" spans="1:40" ht="15.75" customHeight="1">
      <c r="A213" s="452" t="s">
        <v>253</v>
      </c>
      <c r="B213" s="439" t="s">
        <v>223</v>
      </c>
      <c r="C213" s="462" t="s">
        <v>52</v>
      </c>
      <c r="D213" s="528"/>
      <c r="E213" s="439"/>
      <c r="F213" s="463">
        <f t="array" ref="F213">+INDEX('[3]Budget original'!$A$2:$AO$501,MATCH($A213,'[3]Budget original'!$A$2:$A$501,0),MATCH(F$2,'[3]Budget original'!$A$2:$AO$2,0))</f>
        <v>0</v>
      </c>
      <c r="G213" s="529"/>
      <c r="H213" s="439"/>
      <c r="I213" s="463"/>
      <c r="J213" s="462"/>
      <c r="K213" s="439"/>
      <c r="L213" s="466">
        <f>SUMIFS([3]BV_Data_An_Cour!$AM:$AM,[3]BV_Data_An_Cour!$AP:$AP,$B213,[3]BV_Data_An_Cour!$AQ:$AQ,$C213,[3]BV_Data_An_Cour!$AR:$AR,$L$2)</f>
        <v>0</v>
      </c>
      <c r="M213" s="462"/>
      <c r="N213" s="466">
        <f t="shared" si="42"/>
        <v>0</v>
      </c>
      <c r="O213" s="462"/>
      <c r="P213" s="439"/>
      <c r="Q213" s="466">
        <f>SUMIFS([3]BV_Data_An_Prec!$AM:$AM,[3]BV_Data_An_Prec!$AP:$AP,$B213,[3]BV_Data_An_Prec!$AQ:$AQ,$C213,[3]BV_Data_An_Prec!$AR:$AR,$L$2)</f>
        <v>0</v>
      </c>
      <c r="R213" s="462"/>
      <c r="S213" s="466">
        <f t="shared" si="43"/>
        <v>0</v>
      </c>
      <c r="T213" s="436"/>
      <c r="U213" s="436"/>
      <c r="V213" s="439"/>
      <c r="W213" s="439"/>
      <c r="X213" s="439"/>
      <c r="Y213" s="439"/>
      <c r="Z213" s="439"/>
      <c r="AA213" s="439"/>
      <c r="AB213" s="439"/>
      <c r="AC213" s="439"/>
      <c r="AD213" s="439"/>
      <c r="AE213" s="439"/>
      <c r="AF213" s="439"/>
      <c r="AG213" s="439"/>
      <c r="AH213" s="439"/>
      <c r="AI213" s="439"/>
      <c r="AJ213" s="439"/>
      <c r="AK213" s="439"/>
      <c r="AL213" s="439"/>
      <c r="AM213" s="439"/>
      <c r="AN213" s="439"/>
    </row>
    <row r="214" spans="1:40" ht="15.75" customHeight="1">
      <c r="A214" s="452" t="s">
        <v>254</v>
      </c>
      <c r="B214" s="439" t="s">
        <v>223</v>
      </c>
      <c r="C214" s="462" t="s">
        <v>53</v>
      </c>
      <c r="D214" s="528"/>
      <c r="E214" s="439"/>
      <c r="F214" s="463">
        <f t="array" ref="F214">+INDEX('[3]Budget original'!$A$2:$AO$501,MATCH($A214,'[3]Budget original'!$A$2:$A$501,0),MATCH(F$2,'[3]Budget original'!$A$2:$AO$2,0))</f>
        <v>0</v>
      </c>
      <c r="G214" s="529"/>
      <c r="H214" s="439"/>
      <c r="I214" s="463"/>
      <c r="J214" s="462"/>
      <c r="K214" s="439"/>
      <c r="L214" s="466">
        <f>SUMIFS([3]BV_Data_An_Cour!$AM:$AM,[3]BV_Data_An_Cour!$AP:$AP,$B214,[3]BV_Data_An_Cour!$AQ:$AQ,$C214,[3]BV_Data_An_Cour!$AR:$AR,$L$2)</f>
        <v>0</v>
      </c>
      <c r="M214" s="462"/>
      <c r="N214" s="466">
        <f t="shared" si="42"/>
        <v>0</v>
      </c>
      <c r="O214" s="462"/>
      <c r="P214" s="439"/>
      <c r="Q214" s="466">
        <f>SUMIFS([3]BV_Data_An_Prec!$AM:$AM,[3]BV_Data_An_Prec!$AP:$AP,$B214,[3]BV_Data_An_Prec!$AQ:$AQ,$C214,[3]BV_Data_An_Prec!$AR:$AR,$L$2)</f>
        <v>0</v>
      </c>
      <c r="R214" s="462"/>
      <c r="S214" s="466">
        <f t="shared" si="43"/>
        <v>0</v>
      </c>
      <c r="T214" s="584"/>
      <c r="U214" s="436"/>
      <c r="V214" s="439"/>
      <c r="W214" s="439"/>
      <c r="X214" s="439"/>
      <c r="Y214" s="439"/>
      <c r="Z214" s="439"/>
      <c r="AA214" s="439"/>
      <c r="AB214" s="439"/>
      <c r="AC214" s="439"/>
      <c r="AD214" s="439"/>
      <c r="AE214" s="439"/>
      <c r="AF214" s="439"/>
      <c r="AG214" s="439"/>
      <c r="AH214" s="439"/>
      <c r="AI214" s="439"/>
      <c r="AJ214" s="439"/>
      <c r="AK214" s="439"/>
      <c r="AL214" s="439"/>
      <c r="AM214" s="439"/>
      <c r="AN214" s="439"/>
    </row>
    <row r="215" spans="1:40" ht="15.75" customHeight="1">
      <c r="A215" s="452" t="s">
        <v>255</v>
      </c>
      <c r="B215" s="439" t="s">
        <v>223</v>
      </c>
      <c r="C215" s="453" t="s">
        <v>54</v>
      </c>
      <c r="D215" s="531"/>
      <c r="E215" s="546"/>
      <c r="F215" s="455">
        <f t="array" ref="F215">+INDEX('[3]Budget original'!$A$2:$AO$501,MATCH($A215,'[3]Budget original'!$A$2:$A$501,0),MATCH(F$2,'[3]Budget original'!$A$2:$AO$2,0))</f>
        <v>0</v>
      </c>
      <c r="G215" s="532"/>
      <c r="H215" s="546"/>
      <c r="I215" s="455"/>
      <c r="J215" s="453"/>
      <c r="K215" s="546"/>
      <c r="L215" s="458">
        <f>SUMIFS([3]BV_Data_An_Cour!$AM:$AM,[3]BV_Data_An_Cour!$AP:$AP,$B215,[3]BV_Data_An_Cour!$AQ:$AQ,$C215,[3]BV_Data_An_Cour!$AR:$AR,$L$2)</f>
        <v>0</v>
      </c>
      <c r="M215" s="453"/>
      <c r="N215" s="458">
        <f t="shared" si="42"/>
        <v>0</v>
      </c>
      <c r="O215" s="453"/>
      <c r="P215" s="546"/>
      <c r="Q215" s="458">
        <f>SUMIFS([3]BV_Data_An_Prec!$AM:$AM,[3]BV_Data_An_Prec!$AP:$AP,$B215,[3]BV_Data_An_Prec!$AQ:$AQ,$C215,[3]BV_Data_An_Prec!$AR:$AR,$L$2)</f>
        <v>0</v>
      </c>
      <c r="R215" s="453"/>
      <c r="S215" s="458">
        <f t="shared" si="43"/>
        <v>0</v>
      </c>
      <c r="T215" s="436"/>
      <c r="U215" s="521"/>
      <c r="V215" s="439"/>
      <c r="W215" s="439"/>
      <c r="X215" s="439"/>
      <c r="Y215" s="439"/>
      <c r="Z215" s="439"/>
      <c r="AA215" s="439"/>
      <c r="AB215" s="439"/>
      <c r="AC215" s="439"/>
      <c r="AD215" s="439"/>
      <c r="AE215" s="439"/>
      <c r="AF215" s="439"/>
      <c r="AG215" s="439"/>
      <c r="AH215" s="439"/>
      <c r="AI215" s="439"/>
      <c r="AJ215" s="439"/>
      <c r="AK215" s="439"/>
      <c r="AL215" s="439"/>
      <c r="AM215" s="439"/>
      <c r="AN215" s="439"/>
    </row>
    <row r="216" spans="1:40" ht="15.75" customHeight="1">
      <c r="A216" s="452" t="s">
        <v>256</v>
      </c>
      <c r="B216" s="439" t="s">
        <v>223</v>
      </c>
      <c r="C216" s="462" t="s">
        <v>55</v>
      </c>
      <c r="D216" s="528"/>
      <c r="E216" s="439"/>
      <c r="F216" s="463">
        <f t="array" ref="F216">+INDEX('[3]Budget original'!$A$2:$AO$501,MATCH($A216,'[3]Budget original'!$A$2:$A$501,0),MATCH(F$2,'[3]Budget original'!$A$2:$AO$2,0))</f>
        <v>0</v>
      </c>
      <c r="G216" s="529"/>
      <c r="H216" s="439"/>
      <c r="I216" s="463"/>
      <c r="J216" s="462"/>
      <c r="K216" s="439"/>
      <c r="L216" s="466">
        <f>SUMIFS([3]BV_Data_An_Cour!$AM:$AM,[3]BV_Data_An_Cour!$AP:$AP,$B216,[3]BV_Data_An_Cour!$AQ:$AQ,$C216,[3]BV_Data_An_Cour!$AR:$AR,$L$2)</f>
        <v>0</v>
      </c>
      <c r="M216" s="462"/>
      <c r="N216" s="466">
        <f t="shared" si="42"/>
        <v>0</v>
      </c>
      <c r="O216" s="462"/>
      <c r="P216" s="439"/>
      <c r="Q216" s="466">
        <f>SUMIFS([3]BV_Data_An_Prec!$AM:$AM,[3]BV_Data_An_Prec!$AP:$AP,$B216,[3]BV_Data_An_Prec!$AQ:$AQ,$C216,[3]BV_Data_An_Prec!$AR:$AR,$L$2)</f>
        <v>0</v>
      </c>
      <c r="R216" s="462"/>
      <c r="S216" s="466">
        <f t="shared" si="43"/>
        <v>0</v>
      </c>
      <c r="T216" s="436"/>
      <c r="U216" s="436"/>
      <c r="V216" s="439"/>
      <c r="W216" s="439"/>
      <c r="X216" s="439"/>
      <c r="Y216" s="439"/>
      <c r="Z216" s="439"/>
      <c r="AA216" s="439"/>
      <c r="AB216" s="439"/>
      <c r="AC216" s="439"/>
      <c r="AD216" s="439"/>
      <c r="AE216" s="439"/>
      <c r="AF216" s="439"/>
      <c r="AG216" s="439"/>
      <c r="AH216" s="439"/>
      <c r="AI216" s="439"/>
      <c r="AJ216" s="439"/>
      <c r="AK216" s="439"/>
      <c r="AL216" s="439"/>
      <c r="AM216" s="439"/>
      <c r="AN216" s="439"/>
    </row>
    <row r="217" spans="1:40" ht="15.75" customHeight="1">
      <c r="A217" s="452" t="s">
        <v>257</v>
      </c>
      <c r="B217" s="439" t="s">
        <v>223</v>
      </c>
      <c r="C217" s="462" t="s">
        <v>56</v>
      </c>
      <c r="D217" s="528"/>
      <c r="E217" s="439"/>
      <c r="F217" s="463">
        <f t="array" ref="F217">+INDEX('[3]Budget original'!$A$2:$AO$501,MATCH($A217,'[3]Budget original'!$A$2:$A$501,0),MATCH(F$2,'[3]Budget original'!$A$2:$AO$2,0))</f>
        <v>0</v>
      </c>
      <c r="G217" s="529"/>
      <c r="H217" s="439"/>
      <c r="I217" s="463"/>
      <c r="J217" s="462"/>
      <c r="K217" s="439"/>
      <c r="L217" s="466">
        <f>SUMIFS([3]BV_Data_An_Cour!$AM:$AM,[3]BV_Data_An_Cour!$AP:$AP,$B217,[3]BV_Data_An_Cour!$AQ:$AQ,$C217,[3]BV_Data_An_Cour!$AR:$AR,$L$2)</f>
        <v>0</v>
      </c>
      <c r="M217" s="462"/>
      <c r="N217" s="466">
        <f t="shared" si="42"/>
        <v>0</v>
      </c>
      <c r="O217" s="462"/>
      <c r="P217" s="439"/>
      <c r="Q217" s="466">
        <f>SUMIFS([3]BV_Data_An_Prec!$AM:$AM,[3]BV_Data_An_Prec!$AP:$AP,$B217,[3]BV_Data_An_Prec!$AQ:$AQ,$C217,[3]BV_Data_An_Prec!$AR:$AR,$L$2)</f>
        <v>0</v>
      </c>
      <c r="R217" s="462"/>
      <c r="S217" s="466">
        <f t="shared" si="43"/>
        <v>0</v>
      </c>
      <c r="T217" s="436"/>
      <c r="U217" s="521"/>
      <c r="V217" s="439"/>
      <c r="W217" s="439"/>
      <c r="X217" s="439"/>
      <c r="Y217" s="439"/>
      <c r="Z217" s="439"/>
      <c r="AA217" s="439"/>
      <c r="AB217" s="439"/>
      <c r="AC217" s="439"/>
      <c r="AD217" s="439"/>
      <c r="AE217" s="439"/>
      <c r="AF217" s="439"/>
      <c r="AG217" s="439"/>
      <c r="AH217" s="439"/>
      <c r="AI217" s="439"/>
      <c r="AJ217" s="439"/>
      <c r="AK217" s="439"/>
      <c r="AL217" s="439"/>
      <c r="AM217" s="439"/>
      <c r="AN217" s="439"/>
    </row>
    <row r="218" spans="1:40" ht="15.75" customHeight="1">
      <c r="A218" s="452" t="s">
        <v>258</v>
      </c>
      <c r="B218" s="439" t="s">
        <v>223</v>
      </c>
      <c r="C218" s="462" t="s">
        <v>57</v>
      </c>
      <c r="D218" s="528"/>
      <c r="E218" s="439"/>
      <c r="F218" s="463">
        <f t="array" ref="F218">+INDEX('[3]Budget original'!$A$2:$AO$501,MATCH($A218,'[3]Budget original'!$A$2:$A$501,0),MATCH(F$2,'[3]Budget original'!$A$2:$AO$2,0))</f>
        <v>0</v>
      </c>
      <c r="G218" s="529"/>
      <c r="H218" s="439"/>
      <c r="I218" s="463"/>
      <c r="J218" s="462"/>
      <c r="K218" s="439"/>
      <c r="L218" s="466">
        <f>SUMIFS([3]BV_Data_An_Cour!$AM:$AM,[3]BV_Data_An_Cour!$AP:$AP,$B218,[3]BV_Data_An_Cour!$AQ:$AQ,$C218,[3]BV_Data_An_Cour!$AR:$AR,$L$2)</f>
        <v>0</v>
      </c>
      <c r="M218" s="462"/>
      <c r="N218" s="466">
        <f t="shared" si="42"/>
        <v>0</v>
      </c>
      <c r="O218" s="462"/>
      <c r="P218" s="439"/>
      <c r="Q218" s="466">
        <f>SUMIFS([3]BV_Data_An_Prec!$AM:$AM,[3]BV_Data_An_Prec!$AP:$AP,$B218,[3]BV_Data_An_Prec!$AQ:$AQ,$C218,[3]BV_Data_An_Prec!$AR:$AR,$L$2)</f>
        <v>0</v>
      </c>
      <c r="R218" s="462"/>
      <c r="S218" s="466">
        <f t="shared" si="43"/>
        <v>0</v>
      </c>
      <c r="T218" s="436"/>
      <c r="U218" s="436"/>
      <c r="V218" s="439"/>
      <c r="W218" s="439"/>
      <c r="X218" s="439"/>
      <c r="Y218" s="439"/>
      <c r="Z218" s="439"/>
      <c r="AA218" s="439"/>
      <c r="AB218" s="439"/>
      <c r="AC218" s="439"/>
      <c r="AD218" s="439"/>
      <c r="AE218" s="439"/>
      <c r="AF218" s="439"/>
      <c r="AG218" s="439"/>
      <c r="AH218" s="439"/>
      <c r="AI218" s="439"/>
      <c r="AJ218" s="439"/>
      <c r="AK218" s="439"/>
      <c r="AL218" s="439"/>
      <c r="AM218" s="439"/>
      <c r="AN218" s="439"/>
    </row>
    <row r="219" spans="1:40" ht="15.75" customHeight="1">
      <c r="A219" s="452" t="s">
        <v>259</v>
      </c>
      <c r="B219" s="439" t="s">
        <v>223</v>
      </c>
      <c r="C219" s="462" t="s">
        <v>58</v>
      </c>
      <c r="D219" s="528"/>
      <c r="E219" s="439"/>
      <c r="F219" s="463">
        <f t="array" ref="F219">+INDEX('[3]Budget original'!$A$2:$AO$501,MATCH($A219,'[3]Budget original'!$A$2:$A$501,0),MATCH(F$2,'[3]Budget original'!$A$2:$AO$2,0))</f>
        <v>0</v>
      </c>
      <c r="G219" s="529"/>
      <c r="H219" s="439"/>
      <c r="I219" s="463"/>
      <c r="J219" s="462"/>
      <c r="K219" s="439"/>
      <c r="L219" s="466">
        <f>SUMIFS([3]BV_Data_An_Cour!$AM:$AM,[3]BV_Data_An_Cour!$AP:$AP,$B219,[3]BV_Data_An_Cour!$AQ:$AQ,$C219,[3]BV_Data_An_Cour!$AR:$AR,$L$2)</f>
        <v>0</v>
      </c>
      <c r="M219" s="462"/>
      <c r="N219" s="466">
        <f t="shared" si="42"/>
        <v>0</v>
      </c>
      <c r="O219" s="462"/>
      <c r="P219" s="439"/>
      <c r="Q219" s="466">
        <f>SUMIFS([3]BV_Data_An_Prec!$AM:$AM,[3]BV_Data_An_Prec!$AP:$AP,$B219,[3]BV_Data_An_Prec!$AQ:$AQ,$C219,[3]BV_Data_An_Prec!$AR:$AR,$L$2)</f>
        <v>0</v>
      </c>
      <c r="R219" s="462"/>
      <c r="S219" s="466">
        <f t="shared" si="43"/>
        <v>0</v>
      </c>
      <c r="T219" s="436"/>
      <c r="U219" s="436"/>
      <c r="V219" s="439"/>
      <c r="W219" s="439"/>
      <c r="X219" s="439"/>
      <c r="Y219" s="439"/>
      <c r="Z219" s="439"/>
      <c r="AA219" s="439"/>
      <c r="AB219" s="439"/>
      <c r="AC219" s="439"/>
      <c r="AD219" s="439"/>
      <c r="AE219" s="439"/>
      <c r="AF219" s="439"/>
      <c r="AG219" s="439"/>
      <c r="AH219" s="439"/>
      <c r="AI219" s="439"/>
      <c r="AJ219" s="439"/>
      <c r="AK219" s="439"/>
      <c r="AL219" s="439"/>
      <c r="AM219" s="439"/>
      <c r="AN219" s="439"/>
    </row>
    <row r="220" spans="1:40" ht="15.75" customHeight="1">
      <c r="A220" s="452" t="s">
        <v>260</v>
      </c>
      <c r="B220" s="439" t="s">
        <v>223</v>
      </c>
      <c r="C220" s="462" t="s">
        <v>59</v>
      </c>
      <c r="D220" s="528"/>
      <c r="E220" s="439"/>
      <c r="F220" s="463">
        <f t="array" ref="F220">+INDEX('[3]Budget original'!$A$2:$AO$501,MATCH($A220,'[3]Budget original'!$A$2:$A$501,0),MATCH(F$2,'[3]Budget original'!$A$2:$AO$2,0))</f>
        <v>0</v>
      </c>
      <c r="G220" s="529"/>
      <c r="H220" s="439"/>
      <c r="I220" s="463"/>
      <c r="J220" s="462"/>
      <c r="K220" s="439"/>
      <c r="L220" s="466">
        <f>SUMIFS([3]BV_Data_An_Cour!$AM:$AM,[3]BV_Data_An_Cour!$AP:$AP,$B220,[3]BV_Data_An_Cour!$AQ:$AQ,$C220,[3]BV_Data_An_Cour!$AR:$AR,$L$2)</f>
        <v>19</v>
      </c>
      <c r="M220" s="462"/>
      <c r="N220" s="466">
        <f t="shared" si="42"/>
        <v>19</v>
      </c>
      <c r="O220" s="462"/>
      <c r="P220" s="439"/>
      <c r="Q220" s="466">
        <f>SUMIFS([3]BV_Data_An_Prec!$AM:$AM,[3]BV_Data_An_Prec!$AP:$AP,$B220,[3]BV_Data_An_Prec!$AQ:$AQ,$C220,[3]BV_Data_An_Prec!$AR:$AR,$L$2)</f>
        <v>672.31999999999971</v>
      </c>
      <c r="R220" s="462"/>
      <c r="S220" s="466">
        <f t="shared" si="43"/>
        <v>-653.31999999999971</v>
      </c>
      <c r="T220" s="436"/>
      <c r="U220" s="436"/>
      <c r="V220" s="439"/>
      <c r="W220" s="439"/>
      <c r="X220" s="439"/>
      <c r="Y220" s="439"/>
      <c r="Z220" s="439"/>
      <c r="AA220" s="439"/>
      <c r="AB220" s="439"/>
      <c r="AC220" s="439"/>
      <c r="AD220" s="439"/>
      <c r="AE220" s="439"/>
      <c r="AF220" s="439"/>
      <c r="AG220" s="439"/>
      <c r="AH220" s="439"/>
      <c r="AI220" s="439"/>
      <c r="AJ220" s="439"/>
      <c r="AK220" s="439"/>
      <c r="AL220" s="439"/>
      <c r="AM220" s="439"/>
      <c r="AN220" s="439"/>
    </row>
    <row r="221" spans="1:40" ht="15.75" customHeight="1">
      <c r="A221" s="452" t="s">
        <v>261</v>
      </c>
      <c r="B221" s="439" t="s">
        <v>223</v>
      </c>
      <c r="C221" s="462" t="s">
        <v>60</v>
      </c>
      <c r="D221" s="528"/>
      <c r="E221" s="439"/>
      <c r="F221" s="463">
        <f t="array" ref="F221">+INDEX('[3]Budget original'!$A$2:$AO$501,MATCH($A221,'[3]Budget original'!$A$2:$A$501,0),MATCH(F$2,'[3]Budget original'!$A$2:$AO$2,0))</f>
        <v>0</v>
      </c>
      <c r="G221" s="529"/>
      <c r="H221" s="439"/>
      <c r="I221" s="463"/>
      <c r="J221" s="462"/>
      <c r="K221" s="439"/>
      <c r="L221" s="466">
        <f>SUMIFS([3]BV_Data_An_Cour!$AM:$AM,[3]BV_Data_An_Cour!$AP:$AP,$B221,[3]BV_Data_An_Cour!$AQ:$AQ,$C221,[3]BV_Data_An_Cour!$AR:$AR,$L$2)</f>
        <v>0</v>
      </c>
      <c r="M221" s="462"/>
      <c r="N221" s="466">
        <f t="shared" si="42"/>
        <v>0</v>
      </c>
      <c r="O221" s="462"/>
      <c r="P221" s="439"/>
      <c r="Q221" s="466">
        <f>SUMIFS([3]BV_Data_An_Prec!$AM:$AM,[3]BV_Data_An_Prec!$AP:$AP,$B221,[3]BV_Data_An_Prec!$AQ:$AQ,$C221,[3]BV_Data_An_Prec!$AR:$AR,$L$2)</f>
        <v>0</v>
      </c>
      <c r="R221" s="462"/>
      <c r="S221" s="466">
        <f t="shared" si="43"/>
        <v>0</v>
      </c>
      <c r="T221" s="436"/>
      <c r="U221" s="436"/>
      <c r="V221" s="439"/>
      <c r="W221" s="439"/>
      <c r="X221" s="439"/>
      <c r="Y221" s="439"/>
      <c r="Z221" s="439"/>
      <c r="AA221" s="439"/>
      <c r="AB221" s="439"/>
      <c r="AC221" s="439"/>
      <c r="AD221" s="439"/>
      <c r="AE221" s="439"/>
      <c r="AF221" s="439"/>
      <c r="AG221" s="439"/>
      <c r="AH221" s="439"/>
      <c r="AI221" s="439"/>
      <c r="AJ221" s="439"/>
      <c r="AK221" s="439"/>
      <c r="AL221" s="439"/>
      <c r="AM221" s="439"/>
      <c r="AN221" s="439"/>
    </row>
    <row r="222" spans="1:40" ht="15.75" customHeight="1">
      <c r="A222" s="452" t="s">
        <v>262</v>
      </c>
      <c r="B222" s="439" t="s">
        <v>223</v>
      </c>
      <c r="C222" s="462" t="s">
        <v>61</v>
      </c>
      <c r="D222" s="528"/>
      <c r="E222" s="439"/>
      <c r="F222" s="463">
        <f t="array" ref="F222">+INDEX('[3]Budget original'!$A$2:$AO$501,MATCH($A222,'[3]Budget original'!$A$2:$A$501,0),MATCH(F$2,'[3]Budget original'!$A$2:$AO$2,0))</f>
        <v>0</v>
      </c>
      <c r="G222" s="529"/>
      <c r="H222" s="439"/>
      <c r="I222" s="463"/>
      <c r="J222" s="462"/>
      <c r="K222" s="439"/>
      <c r="L222" s="466">
        <f>SUMIFS([3]BV_Data_An_Cour!$AM:$AM,[3]BV_Data_An_Cour!$AP:$AP,$B222,[3]BV_Data_An_Cour!$AQ:$AQ,$C222,[3]BV_Data_An_Cour!$AR:$AR,$L$2)</f>
        <v>0</v>
      </c>
      <c r="M222" s="462"/>
      <c r="N222" s="466">
        <f t="shared" si="42"/>
        <v>0</v>
      </c>
      <c r="O222" s="462"/>
      <c r="P222" s="439"/>
      <c r="Q222" s="466">
        <f>SUMIFS([3]BV_Data_An_Prec!$AM:$AM,[3]BV_Data_An_Prec!$AP:$AP,$B222,[3]BV_Data_An_Prec!$AQ:$AQ,$C222,[3]BV_Data_An_Prec!$AR:$AR,$L$2)</f>
        <v>0</v>
      </c>
      <c r="R222" s="462"/>
      <c r="S222" s="466">
        <f t="shared" si="43"/>
        <v>0</v>
      </c>
      <c r="T222" s="436"/>
      <c r="U222" s="436"/>
      <c r="X222" s="439"/>
      <c r="Y222" s="439"/>
      <c r="Z222" s="439"/>
      <c r="AA222" s="439"/>
      <c r="AB222" s="439"/>
      <c r="AC222" s="439"/>
      <c r="AD222" s="439"/>
      <c r="AE222" s="439"/>
      <c r="AF222" s="439"/>
      <c r="AG222" s="439"/>
      <c r="AH222" s="439"/>
      <c r="AI222" s="439"/>
      <c r="AJ222" s="439"/>
      <c r="AK222" s="439"/>
      <c r="AL222" s="439"/>
      <c r="AM222" s="439"/>
      <c r="AN222" s="439"/>
    </row>
    <row r="223" spans="1:40" ht="15.75" customHeight="1">
      <c r="A223" s="452" t="s">
        <v>263</v>
      </c>
      <c r="B223" s="439" t="s">
        <v>223</v>
      </c>
      <c r="C223" s="462" t="s">
        <v>62</v>
      </c>
      <c r="D223" s="528"/>
      <c r="E223" s="439"/>
      <c r="F223" s="463">
        <f t="array" ref="F223">+INDEX('[3]Budget original'!$A$2:$AO$501,MATCH($A223,'[3]Budget original'!$A$2:$A$501,0),MATCH(F$2,'[3]Budget original'!$A$2:$AO$2,0))</f>
        <v>0</v>
      </c>
      <c r="G223" s="529"/>
      <c r="H223" s="439"/>
      <c r="I223" s="463"/>
      <c r="J223" s="462"/>
      <c r="K223" s="439"/>
      <c r="L223" s="466">
        <f>SUMIFS([3]BV_Data_An_Cour!$AM:$AM,[3]BV_Data_An_Cour!$AP:$AP,$B223,[3]BV_Data_An_Cour!$AQ:$AQ,$C223,[3]BV_Data_An_Cour!$AR:$AR,$L$2)</f>
        <v>0</v>
      </c>
      <c r="M223" s="462"/>
      <c r="N223" s="466">
        <f t="shared" si="42"/>
        <v>0</v>
      </c>
      <c r="O223" s="462"/>
      <c r="P223" s="439"/>
      <c r="Q223" s="466">
        <f>SUMIFS([3]BV_Data_An_Prec!$AM:$AM,[3]BV_Data_An_Prec!$AP:$AP,$B223,[3]BV_Data_An_Prec!$AQ:$AQ,$C223,[3]BV_Data_An_Prec!$AR:$AR,$L$2)</f>
        <v>0</v>
      </c>
      <c r="R223" s="462"/>
      <c r="S223" s="466">
        <f t="shared" si="43"/>
        <v>0</v>
      </c>
      <c r="T223" s="521"/>
      <c r="U223" s="436"/>
      <c r="X223" s="439"/>
      <c r="Y223" s="439"/>
      <c r="Z223" s="439"/>
      <c r="AA223" s="439"/>
      <c r="AB223" s="439"/>
      <c r="AC223" s="439"/>
      <c r="AD223" s="439"/>
      <c r="AE223" s="439"/>
      <c r="AF223" s="439"/>
      <c r="AG223" s="439"/>
      <c r="AH223" s="439"/>
      <c r="AI223" s="439"/>
      <c r="AJ223" s="439"/>
      <c r="AK223" s="439"/>
      <c r="AL223" s="439"/>
      <c r="AM223" s="439"/>
      <c r="AN223" s="439"/>
    </row>
    <row r="224" spans="1:40" ht="20.25" hidden="1" customHeight="1">
      <c r="A224" s="452" t="s">
        <v>239</v>
      </c>
      <c r="B224" s="439" t="s">
        <v>223</v>
      </c>
      <c r="C224" s="462" t="s">
        <v>19</v>
      </c>
      <c r="D224" s="528"/>
      <c r="E224" s="439"/>
      <c r="F224" s="463">
        <f t="array" ref="F224">+INDEX('[3]Budget original'!$A$2:$AO$501,MATCH($A224,'[3]Budget original'!$A$2:$A$501,0),MATCH(F$2,'[3]Budget original'!$A$2:$AO$2,0))</f>
        <v>0</v>
      </c>
      <c r="G224" s="529"/>
      <c r="H224" s="439"/>
      <c r="I224" s="463"/>
      <c r="J224" s="462"/>
      <c r="K224" s="439"/>
      <c r="L224" s="466">
        <f>SUMIFS([3]BV_Data_An_Cour!$AM:$AM,[3]BV_Data_An_Cour!$AP:$AP,$B224,[3]BV_Data_An_Cour!$AQ:$AQ,$C224,[3]BV_Data_An_Cour!$AR:$AR,$L$2)</f>
        <v>0</v>
      </c>
      <c r="M224" s="462"/>
      <c r="N224" s="466">
        <f t="shared" si="42"/>
        <v>0</v>
      </c>
      <c r="O224" s="462"/>
      <c r="P224" s="439"/>
      <c r="Q224" s="466">
        <f>SUMIFS([3]BV_Data_An_Prec!$AM:$AM,[3]BV_Data_An_Prec!$AP:$AP,$B224,[3]BV_Data_An_Prec!$AQ:$AQ,$C224,[3]BV_Data_An_Prec!$AR:$AR,$L$2)</f>
        <v>0</v>
      </c>
      <c r="R224" s="462"/>
      <c r="S224" s="466">
        <f t="shared" si="43"/>
        <v>0</v>
      </c>
      <c r="T224" s="436"/>
      <c r="U224" s="436"/>
      <c r="X224" s="439"/>
      <c r="Y224" s="439"/>
      <c r="Z224" s="439"/>
      <c r="AA224" s="439"/>
      <c r="AB224" s="439"/>
      <c r="AC224" s="439"/>
      <c r="AD224" s="439"/>
      <c r="AE224" s="439"/>
      <c r="AF224" s="439"/>
      <c r="AG224" s="439"/>
      <c r="AH224" s="439"/>
      <c r="AI224" s="439"/>
      <c r="AJ224" s="439"/>
      <c r="AK224" s="439"/>
      <c r="AL224" s="439"/>
      <c r="AM224" s="439"/>
      <c r="AN224" s="439"/>
    </row>
    <row r="225" spans="1:40" ht="20.25" hidden="1" customHeight="1">
      <c r="A225" s="452" t="s">
        <v>239</v>
      </c>
      <c r="B225" s="439" t="s">
        <v>223</v>
      </c>
      <c r="C225" s="462" t="s">
        <v>19</v>
      </c>
      <c r="D225" s="528"/>
      <c r="E225" s="439"/>
      <c r="F225" s="463">
        <f t="array" ref="F225">+INDEX('[3]Budget original'!$A$2:$AO$501,MATCH($A225,'[3]Budget original'!$A$2:$A$501,0),MATCH(F$2,'[3]Budget original'!$A$2:$AO$2,0))</f>
        <v>0</v>
      </c>
      <c r="G225" s="529"/>
      <c r="H225" s="439"/>
      <c r="I225" s="463"/>
      <c r="J225" s="462"/>
      <c r="K225" s="439"/>
      <c r="L225" s="466">
        <f>SUMIFS([3]BV_Data_An_Cour!$AM:$AM,[3]BV_Data_An_Cour!$AP:$AP,$B225,[3]BV_Data_An_Cour!$AQ:$AQ,$C225,[3]BV_Data_An_Cour!$AR:$AR,$L$2)</f>
        <v>0</v>
      </c>
      <c r="M225" s="462"/>
      <c r="N225" s="466">
        <f t="shared" si="42"/>
        <v>0</v>
      </c>
      <c r="O225" s="462"/>
      <c r="P225" s="439"/>
      <c r="Q225" s="466">
        <f>SUMIFS([3]BV_Data_An_Prec!$AM:$AM,[3]BV_Data_An_Prec!$AP:$AP,$B225,[3]BV_Data_An_Prec!$AQ:$AQ,$C225,[3]BV_Data_An_Prec!$AR:$AR,$L$2)</f>
        <v>0</v>
      </c>
      <c r="R225" s="462"/>
      <c r="S225" s="466">
        <f t="shared" si="43"/>
        <v>0</v>
      </c>
      <c r="T225" s="436"/>
      <c r="U225" s="436"/>
      <c r="X225" s="439"/>
      <c r="Y225" s="439"/>
      <c r="Z225" s="439"/>
      <c r="AA225" s="439"/>
      <c r="AB225" s="439"/>
      <c r="AC225" s="439"/>
      <c r="AD225" s="439"/>
      <c r="AE225" s="439"/>
      <c r="AF225" s="439"/>
      <c r="AG225" s="439"/>
      <c r="AH225" s="439"/>
      <c r="AI225" s="439"/>
      <c r="AJ225" s="439"/>
      <c r="AK225" s="439"/>
      <c r="AL225" s="439"/>
      <c r="AM225" s="439"/>
      <c r="AN225" s="439"/>
    </row>
    <row r="226" spans="1:40" ht="20.25" hidden="1" customHeight="1">
      <c r="A226" s="452" t="s">
        <v>239</v>
      </c>
      <c r="B226" s="439" t="s">
        <v>223</v>
      </c>
      <c r="C226" s="462" t="s">
        <v>19</v>
      </c>
      <c r="D226" s="528"/>
      <c r="E226" s="439"/>
      <c r="F226" s="463">
        <f t="array" ref="F226">+INDEX('[3]Budget original'!$A$2:$AO$501,MATCH($A226,'[3]Budget original'!$A$2:$A$501,0),MATCH(F$2,'[3]Budget original'!$A$2:$AO$2,0))</f>
        <v>0</v>
      </c>
      <c r="G226" s="529"/>
      <c r="H226" s="439"/>
      <c r="I226" s="463"/>
      <c r="J226" s="462"/>
      <c r="K226" s="439"/>
      <c r="L226" s="466">
        <f>SUMIFS([3]BV_Data_An_Cour!$AM:$AM,[3]BV_Data_An_Cour!$AP:$AP,$B226,[3]BV_Data_An_Cour!$AQ:$AQ,$C226,[3]BV_Data_An_Cour!$AR:$AR,$L$2)</f>
        <v>0</v>
      </c>
      <c r="M226" s="462"/>
      <c r="N226" s="466">
        <f t="shared" si="42"/>
        <v>0</v>
      </c>
      <c r="O226" s="462"/>
      <c r="P226" s="439"/>
      <c r="Q226" s="466">
        <f>SUMIFS([3]BV_Data_An_Prec!$AM:$AM,[3]BV_Data_An_Prec!$AP:$AP,$B226,[3]BV_Data_An_Prec!$AQ:$AQ,$C226,[3]BV_Data_An_Prec!$AR:$AR,$L$2)</f>
        <v>0</v>
      </c>
      <c r="R226" s="462"/>
      <c r="S226" s="466">
        <f t="shared" si="43"/>
        <v>0</v>
      </c>
      <c r="T226" s="521"/>
      <c r="U226" s="436"/>
      <c r="X226" s="439"/>
      <c r="Y226" s="439"/>
      <c r="Z226" s="439"/>
      <c r="AA226" s="439"/>
      <c r="AB226" s="439"/>
      <c r="AC226" s="439"/>
      <c r="AD226" s="439"/>
      <c r="AE226" s="439"/>
      <c r="AF226" s="439"/>
      <c r="AG226" s="439"/>
      <c r="AH226" s="439"/>
      <c r="AI226" s="439"/>
      <c r="AJ226" s="439"/>
      <c r="AK226" s="439"/>
      <c r="AL226" s="439"/>
      <c r="AM226" s="439"/>
      <c r="AN226" s="439"/>
    </row>
    <row r="227" spans="1:40" ht="18" customHeight="1">
      <c r="A227" s="452" t="s">
        <v>264</v>
      </c>
      <c r="B227" s="439" t="s">
        <v>223</v>
      </c>
      <c r="C227" s="534" t="s">
        <v>63</v>
      </c>
      <c r="D227" s="535" t="s">
        <v>38</v>
      </c>
      <c r="E227" s="536" t="e">
        <f>F227/F$109</f>
        <v>#DIV/0!</v>
      </c>
      <c r="F227" s="537">
        <f>+SUM(F210:F226)</f>
        <v>0</v>
      </c>
      <c r="G227" s="538"/>
      <c r="H227" s="536"/>
      <c r="I227" s="537"/>
      <c r="J227" s="538" t="s">
        <v>38</v>
      </c>
      <c r="K227" s="536">
        <f>L227/L$109</f>
        <v>4.7801231410038306E-4</v>
      </c>
      <c r="L227" s="537">
        <f>+SUM(L210:L226)</f>
        <v>19</v>
      </c>
      <c r="M227" s="539"/>
      <c r="N227" s="537">
        <f t="shared" si="42"/>
        <v>19</v>
      </c>
      <c r="O227" s="538" t="s">
        <v>38</v>
      </c>
      <c r="P227" s="536">
        <f>Q227/Q$109</f>
        <v>5.5160418264832041E-3</v>
      </c>
      <c r="Q227" s="537">
        <f>+SUM(Q210:Q226)</f>
        <v>672.31999999999971</v>
      </c>
      <c r="R227" s="540"/>
      <c r="S227" s="537">
        <f t="shared" si="43"/>
        <v>-653.31999999999971</v>
      </c>
      <c r="T227" s="436"/>
      <c r="U227" s="436"/>
      <c r="V227" s="439"/>
      <c r="W227" s="439"/>
      <c r="X227" s="439"/>
      <c r="Y227" s="439"/>
      <c r="Z227" s="439"/>
      <c r="AA227" s="439"/>
      <c r="AB227" s="439"/>
      <c r="AC227" s="439"/>
      <c r="AD227" s="439"/>
      <c r="AE227" s="439"/>
      <c r="AF227" s="439"/>
      <c r="AG227" s="439"/>
      <c r="AH227" s="439"/>
      <c r="AI227" s="439"/>
      <c r="AJ227" s="439"/>
      <c r="AK227" s="439"/>
      <c r="AL227" s="439"/>
      <c r="AM227" s="439"/>
      <c r="AN227" s="439"/>
    </row>
    <row r="228" spans="1:40" ht="15.75" customHeight="1">
      <c r="A228" s="452" t="s">
        <v>70</v>
      </c>
      <c r="B228" s="439" t="s">
        <v>223</v>
      </c>
      <c r="C228" s="453"/>
      <c r="D228" s="531"/>
      <c r="E228" s="546"/>
      <c r="F228" s="466"/>
      <c r="G228" s="532"/>
      <c r="H228" s="546"/>
      <c r="I228" s="466"/>
      <c r="J228" s="453"/>
      <c r="K228" s="546"/>
      <c r="L228" s="458"/>
      <c r="M228" s="453"/>
      <c r="N228" s="458"/>
      <c r="O228" s="453"/>
      <c r="P228" s="546"/>
      <c r="Q228" s="458"/>
      <c r="R228" s="453"/>
      <c r="S228" s="458"/>
      <c r="T228" s="547"/>
      <c r="U228" s="436"/>
      <c r="V228" s="439"/>
      <c r="W228" s="439"/>
      <c r="X228" s="439"/>
      <c r="Y228" s="439"/>
      <c r="Z228" s="439"/>
      <c r="AA228" s="439"/>
      <c r="AB228" s="439"/>
      <c r="AC228" s="439"/>
      <c r="AD228" s="439"/>
      <c r="AE228" s="439"/>
      <c r="AF228" s="439"/>
      <c r="AG228" s="439"/>
      <c r="AH228" s="439"/>
      <c r="AI228" s="439"/>
      <c r="AJ228" s="439"/>
      <c r="AK228" s="439"/>
      <c r="AL228" s="439"/>
      <c r="AM228" s="439"/>
      <c r="AN228" s="439"/>
    </row>
    <row r="229" spans="1:40" ht="18" customHeight="1">
      <c r="A229" s="452" t="s">
        <v>265</v>
      </c>
      <c r="B229" s="439" t="s">
        <v>223</v>
      </c>
      <c r="C229" s="534" t="s">
        <v>64</v>
      </c>
      <c r="D229" s="535" t="s">
        <v>38</v>
      </c>
      <c r="E229" s="536" t="e">
        <f>F229/F$109</f>
        <v>#DIV/0!</v>
      </c>
      <c r="F229" s="537">
        <f>F196+F209+F227</f>
        <v>0</v>
      </c>
      <c r="G229" s="538"/>
      <c r="H229" s="536"/>
      <c r="I229" s="537"/>
      <c r="J229" s="538" t="s">
        <v>38</v>
      </c>
      <c r="K229" s="536">
        <f>L229/L$109</f>
        <v>0.60848652999036701</v>
      </c>
      <c r="L229" s="537">
        <f>L196+L209+L227</f>
        <v>24186.079999999962</v>
      </c>
      <c r="M229" s="539"/>
      <c r="N229" s="537">
        <f t="shared" ref="N229:N236" si="47">L229-F229</f>
        <v>24186.079999999962</v>
      </c>
      <c r="O229" s="538" t="s">
        <v>38</v>
      </c>
      <c r="P229" s="536">
        <f>Q229/Q$109</f>
        <v>0.59571348284645842</v>
      </c>
      <c r="Q229" s="537">
        <f>Q196+Q209+Q227</f>
        <v>72608.239999999991</v>
      </c>
      <c r="R229" s="540"/>
      <c r="S229" s="537">
        <f t="shared" ref="S229:S236" si="48">L229-Q229</f>
        <v>-48422.160000000033</v>
      </c>
      <c r="T229" s="436"/>
      <c r="U229" s="436"/>
      <c r="V229" s="439"/>
      <c r="W229" s="439"/>
      <c r="X229" s="439"/>
      <c r="Y229" s="439"/>
      <c r="Z229" s="439"/>
      <c r="AA229" s="439"/>
      <c r="AB229" s="439"/>
      <c r="AC229" s="439"/>
      <c r="AD229" s="439"/>
      <c r="AE229" s="439"/>
      <c r="AF229" s="439"/>
      <c r="AG229" s="439"/>
      <c r="AH229" s="439"/>
      <c r="AI229" s="439"/>
      <c r="AJ229" s="439"/>
      <c r="AK229" s="439"/>
      <c r="AL229" s="439"/>
      <c r="AM229" s="439"/>
      <c r="AN229" s="439"/>
    </row>
    <row r="230" spans="1:40" ht="21" hidden="1" customHeight="1">
      <c r="A230" s="452" t="s">
        <v>266</v>
      </c>
      <c r="B230" s="439" t="s">
        <v>223</v>
      </c>
      <c r="C230" s="462" t="s">
        <v>267</v>
      </c>
      <c r="D230" s="585"/>
      <c r="E230" s="586"/>
      <c r="F230" s="463">
        <f t="array" ref="F230">+INDEX('[3]Budget original'!$A$2:$AO$501,MATCH($A230,'[3]Budget original'!$A$2:$A$501,0),MATCH(F$2,'[3]Budget original'!$A$2:$AO$2,0))</f>
        <v>0</v>
      </c>
      <c r="G230" s="587"/>
      <c r="H230" s="586"/>
      <c r="I230" s="463"/>
      <c r="J230" s="587"/>
      <c r="K230" s="586"/>
      <c r="L230" s="466">
        <v>0</v>
      </c>
      <c r="M230" s="462"/>
      <c r="N230" s="466">
        <f t="shared" si="47"/>
        <v>0</v>
      </c>
      <c r="O230" s="587"/>
      <c r="P230" s="586"/>
      <c r="Q230" s="466">
        <v>0</v>
      </c>
      <c r="R230" s="462"/>
      <c r="S230" s="466">
        <f t="shared" si="48"/>
        <v>0</v>
      </c>
      <c r="T230" s="547"/>
      <c r="U230" s="436"/>
      <c r="V230" s="439"/>
      <c r="W230" s="439"/>
      <c r="X230" s="439"/>
      <c r="Y230" s="439"/>
      <c r="Z230" s="439"/>
      <c r="AA230" s="439"/>
      <c r="AB230" s="439"/>
      <c r="AC230" s="439"/>
      <c r="AD230" s="439"/>
      <c r="AE230" s="439"/>
      <c r="AF230" s="439"/>
      <c r="AG230" s="439"/>
      <c r="AH230" s="439"/>
      <c r="AI230" s="439"/>
      <c r="AJ230" s="439"/>
      <c r="AK230" s="439"/>
      <c r="AL230" s="439"/>
      <c r="AM230" s="439"/>
      <c r="AN230" s="439"/>
    </row>
    <row r="231" spans="1:40" ht="21" hidden="1" customHeight="1">
      <c r="A231" s="452" t="s">
        <v>268</v>
      </c>
      <c r="B231" s="439" t="s">
        <v>223</v>
      </c>
      <c r="C231" s="462" t="s">
        <v>269</v>
      </c>
      <c r="D231" s="585"/>
      <c r="E231" s="586"/>
      <c r="F231" s="463">
        <f t="array" ref="F231">+INDEX('[3]Budget original'!$A$2:$AO$501,MATCH($A231,'[3]Budget original'!$A$2:$A$501,0),MATCH(F$2,'[3]Budget original'!$A$2:$AO$2,0))</f>
        <v>0</v>
      </c>
      <c r="G231" s="587"/>
      <c r="H231" s="586"/>
      <c r="I231" s="463"/>
      <c r="J231" s="587"/>
      <c r="K231" s="586"/>
      <c r="L231" s="466">
        <f>-SUMIFS([3]BV_Data_An_Cour!$AM:$AM,[3]BV_Data_An_Cour!$AP:$AP,$B231,[3]BV_Data_An_Cour!$AQ:$AQ,$C231,[3]BV_Data_An_Cour!$AR:$AR,$L$2)</f>
        <v>0</v>
      </c>
      <c r="M231" s="462"/>
      <c r="N231" s="466">
        <f t="shared" si="47"/>
        <v>0</v>
      </c>
      <c r="O231" s="587"/>
      <c r="P231" s="586"/>
      <c r="Q231" s="466">
        <f>-SUMIFS([3]BV_Data_An_Prec!$AM:$AM,[3]BV_Data_An_Prec!$AP:$AP,$B231,[3]BV_Data_An_Prec!$AQ:$AQ,$C231,[3]BV_Data_An_Prec!$AR:$AR,$L$2)</f>
        <v>0</v>
      </c>
      <c r="R231" s="462"/>
      <c r="S231" s="466">
        <f t="shared" si="48"/>
        <v>0</v>
      </c>
      <c r="T231" s="547"/>
      <c r="U231" s="436"/>
      <c r="V231" s="439"/>
      <c r="W231" s="439"/>
      <c r="X231" s="439"/>
      <c r="Y231" s="439"/>
      <c r="Z231" s="439"/>
      <c r="AA231" s="439"/>
      <c r="AB231" s="439"/>
      <c r="AC231" s="439"/>
      <c r="AD231" s="439"/>
      <c r="AE231" s="439"/>
      <c r="AF231" s="439"/>
      <c r="AG231" s="439"/>
      <c r="AH231" s="439"/>
      <c r="AI231" s="439"/>
      <c r="AJ231" s="439"/>
      <c r="AK231" s="439"/>
      <c r="AL231" s="439"/>
      <c r="AM231" s="439"/>
      <c r="AN231" s="439"/>
    </row>
    <row r="232" spans="1:40" ht="21" hidden="1" customHeight="1">
      <c r="A232" s="452" t="s">
        <v>270</v>
      </c>
      <c r="B232" s="439" t="s">
        <v>223</v>
      </c>
      <c r="C232" s="462" t="s">
        <v>77</v>
      </c>
      <c r="D232" s="528"/>
      <c r="E232" s="439"/>
      <c r="F232" s="463">
        <f t="array" ref="F232">+INDEX('[3]Budget original'!$A$2:$AO$501,MATCH($A232,'[3]Budget original'!$A$2:$A$501,0),MATCH(F$2,'[3]Budget original'!$A$2:$AO$2,0))</f>
        <v>0</v>
      </c>
      <c r="G232" s="529"/>
      <c r="H232" s="439"/>
      <c r="I232" s="463"/>
      <c r="J232" s="462"/>
      <c r="K232" s="439"/>
      <c r="L232" s="466">
        <f>-SUMIFS([3]BV_Data_An_Cour!$AM:$AM,[3]BV_Data_An_Cour!$AP:$AP,$B232,[3]BV_Data_An_Cour!$AQ:$AQ,$C232,[3]BV_Data_An_Cour!$AR:$AR,$L$2)</f>
        <v>0</v>
      </c>
      <c r="M232" s="462"/>
      <c r="N232" s="466">
        <f t="shared" si="47"/>
        <v>0</v>
      </c>
      <c r="O232" s="462"/>
      <c r="P232" s="439"/>
      <c r="Q232" s="466">
        <f>-SUMIFS([3]BV_Data_An_Prec!$AM:$AM,[3]BV_Data_An_Prec!$AP:$AP,$B232,[3]BV_Data_An_Prec!$AQ:$AQ,$C232,[3]BV_Data_An_Prec!$AR:$AR,$L$2)</f>
        <v>0</v>
      </c>
      <c r="R232" s="462"/>
      <c r="S232" s="466">
        <f t="shared" si="48"/>
        <v>0</v>
      </c>
      <c r="T232" s="547"/>
      <c r="U232" s="436"/>
      <c r="V232" s="439"/>
      <c r="W232" s="439"/>
      <c r="X232" s="439"/>
      <c r="Y232" s="439"/>
      <c r="Z232" s="439"/>
      <c r="AA232" s="439"/>
      <c r="AB232" s="439"/>
      <c r="AC232" s="439"/>
      <c r="AD232" s="439"/>
      <c r="AE232" s="439"/>
      <c r="AF232" s="439"/>
      <c r="AG232" s="439"/>
      <c r="AH232" s="439"/>
      <c r="AI232" s="439"/>
      <c r="AJ232" s="439"/>
      <c r="AK232" s="439"/>
      <c r="AL232" s="439"/>
      <c r="AM232" s="439"/>
      <c r="AN232" s="439"/>
    </row>
    <row r="233" spans="1:40" ht="21" hidden="1" customHeight="1">
      <c r="A233" s="452" t="s">
        <v>271</v>
      </c>
      <c r="B233" s="439" t="s">
        <v>223</v>
      </c>
      <c r="C233" s="462" t="s">
        <v>67</v>
      </c>
      <c r="D233" s="588" t="e">
        <f>E233/474</f>
        <v>#REF!</v>
      </c>
      <c r="E233" s="549" t="e">
        <f>F233/#REF!</f>
        <v>#REF!</v>
      </c>
      <c r="F233" s="463">
        <f t="array" ref="F233">+INDEX('[3]Budget original'!$A$2:$AO$501,MATCH($A233,'[3]Budget original'!$A$2:$A$501,0),MATCH(F$2,'[3]Budget original'!$A$2:$AO$2,0))</f>
        <v>0</v>
      </c>
      <c r="G233" s="529"/>
      <c r="H233" s="439"/>
      <c r="I233" s="463"/>
      <c r="J233" s="552"/>
      <c r="K233" s="549"/>
      <c r="L233" s="466">
        <f>-SUMIFS([3]BV_Data_An_Cour!$AM:$AM,[3]BV_Data_An_Cour!$AP:$AP,$B233,[3]BV_Data_An_Cour!$AQ:$AQ,$C233,[3]BV_Data_An_Cour!$AR:$AR,L$2)</f>
        <v>0</v>
      </c>
      <c r="M233" s="462"/>
      <c r="N233" s="466">
        <f t="shared" si="47"/>
        <v>0</v>
      </c>
      <c r="O233" s="552"/>
      <c r="P233" s="549"/>
      <c r="Q233" s="466">
        <f>-SUMIFS([3]BV_Data_An_Prec!$AM:$AM,[3]BV_Data_An_Prec!$AP:$AP,$B233,[3]BV_Data_An_Prec!$AQ:$AQ,$C233,[3]BV_Data_An_Prec!$AR:$AR,Q$2)</f>
        <v>0</v>
      </c>
      <c r="R233" s="462"/>
      <c r="S233" s="466">
        <f t="shared" si="48"/>
        <v>0</v>
      </c>
      <c r="T233" s="547"/>
      <c r="U233" s="436"/>
      <c r="V233" s="439"/>
      <c r="W233" s="439"/>
      <c r="X233" s="439"/>
      <c r="Y233" s="439"/>
      <c r="Z233" s="439"/>
      <c r="AA233" s="439"/>
      <c r="AB233" s="439"/>
      <c r="AC233" s="439"/>
      <c r="AD233" s="439"/>
      <c r="AE233" s="439"/>
      <c r="AF233" s="439"/>
      <c r="AG233" s="439"/>
      <c r="AH233" s="439"/>
      <c r="AI233" s="439"/>
      <c r="AJ233" s="439"/>
      <c r="AK233" s="439"/>
      <c r="AL233" s="439"/>
      <c r="AM233" s="439"/>
      <c r="AN233" s="439"/>
    </row>
    <row r="234" spans="1:40" ht="21" hidden="1" customHeight="1" thickBot="1">
      <c r="A234" s="452" t="s">
        <v>239</v>
      </c>
      <c r="B234" s="439" t="s">
        <v>70</v>
      </c>
      <c r="C234" s="462" t="s">
        <v>19</v>
      </c>
      <c r="D234" s="528"/>
      <c r="E234" s="439"/>
      <c r="F234" s="463">
        <f t="array" ref="F234">+INDEX('[3]Budget original'!$A$2:$AO$501,MATCH($A234,'[3]Budget original'!$A$2:$A$501,0),MATCH(F$2,'[3]Budget original'!$A$2:$AO$2,0))</f>
        <v>0</v>
      </c>
      <c r="G234" s="529"/>
      <c r="H234" s="439"/>
      <c r="I234" s="463"/>
      <c r="J234" s="462"/>
      <c r="K234" s="439"/>
      <c r="L234" s="466">
        <f>-SUMIFS([3]BV_Data_An_Cour!$AM:$AM,[3]BV_Data_An_Cour!$AP:$AP,$B234,[3]BV_Data_An_Cour!$AQ:$AQ,$C234,[3]BV_Data_An_Cour!$AR:$AR,$L$2)</f>
        <v>0</v>
      </c>
      <c r="M234" s="462"/>
      <c r="N234" s="466">
        <f t="shared" si="47"/>
        <v>0</v>
      </c>
      <c r="O234" s="462"/>
      <c r="P234" s="439"/>
      <c r="Q234" s="466">
        <f>-SUMIFS([3]BV_Data_An_Prec!$AM:$AM,[3]BV_Data_An_Prec!$AP:$AP,$B234,[3]BV_Data_An_Prec!$AQ:$AQ,$C234,[3]BV_Data_An_Prec!$AR:$AR,$L$2)</f>
        <v>0</v>
      </c>
      <c r="R234" s="462"/>
      <c r="S234" s="466">
        <f t="shared" si="48"/>
        <v>0</v>
      </c>
      <c r="T234" s="547"/>
      <c r="U234" s="436"/>
      <c r="V234" s="439"/>
      <c r="W234" s="439"/>
      <c r="X234" s="439"/>
      <c r="Y234" s="439"/>
      <c r="Z234" s="439"/>
      <c r="AA234" s="439"/>
      <c r="AB234" s="439"/>
      <c r="AC234" s="439"/>
      <c r="AD234" s="439"/>
      <c r="AE234" s="439"/>
      <c r="AF234" s="439"/>
      <c r="AG234" s="439"/>
      <c r="AH234" s="439"/>
      <c r="AI234" s="439"/>
      <c r="AJ234" s="439"/>
      <c r="AK234" s="439"/>
      <c r="AL234" s="439"/>
      <c r="AM234" s="439"/>
      <c r="AN234" s="439"/>
    </row>
    <row r="235" spans="1:40" ht="21" hidden="1" customHeight="1" thickTop="1">
      <c r="A235" s="452" t="s">
        <v>239</v>
      </c>
      <c r="B235" s="439" t="s">
        <v>70</v>
      </c>
      <c r="C235" s="462" t="s">
        <v>19</v>
      </c>
      <c r="D235" s="528"/>
      <c r="E235" s="439"/>
      <c r="F235" s="463">
        <f t="array" ref="F235">+INDEX('[3]Budget original'!$A$2:$AO$501,MATCH($A235,'[3]Budget original'!$A$2:$A$501,0),MATCH(F$2,'[3]Budget original'!$A$2:$AO$2,0))</f>
        <v>0</v>
      </c>
      <c r="G235" s="529"/>
      <c r="H235" s="439"/>
      <c r="I235" s="463"/>
      <c r="J235" s="462"/>
      <c r="K235" s="439"/>
      <c r="L235" s="466">
        <f>-SUMIFS([3]BV_Data_An_Cour!$AM:$AM,[3]BV_Data_An_Cour!$AP:$AP,$B235,[3]BV_Data_An_Cour!$AQ:$AQ,$C235,[3]BV_Data_An_Cour!$AR:$AR,$L$2)</f>
        <v>0</v>
      </c>
      <c r="M235" s="462"/>
      <c r="N235" s="466">
        <f t="shared" si="47"/>
        <v>0</v>
      </c>
      <c r="O235" s="462"/>
      <c r="P235" s="439"/>
      <c r="Q235" s="466">
        <f>-SUMIFS([3]BV_Data_An_Prec!$AM:$AM,[3]BV_Data_An_Prec!$AP:$AP,$B235,[3]BV_Data_An_Prec!$AQ:$AQ,$C235,[3]BV_Data_An_Prec!$AR:$AR,$L$2)</f>
        <v>0</v>
      </c>
      <c r="R235" s="462"/>
      <c r="S235" s="466">
        <f t="shared" si="48"/>
        <v>0</v>
      </c>
      <c r="T235" s="547"/>
      <c r="U235" s="436"/>
      <c r="V235" s="439"/>
      <c r="W235" s="439"/>
      <c r="X235" s="439"/>
      <c r="Y235" s="439"/>
      <c r="Z235" s="439"/>
      <c r="AA235" s="439"/>
      <c r="AB235" s="439"/>
      <c r="AC235" s="439"/>
      <c r="AD235" s="439"/>
      <c r="AE235" s="439"/>
      <c r="AF235" s="439"/>
      <c r="AG235" s="439"/>
      <c r="AH235" s="439"/>
      <c r="AI235" s="439"/>
      <c r="AJ235" s="439"/>
      <c r="AK235" s="439"/>
      <c r="AL235" s="439"/>
      <c r="AM235" s="439"/>
      <c r="AN235" s="439"/>
    </row>
    <row r="236" spans="1:40" ht="21" hidden="1" customHeight="1">
      <c r="A236" s="452" t="s">
        <v>239</v>
      </c>
      <c r="B236" s="439" t="s">
        <v>70</v>
      </c>
      <c r="C236" s="453" t="s">
        <v>19</v>
      </c>
      <c r="D236" s="531"/>
      <c r="E236" s="546"/>
      <c r="F236" s="463">
        <f t="array" ref="F236">+INDEX('[3]Budget original'!$A$2:$AO$501,MATCH($A236,'[3]Budget original'!$A$2:$A$501,0),MATCH(F$2,'[3]Budget original'!$A$2:$AO$2,0))</f>
        <v>0</v>
      </c>
      <c r="G236" s="529"/>
      <c r="H236" s="439"/>
      <c r="I236" s="463"/>
      <c r="J236" s="462"/>
      <c r="K236" s="439"/>
      <c r="L236" s="466">
        <f>-SUMIFS([3]BV_Data_An_Cour!$AM:$AM,[3]BV_Data_An_Cour!$AP:$AP,$B236,[3]BV_Data_An_Cour!$AQ:$AQ,$C236,[3]BV_Data_An_Cour!$AR:$AR,$L$2)</f>
        <v>0</v>
      </c>
      <c r="M236" s="462"/>
      <c r="N236" s="466">
        <f t="shared" si="47"/>
        <v>0</v>
      </c>
      <c r="O236" s="462"/>
      <c r="P236" s="439"/>
      <c r="Q236" s="466">
        <f>-SUMIFS([3]BV_Data_An_Prec!$AM:$AM,[3]BV_Data_An_Prec!$AP:$AP,$B236,[3]BV_Data_An_Prec!$AQ:$AQ,$C236,[3]BV_Data_An_Prec!$AR:$AR,$L$2)</f>
        <v>0</v>
      </c>
      <c r="R236" s="462"/>
      <c r="S236" s="466">
        <f t="shared" si="48"/>
        <v>0</v>
      </c>
      <c r="T236" s="547"/>
      <c r="U236" s="436"/>
      <c r="V236" s="439"/>
      <c r="W236" s="439"/>
      <c r="X236" s="439"/>
      <c r="Y236" s="439"/>
      <c r="Z236" s="439"/>
      <c r="AA236" s="439"/>
      <c r="AB236" s="439"/>
      <c r="AC236" s="439"/>
      <c r="AD236" s="439"/>
      <c r="AE236" s="439"/>
      <c r="AF236" s="439"/>
      <c r="AG236" s="439"/>
      <c r="AH236" s="439"/>
      <c r="AI236" s="439"/>
      <c r="AJ236" s="439"/>
      <c r="AK236" s="439"/>
      <c r="AL236" s="439"/>
      <c r="AM236" s="439"/>
      <c r="AN236" s="439"/>
    </row>
    <row r="237" spans="1:40" ht="18" customHeight="1">
      <c r="A237" s="452"/>
      <c r="B237" s="439"/>
      <c r="C237" s="534" t="s">
        <v>68</v>
      </c>
      <c r="D237" s="535"/>
      <c r="E237" s="536"/>
      <c r="F237" s="537">
        <f>+SUM(F230:F236)</f>
        <v>0</v>
      </c>
      <c r="G237" s="538"/>
      <c r="H237" s="536"/>
      <c r="I237" s="537"/>
      <c r="J237" s="538"/>
      <c r="K237" s="536"/>
      <c r="L237" s="537">
        <f>+SUM(L230:L236)</f>
        <v>0</v>
      </c>
      <c r="M237" s="539"/>
      <c r="N237" s="537">
        <f>SUM(N230:N233)</f>
        <v>0</v>
      </c>
      <c r="O237" s="538"/>
      <c r="P237" s="536"/>
      <c r="Q237" s="537">
        <f>+SUM(Q230:Q236)</f>
        <v>0</v>
      </c>
      <c r="R237" s="540"/>
      <c r="S237" s="537">
        <f>+SUM(S230:S236)</f>
        <v>0</v>
      </c>
      <c r="T237" s="436"/>
      <c r="U237" s="436"/>
      <c r="V237" s="439"/>
      <c r="W237" s="439"/>
      <c r="X237" s="439"/>
      <c r="Y237" s="439"/>
      <c r="Z237" s="439"/>
      <c r="AA237" s="439"/>
      <c r="AB237" s="439"/>
      <c r="AC237" s="439"/>
      <c r="AD237" s="439"/>
      <c r="AE237" s="439"/>
      <c r="AF237" s="439"/>
      <c r="AG237" s="439"/>
      <c r="AH237" s="439"/>
      <c r="AI237" s="439"/>
      <c r="AJ237" s="439"/>
      <c r="AK237" s="439"/>
      <c r="AL237" s="439"/>
      <c r="AM237" s="439"/>
      <c r="AN237" s="439"/>
    </row>
    <row r="238" spans="1:40" ht="15.75" customHeight="1">
      <c r="B238" s="439"/>
      <c r="C238" s="462"/>
      <c r="D238" s="528"/>
      <c r="E238" s="439"/>
      <c r="F238" s="466"/>
      <c r="G238" s="529"/>
      <c r="H238" s="439"/>
      <c r="I238" s="466"/>
      <c r="J238" s="462"/>
      <c r="K238" s="439"/>
      <c r="L238" s="466"/>
      <c r="M238" s="462"/>
      <c r="N238" s="466"/>
      <c r="O238" s="462"/>
      <c r="P238" s="439"/>
      <c r="Q238" s="466"/>
      <c r="R238" s="462"/>
      <c r="S238" s="466"/>
      <c r="T238" s="589"/>
      <c r="U238" s="436"/>
      <c r="V238" s="439"/>
      <c r="W238" s="439"/>
      <c r="X238" s="439"/>
      <c r="Y238" s="439"/>
      <c r="Z238" s="439"/>
      <c r="AA238" s="439"/>
      <c r="AB238" s="439"/>
      <c r="AC238" s="439"/>
      <c r="AD238" s="439"/>
      <c r="AE238" s="439"/>
      <c r="AF238" s="439"/>
      <c r="AG238" s="439"/>
      <c r="AH238" s="439"/>
      <c r="AI238" s="439"/>
      <c r="AJ238" s="439"/>
      <c r="AK238" s="439"/>
      <c r="AL238" s="439"/>
      <c r="AM238" s="439"/>
      <c r="AN238" s="439"/>
    </row>
    <row r="239" spans="1:40" ht="18" customHeight="1" thickBot="1">
      <c r="A239" s="452"/>
      <c r="B239" s="439"/>
      <c r="C239" s="561" t="s">
        <v>69</v>
      </c>
      <c r="D239" s="562"/>
      <c r="E239" s="563"/>
      <c r="F239" s="564" t="e">
        <f>F182-F229+F237</f>
        <v>#REF!</v>
      </c>
      <c r="G239" s="565"/>
      <c r="H239" s="563"/>
      <c r="I239" s="564"/>
      <c r="J239" s="565"/>
      <c r="K239" s="563"/>
      <c r="L239" s="564">
        <f>L182-L229+L237</f>
        <v>-66029.900000002119</v>
      </c>
      <c r="M239" s="566"/>
      <c r="N239" s="564" t="e">
        <f>L239-F239</f>
        <v>#REF!</v>
      </c>
      <c r="O239" s="565"/>
      <c r="P239" s="563"/>
      <c r="Q239" s="564">
        <f>Q182-Q229+Q237</f>
        <v>-16373.489999999874</v>
      </c>
      <c r="R239" s="567"/>
      <c r="S239" s="564">
        <f>L239-Q239</f>
        <v>-49656.410000002244</v>
      </c>
      <c r="T239" s="436"/>
      <c r="U239" s="436"/>
      <c r="V239" s="439"/>
      <c r="W239" s="439"/>
      <c r="X239" s="439"/>
      <c r="Y239" s="439"/>
      <c r="Z239" s="439"/>
      <c r="AA239" s="439"/>
      <c r="AB239" s="439"/>
      <c r="AC239" s="439"/>
      <c r="AD239" s="439"/>
      <c r="AE239" s="439"/>
      <c r="AF239" s="439"/>
      <c r="AG239" s="439"/>
      <c r="AH239" s="439"/>
      <c r="AI239" s="439"/>
      <c r="AJ239" s="439"/>
      <c r="AK239" s="439"/>
      <c r="AL239" s="439"/>
      <c r="AM239" s="439"/>
      <c r="AN239" s="439"/>
    </row>
    <row r="240" spans="1:40" ht="15.75" customHeight="1" thickTop="1">
      <c r="B240" s="439"/>
      <c r="C240" s="436"/>
      <c r="D240" s="436"/>
      <c r="E240" s="436"/>
      <c r="F240" s="521"/>
      <c r="G240" s="436"/>
      <c r="H240" s="436"/>
      <c r="I240" s="436"/>
      <c r="J240" s="436"/>
      <c r="K240" s="436"/>
      <c r="L240" s="521"/>
      <c r="M240" s="436"/>
      <c r="N240" s="436"/>
      <c r="O240" s="436"/>
      <c r="P240" s="436"/>
      <c r="Q240" s="436"/>
      <c r="R240" s="521"/>
      <c r="S240" s="436"/>
      <c r="T240" s="521"/>
      <c r="U240" s="436"/>
      <c r="V240" s="439"/>
      <c r="W240" s="439"/>
      <c r="X240" s="439"/>
      <c r="Y240" s="439"/>
      <c r="Z240" s="439"/>
      <c r="AA240" s="439"/>
      <c r="AB240" s="439"/>
      <c r="AC240" s="439"/>
      <c r="AD240" s="439"/>
      <c r="AE240" s="439"/>
      <c r="AF240" s="439"/>
      <c r="AG240" s="439"/>
      <c r="AH240" s="439"/>
      <c r="AI240" s="439"/>
      <c r="AJ240" s="439"/>
      <c r="AK240" s="439"/>
      <c r="AL240" s="439"/>
      <c r="AM240" s="439"/>
      <c r="AN240" s="439"/>
    </row>
    <row r="241" spans="1:40" ht="8.25" customHeight="1">
      <c r="B241" s="439"/>
      <c r="C241" s="436"/>
      <c r="D241" s="436"/>
      <c r="E241" s="436"/>
      <c r="F241" s="436"/>
      <c r="G241" s="436"/>
      <c r="H241" s="436"/>
      <c r="I241" s="436"/>
      <c r="J241" s="436"/>
      <c r="K241" s="436"/>
      <c r="L241" s="436"/>
      <c r="M241" s="436"/>
      <c r="N241" s="436"/>
      <c r="O241" s="436"/>
      <c r="P241" s="436"/>
      <c r="Q241" s="436"/>
      <c r="R241" s="436"/>
      <c r="S241" s="436"/>
      <c r="T241" s="521"/>
      <c r="U241" s="436"/>
      <c r="V241" s="436"/>
      <c r="W241" s="436"/>
      <c r="X241" s="436"/>
      <c r="Y241" s="436"/>
      <c r="Z241" s="436"/>
      <c r="AA241" s="436"/>
      <c r="AB241" s="436"/>
      <c r="AC241" s="436"/>
      <c r="AD241" s="436"/>
      <c r="AE241" s="436"/>
      <c r="AF241" s="436"/>
      <c r="AG241" s="436"/>
      <c r="AH241" s="436"/>
      <c r="AI241" s="436"/>
      <c r="AJ241" s="436"/>
      <c r="AK241" s="436"/>
      <c r="AL241" s="436"/>
      <c r="AM241" s="436"/>
      <c r="AN241" s="436"/>
    </row>
    <row r="242" spans="1:40" ht="33.75" customHeight="1">
      <c r="B242" s="439"/>
      <c r="C242" s="425" t="str">
        <f>C1</f>
        <v>Ste-Marie Auto</v>
      </c>
      <c r="D242" s="426"/>
      <c r="E242" s="427"/>
      <c r="F242" s="426"/>
      <c r="G242" s="426"/>
      <c r="H242" s="425"/>
      <c r="I242" s="426"/>
      <c r="J242" s="425"/>
      <c r="K242" s="428" t="s">
        <v>78</v>
      </c>
      <c r="L242" s="426"/>
      <c r="M242" s="426"/>
      <c r="N242" s="429"/>
      <c r="O242" s="425"/>
      <c r="P242" s="426"/>
      <c r="Q242" s="425"/>
      <c r="R242" s="426"/>
      <c r="S242" s="430" t="str">
        <f>$S$1</f>
        <v>Réalisé, Septembre 2026</v>
      </c>
      <c r="T242" s="431"/>
      <c r="U242" s="432"/>
      <c r="V242" s="436"/>
      <c r="W242" s="436"/>
      <c r="X242" s="436"/>
      <c r="Y242" s="436"/>
      <c r="Z242" s="436"/>
      <c r="AA242" s="436"/>
      <c r="AB242" s="436"/>
      <c r="AC242" s="436"/>
      <c r="AD242" s="436"/>
      <c r="AE242" s="436"/>
      <c r="AF242" s="436"/>
      <c r="AG242" s="436"/>
      <c r="AH242" s="436"/>
      <c r="AI242" s="436"/>
      <c r="AJ242" s="436"/>
      <c r="AK242" s="436"/>
      <c r="AL242" s="436"/>
      <c r="AM242" s="436"/>
      <c r="AN242" s="436"/>
    </row>
    <row r="243" spans="1:40" ht="15.75" customHeight="1" thickBot="1">
      <c r="B243" s="439"/>
      <c r="C243" s="434"/>
      <c r="D243" s="436"/>
      <c r="E243" s="436"/>
      <c r="F243" s="436"/>
      <c r="G243" s="436"/>
      <c r="H243" s="436"/>
      <c r="I243" s="436"/>
      <c r="J243" s="436"/>
      <c r="K243" s="436"/>
      <c r="L243" s="436"/>
      <c r="M243" s="436"/>
      <c r="N243" s="436"/>
      <c r="O243" s="436"/>
      <c r="P243" s="436"/>
      <c r="Q243" s="436"/>
      <c r="R243" s="436"/>
      <c r="S243" s="436"/>
      <c r="T243" s="436"/>
      <c r="U243" s="436"/>
      <c r="V243" s="424"/>
      <c r="W243" s="424"/>
      <c r="X243" s="424"/>
      <c r="Y243" s="424"/>
      <c r="Z243" s="424"/>
      <c r="AA243" s="424"/>
      <c r="AB243" s="424"/>
      <c r="AC243" s="424"/>
      <c r="AD243" s="424"/>
      <c r="AE243" s="424"/>
      <c r="AF243" s="424"/>
      <c r="AG243" s="424"/>
      <c r="AH243" s="424"/>
      <c r="AI243" s="424"/>
      <c r="AJ243" s="424"/>
      <c r="AK243" s="424"/>
      <c r="AL243" s="424"/>
      <c r="AM243" s="424"/>
      <c r="AN243" s="424"/>
    </row>
    <row r="244" spans="1:40" ht="15.75" customHeight="1" thickTop="1">
      <c r="B244" s="439"/>
      <c r="C244" s="440"/>
      <c r="D244" s="441" t="s">
        <v>5</v>
      </c>
      <c r="E244" s="442"/>
      <c r="F244" s="443"/>
      <c r="G244" s="444"/>
      <c r="H244" s="442"/>
      <c r="I244" s="443"/>
      <c r="J244" s="444" t="s">
        <v>7</v>
      </c>
      <c r="K244" s="442"/>
      <c r="L244" s="443"/>
      <c r="M244" s="444" t="s">
        <v>211</v>
      </c>
      <c r="N244" s="443"/>
      <c r="O244" s="441" t="s">
        <v>8</v>
      </c>
      <c r="P244" s="442"/>
      <c r="Q244" s="443"/>
      <c r="R244" s="444" t="s">
        <v>212</v>
      </c>
      <c r="S244" s="443"/>
      <c r="T244" s="597"/>
      <c r="U244" s="436"/>
      <c r="AA244" s="436"/>
      <c r="AB244" s="436"/>
      <c r="AC244" s="436"/>
      <c r="AD244" s="436"/>
      <c r="AE244" s="436"/>
      <c r="AF244" s="436"/>
      <c r="AG244" s="436"/>
      <c r="AH244" s="436"/>
      <c r="AI244" s="436"/>
      <c r="AJ244" s="436"/>
      <c r="AK244" s="436"/>
      <c r="AL244" s="436"/>
      <c r="AM244" s="436"/>
      <c r="AN244" s="436"/>
    </row>
    <row r="245" spans="1:40" ht="15.75" customHeight="1">
      <c r="A245" s="452" t="s">
        <v>78</v>
      </c>
      <c r="B245" s="439" t="s">
        <v>78</v>
      </c>
      <c r="C245" s="462"/>
      <c r="D245" s="523" t="s">
        <v>39</v>
      </c>
      <c r="E245" s="523" t="s">
        <v>79</v>
      </c>
      <c r="F245" s="591" t="s">
        <v>12</v>
      </c>
      <c r="G245" s="590"/>
      <c r="H245" s="523"/>
      <c r="I245" s="591"/>
      <c r="J245" s="590" t="s">
        <v>39</v>
      </c>
      <c r="K245" s="523" t="s">
        <v>79</v>
      </c>
      <c r="L245" s="591" t="s">
        <v>12</v>
      </c>
      <c r="M245" s="590" t="s">
        <v>218</v>
      </c>
      <c r="N245" s="591" t="s">
        <v>215</v>
      </c>
      <c r="O245" s="590" t="s">
        <v>39</v>
      </c>
      <c r="P245" s="523" t="s">
        <v>79</v>
      </c>
      <c r="Q245" s="591" t="s">
        <v>12</v>
      </c>
      <c r="R245" s="590" t="s">
        <v>80</v>
      </c>
      <c r="S245" s="591" t="s">
        <v>12</v>
      </c>
      <c r="T245" s="435"/>
      <c r="U245" s="436"/>
      <c r="AA245" s="439"/>
      <c r="AB245" s="439"/>
      <c r="AC245" s="439"/>
      <c r="AD245" s="439"/>
      <c r="AE245" s="439"/>
      <c r="AF245" s="439"/>
      <c r="AG245" s="439"/>
      <c r="AH245" s="439"/>
      <c r="AI245" s="439"/>
      <c r="AJ245" s="439"/>
      <c r="AK245" s="439"/>
      <c r="AL245" s="439"/>
      <c r="AM245" s="439"/>
      <c r="AN245" s="439"/>
    </row>
    <row r="246" spans="1:40" ht="15.75" customHeight="1">
      <c r="A246" s="452" t="s">
        <v>345</v>
      </c>
      <c r="B246" s="439" t="s">
        <v>78</v>
      </c>
      <c r="C246" s="462" t="s">
        <v>81</v>
      </c>
      <c r="D246" s="465">
        <f t="array" ref="D246">+INDEX('[3]Budget original'!$A$2:$AO$501,MATCH($A246,'[3]Budget original'!$A$2:$A$501,0),MATCH(D$2,'[3]Budget original'!$A$2:$AO$2,0))</f>
        <v>0</v>
      </c>
      <c r="E246" s="465">
        <f t="array" ref="E246">+INDEX('[3]Budget original'!$A$2:$AO$501,MATCH($A246,'[3]Budget original'!$A$2:$A$501,0),MATCH(E$2,'[3]Budget original'!$A$2:$AO$2,0))</f>
        <v>0</v>
      </c>
      <c r="F246" s="465">
        <f t="array" ref="F246">+INDEX('[3]Budget original'!$A$2:$AO$501,MATCH($A246,'[3]Budget original'!$A$2:$A$501,0),MATCH(F$2,'[3]Budget original'!$A$2:$AO$2,0))</f>
        <v>0</v>
      </c>
      <c r="G246" s="468"/>
      <c r="H246" s="465"/>
      <c r="I246" s="465"/>
      <c r="J246" s="598">
        <f>SUMIFS([3]BV_Data_An_Cour!$AW:$AW,[3]BV_Data_An_Cour!$AP:$AP,$B246,[3]BV_Data_An_Cour!$AQ:$AQ,$C246,[3]BV_Data_An_Cour!$AY:$AY,J$2)</f>
        <v>231</v>
      </c>
      <c r="K246" s="599">
        <f>-SUMIFS([3]BV_Data_An_Cour!$AM:$AM,[3]BV_Data_An_Cour!$AS:$AS,"Oui",[3]BV_Data_An_Cour!$AP:$AP,$B246,[3]BV_Data_An_Cour!$AQ:$AQ,$C246)</f>
        <v>55775.450000000041</v>
      </c>
      <c r="L246" s="600">
        <f>-SUMIFS([3]BV_Data_An_Cour!$AM:$AM,[3]BV_Data_An_Cour!$AP:$AP,$B246,[3]BV_Data_An_Cour!$AQ:$AQ,$C246,[3]BV_Data_An_Cour!$AR:$AR,$L$2)</f>
        <v>39601.120000000046</v>
      </c>
      <c r="M246" s="496" t="e">
        <f>(K246-E246)/E246</f>
        <v>#DIV/0!</v>
      </c>
      <c r="N246" s="466">
        <f>L246-F246</f>
        <v>39601.120000000046</v>
      </c>
      <c r="O246" s="464">
        <f>SUMIFS([3]BV_Data_An_Prec!$AW:$AW,[3]BV_Data_An_Prec!$AP:$AP,$B246,[3]BV_Data_An_Prec!$AQ:$AQ,$C246,[3]BV_Data_An_Prec!$AY:$AY,O$2)</f>
        <v>209</v>
      </c>
      <c r="P246" s="465">
        <f>-SUMIFS([3]BV_Data_An_Prec!$AM:$AM,[3]BV_Data_An_Prec!$AS:$AS,"Oui",[3]BV_Data_An_Prec!$AP:$AP,$B246,[3]BV_Data_An_Prec!$AQ:$AQ,$C246)</f>
        <v>73555.150000000067</v>
      </c>
      <c r="Q246" s="466">
        <f>-SUMIFS([3]BV_Data_An_Prec!$AM:$AM,[3]BV_Data_An_Prec!$AP:$AP,$B246,[3]BV_Data_An_Prec!$AQ:$AQ,$C246,[3]BV_Data_An_Prec!$AR:$AR,$L$2)</f>
        <v>58839.140000000058</v>
      </c>
      <c r="R246" s="496">
        <f>IF(O246=0,0,J246/O246)</f>
        <v>1.1052631578947369</v>
      </c>
      <c r="S246" s="466">
        <f>L246-Q246</f>
        <v>-19238.020000000011</v>
      </c>
      <c r="T246" s="521"/>
      <c r="U246" s="436"/>
      <c r="AA246" s="439"/>
      <c r="AB246" s="439"/>
      <c r="AC246" s="439"/>
      <c r="AD246" s="439"/>
      <c r="AE246" s="439"/>
      <c r="AF246" s="439"/>
      <c r="AG246" s="439"/>
      <c r="AH246" s="439"/>
      <c r="AI246" s="439"/>
      <c r="AJ246" s="439"/>
      <c r="AK246" s="439"/>
      <c r="AL246" s="439"/>
      <c r="AM246" s="439"/>
      <c r="AN246" s="439"/>
    </row>
    <row r="247" spans="1:40" ht="15.75" customHeight="1">
      <c r="A247" s="452" t="s">
        <v>346</v>
      </c>
      <c r="B247" s="439" t="s">
        <v>78</v>
      </c>
      <c r="C247" s="462" t="s">
        <v>82</v>
      </c>
      <c r="D247" s="465"/>
      <c r="E247" s="581"/>
      <c r="F247" s="497" t="e">
        <f>F246/E246</f>
        <v>#DIV/0!</v>
      </c>
      <c r="G247" s="468"/>
      <c r="H247" s="581"/>
      <c r="I247" s="497"/>
      <c r="J247" s="468"/>
      <c r="K247" s="439"/>
      <c r="L247" s="497">
        <f>IF(L246=0,0,L246/K246)</f>
        <v>0.71000986993381532</v>
      </c>
      <c r="M247" s="496"/>
      <c r="N247" s="466"/>
      <c r="O247" s="468"/>
      <c r="P247" s="439"/>
      <c r="Q247" s="497">
        <f>IF(Q246=0,0,Q246/P246)</f>
        <v>0.79993229569921354</v>
      </c>
      <c r="R247" s="468"/>
      <c r="S247" s="497">
        <f>IF(Q246=0,0,(S246/Q246))</f>
        <v>-0.32695957146892346</v>
      </c>
      <c r="T247" s="521"/>
      <c r="U247" s="436"/>
      <c r="AA247" s="439"/>
      <c r="AB247" s="439"/>
      <c r="AC247" s="439"/>
      <c r="AD247" s="439"/>
      <c r="AE247" s="439"/>
      <c r="AF247" s="439"/>
      <c r="AG247" s="439"/>
      <c r="AH247" s="439"/>
      <c r="AI247" s="439"/>
      <c r="AJ247" s="439"/>
      <c r="AK247" s="439"/>
      <c r="AL247" s="439"/>
      <c r="AM247" s="439"/>
      <c r="AN247" s="439"/>
    </row>
    <row r="248" spans="1:40" ht="15.75" customHeight="1">
      <c r="A248" s="452" t="s">
        <v>78</v>
      </c>
      <c r="B248" s="439" t="s">
        <v>78</v>
      </c>
      <c r="C248" s="453"/>
      <c r="D248" s="494"/>
      <c r="E248" s="601">
        <f>IFERROR(E246/D246,0)</f>
        <v>0</v>
      </c>
      <c r="F248" s="594"/>
      <c r="G248" s="602"/>
      <c r="H248" s="601"/>
      <c r="I248" s="594"/>
      <c r="J248" s="602"/>
      <c r="K248" s="601">
        <f>IFERROR(K246/J246,0)</f>
        <v>241.45216450216469</v>
      </c>
      <c r="L248" s="594"/>
      <c r="M248" s="527"/>
      <c r="N248" s="458"/>
      <c r="O248" s="602"/>
      <c r="P248" s="601">
        <f>IFERROR(P246/O246,0)</f>
        <v>351.93851674641178</v>
      </c>
      <c r="Q248" s="594"/>
      <c r="R248" s="602"/>
      <c r="S248" s="458"/>
      <c r="T248" s="521"/>
      <c r="U248" s="436"/>
      <c r="AA248" s="439"/>
      <c r="AB248" s="439"/>
      <c r="AC248" s="439"/>
      <c r="AD248" s="439"/>
      <c r="AE248" s="439"/>
      <c r="AF248" s="439"/>
      <c r="AG248" s="439"/>
      <c r="AH248" s="439"/>
      <c r="AI248" s="439"/>
      <c r="AJ248" s="439"/>
      <c r="AK248" s="439"/>
      <c r="AL248" s="439"/>
      <c r="AM248" s="439"/>
      <c r="AN248" s="439"/>
    </row>
    <row r="249" spans="1:40" ht="18" customHeight="1">
      <c r="A249" s="452" t="s">
        <v>347</v>
      </c>
      <c r="B249" s="439" t="s">
        <v>78</v>
      </c>
      <c r="C249" s="447" t="s">
        <v>83</v>
      </c>
      <c r="D249" s="502">
        <f t="array" ref="D249">+INDEX('[3]Budget original'!$A$2:$AO$501,MATCH($A249,'[3]Budget original'!$A$2:$A$501,0),MATCH(D$2,'[3]Budget original'!$A$2:$AO$2,0))</f>
        <v>0</v>
      </c>
      <c r="E249" s="465">
        <f t="array" ref="E249">+INDEX('[3]Budget original'!$A$2:$AO$501,MATCH($A249,'[3]Budget original'!$A$2:$A$501,0),MATCH(E$2,'[3]Budget original'!$A$2:$AO$2,0))</f>
        <v>0</v>
      </c>
      <c r="F249" s="465">
        <f t="array" ref="F249">+INDEX('[3]Budget original'!$A$2:$AO$501,MATCH($A249,'[3]Budget original'!$A$2:$A$501,0),MATCH(F$2,'[3]Budget original'!$A$2:$AO$2,0))</f>
        <v>0</v>
      </c>
      <c r="G249" s="505"/>
      <c r="H249" s="465"/>
      <c r="I249" s="465"/>
      <c r="J249" s="464">
        <f>SUMIFS([3]BV_Data_An_Cour!$AW:$AW,[3]BV_Data_An_Cour!$AP:$AP,$B249,[3]BV_Data_An_Cour!$AQ:$AQ,$C249,[3]BV_Data_An_Cour!$AY:$AY,J$2)</f>
        <v>211</v>
      </c>
      <c r="K249" s="502">
        <f>-SUMIFS([3]BV_Data_An_Cour!$AM:$AM,[3]BV_Data_An_Cour!$AS:$AS,"Oui",[3]BV_Data_An_Cour!$AP:$AP,$B249,[3]BV_Data_An_Cour!$AQ:$AQ,$C249)</f>
        <v>29474.859999999986</v>
      </c>
      <c r="L249" s="466">
        <f>-SUMIFS([3]BV_Data_An_Cour!$AM:$AM,[3]BV_Data_An_Cour!$AP:$AP,$B249,[3]BV_Data_An_Cour!$AQ:$AQ,$C249,[3]BV_Data_An_Cour!$AR:$AR,$L$2)</f>
        <v>17192.239999999991</v>
      </c>
      <c r="M249" s="496" t="e">
        <f>(K249-E249)/E249</f>
        <v>#DIV/0!</v>
      </c>
      <c r="N249" s="503">
        <f>L249-F249</f>
        <v>17192.239999999991</v>
      </c>
      <c r="O249" s="464">
        <f>SUMIFS([3]BV_Data_An_Prec!$AW:$AW,[3]BV_Data_An_Prec!$AP:$AP,$B249,[3]BV_Data_An_Prec!$AQ:$AQ,$C249,[3]BV_Data_An_Prec!$AY:$AY,O$2)</f>
        <v>328</v>
      </c>
      <c r="P249" s="502">
        <f>-SUMIFS([3]BV_Data_An_Prec!$AM:$AM,[3]BV_Data_An_Prec!$AS:$AS,"Oui",[3]BV_Data_An_Prec!$AP:$AP,$B249,[3]BV_Data_An_Prec!$AQ:$AQ,$C249)</f>
        <v>54748.200000000012</v>
      </c>
      <c r="Q249" s="466">
        <f>-SUMIFS([3]BV_Data_An_Prec!$AM:$AM,[3]BV_Data_An_Prec!$AP:$AP,$B249,[3]BV_Data_An_Prec!$AQ:$AQ,$C249,[3]BV_Data_An_Prec!$AR:$AR,$L$2)</f>
        <v>34977.760000000024</v>
      </c>
      <c r="R249" s="496">
        <f>IF(O249=0,0,J249/O249)</f>
        <v>0.64329268292682928</v>
      </c>
      <c r="S249" s="466">
        <f>L249-Q249</f>
        <v>-17785.520000000033</v>
      </c>
      <c r="T249" s="521"/>
      <c r="U249" s="436"/>
      <c r="V249" s="463"/>
      <c r="W249" s="439"/>
      <c r="AA249" s="439"/>
      <c r="AB249" s="439"/>
      <c r="AC249" s="439"/>
      <c r="AD249" s="439"/>
      <c r="AE249" s="439"/>
      <c r="AF249" s="439"/>
      <c r="AG249" s="439"/>
      <c r="AH249" s="439"/>
      <c r="AI249" s="439"/>
      <c r="AJ249" s="439"/>
      <c r="AK249" s="439"/>
      <c r="AL249" s="439"/>
      <c r="AM249" s="439"/>
      <c r="AN249" s="439"/>
    </row>
    <row r="250" spans="1:40" ht="15.75" customHeight="1">
      <c r="A250" s="452" t="s">
        <v>346</v>
      </c>
      <c r="B250" s="439" t="s">
        <v>78</v>
      </c>
      <c r="C250" s="462" t="s">
        <v>82</v>
      </c>
      <c r="D250" s="439"/>
      <c r="E250" s="439"/>
      <c r="F250" s="497" t="e">
        <f>F249/E249</f>
        <v>#DIV/0!</v>
      </c>
      <c r="G250" s="462"/>
      <c r="H250" s="439"/>
      <c r="I250" s="497"/>
      <c r="J250" s="462"/>
      <c r="K250" s="439"/>
      <c r="L250" s="497">
        <f>IF(L249=0,0,L249/K249)</f>
        <v>0.58328487395699247</v>
      </c>
      <c r="M250" s="496"/>
      <c r="N250" s="497"/>
      <c r="O250" s="462"/>
      <c r="P250" s="439"/>
      <c r="Q250" s="497">
        <f>IF(Q249=0,0,Q249/P249)</f>
        <v>0.63888420075911201</v>
      </c>
      <c r="R250" s="496"/>
      <c r="S250" s="497">
        <f>IF(Q249=0,0,(S249/Q249))</f>
        <v>-0.50848081752519381</v>
      </c>
      <c r="T250" s="436"/>
      <c r="U250" s="436"/>
      <c r="V250" s="463"/>
      <c r="W250" s="603"/>
      <c r="AA250" s="439"/>
      <c r="AB250" s="439"/>
      <c r="AC250" s="439"/>
      <c r="AD250" s="439"/>
      <c r="AE250" s="439"/>
      <c r="AF250" s="439"/>
      <c r="AG250" s="439"/>
      <c r="AH250" s="439"/>
      <c r="AI250" s="439"/>
      <c r="AJ250" s="439"/>
      <c r="AK250" s="439"/>
      <c r="AL250" s="439"/>
      <c r="AM250" s="439"/>
      <c r="AN250" s="439"/>
    </row>
    <row r="251" spans="1:40" ht="15.75" customHeight="1">
      <c r="A251" s="452" t="s">
        <v>78</v>
      </c>
      <c r="B251" s="439" t="s">
        <v>78</v>
      </c>
      <c r="C251" s="453"/>
      <c r="D251" s="546"/>
      <c r="E251" s="601">
        <f>IFERROR(E249/D249,0)</f>
        <v>0</v>
      </c>
      <c r="F251" s="594"/>
      <c r="G251" s="602"/>
      <c r="H251" s="601"/>
      <c r="I251" s="594"/>
      <c r="J251" s="602"/>
      <c r="K251" s="601">
        <f>IFERROR(K249/J249,0)</f>
        <v>139.69127962085301</v>
      </c>
      <c r="L251" s="594"/>
      <c r="M251" s="527"/>
      <c r="N251" s="458"/>
      <c r="O251" s="602"/>
      <c r="P251" s="601">
        <f>IFERROR(P249/O249,0)</f>
        <v>166.91524390243907</v>
      </c>
      <c r="Q251" s="594"/>
      <c r="R251" s="527"/>
      <c r="S251" s="594"/>
      <c r="T251" s="436"/>
      <c r="U251" s="436"/>
      <c r="AA251" s="439"/>
      <c r="AB251" s="439"/>
      <c r="AC251" s="439"/>
      <c r="AD251" s="439"/>
      <c r="AE251" s="439"/>
      <c r="AF251" s="439"/>
      <c r="AG251" s="439"/>
      <c r="AH251" s="439"/>
      <c r="AI251" s="439"/>
      <c r="AJ251" s="439"/>
      <c r="AK251" s="439"/>
      <c r="AL251" s="439"/>
      <c r="AM251" s="439"/>
      <c r="AN251" s="439"/>
    </row>
    <row r="252" spans="1:40" ht="15.75" customHeight="1">
      <c r="A252" s="452" t="s">
        <v>348</v>
      </c>
      <c r="B252" s="439" t="s">
        <v>78</v>
      </c>
      <c r="C252" s="462" t="s">
        <v>84</v>
      </c>
      <c r="D252" s="465">
        <f t="array" ref="D252">+INDEX('[3]Budget original'!$A$2:$AO$501,MATCH($A252,'[3]Budget original'!$A$2:$A$501,0),MATCH(D$2,'[3]Budget original'!$A$2:$AO$2,0))</f>
        <v>0</v>
      </c>
      <c r="E252" s="465">
        <f t="array" ref="E252">+INDEX('[3]Budget original'!$A$2:$AO$501,MATCH($A252,'[3]Budget original'!$A$2:$A$501,0),MATCH(E$2,'[3]Budget original'!$A$2:$AO$2,0))</f>
        <v>0</v>
      </c>
      <c r="F252" s="465">
        <f t="array" ref="F252">+INDEX('[3]Budget original'!$A$2:$AO$501,MATCH($A252,'[3]Budget original'!$A$2:$A$501,0),MATCH(F$2,'[3]Budget original'!$A$2:$AO$2,0))</f>
        <v>0</v>
      </c>
      <c r="G252" s="468"/>
      <c r="H252" s="465"/>
      <c r="I252" s="465"/>
      <c r="J252" s="464">
        <f>SUMIFS([3]BV_Data_An_Cour!$AW:$AW,[3]BV_Data_An_Cour!$AP:$AP,$B252,[3]BV_Data_An_Cour!$AQ:$AQ,$C252,[3]BV_Data_An_Cour!$AY:$AY,J$2)</f>
        <v>430</v>
      </c>
      <c r="K252" s="502">
        <f>-SUMIFS([3]BV_Data_An_Cour!$AM:$AM,[3]BV_Data_An_Cour!$AS:$AS,"Oui",[3]BV_Data_An_Cour!$AP:$AP,$B252,[3]BV_Data_An_Cour!$AQ:$AQ,$C252)</f>
        <v>66639.28</v>
      </c>
      <c r="L252" s="466">
        <f>-SUMIFS([3]BV_Data_An_Cour!$AM:$AM,[3]BV_Data_An_Cour!$AP:$AP,$B252,[3]BV_Data_An_Cour!$AQ:$AQ,$C252,[3]BV_Data_An_Cour!$AR:$AR,$L$2)</f>
        <v>47086.2</v>
      </c>
      <c r="M252" s="496" t="e">
        <f>(K252-E252)/E252</f>
        <v>#DIV/0!</v>
      </c>
      <c r="N252" s="466">
        <f t="shared" ref="N252:N253" si="49">L252-F252</f>
        <v>47086.2</v>
      </c>
      <c r="O252" s="464">
        <f>SUMIFS([3]BV_Data_An_Prec!$AW:$AW,[3]BV_Data_An_Prec!$AP:$AP,$B252,[3]BV_Data_An_Prec!$AQ:$AQ,$C252,[3]BV_Data_An_Prec!$AY:$AY,O$2)</f>
        <v>517</v>
      </c>
      <c r="P252" s="502">
        <f>-SUMIFS([3]BV_Data_An_Prec!$AM:$AM,[3]BV_Data_An_Prec!$AS:$AS,"Oui",[3]BV_Data_An_Prec!$AP:$AP,$B252,[3]BV_Data_An_Prec!$AQ:$AQ,$C252)</f>
        <v>68576.219999999972</v>
      </c>
      <c r="Q252" s="466">
        <f>-SUMIFS([3]BV_Data_An_Prec!$AM:$AM,[3]BV_Data_An_Prec!$AP:$AP,$B252,[3]BV_Data_An_Prec!$AQ:$AQ,$C252,[3]BV_Data_An_Prec!$AR:$AR,$L$2)</f>
        <v>51169.099999999969</v>
      </c>
      <c r="R252" s="496">
        <f>IF(O252=0,0,J252/O252)</f>
        <v>0.83172147001934238</v>
      </c>
      <c r="S252" s="466">
        <f>L252-Q252</f>
        <v>-4082.8999999999724</v>
      </c>
      <c r="T252" s="521"/>
      <c r="U252" s="436"/>
      <c r="AA252" s="439"/>
      <c r="AB252" s="439"/>
      <c r="AC252" s="439"/>
      <c r="AD252" s="439"/>
      <c r="AE252" s="439"/>
      <c r="AF252" s="439"/>
      <c r="AG252" s="439"/>
      <c r="AH252" s="439"/>
      <c r="AI252" s="439"/>
      <c r="AJ252" s="439"/>
      <c r="AK252" s="439"/>
      <c r="AL252" s="439"/>
      <c r="AM252" s="439"/>
      <c r="AN252" s="439"/>
    </row>
    <row r="253" spans="1:40" ht="15.75" customHeight="1">
      <c r="A253" s="452" t="s">
        <v>346</v>
      </c>
      <c r="B253" s="439" t="s">
        <v>78</v>
      </c>
      <c r="C253" s="462" t="s">
        <v>82</v>
      </c>
      <c r="D253" s="465"/>
      <c r="E253" s="581"/>
      <c r="F253" s="497" t="e">
        <f>F252/E252</f>
        <v>#DIV/0!</v>
      </c>
      <c r="G253" s="468"/>
      <c r="H253" s="581"/>
      <c r="I253" s="497"/>
      <c r="J253" s="468"/>
      <c r="K253" s="581"/>
      <c r="L253" s="497">
        <f>IF(L252=0,0,L252/K252)</f>
        <v>0.70658326440501751</v>
      </c>
      <c r="M253" s="496"/>
      <c r="N253" s="466" t="e">
        <f t="shared" si="49"/>
        <v>#DIV/0!</v>
      </c>
      <c r="O253" s="468"/>
      <c r="P253" s="581"/>
      <c r="Q253" s="497">
        <f>IF(Q252=0,0,Q252/P252)</f>
        <v>0.74616390346391204</v>
      </c>
      <c r="R253" s="468"/>
      <c r="S253" s="497">
        <f>IF(Q252=0,0,(S252/Q252))</f>
        <v>-7.97922965227056E-2</v>
      </c>
      <c r="T253" s="521"/>
      <c r="U253" s="436"/>
      <c r="AA253" s="439"/>
      <c r="AB253" s="439"/>
      <c r="AC253" s="439"/>
      <c r="AD253" s="439"/>
      <c r="AE253" s="439"/>
      <c r="AF253" s="439"/>
      <c r="AG253" s="439"/>
      <c r="AH253" s="439"/>
      <c r="AI253" s="439"/>
      <c r="AJ253" s="439"/>
      <c r="AK253" s="439"/>
      <c r="AL253" s="439"/>
      <c r="AM253" s="439"/>
      <c r="AN253" s="439"/>
    </row>
    <row r="254" spans="1:40" ht="15.75" customHeight="1">
      <c r="A254" s="452" t="s">
        <v>78</v>
      </c>
      <c r="B254" s="439" t="s">
        <v>78</v>
      </c>
      <c r="C254" s="462"/>
      <c r="D254" s="465"/>
      <c r="E254" s="601">
        <f>IFERROR(E252/D252,0)</f>
        <v>0</v>
      </c>
      <c r="F254" s="594"/>
      <c r="G254" s="602"/>
      <c r="H254" s="601"/>
      <c r="I254" s="594"/>
      <c r="J254" s="602"/>
      <c r="K254" s="601">
        <f>IFERROR(K252/J252,0)</f>
        <v>154.97506976744185</v>
      </c>
      <c r="L254" s="594"/>
      <c r="M254" s="527"/>
      <c r="N254" s="458"/>
      <c r="O254" s="602"/>
      <c r="P254" s="601">
        <f>IFERROR(P252/O252,0)</f>
        <v>132.64259187620885</v>
      </c>
      <c r="Q254" s="594"/>
      <c r="R254" s="602"/>
      <c r="S254" s="466"/>
      <c r="T254" s="521"/>
      <c r="U254" s="530"/>
      <c r="AA254" s="439"/>
      <c r="AB254" s="439"/>
      <c r="AC254" s="439"/>
      <c r="AD254" s="439"/>
      <c r="AE254" s="439"/>
      <c r="AF254" s="439"/>
      <c r="AG254" s="439"/>
      <c r="AH254" s="439"/>
      <c r="AI254" s="439"/>
      <c r="AJ254" s="439"/>
      <c r="AK254" s="439"/>
      <c r="AL254" s="439"/>
      <c r="AM254" s="439"/>
      <c r="AN254" s="439"/>
    </row>
    <row r="255" spans="1:40" ht="15.75" customHeight="1">
      <c r="A255" s="452" t="s">
        <v>349</v>
      </c>
      <c r="B255" s="439" t="s">
        <v>78</v>
      </c>
      <c r="C255" s="447" t="s">
        <v>85</v>
      </c>
      <c r="D255" s="502">
        <f t="array" ref="D255">+INDEX('[3]Budget original'!$A$2:$AO$501,MATCH($A255,'[3]Budget original'!$A$2:$A$501,0),MATCH(D$2,'[3]Budget original'!$A$2:$AO$2,0))</f>
        <v>0</v>
      </c>
      <c r="E255" s="465">
        <f t="array" ref="E255">+INDEX('[3]Budget original'!$A$2:$AO$501,MATCH($A255,'[3]Budget original'!$A$2:$A$501,0),MATCH(E$2,'[3]Budget original'!$A$2:$AO$2,0))</f>
        <v>0</v>
      </c>
      <c r="F255" s="465">
        <f t="array" ref="F255">+INDEX('[3]Budget original'!$A$2:$AO$501,MATCH($A255,'[3]Budget original'!$A$2:$A$501,0),MATCH(F$2,'[3]Budget original'!$A$2:$AO$2,0))</f>
        <v>0</v>
      </c>
      <c r="G255" s="505"/>
      <c r="H255" s="465"/>
      <c r="I255" s="465"/>
      <c r="J255" s="464">
        <f>SUMIFS([3]BV_Data_An_Cour!$AW:$AW,[3]BV_Data_An_Cour!$AP:$AP,$B255,[3]BV_Data_An_Cour!$AQ:$AQ,$C255,[3]BV_Data_An_Cour!$AY:$AY,J$2)</f>
        <v>0</v>
      </c>
      <c r="K255" s="502">
        <f>-SUMIFS([3]BV_Data_An_Cour!$AM:$AM,[3]BV_Data_An_Cour!$AS:$AS,"Oui",[3]BV_Data_An_Cour!$AP:$AP,$B255,[3]BV_Data_An_Cour!$AQ:$AQ,$C255)</f>
        <v>0</v>
      </c>
      <c r="L255" s="503">
        <f>-SUMIFS([3]BV_Data_An_Cour!$AM:$AM,[3]BV_Data_An_Cour!$AP:$AP,$B255,[3]BV_Data_An_Cour!$AQ:$AQ,$C255,[3]BV_Data_An_Cour!$AR:$AR,$L$2)</f>
        <v>0</v>
      </c>
      <c r="M255" s="604">
        <f>IF(E255=0,0,(K255-E255)/E255)</f>
        <v>0</v>
      </c>
      <c r="N255" s="503">
        <f>L255-F255</f>
        <v>0</v>
      </c>
      <c r="O255" s="464">
        <f>SUMIFS([3]BV_Data_An_Prec!$AW:$AW,[3]BV_Data_An_Prec!$AP:$AP,$B255,[3]BV_Data_An_Prec!$AQ:$AQ,$C255,[3]BV_Data_An_Prec!$AY:$AY,O$2)</f>
        <v>0</v>
      </c>
      <c r="P255" s="502">
        <f>-SUMIFS([3]BV_Data_An_Prec!$AM:$AM,[3]BV_Data_An_Prec!$AS:$AS,"Oui",[3]BV_Data_An_Prec!$AP:$AP,$B255,[3]BV_Data_An_Prec!$AQ:$AQ,$C255)</f>
        <v>0</v>
      </c>
      <c r="Q255" s="503">
        <f>-SUMIFS([3]BV_Data_An_Prec!$AM:$AM,[3]BV_Data_An_Prec!$AP:$AP,$B255,[3]BV_Data_An_Prec!$AQ:$AQ,$C255,[3]BV_Data_An_Prec!$AR:$AR,$L$2)</f>
        <v>0</v>
      </c>
      <c r="R255" s="496">
        <f>IF(O255=0,0,J255/O255)</f>
        <v>0</v>
      </c>
      <c r="S255" s="503">
        <f>L255-Q255</f>
        <v>0</v>
      </c>
      <c r="T255" s="521"/>
      <c r="U255" s="436"/>
      <c r="AA255" s="439"/>
      <c r="AB255" s="439"/>
      <c r="AC255" s="439"/>
      <c r="AD255" s="439"/>
      <c r="AE255" s="439"/>
      <c r="AF255" s="439"/>
      <c r="AG255" s="439"/>
      <c r="AH255" s="439"/>
      <c r="AI255" s="439"/>
      <c r="AJ255" s="439"/>
      <c r="AK255" s="439"/>
      <c r="AL255" s="439"/>
      <c r="AM255" s="439"/>
      <c r="AN255" s="439"/>
    </row>
    <row r="256" spans="1:40" ht="15.75" customHeight="1">
      <c r="A256" s="452" t="s">
        <v>346</v>
      </c>
      <c r="B256" s="439" t="s">
        <v>78</v>
      </c>
      <c r="C256" s="462" t="s">
        <v>82</v>
      </c>
      <c r="D256" s="439"/>
      <c r="E256" s="581"/>
      <c r="F256" s="497">
        <f>IFERROR(F255/E255,0)</f>
        <v>0</v>
      </c>
      <c r="G256" s="462"/>
      <c r="H256" s="581"/>
      <c r="I256" s="497"/>
      <c r="J256" s="468"/>
      <c r="K256" s="581"/>
      <c r="L256" s="497">
        <f>IF(L255=0,0,L255/K255)</f>
        <v>0</v>
      </c>
      <c r="M256" s="468">
        <f>J256-D256</f>
        <v>0</v>
      </c>
      <c r="N256" s="466"/>
      <c r="O256" s="468"/>
      <c r="P256" s="581"/>
      <c r="Q256" s="497">
        <f>IF(Q255=0,0,Q255/P255)</f>
        <v>0</v>
      </c>
      <c r="R256" s="462"/>
      <c r="S256" s="497">
        <f>IF(Q255=0,0,(S255/Q255))</f>
        <v>0</v>
      </c>
      <c r="T256" s="547"/>
      <c r="U256" s="530"/>
      <c r="AA256" s="439"/>
      <c r="AB256" s="439"/>
      <c r="AC256" s="439"/>
      <c r="AD256" s="439"/>
      <c r="AE256" s="439"/>
      <c r="AF256" s="439"/>
      <c r="AG256" s="439"/>
      <c r="AH256" s="439"/>
      <c r="AI256" s="439"/>
      <c r="AJ256" s="439"/>
      <c r="AK256" s="439"/>
      <c r="AL256" s="439"/>
      <c r="AM256" s="439"/>
      <c r="AN256" s="439"/>
    </row>
    <row r="257" spans="1:40" ht="15.75" customHeight="1">
      <c r="A257" s="452" t="s">
        <v>78</v>
      </c>
      <c r="B257" s="439" t="s">
        <v>78</v>
      </c>
      <c r="C257" s="453"/>
      <c r="D257" s="546"/>
      <c r="E257" s="605"/>
      <c r="F257" s="594"/>
      <c r="G257" s="453"/>
      <c r="H257" s="605"/>
      <c r="I257" s="594"/>
      <c r="J257" s="602"/>
      <c r="K257" s="601">
        <f>IFERROR(K255/J255,0)</f>
        <v>0</v>
      </c>
      <c r="L257" s="594"/>
      <c r="M257" s="602"/>
      <c r="N257" s="458"/>
      <c r="O257" s="602"/>
      <c r="P257" s="601">
        <f>IFERROR(P255/O255,0)</f>
        <v>0</v>
      </c>
      <c r="Q257" s="594"/>
      <c r="R257" s="453"/>
      <c r="S257" s="458"/>
      <c r="T257" s="547"/>
      <c r="U257" s="436"/>
      <c r="AA257" s="439"/>
      <c r="AB257" s="439"/>
      <c r="AC257" s="439"/>
      <c r="AD257" s="439"/>
      <c r="AE257" s="439"/>
      <c r="AF257" s="439"/>
      <c r="AG257" s="439"/>
      <c r="AH257" s="439"/>
      <c r="AI257" s="439"/>
      <c r="AJ257" s="439"/>
      <c r="AK257" s="439"/>
      <c r="AL257" s="439"/>
      <c r="AM257" s="439"/>
      <c r="AN257" s="439"/>
    </row>
    <row r="258" spans="1:40" ht="26.25" customHeight="1" thickBot="1">
      <c r="A258" s="452" t="s">
        <v>350</v>
      </c>
      <c r="B258" s="439" t="s">
        <v>78</v>
      </c>
      <c r="C258" s="462" t="s">
        <v>86</v>
      </c>
      <c r="D258" s="439"/>
      <c r="E258" s="439"/>
      <c r="F258" s="466">
        <f t="array" ref="F258">+INDEX('[3]Budget original'!$A$2:$AO$501,MATCH($A258,'[3]Budget original'!$A$2:$A$501,0),MATCH(F$2,'[3]Budget original'!$A$2:$AO$2,0))</f>
        <v>0</v>
      </c>
      <c r="G258" s="462"/>
      <c r="H258" s="465"/>
      <c r="I258" s="465"/>
      <c r="J258" s="468"/>
      <c r="K258" s="465"/>
      <c r="L258" s="465">
        <f>-SUMIFS([3]BV_Data_An_Cour!$AM:$AM,[3]BV_Data_An_Cour!$AP:$AP,$B258,[3]BV_Data_An_Cour!$AQ:$AQ,$C258,[3]BV_Data_An_Cour!$AR:$AR,$L$2)</f>
        <v>-349.41999999999825</v>
      </c>
      <c r="M258" s="468"/>
      <c r="N258" s="466">
        <f t="shared" ref="N258:N259" si="50">L258-F258</f>
        <v>-349.41999999999825</v>
      </c>
      <c r="O258" s="468"/>
      <c r="P258" s="465"/>
      <c r="Q258" s="465">
        <f>-SUMIFS([3]BV_Data_An_Prec!$AM:$AM,[3]BV_Data_An_Prec!$AP:$AP,$B258,[3]BV_Data_An_Prec!$AQ:$AQ,$C258,[3]BV_Data_An_Prec!$AR:$AR,$L$2)</f>
        <v>1668.8900000000031</v>
      </c>
      <c r="R258" s="606"/>
      <c r="S258" s="466">
        <f t="shared" ref="S258:S259" si="51">L258-Q258</f>
        <v>-2018.3100000000013</v>
      </c>
      <c r="T258" s="436"/>
      <c r="U258" s="436"/>
      <c r="V258" s="439"/>
      <c r="W258" s="439"/>
      <c r="X258" s="439"/>
      <c r="Y258" s="439"/>
      <c r="Z258" s="439"/>
      <c r="AA258" s="439"/>
      <c r="AB258" s="439"/>
      <c r="AC258" s="439"/>
      <c r="AD258" s="439"/>
      <c r="AE258" s="439"/>
      <c r="AF258" s="439"/>
      <c r="AG258" s="439"/>
      <c r="AH258" s="439"/>
      <c r="AI258" s="439"/>
      <c r="AJ258" s="439"/>
      <c r="AK258" s="439"/>
      <c r="AL258" s="439"/>
      <c r="AM258" s="439"/>
      <c r="AN258" s="439"/>
    </row>
    <row r="259" spans="1:40" ht="19.5" customHeight="1" thickTop="1">
      <c r="A259" s="452" t="s">
        <v>351</v>
      </c>
      <c r="B259" s="439" t="s">
        <v>78</v>
      </c>
      <c r="C259" s="607" t="s">
        <v>87</v>
      </c>
      <c r="D259" s="608">
        <f t="shared" ref="D259:F259" si="52">D246+D249+D252+D255+D258</f>
        <v>0</v>
      </c>
      <c r="E259" s="608">
        <f t="shared" si="52"/>
        <v>0</v>
      </c>
      <c r="F259" s="609">
        <f t="shared" si="52"/>
        <v>0</v>
      </c>
      <c r="G259" s="610"/>
      <c r="H259" s="608"/>
      <c r="I259" s="609"/>
      <c r="J259" s="611">
        <f t="shared" ref="J259:L259" si="53">J246+J249+J252+J255+J258</f>
        <v>872</v>
      </c>
      <c r="K259" s="612">
        <f t="shared" si="53"/>
        <v>151889.59000000003</v>
      </c>
      <c r="L259" s="613">
        <f t="shared" si="53"/>
        <v>103530.14000000003</v>
      </c>
      <c r="M259" s="614" t="e">
        <f>(K259-E259)/E259</f>
        <v>#DIV/0!</v>
      </c>
      <c r="N259" s="613">
        <f t="shared" si="50"/>
        <v>103530.14000000003</v>
      </c>
      <c r="O259" s="611">
        <f t="shared" ref="O259:Q259" si="54">O246+O249+O252+O255+O258</f>
        <v>1054</v>
      </c>
      <c r="P259" s="612">
        <f t="shared" si="54"/>
        <v>196879.57000000007</v>
      </c>
      <c r="Q259" s="613">
        <f t="shared" si="54"/>
        <v>146654.89000000007</v>
      </c>
      <c r="R259" s="506">
        <f>IF(O259=0,0,J259/O259)</f>
        <v>0.82732447817836807</v>
      </c>
      <c r="S259" s="609">
        <f t="shared" si="51"/>
        <v>-43124.750000000044</v>
      </c>
      <c r="T259" s="547"/>
      <c r="U259" s="436"/>
      <c r="V259" s="439"/>
      <c r="W259" s="439"/>
      <c r="X259" s="439"/>
      <c r="Y259" s="439"/>
      <c r="Z259" s="439"/>
      <c r="AA259" s="439"/>
      <c r="AB259" s="439"/>
      <c r="AC259" s="439"/>
      <c r="AD259" s="439"/>
      <c r="AE259" s="439"/>
      <c r="AF259" s="439"/>
      <c r="AG259" s="439"/>
      <c r="AH259" s="439"/>
      <c r="AI259" s="439"/>
      <c r="AJ259" s="439"/>
      <c r="AK259" s="439"/>
      <c r="AL259" s="439"/>
      <c r="AM259" s="439"/>
      <c r="AN259" s="439"/>
    </row>
    <row r="260" spans="1:40" ht="15.75" customHeight="1">
      <c r="A260" s="452" t="s">
        <v>352</v>
      </c>
      <c r="B260" s="439" t="s">
        <v>78</v>
      </c>
      <c r="C260" s="615" t="s">
        <v>88</v>
      </c>
      <c r="D260" s="616"/>
      <c r="E260" s="617"/>
      <c r="F260" s="618" t="e">
        <f>F259/E259</f>
        <v>#DIV/0!</v>
      </c>
      <c r="G260" s="619"/>
      <c r="H260" s="617"/>
      <c r="I260" s="488"/>
      <c r="J260" s="620"/>
      <c r="K260" s="621">
        <f>IF(J259=0,0,K259/J259)</f>
        <v>174.18530963302754</v>
      </c>
      <c r="L260" s="488">
        <f>IF(L259=0,0,L259/K259)</f>
        <v>0.68161445428880285</v>
      </c>
      <c r="M260" s="620"/>
      <c r="N260" s="622" t="e">
        <f>N259/F259</f>
        <v>#DIV/0!</v>
      </c>
      <c r="O260" s="620"/>
      <c r="P260" s="621">
        <f>IF(O259=0,0,P259/O259)</f>
        <v>186.79276091081601</v>
      </c>
      <c r="Q260" s="488">
        <f>IF(Q259=0,0,Q259/P259)</f>
        <v>0.74489643592781118</v>
      </c>
      <c r="R260" s="619"/>
      <c r="S260" s="488">
        <f>S259/Q259</f>
        <v>-0.29405599772363555</v>
      </c>
      <c r="T260" s="547"/>
      <c r="U260" s="436"/>
      <c r="V260" s="439"/>
      <c r="W260" s="439"/>
      <c r="X260" s="439"/>
      <c r="Y260" s="439"/>
      <c r="Z260" s="439"/>
      <c r="AA260" s="439"/>
      <c r="AB260" s="439"/>
      <c r="AC260" s="439"/>
      <c r="AD260" s="439"/>
      <c r="AE260" s="439"/>
      <c r="AF260" s="439"/>
      <c r="AG260" s="439"/>
      <c r="AH260" s="439"/>
      <c r="AI260" s="439"/>
      <c r="AJ260" s="439"/>
      <c r="AK260" s="439"/>
      <c r="AL260" s="439"/>
      <c r="AM260" s="439"/>
      <c r="AN260" s="439"/>
    </row>
    <row r="261" spans="1:40" ht="15.75" customHeight="1">
      <c r="A261" s="452" t="s">
        <v>78</v>
      </c>
      <c r="B261" s="439" t="s">
        <v>78</v>
      </c>
      <c r="C261" s="447"/>
      <c r="D261" s="502"/>
      <c r="E261" s="623"/>
      <c r="F261" s="503"/>
      <c r="G261" s="505"/>
      <c r="H261" s="623"/>
      <c r="I261" s="503"/>
      <c r="J261" s="505"/>
      <c r="K261" s="623"/>
      <c r="L261" s="503"/>
      <c r="M261" s="505"/>
      <c r="N261" s="503"/>
      <c r="O261" s="505"/>
      <c r="P261" s="623"/>
      <c r="Q261" s="503"/>
      <c r="R261" s="505"/>
      <c r="S261" s="503"/>
      <c r="T261" s="547"/>
      <c r="U261" s="436"/>
      <c r="V261" s="439"/>
      <c r="W261" s="439"/>
      <c r="X261" s="439"/>
      <c r="Y261" s="439"/>
      <c r="Z261" s="439"/>
      <c r="AA261" s="439"/>
      <c r="AB261" s="439"/>
      <c r="AC261" s="439"/>
      <c r="AD261" s="439"/>
      <c r="AE261" s="439"/>
      <c r="AF261" s="439"/>
      <c r="AG261" s="439"/>
      <c r="AH261" s="439"/>
      <c r="AI261" s="439"/>
      <c r="AJ261" s="439"/>
      <c r="AK261" s="439"/>
      <c r="AL261" s="439"/>
      <c r="AM261" s="439"/>
      <c r="AN261" s="439"/>
    </row>
    <row r="262" spans="1:40" ht="19.5" customHeight="1">
      <c r="A262" s="452" t="s">
        <v>353</v>
      </c>
      <c r="B262" s="439" t="s">
        <v>78</v>
      </c>
      <c r="C262" s="462" t="s">
        <v>89</v>
      </c>
      <c r="D262" s="465"/>
      <c r="E262" s="465">
        <f t="array" ref="E262">+INDEX('[3]Budget original'!$A$2:$AO$501,MATCH($A262,'[3]Budget original'!$A$2:$A$501,0),MATCH(E$2,'[3]Budget original'!$A$2:$AO$2,0))</f>
        <v>0</v>
      </c>
      <c r="F262" s="465">
        <f t="array" ref="F262">+INDEX('[3]Budget original'!$A$2:$AO$501,MATCH($A262,'[3]Budget original'!$A$2:$A$501,0),MATCH(F$2,'[3]Budget original'!$A$2:$AO$2,0))</f>
        <v>0</v>
      </c>
      <c r="G262" s="468"/>
      <c r="H262" s="465"/>
      <c r="I262" s="465"/>
      <c r="J262" s="464">
        <f>SUMIFS([3]BV_Data_An_Cour!$AW:$AW,[3]BV_Data_An_Cour!$AP:$AP,$B262,[3]BV_Data_An_Cour!$AQ:$AQ,$C262,[3]BV_Data_An_Cour!$AY:$AY,J$2)</f>
        <v>333</v>
      </c>
      <c r="K262" s="465">
        <f>-SUMIFS([3]BV_Data_An_Cour!$AM:$AM,[3]BV_Data_An_Cour!$AS:$AS,"Oui",[3]BV_Data_An_Cour!$AP:$AP,$B262,[3]BV_Data_An_Cour!$AQ:$AQ,$C262)</f>
        <v>13883.549999999992</v>
      </c>
      <c r="L262" s="466">
        <f>-SUMIFS([3]BV_Data_An_Cour!$AM:$AM,[3]BV_Data_An_Cour!$AP:$AP,$B262,[3]BV_Data_An_Cour!$AQ:$AQ,$C262,[3]BV_Data_An_Cour!$AR:$AR,$L$2)</f>
        <v>3700.6799999999839</v>
      </c>
      <c r="M262" s="496">
        <f>IF(E262=0,0,(K262-E262)/E262)</f>
        <v>0</v>
      </c>
      <c r="N262" s="466">
        <f>L262-F262</f>
        <v>3700.6799999999839</v>
      </c>
      <c r="O262" s="464">
        <f>SUMIFS([3]BV_Data_An_Prec!$AW:$AW,[3]BV_Data_An_Prec!$AP:$AP,$B262,[3]BV_Data_An_Prec!$AQ:$AQ,$C262,[3]BV_Data_An_Prec!$AY:$AY,O$2)</f>
        <v>328</v>
      </c>
      <c r="P262" s="465">
        <f>-SUMIFS([3]BV_Data_An_Prec!$AM:$AM,[3]BV_Data_An_Prec!$AS:$AS,"Oui",[3]BV_Data_An_Prec!$AP:$AP,$B262,[3]BV_Data_An_Prec!$AQ:$AQ,$C262)</f>
        <v>20193.09999999998</v>
      </c>
      <c r="Q262" s="466">
        <f>-SUMIFS([3]BV_Data_An_Prec!$AM:$AM,[3]BV_Data_An_Prec!$AP:$AP,$B262,[3]BV_Data_An_Prec!$AQ:$AQ,$C262,[3]BV_Data_An_Prec!$AR:$AR,$L$2)</f>
        <v>5749.3299999999617</v>
      </c>
      <c r="R262" s="496">
        <f>IF(O262=0,0,J262/O262)</f>
        <v>1.0152439024390243</v>
      </c>
      <c r="S262" s="466">
        <f>L262-Q262</f>
        <v>-2048.6499999999778</v>
      </c>
      <c r="T262" s="547"/>
      <c r="U262" s="436"/>
      <c r="V262" s="439"/>
      <c r="W262" s="439"/>
      <c r="X262" s="439"/>
      <c r="Y262" s="439"/>
      <c r="Z262" s="439"/>
      <c r="AA262" s="439"/>
      <c r="AB262" s="439"/>
      <c r="AC262" s="439"/>
      <c r="AD262" s="439"/>
      <c r="AE262" s="439"/>
      <c r="AF262" s="439"/>
      <c r="AG262" s="439"/>
      <c r="AH262" s="439"/>
      <c r="AI262" s="439"/>
      <c r="AJ262" s="439"/>
      <c r="AK262" s="439"/>
      <c r="AL262" s="439"/>
      <c r="AM262" s="439"/>
      <c r="AN262" s="439"/>
    </row>
    <row r="263" spans="1:40" ht="21" customHeight="1">
      <c r="A263" s="452" t="s">
        <v>346</v>
      </c>
      <c r="B263" s="439" t="s">
        <v>78</v>
      </c>
      <c r="C263" s="462" t="s">
        <v>82</v>
      </c>
      <c r="D263" s="439"/>
      <c r="E263" s="581"/>
      <c r="F263" s="497">
        <f>IFERROR(F262/E262,0)</f>
        <v>0</v>
      </c>
      <c r="G263" s="462"/>
      <c r="H263" s="581"/>
      <c r="I263" s="497"/>
      <c r="J263" s="468"/>
      <c r="K263" s="581"/>
      <c r="L263" s="497">
        <f>IF(L262=0,0,L262/K262)</f>
        <v>0.26655142236675677</v>
      </c>
      <c r="M263" s="468"/>
      <c r="N263" s="466"/>
      <c r="O263" s="468"/>
      <c r="P263" s="581"/>
      <c r="Q263" s="497">
        <f>IF(Q262=0,0,Q262/P262)</f>
        <v>0.28471755203509946</v>
      </c>
      <c r="R263" s="468"/>
      <c r="S263" s="497">
        <f>IF(Q262=0,0,(S262/Q262))</f>
        <v>-0.35632847653552524</v>
      </c>
      <c r="T263" s="547"/>
      <c r="U263" s="436"/>
      <c r="V263" s="439"/>
      <c r="W263" s="439"/>
      <c r="X263" s="439"/>
      <c r="Y263" s="439"/>
      <c r="Z263" s="439"/>
      <c r="AA263" s="439"/>
      <c r="AB263" s="439"/>
      <c r="AC263" s="439"/>
      <c r="AD263" s="439"/>
      <c r="AE263" s="439"/>
      <c r="AF263" s="439"/>
      <c r="AG263" s="439"/>
      <c r="AH263" s="439"/>
      <c r="AI263" s="439"/>
      <c r="AJ263" s="439"/>
      <c r="AK263" s="439"/>
      <c r="AL263" s="439"/>
      <c r="AM263" s="439"/>
      <c r="AN263" s="439"/>
    </row>
    <row r="264" spans="1:40" ht="21" hidden="1" customHeight="1">
      <c r="A264" s="452" t="s">
        <v>78</v>
      </c>
      <c r="B264" s="439" t="s">
        <v>78</v>
      </c>
      <c r="C264" s="462"/>
      <c r="D264" s="439"/>
      <c r="E264" s="581"/>
      <c r="F264" s="497"/>
      <c r="G264" s="462"/>
      <c r="H264" s="581"/>
      <c r="I264" s="497"/>
      <c r="J264" s="580"/>
      <c r="K264" s="579"/>
      <c r="L264" s="497"/>
      <c r="M264" s="580"/>
      <c r="N264" s="485"/>
      <c r="O264" s="580"/>
      <c r="P264" s="579"/>
      <c r="Q264" s="497"/>
      <c r="R264" s="580"/>
      <c r="S264" s="485"/>
      <c r="T264" s="547"/>
      <c r="U264" s="436"/>
      <c r="V264" s="439"/>
      <c r="W264" s="439"/>
      <c r="X264" s="439"/>
      <c r="Y264" s="439"/>
      <c r="Z264" s="439"/>
      <c r="AA264" s="439"/>
      <c r="AB264" s="439"/>
      <c r="AC264" s="439"/>
      <c r="AD264" s="439"/>
      <c r="AE264" s="439"/>
      <c r="AF264" s="439"/>
      <c r="AG264" s="439"/>
      <c r="AH264" s="439"/>
      <c r="AI264" s="439"/>
      <c r="AJ264" s="439"/>
      <c r="AK264" s="439"/>
      <c r="AL264" s="439"/>
      <c r="AM264" s="439"/>
      <c r="AN264" s="439"/>
    </row>
    <row r="265" spans="1:40" ht="21" hidden="1" customHeight="1">
      <c r="A265" s="452" t="s">
        <v>354</v>
      </c>
      <c r="B265" s="439" t="s">
        <v>78</v>
      </c>
      <c r="C265" s="462" t="s">
        <v>90</v>
      </c>
      <c r="D265" s="439"/>
      <c r="E265" s="465">
        <f t="array" ref="E265">+INDEX('[3]Budget original'!$A$2:$AO$501,MATCH($A265,'[3]Budget original'!$A$2:$A$501,0),MATCH(E$2,'[3]Budget original'!$A$2:$AO$2,0))</f>
        <v>0</v>
      </c>
      <c r="F265" s="465">
        <f t="array" ref="F265">+INDEX('[3]Budget original'!$A$2:$AO$501,MATCH($A265,'[3]Budget original'!$A$2:$A$501,0),MATCH(F$2,'[3]Budget original'!$A$2:$AO$2,0))</f>
        <v>0</v>
      </c>
      <c r="G265" s="462"/>
      <c r="H265" s="465"/>
      <c r="I265" s="465"/>
      <c r="J265" s="464">
        <f>SUMIFS([3]BV_Data_An_Cour!$AW:$AW,[3]BV_Data_An_Cour!$AP:$AP,$B265,[3]BV_Data_An_Cour!$AQ:$AQ,$C265,[3]BV_Data_An_Cour!$AY:$AY,J$2)</f>
        <v>0</v>
      </c>
      <c r="K265" s="463">
        <f>-SUMIFS([3]BV_Data_An_Cour!$AM:$AM,[3]BV_Data_An_Cour!$AS:$AS,"Oui",[3]BV_Data_An_Cour!$AP:$AP,$B265,[3]BV_Data_An_Cour!$AQ:$AQ,$C265)</f>
        <v>0</v>
      </c>
      <c r="L265" s="467">
        <f>-SUMIFS([3]BV_Data_An_Cour!$AM:$AM,[3]BV_Data_An_Cour!$AP:$AP,$B265,[3]BV_Data_An_Cour!$AQ:$AQ,$C265,[3]BV_Data_An_Cour!$AR:$AR,$L$2)</f>
        <v>0</v>
      </c>
      <c r="M265" s="496">
        <f>IF(E265=0,0,(K265-E265)/E265)</f>
        <v>0</v>
      </c>
      <c r="N265" s="466">
        <f>L265-F265</f>
        <v>0</v>
      </c>
      <c r="O265" s="464">
        <f>SUMIFS([3]BV_Data_An_Prec!$AW:$AW,[3]BV_Data_An_Prec!$AP:$AP,$B265,[3]BV_Data_An_Prec!$AQ:$AQ,$C265,[3]BV_Data_An_Prec!$AY:$AY,O$2)</f>
        <v>0</v>
      </c>
      <c r="P265" s="463">
        <f>-SUMIFS([3]BV_Data_An_Prec!$AM:$AM,[3]BV_Data_An_Prec!$AS:$AS,"Oui",[3]BV_Data_An_Prec!$AP:$AP,$B265,[3]BV_Data_An_Prec!$AQ:$AQ,$C265)</f>
        <v>0</v>
      </c>
      <c r="Q265" s="467">
        <f>-SUMIFS([3]BV_Data_An_Prec!$AM:$AM,[3]BV_Data_An_Prec!$AP:$AP,$B265,[3]BV_Data_An_Prec!$AQ:$AQ,$C265,[3]BV_Data_An_Prec!$AR:$AR,$L$2)</f>
        <v>0</v>
      </c>
      <c r="R265" s="496">
        <f>IF(O265=0,0,J265/O265)</f>
        <v>0</v>
      </c>
      <c r="S265" s="466">
        <f>L265-Q265</f>
        <v>0</v>
      </c>
      <c r="T265" s="547"/>
      <c r="U265" s="436"/>
      <c r="V265" s="439"/>
      <c r="W265" s="439"/>
      <c r="X265" s="439"/>
      <c r="Y265" s="439"/>
      <c r="Z265" s="439"/>
      <c r="AA265" s="439"/>
      <c r="AB265" s="439"/>
      <c r="AC265" s="439"/>
      <c r="AD265" s="439"/>
      <c r="AE265" s="439"/>
      <c r="AF265" s="439"/>
      <c r="AG265" s="439"/>
      <c r="AH265" s="439"/>
      <c r="AI265" s="439"/>
      <c r="AJ265" s="439"/>
      <c r="AK265" s="439"/>
      <c r="AL265" s="439"/>
      <c r="AM265" s="439"/>
      <c r="AN265" s="439"/>
    </row>
    <row r="266" spans="1:40" ht="21" hidden="1" customHeight="1">
      <c r="A266" s="452" t="s">
        <v>346</v>
      </c>
      <c r="B266" s="439" t="s">
        <v>78</v>
      </c>
      <c r="C266" s="462" t="s">
        <v>82</v>
      </c>
      <c r="D266" s="439"/>
      <c r="E266" s="581"/>
      <c r="F266" s="497">
        <f>IF(F265=0,0,F265/E265)</f>
        <v>0</v>
      </c>
      <c r="G266" s="462"/>
      <c r="H266" s="581"/>
      <c r="I266" s="497"/>
      <c r="J266" s="580"/>
      <c r="K266" s="579"/>
      <c r="L266" s="497">
        <f>IF(L265=0,0,L265/K265)</f>
        <v>0</v>
      </c>
      <c r="M266" s="580"/>
      <c r="N266" s="485"/>
      <c r="O266" s="580"/>
      <c r="P266" s="579"/>
      <c r="Q266" s="497">
        <f>IF(Q265=0,0,Q265/P265)</f>
        <v>0</v>
      </c>
      <c r="R266" s="580"/>
      <c r="S266" s="485"/>
      <c r="T266" s="547"/>
      <c r="U266" s="530"/>
      <c r="V266" s="439"/>
      <c r="W266" s="439"/>
      <c r="X266" s="439"/>
      <c r="Y266" s="439"/>
      <c r="Z266" s="439"/>
      <c r="AA266" s="439"/>
      <c r="AB266" s="439"/>
      <c r="AC266" s="439"/>
      <c r="AD266" s="439"/>
      <c r="AE266" s="439"/>
      <c r="AF266" s="439"/>
      <c r="AG266" s="439"/>
      <c r="AH266" s="439"/>
      <c r="AI266" s="439"/>
      <c r="AJ266" s="439"/>
      <c r="AK266" s="439"/>
      <c r="AL266" s="439"/>
      <c r="AM266" s="439"/>
      <c r="AN266" s="439"/>
    </row>
    <row r="267" spans="1:40" ht="15.75" customHeight="1" thickBot="1">
      <c r="A267" s="452" t="s">
        <v>78</v>
      </c>
      <c r="B267" s="439" t="s">
        <v>78</v>
      </c>
      <c r="C267" s="624"/>
      <c r="D267" s="625"/>
      <c r="E267" s="626"/>
      <c r="F267" s="627"/>
      <c r="G267" s="628"/>
      <c r="H267" s="626"/>
      <c r="I267" s="627"/>
      <c r="J267" s="628"/>
      <c r="K267" s="626"/>
      <c r="L267" s="627"/>
      <c r="M267" s="628"/>
      <c r="N267" s="627"/>
      <c r="O267" s="628"/>
      <c r="P267" s="626"/>
      <c r="Q267" s="627"/>
      <c r="R267" s="628"/>
      <c r="S267" s="627"/>
      <c r="T267" s="547"/>
      <c r="U267" s="436"/>
      <c r="V267" s="439"/>
      <c r="W267" s="439"/>
      <c r="X267" s="439"/>
      <c r="Y267" s="439"/>
      <c r="Z267" s="439"/>
      <c r="AA267" s="439"/>
      <c r="AB267" s="439"/>
      <c r="AC267" s="439"/>
      <c r="AD267" s="439"/>
      <c r="AE267" s="439"/>
      <c r="AF267" s="439"/>
      <c r="AG267" s="439"/>
      <c r="AH267" s="439"/>
      <c r="AI267" s="439"/>
      <c r="AJ267" s="439"/>
      <c r="AK267" s="439"/>
      <c r="AL267" s="439"/>
      <c r="AM267" s="439"/>
      <c r="AN267" s="439"/>
    </row>
    <row r="268" spans="1:40" ht="18" customHeight="1" thickTop="1">
      <c r="A268" s="452" t="s">
        <v>355</v>
      </c>
      <c r="B268" s="439" t="s">
        <v>78</v>
      </c>
      <c r="C268" s="507" t="s">
        <v>91</v>
      </c>
      <c r="D268" s="508"/>
      <c r="E268" s="509">
        <f t="shared" ref="E268:F268" si="55">E259+E262+E265</f>
        <v>0</v>
      </c>
      <c r="F268" s="510">
        <f t="shared" si="55"/>
        <v>0</v>
      </c>
      <c r="G268" s="511"/>
      <c r="H268" s="509"/>
      <c r="I268" s="510"/>
      <c r="J268" s="511"/>
      <c r="K268" s="508">
        <f t="shared" ref="K268:L268" si="56">K259+K262+K265</f>
        <v>165773.14000000001</v>
      </c>
      <c r="L268" s="510">
        <f t="shared" si="56"/>
        <v>107230.82</v>
      </c>
      <c r="M268" s="511" t="e">
        <f>L269-F269</f>
        <v>#DIV/0!</v>
      </c>
      <c r="N268" s="510">
        <f>L268-F268</f>
        <v>107230.82</v>
      </c>
      <c r="O268" s="511"/>
      <c r="P268" s="508">
        <f t="shared" ref="P268:Q268" si="57">P259+P262+P265</f>
        <v>217072.67000000004</v>
      </c>
      <c r="Q268" s="510">
        <f t="shared" si="57"/>
        <v>152404.22000000003</v>
      </c>
      <c r="R268" s="511"/>
      <c r="S268" s="510">
        <f>L268-Q268</f>
        <v>-45173.400000000023</v>
      </c>
      <c r="T268" s="436"/>
      <c r="U268" s="436"/>
      <c r="V268" s="439"/>
      <c r="W268" s="439"/>
      <c r="X268" s="439"/>
      <c r="Y268" s="439"/>
      <c r="Z268" s="439"/>
      <c r="AA268" s="439"/>
      <c r="AB268" s="439"/>
      <c r="AC268" s="439"/>
      <c r="AD268" s="439"/>
      <c r="AE268" s="439"/>
      <c r="AF268" s="439"/>
      <c r="AG268" s="439"/>
      <c r="AH268" s="439"/>
      <c r="AI268" s="439"/>
      <c r="AJ268" s="439"/>
      <c r="AK268" s="439"/>
      <c r="AL268" s="439"/>
      <c r="AM268" s="439"/>
      <c r="AN268" s="439"/>
    </row>
    <row r="269" spans="1:40" ht="22.5" customHeight="1" thickBot="1">
      <c r="A269" s="452" t="s">
        <v>78</v>
      </c>
      <c r="B269" s="439" t="s">
        <v>78</v>
      </c>
      <c r="C269" s="512"/>
      <c r="D269" s="513"/>
      <c r="E269" s="513"/>
      <c r="F269" s="514" t="e">
        <f>F268/E268</f>
        <v>#DIV/0!</v>
      </c>
      <c r="G269" s="512"/>
      <c r="H269" s="513"/>
      <c r="I269" s="514"/>
      <c r="J269" s="512"/>
      <c r="K269" s="515"/>
      <c r="L269" s="519">
        <f>L268/K268</f>
        <v>0.64685280136456358</v>
      </c>
      <c r="M269" s="517"/>
      <c r="N269" s="518" t="e">
        <f>N268/F268</f>
        <v>#DIV/0!</v>
      </c>
      <c r="O269" s="512"/>
      <c r="P269" s="515"/>
      <c r="Q269" s="519">
        <f>Q268/P268</f>
        <v>0.70208847571645017</v>
      </c>
      <c r="R269" s="517"/>
      <c r="S269" s="519">
        <f>L268/S268</f>
        <v>-2.3737602217234026</v>
      </c>
      <c r="T269" s="436"/>
      <c r="U269" s="436"/>
      <c r="V269" s="439"/>
      <c r="W269" s="439"/>
      <c r="X269" s="439"/>
      <c r="Y269" s="439"/>
      <c r="Z269" s="439"/>
      <c r="AA269" s="439"/>
      <c r="AB269" s="439"/>
      <c r="AC269" s="439"/>
      <c r="AD269" s="439"/>
      <c r="AE269" s="439"/>
      <c r="AF269" s="439"/>
      <c r="AG269" s="439"/>
      <c r="AH269" s="439"/>
      <c r="AI269" s="439"/>
      <c r="AJ269" s="439"/>
      <c r="AK269" s="439"/>
      <c r="AL269" s="439"/>
      <c r="AM269" s="439"/>
      <c r="AN269" s="439"/>
    </row>
    <row r="270" spans="1:40" ht="15.75" customHeight="1" thickTop="1">
      <c r="A270" s="452" t="s">
        <v>78</v>
      </c>
      <c r="B270" s="439" t="s">
        <v>78</v>
      </c>
      <c r="C270" s="480"/>
      <c r="D270" s="481"/>
      <c r="E270" s="481"/>
      <c r="F270" s="488"/>
      <c r="G270" s="480"/>
      <c r="H270" s="481"/>
      <c r="I270" s="488"/>
      <c r="J270" s="480"/>
      <c r="K270" s="484"/>
      <c r="L270" s="488"/>
      <c r="M270" s="506"/>
      <c r="N270" s="488"/>
      <c r="O270" s="480"/>
      <c r="P270" s="484"/>
      <c r="Q270" s="488"/>
      <c r="R270" s="506"/>
      <c r="S270" s="488"/>
      <c r="T270" s="432"/>
      <c r="U270" s="436"/>
      <c r="V270" s="439"/>
      <c r="W270" s="439"/>
      <c r="X270" s="439"/>
      <c r="Y270" s="439"/>
      <c r="Z270" s="439"/>
      <c r="AA270" s="439"/>
      <c r="AB270" s="439"/>
      <c r="AC270" s="439"/>
      <c r="AD270" s="439"/>
      <c r="AE270" s="439"/>
      <c r="AF270" s="439"/>
      <c r="AG270" s="439"/>
      <c r="AH270" s="439"/>
      <c r="AI270" s="439"/>
      <c r="AJ270" s="439"/>
      <c r="AK270" s="439"/>
      <c r="AL270" s="439"/>
      <c r="AM270" s="439"/>
      <c r="AN270" s="439"/>
    </row>
    <row r="271" spans="1:40" ht="15.75" customHeight="1">
      <c r="A271" s="452" t="s">
        <v>356</v>
      </c>
      <c r="B271" s="439" t="s">
        <v>78</v>
      </c>
      <c r="C271" s="522" t="s">
        <v>29</v>
      </c>
      <c r="D271" s="439"/>
      <c r="E271" s="439"/>
      <c r="F271" s="466"/>
      <c r="G271" s="462"/>
      <c r="H271" s="439"/>
      <c r="I271" s="466"/>
      <c r="J271" s="462"/>
      <c r="K271" s="439"/>
      <c r="L271" s="495"/>
      <c r="M271" s="462"/>
      <c r="N271" s="495"/>
      <c r="O271" s="462"/>
      <c r="P271" s="439"/>
      <c r="Q271" s="495"/>
      <c r="R271" s="462"/>
      <c r="S271" s="495"/>
      <c r="T271" s="436"/>
      <c r="U271" s="436"/>
      <c r="V271" s="439"/>
      <c r="W271" s="439"/>
      <c r="X271" s="439"/>
      <c r="Y271" s="439"/>
      <c r="Z271" s="439"/>
      <c r="AA271" s="439"/>
      <c r="AB271" s="439"/>
      <c r="AC271" s="439"/>
      <c r="AD271" s="439"/>
      <c r="AE271" s="439"/>
      <c r="AF271" s="439"/>
      <c r="AG271" s="439"/>
      <c r="AH271" s="439"/>
      <c r="AI271" s="439"/>
      <c r="AJ271" s="439"/>
      <c r="AK271" s="439"/>
      <c r="AL271" s="439"/>
      <c r="AM271" s="439"/>
      <c r="AN271" s="439"/>
    </row>
    <row r="272" spans="1:40" ht="15.75" customHeight="1">
      <c r="A272" s="452" t="s">
        <v>357</v>
      </c>
      <c r="B272" s="439" t="s">
        <v>78</v>
      </c>
      <c r="C272" s="541" t="s">
        <v>40</v>
      </c>
      <c r="D272" s="439"/>
      <c r="E272" s="439"/>
      <c r="F272" s="463">
        <f t="array" ref="F272">+INDEX('[3]Budget original'!$A$2:$AO$501,MATCH($A272,'[3]Budget original'!$A$2:$A$501,0),MATCH(F$2,'[3]Budget original'!$A$2:$AO$2,0))</f>
        <v>0</v>
      </c>
      <c r="G272" s="462"/>
      <c r="H272" s="439"/>
      <c r="I272" s="463"/>
      <c r="J272" s="462"/>
      <c r="K272" s="439"/>
      <c r="L272" s="466">
        <f>SUMIFS([3]BV_Data_An_Cour!$AM:$AM,[3]BV_Data_An_Cour!$AP:$AP,$B272,[3]BV_Data_An_Cour!$AQ:$AQ,$C272,[3]BV_Data_An_Cour!$AR:$AR,$L$2)</f>
        <v>17751.659999999989</v>
      </c>
      <c r="M272" s="462"/>
      <c r="N272" s="466">
        <f t="shared" ref="N272:N303" si="58">L272-F272</f>
        <v>17751.659999999989</v>
      </c>
      <c r="O272" s="462"/>
      <c r="P272" s="439"/>
      <c r="Q272" s="466">
        <f>SUMIFS([3]BV_Data_An_Prec!$AM:$AM,[3]BV_Data_An_Prec!$AP:$AP,$B272,[3]BV_Data_An_Prec!$AQ:$AQ,$C272,[3]BV_Data_An_Prec!$AR:$AR,$L$2)</f>
        <v>15276.050000000003</v>
      </c>
      <c r="R272" s="462"/>
      <c r="S272" s="466">
        <f t="shared" ref="S272:S303" si="59">L272-Q272</f>
        <v>2475.609999999986</v>
      </c>
      <c r="T272" s="436"/>
      <c r="U272" s="436"/>
      <c r="V272" s="439"/>
      <c r="W272" s="439"/>
      <c r="X272" s="439"/>
      <c r="Y272" s="439"/>
      <c r="Z272" s="439"/>
      <c r="AA272" s="439"/>
      <c r="AB272" s="439"/>
      <c r="AC272" s="439"/>
      <c r="AD272" s="439"/>
      <c r="AE272" s="439"/>
      <c r="AF272" s="439"/>
      <c r="AG272" s="439"/>
      <c r="AH272" s="439"/>
      <c r="AI272" s="439"/>
      <c r="AJ272" s="439"/>
      <c r="AK272" s="439"/>
      <c r="AL272" s="439"/>
      <c r="AM272" s="439"/>
      <c r="AN272" s="439"/>
    </row>
    <row r="273" spans="1:40" ht="15.75" customHeight="1">
      <c r="A273" s="452" t="s">
        <v>358</v>
      </c>
      <c r="B273" s="439" t="s">
        <v>78</v>
      </c>
      <c r="C273" s="542" t="s">
        <v>41</v>
      </c>
      <c r="D273" s="528"/>
      <c r="E273" s="439"/>
      <c r="F273" s="455">
        <f t="array" ref="F273">+INDEX('[3]Budget original'!$A$2:$AO$501,MATCH($A273,'[3]Budget original'!$A$2:$A$501,0),MATCH(F$2,'[3]Budget original'!$A$2:$AO$2,0))</f>
        <v>0</v>
      </c>
      <c r="G273" s="529"/>
      <c r="H273" s="439"/>
      <c r="I273" s="455"/>
      <c r="J273" s="462"/>
      <c r="K273" s="439"/>
      <c r="L273" s="466">
        <f>SUMIFS([3]BV_Data_An_Cour!$AM:$AM,[3]BV_Data_An_Cour!$AP:$AP,$B273,[3]BV_Data_An_Cour!$AQ:$AQ,$C273,[3]BV_Data_An_Cour!$AR:$AR,$L$2)</f>
        <v>7761.1600000000035</v>
      </c>
      <c r="M273" s="462"/>
      <c r="N273" s="466">
        <f t="shared" si="58"/>
        <v>7761.1600000000035</v>
      </c>
      <c r="O273" s="462"/>
      <c r="P273" s="439"/>
      <c r="Q273" s="466">
        <f>SUMIFS([3]BV_Data_An_Prec!$AM:$AM,[3]BV_Data_An_Prec!$AP:$AP,$B273,[3]BV_Data_An_Prec!$AQ:$AQ,$C273,[3]BV_Data_An_Prec!$AR:$AR,$L$2)</f>
        <v>27639.72</v>
      </c>
      <c r="R273" s="462"/>
      <c r="S273" s="466">
        <f t="shared" si="59"/>
        <v>-19878.559999999998</v>
      </c>
      <c r="T273" s="436"/>
      <c r="U273" s="436"/>
      <c r="V273" s="439"/>
      <c r="W273" s="439"/>
      <c r="X273" s="439"/>
      <c r="Y273" s="439"/>
      <c r="Z273" s="439"/>
      <c r="AA273" s="439"/>
      <c r="AB273" s="439"/>
      <c r="AC273" s="439"/>
      <c r="AD273" s="439"/>
      <c r="AE273" s="439"/>
      <c r="AF273" s="439"/>
      <c r="AG273" s="439"/>
      <c r="AH273" s="439"/>
      <c r="AI273" s="439"/>
      <c r="AJ273" s="439"/>
      <c r="AK273" s="439"/>
      <c r="AL273" s="439"/>
      <c r="AM273" s="439"/>
      <c r="AN273" s="439"/>
    </row>
    <row r="274" spans="1:40" ht="15.75" customHeight="1">
      <c r="A274" s="452" t="s">
        <v>359</v>
      </c>
      <c r="B274" s="439" t="s">
        <v>78</v>
      </c>
      <c r="C274" s="541" t="s">
        <v>42</v>
      </c>
      <c r="D274" s="543"/>
      <c r="E274" s="544"/>
      <c r="F274" s="463">
        <f t="array" ref="F274">+INDEX('[3]Budget original'!$A$2:$AO$501,MATCH($A274,'[3]Budget original'!$A$2:$A$501,0),MATCH(F$2,'[3]Budget original'!$A$2:$AO$2,0))</f>
        <v>0</v>
      </c>
      <c r="G274" s="545"/>
      <c r="H274" s="544"/>
      <c r="I274" s="463"/>
      <c r="J274" s="447"/>
      <c r="K274" s="544"/>
      <c r="L274" s="503">
        <f>SUMIFS([3]BV_Data_An_Cour!$AM:$AM,[3]BV_Data_An_Cour!$AP:$AP,$B274,[3]BV_Data_An_Cour!$AQ:$AQ,$C274,[3]BV_Data_An_Cour!$AR:$AR,$L$2)</f>
        <v>19247.569999999992</v>
      </c>
      <c r="M274" s="447"/>
      <c r="N274" s="503">
        <f t="shared" si="58"/>
        <v>19247.569999999992</v>
      </c>
      <c r="O274" s="447"/>
      <c r="P274" s="544"/>
      <c r="Q274" s="503">
        <f>SUMIFS([3]BV_Data_An_Prec!$AM:$AM,[3]BV_Data_An_Prec!$AP:$AP,$B274,[3]BV_Data_An_Prec!$AQ:$AQ,$C274,[3]BV_Data_An_Prec!$AR:$AR,$L$2)</f>
        <v>19414.080000000016</v>
      </c>
      <c r="R274" s="447"/>
      <c r="S274" s="503">
        <f t="shared" si="59"/>
        <v>-166.51000000002387</v>
      </c>
      <c r="T274" s="436"/>
      <c r="U274" s="436"/>
      <c r="V274" s="439"/>
      <c r="W274" s="439"/>
      <c r="X274" s="439"/>
      <c r="Y274" s="439"/>
      <c r="Z274" s="439"/>
      <c r="AA274" s="439"/>
      <c r="AB274" s="439"/>
      <c r="AC274" s="439"/>
      <c r="AD274" s="439"/>
      <c r="AE274" s="439"/>
      <c r="AF274" s="439"/>
      <c r="AG274" s="439"/>
      <c r="AH274" s="439"/>
      <c r="AI274" s="439"/>
      <c r="AJ274" s="439"/>
      <c r="AK274" s="439"/>
      <c r="AL274" s="439"/>
      <c r="AM274" s="439"/>
      <c r="AN274" s="439"/>
    </row>
    <row r="275" spans="1:40" ht="15.75" customHeight="1">
      <c r="A275" s="452" t="s">
        <v>360</v>
      </c>
      <c r="B275" s="439" t="s">
        <v>78</v>
      </c>
      <c r="C275" s="541" t="s">
        <v>43</v>
      </c>
      <c r="D275" s="528"/>
      <c r="E275" s="582" t="e">
        <f>F275/E246</f>
        <v>#DIV/0!</v>
      </c>
      <c r="F275" s="463">
        <f t="array" ref="F275">+INDEX('[3]Budget original'!$A$2:$AO$501,MATCH($A275,'[3]Budget original'!$A$2:$A$501,0),MATCH(F$2,'[3]Budget original'!$A$2:$AO$2,0))</f>
        <v>0</v>
      </c>
      <c r="G275" s="529"/>
      <c r="H275" s="439"/>
      <c r="I275" s="463"/>
      <c r="J275" s="462"/>
      <c r="K275" s="582"/>
      <c r="L275" s="466">
        <f>SUMIFS([3]BV_Data_An_Cour!$AM:$AM,[3]BV_Data_An_Cour!$AP:$AP,$B275,[3]BV_Data_An_Cour!$AQ:$AQ,$C275,[3]BV_Data_An_Cour!$AR:$AR,$L$2)</f>
        <v>9827.5999999999985</v>
      </c>
      <c r="M275" s="462"/>
      <c r="N275" s="466">
        <f t="shared" si="58"/>
        <v>9827.5999999999985</v>
      </c>
      <c r="O275" s="462"/>
      <c r="P275" s="582"/>
      <c r="Q275" s="466">
        <f>SUMIFS([3]BV_Data_An_Prec!$AM:$AM,[3]BV_Data_An_Prec!$AP:$AP,$B275,[3]BV_Data_An_Prec!$AQ:$AQ,$C275,[3]BV_Data_An_Prec!$AR:$AR,$L$2)</f>
        <v>0</v>
      </c>
      <c r="R275" s="462"/>
      <c r="S275" s="466">
        <f t="shared" si="59"/>
        <v>9827.5999999999985</v>
      </c>
      <c r="T275" s="436"/>
      <c r="U275" s="436"/>
      <c r="V275" s="439"/>
      <c r="W275" s="439"/>
      <c r="X275" s="439"/>
      <c r="Y275" s="439"/>
      <c r="Z275" s="439"/>
      <c r="AA275" s="439"/>
      <c r="AB275" s="439"/>
      <c r="AC275" s="439"/>
      <c r="AD275" s="439"/>
      <c r="AE275" s="439"/>
      <c r="AF275" s="439"/>
      <c r="AG275" s="439"/>
      <c r="AH275" s="439"/>
      <c r="AI275" s="439"/>
      <c r="AJ275" s="439"/>
      <c r="AK275" s="439"/>
      <c r="AL275" s="439"/>
      <c r="AM275" s="439"/>
      <c r="AN275" s="439"/>
    </row>
    <row r="276" spans="1:40" ht="20.25" hidden="1" customHeight="1">
      <c r="A276" s="452" t="s">
        <v>361</v>
      </c>
      <c r="B276" s="439" t="s">
        <v>78</v>
      </c>
      <c r="C276" s="462" t="s">
        <v>19</v>
      </c>
      <c r="D276" s="528"/>
      <c r="E276" s="439"/>
      <c r="F276" s="463">
        <f t="array" ref="F276">+INDEX('[3]Budget original'!$A$2:$AO$501,MATCH($A276,'[3]Budget original'!$A$2:$A$501,0),MATCH(F$2,'[3]Budget original'!$A$2:$AO$2,0))</f>
        <v>0</v>
      </c>
      <c r="G276" s="529"/>
      <c r="H276" s="439"/>
      <c r="I276" s="463"/>
      <c r="J276" s="462"/>
      <c r="K276" s="439"/>
      <c r="L276" s="466">
        <f>SUMIFS([3]BV_Data_An_Cour!$AM:$AM,[3]BV_Data_An_Cour!$AP:$AP,$B276,[3]BV_Data_An_Cour!$AQ:$AQ,$C276,[3]BV_Data_An_Cour!$AR:$AR,$L$2)</f>
        <v>0</v>
      </c>
      <c r="M276" s="462"/>
      <c r="N276" s="466">
        <f t="shared" si="58"/>
        <v>0</v>
      </c>
      <c r="O276" s="462"/>
      <c r="P276" s="439"/>
      <c r="Q276" s="466">
        <f>SUMIFS([3]BV_Data_An_Prec!$AM:$AM,[3]BV_Data_An_Prec!$AP:$AP,$B276,[3]BV_Data_An_Prec!$AQ:$AQ,$C276,[3]BV_Data_An_Prec!$AR:$AR,$L$2)</f>
        <v>0</v>
      </c>
      <c r="R276" s="462"/>
      <c r="S276" s="466">
        <f t="shared" si="59"/>
        <v>0</v>
      </c>
      <c r="T276" s="436"/>
      <c r="U276" s="436"/>
      <c r="V276" s="439"/>
      <c r="W276" s="439"/>
      <c r="X276" s="439"/>
      <c r="Y276" s="439"/>
      <c r="Z276" s="439"/>
      <c r="AA276" s="439"/>
      <c r="AB276" s="439"/>
      <c r="AC276" s="439"/>
      <c r="AD276" s="439"/>
      <c r="AE276" s="439"/>
      <c r="AF276" s="439"/>
      <c r="AG276" s="439"/>
      <c r="AH276" s="439"/>
      <c r="AI276" s="439"/>
      <c r="AJ276" s="439"/>
      <c r="AK276" s="439"/>
      <c r="AL276" s="439"/>
      <c r="AM276" s="439"/>
      <c r="AN276" s="439"/>
    </row>
    <row r="277" spans="1:40" ht="20.25" hidden="1" customHeight="1">
      <c r="A277" s="452" t="s">
        <v>361</v>
      </c>
      <c r="B277" s="439" t="s">
        <v>78</v>
      </c>
      <c r="C277" s="462" t="s">
        <v>19</v>
      </c>
      <c r="D277" s="528"/>
      <c r="E277" s="439"/>
      <c r="F277" s="463">
        <f t="array" ref="F277">+INDEX('[3]Budget original'!$A$2:$AO$501,MATCH($A277,'[3]Budget original'!$A$2:$A$501,0),MATCH(F$2,'[3]Budget original'!$A$2:$AO$2,0))</f>
        <v>0</v>
      </c>
      <c r="G277" s="529"/>
      <c r="H277" s="439"/>
      <c r="I277" s="463"/>
      <c r="J277" s="462"/>
      <c r="K277" s="439"/>
      <c r="L277" s="466">
        <f>SUMIFS([3]BV_Data_An_Cour!$AM:$AM,[3]BV_Data_An_Cour!$AP:$AP,$B277,[3]BV_Data_An_Cour!$AQ:$AQ,$C277,[3]BV_Data_An_Cour!$AR:$AR,$L$2)</f>
        <v>0</v>
      </c>
      <c r="M277" s="462"/>
      <c r="N277" s="466">
        <f t="shared" si="58"/>
        <v>0</v>
      </c>
      <c r="O277" s="462"/>
      <c r="P277" s="439"/>
      <c r="Q277" s="466">
        <f>SUMIFS([3]BV_Data_An_Prec!$AM:$AM,[3]BV_Data_An_Prec!$AP:$AP,$B277,[3]BV_Data_An_Prec!$AQ:$AQ,$C277,[3]BV_Data_An_Prec!$AR:$AR,$L$2)</f>
        <v>0</v>
      </c>
      <c r="R277" s="462"/>
      <c r="S277" s="466">
        <f t="shared" si="59"/>
        <v>0</v>
      </c>
      <c r="T277" s="436"/>
      <c r="U277" s="436"/>
      <c r="V277" s="439"/>
      <c r="W277" s="439"/>
      <c r="X277" s="439"/>
      <c r="Y277" s="439"/>
      <c r="Z277" s="439"/>
      <c r="AA277" s="439"/>
      <c r="AB277" s="439"/>
      <c r="AC277" s="439"/>
      <c r="AD277" s="439"/>
      <c r="AE277" s="439"/>
      <c r="AF277" s="439"/>
      <c r="AG277" s="439"/>
      <c r="AH277" s="439"/>
      <c r="AI277" s="439"/>
      <c r="AJ277" s="439"/>
      <c r="AK277" s="439"/>
      <c r="AL277" s="439"/>
      <c r="AM277" s="439"/>
      <c r="AN277" s="439"/>
    </row>
    <row r="278" spans="1:40" ht="20.25" hidden="1" customHeight="1">
      <c r="A278" s="452" t="s">
        <v>361</v>
      </c>
      <c r="B278" s="439" t="s">
        <v>78</v>
      </c>
      <c r="C278" s="462" t="s">
        <v>19</v>
      </c>
      <c r="D278" s="528"/>
      <c r="E278" s="439"/>
      <c r="F278" s="463">
        <f t="array" ref="F278">+INDEX('[3]Budget original'!$A$2:$AO$501,MATCH($A278,'[3]Budget original'!$A$2:$A$501,0),MATCH(F$2,'[3]Budget original'!$A$2:$AO$2,0))</f>
        <v>0</v>
      </c>
      <c r="G278" s="529"/>
      <c r="H278" s="439"/>
      <c r="I278" s="463"/>
      <c r="J278" s="462"/>
      <c r="K278" s="439"/>
      <c r="L278" s="466">
        <f>SUMIFS([3]BV_Data_An_Cour!$AM:$AM,[3]BV_Data_An_Cour!$AP:$AP,$B278,[3]BV_Data_An_Cour!$AQ:$AQ,$C278,[3]BV_Data_An_Cour!$AR:$AR,$L$2)</f>
        <v>0</v>
      </c>
      <c r="M278" s="462"/>
      <c r="N278" s="466">
        <f t="shared" si="58"/>
        <v>0</v>
      </c>
      <c r="O278" s="462"/>
      <c r="P278" s="439"/>
      <c r="Q278" s="466">
        <f>SUMIFS([3]BV_Data_An_Prec!$AM:$AM,[3]BV_Data_An_Prec!$AP:$AP,$B278,[3]BV_Data_An_Prec!$AQ:$AQ,$C278,[3]BV_Data_An_Prec!$AR:$AR,$L$2)</f>
        <v>0</v>
      </c>
      <c r="R278" s="462"/>
      <c r="S278" s="466">
        <f t="shared" si="59"/>
        <v>0</v>
      </c>
      <c r="T278" s="436"/>
      <c r="U278" s="436"/>
      <c r="V278" s="439"/>
      <c r="W278" s="439"/>
      <c r="X278" s="439"/>
      <c r="Y278" s="439"/>
      <c r="Z278" s="439"/>
      <c r="AA278" s="439"/>
      <c r="AB278" s="439"/>
      <c r="AC278" s="439"/>
      <c r="AD278" s="439"/>
      <c r="AE278" s="439"/>
      <c r="AF278" s="439"/>
      <c r="AG278" s="439"/>
      <c r="AH278" s="439"/>
      <c r="AI278" s="439"/>
      <c r="AJ278" s="439"/>
      <c r="AK278" s="439"/>
      <c r="AL278" s="439"/>
      <c r="AM278" s="439"/>
      <c r="AN278" s="439"/>
    </row>
    <row r="279" spans="1:40" ht="15.75" customHeight="1">
      <c r="A279" s="452" t="s">
        <v>362</v>
      </c>
      <c r="B279" s="439" t="s">
        <v>78</v>
      </c>
      <c r="C279" s="542" t="s">
        <v>44</v>
      </c>
      <c r="D279" s="528"/>
      <c r="E279" s="439"/>
      <c r="F279" s="463">
        <f t="array" ref="F279">+INDEX('[3]Budget original'!$A$2:$AO$501,MATCH($A279,'[3]Budget original'!$A$2:$A$501,0),MATCH(F$2,'[3]Budget original'!$A$2:$AO$2,0))</f>
        <v>0</v>
      </c>
      <c r="G279" s="529"/>
      <c r="H279" s="439"/>
      <c r="I279" s="463"/>
      <c r="J279" s="462"/>
      <c r="K279" s="439"/>
      <c r="L279" s="466">
        <f>SUMIFS([3]BV_Data_An_Cour!$AM:$AM,[3]BV_Data_An_Cour!$AP:$AP,$B279,[3]BV_Data_An_Cour!$AQ:$AQ,$C279,[3]BV_Data_An_Cour!$AR:$AR,$L$2)</f>
        <v>12528.740000000005</v>
      </c>
      <c r="M279" s="462"/>
      <c r="N279" s="466">
        <f t="shared" si="58"/>
        <v>12528.740000000005</v>
      </c>
      <c r="O279" s="462"/>
      <c r="P279" s="439"/>
      <c r="Q279" s="466">
        <f>SUMIFS([3]BV_Data_An_Prec!$AM:$AM,[3]BV_Data_An_Prec!$AP:$AP,$B279,[3]BV_Data_An_Prec!$AQ:$AQ,$C279,[3]BV_Data_An_Prec!$AR:$AR,$L$2)</f>
        <v>15591.599999999991</v>
      </c>
      <c r="R279" s="462"/>
      <c r="S279" s="466">
        <f t="shared" si="59"/>
        <v>-3062.859999999986</v>
      </c>
      <c r="T279" s="436"/>
      <c r="U279" s="436"/>
      <c r="V279" s="439"/>
      <c r="W279" s="439"/>
      <c r="X279" s="439"/>
      <c r="Y279" s="439"/>
      <c r="Z279" s="439"/>
      <c r="AA279" s="439"/>
      <c r="AB279" s="439"/>
      <c r="AC279" s="439"/>
      <c r="AD279" s="439"/>
      <c r="AE279" s="439"/>
      <c r="AF279" s="439"/>
      <c r="AG279" s="439"/>
      <c r="AH279" s="439"/>
      <c r="AI279" s="439"/>
      <c r="AJ279" s="439"/>
      <c r="AK279" s="439"/>
      <c r="AL279" s="439"/>
      <c r="AM279" s="439"/>
      <c r="AN279" s="439"/>
    </row>
    <row r="280" spans="1:40" ht="15.75" customHeight="1">
      <c r="A280" s="452" t="s">
        <v>363</v>
      </c>
      <c r="B280" s="439" t="s">
        <v>78</v>
      </c>
      <c r="C280" s="541" t="s">
        <v>45</v>
      </c>
      <c r="D280" s="543"/>
      <c r="E280" s="544"/>
      <c r="F280" s="500">
        <f t="array" ref="F280">+INDEX('[3]Budget original'!$A$2:$AO$501,MATCH($A280,'[3]Budget original'!$A$2:$A$501,0),MATCH(F$2,'[3]Budget original'!$A$2:$AO$2,0))</f>
        <v>0</v>
      </c>
      <c r="G280" s="545"/>
      <c r="H280" s="544"/>
      <c r="I280" s="500"/>
      <c r="J280" s="447"/>
      <c r="K280" s="544"/>
      <c r="L280" s="503">
        <f>SUMIFS([3]BV_Data_An_Cour!$AM:$AM,[3]BV_Data_An_Cour!$AP:$AP,$B280,[3]BV_Data_An_Cour!$AQ:$AQ,$C280,[3]BV_Data_An_Cour!$AR:$AR,$L$2)</f>
        <v>14699.760000000009</v>
      </c>
      <c r="M280" s="447"/>
      <c r="N280" s="503">
        <f t="shared" si="58"/>
        <v>14699.760000000009</v>
      </c>
      <c r="O280" s="447"/>
      <c r="P280" s="544"/>
      <c r="Q280" s="503">
        <f>SUMIFS([3]BV_Data_An_Prec!$AM:$AM,[3]BV_Data_An_Prec!$AP:$AP,$B280,[3]BV_Data_An_Prec!$AQ:$AQ,$C280,[3]BV_Data_An_Prec!$AR:$AR,$L$2)</f>
        <v>15459.040000000008</v>
      </c>
      <c r="R280" s="447"/>
      <c r="S280" s="503">
        <f t="shared" si="59"/>
        <v>-759.27999999999884</v>
      </c>
      <c r="T280" s="436"/>
      <c r="U280" s="436"/>
      <c r="V280" s="439"/>
      <c r="W280" s="439"/>
      <c r="X280" s="439"/>
      <c r="Y280" s="439"/>
      <c r="Z280" s="439"/>
      <c r="AA280" s="439"/>
      <c r="AB280" s="439"/>
      <c r="AC280" s="439"/>
      <c r="AD280" s="439"/>
      <c r="AE280" s="439"/>
      <c r="AF280" s="439"/>
      <c r="AG280" s="439"/>
      <c r="AH280" s="439"/>
      <c r="AI280" s="439"/>
      <c r="AJ280" s="439"/>
      <c r="AK280" s="439"/>
      <c r="AL280" s="439"/>
      <c r="AM280" s="439"/>
      <c r="AN280" s="439"/>
    </row>
    <row r="281" spans="1:40" ht="15.75" customHeight="1">
      <c r="A281" s="452" t="s">
        <v>364</v>
      </c>
      <c r="B281" s="439" t="s">
        <v>78</v>
      </c>
      <c r="C281" s="541" t="s">
        <v>46</v>
      </c>
      <c r="D281" s="528"/>
      <c r="E281" s="439"/>
      <c r="F281" s="463">
        <f t="array" ref="F281">+INDEX('[3]Budget original'!$A$2:$AO$501,MATCH($A281,'[3]Budget original'!$A$2:$A$501,0),MATCH(F$2,'[3]Budget original'!$A$2:$AO$2,0))</f>
        <v>0</v>
      </c>
      <c r="G281" s="529"/>
      <c r="H281" s="439"/>
      <c r="I281" s="463"/>
      <c r="J281" s="462"/>
      <c r="K281" s="439"/>
      <c r="L281" s="466">
        <f>SUMIFS([3]BV_Data_An_Cour!$AM:$AM,[3]BV_Data_An_Cour!$AP:$AP,$B281,[3]BV_Data_An_Cour!$AQ:$AQ,$C281,[3]BV_Data_An_Cour!$AR:$AR,$L$2)</f>
        <v>3961.25</v>
      </c>
      <c r="M281" s="462"/>
      <c r="N281" s="466">
        <f t="shared" si="58"/>
        <v>3961.25</v>
      </c>
      <c r="O281" s="462"/>
      <c r="P281" s="439"/>
      <c r="Q281" s="466">
        <f>SUMIFS([3]BV_Data_An_Prec!$AM:$AM,[3]BV_Data_An_Prec!$AP:$AP,$B281,[3]BV_Data_An_Prec!$AQ:$AQ,$C281,[3]BV_Data_An_Prec!$AR:$AR,$L$2)</f>
        <v>9372.8700000000099</v>
      </c>
      <c r="R281" s="462"/>
      <c r="S281" s="466">
        <f t="shared" si="59"/>
        <v>-5411.6200000000099</v>
      </c>
      <c r="T281" s="436"/>
      <c r="U281" s="436"/>
      <c r="V281" s="439"/>
      <c r="W281" s="439"/>
      <c r="X281" s="439"/>
      <c r="Y281" s="439"/>
      <c r="Z281" s="439"/>
      <c r="AA281" s="439"/>
      <c r="AB281" s="439"/>
      <c r="AC281" s="439"/>
      <c r="AD281" s="439"/>
      <c r="AE281" s="439"/>
      <c r="AF281" s="439"/>
      <c r="AG281" s="439"/>
      <c r="AH281" s="439"/>
      <c r="AI281" s="439"/>
      <c r="AJ281" s="439"/>
      <c r="AK281" s="439"/>
      <c r="AL281" s="439"/>
      <c r="AM281" s="439"/>
      <c r="AN281" s="439"/>
    </row>
    <row r="282" spans="1:40" ht="15.75" customHeight="1">
      <c r="A282" s="452" t="s">
        <v>365</v>
      </c>
      <c r="B282" s="439" t="s">
        <v>78</v>
      </c>
      <c r="C282" s="541" t="s">
        <v>47</v>
      </c>
      <c r="D282" s="528"/>
      <c r="E282" s="439"/>
      <c r="F282" s="463">
        <f t="array" ref="F282">+INDEX('[3]Budget original'!$A$2:$AO$501,MATCH($A282,'[3]Budget original'!$A$2:$A$501,0),MATCH(F$2,'[3]Budget original'!$A$2:$AO$2,0))</f>
        <v>0</v>
      </c>
      <c r="G282" s="529"/>
      <c r="H282" s="439"/>
      <c r="I282" s="463"/>
      <c r="J282" s="462"/>
      <c r="K282" s="439"/>
      <c r="L282" s="466">
        <f>SUMIFS([3]BV_Data_An_Cour!$AM:$AM,[3]BV_Data_An_Cour!$AP:$AP,$B282,[3]BV_Data_An_Cour!$AQ:$AQ,$C282,[3]BV_Data_An_Cour!$AR:$AR,$L$2)</f>
        <v>4716.0800000000017</v>
      </c>
      <c r="M282" s="462"/>
      <c r="N282" s="466">
        <f t="shared" si="58"/>
        <v>4716.0800000000017</v>
      </c>
      <c r="O282" s="462"/>
      <c r="P282" s="439"/>
      <c r="Q282" s="466">
        <f>SUMIFS([3]BV_Data_An_Prec!$AM:$AM,[3]BV_Data_An_Prec!$AP:$AP,$B282,[3]BV_Data_An_Prec!$AQ:$AQ,$C282,[3]BV_Data_An_Prec!$AR:$AR,$L$2)</f>
        <v>819.26999999999862</v>
      </c>
      <c r="R282" s="462"/>
      <c r="S282" s="466">
        <f t="shared" si="59"/>
        <v>3896.8100000000031</v>
      </c>
      <c r="T282" s="436"/>
      <c r="U282" s="436"/>
      <c r="V282" s="439"/>
      <c r="W282" s="439"/>
      <c r="X282" s="439"/>
      <c r="Y282" s="439"/>
      <c r="Z282" s="439"/>
      <c r="AA282" s="439"/>
      <c r="AB282" s="439"/>
      <c r="AC282" s="439"/>
      <c r="AD282" s="439"/>
      <c r="AE282" s="439"/>
      <c r="AF282" s="439"/>
      <c r="AG282" s="439"/>
      <c r="AH282" s="439"/>
      <c r="AI282" s="439"/>
      <c r="AJ282" s="439"/>
      <c r="AK282" s="439"/>
      <c r="AL282" s="439"/>
      <c r="AM282" s="439"/>
      <c r="AN282" s="439"/>
    </row>
    <row r="283" spans="1:40" ht="20.25" hidden="1" customHeight="1">
      <c r="A283" s="452" t="s">
        <v>361</v>
      </c>
      <c r="B283" s="439" t="s">
        <v>78</v>
      </c>
      <c r="C283" s="462" t="s">
        <v>19</v>
      </c>
      <c r="D283" s="531"/>
      <c r="E283" s="546"/>
      <c r="F283" s="463">
        <f t="array" ref="F283">+INDEX('[3]Budget original'!$A$2:$AO$501,MATCH($A283,'[3]Budget original'!$A$2:$A$501,0),MATCH(F$2,'[3]Budget original'!$A$2:$AO$2,0))</f>
        <v>0</v>
      </c>
      <c r="G283" s="532"/>
      <c r="H283" s="546"/>
      <c r="I283" s="463"/>
      <c r="J283" s="453"/>
      <c r="K283" s="546"/>
      <c r="L283" s="466">
        <f>SUMIFS([3]BV_Data_An_Cour!$AM:$AM,[3]BV_Data_An_Cour!$AP:$AP,$B283,[3]BV_Data_An_Cour!$AQ:$AQ,$C283,[3]BV_Data_An_Cour!$AR:$AR,$L$2)</f>
        <v>0</v>
      </c>
      <c r="M283" s="453"/>
      <c r="N283" s="467">
        <f t="shared" si="58"/>
        <v>0</v>
      </c>
      <c r="O283" s="453"/>
      <c r="P283" s="546"/>
      <c r="Q283" s="466">
        <f>SUMIFS([3]BV_Data_An_Prec!$AM:$AM,[3]BV_Data_An_Prec!$AP:$AP,$B283,[3]BV_Data_An_Prec!$AQ:$AQ,$C283,[3]BV_Data_An_Prec!$AR:$AR,$L$2)</f>
        <v>0</v>
      </c>
      <c r="R283" s="453"/>
      <c r="S283" s="458">
        <f t="shared" si="59"/>
        <v>0</v>
      </c>
      <c r="T283" s="436"/>
      <c r="U283" s="436"/>
      <c r="V283" s="439"/>
      <c r="W283" s="439"/>
      <c r="X283" s="439"/>
      <c r="Y283" s="439"/>
      <c r="Z283" s="439"/>
      <c r="AA283" s="439"/>
      <c r="AB283" s="439"/>
      <c r="AC283" s="439"/>
      <c r="AD283" s="439"/>
      <c r="AE283" s="439"/>
      <c r="AF283" s="439"/>
      <c r="AG283" s="439"/>
      <c r="AH283" s="439"/>
      <c r="AI283" s="439"/>
      <c r="AJ283" s="439"/>
      <c r="AK283" s="439"/>
      <c r="AL283" s="439"/>
      <c r="AM283" s="439"/>
      <c r="AN283" s="439"/>
    </row>
    <row r="284" spans="1:40" ht="18" customHeight="1">
      <c r="A284" s="452" t="s">
        <v>366</v>
      </c>
      <c r="B284" s="439" t="s">
        <v>78</v>
      </c>
      <c r="C284" s="534" t="s">
        <v>48</v>
      </c>
      <c r="D284" s="535" t="s">
        <v>92</v>
      </c>
      <c r="E284" s="536" t="e">
        <f>F284/F$268</f>
        <v>#DIV/0!</v>
      </c>
      <c r="F284" s="537">
        <f>+SUM(F272:F283)</f>
        <v>0</v>
      </c>
      <c r="G284" s="538"/>
      <c r="H284" s="536"/>
      <c r="I284" s="537"/>
      <c r="J284" s="538" t="s">
        <v>92</v>
      </c>
      <c r="K284" s="536">
        <f>L284/L$268</f>
        <v>0.84391614276567117</v>
      </c>
      <c r="L284" s="537">
        <f>+SUM(L272:L283)</f>
        <v>90493.819999999992</v>
      </c>
      <c r="M284" s="539"/>
      <c r="N284" s="537">
        <f t="shared" si="58"/>
        <v>90493.819999999992</v>
      </c>
      <c r="O284" s="538" t="s">
        <v>92</v>
      </c>
      <c r="P284" s="536">
        <f>Q284/Q$268</f>
        <v>0.67959161498283982</v>
      </c>
      <c r="Q284" s="537">
        <f>+SUM(Q272:Q283)</f>
        <v>103572.63000000003</v>
      </c>
      <c r="R284" s="540"/>
      <c r="S284" s="537">
        <f t="shared" si="59"/>
        <v>-13078.810000000041</v>
      </c>
      <c r="T284" s="436"/>
      <c r="U284" s="436"/>
      <c r="V284" s="439"/>
      <c r="W284" s="439"/>
      <c r="X284" s="439"/>
      <c r="Y284" s="439"/>
      <c r="Z284" s="439"/>
      <c r="AA284" s="439"/>
      <c r="AB284" s="439"/>
      <c r="AC284" s="439"/>
      <c r="AD284" s="439"/>
      <c r="AE284" s="439"/>
      <c r="AF284" s="439"/>
      <c r="AG284" s="439"/>
      <c r="AH284" s="439"/>
      <c r="AI284" s="439"/>
      <c r="AJ284" s="439"/>
      <c r="AK284" s="439"/>
      <c r="AL284" s="439"/>
      <c r="AM284" s="439"/>
      <c r="AN284" s="439"/>
    </row>
    <row r="285" spans="1:40" ht="15.75" customHeight="1">
      <c r="A285" s="452" t="s">
        <v>367</v>
      </c>
      <c r="B285" s="439" t="s">
        <v>78</v>
      </c>
      <c r="C285" s="462" t="s">
        <v>49</v>
      </c>
      <c r="D285" s="528"/>
      <c r="E285" s="439"/>
      <c r="F285" s="463">
        <f t="array" ref="F285">+INDEX('[3]Budget original'!$A$2:$AO$501,MATCH($A285,'[3]Budget original'!$A$2:$A$501,0),MATCH(F$2,'[3]Budget original'!$A$2:$AO$2,0))</f>
        <v>0</v>
      </c>
      <c r="G285" s="529"/>
      <c r="H285" s="439"/>
      <c r="I285" s="463"/>
      <c r="J285" s="462"/>
      <c r="K285" s="439"/>
      <c r="L285" s="466">
        <f>SUMIFS([3]BV_Data_An_Cour!$AM:$AM,[3]BV_Data_An_Cour!$AP:$AP,$B285,[3]BV_Data_An_Cour!$AQ:$AQ,$C285,[3]BV_Data_An_Cour!$AR:$AR,$L$2)</f>
        <v>2608.3199999999988</v>
      </c>
      <c r="M285" s="462"/>
      <c r="N285" s="466">
        <f t="shared" si="58"/>
        <v>2608.3199999999988</v>
      </c>
      <c r="O285" s="462"/>
      <c r="P285" s="439"/>
      <c r="Q285" s="466">
        <f>SUMIFS([3]BV_Data_An_Prec!$AM:$AM,[3]BV_Data_An_Prec!$AP:$AP,$B285,[3]BV_Data_An_Prec!$AQ:$AQ,$C285,[3]BV_Data_An_Prec!$AR:$AR,$L$2)</f>
        <v>2631.1900000000005</v>
      </c>
      <c r="R285" s="462"/>
      <c r="S285" s="466">
        <f t="shared" si="59"/>
        <v>-22.87000000000171</v>
      </c>
      <c r="T285" s="436"/>
      <c r="U285" s="436"/>
      <c r="V285" s="439"/>
      <c r="W285" s="439"/>
      <c r="X285" s="439"/>
      <c r="Y285" s="439"/>
      <c r="Z285" s="439"/>
      <c r="AA285" s="439"/>
      <c r="AB285" s="439"/>
      <c r="AC285" s="439"/>
      <c r="AD285" s="439"/>
      <c r="AE285" s="439"/>
      <c r="AF285" s="439"/>
      <c r="AG285" s="439"/>
      <c r="AH285" s="439"/>
      <c r="AI285" s="439"/>
      <c r="AJ285" s="439"/>
      <c r="AK285" s="439"/>
      <c r="AL285" s="439"/>
      <c r="AM285" s="439"/>
      <c r="AN285" s="439"/>
    </row>
    <row r="286" spans="1:40" ht="15.75" customHeight="1">
      <c r="A286" s="452" t="s">
        <v>368</v>
      </c>
      <c r="B286" s="439" t="s">
        <v>78</v>
      </c>
      <c r="C286" s="462" t="s">
        <v>50</v>
      </c>
      <c r="D286" s="528"/>
      <c r="E286" s="439"/>
      <c r="F286" s="463">
        <f t="array" ref="F286">+INDEX('[3]Budget original'!$A$2:$AO$501,MATCH($A286,'[3]Budget original'!$A$2:$A$501,0),MATCH(F$2,'[3]Budget original'!$A$2:$AO$2,0))</f>
        <v>0</v>
      </c>
      <c r="G286" s="529"/>
      <c r="H286" s="439"/>
      <c r="I286" s="463"/>
      <c r="J286" s="462"/>
      <c r="K286" s="439"/>
      <c r="L286" s="466">
        <f>SUMIFS([3]BV_Data_An_Cour!$AM:$AM,[3]BV_Data_An_Cour!$AP:$AP,$B286,[3]BV_Data_An_Cour!$AQ:$AQ,$C286,[3]BV_Data_An_Cour!$AR:$AR,$L$2)</f>
        <v>3201.9900000000016</v>
      </c>
      <c r="M286" s="462"/>
      <c r="N286" s="466">
        <f t="shared" si="58"/>
        <v>3201.9900000000016</v>
      </c>
      <c r="O286" s="462"/>
      <c r="P286" s="439"/>
      <c r="Q286" s="466">
        <f>SUMIFS([3]BV_Data_An_Prec!$AM:$AM,[3]BV_Data_An_Prec!$AP:$AP,$B286,[3]BV_Data_An_Prec!$AQ:$AQ,$C286,[3]BV_Data_An_Prec!$AR:$AR,$L$2)</f>
        <v>5034.1200000000008</v>
      </c>
      <c r="R286" s="462"/>
      <c r="S286" s="466">
        <f t="shared" si="59"/>
        <v>-1832.1299999999992</v>
      </c>
      <c r="T286" s="436"/>
      <c r="U286" s="436"/>
      <c r="V286" s="439"/>
      <c r="W286" s="439"/>
      <c r="X286" s="439"/>
      <c r="Y286" s="439"/>
      <c r="Z286" s="439"/>
      <c r="AA286" s="439"/>
      <c r="AB286" s="439"/>
      <c r="AC286" s="439"/>
      <c r="AD286" s="439"/>
      <c r="AE286" s="439"/>
      <c r="AF286" s="439"/>
      <c r="AG286" s="439"/>
      <c r="AH286" s="439"/>
      <c r="AI286" s="439"/>
      <c r="AJ286" s="439"/>
      <c r="AK286" s="439"/>
      <c r="AL286" s="439"/>
      <c r="AM286" s="439"/>
      <c r="AN286" s="439"/>
    </row>
    <row r="287" spans="1:40" ht="15.75" customHeight="1">
      <c r="A287" s="452" t="s">
        <v>369</v>
      </c>
      <c r="B287" s="439" t="s">
        <v>78</v>
      </c>
      <c r="C287" s="453" t="s">
        <v>51</v>
      </c>
      <c r="D287" s="531"/>
      <c r="E287" s="546"/>
      <c r="F287" s="455">
        <f t="array" ref="F287">+INDEX('[3]Budget original'!$A$2:$AO$501,MATCH($A287,'[3]Budget original'!$A$2:$A$501,0),MATCH(F$2,'[3]Budget original'!$A$2:$AO$2,0))</f>
        <v>0</v>
      </c>
      <c r="G287" s="532"/>
      <c r="H287" s="546"/>
      <c r="I287" s="455"/>
      <c r="J287" s="453"/>
      <c r="K287" s="546"/>
      <c r="L287" s="466">
        <f>SUMIFS([3]BV_Data_An_Cour!$AM:$AM,[3]BV_Data_An_Cour!$AP:$AP,$B287,[3]BV_Data_An_Cour!$AQ:$AQ,$C287,[3]BV_Data_An_Cour!$AR:$AR,$L$2)</f>
        <v>4838.75</v>
      </c>
      <c r="M287" s="453"/>
      <c r="N287" s="458">
        <f t="shared" si="58"/>
        <v>4838.75</v>
      </c>
      <c r="O287" s="453"/>
      <c r="P287" s="546"/>
      <c r="Q287" s="466">
        <f>SUMIFS([3]BV_Data_An_Prec!$AM:$AM,[3]BV_Data_An_Prec!$AP:$AP,$B287,[3]BV_Data_An_Prec!$AQ:$AQ,$C287,[3]BV_Data_An_Prec!$AR:$AR,$L$2)</f>
        <v>-5174.93</v>
      </c>
      <c r="R287" s="453"/>
      <c r="S287" s="458">
        <f t="shared" si="59"/>
        <v>10013.68</v>
      </c>
      <c r="T287" s="436"/>
      <c r="U287" s="436"/>
      <c r="V287" s="439"/>
      <c r="W287" s="439"/>
      <c r="X287" s="439"/>
      <c r="Y287" s="439"/>
      <c r="Z287" s="439"/>
      <c r="AA287" s="439"/>
      <c r="AB287" s="439"/>
      <c r="AC287" s="439"/>
      <c r="AD287" s="439"/>
      <c r="AE287" s="439"/>
      <c r="AF287" s="439"/>
      <c r="AG287" s="439"/>
      <c r="AH287" s="439"/>
      <c r="AI287" s="439"/>
      <c r="AJ287" s="439"/>
      <c r="AK287" s="439"/>
      <c r="AL287" s="439"/>
      <c r="AM287" s="439"/>
      <c r="AN287" s="439"/>
    </row>
    <row r="288" spans="1:40" ht="15.75" customHeight="1">
      <c r="A288" s="452" t="s">
        <v>370</v>
      </c>
      <c r="B288" s="439" t="s">
        <v>78</v>
      </c>
      <c r="C288" s="462" t="s">
        <v>52</v>
      </c>
      <c r="D288" s="528"/>
      <c r="E288" s="439"/>
      <c r="F288" s="463">
        <f t="array" ref="F288">+INDEX('[3]Budget original'!$A$2:$AO$501,MATCH($A288,'[3]Budget original'!$A$2:$A$501,0),MATCH(F$2,'[3]Budget original'!$A$2:$AO$2,0))</f>
        <v>0</v>
      </c>
      <c r="G288" s="529"/>
      <c r="H288" s="439"/>
      <c r="I288" s="463"/>
      <c r="J288" s="462"/>
      <c r="K288" s="439"/>
      <c r="L288" s="503">
        <f>SUMIFS([3]BV_Data_An_Cour!$AM:$AM,[3]BV_Data_An_Cour!$AP:$AP,$B288,[3]BV_Data_An_Cour!$AQ:$AQ,$C288,[3]BV_Data_An_Cour!$AR:$AR,$L$2)</f>
        <v>3527.16</v>
      </c>
      <c r="M288" s="462"/>
      <c r="N288" s="466">
        <f t="shared" si="58"/>
        <v>3527.16</v>
      </c>
      <c r="O288" s="462"/>
      <c r="P288" s="439"/>
      <c r="Q288" s="503">
        <f>SUMIFS([3]BV_Data_An_Prec!$AM:$AM,[3]BV_Data_An_Prec!$AP:$AP,$B288,[3]BV_Data_An_Prec!$AQ:$AQ,$C288,[3]BV_Data_An_Prec!$AR:$AR,$L$2)</f>
        <v>3078.8999999999978</v>
      </c>
      <c r="R288" s="462"/>
      <c r="S288" s="466">
        <f t="shared" si="59"/>
        <v>448.26000000000204</v>
      </c>
      <c r="T288" s="436"/>
      <c r="U288" s="436"/>
      <c r="V288" s="439"/>
      <c r="W288" s="439"/>
      <c r="X288" s="439"/>
      <c r="Y288" s="439"/>
      <c r="Z288" s="439"/>
      <c r="AA288" s="439"/>
      <c r="AB288" s="439"/>
      <c r="AC288" s="439"/>
      <c r="AD288" s="439"/>
      <c r="AE288" s="439"/>
      <c r="AF288" s="439"/>
      <c r="AG288" s="439"/>
      <c r="AH288" s="439"/>
      <c r="AI288" s="439"/>
      <c r="AJ288" s="439"/>
      <c r="AK288" s="439"/>
      <c r="AL288" s="439"/>
      <c r="AM288" s="439"/>
      <c r="AN288" s="439"/>
    </row>
    <row r="289" spans="1:40" ht="15.75" customHeight="1">
      <c r="A289" s="452" t="s">
        <v>371</v>
      </c>
      <c r="B289" s="439" t="s">
        <v>78</v>
      </c>
      <c r="C289" s="462" t="s">
        <v>53</v>
      </c>
      <c r="D289" s="528"/>
      <c r="E289" s="439"/>
      <c r="F289" s="463">
        <f t="array" ref="F289">+INDEX('[3]Budget original'!$A$2:$AO$501,MATCH($A289,'[3]Budget original'!$A$2:$A$501,0),MATCH(F$2,'[3]Budget original'!$A$2:$AO$2,0))</f>
        <v>0</v>
      </c>
      <c r="G289" s="529"/>
      <c r="H289" s="439"/>
      <c r="I289" s="463"/>
      <c r="J289" s="462"/>
      <c r="K289" s="439"/>
      <c r="L289" s="466">
        <f>SUMIFS([3]BV_Data_An_Cour!$AM:$AM,[3]BV_Data_An_Cour!$AP:$AP,$B289,[3]BV_Data_An_Cour!$AQ:$AQ,$C289,[3]BV_Data_An_Cour!$AR:$AR,$L$2)</f>
        <v>719.95000000000073</v>
      </c>
      <c r="M289" s="462"/>
      <c r="N289" s="466">
        <f t="shared" si="58"/>
        <v>719.95000000000073</v>
      </c>
      <c r="O289" s="462"/>
      <c r="P289" s="439"/>
      <c r="Q289" s="466">
        <f>SUMIFS([3]BV_Data_An_Prec!$AM:$AM,[3]BV_Data_An_Prec!$AP:$AP,$B289,[3]BV_Data_An_Prec!$AQ:$AQ,$C289,[3]BV_Data_An_Prec!$AR:$AR,$L$2)</f>
        <v>9780.5099999999984</v>
      </c>
      <c r="R289" s="462"/>
      <c r="S289" s="466">
        <f t="shared" si="59"/>
        <v>-9060.5599999999977</v>
      </c>
      <c r="T289" s="436"/>
      <c r="U289" s="436"/>
      <c r="V289" s="439"/>
      <c r="W289" s="439"/>
      <c r="X289" s="439"/>
      <c r="Y289" s="439"/>
      <c r="Z289" s="439"/>
      <c r="AA289" s="439"/>
      <c r="AB289" s="439"/>
      <c r="AC289" s="439"/>
      <c r="AD289" s="439"/>
      <c r="AE289" s="439"/>
      <c r="AF289" s="439"/>
      <c r="AG289" s="439"/>
      <c r="AH289" s="439"/>
      <c r="AI289" s="439"/>
      <c r="AJ289" s="439"/>
      <c r="AK289" s="439"/>
      <c r="AL289" s="439"/>
      <c r="AM289" s="439"/>
      <c r="AN289" s="439"/>
    </row>
    <row r="290" spans="1:40" ht="15.75" customHeight="1">
      <c r="A290" s="452" t="s">
        <v>372</v>
      </c>
      <c r="B290" s="439" t="s">
        <v>78</v>
      </c>
      <c r="C290" s="453" t="s">
        <v>54</v>
      </c>
      <c r="D290" s="531"/>
      <c r="E290" s="546"/>
      <c r="F290" s="455">
        <f t="array" ref="F290">+INDEX('[3]Budget original'!$A$2:$AO$501,MATCH($A290,'[3]Budget original'!$A$2:$A$501,0),MATCH(F$2,'[3]Budget original'!$A$2:$AO$2,0))</f>
        <v>0</v>
      </c>
      <c r="G290" s="532"/>
      <c r="H290" s="546"/>
      <c r="I290" s="455"/>
      <c r="J290" s="453"/>
      <c r="K290" s="546"/>
      <c r="L290" s="466">
        <f>SUMIFS([3]BV_Data_An_Cour!$AM:$AM,[3]BV_Data_An_Cour!$AP:$AP,$B290,[3]BV_Data_An_Cour!$AQ:$AQ,$C290,[3]BV_Data_An_Cour!$AR:$AR,$L$2)</f>
        <v>10969.869999999995</v>
      </c>
      <c r="M290" s="453"/>
      <c r="N290" s="458">
        <f t="shared" si="58"/>
        <v>10969.869999999995</v>
      </c>
      <c r="O290" s="453"/>
      <c r="P290" s="546"/>
      <c r="Q290" s="466">
        <f>SUMIFS([3]BV_Data_An_Prec!$AM:$AM,[3]BV_Data_An_Prec!$AP:$AP,$B290,[3]BV_Data_An_Prec!$AQ:$AQ,$C290,[3]BV_Data_An_Prec!$AR:$AR,$L$2)</f>
        <v>13965.350000000002</v>
      </c>
      <c r="R290" s="453"/>
      <c r="S290" s="458">
        <f t="shared" si="59"/>
        <v>-2995.4800000000068</v>
      </c>
      <c r="T290" s="436"/>
      <c r="U290" s="436"/>
      <c r="V290" s="439"/>
      <c r="W290" s="439"/>
      <c r="X290" s="439"/>
      <c r="Y290" s="439"/>
      <c r="Z290" s="439"/>
      <c r="AA290" s="439"/>
      <c r="AB290" s="439"/>
      <c r="AC290" s="439"/>
      <c r="AD290" s="439"/>
      <c r="AE290" s="439"/>
      <c r="AF290" s="439"/>
      <c r="AG290" s="439"/>
      <c r="AH290" s="439"/>
      <c r="AI290" s="439"/>
      <c r="AJ290" s="439"/>
      <c r="AK290" s="439"/>
      <c r="AL290" s="439"/>
      <c r="AM290" s="439"/>
      <c r="AN290" s="439"/>
    </row>
    <row r="291" spans="1:40" ht="15.75" customHeight="1">
      <c r="A291" s="452" t="s">
        <v>373</v>
      </c>
      <c r="B291" s="439" t="s">
        <v>78</v>
      </c>
      <c r="C291" s="462" t="s">
        <v>93</v>
      </c>
      <c r="D291" s="528"/>
      <c r="E291" s="439"/>
      <c r="F291" s="463"/>
      <c r="G291" s="529"/>
      <c r="H291" s="439"/>
      <c r="I291" s="463"/>
      <c r="J291" s="462"/>
      <c r="K291" s="439"/>
      <c r="L291" s="503">
        <f>SUMIFS([3]BV_Data_An_Cour!$AM:$AM,[3]BV_Data_An_Cour!$AP:$AP,$B291,[3]BV_Data_An_Cour!$AQ:$AQ,$C291,[3]BV_Data_An_Cour!$AR:$AR,$L$2)</f>
        <v>0</v>
      </c>
      <c r="M291" s="462"/>
      <c r="N291" s="466">
        <f t="shared" si="58"/>
        <v>0</v>
      </c>
      <c r="O291" s="462"/>
      <c r="P291" s="439"/>
      <c r="Q291" s="503">
        <f>SUMIFS([3]BV_Data_An_Prec!$AM:$AM,[3]BV_Data_An_Prec!$AP:$AP,$B291,[3]BV_Data_An_Prec!$AQ:$AQ,$C291,[3]BV_Data_An_Prec!$AR:$AR,$L$2)</f>
        <v>0</v>
      </c>
      <c r="R291" s="462"/>
      <c r="S291" s="466">
        <f t="shared" si="59"/>
        <v>0</v>
      </c>
      <c r="T291" s="436"/>
      <c r="U291" s="436"/>
      <c r="V291" s="439"/>
      <c r="W291" s="439"/>
      <c r="X291" s="439"/>
      <c r="Y291" s="439"/>
      <c r="Z291" s="439"/>
      <c r="AA291" s="439"/>
      <c r="AB291" s="439"/>
      <c r="AC291" s="439"/>
      <c r="AD291" s="439"/>
      <c r="AE291" s="439"/>
      <c r="AF291" s="439"/>
      <c r="AG291" s="439"/>
      <c r="AH291" s="439"/>
      <c r="AI291" s="439"/>
      <c r="AJ291" s="439"/>
      <c r="AK291" s="439"/>
      <c r="AL291" s="439"/>
      <c r="AM291" s="439"/>
      <c r="AN291" s="439"/>
    </row>
    <row r="292" spans="1:40" ht="15.75" customHeight="1">
      <c r="A292" s="452" t="s">
        <v>374</v>
      </c>
      <c r="B292" s="439" t="s">
        <v>78</v>
      </c>
      <c r="C292" s="462" t="s">
        <v>55</v>
      </c>
      <c r="D292" s="528"/>
      <c r="E292" s="439"/>
      <c r="F292" s="463">
        <f t="array" ref="F292">+INDEX('[3]Budget original'!$A$2:$AO$501,MATCH($A292,'[3]Budget original'!$A$2:$A$501,0),MATCH(F$2,'[3]Budget original'!$A$2:$AO$2,0))</f>
        <v>0</v>
      </c>
      <c r="G292" s="529"/>
      <c r="H292" s="439"/>
      <c r="I292" s="463"/>
      <c r="J292" s="462"/>
      <c r="K292" s="439"/>
      <c r="L292" s="466">
        <f>SUMIFS([3]BV_Data_An_Cour!$AM:$AM,[3]BV_Data_An_Cour!$AP:$AP,$B292,[3]BV_Data_An_Cour!$AQ:$AQ,$C292,[3]BV_Data_An_Cour!$AR:$AR,$L$2)</f>
        <v>5384.4700000000012</v>
      </c>
      <c r="M292" s="462"/>
      <c r="N292" s="466">
        <f t="shared" si="58"/>
        <v>5384.4700000000012</v>
      </c>
      <c r="O292" s="462"/>
      <c r="P292" s="439"/>
      <c r="Q292" s="466">
        <f>SUMIFS([3]BV_Data_An_Prec!$AM:$AM,[3]BV_Data_An_Prec!$AP:$AP,$B292,[3]BV_Data_An_Prec!$AQ:$AQ,$C292,[3]BV_Data_An_Prec!$AR:$AR,$L$2)</f>
        <v>6001.4699999999975</v>
      </c>
      <c r="R292" s="462"/>
      <c r="S292" s="466">
        <f t="shared" si="59"/>
        <v>-616.99999999999636</v>
      </c>
      <c r="T292" s="436"/>
      <c r="U292" s="436"/>
      <c r="V292" s="439"/>
      <c r="W292" s="439"/>
      <c r="X292" s="439"/>
      <c r="Y292" s="439"/>
      <c r="Z292" s="439"/>
      <c r="AA292" s="439"/>
      <c r="AB292" s="439"/>
      <c r="AC292" s="439"/>
      <c r="AD292" s="439"/>
      <c r="AE292" s="439"/>
      <c r="AF292" s="439"/>
      <c r="AG292" s="439"/>
      <c r="AH292" s="439"/>
      <c r="AI292" s="439"/>
      <c r="AJ292" s="439"/>
      <c r="AK292" s="439"/>
      <c r="AL292" s="439"/>
      <c r="AM292" s="439"/>
      <c r="AN292" s="439"/>
    </row>
    <row r="293" spans="1:40" ht="15.75" customHeight="1">
      <c r="A293" s="452" t="s">
        <v>375</v>
      </c>
      <c r="B293" s="439" t="s">
        <v>78</v>
      </c>
      <c r="C293" s="462" t="s">
        <v>56</v>
      </c>
      <c r="D293" s="528"/>
      <c r="E293" s="439"/>
      <c r="F293" s="463">
        <f t="array" ref="F293">+INDEX('[3]Budget original'!$A$2:$AO$501,MATCH($A293,'[3]Budget original'!$A$2:$A$501,0),MATCH(F$2,'[3]Budget original'!$A$2:$AO$2,0))</f>
        <v>0</v>
      </c>
      <c r="G293" s="529"/>
      <c r="H293" s="439"/>
      <c r="I293" s="463"/>
      <c r="J293" s="462"/>
      <c r="K293" s="439"/>
      <c r="L293" s="466">
        <f>SUMIFS([3]BV_Data_An_Cour!$AM:$AM,[3]BV_Data_An_Cour!$AP:$AP,$B293,[3]BV_Data_An_Cour!$AQ:$AQ,$C293,[3]BV_Data_An_Cour!$AR:$AR,$L$2)</f>
        <v>1732.3500000000001</v>
      </c>
      <c r="M293" s="462"/>
      <c r="N293" s="466">
        <f t="shared" si="58"/>
        <v>1732.3500000000001</v>
      </c>
      <c r="O293" s="462"/>
      <c r="P293" s="439"/>
      <c r="Q293" s="466">
        <f>SUMIFS([3]BV_Data_An_Prec!$AM:$AM,[3]BV_Data_An_Prec!$AP:$AP,$B293,[3]BV_Data_An_Prec!$AQ:$AQ,$C293,[3]BV_Data_An_Prec!$AR:$AR,$L$2)</f>
        <v>0</v>
      </c>
      <c r="R293" s="462"/>
      <c r="S293" s="466">
        <f t="shared" si="59"/>
        <v>1732.3500000000001</v>
      </c>
      <c r="T293" s="436"/>
      <c r="U293" s="436"/>
      <c r="V293" s="439"/>
      <c r="W293" s="439"/>
      <c r="X293" s="439"/>
      <c r="Y293" s="439"/>
      <c r="Z293" s="439"/>
      <c r="AA293" s="439"/>
      <c r="AB293" s="439"/>
      <c r="AC293" s="439"/>
      <c r="AD293" s="439"/>
      <c r="AE293" s="439"/>
      <c r="AF293" s="439"/>
      <c r="AG293" s="439"/>
      <c r="AH293" s="439"/>
      <c r="AI293" s="439"/>
      <c r="AJ293" s="439"/>
      <c r="AK293" s="439"/>
      <c r="AL293" s="439"/>
      <c r="AM293" s="439"/>
      <c r="AN293" s="439"/>
    </row>
    <row r="294" spans="1:40" ht="15.75" customHeight="1">
      <c r="A294" s="452" t="s">
        <v>376</v>
      </c>
      <c r="B294" s="439" t="s">
        <v>78</v>
      </c>
      <c r="C294" s="462" t="s">
        <v>57</v>
      </c>
      <c r="D294" s="528"/>
      <c r="E294" s="439"/>
      <c r="F294" s="463">
        <f t="array" ref="F294">+INDEX('[3]Budget original'!$A$2:$AO$501,MATCH($A294,'[3]Budget original'!$A$2:$A$501,0),MATCH(F$2,'[3]Budget original'!$A$2:$AO$2,0))</f>
        <v>0</v>
      </c>
      <c r="G294" s="529"/>
      <c r="H294" s="439"/>
      <c r="I294" s="463"/>
      <c r="J294" s="462"/>
      <c r="K294" s="439"/>
      <c r="L294" s="466">
        <f>SUMIFS([3]BV_Data_An_Cour!$AM:$AM,[3]BV_Data_An_Cour!$AP:$AP,$B294,[3]BV_Data_An_Cour!$AQ:$AQ,$C294,[3]BV_Data_An_Cour!$AR:$AR,$L$2)</f>
        <v>338.53999999999905</v>
      </c>
      <c r="M294" s="462"/>
      <c r="N294" s="466">
        <f t="shared" si="58"/>
        <v>338.53999999999905</v>
      </c>
      <c r="O294" s="462"/>
      <c r="P294" s="465"/>
      <c r="Q294" s="466">
        <f>SUMIFS([3]BV_Data_An_Prec!$AM:$AM,[3]BV_Data_An_Prec!$AP:$AP,$B294,[3]BV_Data_An_Prec!$AQ:$AQ,$C294,[3]BV_Data_An_Prec!$AR:$AR,$L$2)</f>
        <v>407.72999999999956</v>
      </c>
      <c r="R294" s="462"/>
      <c r="S294" s="466">
        <f t="shared" si="59"/>
        <v>-69.190000000000509</v>
      </c>
      <c r="T294" s="436"/>
      <c r="U294" s="436"/>
      <c r="V294" s="439"/>
      <c r="W294" s="439"/>
      <c r="X294" s="439"/>
      <c r="Y294" s="439"/>
      <c r="Z294" s="439"/>
      <c r="AA294" s="439"/>
      <c r="AB294" s="439"/>
      <c r="AC294" s="439"/>
      <c r="AD294" s="439"/>
      <c r="AE294" s="439"/>
      <c r="AF294" s="439"/>
      <c r="AG294" s="439"/>
      <c r="AH294" s="439"/>
      <c r="AI294" s="439"/>
      <c r="AJ294" s="439"/>
      <c r="AK294" s="439"/>
      <c r="AL294" s="439"/>
      <c r="AM294" s="439"/>
      <c r="AN294" s="439"/>
    </row>
    <row r="295" spans="1:40" ht="15.75" customHeight="1">
      <c r="A295" s="452" t="s">
        <v>377</v>
      </c>
      <c r="B295" s="439" t="s">
        <v>78</v>
      </c>
      <c r="C295" s="462" t="s">
        <v>58</v>
      </c>
      <c r="D295" s="528"/>
      <c r="E295" s="439"/>
      <c r="F295" s="463">
        <f t="array" ref="F295">+INDEX('[3]Budget original'!$A$2:$AO$501,MATCH($A295,'[3]Budget original'!$A$2:$A$501,0),MATCH(F$2,'[3]Budget original'!$A$2:$AO$2,0))</f>
        <v>0</v>
      </c>
      <c r="G295" s="529"/>
      <c r="H295" s="439"/>
      <c r="I295" s="463"/>
      <c r="J295" s="462"/>
      <c r="K295" s="439"/>
      <c r="L295" s="466">
        <f>SUMIFS([3]BV_Data_An_Cour!$AM:$AM,[3]BV_Data_An_Cour!$AP:$AP,$B295,[3]BV_Data_An_Cour!$AQ:$AQ,$C295,[3]BV_Data_An_Cour!$AR:$AR,$L$2)</f>
        <v>688.19000000000051</v>
      </c>
      <c r="M295" s="462"/>
      <c r="N295" s="466">
        <f t="shared" si="58"/>
        <v>688.19000000000051</v>
      </c>
      <c r="O295" s="462"/>
      <c r="P295" s="439"/>
      <c r="Q295" s="466">
        <f>SUMIFS([3]BV_Data_An_Prec!$AM:$AM,[3]BV_Data_An_Prec!$AP:$AP,$B295,[3]BV_Data_An_Prec!$AQ:$AQ,$C295,[3]BV_Data_An_Prec!$AR:$AR,$L$2)</f>
        <v>212.97000000000116</v>
      </c>
      <c r="R295" s="462"/>
      <c r="S295" s="466">
        <f t="shared" si="59"/>
        <v>475.21999999999935</v>
      </c>
      <c r="T295" s="436"/>
      <c r="U295" s="436"/>
      <c r="V295" s="439"/>
      <c r="W295" s="439"/>
      <c r="X295" s="439"/>
      <c r="Y295" s="439"/>
      <c r="Z295" s="439"/>
      <c r="AA295" s="439"/>
      <c r="AB295" s="439"/>
      <c r="AC295" s="439"/>
      <c r="AD295" s="439"/>
      <c r="AE295" s="439"/>
      <c r="AF295" s="439"/>
      <c r="AG295" s="439"/>
      <c r="AH295" s="439"/>
      <c r="AI295" s="439"/>
      <c r="AJ295" s="439"/>
      <c r="AK295" s="439"/>
      <c r="AL295" s="439"/>
      <c r="AM295" s="439"/>
      <c r="AN295" s="439"/>
    </row>
    <row r="296" spans="1:40" ht="15.75" customHeight="1">
      <c r="A296" s="452" t="s">
        <v>378</v>
      </c>
      <c r="B296" s="439" t="s">
        <v>78</v>
      </c>
      <c r="C296" s="462" t="s">
        <v>59</v>
      </c>
      <c r="D296" s="528"/>
      <c r="E296" s="439"/>
      <c r="F296" s="463">
        <f t="array" ref="F296">+INDEX('[3]Budget original'!$A$2:$AO$501,MATCH($A296,'[3]Budget original'!$A$2:$A$501,0),MATCH(F$2,'[3]Budget original'!$A$2:$AO$2,0))</f>
        <v>0</v>
      </c>
      <c r="G296" s="529"/>
      <c r="H296" s="439"/>
      <c r="I296" s="463"/>
      <c r="J296" s="462"/>
      <c r="K296" s="439"/>
      <c r="L296" s="466">
        <f>SUMIFS([3]BV_Data_An_Cour!$AM:$AM,[3]BV_Data_An_Cour!$AP:$AP,$B296,[3]BV_Data_An_Cour!$AQ:$AQ,$C296,[3]BV_Data_An_Cour!$AR:$AR,$L$2)</f>
        <v>501.89999999999964</v>
      </c>
      <c r="M296" s="462"/>
      <c r="N296" s="466">
        <f t="shared" si="58"/>
        <v>501.89999999999964</v>
      </c>
      <c r="O296" s="462"/>
      <c r="P296" s="439"/>
      <c r="Q296" s="466">
        <f>SUMIFS([3]BV_Data_An_Prec!$AM:$AM,[3]BV_Data_An_Prec!$AP:$AP,$B296,[3]BV_Data_An_Prec!$AQ:$AQ,$C296,[3]BV_Data_An_Prec!$AR:$AR,$L$2)</f>
        <v>1251.0200000000004</v>
      </c>
      <c r="R296" s="462"/>
      <c r="S296" s="466">
        <f t="shared" si="59"/>
        <v>-749.1200000000008</v>
      </c>
      <c r="T296" s="436"/>
      <c r="U296" s="436"/>
      <c r="V296" s="439"/>
      <c r="W296" s="439"/>
      <c r="X296" s="439"/>
      <c r="Y296" s="439"/>
      <c r="Z296" s="439"/>
      <c r="AA296" s="439"/>
      <c r="AB296" s="439"/>
      <c r="AC296" s="439"/>
      <c r="AD296" s="439"/>
      <c r="AE296" s="439"/>
      <c r="AF296" s="439"/>
      <c r="AG296" s="439"/>
      <c r="AH296" s="439"/>
      <c r="AI296" s="439"/>
      <c r="AJ296" s="439"/>
      <c r="AK296" s="439"/>
      <c r="AL296" s="439"/>
      <c r="AM296" s="439"/>
      <c r="AN296" s="439"/>
    </row>
    <row r="297" spans="1:40" ht="15.75" customHeight="1">
      <c r="A297" s="452" t="s">
        <v>379</v>
      </c>
      <c r="B297" s="439" t="s">
        <v>78</v>
      </c>
      <c r="C297" s="462" t="s">
        <v>60</v>
      </c>
      <c r="D297" s="528"/>
      <c r="E297" s="439"/>
      <c r="F297" s="463">
        <f t="array" ref="F297">+INDEX('[3]Budget original'!$A$2:$AO$501,MATCH($A297,'[3]Budget original'!$A$2:$A$501,0),MATCH(F$2,'[3]Budget original'!$A$2:$AO$2,0))</f>
        <v>0</v>
      </c>
      <c r="G297" s="529"/>
      <c r="H297" s="439"/>
      <c r="I297" s="463"/>
      <c r="J297" s="462"/>
      <c r="K297" s="439"/>
      <c r="L297" s="466">
        <f>SUMIFS([3]BV_Data_An_Cour!$AM:$AM,[3]BV_Data_An_Cour!$AP:$AP,$B297,[3]BV_Data_An_Cour!$AQ:$AQ,$C297,[3]BV_Data_An_Cour!$AR:$AR,$L$2)</f>
        <v>1358.6000000000004</v>
      </c>
      <c r="M297" s="462"/>
      <c r="N297" s="466">
        <f t="shared" si="58"/>
        <v>1358.6000000000004</v>
      </c>
      <c r="O297" s="462"/>
      <c r="P297" s="439"/>
      <c r="Q297" s="466">
        <f>SUMIFS([3]BV_Data_An_Prec!$AM:$AM,[3]BV_Data_An_Prec!$AP:$AP,$B297,[3]BV_Data_An_Prec!$AQ:$AQ,$C297,[3]BV_Data_An_Prec!$AR:$AR,$L$2)</f>
        <v>3300.29</v>
      </c>
      <c r="R297" s="462"/>
      <c r="S297" s="466">
        <f t="shared" si="59"/>
        <v>-1941.6899999999996</v>
      </c>
      <c r="T297" s="436"/>
      <c r="U297" s="436"/>
      <c r="V297" s="439"/>
      <c r="W297" s="439"/>
      <c r="X297" s="439"/>
      <c r="Y297" s="439"/>
      <c r="Z297" s="439"/>
      <c r="AA297" s="439"/>
      <c r="AB297" s="439"/>
      <c r="AC297" s="439"/>
      <c r="AD297" s="439"/>
      <c r="AE297" s="439"/>
      <c r="AF297" s="439"/>
      <c r="AG297" s="439"/>
      <c r="AH297" s="439"/>
      <c r="AI297" s="439"/>
      <c r="AJ297" s="439"/>
      <c r="AK297" s="439"/>
      <c r="AL297" s="439"/>
      <c r="AM297" s="439"/>
      <c r="AN297" s="439"/>
    </row>
    <row r="298" spans="1:40" ht="15.75" customHeight="1">
      <c r="A298" s="452" t="s">
        <v>380</v>
      </c>
      <c r="B298" s="439" t="s">
        <v>78</v>
      </c>
      <c r="C298" s="462" t="s">
        <v>61</v>
      </c>
      <c r="D298" s="528"/>
      <c r="E298" s="439"/>
      <c r="F298" s="463">
        <f t="array" ref="F298">+INDEX('[3]Budget original'!$A$2:$AO$501,MATCH($A298,'[3]Budget original'!$A$2:$A$501,0),MATCH(F$2,'[3]Budget original'!$A$2:$AO$2,0))</f>
        <v>0</v>
      </c>
      <c r="G298" s="529"/>
      <c r="H298" s="439"/>
      <c r="I298" s="463"/>
      <c r="J298" s="462"/>
      <c r="K298" s="439"/>
      <c r="L298" s="466">
        <f>SUMIFS([3]BV_Data_An_Cour!$AM:$AM,[3]BV_Data_An_Cour!$AP:$AP,$B298,[3]BV_Data_An_Cour!$AQ:$AQ,$C298,[3]BV_Data_An_Cour!$AR:$AR,$L$2)</f>
        <v>4364.17</v>
      </c>
      <c r="M298" s="462"/>
      <c r="N298" s="466">
        <f t="shared" si="58"/>
        <v>4364.17</v>
      </c>
      <c r="O298" s="462"/>
      <c r="P298" s="439"/>
      <c r="Q298" s="466">
        <f>SUMIFS([3]BV_Data_An_Prec!$AM:$AM,[3]BV_Data_An_Prec!$AP:$AP,$B298,[3]BV_Data_An_Prec!$AQ:$AQ,$C298,[3]BV_Data_An_Prec!$AR:$AR,$L$2)</f>
        <v>4903.760000000002</v>
      </c>
      <c r="R298" s="462"/>
      <c r="S298" s="466">
        <f t="shared" si="59"/>
        <v>-539.59000000000196</v>
      </c>
      <c r="T298" s="436"/>
      <c r="U298" s="436"/>
      <c r="X298" s="439"/>
      <c r="Y298" s="439"/>
      <c r="Z298" s="439"/>
      <c r="AA298" s="439"/>
      <c r="AB298" s="439"/>
      <c r="AC298" s="439"/>
      <c r="AD298" s="439"/>
      <c r="AE298" s="439"/>
      <c r="AF298" s="439"/>
      <c r="AG298" s="439"/>
      <c r="AH298" s="439"/>
      <c r="AI298" s="439"/>
      <c r="AJ298" s="439"/>
      <c r="AK298" s="439"/>
      <c r="AL298" s="439"/>
      <c r="AM298" s="439"/>
      <c r="AN298" s="439"/>
    </row>
    <row r="299" spans="1:40" ht="15.75" customHeight="1">
      <c r="A299" s="452" t="s">
        <v>381</v>
      </c>
      <c r="B299" s="439" t="s">
        <v>78</v>
      </c>
      <c r="C299" s="462" t="s">
        <v>62</v>
      </c>
      <c r="D299" s="528"/>
      <c r="E299" s="439"/>
      <c r="F299" s="463">
        <f t="array" ref="F299">+INDEX('[3]Budget original'!$A$2:$AO$501,MATCH($A299,'[3]Budget original'!$A$2:$A$501,0),MATCH(F$2,'[3]Budget original'!$A$2:$AO$2,0))</f>
        <v>0</v>
      </c>
      <c r="G299" s="529"/>
      <c r="H299" s="439"/>
      <c r="I299" s="463"/>
      <c r="J299" s="462"/>
      <c r="K299" s="439"/>
      <c r="L299" s="466">
        <f>SUMIFS([3]BV_Data_An_Cour!$AM:$AM,[3]BV_Data_An_Cour!$AP:$AP,$B299,[3]BV_Data_An_Cour!$AQ:$AQ,$C299,[3]BV_Data_An_Cour!$AR:$AR,$L$2)</f>
        <v>2389.3199999999997</v>
      </c>
      <c r="M299" s="462"/>
      <c r="N299" s="466">
        <f t="shared" si="58"/>
        <v>2389.3199999999997</v>
      </c>
      <c r="O299" s="462"/>
      <c r="P299" s="439"/>
      <c r="Q299" s="466">
        <f>SUMIFS([3]BV_Data_An_Prec!$AM:$AM,[3]BV_Data_An_Prec!$AP:$AP,$B299,[3]BV_Data_An_Prec!$AQ:$AQ,$C299,[3]BV_Data_An_Prec!$AR:$AR,$L$2)</f>
        <v>392.92999999999984</v>
      </c>
      <c r="R299" s="462"/>
      <c r="S299" s="466">
        <f t="shared" si="59"/>
        <v>1996.3899999999999</v>
      </c>
      <c r="T299" s="436"/>
      <c r="U299" s="436"/>
      <c r="X299" s="439"/>
      <c r="Y299" s="439"/>
      <c r="Z299" s="439"/>
      <c r="AA299" s="439"/>
      <c r="AB299" s="439"/>
      <c r="AC299" s="439"/>
      <c r="AD299" s="439"/>
      <c r="AE299" s="439"/>
      <c r="AF299" s="439"/>
      <c r="AG299" s="439"/>
      <c r="AH299" s="439"/>
      <c r="AI299" s="439"/>
      <c r="AJ299" s="439"/>
      <c r="AK299" s="439"/>
      <c r="AL299" s="439"/>
      <c r="AM299" s="439"/>
      <c r="AN299" s="439"/>
    </row>
    <row r="300" spans="1:40" ht="20.25" hidden="1" customHeight="1">
      <c r="A300" s="452" t="s">
        <v>361</v>
      </c>
      <c r="B300" s="439" t="s">
        <v>78</v>
      </c>
      <c r="C300" s="462" t="s">
        <v>19</v>
      </c>
      <c r="D300" s="528"/>
      <c r="E300" s="439"/>
      <c r="F300" s="463">
        <f t="array" ref="F300">+INDEX('[3]Budget original'!$A$2:$AO$501,MATCH($A300,'[3]Budget original'!$A$2:$A$501,0),MATCH(F$2,'[3]Budget original'!$A$2:$AO$2,0))</f>
        <v>0</v>
      </c>
      <c r="G300" s="529"/>
      <c r="H300" s="439"/>
      <c r="I300" s="463"/>
      <c r="J300" s="462"/>
      <c r="K300" s="439"/>
      <c r="L300" s="466">
        <f>SUMIFS([3]BV_Data_An_Cour!$AM:$AM,[3]BV_Data_An_Cour!$AP:$AP,$B300,[3]BV_Data_An_Cour!$AQ:$AQ,$C300,[3]BV_Data_An_Cour!$AR:$AR,$L$2)</f>
        <v>0</v>
      </c>
      <c r="M300" s="462"/>
      <c r="N300" s="466">
        <f t="shared" si="58"/>
        <v>0</v>
      </c>
      <c r="O300" s="462"/>
      <c r="P300" s="439"/>
      <c r="Q300" s="466">
        <f>SUMIFS([3]BV_Data_An_Prec!$AM:$AM,[3]BV_Data_An_Prec!$AP:$AP,$B300,[3]BV_Data_An_Prec!$AQ:$AQ,$C300,[3]BV_Data_An_Prec!$AR:$AR,$L$2)</f>
        <v>0</v>
      </c>
      <c r="R300" s="462"/>
      <c r="S300" s="466">
        <f t="shared" si="59"/>
        <v>0</v>
      </c>
      <c r="T300" s="436"/>
      <c r="U300" s="436"/>
      <c r="V300" s="439"/>
      <c r="W300" s="439"/>
      <c r="X300" s="439"/>
      <c r="Y300" s="439"/>
      <c r="Z300" s="439"/>
      <c r="AA300" s="439"/>
      <c r="AB300" s="439"/>
      <c r="AC300" s="439"/>
      <c r="AD300" s="439"/>
      <c r="AE300" s="439"/>
      <c r="AF300" s="439"/>
      <c r="AG300" s="439"/>
      <c r="AH300" s="439"/>
      <c r="AI300" s="439"/>
      <c r="AJ300" s="439"/>
      <c r="AK300" s="439"/>
      <c r="AL300" s="439"/>
      <c r="AM300" s="439"/>
      <c r="AN300" s="439"/>
    </row>
    <row r="301" spans="1:40" ht="20.25" hidden="1" customHeight="1">
      <c r="A301" s="452" t="s">
        <v>361</v>
      </c>
      <c r="B301" s="439" t="s">
        <v>78</v>
      </c>
      <c r="C301" s="462" t="s">
        <v>19</v>
      </c>
      <c r="D301" s="528"/>
      <c r="E301" s="439"/>
      <c r="F301" s="463">
        <f t="array" ref="F301">+INDEX('[3]Budget original'!$A$2:$AO$501,MATCH($A301,'[3]Budget original'!$A$2:$A$501,0),MATCH(F$2,'[3]Budget original'!$A$2:$AO$2,0))</f>
        <v>0</v>
      </c>
      <c r="G301" s="529"/>
      <c r="H301" s="439"/>
      <c r="I301" s="463"/>
      <c r="J301" s="462"/>
      <c r="K301" s="439"/>
      <c r="L301" s="466">
        <f>SUMIFS([3]BV_Data_An_Cour!$AM:$AM,[3]BV_Data_An_Cour!$AP:$AP,$B301,[3]BV_Data_An_Cour!$AQ:$AQ,$C301,[3]BV_Data_An_Cour!$AR:$AR,$L$2)</f>
        <v>0</v>
      </c>
      <c r="M301" s="462"/>
      <c r="N301" s="466">
        <f t="shared" si="58"/>
        <v>0</v>
      </c>
      <c r="O301" s="462"/>
      <c r="P301" s="439"/>
      <c r="Q301" s="466">
        <f>SUMIFS([3]BV_Data_An_Prec!$AM:$AM,[3]BV_Data_An_Prec!$AP:$AP,$B301,[3]BV_Data_An_Prec!$AQ:$AQ,$C301,[3]BV_Data_An_Prec!$AR:$AR,$L$2)</f>
        <v>0</v>
      </c>
      <c r="R301" s="462"/>
      <c r="S301" s="466">
        <f t="shared" si="59"/>
        <v>0</v>
      </c>
      <c r="T301" s="436"/>
      <c r="U301" s="436"/>
      <c r="V301" s="439"/>
      <c r="W301" s="439"/>
      <c r="X301" s="439"/>
      <c r="Y301" s="439"/>
      <c r="Z301" s="439"/>
      <c r="AA301" s="439"/>
      <c r="AB301" s="439"/>
      <c r="AC301" s="439"/>
      <c r="AD301" s="439"/>
      <c r="AE301" s="439"/>
      <c r="AF301" s="439"/>
      <c r="AG301" s="439"/>
      <c r="AH301" s="439"/>
      <c r="AI301" s="439"/>
      <c r="AJ301" s="439"/>
      <c r="AK301" s="439"/>
      <c r="AL301" s="439"/>
      <c r="AM301" s="439"/>
      <c r="AN301" s="439"/>
    </row>
    <row r="302" spans="1:40" ht="20.25" hidden="1" customHeight="1">
      <c r="A302" s="452" t="s">
        <v>361</v>
      </c>
      <c r="B302" s="439" t="s">
        <v>78</v>
      </c>
      <c r="C302" s="462" t="s">
        <v>19</v>
      </c>
      <c r="D302" s="528"/>
      <c r="E302" s="439"/>
      <c r="F302" s="463">
        <f t="array" ref="F302">+INDEX('[3]Budget original'!$A$2:$AO$501,MATCH($A302,'[3]Budget original'!$A$2:$A$501,0),MATCH(F$2,'[3]Budget original'!$A$2:$AO$2,0))</f>
        <v>0</v>
      </c>
      <c r="G302" s="529"/>
      <c r="H302" s="439"/>
      <c r="I302" s="463"/>
      <c r="J302" s="462"/>
      <c r="K302" s="439"/>
      <c r="L302" s="466">
        <f>SUMIFS([3]BV_Data_An_Cour!$AM:$AM,[3]BV_Data_An_Cour!$AP:$AP,$B302,[3]BV_Data_An_Cour!$AQ:$AQ,$C302,[3]BV_Data_An_Cour!$AR:$AR,$L$2)</f>
        <v>0</v>
      </c>
      <c r="M302" s="462"/>
      <c r="N302" s="466">
        <f t="shared" si="58"/>
        <v>0</v>
      </c>
      <c r="O302" s="462"/>
      <c r="P302" s="439"/>
      <c r="Q302" s="466">
        <f>SUMIFS([3]BV_Data_An_Prec!$AM:$AM,[3]BV_Data_An_Prec!$AP:$AP,$B302,[3]BV_Data_An_Prec!$AQ:$AQ,$C302,[3]BV_Data_An_Prec!$AR:$AR,$L$2)</f>
        <v>0</v>
      </c>
      <c r="R302" s="462"/>
      <c r="S302" s="466">
        <f t="shared" si="59"/>
        <v>0</v>
      </c>
      <c r="T302" s="436"/>
      <c r="U302" s="436"/>
      <c r="V302" s="439"/>
      <c r="W302" s="439"/>
      <c r="X302" s="439"/>
      <c r="Y302" s="439"/>
      <c r="Z302" s="439"/>
      <c r="AA302" s="439"/>
      <c r="AB302" s="439"/>
      <c r="AC302" s="439"/>
      <c r="AD302" s="439"/>
      <c r="AE302" s="439"/>
      <c r="AF302" s="439"/>
      <c r="AG302" s="439"/>
      <c r="AH302" s="439"/>
      <c r="AI302" s="439"/>
      <c r="AJ302" s="439"/>
      <c r="AK302" s="439"/>
      <c r="AL302" s="439"/>
      <c r="AM302" s="439"/>
      <c r="AN302" s="439"/>
    </row>
    <row r="303" spans="1:40" ht="18" customHeight="1">
      <c r="A303" s="452"/>
      <c r="B303" s="439"/>
      <c r="C303" s="534" t="s">
        <v>63</v>
      </c>
      <c r="D303" s="535" t="s">
        <v>92</v>
      </c>
      <c r="E303" s="536" t="e">
        <f>F303/F$268</f>
        <v>#DIV/0!</v>
      </c>
      <c r="F303" s="537">
        <f>+SUM(F285:F302)</f>
        <v>0</v>
      </c>
      <c r="G303" s="538"/>
      <c r="H303" s="536"/>
      <c r="I303" s="537"/>
      <c r="J303" s="538" t="s">
        <v>92</v>
      </c>
      <c r="K303" s="536">
        <f>L303/L$268</f>
        <v>0.39749374293696532</v>
      </c>
      <c r="L303" s="537">
        <f>+SUM(L285:L302)</f>
        <v>42623.58</v>
      </c>
      <c r="M303" s="539"/>
      <c r="N303" s="537">
        <f t="shared" si="58"/>
        <v>42623.58</v>
      </c>
      <c r="O303" s="538" t="s">
        <v>92</v>
      </c>
      <c r="P303" s="536">
        <f>Q303/Q$268</f>
        <v>0.30042022458433237</v>
      </c>
      <c r="Q303" s="537">
        <f>+SUM(Q285:Q302)</f>
        <v>45785.310000000005</v>
      </c>
      <c r="R303" s="540"/>
      <c r="S303" s="537">
        <f t="shared" si="59"/>
        <v>-3161.7300000000032</v>
      </c>
      <c r="T303" s="436"/>
      <c r="U303" s="436"/>
      <c r="V303" s="439"/>
      <c r="W303" s="439"/>
      <c r="X303" s="439"/>
      <c r="Y303" s="439"/>
      <c r="Z303" s="439"/>
      <c r="AA303" s="439"/>
      <c r="AB303" s="439"/>
      <c r="AC303" s="439"/>
      <c r="AD303" s="439"/>
      <c r="AE303" s="439"/>
      <c r="AF303" s="439"/>
      <c r="AG303" s="439"/>
      <c r="AH303" s="439"/>
      <c r="AI303" s="439"/>
      <c r="AJ303" s="439"/>
      <c r="AK303" s="439"/>
      <c r="AL303" s="439"/>
      <c r="AM303" s="439"/>
      <c r="AN303" s="439"/>
    </row>
    <row r="304" spans="1:40" ht="15.75" customHeight="1">
      <c r="B304" s="439"/>
      <c r="C304" s="453"/>
      <c r="D304" s="531"/>
      <c r="E304" s="546"/>
      <c r="F304" s="466"/>
      <c r="G304" s="532"/>
      <c r="H304" s="546"/>
      <c r="I304" s="466"/>
      <c r="J304" s="453"/>
      <c r="K304" s="546"/>
      <c r="L304" s="458"/>
      <c r="M304" s="453"/>
      <c r="N304" s="458"/>
      <c r="O304" s="453"/>
      <c r="P304" s="546"/>
      <c r="Q304" s="458"/>
      <c r="R304" s="453"/>
      <c r="S304" s="458"/>
      <c r="T304" s="436"/>
      <c r="U304" s="436"/>
      <c r="V304" s="439"/>
      <c r="W304" s="439"/>
      <c r="X304" s="439"/>
      <c r="Y304" s="439"/>
      <c r="Z304" s="439"/>
      <c r="AA304" s="439"/>
      <c r="AB304" s="439"/>
      <c r="AC304" s="439"/>
      <c r="AD304" s="439"/>
      <c r="AE304" s="439"/>
      <c r="AF304" s="439"/>
      <c r="AG304" s="439"/>
      <c r="AH304" s="439"/>
      <c r="AI304" s="439"/>
      <c r="AJ304" s="439"/>
      <c r="AK304" s="439"/>
      <c r="AL304" s="439"/>
      <c r="AM304" s="439"/>
      <c r="AN304" s="439"/>
    </row>
    <row r="305" spans="1:40" ht="18" customHeight="1">
      <c r="A305" s="452"/>
      <c r="B305" s="439"/>
      <c r="C305" s="534" t="s">
        <v>64</v>
      </c>
      <c r="D305" s="535" t="s">
        <v>38</v>
      </c>
      <c r="E305" s="536" t="e">
        <f>F305/F$268</f>
        <v>#DIV/0!</v>
      </c>
      <c r="F305" s="537">
        <f>F284+F303</f>
        <v>0</v>
      </c>
      <c r="G305" s="538"/>
      <c r="H305" s="536"/>
      <c r="I305" s="537"/>
      <c r="J305" s="538" t="s">
        <v>38</v>
      </c>
      <c r="K305" s="536">
        <f>L305/L$268</f>
        <v>1.2414098857026366</v>
      </c>
      <c r="L305" s="537">
        <f>L284+L303</f>
        <v>133117.4</v>
      </c>
      <c r="M305" s="539"/>
      <c r="N305" s="537">
        <f t="shared" ref="N305:N307" si="60">L305-F305</f>
        <v>133117.4</v>
      </c>
      <c r="O305" s="538" t="s">
        <v>38</v>
      </c>
      <c r="P305" s="536">
        <f>Q305/Q$268</f>
        <v>0.98001183956717208</v>
      </c>
      <c r="Q305" s="537">
        <f>Q284+Q303</f>
        <v>149357.94000000003</v>
      </c>
      <c r="R305" s="540"/>
      <c r="S305" s="537">
        <f>L305-Q305</f>
        <v>-16240.540000000037</v>
      </c>
      <c r="T305" s="436"/>
      <c r="U305" s="436"/>
      <c r="V305" s="439"/>
      <c r="W305" s="439"/>
      <c r="X305" s="439"/>
      <c r="Y305" s="439"/>
      <c r="Z305" s="439"/>
      <c r="AA305" s="439"/>
      <c r="AB305" s="439"/>
      <c r="AC305" s="439"/>
      <c r="AD305" s="439"/>
      <c r="AE305" s="439"/>
      <c r="AF305" s="439"/>
      <c r="AG305" s="439"/>
      <c r="AH305" s="439"/>
      <c r="AI305" s="439"/>
      <c r="AJ305" s="439"/>
      <c r="AK305" s="439"/>
      <c r="AL305" s="439"/>
      <c r="AM305" s="439"/>
      <c r="AN305" s="439"/>
    </row>
    <row r="306" spans="1:40" ht="15.75" customHeight="1">
      <c r="B306" s="439"/>
      <c r="C306" s="462"/>
      <c r="D306" s="528"/>
      <c r="E306" s="439"/>
      <c r="F306" s="466"/>
      <c r="G306" s="529"/>
      <c r="H306" s="439"/>
      <c r="I306" s="466"/>
      <c r="J306" s="462"/>
      <c r="K306" s="439"/>
      <c r="L306" s="466"/>
      <c r="M306" s="462"/>
      <c r="N306" s="466">
        <f t="shared" si="60"/>
        <v>0</v>
      </c>
      <c r="O306" s="462"/>
      <c r="P306" s="439"/>
      <c r="Q306" s="466"/>
      <c r="R306" s="462"/>
      <c r="S306" s="466"/>
      <c r="T306" s="436"/>
      <c r="U306" s="436"/>
      <c r="V306" s="439"/>
      <c r="W306" s="439"/>
      <c r="X306" s="439"/>
      <c r="Y306" s="439"/>
      <c r="Z306" s="439"/>
      <c r="AA306" s="439"/>
      <c r="AB306" s="439"/>
      <c r="AC306" s="439"/>
      <c r="AD306" s="439"/>
      <c r="AE306" s="439"/>
      <c r="AF306" s="439"/>
      <c r="AG306" s="439"/>
      <c r="AH306" s="439"/>
      <c r="AI306" s="439"/>
      <c r="AJ306" s="439"/>
      <c r="AK306" s="439"/>
      <c r="AL306" s="439"/>
      <c r="AM306" s="439"/>
      <c r="AN306" s="439"/>
    </row>
    <row r="307" spans="1:40" ht="18" customHeight="1" thickBot="1">
      <c r="A307" s="452"/>
      <c r="B307" s="439"/>
      <c r="C307" s="561" t="s">
        <v>69</v>
      </c>
      <c r="D307" s="562"/>
      <c r="E307" s="563"/>
      <c r="F307" s="564">
        <f>F268-F305</f>
        <v>0</v>
      </c>
      <c r="G307" s="565"/>
      <c r="H307" s="563"/>
      <c r="I307" s="564"/>
      <c r="J307" s="565"/>
      <c r="K307" s="563"/>
      <c r="L307" s="564">
        <f>L268-L305</f>
        <v>-25886.579999999987</v>
      </c>
      <c r="M307" s="566"/>
      <c r="N307" s="564">
        <f t="shared" si="60"/>
        <v>-25886.579999999987</v>
      </c>
      <c r="O307" s="565"/>
      <c r="P307" s="563"/>
      <c r="Q307" s="564">
        <f>Q268-Q305</f>
        <v>3046.2799999999988</v>
      </c>
      <c r="R307" s="567"/>
      <c r="S307" s="564">
        <f>L307-Q307</f>
        <v>-28932.859999999986</v>
      </c>
      <c r="T307" s="436"/>
      <c r="U307" s="436"/>
      <c r="V307" s="439"/>
      <c r="W307" s="439"/>
      <c r="X307" s="439"/>
      <c r="Y307" s="439"/>
      <c r="Z307" s="439"/>
      <c r="AA307" s="439"/>
      <c r="AB307" s="439"/>
      <c r="AC307" s="439"/>
      <c r="AD307" s="439"/>
      <c r="AE307" s="439"/>
      <c r="AF307" s="439"/>
      <c r="AG307" s="439"/>
      <c r="AH307" s="439"/>
      <c r="AI307" s="439"/>
      <c r="AJ307" s="439"/>
      <c r="AK307" s="439"/>
      <c r="AL307" s="439"/>
      <c r="AM307" s="439"/>
      <c r="AN307" s="439"/>
    </row>
    <row r="308" spans="1:40" ht="15.75" customHeight="1" thickTop="1"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65"/>
      <c r="M308" s="465"/>
      <c r="N308" s="439"/>
      <c r="O308" s="465"/>
      <c r="P308" s="465"/>
      <c r="Q308" s="465"/>
      <c r="R308" s="439"/>
      <c r="S308" s="439"/>
      <c r="T308" s="436"/>
      <c r="U308" s="436"/>
      <c r="V308" s="439"/>
      <c r="W308" s="439"/>
      <c r="X308" s="439"/>
      <c r="Y308" s="439"/>
      <c r="Z308" s="439"/>
      <c r="AA308" s="439"/>
      <c r="AB308" s="439"/>
      <c r="AC308" s="439"/>
      <c r="AD308" s="439"/>
      <c r="AE308" s="439"/>
      <c r="AF308" s="439"/>
      <c r="AG308" s="439"/>
      <c r="AH308" s="439"/>
      <c r="AI308" s="439"/>
      <c r="AJ308" s="439"/>
      <c r="AK308" s="439"/>
      <c r="AL308" s="439"/>
      <c r="AM308" s="439"/>
      <c r="AN308" s="439"/>
    </row>
    <row r="309" spans="1:40" ht="15.75" customHeight="1">
      <c r="B309" s="439"/>
      <c r="C309" s="436"/>
      <c r="D309" s="436"/>
      <c r="E309" s="436"/>
      <c r="F309" s="436"/>
      <c r="G309" s="436"/>
      <c r="H309" s="436"/>
      <c r="I309" s="436"/>
      <c r="J309" s="436"/>
      <c r="K309" s="436"/>
      <c r="L309" s="521"/>
      <c r="M309" s="521"/>
      <c r="N309" s="436"/>
      <c r="O309" s="521"/>
      <c r="P309" s="436"/>
      <c r="Q309" s="521"/>
      <c r="R309" s="436"/>
      <c r="S309" s="436"/>
      <c r="T309" s="436"/>
      <c r="U309" s="436"/>
      <c r="V309" s="439"/>
      <c r="W309" s="439"/>
      <c r="X309" s="439"/>
      <c r="Y309" s="439"/>
      <c r="Z309" s="439"/>
      <c r="AA309" s="439"/>
      <c r="AB309" s="439"/>
      <c r="AC309" s="439"/>
      <c r="AD309" s="439"/>
      <c r="AE309" s="439"/>
      <c r="AF309" s="439"/>
      <c r="AG309" s="439"/>
      <c r="AH309" s="439"/>
      <c r="AI309" s="439"/>
      <c r="AJ309" s="439"/>
      <c r="AK309" s="439"/>
      <c r="AL309" s="439"/>
      <c r="AM309" s="439"/>
      <c r="AN309" s="439"/>
    </row>
    <row r="310" spans="1:40" ht="33" customHeight="1">
      <c r="B310" s="439"/>
      <c r="C310" s="425" t="str">
        <f>C1</f>
        <v>Ste-Marie Auto</v>
      </c>
      <c r="D310" s="426"/>
      <c r="E310" s="427"/>
      <c r="F310" s="426"/>
      <c r="G310" s="426"/>
      <c r="H310" s="425"/>
      <c r="I310" s="426"/>
      <c r="J310" s="425"/>
      <c r="K310" s="428" t="s">
        <v>94</v>
      </c>
      <c r="L310" s="426"/>
      <c r="M310" s="426"/>
      <c r="N310" s="429"/>
      <c r="O310" s="425"/>
      <c r="P310" s="426"/>
      <c r="Q310" s="425"/>
      <c r="R310" s="426"/>
      <c r="S310" s="430" t="str">
        <f>$S$1</f>
        <v>Réalisé, Septembre 2026</v>
      </c>
      <c r="T310" s="431"/>
      <c r="U310" s="432"/>
      <c r="V310" s="436"/>
      <c r="W310" s="436"/>
      <c r="X310" s="436"/>
      <c r="Y310" s="436"/>
      <c r="Z310" s="436"/>
      <c r="AA310" s="436"/>
      <c r="AB310" s="436"/>
      <c r="AC310" s="436"/>
      <c r="AD310" s="436"/>
      <c r="AE310" s="436"/>
      <c r="AF310" s="436"/>
      <c r="AG310" s="436"/>
      <c r="AH310" s="436"/>
      <c r="AI310" s="436"/>
      <c r="AJ310" s="436"/>
      <c r="AK310" s="436"/>
      <c r="AL310" s="436"/>
      <c r="AM310" s="436"/>
      <c r="AN310" s="436"/>
    </row>
    <row r="311" spans="1:40" ht="24" customHeight="1" thickBot="1">
      <c r="B311" s="439"/>
      <c r="C311" s="434"/>
      <c r="D311" s="436"/>
      <c r="E311" s="436"/>
      <c r="F311" s="436"/>
      <c r="G311" s="436"/>
      <c r="H311" s="436"/>
      <c r="I311" s="436"/>
      <c r="J311" s="436"/>
      <c r="K311" s="436"/>
      <c r="L311" s="436"/>
      <c r="M311" s="436"/>
      <c r="N311" s="436"/>
      <c r="O311" s="436"/>
      <c r="P311" s="436"/>
      <c r="Q311" s="436"/>
      <c r="R311" s="436"/>
      <c r="S311" s="436"/>
      <c r="T311" s="436"/>
      <c r="U311" s="436"/>
      <c r="V311" s="424"/>
      <c r="W311" s="424"/>
      <c r="X311" s="424"/>
      <c r="Y311" s="424"/>
      <c r="Z311" s="424"/>
      <c r="AA311" s="424"/>
      <c r="AB311" s="424"/>
      <c r="AC311" s="424"/>
      <c r="AD311" s="424"/>
      <c r="AE311" s="424"/>
      <c r="AF311" s="424"/>
      <c r="AG311" s="424"/>
      <c r="AH311" s="424"/>
      <c r="AI311" s="424"/>
      <c r="AJ311" s="424"/>
      <c r="AK311" s="424"/>
      <c r="AL311" s="424"/>
      <c r="AM311" s="424"/>
      <c r="AN311" s="424"/>
    </row>
    <row r="312" spans="1:40" ht="15.75" customHeight="1" thickTop="1">
      <c r="B312" s="439"/>
      <c r="C312" s="440"/>
      <c r="D312" s="441" t="s">
        <v>5</v>
      </c>
      <c r="E312" s="442"/>
      <c r="F312" s="443"/>
      <c r="G312" s="444"/>
      <c r="H312" s="442"/>
      <c r="I312" s="443"/>
      <c r="J312" s="444" t="s">
        <v>7</v>
      </c>
      <c r="K312" s="442"/>
      <c r="L312" s="443"/>
      <c r="M312" s="444" t="s">
        <v>211</v>
      </c>
      <c r="N312" s="443"/>
      <c r="O312" s="441" t="s">
        <v>8</v>
      </c>
      <c r="P312" s="442"/>
      <c r="Q312" s="443"/>
      <c r="R312" s="444" t="s">
        <v>212</v>
      </c>
      <c r="S312" s="443"/>
      <c r="T312" s="597"/>
      <c r="U312" s="436"/>
      <c r="V312" s="436"/>
      <c r="W312" s="436"/>
      <c r="X312" s="436"/>
      <c r="Y312" s="436"/>
      <c r="Z312" s="436"/>
      <c r="AA312" s="436"/>
      <c r="AB312" s="436"/>
      <c r="AC312" s="436"/>
      <c r="AD312" s="436"/>
      <c r="AE312" s="436"/>
      <c r="AF312" s="436"/>
      <c r="AG312" s="436"/>
      <c r="AH312" s="436"/>
      <c r="AI312" s="436"/>
      <c r="AJ312" s="436"/>
      <c r="AK312" s="436"/>
      <c r="AL312" s="436"/>
      <c r="AM312" s="436"/>
      <c r="AN312" s="436"/>
    </row>
    <row r="313" spans="1:40" ht="15.75" customHeight="1">
      <c r="A313" s="452" t="s">
        <v>94</v>
      </c>
      <c r="B313" s="439" t="s">
        <v>94</v>
      </c>
      <c r="C313" s="462"/>
      <c r="D313" s="523" t="s">
        <v>39</v>
      </c>
      <c r="E313" s="523" t="s">
        <v>79</v>
      </c>
      <c r="F313" s="591" t="s">
        <v>12</v>
      </c>
      <c r="G313" s="590"/>
      <c r="H313" s="523"/>
      <c r="I313" s="591"/>
      <c r="J313" s="590" t="s">
        <v>39</v>
      </c>
      <c r="K313" s="523" t="s">
        <v>79</v>
      </c>
      <c r="L313" s="591" t="s">
        <v>12</v>
      </c>
      <c r="M313" s="590" t="s">
        <v>39</v>
      </c>
      <c r="N313" s="591" t="s">
        <v>215</v>
      </c>
      <c r="O313" s="523" t="s">
        <v>39</v>
      </c>
      <c r="P313" s="523" t="s">
        <v>79</v>
      </c>
      <c r="Q313" s="591" t="s">
        <v>12</v>
      </c>
      <c r="R313" s="590" t="s">
        <v>80</v>
      </c>
      <c r="S313" s="591" t="s">
        <v>12</v>
      </c>
      <c r="T313" s="435"/>
      <c r="U313" s="436"/>
      <c r="V313" s="439"/>
      <c r="W313" s="439"/>
      <c r="X313" s="439"/>
      <c r="Y313" s="439"/>
      <c r="Z313" s="439"/>
      <c r="AA313" s="439"/>
      <c r="AB313" s="439"/>
      <c r="AC313" s="439"/>
      <c r="AD313" s="439"/>
      <c r="AE313" s="439"/>
      <c r="AF313" s="439"/>
      <c r="AG313" s="439"/>
      <c r="AH313" s="439"/>
      <c r="AI313" s="439"/>
      <c r="AJ313" s="439"/>
      <c r="AK313" s="439"/>
      <c r="AL313" s="439"/>
      <c r="AM313" s="439"/>
      <c r="AN313" s="439"/>
    </row>
    <row r="314" spans="1:40" ht="15.75" customHeight="1">
      <c r="A314" s="452" t="s">
        <v>94</v>
      </c>
      <c r="B314" s="439" t="s">
        <v>94</v>
      </c>
      <c r="C314" s="462"/>
      <c r="D314" s="523"/>
      <c r="E314" s="523"/>
      <c r="F314" s="591"/>
      <c r="G314" s="590"/>
      <c r="H314" s="523"/>
      <c r="I314" s="591"/>
      <c r="J314" s="590"/>
      <c r="K314" s="463"/>
      <c r="L314" s="467"/>
      <c r="M314" s="590"/>
      <c r="N314" s="591"/>
      <c r="O314" s="523"/>
      <c r="P314" s="523"/>
      <c r="Q314" s="591"/>
      <c r="R314" s="590"/>
      <c r="S314" s="591"/>
      <c r="T314" s="435"/>
      <c r="U314" s="436"/>
      <c r="V314" s="439"/>
      <c r="W314" s="439"/>
      <c r="X314" s="439"/>
      <c r="Y314" s="439"/>
      <c r="Z314" s="439"/>
      <c r="AA314" s="439"/>
      <c r="AB314" s="439"/>
      <c r="AC314" s="439"/>
      <c r="AD314" s="439"/>
      <c r="AE314" s="439"/>
      <c r="AF314" s="439"/>
      <c r="AG314" s="439"/>
      <c r="AH314" s="439"/>
      <c r="AI314" s="439"/>
      <c r="AJ314" s="439"/>
      <c r="AK314" s="439"/>
      <c r="AL314" s="439"/>
      <c r="AM314" s="439"/>
      <c r="AN314" s="439"/>
    </row>
    <row r="315" spans="1:40" ht="15.75" customHeight="1">
      <c r="A315" s="452" t="s">
        <v>382</v>
      </c>
      <c r="B315" s="439" t="s">
        <v>94</v>
      </c>
      <c r="C315" s="462" t="s">
        <v>383</v>
      </c>
      <c r="D315" s="524">
        <f t="array" ref="D315">+INDEX('[3]Budget original'!$A$2:$AO$501,MATCH($A315,'[3]Budget original'!$A$2:$A$501,0),MATCH(D$2,'[3]Budget original'!$A$2:$AO$2,0))</f>
        <v>0</v>
      </c>
      <c r="E315" s="465">
        <f t="array" ref="E315">+INDEX('[3]Budget original'!$A$2:$AO$501,MATCH($A315,'[3]Budget original'!$A$2:$A$501,0),MATCH(E$2,'[3]Budget original'!$A$2:$AO$2,0))</f>
        <v>0</v>
      </c>
      <c r="F315" s="465">
        <f t="array" ref="F315">+INDEX('[3]Budget original'!$A$2:$AO$501,MATCH($A315,'[3]Budget original'!$A$2:$A$501,0),MATCH(F$2,'[3]Budget original'!$A$2:$AO$2,0))</f>
        <v>0</v>
      </c>
      <c r="G315" s="629"/>
      <c r="H315" s="465"/>
      <c r="I315" s="465"/>
      <c r="J315" s="468"/>
      <c r="K315" s="465">
        <f>-SUMIFS([3]BV_Data_An_Cour!$AM:$AM,[3]BV_Data_An_Cour!$AS:$AS,"Oui",[3]BV_Data_An_Cour!$AP:$AP,$B315,[3]BV_Data_An_Cour!$AQ:$AQ,$C315)</f>
        <v>152593.67000000004</v>
      </c>
      <c r="L315" s="466">
        <f>-SUMIFS([3]BV_Data_An_Cour!$AM:$AM,[3]BV_Data_An_Cour!$AP:$AP,$B315,[3]BV_Data_An_Cour!$AQ:$AQ,$C315,[3]BV_Data_An_Cour!$AR:$AR,$L$2)</f>
        <v>68088.939999999973</v>
      </c>
      <c r="M315" s="496">
        <f>IFERROR((K315-E315)/E315,0)</f>
        <v>0</v>
      </c>
      <c r="N315" s="466">
        <f>L315-F315</f>
        <v>68088.939999999973</v>
      </c>
      <c r="O315" s="468"/>
      <c r="P315" s="465">
        <f>-SUMIFS([3]BV_Data_An_Prec!$AM:$AM,[3]BV_Data_An_Prec!$AS:$AS,"Oui",[3]BV_Data_An_Prec!$AP:$AP,$B315,[3]BV_Data_An_Prec!$AQ:$AQ,$C315)</f>
        <v>162856.77999999994</v>
      </c>
      <c r="Q315" s="466">
        <f>-SUMIFS([3]BV_Data_An_Prec!$AM:$AM,[3]BV_Data_An_Prec!$AP:$AP,$B315,[3]BV_Data_An_Prec!$AQ:$AQ,$C315,[3]BV_Data_An_Prec!$AR:$AR,$L$2)</f>
        <v>69072.859999999928</v>
      </c>
      <c r="R315" s="496">
        <f>IF(O315=0,0,J315/O315)</f>
        <v>0</v>
      </c>
      <c r="S315" s="466">
        <f>L315-Q315</f>
        <v>-983.9199999999546</v>
      </c>
      <c r="T315" s="435"/>
      <c r="U315" s="436"/>
      <c r="V315" s="439"/>
      <c r="W315" s="439"/>
      <c r="X315" s="439"/>
      <c r="Y315" s="439"/>
      <c r="Z315" s="439"/>
      <c r="AA315" s="439"/>
      <c r="AB315" s="439"/>
      <c r="AC315" s="439"/>
      <c r="AD315" s="439"/>
      <c r="AE315" s="439"/>
      <c r="AF315" s="439"/>
      <c r="AG315" s="439"/>
      <c r="AH315" s="439"/>
      <c r="AI315" s="439"/>
      <c r="AJ315" s="439"/>
      <c r="AK315" s="439"/>
      <c r="AL315" s="439"/>
      <c r="AM315" s="439"/>
      <c r="AN315" s="439"/>
    </row>
    <row r="316" spans="1:40" ht="15.75" customHeight="1">
      <c r="A316" s="452" t="s">
        <v>384</v>
      </c>
      <c r="B316" s="439" t="s">
        <v>94</v>
      </c>
      <c r="C316" s="462" t="s">
        <v>82</v>
      </c>
      <c r="D316" s="523"/>
      <c r="E316" s="581"/>
      <c r="F316" s="497">
        <f>IFERROR(F315/E315,0)</f>
        <v>0</v>
      </c>
      <c r="G316" s="462"/>
      <c r="H316" s="581"/>
      <c r="I316" s="497"/>
      <c r="J316" s="468"/>
      <c r="K316" s="439"/>
      <c r="L316" s="497">
        <f>IFERROR(L315/K315,0)</f>
        <v>0.44621077663313263</v>
      </c>
      <c r="M316" s="496"/>
      <c r="N316" s="466">
        <f>IFERROR(N315/M315,0)</f>
        <v>0</v>
      </c>
      <c r="O316" s="468"/>
      <c r="P316" s="439"/>
      <c r="Q316" s="497">
        <f>IFERROR(Q315/P315,0)</f>
        <v>0.42413254148829388</v>
      </c>
      <c r="R316" s="468"/>
      <c r="S316" s="497">
        <f>IF(Q315=0,0,(S315/Q315))</f>
        <v>-1.4244668600662484E-2</v>
      </c>
      <c r="T316" s="435"/>
      <c r="U316" s="436"/>
      <c r="V316" s="439"/>
      <c r="W316" s="439"/>
      <c r="X316" s="439"/>
      <c r="Y316" s="439"/>
      <c r="Z316" s="439"/>
      <c r="AA316" s="439"/>
      <c r="AB316" s="439"/>
      <c r="AC316" s="439"/>
      <c r="AD316" s="439"/>
      <c r="AE316" s="439"/>
      <c r="AF316" s="439"/>
      <c r="AG316" s="439"/>
      <c r="AH316" s="439"/>
      <c r="AI316" s="439"/>
      <c r="AJ316" s="439"/>
      <c r="AK316" s="439"/>
      <c r="AL316" s="439"/>
      <c r="AM316" s="439"/>
      <c r="AN316" s="439"/>
    </row>
    <row r="317" spans="1:40" ht="15.75" customHeight="1">
      <c r="A317" s="452" t="s">
        <v>94</v>
      </c>
      <c r="B317" s="439" t="s">
        <v>94</v>
      </c>
      <c r="C317" s="462"/>
      <c r="D317" s="523"/>
      <c r="E317" s="630"/>
      <c r="F317" s="573"/>
      <c r="G317" s="590"/>
      <c r="H317" s="630"/>
      <c r="I317" s="573"/>
      <c r="J317" s="590"/>
      <c r="K317" s="523"/>
      <c r="L317" s="591"/>
      <c r="M317" s="590"/>
      <c r="N317" s="591"/>
      <c r="O317" s="590"/>
      <c r="P317" s="523"/>
      <c r="Q317" s="591"/>
      <c r="R317" s="572"/>
      <c r="S317" s="573"/>
      <c r="T317" s="435"/>
      <c r="U317" s="436"/>
      <c r="V317" s="439"/>
      <c r="W317" s="439"/>
      <c r="X317" s="439"/>
      <c r="Y317" s="439"/>
      <c r="Z317" s="439"/>
      <c r="AA317" s="439"/>
      <c r="AB317" s="439"/>
      <c r="AC317" s="439"/>
      <c r="AD317" s="439"/>
      <c r="AE317" s="439"/>
      <c r="AF317" s="439"/>
      <c r="AG317" s="439"/>
      <c r="AH317" s="439"/>
      <c r="AI317" s="439"/>
      <c r="AJ317" s="439"/>
      <c r="AK317" s="439"/>
      <c r="AL317" s="439"/>
      <c r="AM317" s="439"/>
      <c r="AN317" s="439"/>
    </row>
    <row r="318" spans="1:40" ht="15.75" customHeight="1">
      <c r="A318" s="452" t="s">
        <v>385</v>
      </c>
      <c r="B318" s="439" t="s">
        <v>94</v>
      </c>
      <c r="C318" s="447" t="s">
        <v>386</v>
      </c>
      <c r="D318" s="502">
        <f t="array" ref="D318">+INDEX('[3]Budget original'!$A$2:$AO$501,MATCH($A318,'[3]Budget original'!$A$2:$A$501,0),MATCH(D$2,'[3]Budget original'!$A$2:$AO$2,0))</f>
        <v>0</v>
      </c>
      <c r="E318" s="465">
        <f t="array" ref="E318">+INDEX('[3]Budget original'!$A$2:$AO$501,MATCH($A318,'[3]Budget original'!$A$2:$A$501,0),MATCH(E$2,'[3]Budget original'!$A$2:$AO$2,0))</f>
        <v>0</v>
      </c>
      <c r="F318" s="465">
        <f t="array" ref="F318">+INDEX('[3]Budget original'!$A$2:$AO$501,MATCH($A318,'[3]Budget original'!$A$2:$A$501,0),MATCH(F$2,'[3]Budget original'!$A$2:$AO$2,0))</f>
        <v>0</v>
      </c>
      <c r="G318" s="631"/>
      <c r="H318" s="465"/>
      <c r="I318" s="465"/>
      <c r="J318" s="505"/>
      <c r="K318" s="502">
        <f>-SUMIFS([3]BV_Data_An_Cour!$AM:$AM,[3]BV_Data_An_Cour!$AS:$AS,"Oui",[3]BV_Data_An_Cour!$AP:$AP,$B318,[3]BV_Data_An_Cour!$AQ:$AQ,$C318)</f>
        <v>10652.45</v>
      </c>
      <c r="L318" s="503">
        <f>-SUMIFS([3]BV_Data_An_Cour!$AM:$AM,[3]BV_Data_An_Cour!$AP:$AP,$B318,[3]BV_Data_An_Cour!$AQ:$AQ,$C318,[3]BV_Data_An_Cour!$AR:$AR,$L$2)</f>
        <v>6504.8100000000022</v>
      </c>
      <c r="M318" s="604">
        <f>IFERROR((K318-E318)/E318,0)</f>
        <v>0</v>
      </c>
      <c r="N318" s="503">
        <f>L318-F318</f>
        <v>6504.8100000000022</v>
      </c>
      <c r="O318" s="505"/>
      <c r="P318" s="502">
        <f>-SUMIFS([3]BV_Data_An_Prec!$AM:$AM,[3]BV_Data_An_Prec!$AS:$AS,"Oui",[3]BV_Data_An_Prec!$AP:$AP,$B318,[3]BV_Data_An_Prec!$AQ:$AQ,$C318)</f>
        <v>9764.260000000002</v>
      </c>
      <c r="Q318" s="503">
        <f>-SUMIFS([3]BV_Data_An_Prec!$AM:$AM,[3]BV_Data_An_Prec!$AP:$AP,$B318,[3]BV_Data_An_Prec!$AQ:$AQ,$C318,[3]BV_Data_An_Prec!$AR:$AR,$L$2)</f>
        <v>4717.3100000000013</v>
      </c>
      <c r="R318" s="496">
        <f>IF(O318=0,0,J318/O318)</f>
        <v>0</v>
      </c>
      <c r="S318" s="466">
        <f>L318-Q318</f>
        <v>1787.5000000000009</v>
      </c>
      <c r="T318" s="584"/>
      <c r="U318" s="436"/>
      <c r="V318" s="439"/>
      <c r="W318" s="439"/>
      <c r="X318" s="439"/>
      <c r="Y318" s="439"/>
      <c r="Z318" s="439"/>
      <c r="AA318" s="439"/>
      <c r="AB318" s="439"/>
      <c r="AC318" s="439"/>
      <c r="AD318" s="439"/>
      <c r="AE318" s="439"/>
      <c r="AF318" s="439"/>
      <c r="AG318" s="439"/>
      <c r="AH318" s="439"/>
      <c r="AI318" s="439"/>
      <c r="AJ318" s="439"/>
      <c r="AK318" s="439"/>
      <c r="AL318" s="439"/>
      <c r="AM318" s="439"/>
      <c r="AN318" s="439"/>
    </row>
    <row r="319" spans="1:40" ht="15.75" customHeight="1">
      <c r="A319" s="452" t="s">
        <v>384</v>
      </c>
      <c r="B319" s="439" t="s">
        <v>94</v>
      </c>
      <c r="C319" s="462" t="s">
        <v>82</v>
      </c>
      <c r="D319" s="439"/>
      <c r="E319" s="581"/>
      <c r="F319" s="497" t="e">
        <f>F318/E318</f>
        <v>#DIV/0!</v>
      </c>
      <c r="G319" s="462"/>
      <c r="H319" s="581"/>
      <c r="I319" s="497"/>
      <c r="J319" s="468"/>
      <c r="K319" s="439"/>
      <c r="L319" s="497">
        <f>IFERROR(L318/K318,0)</f>
        <v>0.61063980586625632</v>
      </c>
      <c r="M319" s="496"/>
      <c r="N319" s="466">
        <f>IFERROR(N318/F318,0)</f>
        <v>0</v>
      </c>
      <c r="O319" s="468"/>
      <c r="P319" s="439"/>
      <c r="Q319" s="497">
        <f>IFERROR(Q318/P318,0)</f>
        <v>0.48312007259126655</v>
      </c>
      <c r="R319" s="468"/>
      <c r="S319" s="497">
        <f>IF(Q318=0,0,(S318/Q318))</f>
        <v>0.37892358144790156</v>
      </c>
      <c r="T319" s="584"/>
      <c r="U319" s="436"/>
      <c r="V319" s="439"/>
      <c r="W319" s="439"/>
      <c r="X319" s="439"/>
      <c r="Y319" s="439"/>
      <c r="Z319" s="439"/>
      <c r="AA319" s="439"/>
      <c r="AB319" s="439"/>
      <c r="AC319" s="439"/>
      <c r="AD319" s="439"/>
      <c r="AE319" s="439"/>
      <c r="AF319" s="439"/>
      <c r="AG319" s="439"/>
      <c r="AH319" s="439"/>
      <c r="AI319" s="439"/>
      <c r="AJ319" s="439"/>
      <c r="AK319" s="439"/>
      <c r="AL319" s="439"/>
      <c r="AM319" s="439"/>
      <c r="AN319" s="439"/>
    </row>
    <row r="320" spans="1:40" ht="15.75" customHeight="1">
      <c r="A320" s="452" t="s">
        <v>94</v>
      </c>
      <c r="B320" s="439" t="s">
        <v>94</v>
      </c>
      <c r="C320" s="453"/>
      <c r="D320" s="546"/>
      <c r="E320" s="605"/>
      <c r="F320" s="594"/>
      <c r="G320" s="453"/>
      <c r="H320" s="605"/>
      <c r="I320" s="594"/>
      <c r="J320" s="602"/>
      <c r="K320" s="632"/>
      <c r="L320" s="594"/>
      <c r="M320" s="527"/>
      <c r="N320" s="458"/>
      <c r="O320" s="602"/>
      <c r="P320" s="632"/>
      <c r="Q320" s="594"/>
      <c r="R320" s="602"/>
      <c r="S320" s="458"/>
      <c r="T320" s="584"/>
      <c r="U320" s="436"/>
      <c r="V320" s="439"/>
      <c r="W320" s="439"/>
      <c r="X320" s="439"/>
      <c r="Y320" s="439"/>
      <c r="Z320" s="439"/>
      <c r="AA320" s="439"/>
      <c r="AB320" s="439"/>
      <c r="AC320" s="439"/>
      <c r="AD320" s="439"/>
      <c r="AE320" s="439"/>
      <c r="AF320" s="439"/>
      <c r="AG320" s="439"/>
      <c r="AH320" s="439"/>
      <c r="AI320" s="439"/>
      <c r="AJ320" s="439"/>
      <c r="AK320" s="439"/>
      <c r="AL320" s="439"/>
      <c r="AM320" s="439"/>
      <c r="AN320" s="439"/>
    </row>
    <row r="321" spans="1:40" ht="15.75" customHeight="1">
      <c r="A321" s="452" t="s">
        <v>387</v>
      </c>
      <c r="B321" s="439" t="s">
        <v>94</v>
      </c>
      <c r="C321" s="447" t="s">
        <v>388</v>
      </c>
      <c r="D321" s="502">
        <v>0</v>
      </c>
      <c r="E321" s="465">
        <v>0</v>
      </c>
      <c r="F321" s="465">
        <v>0</v>
      </c>
      <c r="G321" s="505"/>
      <c r="H321" s="465"/>
      <c r="I321" s="465"/>
      <c r="J321" s="505"/>
      <c r="K321" s="465">
        <f>-SUMIFS([3]BV_Data_An_Cour!$AM:$AM,[3]BV_Data_An_Cour!$AS:$AS,"Oui",[3]BV_Data_An_Cour!$AP:$AP,$B321,[3]BV_Data_An_Cour!$AQ:$AQ,$C321)</f>
        <v>27283.730000000003</v>
      </c>
      <c r="L321" s="466">
        <f>-SUMIFS([3]BV_Data_An_Cour!$AM:$AM,[3]BV_Data_An_Cour!$AP:$AP,$B321,[3]BV_Data_An_Cour!$AQ:$AQ,$C321,[3]BV_Data_An_Cour!$AR:$AR,$L$2)</f>
        <v>15494.440000000006</v>
      </c>
      <c r="M321" s="496">
        <f>IFERROR((K321-E321)/E321,0)</f>
        <v>0</v>
      </c>
      <c r="N321" s="503">
        <f>L321-F321</f>
        <v>15494.440000000006</v>
      </c>
      <c r="O321" s="505"/>
      <c r="P321" s="465">
        <f>-SUMIFS([3]BV_Data_An_Prec!$AM:$AM,[3]BV_Data_An_Prec!$AS:$AS,"Oui",[3]BV_Data_An_Prec!$AP:$AP,$B321,[3]BV_Data_An_Prec!$AQ:$AQ,$C321)</f>
        <v>0</v>
      </c>
      <c r="Q321" s="466">
        <f>-SUMIFS([3]BV_Data_An_Prec!$AM:$AM,[3]BV_Data_An_Prec!$AP:$AP,$B321,[3]BV_Data_An_Prec!$AQ:$AQ,$C321,[3]BV_Data_An_Prec!$AR:$AR,$L$2)</f>
        <v>0</v>
      </c>
      <c r="R321" s="496">
        <f>IF(O321=0,0,J321/O321)</f>
        <v>0</v>
      </c>
      <c r="S321" s="466">
        <f>L321-Q321</f>
        <v>15494.440000000006</v>
      </c>
      <c r="T321" s="584"/>
      <c r="U321" s="436"/>
      <c r="V321" s="439"/>
      <c r="W321" s="439"/>
      <c r="X321" s="439"/>
      <c r="Y321" s="439"/>
      <c r="Z321" s="439"/>
      <c r="AA321" s="439"/>
      <c r="AB321" s="439"/>
      <c r="AC321" s="439"/>
      <c r="AD321" s="439"/>
      <c r="AE321" s="439"/>
      <c r="AF321" s="439"/>
      <c r="AG321" s="439"/>
      <c r="AH321" s="439"/>
      <c r="AI321" s="439"/>
      <c r="AJ321" s="439"/>
      <c r="AK321" s="439"/>
      <c r="AL321" s="439"/>
      <c r="AM321" s="439"/>
      <c r="AN321" s="439"/>
    </row>
    <row r="322" spans="1:40" ht="15.75" customHeight="1">
      <c r="A322" s="452" t="s">
        <v>384</v>
      </c>
      <c r="B322" s="439" t="s">
        <v>94</v>
      </c>
      <c r="C322" s="462" t="s">
        <v>82</v>
      </c>
      <c r="D322" s="439"/>
      <c r="E322" s="439"/>
      <c r="F322" s="497" t="e">
        <f>F321/E321</f>
        <v>#DIV/0!</v>
      </c>
      <c r="G322" s="462"/>
      <c r="H322" s="439"/>
      <c r="I322" s="497"/>
      <c r="J322" s="462"/>
      <c r="K322" s="439"/>
      <c r="L322" s="497">
        <f>IFERROR(L321/K321,0)</f>
        <v>0.56790035673274897</v>
      </c>
      <c r="M322" s="506"/>
      <c r="N322" s="488">
        <f>IF(L321=0,0,N321/L321)</f>
        <v>1</v>
      </c>
      <c r="O322" s="462"/>
      <c r="P322" s="439"/>
      <c r="Q322" s="497">
        <f>IFERROR(Q321/P321,0)</f>
        <v>0</v>
      </c>
      <c r="R322" s="468"/>
      <c r="S322" s="497">
        <f>IF(Q321=0,0,(S321/Q321))</f>
        <v>0</v>
      </c>
      <c r="T322" s="584"/>
      <c r="U322" s="436"/>
      <c r="V322" s="439"/>
      <c r="W322" s="439"/>
      <c r="X322" s="439"/>
      <c r="Y322" s="439"/>
      <c r="Z322" s="439"/>
      <c r="AA322" s="439"/>
      <c r="AB322" s="439"/>
      <c r="AC322" s="439"/>
      <c r="AD322" s="439"/>
      <c r="AE322" s="439"/>
      <c r="AF322" s="439"/>
      <c r="AG322" s="439"/>
      <c r="AH322" s="439"/>
      <c r="AI322" s="439"/>
      <c r="AJ322" s="439"/>
      <c r="AK322" s="439"/>
      <c r="AL322" s="439"/>
      <c r="AM322" s="439"/>
      <c r="AN322" s="439"/>
    </row>
    <row r="323" spans="1:40" ht="15.75" customHeight="1">
      <c r="A323" s="452"/>
      <c r="B323" s="439" t="s">
        <v>94</v>
      </c>
      <c r="C323" s="453"/>
      <c r="D323" s="546"/>
      <c r="E323" s="546"/>
      <c r="F323" s="594"/>
      <c r="G323" s="453"/>
      <c r="H323" s="546"/>
      <c r="I323" s="594"/>
      <c r="J323" s="453"/>
      <c r="K323" s="546"/>
      <c r="L323" s="458"/>
      <c r="M323" s="633"/>
      <c r="N323" s="622"/>
      <c r="O323" s="453"/>
      <c r="P323" s="546"/>
      <c r="Q323" s="594"/>
      <c r="R323" s="527"/>
      <c r="S323" s="594"/>
      <c r="T323" s="584"/>
      <c r="U323" s="436"/>
      <c r="V323" s="439"/>
      <c r="W323" s="439"/>
      <c r="X323" s="439"/>
      <c r="Y323" s="439"/>
      <c r="Z323" s="439"/>
      <c r="AA323" s="439"/>
      <c r="AB323" s="439"/>
      <c r="AC323" s="439"/>
      <c r="AD323" s="439"/>
      <c r="AE323" s="439"/>
      <c r="AF323" s="439"/>
      <c r="AG323" s="439"/>
      <c r="AH323" s="439"/>
      <c r="AI323" s="439"/>
      <c r="AJ323" s="439"/>
      <c r="AK323" s="439"/>
      <c r="AL323" s="439"/>
      <c r="AM323" s="439"/>
      <c r="AN323" s="439"/>
    </row>
    <row r="324" spans="1:40" ht="15.75" customHeight="1">
      <c r="A324" s="452"/>
      <c r="B324" s="439" t="s">
        <v>94</v>
      </c>
      <c r="C324" s="462" t="s">
        <v>389</v>
      </c>
      <c r="D324" s="439"/>
      <c r="E324" s="439"/>
      <c r="F324" s="497"/>
      <c r="G324" s="462"/>
      <c r="H324" s="439"/>
      <c r="I324" s="497"/>
      <c r="J324" s="462"/>
      <c r="K324" s="439"/>
      <c r="L324" s="466">
        <f>-SUMIFS([3]BV_Data_An_Cour!$AM:$AM,[3]BV_Data_An_Cour!$AP:$AP,$B324,[3]BV_Data_An_Cour!$AQ:$AQ,$C324,[3]BV_Data_An_Cour!$AR:$AR,$L$2)</f>
        <v>-697.14000000000306</v>
      </c>
      <c r="M324" s="506"/>
      <c r="N324" s="488"/>
      <c r="O324" s="462"/>
      <c r="P324" s="439"/>
      <c r="Q324" s="466">
        <f>-SUMIFS([3]BV_Data_An_Prec!$AM:$AM,[3]BV_Data_An_Prec!$AP:$AP,$B324,[3]BV_Data_An_Prec!$AQ:$AQ,$C324,[3]BV_Data_An_Prec!$AR:$AR,$L$2)</f>
        <v>1697.5900000000001</v>
      </c>
      <c r="R324" s="496">
        <f>IF(O324=0,0,J324/O324)</f>
        <v>0</v>
      </c>
      <c r="S324" s="466">
        <f>L324-Q324</f>
        <v>-2394.7300000000032</v>
      </c>
      <c r="T324" s="584"/>
      <c r="U324" s="436"/>
      <c r="V324" s="439"/>
      <c r="W324" s="439"/>
      <c r="X324" s="439"/>
      <c r="Y324" s="439"/>
      <c r="Z324" s="439"/>
      <c r="AA324" s="439"/>
      <c r="AB324" s="439"/>
      <c r="AC324" s="439"/>
      <c r="AD324" s="439"/>
      <c r="AE324" s="439"/>
      <c r="AF324" s="439"/>
      <c r="AG324" s="439"/>
      <c r="AH324" s="439"/>
      <c r="AI324" s="439"/>
      <c r="AJ324" s="439"/>
      <c r="AK324" s="439"/>
      <c r="AL324" s="439"/>
      <c r="AM324" s="439"/>
      <c r="AN324" s="439"/>
    </row>
    <row r="325" spans="1:40" ht="15.75" customHeight="1" thickBot="1">
      <c r="A325" s="452" t="s">
        <v>94</v>
      </c>
      <c r="B325" s="439" t="s">
        <v>94</v>
      </c>
      <c r="C325" s="462"/>
      <c r="D325" s="439"/>
      <c r="E325" s="439"/>
      <c r="F325" s="497"/>
      <c r="G325" s="462"/>
      <c r="H325" s="439"/>
      <c r="I325" s="497"/>
      <c r="J325" s="462"/>
      <c r="K325" s="439"/>
      <c r="L325" s="466"/>
      <c r="M325" s="506"/>
      <c r="N325" s="488"/>
      <c r="O325" s="462"/>
      <c r="P325" s="439"/>
      <c r="Q325" s="466"/>
      <c r="R325" s="506"/>
      <c r="S325" s="488"/>
      <c r="T325" s="584"/>
      <c r="U325" s="436"/>
      <c r="V325" s="439"/>
      <c r="W325" s="439"/>
      <c r="X325" s="439"/>
      <c r="Y325" s="439"/>
      <c r="Z325" s="439"/>
      <c r="AA325" s="439"/>
      <c r="AB325" s="439"/>
      <c r="AC325" s="439"/>
      <c r="AD325" s="439"/>
      <c r="AE325" s="439"/>
      <c r="AF325" s="439"/>
      <c r="AG325" s="439"/>
      <c r="AH325" s="439"/>
      <c r="AI325" s="439"/>
      <c r="AJ325" s="439"/>
      <c r="AK325" s="439"/>
      <c r="AL325" s="439"/>
      <c r="AM325" s="439"/>
      <c r="AN325" s="439"/>
    </row>
    <row r="326" spans="1:40" ht="18" customHeight="1" thickTop="1">
      <c r="A326" s="452" t="s">
        <v>390</v>
      </c>
      <c r="B326" s="439" t="s">
        <v>94</v>
      </c>
      <c r="C326" s="507" t="s">
        <v>391</v>
      </c>
      <c r="D326" s="508"/>
      <c r="E326" s="509">
        <f t="shared" ref="E326:F326" si="61">E318+E321+E315</f>
        <v>0</v>
      </c>
      <c r="F326" s="510">
        <f t="shared" si="61"/>
        <v>0</v>
      </c>
      <c r="G326" s="511"/>
      <c r="H326" s="509"/>
      <c r="I326" s="510"/>
      <c r="J326" s="511"/>
      <c r="K326" s="508">
        <f>K318+K321+K315</f>
        <v>190529.85000000003</v>
      </c>
      <c r="L326" s="510">
        <f>L318+L321+L315+L324</f>
        <v>89391.049999999974</v>
      </c>
      <c r="M326" s="511" t="e">
        <f>L327-F327</f>
        <v>#DIV/0!</v>
      </c>
      <c r="N326" s="510">
        <f>L326-F326</f>
        <v>89391.049999999974</v>
      </c>
      <c r="O326" s="511"/>
      <c r="P326" s="508">
        <f>P318+P321+P315</f>
        <v>172621.03999999995</v>
      </c>
      <c r="Q326" s="510">
        <f>Q318+Q321+Q315+Q324</f>
        <v>75487.759999999922</v>
      </c>
      <c r="R326" s="511"/>
      <c r="S326" s="510">
        <f>L326-Q326</f>
        <v>13903.290000000052</v>
      </c>
      <c r="T326" s="436"/>
      <c r="U326" s="436"/>
      <c r="V326" s="439"/>
      <c r="W326" s="439"/>
      <c r="X326" s="439"/>
      <c r="Y326" s="439"/>
      <c r="Z326" s="439"/>
      <c r="AA326" s="439"/>
      <c r="AB326" s="439"/>
      <c r="AC326" s="439"/>
      <c r="AD326" s="439"/>
      <c r="AE326" s="439"/>
      <c r="AF326" s="439"/>
      <c r="AG326" s="439"/>
      <c r="AH326" s="439"/>
      <c r="AI326" s="439"/>
      <c r="AJ326" s="439"/>
      <c r="AK326" s="439"/>
      <c r="AL326" s="439"/>
      <c r="AM326" s="439"/>
      <c r="AN326" s="439"/>
    </row>
    <row r="327" spans="1:40" ht="22.5" customHeight="1" thickBot="1">
      <c r="A327" s="452" t="s">
        <v>94</v>
      </c>
      <c r="B327" s="439" t="s">
        <v>94</v>
      </c>
      <c r="C327" s="512"/>
      <c r="D327" s="513"/>
      <c r="E327" s="513"/>
      <c r="F327" s="514" t="e">
        <f>F326/E326</f>
        <v>#DIV/0!</v>
      </c>
      <c r="G327" s="512"/>
      <c r="H327" s="513"/>
      <c r="I327" s="514"/>
      <c r="J327" s="512"/>
      <c r="K327" s="515"/>
      <c r="L327" s="519">
        <f>L326/K326</f>
        <v>0.46917084120939556</v>
      </c>
      <c r="M327" s="517"/>
      <c r="N327" s="518" t="e">
        <f>N326/F326</f>
        <v>#DIV/0!</v>
      </c>
      <c r="O327" s="512"/>
      <c r="P327" s="515"/>
      <c r="Q327" s="519">
        <f>Q326/P326</f>
        <v>0.43730335537313381</v>
      </c>
      <c r="R327" s="517"/>
      <c r="S327" s="519">
        <f>S326/Q326</f>
        <v>0.1841793954410631</v>
      </c>
      <c r="T327" s="436"/>
      <c r="U327" s="436"/>
      <c r="V327" s="439"/>
      <c r="W327" s="439"/>
      <c r="X327" s="439"/>
      <c r="Y327" s="439"/>
      <c r="Z327" s="439"/>
      <c r="AA327" s="439"/>
      <c r="AB327" s="439"/>
      <c r="AC327" s="439"/>
      <c r="AD327" s="439"/>
      <c r="AE327" s="439"/>
      <c r="AF327" s="439"/>
      <c r="AG327" s="439"/>
      <c r="AH327" s="439"/>
      <c r="AI327" s="439"/>
      <c r="AJ327" s="439"/>
      <c r="AK327" s="439"/>
      <c r="AL327" s="439"/>
      <c r="AM327" s="439"/>
      <c r="AN327" s="439"/>
    </row>
    <row r="328" spans="1:40" ht="15.75" customHeight="1" thickTop="1">
      <c r="A328" s="452" t="s">
        <v>94</v>
      </c>
      <c r="B328" s="439" t="s">
        <v>94</v>
      </c>
      <c r="C328" s="462"/>
      <c r="D328" s="439"/>
      <c r="E328" s="439"/>
      <c r="F328" s="466"/>
      <c r="G328" s="462"/>
      <c r="H328" s="439"/>
      <c r="I328" s="466"/>
      <c r="J328" s="462"/>
      <c r="K328" s="439"/>
      <c r="L328" s="495"/>
      <c r="M328" s="462"/>
      <c r="N328" s="495"/>
      <c r="O328" s="462"/>
      <c r="P328" s="439"/>
      <c r="Q328" s="495"/>
      <c r="R328" s="462"/>
      <c r="S328" s="495"/>
      <c r="T328" s="436"/>
      <c r="U328" s="436"/>
      <c r="V328" s="439"/>
      <c r="W328" s="439"/>
      <c r="X328" s="439"/>
      <c r="Y328" s="439"/>
      <c r="Z328" s="439"/>
      <c r="AA328" s="439"/>
      <c r="AB328" s="439"/>
      <c r="AC328" s="439"/>
      <c r="AD328" s="439"/>
      <c r="AE328" s="439"/>
      <c r="AF328" s="439"/>
      <c r="AG328" s="439"/>
      <c r="AH328" s="439"/>
      <c r="AI328" s="439"/>
      <c r="AJ328" s="439"/>
      <c r="AK328" s="439"/>
      <c r="AL328" s="439"/>
      <c r="AM328" s="439"/>
      <c r="AN328" s="439"/>
    </row>
    <row r="329" spans="1:40" ht="15.75" customHeight="1">
      <c r="A329" s="452" t="s">
        <v>392</v>
      </c>
      <c r="B329" s="439" t="s">
        <v>94</v>
      </c>
      <c r="C329" s="522" t="s">
        <v>29</v>
      </c>
      <c r="D329" s="439"/>
      <c r="E329" s="439"/>
      <c r="F329" s="466"/>
      <c r="G329" s="462"/>
      <c r="H329" s="439"/>
      <c r="I329" s="466"/>
      <c r="J329" s="462"/>
      <c r="K329" s="439"/>
      <c r="L329" s="495"/>
      <c r="M329" s="462"/>
      <c r="N329" s="495"/>
      <c r="O329" s="462"/>
      <c r="P329" s="439"/>
      <c r="Q329" s="495"/>
      <c r="R329" s="462"/>
      <c r="S329" s="495"/>
      <c r="T329" s="436"/>
      <c r="U329" s="436"/>
      <c r="V329" s="439"/>
      <c r="W329" s="439"/>
      <c r="X329" s="439"/>
      <c r="Y329" s="439"/>
      <c r="Z329" s="439"/>
      <c r="AA329" s="439"/>
      <c r="AB329" s="439"/>
      <c r="AC329" s="439"/>
      <c r="AD329" s="439"/>
      <c r="AE329" s="439"/>
      <c r="AF329" s="439"/>
      <c r="AG329" s="439"/>
      <c r="AH329" s="439"/>
      <c r="AI329" s="439"/>
      <c r="AJ329" s="439"/>
      <c r="AK329" s="439"/>
      <c r="AL329" s="439"/>
      <c r="AM329" s="439"/>
      <c r="AN329" s="439"/>
    </row>
    <row r="330" spans="1:40" ht="15.75" customHeight="1">
      <c r="A330" s="452" t="s">
        <v>393</v>
      </c>
      <c r="B330" s="439" t="s">
        <v>94</v>
      </c>
      <c r="C330" s="541" t="s">
        <v>40</v>
      </c>
      <c r="D330" s="439"/>
      <c r="E330" s="439"/>
      <c r="F330" s="463">
        <f t="array" ref="F330">+INDEX('[3]Budget original'!$A$2:$AO$501,MATCH($A330,'[3]Budget original'!$A$2:$A$501,0),MATCH(F$2,'[3]Budget original'!$A$2:$AO$2,0))</f>
        <v>0</v>
      </c>
      <c r="G330" s="462"/>
      <c r="H330" s="439"/>
      <c r="I330" s="463"/>
      <c r="J330" s="462"/>
      <c r="K330" s="439"/>
      <c r="L330" s="466">
        <f>SUMIFS([3]BV_Data_An_Cour!$AM:$AM,[3]BV_Data_An_Cour!$AP:$AP,$B330,[3]BV_Data_An_Cour!$AQ:$AQ,$C330,[3]BV_Data_An_Cour!$AR:$AR,$L$2)</f>
        <v>14083.029999999999</v>
      </c>
      <c r="M330" s="462"/>
      <c r="N330" s="466">
        <f t="shared" ref="N330:N360" si="62">L330-F330</f>
        <v>14083.029999999999</v>
      </c>
      <c r="O330" s="462"/>
      <c r="P330" s="439"/>
      <c r="Q330" s="466">
        <f>SUMIFS([3]BV_Data_An_Prec!$AM:$AM,[3]BV_Data_An_Prec!$AP:$AP,$B330,[3]BV_Data_An_Prec!$AQ:$AQ,$C330,[3]BV_Data_An_Prec!$AR:$AR,$L$2)</f>
        <v>20900.510000000009</v>
      </c>
      <c r="R330" s="462"/>
      <c r="S330" s="466">
        <f t="shared" ref="S330:S361" si="63">L330-Q330</f>
        <v>-6817.4800000000105</v>
      </c>
      <c r="T330" s="436"/>
      <c r="U330" s="436"/>
      <c r="V330" s="439"/>
      <c r="W330" s="439"/>
      <c r="X330" s="439"/>
      <c r="Y330" s="439"/>
      <c r="Z330" s="439"/>
      <c r="AA330" s="439"/>
      <c r="AB330" s="439"/>
      <c r="AC330" s="439"/>
      <c r="AD330" s="439"/>
      <c r="AE330" s="439"/>
      <c r="AF330" s="439"/>
      <c r="AG330" s="439"/>
      <c r="AH330" s="439"/>
      <c r="AI330" s="439"/>
      <c r="AJ330" s="439"/>
      <c r="AK330" s="439"/>
      <c r="AL330" s="439"/>
      <c r="AM330" s="439"/>
      <c r="AN330" s="439"/>
    </row>
    <row r="331" spans="1:40" ht="15.75" customHeight="1">
      <c r="A331" s="452" t="s">
        <v>394</v>
      </c>
      <c r="B331" s="439" t="s">
        <v>94</v>
      </c>
      <c r="C331" s="542" t="s">
        <v>41</v>
      </c>
      <c r="D331" s="528"/>
      <c r="E331" s="439"/>
      <c r="F331" s="455">
        <f t="array" ref="F331">+INDEX('[3]Budget original'!$A$2:$AO$501,MATCH($A331,'[3]Budget original'!$A$2:$A$501,0),MATCH(F$2,'[3]Budget original'!$A$2:$AO$2,0))</f>
        <v>0</v>
      </c>
      <c r="G331" s="529"/>
      <c r="H331" s="439"/>
      <c r="I331" s="455"/>
      <c r="J331" s="462"/>
      <c r="K331" s="439"/>
      <c r="L331" s="466">
        <f>SUMIFS([3]BV_Data_An_Cour!$AM:$AM,[3]BV_Data_An_Cour!$AP:$AP,$B331,[3]BV_Data_An_Cour!$AQ:$AQ,$C331,[3]BV_Data_An_Cour!$AR:$AR,$L$2)</f>
        <v>5677.7799999999988</v>
      </c>
      <c r="M331" s="462"/>
      <c r="N331" s="466">
        <f t="shared" si="62"/>
        <v>5677.7799999999988</v>
      </c>
      <c r="O331" s="462"/>
      <c r="P331" s="439"/>
      <c r="Q331" s="466">
        <f>SUMIFS([3]BV_Data_An_Prec!$AM:$AM,[3]BV_Data_An_Prec!$AP:$AP,$B331,[3]BV_Data_An_Prec!$AQ:$AQ,$C331,[3]BV_Data_An_Prec!$AR:$AR,$L$2)</f>
        <v>6227.1900000000023</v>
      </c>
      <c r="R331" s="462"/>
      <c r="S331" s="466">
        <f t="shared" si="63"/>
        <v>-549.41000000000349</v>
      </c>
      <c r="T331" s="436"/>
      <c r="U331" s="436"/>
      <c r="V331" s="439"/>
      <c r="W331" s="439"/>
      <c r="X331" s="439"/>
      <c r="Y331" s="439"/>
      <c r="Z331" s="439"/>
      <c r="AA331" s="439"/>
      <c r="AB331" s="439"/>
      <c r="AC331" s="439"/>
      <c r="AD331" s="439"/>
      <c r="AE331" s="439"/>
      <c r="AF331" s="439"/>
      <c r="AG331" s="439"/>
      <c r="AH331" s="439"/>
      <c r="AI331" s="439"/>
      <c r="AJ331" s="439"/>
      <c r="AK331" s="439"/>
      <c r="AL331" s="439"/>
      <c r="AM331" s="439"/>
      <c r="AN331" s="439"/>
    </row>
    <row r="332" spans="1:40" ht="15.75" customHeight="1">
      <c r="A332" s="452" t="s">
        <v>395</v>
      </c>
      <c r="B332" s="439" t="s">
        <v>94</v>
      </c>
      <c r="C332" s="541" t="s">
        <v>42</v>
      </c>
      <c r="D332" s="543"/>
      <c r="E332" s="544"/>
      <c r="F332" s="463">
        <f t="array" ref="F332">+INDEX('[3]Budget original'!$A$2:$AO$501,MATCH($A332,'[3]Budget original'!$A$2:$A$501,0),MATCH(F$2,'[3]Budget original'!$A$2:$AO$2,0))</f>
        <v>0</v>
      </c>
      <c r="G332" s="545"/>
      <c r="H332" s="544"/>
      <c r="I332" s="463"/>
      <c r="J332" s="447"/>
      <c r="K332" s="544"/>
      <c r="L332" s="503">
        <f>SUMIFS([3]BV_Data_An_Cour!$AM:$AM,[3]BV_Data_An_Cour!$AP:$AP,$B332,[3]BV_Data_An_Cour!$AQ:$AQ,$C332,[3]BV_Data_An_Cour!$AR:$AR,$L$2)</f>
        <v>2747.8500000000004</v>
      </c>
      <c r="M332" s="447"/>
      <c r="N332" s="503">
        <f t="shared" si="62"/>
        <v>2747.8500000000004</v>
      </c>
      <c r="O332" s="447"/>
      <c r="P332" s="544"/>
      <c r="Q332" s="503">
        <f>SUMIFS([3]BV_Data_An_Prec!$AM:$AM,[3]BV_Data_An_Prec!$AP:$AP,$B332,[3]BV_Data_An_Prec!$AQ:$AQ,$C332,[3]BV_Data_An_Prec!$AR:$AR,$L$2)</f>
        <v>0</v>
      </c>
      <c r="R332" s="447"/>
      <c r="S332" s="503">
        <f t="shared" si="63"/>
        <v>2747.8500000000004</v>
      </c>
      <c r="T332" s="436"/>
      <c r="U332" s="436"/>
      <c r="V332" s="439"/>
      <c r="W332" s="439"/>
      <c r="X332" s="439"/>
      <c r="Y332" s="439"/>
      <c r="Z332" s="439"/>
      <c r="AA332" s="439"/>
      <c r="AB332" s="439"/>
      <c r="AC332" s="439"/>
      <c r="AD332" s="439"/>
      <c r="AE332" s="439"/>
      <c r="AF332" s="439"/>
      <c r="AG332" s="439"/>
      <c r="AH332" s="439"/>
      <c r="AI332" s="439"/>
      <c r="AJ332" s="439"/>
      <c r="AK332" s="439"/>
      <c r="AL332" s="439"/>
      <c r="AM332" s="439"/>
      <c r="AN332" s="439"/>
    </row>
    <row r="333" spans="1:40" ht="15.75" customHeight="1">
      <c r="A333" s="452" t="s">
        <v>396</v>
      </c>
      <c r="B333" s="439" t="s">
        <v>94</v>
      </c>
      <c r="C333" s="541" t="s">
        <v>43</v>
      </c>
      <c r="D333" s="528"/>
      <c r="E333" s="439"/>
      <c r="F333" s="463">
        <f t="array" ref="F333">+INDEX('[3]Budget original'!$A$2:$AO$501,MATCH($A333,'[3]Budget original'!$A$2:$A$501,0),MATCH(F$2,'[3]Budget original'!$A$2:$AO$2,0))</f>
        <v>0</v>
      </c>
      <c r="G333" s="529"/>
      <c r="H333" s="439"/>
      <c r="I333" s="463"/>
      <c r="J333" s="462"/>
      <c r="K333" s="439"/>
      <c r="L333" s="466">
        <f>SUMIFS([3]BV_Data_An_Cour!$AM:$AM,[3]BV_Data_An_Cour!$AP:$AP,$B333,[3]BV_Data_An_Cour!$AQ:$AQ,$C333,[3]BV_Data_An_Cour!$AR:$AR,$L$2)</f>
        <v>0</v>
      </c>
      <c r="M333" s="462"/>
      <c r="N333" s="466">
        <f t="shared" si="62"/>
        <v>0</v>
      </c>
      <c r="O333" s="462"/>
      <c r="P333" s="439"/>
      <c r="Q333" s="466">
        <f>SUMIFS([3]BV_Data_An_Prec!$AM:$AM,[3]BV_Data_An_Prec!$AP:$AP,$B333,[3]BV_Data_An_Prec!$AQ:$AQ,$C333,[3]BV_Data_An_Prec!$AR:$AR,$L$2)</f>
        <v>0</v>
      </c>
      <c r="R333" s="462"/>
      <c r="S333" s="466">
        <f t="shared" si="63"/>
        <v>0</v>
      </c>
      <c r="T333" s="436"/>
      <c r="U333" s="436"/>
      <c r="V333" s="439"/>
      <c r="W333" s="439"/>
      <c r="X333" s="439"/>
      <c r="Y333" s="439"/>
      <c r="Z333" s="439"/>
      <c r="AA333" s="439"/>
      <c r="AB333" s="439"/>
      <c r="AC333" s="439"/>
      <c r="AD333" s="439"/>
      <c r="AE333" s="439"/>
      <c r="AF333" s="439"/>
      <c r="AG333" s="439"/>
      <c r="AH333" s="439"/>
      <c r="AI333" s="439"/>
      <c r="AJ333" s="439"/>
      <c r="AK333" s="439"/>
      <c r="AL333" s="439"/>
      <c r="AM333" s="439"/>
      <c r="AN333" s="439"/>
    </row>
    <row r="334" spans="1:40" ht="20.25" hidden="1" customHeight="1">
      <c r="A334" s="452" t="s">
        <v>397</v>
      </c>
      <c r="B334" s="439" t="s">
        <v>94</v>
      </c>
      <c r="C334" s="462" t="s">
        <v>19</v>
      </c>
      <c r="D334" s="528"/>
      <c r="E334" s="439"/>
      <c r="F334" s="463">
        <f t="array" ref="F334">+INDEX('[3]Budget original'!$A$2:$AO$501,MATCH($A334,'[3]Budget original'!$A$2:$A$501,0),MATCH(F$2,'[3]Budget original'!$A$2:$AO$2,0))</f>
        <v>0</v>
      </c>
      <c r="G334" s="529"/>
      <c r="H334" s="439"/>
      <c r="I334" s="463"/>
      <c r="J334" s="462"/>
      <c r="K334" s="439"/>
      <c r="L334" s="466">
        <f>SUMIFS([3]BV_Data_An_Cour!$AM:$AM,[3]BV_Data_An_Cour!$AP:$AP,$B334,[3]BV_Data_An_Cour!$AQ:$AQ,$C334,[3]BV_Data_An_Cour!$AR:$AR,$L$2)</f>
        <v>0</v>
      </c>
      <c r="M334" s="462"/>
      <c r="N334" s="466">
        <f t="shared" si="62"/>
        <v>0</v>
      </c>
      <c r="O334" s="462"/>
      <c r="P334" s="439"/>
      <c r="Q334" s="466">
        <f>SUMIFS([3]BV_Data_An_Prec!$AM:$AM,[3]BV_Data_An_Prec!$AP:$AP,$B334,[3]BV_Data_An_Prec!$AQ:$AQ,$C334,[3]BV_Data_An_Prec!$AR:$AR,$L$2)</f>
        <v>0</v>
      </c>
      <c r="R334" s="462"/>
      <c r="S334" s="466">
        <f t="shared" si="63"/>
        <v>0</v>
      </c>
      <c r="T334" s="436"/>
      <c r="U334" s="436"/>
      <c r="V334" s="439"/>
      <c r="W334" s="439"/>
      <c r="X334" s="439"/>
      <c r="Y334" s="439"/>
      <c r="Z334" s="439"/>
      <c r="AA334" s="439"/>
      <c r="AB334" s="439"/>
      <c r="AC334" s="439"/>
      <c r="AD334" s="439"/>
      <c r="AE334" s="439"/>
      <c r="AF334" s="439"/>
      <c r="AG334" s="439"/>
      <c r="AH334" s="439"/>
      <c r="AI334" s="439"/>
      <c r="AJ334" s="439"/>
      <c r="AK334" s="439"/>
      <c r="AL334" s="439"/>
      <c r="AM334" s="439"/>
      <c r="AN334" s="439"/>
    </row>
    <row r="335" spans="1:40" ht="20.25" hidden="1" customHeight="1">
      <c r="A335" s="452" t="s">
        <v>397</v>
      </c>
      <c r="B335" s="439" t="s">
        <v>94</v>
      </c>
      <c r="C335" s="462" t="s">
        <v>19</v>
      </c>
      <c r="D335" s="528"/>
      <c r="E335" s="439"/>
      <c r="F335" s="463">
        <f t="array" ref="F335">+INDEX('[3]Budget original'!$A$2:$AO$501,MATCH($A335,'[3]Budget original'!$A$2:$A$501,0),MATCH(F$2,'[3]Budget original'!$A$2:$AO$2,0))</f>
        <v>0</v>
      </c>
      <c r="G335" s="529"/>
      <c r="H335" s="439"/>
      <c r="I335" s="463"/>
      <c r="J335" s="462"/>
      <c r="K335" s="439"/>
      <c r="L335" s="466">
        <f>SUMIFS([3]BV_Data_An_Cour!$AM:$AM,[3]BV_Data_An_Cour!$AP:$AP,$B335,[3]BV_Data_An_Cour!$AQ:$AQ,$C335,[3]BV_Data_An_Cour!$AR:$AR,$L$2)</f>
        <v>0</v>
      </c>
      <c r="M335" s="462"/>
      <c r="N335" s="466">
        <f t="shared" si="62"/>
        <v>0</v>
      </c>
      <c r="O335" s="462"/>
      <c r="P335" s="439"/>
      <c r="Q335" s="466">
        <f>SUMIFS([3]BV_Data_An_Prec!$AM:$AM,[3]BV_Data_An_Prec!$AP:$AP,$B335,[3]BV_Data_An_Prec!$AQ:$AQ,$C335,[3]BV_Data_An_Prec!$AR:$AR,$L$2)</f>
        <v>0</v>
      </c>
      <c r="R335" s="462"/>
      <c r="S335" s="466">
        <f t="shared" si="63"/>
        <v>0</v>
      </c>
      <c r="T335" s="436"/>
      <c r="U335" s="436"/>
      <c r="V335" s="439"/>
      <c r="W335" s="439"/>
      <c r="X335" s="439"/>
      <c r="Y335" s="439"/>
      <c r="Z335" s="439"/>
      <c r="AA335" s="439"/>
      <c r="AB335" s="439"/>
      <c r="AC335" s="439"/>
      <c r="AD335" s="439"/>
      <c r="AE335" s="439"/>
      <c r="AF335" s="439"/>
      <c r="AG335" s="439"/>
      <c r="AH335" s="439"/>
      <c r="AI335" s="439"/>
      <c r="AJ335" s="439"/>
      <c r="AK335" s="439"/>
      <c r="AL335" s="439"/>
      <c r="AM335" s="439"/>
      <c r="AN335" s="439"/>
    </row>
    <row r="336" spans="1:40" ht="20.25" hidden="1" customHeight="1">
      <c r="A336" s="452" t="s">
        <v>397</v>
      </c>
      <c r="B336" s="439" t="s">
        <v>94</v>
      </c>
      <c r="C336" s="462" t="s">
        <v>19</v>
      </c>
      <c r="D336" s="528"/>
      <c r="E336" s="439"/>
      <c r="F336" s="463">
        <f t="array" ref="F336">+INDEX('[3]Budget original'!$A$2:$AO$501,MATCH($A336,'[3]Budget original'!$A$2:$A$501,0),MATCH(F$2,'[3]Budget original'!$A$2:$AO$2,0))</f>
        <v>0</v>
      </c>
      <c r="G336" s="529"/>
      <c r="H336" s="439"/>
      <c r="I336" s="463"/>
      <c r="J336" s="462"/>
      <c r="K336" s="439"/>
      <c r="L336" s="466">
        <f>SUMIFS([3]BV_Data_An_Cour!$AM:$AM,[3]BV_Data_An_Cour!$AP:$AP,$B336,[3]BV_Data_An_Cour!$AQ:$AQ,$C336,[3]BV_Data_An_Cour!$AR:$AR,$L$2)</f>
        <v>0</v>
      </c>
      <c r="M336" s="462"/>
      <c r="N336" s="466">
        <f t="shared" si="62"/>
        <v>0</v>
      </c>
      <c r="O336" s="462"/>
      <c r="P336" s="439"/>
      <c r="Q336" s="466">
        <f>SUMIFS([3]BV_Data_An_Prec!$AM:$AM,[3]BV_Data_An_Prec!$AP:$AP,$B336,[3]BV_Data_An_Prec!$AQ:$AQ,$C336,[3]BV_Data_An_Prec!$AR:$AR,$L$2)</f>
        <v>0</v>
      </c>
      <c r="R336" s="462"/>
      <c r="S336" s="466">
        <f t="shared" si="63"/>
        <v>0</v>
      </c>
      <c r="T336" s="436"/>
      <c r="U336" s="436"/>
      <c r="V336" s="439"/>
      <c r="W336" s="439"/>
      <c r="X336" s="439"/>
      <c r="Y336" s="439"/>
      <c r="Z336" s="439"/>
      <c r="AA336" s="439"/>
      <c r="AB336" s="439"/>
      <c r="AC336" s="439"/>
      <c r="AD336" s="439"/>
      <c r="AE336" s="439"/>
      <c r="AF336" s="439"/>
      <c r="AG336" s="439"/>
      <c r="AH336" s="439"/>
      <c r="AI336" s="439"/>
      <c r="AJ336" s="439"/>
      <c r="AK336" s="439"/>
      <c r="AL336" s="439"/>
      <c r="AM336" s="439"/>
      <c r="AN336" s="439"/>
    </row>
    <row r="337" spans="1:40" ht="15.75" customHeight="1">
      <c r="A337" s="452" t="s">
        <v>398</v>
      </c>
      <c r="B337" s="439" t="s">
        <v>94</v>
      </c>
      <c r="C337" s="542" t="s">
        <v>44</v>
      </c>
      <c r="D337" s="528"/>
      <c r="E337" s="439"/>
      <c r="F337" s="455">
        <f t="array" ref="F337">+INDEX('[3]Budget original'!$A$2:$AO$501,MATCH($A337,'[3]Budget original'!$A$2:$A$501,0),MATCH(F$2,'[3]Budget original'!$A$2:$AO$2,0))</f>
        <v>0</v>
      </c>
      <c r="G337" s="529"/>
      <c r="H337" s="439"/>
      <c r="I337" s="455"/>
      <c r="J337" s="462"/>
      <c r="K337" s="439"/>
      <c r="L337" s="466">
        <f>SUMIFS([3]BV_Data_An_Cour!$AM:$AM,[3]BV_Data_An_Cour!$AP:$AP,$B337,[3]BV_Data_An_Cour!$AQ:$AQ,$C337,[3]BV_Data_An_Cour!$AR:$AR,$L$2)</f>
        <v>5365.2000000000044</v>
      </c>
      <c r="M337" s="462"/>
      <c r="N337" s="466">
        <f t="shared" si="62"/>
        <v>5365.2000000000044</v>
      </c>
      <c r="O337" s="462"/>
      <c r="P337" s="439"/>
      <c r="Q337" s="466">
        <f>SUMIFS([3]BV_Data_An_Prec!$AM:$AM,[3]BV_Data_An_Prec!$AP:$AP,$B337,[3]BV_Data_An_Prec!$AQ:$AQ,$C337,[3]BV_Data_An_Prec!$AR:$AR,$L$2)</f>
        <v>4524.4200000000019</v>
      </c>
      <c r="R337" s="462"/>
      <c r="S337" s="466">
        <f t="shared" si="63"/>
        <v>840.78000000000247</v>
      </c>
      <c r="T337" s="436"/>
      <c r="U337" s="436"/>
      <c r="V337" s="439"/>
      <c r="W337" s="439"/>
      <c r="X337" s="439"/>
      <c r="Y337" s="439"/>
      <c r="Z337" s="439"/>
      <c r="AA337" s="439"/>
      <c r="AB337" s="439"/>
      <c r="AC337" s="439"/>
      <c r="AD337" s="439"/>
      <c r="AE337" s="439"/>
      <c r="AF337" s="439"/>
      <c r="AG337" s="439"/>
      <c r="AH337" s="439"/>
      <c r="AI337" s="439"/>
      <c r="AJ337" s="439"/>
      <c r="AK337" s="439"/>
      <c r="AL337" s="439"/>
      <c r="AM337" s="439"/>
      <c r="AN337" s="439"/>
    </row>
    <row r="338" spans="1:40" ht="15.75" customHeight="1">
      <c r="A338" s="452" t="s">
        <v>399</v>
      </c>
      <c r="B338" s="439" t="s">
        <v>94</v>
      </c>
      <c r="C338" s="541" t="s">
        <v>45</v>
      </c>
      <c r="D338" s="543"/>
      <c r="E338" s="544"/>
      <c r="F338" s="463">
        <f t="array" ref="F338">+INDEX('[3]Budget original'!$A$2:$AO$501,MATCH($A338,'[3]Budget original'!$A$2:$A$501,0),MATCH(F$2,'[3]Budget original'!$A$2:$AO$2,0))</f>
        <v>0</v>
      </c>
      <c r="G338" s="545"/>
      <c r="H338" s="544"/>
      <c r="I338" s="463"/>
      <c r="J338" s="447"/>
      <c r="K338" s="544"/>
      <c r="L338" s="503">
        <f>SUMIFS([3]BV_Data_An_Cour!$AM:$AM,[3]BV_Data_An_Cour!$AP:$AP,$B338,[3]BV_Data_An_Cour!$AQ:$AQ,$C338,[3]BV_Data_An_Cour!$AR:$AR,$L$2)</f>
        <v>5519.6900000000023</v>
      </c>
      <c r="M338" s="447"/>
      <c r="N338" s="503">
        <f t="shared" si="62"/>
        <v>5519.6900000000023</v>
      </c>
      <c r="O338" s="447"/>
      <c r="P338" s="544"/>
      <c r="Q338" s="503">
        <f>SUMIFS([3]BV_Data_An_Prec!$AM:$AM,[3]BV_Data_An_Prec!$AP:$AP,$B338,[3]BV_Data_An_Prec!$AQ:$AQ,$C338,[3]BV_Data_An_Prec!$AR:$AR,$L$2)</f>
        <v>5123.9100000000035</v>
      </c>
      <c r="R338" s="447"/>
      <c r="S338" s="503">
        <f t="shared" si="63"/>
        <v>395.77999999999884</v>
      </c>
      <c r="T338" s="436"/>
      <c r="U338" s="436"/>
      <c r="V338" s="439"/>
      <c r="W338" s="439"/>
      <c r="X338" s="439"/>
      <c r="Y338" s="439"/>
      <c r="Z338" s="439"/>
      <c r="AA338" s="439"/>
      <c r="AB338" s="439"/>
      <c r="AC338" s="439"/>
      <c r="AD338" s="439"/>
      <c r="AE338" s="439"/>
      <c r="AF338" s="439"/>
      <c r="AG338" s="439"/>
      <c r="AH338" s="439"/>
      <c r="AI338" s="439"/>
      <c r="AJ338" s="439"/>
      <c r="AK338" s="439"/>
      <c r="AL338" s="439"/>
      <c r="AM338" s="439"/>
      <c r="AN338" s="439"/>
    </row>
    <row r="339" spans="1:40" ht="15.75" customHeight="1">
      <c r="A339" s="452" t="s">
        <v>400</v>
      </c>
      <c r="B339" s="439" t="s">
        <v>94</v>
      </c>
      <c r="C339" s="541" t="s">
        <v>46</v>
      </c>
      <c r="D339" s="528"/>
      <c r="E339" s="439"/>
      <c r="F339" s="463">
        <f t="array" ref="F339">+INDEX('[3]Budget original'!$A$2:$AO$501,MATCH($A339,'[3]Budget original'!$A$2:$A$501,0),MATCH(F$2,'[3]Budget original'!$A$2:$AO$2,0))</f>
        <v>0</v>
      </c>
      <c r="G339" s="529"/>
      <c r="H339" s="439"/>
      <c r="I339" s="463"/>
      <c r="J339" s="462"/>
      <c r="K339" s="439"/>
      <c r="L339" s="466">
        <f>SUMIFS([3]BV_Data_An_Cour!$AM:$AM,[3]BV_Data_An_Cour!$AP:$AP,$B339,[3]BV_Data_An_Cour!$AQ:$AQ,$C339,[3]BV_Data_An_Cour!$AR:$AR,$L$2)</f>
        <v>1186.8600000000006</v>
      </c>
      <c r="M339" s="462"/>
      <c r="N339" s="466">
        <f t="shared" si="62"/>
        <v>1186.8600000000006</v>
      </c>
      <c r="O339" s="462"/>
      <c r="P339" s="439"/>
      <c r="Q339" s="466">
        <f>SUMIFS([3]BV_Data_An_Prec!$AM:$AM,[3]BV_Data_An_Prec!$AP:$AP,$B339,[3]BV_Data_An_Prec!$AQ:$AQ,$C339,[3]BV_Data_An_Prec!$AR:$AR,$L$2)</f>
        <v>2673.9199999999983</v>
      </c>
      <c r="R339" s="462"/>
      <c r="S339" s="466">
        <f t="shared" si="63"/>
        <v>-1487.0599999999977</v>
      </c>
      <c r="T339" s="436"/>
      <c r="U339" s="436"/>
      <c r="V339" s="439"/>
      <c r="W339" s="439"/>
      <c r="X339" s="439"/>
      <c r="Y339" s="439"/>
      <c r="Z339" s="439"/>
      <c r="AA339" s="439"/>
      <c r="AB339" s="439"/>
      <c r="AC339" s="439"/>
      <c r="AD339" s="439"/>
      <c r="AE339" s="439"/>
      <c r="AF339" s="439"/>
      <c r="AG339" s="439"/>
      <c r="AH339" s="439"/>
      <c r="AI339" s="439"/>
      <c r="AJ339" s="439"/>
      <c r="AK339" s="439"/>
      <c r="AL339" s="439"/>
      <c r="AM339" s="439"/>
      <c r="AN339" s="439"/>
    </row>
    <row r="340" spans="1:40" ht="15.75" customHeight="1">
      <c r="A340" s="452" t="s">
        <v>401</v>
      </c>
      <c r="B340" s="439" t="s">
        <v>94</v>
      </c>
      <c r="C340" s="541" t="s">
        <v>47</v>
      </c>
      <c r="D340" s="528"/>
      <c r="E340" s="439"/>
      <c r="F340" s="463">
        <f t="array" ref="F340">+INDEX('[3]Budget original'!$A$2:$AO$501,MATCH($A340,'[3]Budget original'!$A$2:$A$501,0),MATCH(F$2,'[3]Budget original'!$A$2:$AO$2,0))</f>
        <v>0</v>
      </c>
      <c r="G340" s="529"/>
      <c r="H340" s="439"/>
      <c r="I340" s="463"/>
      <c r="J340" s="462"/>
      <c r="K340" s="439"/>
      <c r="L340" s="466">
        <f>SUMIFS([3]BV_Data_An_Cour!$AM:$AM,[3]BV_Data_An_Cour!$AP:$AP,$B340,[3]BV_Data_An_Cour!$AQ:$AQ,$C340,[3]BV_Data_An_Cour!$AR:$AR,$L$2)</f>
        <v>1652.8300000000008</v>
      </c>
      <c r="M340" s="462"/>
      <c r="N340" s="466">
        <f t="shared" si="62"/>
        <v>1652.8300000000008</v>
      </c>
      <c r="O340" s="462"/>
      <c r="P340" s="439"/>
      <c r="Q340" s="466">
        <f>SUMIFS([3]BV_Data_An_Prec!$AM:$AM,[3]BV_Data_An_Prec!$AP:$AP,$B340,[3]BV_Data_An_Prec!$AQ:$AQ,$C340,[3]BV_Data_An_Prec!$AR:$AR,$L$2)</f>
        <v>46.259999999999991</v>
      </c>
      <c r="R340" s="462"/>
      <c r="S340" s="466">
        <f t="shared" si="63"/>
        <v>1606.5700000000008</v>
      </c>
      <c r="T340" s="436"/>
      <c r="U340" s="436"/>
      <c r="V340" s="439"/>
      <c r="W340" s="439"/>
      <c r="X340" s="439"/>
      <c r="Y340" s="439"/>
      <c r="Z340" s="439"/>
      <c r="AA340" s="439"/>
      <c r="AB340" s="439"/>
      <c r="AC340" s="439"/>
      <c r="AD340" s="439"/>
      <c r="AE340" s="439"/>
      <c r="AF340" s="439"/>
      <c r="AG340" s="439"/>
      <c r="AH340" s="439"/>
      <c r="AI340" s="439"/>
      <c r="AJ340" s="439"/>
      <c r="AK340" s="439"/>
      <c r="AL340" s="439"/>
      <c r="AM340" s="439"/>
      <c r="AN340" s="439"/>
    </row>
    <row r="341" spans="1:40" ht="20.25" hidden="1" customHeight="1">
      <c r="A341" s="452" t="s">
        <v>397</v>
      </c>
      <c r="B341" s="439" t="s">
        <v>94</v>
      </c>
      <c r="C341" s="462" t="s">
        <v>19</v>
      </c>
      <c r="D341" s="531"/>
      <c r="E341" s="546"/>
      <c r="F341" s="463">
        <f t="array" ref="F341">+INDEX('[3]Budget original'!$A$2:$AO$501,MATCH($A341,'[3]Budget original'!$A$2:$A$501,0),MATCH(F$2,'[3]Budget original'!$A$2:$AO$2,0))</f>
        <v>0</v>
      </c>
      <c r="G341" s="532"/>
      <c r="H341" s="546"/>
      <c r="I341" s="463"/>
      <c r="J341" s="453"/>
      <c r="K341" s="546"/>
      <c r="L341" s="466">
        <f>SUMIFS([3]BV_Data_An_Cour!$AM:$AM,[3]BV_Data_An_Cour!$AP:$AP,$B341,[3]BV_Data_An_Cour!$AQ:$AQ,$C341,[3]BV_Data_An_Cour!$AR:$AR,$L$2)</f>
        <v>0</v>
      </c>
      <c r="M341" s="453"/>
      <c r="N341" s="458">
        <f t="shared" si="62"/>
        <v>0</v>
      </c>
      <c r="O341" s="453"/>
      <c r="P341" s="546"/>
      <c r="Q341" s="466">
        <f>SUMIFS([3]BV_Data_An_Prec!$AM:$AM,[3]BV_Data_An_Prec!$AP:$AP,$B341,[3]BV_Data_An_Prec!$AQ:$AQ,$C341,[3]BV_Data_An_Prec!$AR:$AR,$L$2)</f>
        <v>0</v>
      </c>
      <c r="R341" s="453"/>
      <c r="S341" s="458">
        <f t="shared" si="63"/>
        <v>0</v>
      </c>
      <c r="T341" s="436"/>
      <c r="U341" s="436"/>
      <c r="V341" s="439"/>
      <c r="W341" s="439"/>
      <c r="X341" s="439"/>
      <c r="Y341" s="439"/>
      <c r="Z341" s="439"/>
      <c r="AA341" s="439"/>
      <c r="AB341" s="439"/>
      <c r="AC341" s="439"/>
      <c r="AD341" s="439"/>
      <c r="AE341" s="439"/>
      <c r="AF341" s="439"/>
      <c r="AG341" s="439"/>
      <c r="AH341" s="439"/>
      <c r="AI341" s="439"/>
      <c r="AJ341" s="439"/>
      <c r="AK341" s="439"/>
      <c r="AL341" s="439"/>
      <c r="AM341" s="439"/>
      <c r="AN341" s="439"/>
    </row>
    <row r="342" spans="1:40" ht="18" customHeight="1">
      <c r="A342" s="452" t="s">
        <v>402</v>
      </c>
      <c r="B342" s="439" t="s">
        <v>94</v>
      </c>
      <c r="C342" s="534" t="s">
        <v>48</v>
      </c>
      <c r="D342" s="535" t="s">
        <v>38</v>
      </c>
      <c r="E342" s="536" t="e">
        <f>F342/F$326</f>
        <v>#DIV/0!</v>
      </c>
      <c r="F342" s="537">
        <f>+SUM(F330:F341)</f>
        <v>0</v>
      </c>
      <c r="G342" s="538"/>
      <c r="H342" s="536"/>
      <c r="I342" s="537"/>
      <c r="J342" s="538" t="s">
        <v>38</v>
      </c>
      <c r="K342" s="536">
        <f>IF(L326=0,0,L342/L$326)</f>
        <v>0.40533409105273982</v>
      </c>
      <c r="L342" s="537">
        <f>+SUM(L330:L341)</f>
        <v>36233.240000000005</v>
      </c>
      <c r="M342" s="539"/>
      <c r="N342" s="537">
        <f t="shared" si="62"/>
        <v>36233.240000000005</v>
      </c>
      <c r="O342" s="538" t="s">
        <v>38</v>
      </c>
      <c r="P342" s="536">
        <f>IF(Q326=0,0,Q342/Q$326)</f>
        <v>0.52321343221735628</v>
      </c>
      <c r="Q342" s="537">
        <f>+SUM(Q330:Q341)</f>
        <v>39496.210000000014</v>
      </c>
      <c r="R342" s="540"/>
      <c r="S342" s="537">
        <f t="shared" si="63"/>
        <v>-3262.9700000000084</v>
      </c>
      <c r="T342" s="436"/>
      <c r="U342" s="436"/>
      <c r="V342" s="439"/>
      <c r="W342" s="439"/>
      <c r="X342" s="439"/>
      <c r="Y342" s="439"/>
      <c r="Z342" s="439"/>
      <c r="AA342" s="439"/>
      <c r="AB342" s="439"/>
      <c r="AC342" s="439"/>
      <c r="AD342" s="439"/>
      <c r="AE342" s="439"/>
      <c r="AF342" s="439"/>
      <c r="AG342" s="439"/>
      <c r="AH342" s="439"/>
      <c r="AI342" s="439"/>
      <c r="AJ342" s="439"/>
      <c r="AK342" s="439"/>
      <c r="AL342" s="439"/>
      <c r="AM342" s="439"/>
      <c r="AN342" s="439"/>
    </row>
    <row r="343" spans="1:40" ht="15.75" customHeight="1">
      <c r="A343" s="452" t="s">
        <v>403</v>
      </c>
      <c r="B343" s="439" t="s">
        <v>94</v>
      </c>
      <c r="C343" s="634" t="s">
        <v>49</v>
      </c>
      <c r="D343" s="528"/>
      <c r="E343" s="439"/>
      <c r="F343" s="463">
        <f t="array" ref="F343">+INDEX('[3]Budget original'!$A$2:$AO$501,MATCH($A343,'[3]Budget original'!$A$2:$A$501,0),MATCH(F$2,'[3]Budget original'!$A$2:$AO$2,0))</f>
        <v>0</v>
      </c>
      <c r="G343" s="529"/>
      <c r="H343" s="439"/>
      <c r="I343" s="463"/>
      <c r="J343" s="462"/>
      <c r="K343" s="439"/>
      <c r="L343" s="466">
        <f>SUMIFS([3]BV_Data_An_Cour!$AM:$AM,[3]BV_Data_An_Cour!$AP:$AP,$B343,[3]BV_Data_An_Cour!$AQ:$AQ,$C343,[3]BV_Data_An_Cour!$AR:$AR,$L$2)</f>
        <v>1885.45</v>
      </c>
      <c r="M343" s="462"/>
      <c r="N343" s="466">
        <f t="shared" si="62"/>
        <v>1885.45</v>
      </c>
      <c r="O343" s="462"/>
      <c r="P343" s="439"/>
      <c r="Q343" s="466">
        <f>SUMIFS([3]BV_Data_An_Prec!$AM:$AM,[3]BV_Data_An_Prec!$AP:$AP,$B343,[3]BV_Data_An_Prec!$AQ:$AQ,$C343,[3]BV_Data_An_Prec!$AR:$AR,$L$2)</f>
        <v>1266.0899999999999</v>
      </c>
      <c r="R343" s="462"/>
      <c r="S343" s="466">
        <f t="shared" si="63"/>
        <v>619.36000000000013</v>
      </c>
      <c r="T343" s="436"/>
      <c r="U343" s="436"/>
      <c r="V343" s="439"/>
      <c r="W343" s="439"/>
      <c r="X343" s="439"/>
      <c r="Y343" s="439"/>
      <c r="Z343" s="439"/>
      <c r="AA343" s="439"/>
      <c r="AB343" s="439"/>
      <c r="AC343" s="439"/>
      <c r="AD343" s="439"/>
      <c r="AE343" s="439"/>
      <c r="AF343" s="439"/>
      <c r="AG343" s="439"/>
      <c r="AH343" s="439"/>
      <c r="AI343" s="439"/>
      <c r="AJ343" s="439"/>
      <c r="AK343" s="439"/>
      <c r="AL343" s="439"/>
      <c r="AM343" s="439"/>
      <c r="AN343" s="439"/>
    </row>
    <row r="344" spans="1:40" ht="15.75" customHeight="1">
      <c r="A344" s="452" t="s">
        <v>404</v>
      </c>
      <c r="B344" s="439" t="s">
        <v>94</v>
      </c>
      <c r="C344" s="541" t="s">
        <v>50</v>
      </c>
      <c r="D344" s="528"/>
      <c r="E344" s="439"/>
      <c r="F344" s="463">
        <f t="array" ref="F344">+INDEX('[3]Budget original'!$A$2:$AO$501,MATCH($A344,'[3]Budget original'!$A$2:$A$501,0),MATCH(F$2,'[3]Budget original'!$A$2:$AO$2,0))</f>
        <v>0</v>
      </c>
      <c r="G344" s="529"/>
      <c r="H344" s="439"/>
      <c r="I344" s="463"/>
      <c r="J344" s="462"/>
      <c r="K344" s="439"/>
      <c r="L344" s="466">
        <f>SUMIFS([3]BV_Data_An_Cour!$AM:$AM,[3]BV_Data_An_Cour!$AP:$AP,$B344,[3]BV_Data_An_Cour!$AQ:$AQ,$C344,[3]BV_Data_An_Cour!$AR:$AR,$L$2)</f>
        <v>1829.2199999999993</v>
      </c>
      <c r="M344" s="462"/>
      <c r="N344" s="466">
        <f t="shared" si="62"/>
        <v>1829.2199999999993</v>
      </c>
      <c r="O344" s="462"/>
      <c r="P344" s="439"/>
      <c r="Q344" s="466">
        <f>SUMIFS([3]BV_Data_An_Prec!$AM:$AM,[3]BV_Data_An_Prec!$AP:$AP,$B344,[3]BV_Data_An_Prec!$AQ:$AQ,$C344,[3]BV_Data_An_Prec!$AR:$AR,$L$2)</f>
        <v>821.70999999999913</v>
      </c>
      <c r="R344" s="462"/>
      <c r="S344" s="466">
        <f t="shared" si="63"/>
        <v>1007.5100000000002</v>
      </c>
      <c r="T344" s="436"/>
      <c r="U344" s="436"/>
      <c r="V344" s="439"/>
      <c r="W344" s="439"/>
      <c r="X344" s="439"/>
      <c r="Y344" s="439"/>
      <c r="Z344" s="439"/>
      <c r="AA344" s="439"/>
      <c r="AB344" s="439"/>
      <c r="AC344" s="439"/>
      <c r="AD344" s="439"/>
      <c r="AE344" s="439"/>
      <c r="AF344" s="439"/>
      <c r="AG344" s="439"/>
      <c r="AH344" s="439"/>
      <c r="AI344" s="439"/>
      <c r="AJ344" s="439"/>
      <c r="AK344" s="439"/>
      <c r="AL344" s="439"/>
      <c r="AM344" s="439"/>
      <c r="AN344" s="439"/>
    </row>
    <row r="345" spans="1:40" ht="15.75" customHeight="1">
      <c r="A345" s="452" t="s">
        <v>405</v>
      </c>
      <c r="B345" s="439" t="s">
        <v>94</v>
      </c>
      <c r="C345" s="542" t="s">
        <v>51</v>
      </c>
      <c r="D345" s="531"/>
      <c r="E345" s="546"/>
      <c r="F345" s="455">
        <f t="array" ref="F345">+INDEX('[3]Budget original'!$A$2:$AO$501,MATCH($A345,'[3]Budget original'!$A$2:$A$501,0),MATCH(F$2,'[3]Budget original'!$A$2:$AO$2,0))</f>
        <v>0</v>
      </c>
      <c r="G345" s="532"/>
      <c r="H345" s="546"/>
      <c r="I345" s="455"/>
      <c r="J345" s="453"/>
      <c r="K345" s="546"/>
      <c r="L345" s="466">
        <f>SUMIFS([3]BV_Data_An_Cour!$AM:$AM,[3]BV_Data_An_Cour!$AP:$AP,$B345,[3]BV_Data_An_Cour!$AQ:$AQ,$C345,[3]BV_Data_An_Cour!$AR:$AR,$L$2)</f>
        <v>575.58999999999969</v>
      </c>
      <c r="M345" s="453"/>
      <c r="N345" s="458">
        <f t="shared" si="62"/>
        <v>575.58999999999969</v>
      </c>
      <c r="O345" s="453"/>
      <c r="P345" s="546"/>
      <c r="Q345" s="466">
        <f>SUMIFS([3]BV_Data_An_Prec!$AM:$AM,[3]BV_Data_An_Prec!$AP:$AP,$B345,[3]BV_Data_An_Prec!$AQ:$AQ,$C345,[3]BV_Data_An_Prec!$AR:$AR,$L$2)</f>
        <v>1041.1599999999999</v>
      </c>
      <c r="R345" s="453"/>
      <c r="S345" s="458">
        <f t="shared" si="63"/>
        <v>-465.57000000000016</v>
      </c>
      <c r="T345" s="436"/>
      <c r="U345" s="436"/>
      <c r="V345" s="439"/>
      <c r="W345" s="439"/>
      <c r="X345" s="439"/>
      <c r="Y345" s="439"/>
      <c r="Z345" s="439"/>
      <c r="AA345" s="439"/>
      <c r="AB345" s="439"/>
      <c r="AC345" s="439"/>
      <c r="AD345" s="439"/>
      <c r="AE345" s="439"/>
      <c r="AF345" s="439"/>
      <c r="AG345" s="439"/>
      <c r="AH345" s="439"/>
      <c r="AI345" s="439"/>
      <c r="AJ345" s="439"/>
      <c r="AK345" s="439"/>
      <c r="AL345" s="439"/>
      <c r="AM345" s="439"/>
      <c r="AN345" s="439"/>
    </row>
    <row r="346" spans="1:40" ht="15.75" customHeight="1">
      <c r="A346" s="452" t="s">
        <v>406</v>
      </c>
      <c r="B346" s="439" t="s">
        <v>94</v>
      </c>
      <c r="C346" s="541" t="s">
        <v>52</v>
      </c>
      <c r="D346" s="528"/>
      <c r="E346" s="439"/>
      <c r="F346" s="463">
        <f t="array" ref="F346">+INDEX('[3]Budget original'!$A$2:$AO$501,MATCH($A346,'[3]Budget original'!$A$2:$A$501,0),MATCH(F$2,'[3]Budget original'!$A$2:$AO$2,0))</f>
        <v>0</v>
      </c>
      <c r="G346" s="529"/>
      <c r="H346" s="439"/>
      <c r="I346" s="463"/>
      <c r="J346" s="462"/>
      <c r="K346" s="439"/>
      <c r="L346" s="503">
        <f>SUMIFS([3]BV_Data_An_Cour!$AM:$AM,[3]BV_Data_An_Cour!$AP:$AP,$B346,[3]BV_Data_An_Cour!$AQ:$AQ,$C346,[3]BV_Data_An_Cour!$AR:$AR,$L$2)</f>
        <v>3939.3099999999977</v>
      </c>
      <c r="M346" s="462"/>
      <c r="N346" s="466">
        <f t="shared" si="62"/>
        <v>3939.3099999999977</v>
      </c>
      <c r="O346" s="462"/>
      <c r="P346" s="439"/>
      <c r="Q346" s="503">
        <f>SUMIFS([3]BV_Data_An_Prec!$AM:$AM,[3]BV_Data_An_Prec!$AP:$AP,$B346,[3]BV_Data_An_Prec!$AQ:$AQ,$C346,[3]BV_Data_An_Prec!$AR:$AR,$L$2)</f>
        <v>2561.8899999999994</v>
      </c>
      <c r="R346" s="462"/>
      <c r="S346" s="466">
        <f t="shared" si="63"/>
        <v>1377.4199999999983</v>
      </c>
      <c r="T346" s="436"/>
      <c r="U346" s="436"/>
      <c r="V346" s="439"/>
      <c r="W346" s="439"/>
      <c r="X346" s="439"/>
      <c r="Y346" s="439"/>
      <c r="Z346" s="439"/>
      <c r="AA346" s="439"/>
      <c r="AB346" s="439"/>
      <c r="AC346" s="439"/>
      <c r="AD346" s="439"/>
      <c r="AE346" s="439"/>
      <c r="AF346" s="439"/>
      <c r="AG346" s="439"/>
      <c r="AH346" s="439"/>
      <c r="AI346" s="439"/>
      <c r="AJ346" s="439"/>
      <c r="AK346" s="439"/>
      <c r="AL346" s="439"/>
      <c r="AM346" s="439"/>
      <c r="AN346" s="439"/>
    </row>
    <row r="347" spans="1:40" ht="15.75" customHeight="1">
      <c r="A347" s="452" t="s">
        <v>407</v>
      </c>
      <c r="B347" s="439" t="s">
        <v>94</v>
      </c>
      <c r="C347" s="541" t="s">
        <v>53</v>
      </c>
      <c r="D347" s="528"/>
      <c r="E347" s="439"/>
      <c r="F347" s="463">
        <f t="array" ref="F347">+INDEX('[3]Budget original'!$A$2:$AO$501,MATCH($A347,'[3]Budget original'!$A$2:$A$501,0),MATCH(F$2,'[3]Budget original'!$A$2:$AO$2,0))</f>
        <v>0</v>
      </c>
      <c r="G347" s="529"/>
      <c r="H347" s="439"/>
      <c r="I347" s="463"/>
      <c r="J347" s="462"/>
      <c r="K347" s="439"/>
      <c r="L347" s="466">
        <f>SUMIFS([3]BV_Data_An_Cour!$AM:$AM,[3]BV_Data_An_Cour!$AP:$AP,$B347,[3]BV_Data_An_Cour!$AQ:$AQ,$C347,[3]BV_Data_An_Cour!$AR:$AR,$L$2)</f>
        <v>219.6899999999996</v>
      </c>
      <c r="M347" s="462"/>
      <c r="N347" s="466">
        <f t="shared" si="62"/>
        <v>219.6899999999996</v>
      </c>
      <c r="O347" s="462"/>
      <c r="P347" s="439"/>
      <c r="Q347" s="466">
        <f>SUMIFS([3]BV_Data_An_Prec!$AM:$AM,[3]BV_Data_An_Prec!$AP:$AP,$B347,[3]BV_Data_An_Prec!$AQ:$AQ,$C347,[3]BV_Data_An_Prec!$AR:$AR,$L$2)</f>
        <v>3239.5099999999993</v>
      </c>
      <c r="R347" s="462"/>
      <c r="S347" s="466">
        <f t="shared" si="63"/>
        <v>-3019.8199999999997</v>
      </c>
      <c r="T347" s="436"/>
      <c r="U347" s="436"/>
      <c r="V347" s="439"/>
      <c r="W347" s="439"/>
      <c r="X347" s="439"/>
      <c r="Y347" s="439"/>
      <c r="Z347" s="439"/>
      <c r="AA347" s="439"/>
      <c r="AB347" s="439"/>
      <c r="AC347" s="439"/>
      <c r="AD347" s="439"/>
      <c r="AE347" s="439"/>
      <c r="AF347" s="439"/>
      <c r="AG347" s="439"/>
      <c r="AH347" s="439"/>
      <c r="AI347" s="439"/>
      <c r="AJ347" s="439"/>
      <c r="AK347" s="439"/>
      <c r="AL347" s="439"/>
      <c r="AM347" s="439"/>
      <c r="AN347" s="439"/>
    </row>
    <row r="348" spans="1:40" ht="15.75" customHeight="1">
      <c r="A348" s="452" t="s">
        <v>408</v>
      </c>
      <c r="B348" s="439" t="s">
        <v>94</v>
      </c>
      <c r="C348" s="541" t="s">
        <v>54</v>
      </c>
      <c r="D348" s="531"/>
      <c r="E348" s="546"/>
      <c r="F348" s="455">
        <f t="array" ref="F348">+INDEX('[3]Budget original'!$A$2:$AO$501,MATCH($A348,'[3]Budget original'!$A$2:$A$501,0),MATCH(F$2,'[3]Budget original'!$A$2:$AO$2,0))</f>
        <v>0</v>
      </c>
      <c r="G348" s="532"/>
      <c r="H348" s="546"/>
      <c r="I348" s="455"/>
      <c r="J348" s="453"/>
      <c r="K348" s="546"/>
      <c r="L348" s="466">
        <f>SUMIFS([3]BV_Data_An_Cour!$AM:$AM,[3]BV_Data_An_Cour!$AP:$AP,$B348,[3]BV_Data_An_Cour!$AQ:$AQ,$C348,[3]BV_Data_An_Cour!$AR:$AR,$L$2)</f>
        <v>2196.7300000000014</v>
      </c>
      <c r="M348" s="453"/>
      <c r="N348" s="458">
        <f t="shared" si="62"/>
        <v>2196.7300000000014</v>
      </c>
      <c r="O348" s="453"/>
      <c r="P348" s="546"/>
      <c r="Q348" s="466">
        <f>SUMIFS([3]BV_Data_An_Prec!$AM:$AM,[3]BV_Data_An_Prec!$AP:$AP,$B348,[3]BV_Data_An_Prec!$AQ:$AQ,$C348,[3]BV_Data_An_Prec!$AR:$AR,$L$2)</f>
        <v>3090.1900000000005</v>
      </c>
      <c r="R348" s="453"/>
      <c r="S348" s="458">
        <f t="shared" si="63"/>
        <v>-893.45999999999913</v>
      </c>
      <c r="T348" s="436"/>
      <c r="U348" s="436"/>
      <c r="V348" s="439"/>
      <c r="W348" s="439"/>
      <c r="X348" s="439"/>
      <c r="Y348" s="439"/>
      <c r="Z348" s="439"/>
      <c r="AA348" s="439"/>
      <c r="AB348" s="439"/>
      <c r="AC348" s="439"/>
      <c r="AD348" s="439"/>
      <c r="AE348" s="439"/>
      <c r="AF348" s="439"/>
      <c r="AG348" s="439"/>
      <c r="AH348" s="439"/>
      <c r="AI348" s="439"/>
      <c r="AJ348" s="439"/>
      <c r="AK348" s="439"/>
      <c r="AL348" s="439"/>
      <c r="AM348" s="439"/>
      <c r="AN348" s="439"/>
    </row>
    <row r="349" spans="1:40" ht="15.75" customHeight="1">
      <c r="A349" s="452" t="s">
        <v>409</v>
      </c>
      <c r="B349" s="439" t="s">
        <v>94</v>
      </c>
      <c r="C349" s="634" t="s">
        <v>93</v>
      </c>
      <c r="D349" s="528"/>
      <c r="E349" s="439"/>
      <c r="F349" s="463"/>
      <c r="G349" s="529"/>
      <c r="H349" s="439"/>
      <c r="I349" s="463"/>
      <c r="J349" s="462"/>
      <c r="K349" s="439"/>
      <c r="L349" s="503">
        <f>SUMIFS([3]BV_Data_An_Cour!$AM:$AM,[3]BV_Data_An_Cour!$AP:$AP,$B349,[3]BV_Data_An_Cour!$AQ:$AQ,$C349,[3]BV_Data_An_Cour!$AR:$AR,$L$2)</f>
        <v>0</v>
      </c>
      <c r="M349" s="462"/>
      <c r="N349" s="466">
        <f t="shared" si="62"/>
        <v>0</v>
      </c>
      <c r="O349" s="462"/>
      <c r="P349" s="439"/>
      <c r="Q349" s="503">
        <f>SUMIFS([3]BV_Data_An_Prec!$AM:$AM,[3]BV_Data_An_Prec!$AP:$AP,$B349,[3]BV_Data_An_Prec!$AQ:$AQ,$C349,[3]BV_Data_An_Prec!$AR:$AR,$L$2)</f>
        <v>0</v>
      </c>
      <c r="R349" s="462"/>
      <c r="S349" s="466">
        <f t="shared" si="63"/>
        <v>0</v>
      </c>
      <c r="T349" s="436"/>
      <c r="U349" s="436"/>
      <c r="V349" s="439"/>
      <c r="W349" s="439"/>
      <c r="X349" s="439"/>
      <c r="Y349" s="439"/>
      <c r="Z349" s="439"/>
      <c r="AA349" s="439"/>
      <c r="AB349" s="439"/>
      <c r="AC349" s="439"/>
      <c r="AD349" s="439"/>
      <c r="AE349" s="439"/>
      <c r="AF349" s="439"/>
      <c r="AG349" s="439"/>
      <c r="AH349" s="439"/>
      <c r="AI349" s="439"/>
      <c r="AJ349" s="439"/>
      <c r="AK349" s="439"/>
      <c r="AL349" s="439"/>
      <c r="AM349" s="439"/>
      <c r="AN349" s="439"/>
    </row>
    <row r="350" spans="1:40" ht="15.75" customHeight="1">
      <c r="A350" s="452" t="s">
        <v>410</v>
      </c>
      <c r="B350" s="439" t="s">
        <v>94</v>
      </c>
      <c r="C350" s="541" t="s">
        <v>55</v>
      </c>
      <c r="D350" s="528"/>
      <c r="E350" s="439"/>
      <c r="F350" s="463">
        <f t="array" ref="F350">+INDEX('[3]Budget original'!$A$2:$AO$501,MATCH($A350,'[3]Budget original'!$A$2:$A$501,0),MATCH(F$2,'[3]Budget original'!$A$2:$AO$2,0))</f>
        <v>0</v>
      </c>
      <c r="G350" s="529"/>
      <c r="H350" s="439"/>
      <c r="I350" s="463"/>
      <c r="J350" s="462"/>
      <c r="K350" s="439"/>
      <c r="L350" s="466">
        <f>SUMIFS([3]BV_Data_An_Cour!$AM:$AM,[3]BV_Data_An_Cour!$AP:$AP,$B350,[3]BV_Data_An_Cour!$AQ:$AQ,$C350,[3]BV_Data_An_Cour!$AR:$AR,$L$2)</f>
        <v>5084.6199999999953</v>
      </c>
      <c r="M350" s="462"/>
      <c r="N350" s="466">
        <f t="shared" si="62"/>
        <v>5084.6199999999953</v>
      </c>
      <c r="O350" s="462"/>
      <c r="P350" s="439"/>
      <c r="Q350" s="466">
        <f>SUMIFS([3]BV_Data_An_Prec!$AM:$AM,[3]BV_Data_An_Prec!$AP:$AP,$B350,[3]BV_Data_An_Prec!$AQ:$AQ,$C350,[3]BV_Data_An_Prec!$AR:$AR,$L$2)</f>
        <v>9024.4500000000007</v>
      </c>
      <c r="R350" s="462"/>
      <c r="S350" s="466">
        <f t="shared" si="63"/>
        <v>-3939.8300000000054</v>
      </c>
      <c r="T350" s="436"/>
      <c r="U350" s="436"/>
      <c r="V350" s="439"/>
      <c r="W350" s="439"/>
      <c r="X350" s="439"/>
      <c r="Y350" s="439"/>
      <c r="Z350" s="439"/>
      <c r="AA350" s="439"/>
      <c r="AB350" s="439"/>
      <c r="AC350" s="439"/>
      <c r="AD350" s="439"/>
      <c r="AE350" s="439"/>
      <c r="AF350" s="439"/>
      <c r="AG350" s="439"/>
      <c r="AH350" s="439"/>
      <c r="AI350" s="439"/>
      <c r="AJ350" s="439"/>
      <c r="AK350" s="439"/>
      <c r="AL350" s="439"/>
      <c r="AM350" s="439"/>
      <c r="AN350" s="439"/>
    </row>
    <row r="351" spans="1:40" ht="15.75" customHeight="1">
      <c r="A351" s="452" t="s">
        <v>411</v>
      </c>
      <c r="B351" s="439" t="s">
        <v>94</v>
      </c>
      <c r="C351" s="541" t="s">
        <v>56</v>
      </c>
      <c r="D351" s="528"/>
      <c r="E351" s="439"/>
      <c r="F351" s="463">
        <f t="array" ref="F351">+INDEX('[3]Budget original'!$A$2:$AO$501,MATCH($A351,'[3]Budget original'!$A$2:$A$501,0),MATCH(F$2,'[3]Budget original'!$A$2:$AO$2,0))</f>
        <v>0</v>
      </c>
      <c r="G351" s="529"/>
      <c r="H351" s="439"/>
      <c r="I351" s="463"/>
      <c r="J351" s="462"/>
      <c r="K351" s="439"/>
      <c r="L351" s="466">
        <f>SUMIFS([3]BV_Data_An_Cour!$AM:$AM,[3]BV_Data_An_Cour!$AP:$AP,$B351,[3]BV_Data_An_Cour!$AQ:$AQ,$C351,[3]BV_Data_An_Cour!$AR:$AR,$L$2)</f>
        <v>411.05</v>
      </c>
      <c r="M351" s="462"/>
      <c r="N351" s="466">
        <f t="shared" si="62"/>
        <v>411.05</v>
      </c>
      <c r="O351" s="462"/>
      <c r="P351" s="439"/>
      <c r="Q351" s="466">
        <f>SUMIFS([3]BV_Data_An_Prec!$AM:$AM,[3]BV_Data_An_Prec!$AP:$AP,$B351,[3]BV_Data_An_Prec!$AQ:$AQ,$C351,[3]BV_Data_An_Prec!$AR:$AR,$L$2)</f>
        <v>0</v>
      </c>
      <c r="R351" s="462"/>
      <c r="S351" s="466">
        <f t="shared" si="63"/>
        <v>411.05</v>
      </c>
      <c r="T351" s="436"/>
      <c r="U351" s="436"/>
      <c r="V351" s="439"/>
      <c r="W351" s="439"/>
      <c r="X351" s="439"/>
      <c r="Y351" s="439"/>
      <c r="Z351" s="439"/>
      <c r="AA351" s="439"/>
      <c r="AB351" s="439"/>
      <c r="AC351" s="439"/>
      <c r="AD351" s="439"/>
      <c r="AE351" s="439"/>
      <c r="AF351" s="439"/>
      <c r="AG351" s="439"/>
      <c r="AH351" s="439"/>
      <c r="AI351" s="439"/>
      <c r="AJ351" s="439"/>
      <c r="AK351" s="439"/>
      <c r="AL351" s="439"/>
      <c r="AM351" s="439"/>
      <c r="AN351" s="439"/>
    </row>
    <row r="352" spans="1:40" ht="15.75" customHeight="1">
      <c r="A352" s="452" t="s">
        <v>412</v>
      </c>
      <c r="B352" s="439" t="s">
        <v>94</v>
      </c>
      <c r="C352" s="541" t="s">
        <v>57</v>
      </c>
      <c r="D352" s="528"/>
      <c r="E352" s="439"/>
      <c r="F352" s="463">
        <f t="array" ref="F352">+INDEX('[3]Budget original'!$A$2:$AO$501,MATCH($A352,'[3]Budget original'!$A$2:$A$501,0),MATCH(F$2,'[3]Budget original'!$A$2:$AO$2,0))</f>
        <v>0</v>
      </c>
      <c r="G352" s="529"/>
      <c r="H352" s="439"/>
      <c r="I352" s="463"/>
      <c r="J352" s="462"/>
      <c r="K352" s="439"/>
      <c r="L352" s="466">
        <f>SUMIFS([3]BV_Data_An_Cour!$AM:$AM,[3]BV_Data_An_Cour!$AP:$AP,$B352,[3]BV_Data_An_Cour!$AQ:$AQ,$C352,[3]BV_Data_An_Cour!$AR:$AR,$L$2)</f>
        <v>48.799999999999727</v>
      </c>
      <c r="M352" s="462"/>
      <c r="N352" s="466">
        <f t="shared" si="62"/>
        <v>48.799999999999727</v>
      </c>
      <c r="O352" s="462"/>
      <c r="P352" s="439"/>
      <c r="Q352" s="466">
        <f>SUMIFS([3]BV_Data_An_Prec!$AM:$AM,[3]BV_Data_An_Prec!$AP:$AP,$B352,[3]BV_Data_An_Prec!$AQ:$AQ,$C352,[3]BV_Data_An_Prec!$AR:$AR,$L$2)</f>
        <v>692.51000000000022</v>
      </c>
      <c r="R352" s="462"/>
      <c r="S352" s="466">
        <f t="shared" si="63"/>
        <v>-643.71000000000049</v>
      </c>
      <c r="T352" s="436"/>
      <c r="U352" s="436"/>
      <c r="V352" s="439"/>
      <c r="W352" s="439"/>
      <c r="X352" s="439"/>
      <c r="Y352" s="439"/>
      <c r="Z352" s="439"/>
      <c r="AA352" s="439"/>
      <c r="AB352" s="439"/>
      <c r="AC352" s="439"/>
      <c r="AD352" s="439"/>
      <c r="AE352" s="439"/>
      <c r="AF352" s="439"/>
      <c r="AG352" s="439"/>
      <c r="AH352" s="439"/>
      <c r="AI352" s="439"/>
      <c r="AJ352" s="439"/>
      <c r="AK352" s="439"/>
      <c r="AL352" s="439"/>
      <c r="AM352" s="439"/>
      <c r="AN352" s="439"/>
    </row>
    <row r="353" spans="1:40" ht="15.75" customHeight="1">
      <c r="A353" s="452" t="s">
        <v>413</v>
      </c>
      <c r="B353" s="439" t="s">
        <v>94</v>
      </c>
      <c r="C353" s="541" t="s">
        <v>58</v>
      </c>
      <c r="D353" s="528"/>
      <c r="E353" s="439"/>
      <c r="F353" s="463">
        <f t="array" ref="F353">+INDEX('[3]Budget original'!$A$2:$AO$501,MATCH($A353,'[3]Budget original'!$A$2:$A$501,0),MATCH(F$2,'[3]Budget original'!$A$2:$AO$2,0))</f>
        <v>0</v>
      </c>
      <c r="G353" s="529"/>
      <c r="H353" s="439"/>
      <c r="I353" s="463"/>
      <c r="J353" s="462"/>
      <c r="K353" s="439"/>
      <c r="L353" s="466">
        <f>SUMIFS([3]BV_Data_An_Cour!$AM:$AM,[3]BV_Data_An_Cour!$AP:$AP,$B353,[3]BV_Data_An_Cour!$AQ:$AQ,$C353,[3]BV_Data_An_Cour!$AR:$AR,$L$2)</f>
        <v>569.06999999999994</v>
      </c>
      <c r="M353" s="462"/>
      <c r="N353" s="466">
        <f t="shared" si="62"/>
        <v>569.06999999999994</v>
      </c>
      <c r="O353" s="462"/>
      <c r="P353" s="439"/>
      <c r="Q353" s="466">
        <f>SUMIFS([3]BV_Data_An_Prec!$AM:$AM,[3]BV_Data_An_Prec!$AP:$AP,$B353,[3]BV_Data_An_Prec!$AQ:$AQ,$C353,[3]BV_Data_An_Prec!$AR:$AR,$L$2)</f>
        <v>52.659999999999854</v>
      </c>
      <c r="R353" s="462"/>
      <c r="S353" s="466">
        <f t="shared" si="63"/>
        <v>516.41000000000008</v>
      </c>
      <c r="T353" s="436"/>
      <c r="U353" s="436"/>
      <c r="V353" s="439"/>
      <c r="W353" s="439"/>
      <c r="X353" s="439"/>
      <c r="Y353" s="439"/>
      <c r="Z353" s="439"/>
      <c r="AA353" s="439"/>
      <c r="AB353" s="439"/>
      <c r="AC353" s="439"/>
      <c r="AD353" s="439"/>
      <c r="AE353" s="439"/>
      <c r="AF353" s="439"/>
      <c r="AG353" s="439"/>
      <c r="AH353" s="439"/>
      <c r="AI353" s="439"/>
      <c r="AJ353" s="439"/>
      <c r="AK353" s="439"/>
      <c r="AL353" s="439"/>
      <c r="AM353" s="439"/>
      <c r="AN353" s="439"/>
    </row>
    <row r="354" spans="1:40" ht="15.75" customHeight="1">
      <c r="A354" s="452" t="s">
        <v>414</v>
      </c>
      <c r="B354" s="439" t="s">
        <v>94</v>
      </c>
      <c r="C354" s="541" t="s">
        <v>59</v>
      </c>
      <c r="D354" s="528"/>
      <c r="E354" s="439"/>
      <c r="F354" s="463">
        <f t="array" ref="F354">+INDEX('[3]Budget original'!$A$2:$AO$501,MATCH($A354,'[3]Budget original'!$A$2:$A$501,0),MATCH(F$2,'[3]Budget original'!$A$2:$AO$2,0))</f>
        <v>0</v>
      </c>
      <c r="G354" s="529"/>
      <c r="H354" s="439"/>
      <c r="I354" s="463"/>
      <c r="J354" s="462"/>
      <c r="K354" s="439"/>
      <c r="L354" s="466">
        <f>SUMIFS([3]BV_Data_An_Cour!$AM:$AM,[3]BV_Data_An_Cour!$AP:$AP,$B354,[3]BV_Data_An_Cour!$AQ:$AQ,$C354,[3]BV_Data_An_Cour!$AR:$AR,$L$2)</f>
        <v>167.30000000000018</v>
      </c>
      <c r="M354" s="462"/>
      <c r="N354" s="466">
        <f t="shared" si="62"/>
        <v>167.30000000000018</v>
      </c>
      <c r="O354" s="462"/>
      <c r="P354" s="439"/>
      <c r="Q354" s="466">
        <f>SUMIFS([3]BV_Data_An_Prec!$AM:$AM,[3]BV_Data_An_Prec!$AP:$AP,$B354,[3]BV_Data_An_Prec!$AQ:$AQ,$C354,[3]BV_Data_An_Prec!$AR:$AR,$L$2)</f>
        <v>261.45000000000027</v>
      </c>
      <c r="R354" s="462"/>
      <c r="S354" s="466">
        <f t="shared" si="63"/>
        <v>-94.150000000000091</v>
      </c>
      <c r="T354" s="436"/>
      <c r="U354" s="436"/>
      <c r="V354" s="439"/>
      <c r="W354" s="439"/>
      <c r="X354" s="439"/>
      <c r="Y354" s="439"/>
      <c r="Z354" s="439"/>
      <c r="AA354" s="439"/>
      <c r="AB354" s="439"/>
      <c r="AC354" s="439"/>
      <c r="AD354" s="439"/>
      <c r="AE354" s="439"/>
      <c r="AF354" s="439"/>
      <c r="AG354" s="439"/>
      <c r="AH354" s="439"/>
      <c r="AI354" s="439"/>
      <c r="AJ354" s="439"/>
      <c r="AK354" s="439"/>
      <c r="AL354" s="439"/>
      <c r="AM354" s="439"/>
      <c r="AN354" s="439"/>
    </row>
    <row r="355" spans="1:40" ht="15.75" customHeight="1">
      <c r="A355" s="452" t="s">
        <v>415</v>
      </c>
      <c r="B355" s="439" t="s">
        <v>94</v>
      </c>
      <c r="C355" s="541" t="s">
        <v>60</v>
      </c>
      <c r="D355" s="528"/>
      <c r="E355" s="439"/>
      <c r="F355" s="463">
        <f t="array" ref="F355">+INDEX('[3]Budget original'!$A$2:$AO$501,MATCH($A355,'[3]Budget original'!$A$2:$A$501,0),MATCH(F$2,'[3]Budget original'!$A$2:$AO$2,0))</f>
        <v>0</v>
      </c>
      <c r="G355" s="529"/>
      <c r="H355" s="439"/>
      <c r="I355" s="463"/>
      <c r="J355" s="462"/>
      <c r="K355" s="439"/>
      <c r="L355" s="466">
        <f>SUMIFS([3]BV_Data_An_Cour!$AM:$AM,[3]BV_Data_An_Cour!$AP:$AP,$B355,[3]BV_Data_An_Cour!$AQ:$AQ,$C355,[3]BV_Data_An_Cour!$AR:$AR,$L$2)</f>
        <v>1623.2200000000003</v>
      </c>
      <c r="M355" s="462"/>
      <c r="N355" s="466">
        <f t="shared" si="62"/>
        <v>1623.2200000000003</v>
      </c>
      <c r="O355" s="462"/>
      <c r="P355" s="439"/>
      <c r="Q355" s="466">
        <f>SUMIFS([3]BV_Data_An_Prec!$AM:$AM,[3]BV_Data_An_Prec!$AP:$AP,$B355,[3]BV_Data_An_Prec!$AQ:$AQ,$C355,[3]BV_Data_An_Prec!$AR:$AR,$L$2)</f>
        <v>2100.88</v>
      </c>
      <c r="R355" s="462"/>
      <c r="S355" s="466">
        <f t="shared" si="63"/>
        <v>-477.65999999999985</v>
      </c>
      <c r="T355" s="436"/>
      <c r="U355" s="436"/>
      <c r="V355" s="439"/>
      <c r="W355" s="439"/>
      <c r="X355" s="439"/>
      <c r="Y355" s="439"/>
      <c r="Z355" s="439"/>
      <c r="AA355" s="439"/>
      <c r="AB355" s="439"/>
      <c r="AC355" s="439"/>
      <c r="AD355" s="439"/>
      <c r="AE355" s="439"/>
      <c r="AF355" s="439"/>
      <c r="AG355" s="439"/>
      <c r="AH355" s="439"/>
      <c r="AI355" s="439"/>
      <c r="AJ355" s="439"/>
      <c r="AK355" s="439"/>
      <c r="AL355" s="439"/>
      <c r="AM355" s="439"/>
      <c r="AN355" s="439"/>
    </row>
    <row r="356" spans="1:40" ht="15.75" customHeight="1">
      <c r="A356" s="452" t="s">
        <v>416</v>
      </c>
      <c r="B356" s="439" t="s">
        <v>94</v>
      </c>
      <c r="C356" s="541" t="s">
        <v>61</v>
      </c>
      <c r="D356" s="528"/>
      <c r="E356" s="439"/>
      <c r="F356" s="463">
        <f t="array" ref="F356">+INDEX('[3]Budget original'!$A$2:$AO$501,MATCH($A356,'[3]Budget original'!$A$2:$A$501,0),MATCH(F$2,'[3]Budget original'!$A$2:$AO$2,0))</f>
        <v>0</v>
      </c>
      <c r="G356" s="529"/>
      <c r="H356" s="439"/>
      <c r="I356" s="463"/>
      <c r="J356" s="462"/>
      <c r="K356" s="439"/>
      <c r="L356" s="466">
        <f>SUMIFS([3]BV_Data_An_Cour!$AM:$AM,[3]BV_Data_An_Cour!$AP:$AP,$B356,[3]BV_Data_An_Cour!$AQ:$AQ,$C356,[3]BV_Data_An_Cour!$AR:$AR,$L$2)</f>
        <v>0</v>
      </c>
      <c r="M356" s="462"/>
      <c r="N356" s="466">
        <f t="shared" si="62"/>
        <v>0</v>
      </c>
      <c r="O356" s="462"/>
      <c r="P356" s="439"/>
      <c r="Q356" s="466">
        <f>SUMIFS([3]BV_Data_An_Prec!$AM:$AM,[3]BV_Data_An_Prec!$AP:$AP,$B356,[3]BV_Data_An_Prec!$AQ:$AQ,$C356,[3]BV_Data_An_Prec!$AR:$AR,$L$2)</f>
        <v>1692</v>
      </c>
      <c r="R356" s="462"/>
      <c r="S356" s="466">
        <f t="shared" si="63"/>
        <v>-1692</v>
      </c>
      <c r="T356" s="436"/>
      <c r="U356" s="436"/>
      <c r="X356" s="439"/>
      <c r="Y356" s="439"/>
      <c r="Z356" s="439"/>
      <c r="AA356" s="439"/>
      <c r="AB356" s="439"/>
      <c r="AC356" s="439"/>
      <c r="AD356" s="439"/>
      <c r="AE356" s="439"/>
      <c r="AF356" s="439"/>
      <c r="AG356" s="439"/>
      <c r="AH356" s="439"/>
      <c r="AI356" s="439"/>
      <c r="AJ356" s="439"/>
      <c r="AK356" s="439"/>
      <c r="AL356" s="439"/>
      <c r="AM356" s="439"/>
      <c r="AN356" s="439"/>
    </row>
    <row r="357" spans="1:40" ht="15.75" customHeight="1">
      <c r="A357" s="452" t="s">
        <v>417</v>
      </c>
      <c r="B357" s="439" t="s">
        <v>94</v>
      </c>
      <c r="C357" s="541" t="s">
        <v>62</v>
      </c>
      <c r="D357" s="528"/>
      <c r="E357" s="439"/>
      <c r="F357" s="463">
        <f t="array" ref="F357">+INDEX('[3]Budget original'!$A$2:$AO$501,MATCH($A357,'[3]Budget original'!$A$2:$A$501,0),MATCH(F$2,'[3]Budget original'!$A$2:$AO$2,0))</f>
        <v>0</v>
      </c>
      <c r="G357" s="529"/>
      <c r="H357" s="439"/>
      <c r="I357" s="463"/>
      <c r="J357" s="462"/>
      <c r="K357" s="439"/>
      <c r="L357" s="466">
        <f>SUMIFS([3]BV_Data_An_Cour!$AM:$AM,[3]BV_Data_An_Cour!$AP:$AP,$B357,[3]BV_Data_An_Cour!$AQ:$AQ,$C357,[3]BV_Data_An_Cour!$AR:$AR,$L$2)</f>
        <v>796.44000000000051</v>
      </c>
      <c r="M357" s="462"/>
      <c r="N357" s="466">
        <f t="shared" si="62"/>
        <v>796.44000000000051</v>
      </c>
      <c r="O357" s="462"/>
      <c r="P357" s="439"/>
      <c r="Q357" s="466">
        <f>SUMIFS([3]BV_Data_An_Prec!$AM:$AM,[3]BV_Data_An_Prec!$AP:$AP,$B357,[3]BV_Data_An_Prec!$AQ:$AQ,$C357,[3]BV_Data_An_Prec!$AR:$AR,$L$2)</f>
        <v>125.88</v>
      </c>
      <c r="R357" s="462"/>
      <c r="S357" s="466">
        <f t="shared" si="63"/>
        <v>670.56000000000051</v>
      </c>
      <c r="T357" s="436"/>
      <c r="U357" s="436"/>
      <c r="X357" s="439"/>
      <c r="Y357" s="439"/>
      <c r="Z357" s="439"/>
      <c r="AA357" s="439"/>
      <c r="AB357" s="439"/>
      <c r="AC357" s="439"/>
      <c r="AD357" s="439"/>
      <c r="AE357" s="439"/>
      <c r="AF357" s="439"/>
      <c r="AG357" s="439"/>
      <c r="AH357" s="439"/>
      <c r="AI357" s="439"/>
      <c r="AJ357" s="439"/>
      <c r="AK357" s="439"/>
      <c r="AL357" s="439"/>
      <c r="AM357" s="439"/>
      <c r="AN357" s="439"/>
    </row>
    <row r="358" spans="1:40" ht="20.25" customHeight="1">
      <c r="A358" s="452" t="s">
        <v>397</v>
      </c>
      <c r="B358" s="439" t="s">
        <v>94</v>
      </c>
      <c r="C358" s="541" t="s">
        <v>418</v>
      </c>
      <c r="D358" s="528"/>
      <c r="E358" s="439"/>
      <c r="F358" s="463">
        <f t="array" ref="F358">+INDEX('[3]Budget original'!$A$2:$AO$501,MATCH($A358,'[3]Budget original'!$A$2:$A$501,0),MATCH(F$2,'[3]Budget original'!$A$2:$AO$2,0))</f>
        <v>0</v>
      </c>
      <c r="G358" s="529"/>
      <c r="H358" s="439"/>
      <c r="I358" s="463"/>
      <c r="J358" s="462"/>
      <c r="K358" s="439"/>
      <c r="L358" s="466">
        <f>SUMIFS([3]BV_Data_An_Cour!$AM:$AM,[3]BV_Data_An_Cour!$AP:$AP,$B358,[3]BV_Data_An_Cour!$AQ:$AQ,$C358,[3]BV_Data_An_Cour!$AR:$AR,$L$2)</f>
        <v>2278.380000000001</v>
      </c>
      <c r="M358" s="462"/>
      <c r="N358" s="466">
        <f t="shared" si="62"/>
        <v>2278.380000000001</v>
      </c>
      <c r="O358" s="462"/>
      <c r="P358" s="439"/>
      <c r="Q358" s="466">
        <f>SUMIFS([3]BV_Data_An_Prec!$AM:$AM,[3]BV_Data_An_Prec!$AP:$AP,$B358,[3]BV_Data_An_Prec!$AQ:$AQ,$C358,[3]BV_Data_An_Prec!$AR:$AR,$L$2)</f>
        <v>0</v>
      </c>
      <c r="R358" s="462"/>
      <c r="S358" s="466">
        <f t="shared" si="63"/>
        <v>2278.380000000001</v>
      </c>
      <c r="T358" s="436"/>
      <c r="U358" s="436"/>
      <c r="X358" s="439"/>
      <c r="Y358" s="439"/>
      <c r="Z358" s="439"/>
      <c r="AA358" s="439"/>
      <c r="AB358" s="439"/>
      <c r="AC358" s="439"/>
      <c r="AD358" s="439"/>
      <c r="AE358" s="439"/>
      <c r="AF358" s="439"/>
      <c r="AG358" s="439"/>
      <c r="AH358" s="439"/>
      <c r="AI358" s="439"/>
      <c r="AJ358" s="439"/>
      <c r="AK358" s="439"/>
      <c r="AL358" s="439"/>
      <c r="AM358" s="439"/>
      <c r="AN358" s="439"/>
    </row>
    <row r="359" spans="1:40" ht="20.25" hidden="1" customHeight="1" thickTop="1">
      <c r="A359" s="452" t="s">
        <v>397</v>
      </c>
      <c r="B359" s="439" t="s">
        <v>94</v>
      </c>
      <c r="C359" s="541" t="s">
        <v>19</v>
      </c>
      <c r="D359" s="528"/>
      <c r="E359" s="439"/>
      <c r="F359" s="463">
        <f t="array" ref="F359">+INDEX('[3]Budget original'!$A$2:$AO$501,MATCH($A359,'[3]Budget original'!$A$2:$A$501,0),MATCH(F$2,'[3]Budget original'!$A$2:$AO$2,0))</f>
        <v>0</v>
      </c>
      <c r="G359" s="529"/>
      <c r="H359" s="439"/>
      <c r="I359" s="463"/>
      <c r="J359" s="462"/>
      <c r="K359" s="439"/>
      <c r="L359" s="466">
        <f>SUMIFS([3]BV_Data_An_Cour!$AM:$AM,[3]BV_Data_An_Cour!$AP:$AP,$B359,[3]BV_Data_An_Cour!$AQ:$AQ,$C359,[3]BV_Data_An_Cour!$AR:$AR,$L$2)</f>
        <v>0</v>
      </c>
      <c r="M359" s="462"/>
      <c r="N359" s="466">
        <f t="shared" si="62"/>
        <v>0</v>
      </c>
      <c r="O359" s="462"/>
      <c r="P359" s="439"/>
      <c r="Q359" s="466">
        <f>SUMIFS([3]BV_Data_An_Prec!$AM:$AM,[3]BV_Data_An_Prec!$AP:$AP,$B359,[3]BV_Data_An_Prec!$AQ:$AQ,$C359,[3]BV_Data_An_Prec!$AR:$AR,$L$2)</f>
        <v>0</v>
      </c>
      <c r="R359" s="462"/>
      <c r="S359" s="466">
        <f t="shared" si="63"/>
        <v>0</v>
      </c>
      <c r="T359" s="436"/>
      <c r="U359" s="436"/>
      <c r="X359" s="439"/>
      <c r="Y359" s="439"/>
      <c r="Z359" s="439"/>
      <c r="AA359" s="439"/>
      <c r="AB359" s="439"/>
      <c r="AC359" s="439"/>
      <c r="AD359" s="439"/>
      <c r="AE359" s="439"/>
      <c r="AF359" s="439"/>
      <c r="AG359" s="439"/>
      <c r="AH359" s="439"/>
      <c r="AI359" s="439"/>
      <c r="AJ359" s="439"/>
      <c r="AK359" s="439"/>
      <c r="AL359" s="439"/>
      <c r="AM359" s="439"/>
      <c r="AN359" s="439"/>
    </row>
    <row r="360" spans="1:40" ht="20.25" hidden="1" customHeight="1" thickBot="1">
      <c r="A360" s="452" t="s">
        <v>397</v>
      </c>
      <c r="B360" s="439" t="s">
        <v>94</v>
      </c>
      <c r="C360" s="541" t="s">
        <v>19</v>
      </c>
      <c r="D360" s="528"/>
      <c r="E360" s="439"/>
      <c r="F360" s="463">
        <f t="array" ref="F360">+INDEX('[3]Budget original'!$A$2:$AO$501,MATCH($A360,'[3]Budget original'!$A$2:$A$501,0),MATCH(F$2,'[3]Budget original'!$A$2:$AO$2,0))</f>
        <v>0</v>
      </c>
      <c r="G360" s="529"/>
      <c r="H360" s="439"/>
      <c r="I360" s="463"/>
      <c r="J360" s="462"/>
      <c r="K360" s="439"/>
      <c r="L360" s="466">
        <f>SUMIFS([3]BV_Data_An_Cour!$AM:$AM,[3]BV_Data_An_Cour!$AP:$AP,$B360,[3]BV_Data_An_Cour!$AQ:$AQ,$C360,[3]BV_Data_An_Cour!$AR:$AR,$L$2)</f>
        <v>0</v>
      </c>
      <c r="M360" s="462"/>
      <c r="N360" s="466">
        <f t="shared" si="62"/>
        <v>0</v>
      </c>
      <c r="O360" s="462"/>
      <c r="P360" s="439"/>
      <c r="Q360" s="466">
        <f>SUMIFS([3]BV_Data_An_Prec!$AM:$AM,[3]BV_Data_An_Prec!$AP:$AP,$B360,[3]BV_Data_An_Prec!$AQ:$AQ,$C360,[3]BV_Data_An_Prec!$AR:$AR,$L$2)</f>
        <v>0</v>
      </c>
      <c r="R360" s="462"/>
      <c r="S360" s="466">
        <f t="shared" si="63"/>
        <v>0</v>
      </c>
      <c r="T360" s="436"/>
      <c r="U360" s="436"/>
      <c r="X360" s="439"/>
      <c r="Y360" s="439"/>
      <c r="Z360" s="439"/>
      <c r="AA360" s="439"/>
      <c r="AB360" s="439"/>
      <c r="AC360" s="439"/>
      <c r="AD360" s="439"/>
      <c r="AE360" s="439"/>
      <c r="AF360" s="439"/>
      <c r="AG360" s="439"/>
      <c r="AH360" s="439"/>
      <c r="AI360" s="439"/>
      <c r="AJ360" s="439"/>
      <c r="AK360" s="439"/>
      <c r="AL360" s="439"/>
      <c r="AM360" s="439"/>
      <c r="AN360" s="439"/>
    </row>
    <row r="361" spans="1:40" ht="18" customHeight="1">
      <c r="A361" s="452"/>
      <c r="B361" s="439"/>
      <c r="C361" s="534" t="s">
        <v>63</v>
      </c>
      <c r="D361" s="535" t="s">
        <v>38</v>
      </c>
      <c r="E361" s="536" t="e">
        <f>F361/F$318</f>
        <v>#DIV/0!</v>
      </c>
      <c r="F361" s="537">
        <f>+SUM(F343:F360)</f>
        <v>0</v>
      </c>
      <c r="G361" s="538"/>
      <c r="H361" s="536"/>
      <c r="I361" s="537"/>
      <c r="J361" s="538" t="s">
        <v>38</v>
      </c>
      <c r="K361" s="536">
        <f>L361/L$326</f>
        <v>0.24191314454858734</v>
      </c>
      <c r="L361" s="537">
        <f>+SUM(L343:L360)</f>
        <v>21624.869999999992</v>
      </c>
      <c r="M361" s="539"/>
      <c r="N361" s="537">
        <f>+SUM(N343:N360)</f>
        <v>21624.869999999992</v>
      </c>
      <c r="O361" s="538" t="s">
        <v>38</v>
      </c>
      <c r="P361" s="536">
        <f>Q361/Q$326</f>
        <v>0.34403431761652525</v>
      </c>
      <c r="Q361" s="537">
        <f>+SUM(Q343:Q360)</f>
        <v>25970.380000000005</v>
      </c>
      <c r="R361" s="540"/>
      <c r="S361" s="537">
        <f t="shared" si="63"/>
        <v>-4345.510000000013</v>
      </c>
      <c r="T361" s="436"/>
      <c r="U361" s="436"/>
      <c r="V361" s="439"/>
      <c r="W361" s="439"/>
      <c r="X361" s="439"/>
      <c r="Y361" s="439"/>
      <c r="Z361" s="439"/>
      <c r="AA361" s="439"/>
      <c r="AB361" s="439"/>
      <c r="AC361" s="439"/>
      <c r="AD361" s="439"/>
      <c r="AE361" s="439"/>
      <c r="AF361" s="439"/>
      <c r="AG361" s="439"/>
      <c r="AH361" s="439"/>
      <c r="AI361" s="439"/>
      <c r="AJ361" s="439"/>
      <c r="AK361" s="439"/>
      <c r="AL361" s="439"/>
      <c r="AM361" s="439"/>
      <c r="AN361" s="439"/>
    </row>
    <row r="362" spans="1:40" ht="15.75" customHeight="1">
      <c r="B362" s="439"/>
      <c r="C362" s="453"/>
      <c r="D362" s="531"/>
      <c r="E362" s="546"/>
      <c r="F362" s="466"/>
      <c r="G362" s="532"/>
      <c r="H362" s="546"/>
      <c r="I362" s="466"/>
      <c r="J362" s="453"/>
      <c r="K362" s="546"/>
      <c r="L362" s="458"/>
      <c r="M362" s="453"/>
      <c r="N362" s="458"/>
      <c r="O362" s="453"/>
      <c r="P362" s="546"/>
      <c r="Q362" s="458"/>
      <c r="R362" s="453"/>
      <c r="S362" s="458"/>
      <c r="T362" s="432"/>
      <c r="U362" s="436"/>
      <c r="V362" s="439"/>
      <c r="W362" s="439"/>
      <c r="X362" s="439"/>
      <c r="Y362" s="439"/>
      <c r="Z362" s="439"/>
      <c r="AA362" s="439"/>
      <c r="AB362" s="439"/>
      <c r="AC362" s="439"/>
      <c r="AD362" s="439"/>
      <c r="AE362" s="439"/>
      <c r="AF362" s="439"/>
      <c r="AG362" s="439"/>
      <c r="AH362" s="439"/>
      <c r="AI362" s="439"/>
      <c r="AJ362" s="439"/>
      <c r="AK362" s="439"/>
      <c r="AL362" s="439"/>
      <c r="AM362" s="439"/>
      <c r="AN362" s="439"/>
    </row>
    <row r="363" spans="1:40" ht="18" customHeight="1">
      <c r="A363" s="452"/>
      <c r="B363" s="439"/>
      <c r="C363" s="534" t="s">
        <v>64</v>
      </c>
      <c r="D363" s="535" t="s">
        <v>38</v>
      </c>
      <c r="E363" s="536" t="e">
        <f>F363/F$318</f>
        <v>#DIV/0!</v>
      </c>
      <c r="F363" s="537">
        <f>F342+F361</f>
        <v>0</v>
      </c>
      <c r="G363" s="538"/>
      <c r="H363" s="536"/>
      <c r="I363" s="537"/>
      <c r="J363" s="538" t="s">
        <v>38</v>
      </c>
      <c r="K363" s="536">
        <f>L363/L$326</f>
        <v>0.64724723560132713</v>
      </c>
      <c r="L363" s="537">
        <f>L342+L361</f>
        <v>57858.11</v>
      </c>
      <c r="M363" s="539"/>
      <c r="N363" s="537">
        <f t="shared" ref="N363:N365" si="64">L363-F363</f>
        <v>57858.11</v>
      </c>
      <c r="O363" s="538" t="s">
        <v>38</v>
      </c>
      <c r="P363" s="536">
        <f>Q363/Q$326</f>
        <v>0.86724774983388153</v>
      </c>
      <c r="Q363" s="537">
        <f>Q342+Q361</f>
        <v>65466.590000000018</v>
      </c>
      <c r="R363" s="540"/>
      <c r="S363" s="537">
        <f>L363-Q363</f>
        <v>-7608.4800000000178</v>
      </c>
      <c r="T363" s="436"/>
      <c r="U363" s="436"/>
      <c r="V363" s="439"/>
      <c r="W363" s="439"/>
      <c r="X363" s="439"/>
      <c r="Y363" s="439"/>
      <c r="Z363" s="439"/>
      <c r="AA363" s="439"/>
      <c r="AB363" s="439"/>
      <c r="AC363" s="439"/>
      <c r="AD363" s="439"/>
      <c r="AE363" s="439"/>
      <c r="AF363" s="439"/>
      <c r="AG363" s="439"/>
      <c r="AH363" s="439"/>
      <c r="AI363" s="439"/>
      <c r="AJ363" s="439"/>
      <c r="AK363" s="439"/>
      <c r="AL363" s="439"/>
      <c r="AM363" s="439"/>
      <c r="AN363" s="439"/>
    </row>
    <row r="364" spans="1:40" ht="15.75" customHeight="1">
      <c r="B364" s="439"/>
      <c r="C364" s="462"/>
      <c r="D364" s="528"/>
      <c r="E364" s="439"/>
      <c r="F364" s="466"/>
      <c r="G364" s="529"/>
      <c r="H364" s="439"/>
      <c r="I364" s="466"/>
      <c r="J364" s="462"/>
      <c r="K364" s="439"/>
      <c r="L364" s="466"/>
      <c r="M364" s="462"/>
      <c r="N364" s="466">
        <f t="shared" si="64"/>
        <v>0</v>
      </c>
      <c r="O364" s="462"/>
      <c r="P364" s="439"/>
      <c r="Q364" s="466"/>
      <c r="R364" s="462"/>
      <c r="S364" s="466"/>
      <c r="T364" s="436"/>
      <c r="U364" s="436"/>
      <c r="V364" s="439"/>
      <c r="W364" s="439"/>
      <c r="X364" s="439"/>
      <c r="Y364" s="439"/>
      <c r="Z364" s="439"/>
      <c r="AA364" s="439"/>
      <c r="AB364" s="439"/>
      <c r="AC364" s="439"/>
      <c r="AD364" s="439"/>
      <c r="AE364" s="439"/>
      <c r="AF364" s="439"/>
      <c r="AG364" s="439"/>
      <c r="AH364" s="439"/>
      <c r="AI364" s="439"/>
      <c r="AJ364" s="439"/>
      <c r="AK364" s="439"/>
      <c r="AL364" s="439"/>
      <c r="AM364" s="439"/>
      <c r="AN364" s="439"/>
    </row>
    <row r="365" spans="1:40" ht="18" customHeight="1" thickBot="1">
      <c r="A365" s="452"/>
      <c r="B365" s="439"/>
      <c r="C365" s="561" t="s">
        <v>69</v>
      </c>
      <c r="D365" s="562"/>
      <c r="E365" s="563"/>
      <c r="F365" s="564">
        <f>F326-F363</f>
        <v>0</v>
      </c>
      <c r="G365" s="565"/>
      <c r="H365" s="563"/>
      <c r="I365" s="564"/>
      <c r="J365" s="565"/>
      <c r="K365" s="563"/>
      <c r="L365" s="564">
        <f>L326-L363</f>
        <v>31532.939999999973</v>
      </c>
      <c r="M365" s="566"/>
      <c r="N365" s="564">
        <f t="shared" si="64"/>
        <v>31532.939999999973</v>
      </c>
      <c r="O365" s="565"/>
      <c r="P365" s="563"/>
      <c r="Q365" s="564">
        <f>Q326-Q363</f>
        <v>10021.169999999904</v>
      </c>
      <c r="R365" s="567"/>
      <c r="S365" s="564">
        <f>L365-Q365</f>
        <v>21511.77000000007</v>
      </c>
      <c r="T365" s="436"/>
      <c r="U365" s="436"/>
      <c r="V365" s="439"/>
      <c r="W365" s="439"/>
      <c r="X365" s="439"/>
      <c r="Y365" s="439"/>
      <c r="Z365" s="439"/>
      <c r="AA365" s="439"/>
      <c r="AB365" s="439"/>
      <c r="AC365" s="439"/>
      <c r="AD365" s="439"/>
      <c r="AE365" s="439"/>
      <c r="AF365" s="439"/>
      <c r="AG365" s="439"/>
      <c r="AH365" s="439"/>
      <c r="AI365" s="439"/>
      <c r="AJ365" s="439"/>
      <c r="AK365" s="439"/>
      <c r="AL365" s="439"/>
      <c r="AM365" s="439"/>
      <c r="AN365" s="439"/>
    </row>
    <row r="366" spans="1:40" ht="15.75" customHeight="1" thickTop="1"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65"/>
      <c r="M366" s="439"/>
      <c r="N366" s="439"/>
      <c r="O366" s="439"/>
      <c r="P366" s="439"/>
      <c r="Q366" s="439"/>
      <c r="R366" s="439"/>
      <c r="S366" s="439"/>
      <c r="T366" s="436"/>
      <c r="U366" s="436"/>
      <c r="V366" s="439"/>
      <c r="W366" s="439"/>
      <c r="X366" s="439"/>
      <c r="Y366" s="439"/>
      <c r="Z366" s="439"/>
      <c r="AA366" s="439"/>
      <c r="AB366" s="439"/>
      <c r="AC366" s="439"/>
      <c r="AD366" s="439"/>
      <c r="AE366" s="439"/>
      <c r="AF366" s="439"/>
      <c r="AG366" s="439"/>
      <c r="AH366" s="439"/>
      <c r="AI366" s="439"/>
      <c r="AJ366" s="439"/>
      <c r="AK366" s="439"/>
      <c r="AL366" s="439"/>
      <c r="AM366" s="439"/>
      <c r="AN366" s="439"/>
    </row>
    <row r="367" spans="1:40" ht="36" customHeight="1">
      <c r="B367" s="439"/>
      <c r="C367" s="425" t="str">
        <f>C1</f>
        <v>Ste-Marie Auto</v>
      </c>
      <c r="D367" s="426"/>
      <c r="E367" s="427"/>
      <c r="F367" s="426"/>
      <c r="G367" s="426"/>
      <c r="H367" s="425"/>
      <c r="I367" s="426"/>
      <c r="J367" s="425"/>
      <c r="K367" s="428" t="s">
        <v>98</v>
      </c>
      <c r="L367" s="426"/>
      <c r="M367" s="426"/>
      <c r="N367" s="429"/>
      <c r="O367" s="425"/>
      <c r="P367" s="426"/>
      <c r="Q367" s="425"/>
      <c r="R367" s="426"/>
      <c r="S367" s="430" t="str">
        <f>$S$1</f>
        <v>Réalisé, Septembre 2026</v>
      </c>
      <c r="T367" s="436"/>
      <c r="U367" s="436"/>
      <c r="V367" s="439"/>
      <c r="W367" s="439"/>
      <c r="X367" s="439"/>
      <c r="Y367" s="439"/>
      <c r="Z367" s="439"/>
      <c r="AA367" s="439"/>
      <c r="AB367" s="439"/>
      <c r="AC367" s="439"/>
      <c r="AD367" s="439"/>
      <c r="AE367" s="439"/>
      <c r="AF367" s="439"/>
      <c r="AG367" s="439"/>
      <c r="AH367" s="439"/>
      <c r="AI367" s="439"/>
      <c r="AJ367" s="439"/>
      <c r="AK367" s="439"/>
      <c r="AL367" s="439"/>
      <c r="AM367" s="439"/>
      <c r="AN367" s="439"/>
    </row>
    <row r="368" spans="1:40" ht="15.75" customHeight="1" thickBot="1">
      <c r="B368" s="439"/>
      <c r="C368" s="434"/>
      <c r="D368" s="436"/>
      <c r="E368" s="436"/>
      <c r="F368" s="436"/>
      <c r="G368" s="436"/>
      <c r="H368" s="436"/>
      <c r="I368" s="436"/>
      <c r="J368" s="436"/>
      <c r="K368" s="436"/>
      <c r="L368" s="436"/>
      <c r="M368" s="436"/>
      <c r="N368" s="436"/>
      <c r="O368" s="436"/>
      <c r="P368" s="436"/>
      <c r="Q368" s="436"/>
      <c r="R368" s="436"/>
      <c r="S368" s="436"/>
      <c r="T368" s="436"/>
      <c r="U368" s="436"/>
      <c r="V368" s="439"/>
      <c r="W368" s="439"/>
      <c r="X368" s="439"/>
      <c r="Y368" s="439"/>
      <c r="Z368" s="439"/>
      <c r="AA368" s="439"/>
      <c r="AB368" s="439"/>
      <c r="AC368" s="439"/>
      <c r="AD368" s="439"/>
      <c r="AE368" s="439"/>
      <c r="AF368" s="439"/>
      <c r="AG368" s="439"/>
      <c r="AH368" s="439"/>
      <c r="AI368" s="439"/>
      <c r="AJ368" s="439"/>
      <c r="AK368" s="439"/>
      <c r="AL368" s="439"/>
      <c r="AM368" s="439"/>
      <c r="AN368" s="439"/>
    </row>
    <row r="369" spans="1:40" ht="15.75" customHeight="1" thickTop="1">
      <c r="B369" s="439"/>
      <c r="C369" s="440"/>
      <c r="D369" s="441" t="s">
        <v>5</v>
      </c>
      <c r="E369" s="442"/>
      <c r="F369" s="443"/>
      <c r="G369" s="444"/>
      <c r="H369" s="442"/>
      <c r="I369" s="443"/>
      <c r="J369" s="444" t="s">
        <v>7</v>
      </c>
      <c r="K369" s="442"/>
      <c r="L369" s="443"/>
      <c r="M369" s="444" t="s">
        <v>211</v>
      </c>
      <c r="N369" s="443"/>
      <c r="O369" s="441" t="s">
        <v>8</v>
      </c>
      <c r="P369" s="442"/>
      <c r="Q369" s="443"/>
      <c r="R369" s="444" t="s">
        <v>212</v>
      </c>
      <c r="S369" s="443"/>
      <c r="T369" s="436"/>
      <c r="U369" s="436"/>
      <c r="V369" s="439"/>
      <c r="W369" s="439"/>
      <c r="X369" s="439"/>
      <c r="Y369" s="439"/>
      <c r="Z369" s="439"/>
      <c r="AA369" s="439"/>
      <c r="AB369" s="439"/>
      <c r="AC369" s="439"/>
      <c r="AD369" s="439"/>
      <c r="AE369" s="439"/>
      <c r="AF369" s="439"/>
      <c r="AG369" s="439"/>
      <c r="AH369" s="439"/>
      <c r="AI369" s="439"/>
      <c r="AJ369" s="439"/>
      <c r="AK369" s="439"/>
      <c r="AL369" s="439"/>
      <c r="AM369" s="439"/>
      <c r="AN369" s="439"/>
    </row>
    <row r="370" spans="1:40" ht="15.75" customHeight="1">
      <c r="A370" s="452" t="s">
        <v>98</v>
      </c>
      <c r="B370" s="439" t="s">
        <v>98</v>
      </c>
      <c r="C370" s="635"/>
      <c r="D370" s="523" t="s">
        <v>79</v>
      </c>
      <c r="E370" s="523" t="s">
        <v>99</v>
      </c>
      <c r="F370" s="591" t="s">
        <v>12</v>
      </c>
      <c r="G370" s="590"/>
      <c r="H370" s="523"/>
      <c r="I370" s="591"/>
      <c r="J370" s="523" t="s">
        <v>79</v>
      </c>
      <c r="K370" s="523" t="s">
        <v>99</v>
      </c>
      <c r="L370" s="591" t="s">
        <v>12</v>
      </c>
      <c r="M370" s="590" t="s">
        <v>39</v>
      </c>
      <c r="N370" s="591" t="s">
        <v>215</v>
      </c>
      <c r="O370" s="523" t="s">
        <v>79</v>
      </c>
      <c r="P370" s="523" t="s">
        <v>99</v>
      </c>
      <c r="Q370" s="591" t="s">
        <v>12</v>
      </c>
      <c r="R370" s="590" t="s">
        <v>80</v>
      </c>
      <c r="S370" s="591" t="s">
        <v>12</v>
      </c>
      <c r="T370" s="436"/>
      <c r="U370" s="436"/>
      <c r="V370" s="439"/>
      <c r="W370" s="439"/>
      <c r="X370" s="439"/>
      <c r="Y370" s="439"/>
      <c r="Z370" s="439"/>
      <c r="AA370" s="439"/>
      <c r="AB370" s="439"/>
      <c r="AC370" s="439"/>
      <c r="AD370" s="439"/>
      <c r="AE370" s="439"/>
      <c r="AF370" s="439"/>
      <c r="AG370" s="439"/>
      <c r="AH370" s="439"/>
      <c r="AI370" s="439"/>
      <c r="AJ370" s="439"/>
      <c r="AK370" s="439"/>
      <c r="AL370" s="439"/>
      <c r="AM370" s="439"/>
      <c r="AN370" s="439"/>
    </row>
    <row r="371" spans="1:40" ht="15.75" customHeight="1">
      <c r="A371" s="452" t="s">
        <v>419</v>
      </c>
      <c r="B371" s="439" t="s">
        <v>98</v>
      </c>
      <c r="C371" s="636" t="s">
        <v>100</v>
      </c>
      <c r="D371" s="465">
        <f t="array" ref="D371">+INDEX('[3]Budget original'!$A$2:$AO$501,MATCH($A371,'[3]Budget original'!$A$2:$A$501,0),MATCH(D$2,'[3]Budget original'!$A$2:$AO$2,0))</f>
        <v>0</v>
      </c>
      <c r="E371" s="582">
        <f t="shared" ref="E371:E379" si="65">IF(D371=0,0,F371/D371)</f>
        <v>0</v>
      </c>
      <c r="F371" s="466">
        <f t="array" ref="F371">+INDEX('[3]Budget original'!$A$2:$AO$501,MATCH($A371,'[3]Budget original'!$A$2:$A$501,0),MATCH(F$2,'[3]Budget original'!$A$2:$AO$2,0))</f>
        <v>0</v>
      </c>
      <c r="G371" s="465"/>
      <c r="H371" s="582"/>
      <c r="I371" s="466"/>
      <c r="J371" s="465">
        <f>-SUMIFS([3]BV_Data_An_Cour!$AM:$AM,[3]BV_Data_An_Cour!$AS:$AS,"Oui",[3]BV_Data_An_Cour!$AP:$AP,$B371,[3]BV_Data_An_Cour!$AQ:$AQ,$C371)</f>
        <v>59844.549999999988</v>
      </c>
      <c r="K371" s="582">
        <f t="shared" ref="K371:K380" si="66">IF(J371&lt;=0,0,L371/J371)</f>
        <v>0.34430670796254548</v>
      </c>
      <c r="L371" s="466">
        <f>-SUMIFS([3]BV_Data_An_Cour!$AM:$AM,[3]BV_Data_An_Cour!$AP:$AP,$B371,[3]BV_Data_An_Cour!$AQ:$AQ,$C371,[3]BV_Data_An_Cour!$AR:$AR,$L$2)</f>
        <v>20604.879999999946</v>
      </c>
      <c r="M371" s="496" t="e">
        <f t="shared" ref="M371:M377" si="67">(+J371-D371)/D371</f>
        <v>#DIV/0!</v>
      </c>
      <c r="N371" s="466">
        <f t="shared" ref="N371:N380" si="68">L371-F371</f>
        <v>20604.879999999946</v>
      </c>
      <c r="O371" s="465">
        <f>-SUMIFS([3]BV_Data_An_Prec!$AM:$AM,[3]BV_Data_An_Prec!$AS:$AS,"Oui",[3]BV_Data_An_Prec!$AP:$AP,$B371,[3]BV_Data_An_Prec!$AQ:$AQ,$C371)</f>
        <v>54282.650000000023</v>
      </c>
      <c r="P371" s="582">
        <f t="shared" ref="P371:P380" si="69">IF(O371&lt;=0,0,Q371/O371)</f>
        <v>0.40148961040037717</v>
      </c>
      <c r="Q371" s="466">
        <f>-SUMIFS([3]BV_Data_An_Prec!$AM:$AM,[3]BV_Data_An_Prec!$AP:$AP,$B371,[3]BV_Data_An_Prec!$AQ:$AQ,$C371,[3]BV_Data_An_Prec!$AR:$AR,$L$2)</f>
        <v>21793.920000000042</v>
      </c>
      <c r="R371" s="496">
        <f t="shared" ref="R371:R380" si="70">IF(O371=0,0,(J371-O371)/O371)</f>
        <v>0.10246183633260282</v>
      </c>
      <c r="S371" s="466">
        <f t="shared" ref="S371:S380" si="71">L371-Q371</f>
        <v>-1189.0400000000955</v>
      </c>
      <c r="T371" s="436"/>
      <c r="U371" s="436"/>
      <c r="V371" s="439"/>
      <c r="W371" s="439"/>
      <c r="X371" s="439"/>
      <c r="Y371" s="439"/>
      <c r="Z371" s="439"/>
      <c r="AA371" s="439"/>
      <c r="AB371" s="439"/>
      <c r="AC371" s="439"/>
      <c r="AD371" s="439"/>
      <c r="AE371" s="439"/>
      <c r="AF371" s="439"/>
      <c r="AG371" s="439"/>
      <c r="AH371" s="439"/>
      <c r="AI371" s="439"/>
      <c r="AJ371" s="439"/>
      <c r="AK371" s="439"/>
      <c r="AL371" s="439"/>
      <c r="AM371" s="439"/>
      <c r="AN371" s="439"/>
    </row>
    <row r="372" spans="1:40" ht="15.75" customHeight="1">
      <c r="A372" s="452" t="s">
        <v>420</v>
      </c>
      <c r="B372" s="439" t="s">
        <v>98</v>
      </c>
      <c r="C372" s="636" t="s">
        <v>101</v>
      </c>
      <c r="D372" s="465">
        <f t="array" ref="D372">+INDEX('[3]Budget original'!$A$2:$AO$501,MATCH($A372,'[3]Budget original'!$A$2:$A$501,0),MATCH(D$2,'[3]Budget original'!$A$2:$AO$2,0))</f>
        <v>0</v>
      </c>
      <c r="E372" s="582">
        <f t="shared" si="65"/>
        <v>0</v>
      </c>
      <c r="F372" s="466">
        <f t="array" ref="F372">+INDEX('[3]Budget original'!$A$2:$AO$501,MATCH($A372,'[3]Budget original'!$A$2:$A$501,0),MATCH(F$2,'[3]Budget original'!$A$2:$AO$2,0))</f>
        <v>0</v>
      </c>
      <c r="G372" s="465"/>
      <c r="H372" s="582"/>
      <c r="I372" s="466"/>
      <c r="J372" s="465">
        <f>-SUMIFS([3]BV_Data_An_Cour!$AM:$AM,[3]BV_Data_An_Cour!$AS:$AS,"Oui",[3]BV_Data_An_Cour!$AP:$AP,$B372,[3]BV_Data_An_Cour!$AQ:$AQ,$C372)</f>
        <v>0</v>
      </c>
      <c r="K372" s="582">
        <f t="shared" si="66"/>
        <v>0</v>
      </c>
      <c r="L372" s="466">
        <f>-SUMIFS([3]BV_Data_An_Cour!$AM:$AM,[3]BV_Data_An_Cour!$AP:$AP,$B372,[3]BV_Data_An_Cour!$AQ:$AQ,$C372,[3]BV_Data_An_Cour!$AR:$AR,$L$2)</f>
        <v>0</v>
      </c>
      <c r="M372" s="496" t="e">
        <f t="shared" si="67"/>
        <v>#DIV/0!</v>
      </c>
      <c r="N372" s="466">
        <f t="shared" si="68"/>
        <v>0</v>
      </c>
      <c r="O372" s="465">
        <f>-SUMIFS([3]BV_Data_An_Prec!$AM:$AM,[3]BV_Data_An_Prec!$AS:$AS,"Oui",[3]BV_Data_An_Prec!$AP:$AP,$B372,[3]BV_Data_An_Prec!$AQ:$AQ,$C372)</f>
        <v>0</v>
      </c>
      <c r="P372" s="582">
        <f t="shared" si="69"/>
        <v>0</v>
      </c>
      <c r="Q372" s="466">
        <f>-SUMIFS([3]BV_Data_An_Prec!$AM:$AM,[3]BV_Data_An_Prec!$AP:$AP,$B372,[3]BV_Data_An_Prec!$AQ:$AQ,$C372,[3]BV_Data_An_Prec!$AR:$AR,$L$2)</f>
        <v>0</v>
      </c>
      <c r="R372" s="496">
        <f t="shared" si="70"/>
        <v>0</v>
      </c>
      <c r="S372" s="466">
        <f t="shared" si="71"/>
        <v>0</v>
      </c>
      <c r="T372" s="436"/>
      <c r="U372" s="436"/>
      <c r="V372" s="439"/>
      <c r="W372" s="439"/>
      <c r="X372" s="439"/>
      <c r="Y372" s="439"/>
      <c r="Z372" s="439"/>
      <c r="AA372" s="439"/>
      <c r="AB372" s="439"/>
      <c r="AC372" s="439"/>
      <c r="AD372" s="439"/>
      <c r="AE372" s="439"/>
      <c r="AF372" s="439"/>
      <c r="AG372" s="439"/>
      <c r="AH372" s="439"/>
      <c r="AI372" s="439"/>
      <c r="AJ372" s="439"/>
      <c r="AK372" s="439"/>
      <c r="AL372" s="439"/>
      <c r="AM372" s="439"/>
      <c r="AN372" s="439"/>
    </row>
    <row r="373" spans="1:40" ht="15.75" customHeight="1">
      <c r="A373" s="452" t="s">
        <v>421</v>
      </c>
      <c r="B373" s="439" t="s">
        <v>98</v>
      </c>
      <c r="C373" s="636" t="s">
        <v>102</v>
      </c>
      <c r="D373" s="465">
        <f t="array" ref="D373">+INDEX('[3]Budget original'!$A$2:$AO$501,MATCH($A373,'[3]Budget original'!$A$2:$A$501,0),MATCH(D$2,'[3]Budget original'!$A$2:$AO$2,0))</f>
        <v>0</v>
      </c>
      <c r="E373" s="582">
        <f t="shared" si="65"/>
        <v>0</v>
      </c>
      <c r="F373" s="466">
        <f t="array" ref="F373">+INDEX('[3]Budget original'!$A$2:$AO$501,MATCH($A373,'[3]Budget original'!$A$2:$A$501,0),MATCH(F$2,'[3]Budget original'!$A$2:$AO$2,0))</f>
        <v>0</v>
      </c>
      <c r="G373" s="465"/>
      <c r="H373" s="582"/>
      <c r="I373" s="466"/>
      <c r="J373" s="465">
        <f>-SUMIFS([3]BV_Data_An_Cour!$AM:$AM,[3]BV_Data_An_Cour!$AS:$AS,"Oui",[3]BV_Data_An_Cour!$AP:$AP,$B373,[3]BV_Data_An_Cour!$AQ:$AQ,$C373)</f>
        <v>41863.679999999993</v>
      </c>
      <c r="K373" s="582">
        <f t="shared" si="66"/>
        <v>0.28743101418699901</v>
      </c>
      <c r="L373" s="466">
        <f>-SUMIFS([3]BV_Data_An_Cour!$AM:$AM,[3]BV_Data_An_Cour!$AP:$AP,$B373,[3]BV_Data_An_Cour!$AQ:$AQ,$C373,[3]BV_Data_An_Cour!$AR:$AR,$L$2)</f>
        <v>12032.919999999984</v>
      </c>
      <c r="M373" s="496" t="e">
        <f t="shared" si="67"/>
        <v>#DIV/0!</v>
      </c>
      <c r="N373" s="466">
        <f t="shared" si="68"/>
        <v>12032.919999999984</v>
      </c>
      <c r="O373" s="465">
        <f>-SUMIFS([3]BV_Data_An_Prec!$AM:$AM,[3]BV_Data_An_Prec!$AS:$AS,"Oui",[3]BV_Data_An_Prec!$AP:$AP,$B373,[3]BV_Data_An_Prec!$AQ:$AQ,$C373)</f>
        <v>74831.27999999997</v>
      </c>
      <c r="P373" s="582">
        <f t="shared" si="69"/>
        <v>0.25960440607189905</v>
      </c>
      <c r="Q373" s="466">
        <f>-SUMIFS([3]BV_Data_An_Prec!$AM:$AM,[3]BV_Data_An_Prec!$AP:$AP,$B373,[3]BV_Data_An_Prec!$AQ:$AQ,$C373,[3]BV_Data_An_Prec!$AR:$AR,$L$2)</f>
        <v>19426.52999999997</v>
      </c>
      <c r="R373" s="496">
        <f t="shared" si="70"/>
        <v>-0.44055908171021518</v>
      </c>
      <c r="S373" s="466">
        <f t="shared" si="71"/>
        <v>-7393.609999999986</v>
      </c>
      <c r="T373" s="436"/>
      <c r="U373" s="436"/>
      <c r="V373" s="439"/>
      <c r="W373" s="439"/>
      <c r="X373" s="439"/>
      <c r="Y373" s="439"/>
      <c r="Z373" s="439"/>
      <c r="AA373" s="439"/>
      <c r="AB373" s="439"/>
      <c r="AC373" s="439"/>
      <c r="AD373" s="439"/>
      <c r="AE373" s="439"/>
      <c r="AF373" s="439"/>
      <c r="AG373" s="439"/>
      <c r="AH373" s="439"/>
      <c r="AI373" s="439"/>
      <c r="AJ373" s="439"/>
      <c r="AK373" s="439"/>
      <c r="AL373" s="439"/>
      <c r="AM373" s="439"/>
      <c r="AN373" s="439"/>
    </row>
    <row r="374" spans="1:40" ht="15.75" customHeight="1">
      <c r="A374" s="452" t="s">
        <v>422</v>
      </c>
      <c r="B374" s="439" t="s">
        <v>98</v>
      </c>
      <c r="C374" s="636" t="s">
        <v>103</v>
      </c>
      <c r="D374" s="465">
        <f t="array" ref="D374">+INDEX('[3]Budget original'!$A$2:$AO$501,MATCH($A374,'[3]Budget original'!$A$2:$A$501,0),MATCH(D$2,'[3]Budget original'!$A$2:$AO$2,0))</f>
        <v>0</v>
      </c>
      <c r="E374" s="582">
        <f t="shared" si="65"/>
        <v>0</v>
      </c>
      <c r="F374" s="466">
        <f t="array" ref="F374">+INDEX('[3]Budget original'!$A$2:$AO$501,MATCH($A374,'[3]Budget original'!$A$2:$A$501,0),MATCH(F$2,'[3]Budget original'!$A$2:$AO$2,0))</f>
        <v>0</v>
      </c>
      <c r="G374" s="465"/>
      <c r="H374" s="582"/>
      <c r="I374" s="466"/>
      <c r="J374" s="465">
        <f>-SUMIFS([3]BV_Data_An_Cour!$AM:$AM,[3]BV_Data_An_Cour!$AS:$AS,"Oui",[3]BV_Data_An_Cour!$AP:$AP,$B374,[3]BV_Data_An_Cour!$AQ:$AQ,$C374)</f>
        <v>40502.950000000012</v>
      </c>
      <c r="K374" s="582">
        <f t="shared" si="66"/>
        <v>0.28236832131980499</v>
      </c>
      <c r="L374" s="466">
        <f>-SUMIFS([3]BV_Data_An_Cour!$AM:$AM,[3]BV_Data_An_Cour!$AP:$AP,$B374,[3]BV_Data_An_Cour!$AQ:$AQ,$C374,[3]BV_Data_An_Cour!$AR:$AR,$L$2)</f>
        <v>11436.75</v>
      </c>
      <c r="M374" s="496" t="e">
        <f t="shared" si="67"/>
        <v>#DIV/0!</v>
      </c>
      <c r="N374" s="466">
        <f t="shared" si="68"/>
        <v>11436.75</v>
      </c>
      <c r="O374" s="465">
        <f>-SUMIFS([3]BV_Data_An_Prec!$AM:$AM,[3]BV_Data_An_Prec!$AS:$AS,"Oui",[3]BV_Data_An_Prec!$AP:$AP,$B374,[3]BV_Data_An_Prec!$AQ:$AQ,$C374)</f>
        <v>46742.559999999998</v>
      </c>
      <c r="P374" s="582">
        <f t="shared" si="69"/>
        <v>0.28256817769501757</v>
      </c>
      <c r="Q374" s="466">
        <f>-SUMIFS([3]BV_Data_An_Prec!$AM:$AM,[3]BV_Data_An_Prec!$AP:$AP,$B374,[3]BV_Data_An_Prec!$AQ:$AQ,$C374,[3]BV_Data_An_Prec!$AR:$AR,$L$2)</f>
        <v>13207.960000000021</v>
      </c>
      <c r="R374" s="496">
        <f t="shared" si="70"/>
        <v>-0.13348883758185232</v>
      </c>
      <c r="S374" s="466">
        <f t="shared" si="71"/>
        <v>-1771.210000000021</v>
      </c>
      <c r="T374" s="436"/>
      <c r="U374" s="436"/>
      <c r="V374" s="436"/>
      <c r="W374" s="439"/>
      <c r="X374" s="439"/>
      <c r="Y374" s="439"/>
      <c r="Z374" s="439"/>
      <c r="AA374" s="439"/>
      <c r="AB374" s="439"/>
      <c r="AC374" s="439"/>
      <c r="AD374" s="439"/>
      <c r="AE374" s="439"/>
      <c r="AF374" s="439"/>
      <c r="AG374" s="439"/>
      <c r="AH374" s="439"/>
      <c r="AI374" s="439"/>
      <c r="AJ374" s="439"/>
      <c r="AK374" s="439"/>
      <c r="AL374" s="439"/>
      <c r="AM374" s="439"/>
      <c r="AN374" s="439"/>
    </row>
    <row r="375" spans="1:40" ht="15.75" customHeight="1">
      <c r="A375" s="452" t="s">
        <v>423</v>
      </c>
      <c r="B375" s="439" t="s">
        <v>98</v>
      </c>
      <c r="C375" s="636" t="s">
        <v>104</v>
      </c>
      <c r="D375" s="465">
        <f t="array" ref="D375">+INDEX('[3]Budget original'!$A$2:$AO$501,MATCH($A375,'[3]Budget original'!$A$2:$A$501,0),MATCH(D$2,'[3]Budget original'!$A$2:$AO$2,0))</f>
        <v>0</v>
      </c>
      <c r="E375" s="582">
        <f t="shared" si="65"/>
        <v>0</v>
      </c>
      <c r="F375" s="466">
        <f t="array" ref="F375">+INDEX('[3]Budget original'!$A$2:$AO$501,MATCH($A375,'[3]Budget original'!$A$2:$A$501,0),MATCH(F$2,'[3]Budget original'!$A$2:$AO$2,0))</f>
        <v>0</v>
      </c>
      <c r="G375" s="465"/>
      <c r="H375" s="582"/>
      <c r="I375" s="466"/>
      <c r="J375" s="465">
        <f>-SUMIFS([3]BV_Data_An_Cour!$AM:$AM,[3]BV_Data_An_Cour!$AS:$AS,"Oui",[3]BV_Data_An_Cour!$AP:$AP,$B375,[3]BV_Data_An_Cour!$AQ:$AQ,$C375)</f>
        <v>31930.489999999991</v>
      </c>
      <c r="K375" s="582">
        <f t="shared" si="66"/>
        <v>0.2372948238501813</v>
      </c>
      <c r="L375" s="466">
        <f>-SUMIFS([3]BV_Data_An_Cour!$AM:$AM,[3]BV_Data_An_Cour!$AP:$AP,$B375,[3]BV_Data_An_Cour!$AQ:$AQ,$C375,[3]BV_Data_An_Cour!$AR:$AR,$L$2)</f>
        <v>7576.9399999999732</v>
      </c>
      <c r="M375" s="496" t="e">
        <f t="shared" si="67"/>
        <v>#DIV/0!</v>
      </c>
      <c r="N375" s="466">
        <f t="shared" si="68"/>
        <v>7576.9399999999732</v>
      </c>
      <c r="O375" s="465">
        <f>-SUMIFS([3]BV_Data_An_Prec!$AM:$AM,[3]BV_Data_An_Prec!$AS:$AS,"Oui",[3]BV_Data_An_Prec!$AP:$AP,$B375,[3]BV_Data_An_Prec!$AQ:$AQ,$C375)</f>
        <v>29061.130000000005</v>
      </c>
      <c r="P375" s="582">
        <f t="shared" si="69"/>
        <v>0.27300314887962124</v>
      </c>
      <c r="Q375" s="466">
        <f>-SUMIFS([3]BV_Data_An_Prec!$AM:$AM,[3]BV_Data_An_Prec!$AP:$AP,$B375,[3]BV_Data_An_Prec!$AQ:$AQ,$C375,[3]BV_Data_An_Prec!$AR:$AR,$L$2)</f>
        <v>7933.7800000000279</v>
      </c>
      <c r="R375" s="496">
        <f t="shared" si="70"/>
        <v>9.873532102846605E-2</v>
      </c>
      <c r="S375" s="466">
        <f t="shared" si="71"/>
        <v>-356.84000000005472</v>
      </c>
      <c r="T375" s="436"/>
      <c r="U375" s="436"/>
      <c r="V375" s="439"/>
      <c r="W375" s="439"/>
      <c r="X375" s="439"/>
      <c r="Y375" s="439"/>
      <c r="Z375" s="439"/>
      <c r="AA375" s="439"/>
      <c r="AB375" s="439"/>
      <c r="AC375" s="439"/>
      <c r="AD375" s="439"/>
      <c r="AE375" s="439"/>
      <c r="AF375" s="439"/>
      <c r="AG375" s="439"/>
      <c r="AH375" s="439"/>
      <c r="AI375" s="439"/>
      <c r="AJ375" s="439"/>
      <c r="AK375" s="439"/>
      <c r="AL375" s="439"/>
      <c r="AM375" s="439"/>
      <c r="AN375" s="439"/>
    </row>
    <row r="376" spans="1:40" ht="15.75" customHeight="1">
      <c r="A376" s="452" t="s">
        <v>424</v>
      </c>
      <c r="B376" s="439" t="s">
        <v>98</v>
      </c>
      <c r="C376" s="636" t="s">
        <v>105</v>
      </c>
      <c r="D376" s="465">
        <f t="array" ref="D376">+INDEX('[3]Budget original'!$A$2:$AO$501,MATCH($A376,'[3]Budget original'!$A$2:$A$501,0),MATCH(D$2,'[3]Budget original'!$A$2:$AO$2,0))</f>
        <v>0</v>
      </c>
      <c r="E376" s="582">
        <f t="shared" si="65"/>
        <v>0</v>
      </c>
      <c r="F376" s="466">
        <f t="array" ref="F376">+INDEX('[3]Budget original'!$A$2:$AO$501,MATCH($A376,'[3]Budget original'!$A$2:$A$501,0),MATCH(F$2,'[3]Budget original'!$A$2:$AO$2,0))</f>
        <v>0</v>
      </c>
      <c r="G376" s="465"/>
      <c r="H376" s="582"/>
      <c r="I376" s="466"/>
      <c r="J376" s="465">
        <f>-SUMIFS([3]BV_Data_An_Cour!$AM:$AM,[3]BV_Data_An_Cour!$AS:$AS,"Oui",[3]BV_Data_An_Cour!$AP:$AP,$B376,[3]BV_Data_An_Cour!$AQ:$AQ,$C376)</f>
        <v>147838.78000000003</v>
      </c>
      <c r="K376" s="582">
        <f t="shared" si="66"/>
        <v>0.20026923923479381</v>
      </c>
      <c r="L376" s="466">
        <f>-SUMIFS([3]BV_Data_An_Cour!$AM:$AM,[3]BV_Data_An_Cour!$AP:$AP,$B376,[3]BV_Data_An_Cour!$AQ:$AQ,$C376,[3]BV_Data_An_Cour!$AR:$AR,$L$2)</f>
        <v>29607.560000000056</v>
      </c>
      <c r="M376" s="496" t="e">
        <f t="shared" si="67"/>
        <v>#DIV/0!</v>
      </c>
      <c r="N376" s="466">
        <f t="shared" si="68"/>
        <v>29607.560000000056</v>
      </c>
      <c r="O376" s="465">
        <f>-SUMIFS([3]BV_Data_An_Prec!$AM:$AM,[3]BV_Data_An_Prec!$AS:$AS,"Oui",[3]BV_Data_An_Prec!$AP:$AP,$B376,[3]BV_Data_An_Prec!$AQ:$AQ,$C376)</f>
        <v>193176.41999999993</v>
      </c>
      <c r="P376" s="582">
        <f t="shared" si="69"/>
        <v>0.22594149948528836</v>
      </c>
      <c r="Q376" s="466">
        <f>-SUMIFS([3]BV_Data_An_Prec!$AM:$AM,[3]BV_Data_An_Prec!$AP:$AP,$B376,[3]BV_Data_An_Prec!$AQ:$AQ,$C376,[3]BV_Data_An_Prec!$AR:$AR,$L$2)</f>
        <v>43646.569999999832</v>
      </c>
      <c r="R376" s="496">
        <f t="shared" si="70"/>
        <v>-0.23469551822111578</v>
      </c>
      <c r="S376" s="466">
        <f t="shared" si="71"/>
        <v>-14039.009999999776</v>
      </c>
      <c r="T376" s="436"/>
      <c r="U376" s="436"/>
      <c r="V376" s="439"/>
      <c r="W376" s="439"/>
      <c r="X376" s="439"/>
      <c r="Y376" s="439"/>
      <c r="Z376" s="439"/>
      <c r="AA376" s="439"/>
      <c r="AB376" s="439"/>
      <c r="AC376" s="439"/>
      <c r="AD376" s="439"/>
      <c r="AE376" s="439"/>
      <c r="AF376" s="439"/>
      <c r="AG376" s="439"/>
      <c r="AH376" s="439"/>
      <c r="AI376" s="439"/>
      <c r="AJ376" s="439"/>
      <c r="AK376" s="439"/>
      <c r="AL376" s="439"/>
      <c r="AM376" s="439"/>
      <c r="AN376" s="439"/>
    </row>
    <row r="377" spans="1:40" ht="20.25" hidden="1" customHeight="1">
      <c r="A377" s="452" t="s">
        <v>425</v>
      </c>
      <c r="B377" s="439" t="s">
        <v>98</v>
      </c>
      <c r="C377" s="636" t="s">
        <v>19</v>
      </c>
      <c r="D377" s="465">
        <f t="array" ref="D377">+INDEX('[3]Budget original'!$A$2:$AO$501,MATCH($A377,'[3]Budget original'!$A$2:$A$501,0),MATCH(D$2,'[3]Budget original'!$A$2:$AO$2,0))</f>
        <v>0</v>
      </c>
      <c r="E377" s="582">
        <f t="shared" si="65"/>
        <v>0</v>
      </c>
      <c r="F377" s="466">
        <f t="array" ref="F377">+INDEX('[3]Budget original'!$A$2:$AO$501,MATCH($A377,'[3]Budget original'!$A$2:$A$501,0),MATCH(F$2,'[3]Budget original'!$A$2:$AO$2,0))</f>
        <v>0</v>
      </c>
      <c r="G377" s="465"/>
      <c r="H377" s="582"/>
      <c r="I377" s="466"/>
      <c r="J377" s="465">
        <f>-SUMIFS([3]BV_Data_An_Cour!$AM:$AM,[3]BV_Data_An_Cour!$AS:$AS,"Oui",[3]BV_Data_An_Cour!$AP:$AP,$B377,[3]BV_Data_An_Cour!$AQ:$AQ,$C377)</f>
        <v>0</v>
      </c>
      <c r="K377" s="582">
        <f t="shared" si="66"/>
        <v>0</v>
      </c>
      <c r="L377" s="466">
        <f>-SUMIFS([3]BV_Data_An_Cour!$AM:$AM,[3]BV_Data_An_Cour!$AP:$AP,$B377,[3]BV_Data_An_Cour!$AQ:$AQ,$C377,[3]BV_Data_An_Cour!$AR:$AR,$L$2)</f>
        <v>0</v>
      </c>
      <c r="M377" s="496" t="e">
        <f t="shared" si="67"/>
        <v>#DIV/0!</v>
      </c>
      <c r="N377" s="466">
        <f t="shared" si="68"/>
        <v>0</v>
      </c>
      <c r="O377" s="465">
        <f>-SUMIFS([3]BV_Data_An_Prec!$AM:$AM,[3]BV_Data_An_Prec!$AS:$AS,"Oui",[3]BV_Data_An_Prec!$AP:$AP,$B377,[3]BV_Data_An_Prec!$AQ:$AQ,$C377)</f>
        <v>0</v>
      </c>
      <c r="P377" s="582">
        <f t="shared" si="69"/>
        <v>0</v>
      </c>
      <c r="Q377" s="466">
        <f>-SUMIFS([3]BV_Data_An_Prec!$AM:$AM,[3]BV_Data_An_Prec!$AP:$AP,$B377,[3]BV_Data_An_Prec!$AQ:$AQ,$C377,[3]BV_Data_An_Prec!$AR:$AR,$L$2)</f>
        <v>0</v>
      </c>
      <c r="R377" s="496">
        <f t="shared" si="70"/>
        <v>0</v>
      </c>
      <c r="S377" s="466">
        <f t="shared" si="71"/>
        <v>0</v>
      </c>
      <c r="T377" s="436"/>
      <c r="U377" s="436"/>
      <c r="V377" s="439"/>
      <c r="W377" s="439"/>
      <c r="X377" s="439"/>
      <c r="Y377" s="439"/>
      <c r="Z377" s="439"/>
      <c r="AA377" s="439"/>
      <c r="AB377" s="439"/>
      <c r="AC377" s="439"/>
      <c r="AD377" s="439"/>
      <c r="AE377" s="439"/>
      <c r="AF377" s="439"/>
      <c r="AG377" s="439"/>
      <c r="AH377" s="439"/>
      <c r="AI377" s="439"/>
      <c r="AJ377" s="439"/>
      <c r="AK377" s="439"/>
      <c r="AL377" s="439"/>
      <c r="AM377" s="439"/>
      <c r="AN377" s="439"/>
    </row>
    <row r="378" spans="1:40" ht="15.75" customHeight="1">
      <c r="A378" s="452" t="s">
        <v>426</v>
      </c>
      <c r="B378" s="439" t="s">
        <v>98</v>
      </c>
      <c r="C378" s="636" t="s">
        <v>106</v>
      </c>
      <c r="D378" s="465">
        <f t="array" ref="D378">+INDEX('[3]Budget original'!$A$2:$AO$501,MATCH($A378,'[3]Budget original'!$A$2:$A$501,0),MATCH(D$2,'[3]Budget original'!$A$2:$AO$2,0))</f>
        <v>0</v>
      </c>
      <c r="E378" s="582">
        <f t="shared" si="65"/>
        <v>0</v>
      </c>
      <c r="F378" s="466">
        <f t="array" ref="F378">+INDEX('[3]Budget original'!$A$2:$AO$501,MATCH($A378,'[3]Budget original'!$A$2:$A$501,0),MATCH(F$2,'[3]Budget original'!$A$2:$AO$2,0))</f>
        <v>0</v>
      </c>
      <c r="G378" s="465"/>
      <c r="H378" s="582"/>
      <c r="I378" s="466"/>
      <c r="J378" s="465">
        <f>-SUMIFS([3]BV_Data_An_Cour!$AM:$AM,[3]BV_Data_An_Cour!$AS:$AS,"Oui",[3]BV_Data_An_Cour!$AP:$AP,$B378,[3]BV_Data_An_Cour!$AQ:$AQ,$C378)</f>
        <v>0</v>
      </c>
      <c r="K378" s="582">
        <f t="shared" si="66"/>
        <v>0</v>
      </c>
      <c r="L378" s="466">
        <f>-SUMIFS([3]BV_Data_An_Cour!$AM:$AM,[3]BV_Data_An_Cour!$AP:$AP,$B378,[3]BV_Data_An_Cour!$AQ:$AQ,$C378,[3]BV_Data_An_Cour!$AR:$AR,$L$2)</f>
        <v>4588.9700000000012</v>
      </c>
      <c r="M378" s="496"/>
      <c r="N378" s="466">
        <f t="shared" si="68"/>
        <v>4588.9700000000012</v>
      </c>
      <c r="O378" s="465">
        <f>-SUMIFS([3]BV_Data_An_Prec!$AM:$AM,[3]BV_Data_An_Prec!$AS:$AS,"Oui",[3]BV_Data_An_Prec!$AP:$AP,$B378,[3]BV_Data_An_Prec!$AQ:$AQ,$C378)</f>
        <v>0</v>
      </c>
      <c r="P378" s="582">
        <f t="shared" si="69"/>
        <v>0</v>
      </c>
      <c r="Q378" s="466">
        <f>-SUMIFS([3]BV_Data_An_Prec!$AM:$AM,[3]BV_Data_An_Prec!$AP:$AP,$B378,[3]BV_Data_An_Prec!$AQ:$AQ,$C378,[3]BV_Data_An_Prec!$AR:$AR,$L$2)</f>
        <v>3667.8800000000047</v>
      </c>
      <c r="R378" s="496">
        <f t="shared" si="70"/>
        <v>0</v>
      </c>
      <c r="S378" s="466">
        <f t="shared" si="71"/>
        <v>921.08999999999651</v>
      </c>
      <c r="T378" s="436"/>
      <c r="U378" s="436"/>
      <c r="V378" s="439"/>
      <c r="W378" s="439"/>
      <c r="X378" s="439"/>
      <c r="Y378" s="439"/>
      <c r="Z378" s="439"/>
      <c r="AA378" s="439"/>
      <c r="AB378" s="439"/>
      <c r="AC378" s="439"/>
      <c r="AD378" s="439"/>
      <c r="AE378" s="439"/>
      <c r="AF378" s="439"/>
      <c r="AG378" s="439"/>
      <c r="AH378" s="439"/>
      <c r="AI378" s="439"/>
      <c r="AJ378" s="439"/>
      <c r="AK378" s="439"/>
      <c r="AL378" s="439"/>
      <c r="AM378" s="439"/>
      <c r="AN378" s="439"/>
    </row>
    <row r="379" spans="1:40" ht="15.75" customHeight="1">
      <c r="A379" s="452" t="s">
        <v>427</v>
      </c>
      <c r="B379" s="439" t="s">
        <v>98</v>
      </c>
      <c r="C379" s="637" t="s">
        <v>107</v>
      </c>
      <c r="D379" s="465">
        <f t="array" ref="D379">+INDEX('[3]Budget original'!$A$2:$AO$501,MATCH($A379,'[3]Budget original'!$A$2:$A$501,0),MATCH(D$2,'[3]Budget original'!$A$2:$AO$2,0))</f>
        <v>0</v>
      </c>
      <c r="E379" s="582">
        <f t="shared" si="65"/>
        <v>0</v>
      </c>
      <c r="F379" s="466">
        <f t="array" ref="F379">+INDEX('[3]Budget original'!$A$2:$AO$501,MATCH($A379,'[3]Budget original'!$A$2:$A$501,0),MATCH(F$2,'[3]Budget original'!$A$2:$AO$2,0))</f>
        <v>0</v>
      </c>
      <c r="G379" s="465"/>
      <c r="H379" s="582"/>
      <c r="I379" s="466"/>
      <c r="J379" s="465">
        <f>-SUMIFS([3]BV_Data_An_Cour!$AM:$AM,[3]BV_Data_An_Cour!$AS:$AS,"Oui",[3]BV_Data_An_Cour!$AP:$AP,$B379,[3]BV_Data_An_Cour!$AQ:$AQ,$C379)</f>
        <v>0</v>
      </c>
      <c r="K379" s="582">
        <f t="shared" si="66"/>
        <v>0</v>
      </c>
      <c r="L379" s="466">
        <f>-SUMIFS([3]BV_Data_An_Cour!$AM:$AM,[3]BV_Data_An_Cour!$AP:$AP,$B379,[3]BV_Data_An_Cour!$AQ:$AQ,$C379,[3]BV_Data_An_Cour!$AR:$AR,$L$2)</f>
        <v>3276.6499999999996</v>
      </c>
      <c r="M379" s="496"/>
      <c r="N379" s="466">
        <f t="shared" si="68"/>
        <v>3276.6499999999996</v>
      </c>
      <c r="O379" s="465">
        <f>-SUMIFS([3]BV_Data_An_Prec!$AM:$AM,[3]BV_Data_An_Prec!$AS:$AS,"Oui",[3]BV_Data_An_Prec!$AP:$AP,$B379,[3]BV_Data_An_Prec!$AQ:$AQ,$C379)</f>
        <v>0</v>
      </c>
      <c r="P379" s="582">
        <f t="shared" si="69"/>
        <v>0</v>
      </c>
      <c r="Q379" s="466">
        <f>-SUMIFS([3]BV_Data_An_Prec!$AM:$AM,[3]BV_Data_An_Prec!$AP:$AP,$B379,[3]BV_Data_An_Prec!$AQ:$AQ,$C379,[3]BV_Data_An_Prec!$AR:$AR,$L$2)</f>
        <v>744.02999999999884</v>
      </c>
      <c r="R379" s="496">
        <f t="shared" si="70"/>
        <v>0</v>
      </c>
      <c r="S379" s="466">
        <f t="shared" si="71"/>
        <v>2532.6200000000008</v>
      </c>
      <c r="T379" s="436"/>
      <c r="U379" s="436"/>
      <c r="V379" s="439"/>
      <c r="W379" s="439"/>
      <c r="X379" s="439"/>
      <c r="Y379" s="439"/>
      <c r="Z379" s="439"/>
      <c r="AA379" s="439"/>
      <c r="AB379" s="439"/>
      <c r="AC379" s="439"/>
      <c r="AD379" s="439"/>
      <c r="AE379" s="439"/>
      <c r="AF379" s="439"/>
      <c r="AG379" s="439"/>
      <c r="AH379" s="439"/>
      <c r="AI379" s="439"/>
      <c r="AJ379" s="439"/>
      <c r="AK379" s="439"/>
      <c r="AL379" s="439"/>
      <c r="AM379" s="439"/>
      <c r="AN379" s="439"/>
    </row>
    <row r="380" spans="1:40" ht="15.75" customHeight="1">
      <c r="A380" s="452" t="s">
        <v>428</v>
      </c>
      <c r="B380" s="439" t="s">
        <v>98</v>
      </c>
      <c r="C380" s="638" t="s">
        <v>108</v>
      </c>
      <c r="D380" s="476">
        <f>SUM(D371:D379)</f>
        <v>0</v>
      </c>
      <c r="E380" s="639">
        <f>IF(D380&lt;=0,0,F380/D380)</f>
        <v>0</v>
      </c>
      <c r="F380" s="477">
        <f>SUM(F371:F379)</f>
        <v>0</v>
      </c>
      <c r="G380" s="476"/>
      <c r="H380" s="639"/>
      <c r="I380" s="477"/>
      <c r="J380" s="476">
        <f>SUM(J371:J379)</f>
        <v>321980.45</v>
      </c>
      <c r="K380" s="639">
        <f t="shared" si="66"/>
        <v>0.27680149524606212</v>
      </c>
      <c r="L380" s="477">
        <f>SUM(L371:L379)</f>
        <v>89124.669999999955</v>
      </c>
      <c r="M380" s="640" t="e">
        <f>(+J380-D380)/D380</f>
        <v>#DIV/0!</v>
      </c>
      <c r="N380" s="477">
        <f t="shared" si="68"/>
        <v>89124.669999999955</v>
      </c>
      <c r="O380" s="476">
        <f>SUM(O371:O379)</f>
        <v>398094.03999999992</v>
      </c>
      <c r="P380" s="639">
        <f t="shared" si="69"/>
        <v>0.27737333118576685</v>
      </c>
      <c r="Q380" s="477">
        <f>SUM(Q371:Q379)</f>
        <v>110420.6699999999</v>
      </c>
      <c r="R380" s="640">
        <f t="shared" si="70"/>
        <v>-0.19119500005576553</v>
      </c>
      <c r="S380" s="477">
        <f t="shared" si="71"/>
        <v>-21295.999999999942</v>
      </c>
      <c r="T380" s="436"/>
      <c r="U380" s="436"/>
      <c r="V380" s="439"/>
      <c r="W380" s="439"/>
      <c r="X380" s="439"/>
      <c r="Y380" s="439"/>
      <c r="Z380" s="439"/>
      <c r="AA380" s="439"/>
      <c r="AB380" s="439"/>
      <c r="AC380" s="439"/>
      <c r="AD380" s="439"/>
      <c r="AE380" s="439"/>
      <c r="AF380" s="439"/>
      <c r="AG380" s="439"/>
      <c r="AH380" s="439"/>
      <c r="AI380" s="439"/>
      <c r="AJ380" s="439"/>
      <c r="AK380" s="439"/>
      <c r="AL380" s="439"/>
      <c r="AM380" s="439"/>
      <c r="AN380" s="439"/>
    </row>
    <row r="381" spans="1:40" ht="15.75" customHeight="1">
      <c r="A381" s="452" t="s">
        <v>98</v>
      </c>
      <c r="B381" s="439" t="s">
        <v>98</v>
      </c>
      <c r="C381" s="636"/>
      <c r="D381" s="439"/>
      <c r="E381" s="439"/>
      <c r="F381" s="495"/>
      <c r="G381" s="462"/>
      <c r="H381" s="439"/>
      <c r="I381" s="495"/>
      <c r="J381" s="468"/>
      <c r="K381" s="439"/>
      <c r="L381" s="466"/>
      <c r="M381" s="462"/>
      <c r="N381" s="488" t="e">
        <f>N380/F380</f>
        <v>#DIV/0!</v>
      </c>
      <c r="O381" s="468"/>
      <c r="P381" s="439"/>
      <c r="Q381" s="466"/>
      <c r="R381" s="462"/>
      <c r="S381" s="488">
        <f>IF(Q380=0,0,S380/Q380)</f>
        <v>-0.19286244142514225</v>
      </c>
      <c r="T381" s="436"/>
      <c r="U381" s="436"/>
      <c r="V381" s="439"/>
      <c r="W381" s="439"/>
      <c r="X381" s="439"/>
      <c r="Y381" s="439"/>
      <c r="Z381" s="439"/>
      <c r="AA381" s="439"/>
      <c r="AB381" s="439"/>
      <c r="AC381" s="439"/>
      <c r="AD381" s="439"/>
      <c r="AE381" s="439"/>
      <c r="AF381" s="439"/>
      <c r="AG381" s="439"/>
      <c r="AH381" s="439"/>
      <c r="AI381" s="439"/>
      <c r="AJ381" s="439"/>
      <c r="AK381" s="439"/>
      <c r="AL381" s="439"/>
      <c r="AM381" s="439"/>
      <c r="AN381" s="439"/>
    </row>
    <row r="382" spans="1:40" ht="15.75" customHeight="1">
      <c r="A382" s="452" t="s">
        <v>98</v>
      </c>
      <c r="B382" s="439" t="s">
        <v>98</v>
      </c>
      <c r="C382" s="637"/>
      <c r="D382" s="546"/>
      <c r="E382" s="546"/>
      <c r="F382" s="641"/>
      <c r="G382" s="453"/>
      <c r="H382" s="546"/>
      <c r="I382" s="641"/>
      <c r="J382" s="602"/>
      <c r="K382" s="546"/>
      <c r="L382" s="458"/>
      <c r="M382" s="453"/>
      <c r="N382" s="622"/>
      <c r="O382" s="602"/>
      <c r="P382" s="546"/>
      <c r="Q382" s="458"/>
      <c r="R382" s="453"/>
      <c r="S382" s="578"/>
      <c r="T382" s="436"/>
      <c r="U382" s="436"/>
      <c r="V382" s="439"/>
      <c r="W382" s="439"/>
      <c r="X382" s="439"/>
      <c r="Y382" s="439"/>
      <c r="Z382" s="439"/>
      <c r="AA382" s="439"/>
      <c r="AB382" s="439"/>
      <c r="AC382" s="439"/>
      <c r="AD382" s="439"/>
      <c r="AE382" s="439"/>
      <c r="AF382" s="439"/>
      <c r="AG382" s="439"/>
      <c r="AH382" s="439"/>
      <c r="AI382" s="439"/>
      <c r="AJ382" s="439"/>
      <c r="AK382" s="439"/>
      <c r="AL382" s="439"/>
      <c r="AM382" s="439"/>
      <c r="AN382" s="439"/>
    </row>
    <row r="383" spans="1:40" ht="15.75" customHeight="1">
      <c r="A383" s="452" t="s">
        <v>429</v>
      </c>
      <c r="B383" s="439" t="s">
        <v>98</v>
      </c>
      <c r="C383" s="636" t="s">
        <v>109</v>
      </c>
      <c r="D383" s="465">
        <f t="array" ref="D383">+INDEX('[3]Budget original'!$A$2:$AO$501,MATCH($A383,'[3]Budget original'!$A$2:$A$501,0),MATCH(D$2,'[3]Budget original'!$A$2:$AO$2,0))</f>
        <v>0</v>
      </c>
      <c r="E383" s="582">
        <f t="shared" ref="E383:E384" si="72">IF(D383=0,0,F383/D383)</f>
        <v>0</v>
      </c>
      <c r="F383" s="503">
        <f t="array" ref="F383">+INDEX('[3]Budget original'!$A$2:$AO$501,MATCH($A383,'[3]Budget original'!$A$2:$A$501,0),MATCH(F$2,'[3]Budget original'!$A$2:$AO$2,0))</f>
        <v>0</v>
      </c>
      <c r="G383" s="465"/>
      <c r="H383" s="582"/>
      <c r="I383" s="503"/>
      <c r="J383" s="465">
        <f>-SUMIFS([3]BV_Data_An_Cour!$AM:$AM,[3]BV_Data_An_Cour!$AS:$AS,"Oui",[3]BV_Data_An_Cour!$AP:$AP,$B383,[3]BV_Data_An_Cour!$AQ:$AQ,$C383)</f>
        <v>39663.960000000021</v>
      </c>
      <c r="K383" s="582">
        <f t="shared" ref="K383:K385" si="73">IF(J383&lt;=0,0,L383/J383)</f>
        <v>8.6316141908170843E-2</v>
      </c>
      <c r="L383" s="503">
        <f>-SUMIFS([3]BV_Data_An_Cour!$AM:$AM,[3]BV_Data_An_Cour!$AP:$AP,$B383,[3]BV_Data_An_Cour!$AQ:$AQ,$C383,[3]BV_Data_An_Cour!$AR:$AR,$L$2)</f>
        <v>3423.640000000014</v>
      </c>
      <c r="M383" s="496" t="e">
        <f t="shared" ref="M383:M385" si="74">(+J383-D383)/D383</f>
        <v>#DIV/0!</v>
      </c>
      <c r="N383" s="466">
        <f t="shared" ref="N383:N385" si="75">L383-F383</f>
        <v>3423.640000000014</v>
      </c>
      <c r="O383" s="465">
        <f>-SUMIFS([3]BV_Data_An_Prec!$AM:$AM,[3]BV_Data_An_Prec!$AS:$AS,"Oui",[3]BV_Data_An_Prec!$AP:$AP,$B383,[3]BV_Data_An_Prec!$AQ:$AQ,$C383)</f>
        <v>20398.25</v>
      </c>
      <c r="P383" s="582">
        <f t="shared" ref="P383:P385" si="76">IF(O383&lt;=0,0,Q383/O383)</f>
        <v>0.10841714362751727</v>
      </c>
      <c r="Q383" s="503">
        <f>-SUMIFS([3]BV_Data_An_Prec!$AM:$AM,[3]BV_Data_An_Prec!$AP:$AP,$B383,[3]BV_Data_An_Prec!$AQ:$AQ,$C383,[3]BV_Data_An_Prec!$AR:$AR,$L$2)</f>
        <v>2211.5200000000041</v>
      </c>
      <c r="R383" s="496">
        <f t="shared" ref="R383:R385" si="77">IF(O383=0,0,(J383-O383)/O383)</f>
        <v>0.94447857046560468</v>
      </c>
      <c r="S383" s="466">
        <f t="shared" ref="S383:S385" si="78">L383-Q383</f>
        <v>1212.1200000000099</v>
      </c>
      <c r="T383" s="436"/>
      <c r="U383" s="436"/>
      <c r="V383" s="439"/>
      <c r="W383" s="439"/>
      <c r="X383" s="439"/>
      <c r="Y383" s="439"/>
      <c r="Z383" s="439"/>
      <c r="AA383" s="439"/>
      <c r="AB383" s="439"/>
      <c r="AC383" s="439"/>
      <c r="AD383" s="439"/>
      <c r="AE383" s="439"/>
      <c r="AF383" s="439"/>
      <c r="AG383" s="439"/>
      <c r="AH383" s="439"/>
      <c r="AI383" s="439"/>
      <c r="AJ383" s="439"/>
      <c r="AK383" s="439"/>
      <c r="AL383" s="439"/>
      <c r="AM383" s="439"/>
      <c r="AN383" s="439"/>
    </row>
    <row r="384" spans="1:40" ht="15.75" customHeight="1">
      <c r="A384" s="452" t="s">
        <v>430</v>
      </c>
      <c r="B384" s="439" t="s">
        <v>98</v>
      </c>
      <c r="C384" s="637" t="s">
        <v>110</v>
      </c>
      <c r="D384" s="465">
        <f t="array" ref="D384">+INDEX('[3]Budget original'!$A$2:$AO$501,MATCH($A384,'[3]Budget original'!$A$2:$A$501,0),MATCH(D$2,'[3]Budget original'!$A$2:$AO$2,0))</f>
        <v>0</v>
      </c>
      <c r="E384" s="582">
        <f t="shared" si="72"/>
        <v>0</v>
      </c>
      <c r="F384" s="458">
        <f t="array" ref="F384">+INDEX('[3]Budget original'!$A$2:$AO$501,MATCH($A384,'[3]Budget original'!$A$2:$A$501,0),MATCH(F$2,'[3]Budget original'!$A$2:$AO$2,0))</f>
        <v>0</v>
      </c>
      <c r="G384" s="465"/>
      <c r="H384" s="582"/>
      <c r="I384" s="458"/>
      <c r="J384" s="465">
        <f>-SUMIFS([3]BV_Data_An_Cour!$AM:$AM,[3]BV_Data_An_Cour!$AS:$AS,"Oui",[3]BV_Data_An_Cour!$AP:$AP,$B384,[3]BV_Data_An_Cour!$AQ:$AQ,$C384)</f>
        <v>13668.600000000006</v>
      </c>
      <c r="K384" s="582">
        <f t="shared" si="73"/>
        <v>0.23740909822512923</v>
      </c>
      <c r="L384" s="458">
        <f>-SUMIFS([3]BV_Data_An_Cour!$AM:$AM,[3]BV_Data_An_Cour!$AP:$AP,$B384,[3]BV_Data_An_Cour!$AQ:$AQ,$C384,[3]BV_Data_An_Cour!$AR:$AR,$L$2)</f>
        <v>3245.0500000000029</v>
      </c>
      <c r="M384" s="496" t="e">
        <f t="shared" si="74"/>
        <v>#DIV/0!</v>
      </c>
      <c r="N384" s="466">
        <f t="shared" si="75"/>
        <v>3245.0500000000029</v>
      </c>
      <c r="O384" s="465">
        <f>-SUMIFS([3]BV_Data_An_Prec!$AM:$AM,[3]BV_Data_An_Prec!$AS:$AS,"Oui",[3]BV_Data_An_Prec!$AP:$AP,$B384,[3]BV_Data_An_Prec!$AQ:$AQ,$C384)</f>
        <v>12049.909999999996</v>
      </c>
      <c r="P384" s="582">
        <f t="shared" si="76"/>
        <v>0.28795484779554331</v>
      </c>
      <c r="Q384" s="458">
        <f>-SUMIFS([3]BV_Data_An_Prec!$AM:$AM,[3]BV_Data_An_Prec!$AP:$AP,$B384,[3]BV_Data_An_Prec!$AQ:$AQ,$C384,[3]BV_Data_An_Prec!$AR:$AR,$L$2)</f>
        <v>3469.8299999999945</v>
      </c>
      <c r="R384" s="496">
        <f t="shared" si="77"/>
        <v>0.13433212364241809</v>
      </c>
      <c r="S384" s="466">
        <f t="shared" si="78"/>
        <v>-224.77999999999156</v>
      </c>
      <c r="T384" s="436"/>
      <c r="U384" s="436"/>
      <c r="V384" s="439"/>
      <c r="W384" s="439"/>
      <c r="X384" s="439"/>
      <c r="Y384" s="439"/>
      <c r="Z384" s="439"/>
      <c r="AA384" s="439"/>
      <c r="AB384" s="439"/>
      <c r="AC384" s="439"/>
      <c r="AD384" s="439"/>
      <c r="AE384" s="439"/>
      <c r="AF384" s="439"/>
      <c r="AG384" s="439"/>
      <c r="AH384" s="439"/>
      <c r="AI384" s="439"/>
      <c r="AJ384" s="439"/>
      <c r="AK384" s="439"/>
      <c r="AL384" s="439"/>
      <c r="AM384" s="439"/>
      <c r="AN384" s="439"/>
    </row>
    <row r="385" spans="1:40" ht="15.75" customHeight="1">
      <c r="A385" s="452" t="s">
        <v>431</v>
      </c>
      <c r="B385" s="439" t="s">
        <v>98</v>
      </c>
      <c r="C385" s="480" t="s">
        <v>111</v>
      </c>
      <c r="D385" s="476">
        <f>D380+D383+D384</f>
        <v>0</v>
      </c>
      <c r="E385" s="639">
        <f>IF(D385&lt;=0,0,F385/D385)</f>
        <v>0</v>
      </c>
      <c r="F385" s="477">
        <f>F380+F383+F384</f>
        <v>0</v>
      </c>
      <c r="G385" s="471"/>
      <c r="H385" s="639"/>
      <c r="I385" s="477"/>
      <c r="J385" s="471">
        <f>J380+J383+J384</f>
        <v>375313.01</v>
      </c>
      <c r="K385" s="639">
        <f t="shared" si="73"/>
        <v>0.2552359162822519</v>
      </c>
      <c r="L385" s="477">
        <f>L380+L383+L384</f>
        <v>95793.359999999971</v>
      </c>
      <c r="M385" s="640" t="e">
        <f t="shared" si="74"/>
        <v>#DIV/0!</v>
      </c>
      <c r="N385" s="477">
        <f t="shared" si="75"/>
        <v>95793.359999999971</v>
      </c>
      <c r="O385" s="471">
        <f>O380+O383+O384</f>
        <v>430542.1999999999</v>
      </c>
      <c r="P385" s="639">
        <f t="shared" si="76"/>
        <v>0.26966466934019462</v>
      </c>
      <c r="Q385" s="477">
        <f>Q380+Q383+Q384</f>
        <v>116102.0199999999</v>
      </c>
      <c r="R385" s="640">
        <f t="shared" si="77"/>
        <v>-0.12827822684977197</v>
      </c>
      <c r="S385" s="477">
        <f t="shared" si="78"/>
        <v>-20308.659999999931</v>
      </c>
      <c r="T385" s="436"/>
      <c r="U385" s="521"/>
      <c r="V385" s="439"/>
      <c r="W385" s="439"/>
      <c r="X385" s="439"/>
      <c r="Y385" s="439"/>
      <c r="Z385" s="439"/>
      <c r="AA385" s="439"/>
      <c r="AB385" s="439"/>
      <c r="AC385" s="439"/>
      <c r="AD385" s="439"/>
      <c r="AE385" s="439"/>
      <c r="AF385" s="439"/>
      <c r="AG385" s="439"/>
      <c r="AH385" s="439"/>
      <c r="AI385" s="439"/>
      <c r="AJ385" s="439"/>
      <c r="AK385" s="439"/>
      <c r="AL385" s="439"/>
      <c r="AM385" s="439"/>
      <c r="AN385" s="439"/>
    </row>
    <row r="386" spans="1:40" ht="21" hidden="1" customHeight="1">
      <c r="A386" s="452" t="s">
        <v>98</v>
      </c>
      <c r="B386" s="439" t="s">
        <v>98</v>
      </c>
      <c r="C386" s="462"/>
      <c r="D386" s="439"/>
      <c r="E386" s="439"/>
      <c r="F386" s="495"/>
      <c r="G386" s="462"/>
      <c r="H386" s="439"/>
      <c r="I386" s="495"/>
      <c r="J386" s="468"/>
      <c r="K386" s="439"/>
      <c r="L386" s="466"/>
      <c r="M386" s="462"/>
      <c r="N386" s="488" t="e">
        <f>N385/F385</f>
        <v>#DIV/0!</v>
      </c>
      <c r="O386" s="468"/>
      <c r="P386" s="439"/>
      <c r="Q386" s="466"/>
      <c r="R386" s="462"/>
      <c r="S386" s="485">
        <f>IF(Q385=0,0,S385/Q385)</f>
        <v>-0.17492081533120568</v>
      </c>
      <c r="T386" s="436"/>
      <c r="U386" s="436"/>
      <c r="V386" s="439"/>
      <c r="W386" s="439"/>
      <c r="X386" s="439"/>
      <c r="Y386" s="439"/>
      <c r="Z386" s="439"/>
      <c r="AA386" s="439"/>
      <c r="AB386" s="439"/>
      <c r="AC386" s="439"/>
      <c r="AD386" s="439"/>
      <c r="AE386" s="439"/>
      <c r="AF386" s="439"/>
      <c r="AG386" s="439"/>
      <c r="AH386" s="439"/>
      <c r="AI386" s="439"/>
      <c r="AJ386" s="439"/>
      <c r="AK386" s="439"/>
      <c r="AL386" s="439"/>
      <c r="AM386" s="439"/>
      <c r="AN386" s="439"/>
    </row>
    <row r="387" spans="1:40" ht="21" hidden="1" customHeight="1">
      <c r="A387" s="452" t="s">
        <v>98</v>
      </c>
      <c r="B387" s="439" t="s">
        <v>98</v>
      </c>
      <c r="C387" s="462"/>
      <c r="D387" s="439"/>
      <c r="E387" s="439"/>
      <c r="F387" s="495"/>
      <c r="G387" s="462"/>
      <c r="H387" s="439"/>
      <c r="I387" s="495"/>
      <c r="J387" s="468"/>
      <c r="K387" s="439"/>
      <c r="L387" s="466"/>
      <c r="M387" s="462"/>
      <c r="N387" s="488"/>
      <c r="O387" s="468"/>
      <c r="P387" s="439"/>
      <c r="Q387" s="466"/>
      <c r="R387" s="462"/>
      <c r="S387" s="485"/>
      <c r="T387" s="436"/>
      <c r="U387" s="436"/>
      <c r="V387" s="439"/>
      <c r="W387" s="439"/>
      <c r="X387" s="439"/>
      <c r="Y387" s="439"/>
      <c r="Z387" s="439"/>
      <c r="AA387" s="439"/>
      <c r="AB387" s="439"/>
      <c r="AC387" s="439"/>
      <c r="AD387" s="439"/>
      <c r="AE387" s="439"/>
      <c r="AF387" s="439"/>
      <c r="AG387" s="439"/>
      <c r="AH387" s="439"/>
      <c r="AI387" s="439"/>
      <c r="AJ387" s="439"/>
      <c r="AK387" s="439"/>
      <c r="AL387" s="439"/>
      <c r="AM387" s="439"/>
      <c r="AN387" s="439"/>
    </row>
    <row r="388" spans="1:40" ht="20.25" hidden="1" customHeight="1">
      <c r="A388" s="452" t="s">
        <v>432</v>
      </c>
      <c r="B388" s="439" t="s">
        <v>98</v>
      </c>
      <c r="C388" s="453" t="s">
        <v>112</v>
      </c>
      <c r="D388" s="494">
        <f t="array" ref="D388">+INDEX('[3]Budget original'!$A$2:$AO$501,MATCH($A388,'[3]Budget original'!$A$2:$A$501,0),MATCH(D$2,'[3]Budget original'!$A$2:$AO$2,0))</f>
        <v>0</v>
      </c>
      <c r="E388" s="642">
        <f>IF(D388=0,0,F388/D388)</f>
        <v>0</v>
      </c>
      <c r="F388" s="458">
        <f t="array" ref="F388">+INDEX('[3]Budget original'!$A$2:$AO$501,MATCH($A388,'[3]Budget original'!$A$2:$A$501,0),MATCH(F$2,'[3]Budget original'!$A$2:$AO$2,0))</f>
        <v>0</v>
      </c>
      <c r="G388" s="602"/>
      <c r="H388" s="642"/>
      <c r="I388" s="458"/>
      <c r="J388" s="602">
        <f>-SUMIFS([3]BV_Data_An_Cour!$AM:$AM,[3]BV_Data_An_Cour!$AS:$AS,"Oui",[3]BV_Data_An_Cour!$AP:$AP,$B388,[3]BV_Data_An_Cour!$AQ:$AQ,$C388)</f>
        <v>0</v>
      </c>
      <c r="K388" s="642">
        <f>IF(J388&lt;=0,0,L388/J388)</f>
        <v>0</v>
      </c>
      <c r="L388" s="458">
        <f>-SUMIFS([3]BV_Data_An_Cour!$AM:$AM,[3]BV_Data_An_Cour!$AP:$AP,$B388,[3]BV_Data_An_Cour!$AQ:$AQ,$C388,[3]BV_Data_An_Cour!$AR:$AR,$L$2)</f>
        <v>0</v>
      </c>
      <c r="M388" s="642">
        <f>IF(F388=0,0,(+L388-F388)/F388)</f>
        <v>0</v>
      </c>
      <c r="N388" s="458">
        <f>L388-F388</f>
        <v>0</v>
      </c>
      <c r="O388" s="602">
        <f>-SUMIFS([3]BV_Data_An_Prec!$AM:$AM,[3]BV_Data_An_Prec!$AS:$AS,"Oui",[3]BV_Data_An_Prec!$AP:$AP,$B388,[3]BV_Data_An_Prec!$AQ:$AQ,$C388)</f>
        <v>0</v>
      </c>
      <c r="P388" s="642">
        <f>IF(O388&lt;=0,0,Q388/O388)</f>
        <v>0</v>
      </c>
      <c r="Q388" s="458">
        <f>-SUMIFS([3]BV_Data_An_Prec!$AM:$AM,[3]BV_Data_An_Prec!$AP:$AP,$B388,[3]BV_Data_An_Prec!$AQ:$AQ,$C388,[3]BV_Data_An_Prec!$AR:$AR,$L$2)</f>
        <v>0</v>
      </c>
      <c r="R388" s="642">
        <f>IF(S388=0,0,(+O388-K388)/K388)</f>
        <v>0</v>
      </c>
      <c r="S388" s="458">
        <f>L388-Q388</f>
        <v>0</v>
      </c>
      <c r="T388" s="436"/>
      <c r="U388" s="521"/>
      <c r="V388" s="439"/>
      <c r="W388" s="439"/>
      <c r="X388" s="439"/>
      <c r="Y388" s="439"/>
      <c r="Z388" s="439"/>
      <c r="AA388" s="439"/>
      <c r="AB388" s="439"/>
      <c r="AC388" s="439"/>
      <c r="AD388" s="439"/>
      <c r="AE388" s="439"/>
      <c r="AF388" s="439"/>
      <c r="AG388" s="439"/>
      <c r="AH388" s="439"/>
      <c r="AI388" s="439"/>
      <c r="AJ388" s="439"/>
      <c r="AK388" s="439"/>
      <c r="AL388" s="439"/>
      <c r="AM388" s="439"/>
      <c r="AN388" s="439"/>
    </row>
    <row r="389" spans="1:40" ht="15.75" customHeight="1" thickBot="1">
      <c r="A389" s="452" t="s">
        <v>98</v>
      </c>
      <c r="B389" s="439" t="s">
        <v>98</v>
      </c>
      <c r="C389" s="462"/>
      <c r="D389" s="465"/>
      <c r="E389" s="582"/>
      <c r="F389" s="466"/>
      <c r="G389" s="468"/>
      <c r="H389" s="582"/>
      <c r="I389" s="466"/>
      <c r="J389" s="468"/>
      <c r="K389" s="582"/>
      <c r="L389" s="466"/>
      <c r="M389" s="496"/>
      <c r="N389" s="466"/>
      <c r="O389" s="468"/>
      <c r="P389" s="582"/>
      <c r="Q389" s="466"/>
      <c r="R389" s="496"/>
      <c r="S389" s="466"/>
      <c r="T389" s="436"/>
      <c r="U389" s="436"/>
      <c r="V389" s="439"/>
      <c r="W389" s="439"/>
      <c r="X389" s="439"/>
      <c r="Y389" s="439"/>
      <c r="Z389" s="439"/>
      <c r="AA389" s="439"/>
      <c r="AB389" s="439"/>
      <c r="AC389" s="439"/>
      <c r="AD389" s="439"/>
      <c r="AE389" s="439"/>
      <c r="AF389" s="439"/>
      <c r="AG389" s="439"/>
      <c r="AH389" s="439"/>
      <c r="AI389" s="439"/>
      <c r="AJ389" s="439"/>
      <c r="AK389" s="439"/>
      <c r="AL389" s="439"/>
      <c r="AM389" s="439"/>
      <c r="AN389" s="439"/>
    </row>
    <row r="390" spans="1:40" ht="18" customHeight="1" thickTop="1">
      <c r="A390" s="452" t="s">
        <v>433</v>
      </c>
      <c r="B390" s="439" t="s">
        <v>98</v>
      </c>
      <c r="C390" s="507" t="s">
        <v>113</v>
      </c>
      <c r="D390" s="508">
        <f>D385+D388</f>
        <v>0</v>
      </c>
      <c r="E390" s="509">
        <f>IF(D390&lt;=0,0,F390/D390)</f>
        <v>0</v>
      </c>
      <c r="F390" s="510">
        <f>F385+F388</f>
        <v>0</v>
      </c>
      <c r="G390" s="511"/>
      <c r="H390" s="509"/>
      <c r="I390" s="510"/>
      <c r="J390" s="511">
        <f>J385+J388</f>
        <v>375313.01</v>
      </c>
      <c r="K390" s="643">
        <f>IF(J390&lt;=0,0,L390/J390)</f>
        <v>0.2552359162822519</v>
      </c>
      <c r="L390" s="510">
        <f>L385+L388</f>
        <v>95793.359999999971</v>
      </c>
      <c r="M390" s="511" t="e">
        <f>(+J390-D390)/D390</f>
        <v>#DIV/0!</v>
      </c>
      <c r="N390" s="510">
        <f>L390-F390</f>
        <v>95793.359999999971</v>
      </c>
      <c r="O390" s="511">
        <f>O385+O388</f>
        <v>430542.1999999999</v>
      </c>
      <c r="P390" s="643">
        <f>IF(O390&lt;=0,0,Q390/O390)</f>
        <v>0.26966466934019462</v>
      </c>
      <c r="Q390" s="510">
        <f>Q385+Q388</f>
        <v>116102.0199999999</v>
      </c>
      <c r="R390" s="644">
        <f>IF(O390=0,0,(J390-O390)/O390)</f>
        <v>-0.12827822684977197</v>
      </c>
      <c r="S390" s="510">
        <f>L390-Q390</f>
        <v>-20308.659999999931</v>
      </c>
      <c r="T390" s="436"/>
      <c r="U390" s="436"/>
      <c r="V390" s="439"/>
      <c r="W390" s="439"/>
      <c r="X390" s="439"/>
      <c r="Y390" s="439"/>
      <c r="Z390" s="439"/>
      <c r="AA390" s="439"/>
      <c r="AB390" s="439"/>
      <c r="AC390" s="439"/>
      <c r="AD390" s="439"/>
      <c r="AE390" s="439"/>
      <c r="AF390" s="439"/>
      <c r="AG390" s="439"/>
      <c r="AH390" s="439"/>
      <c r="AI390" s="439"/>
      <c r="AJ390" s="439"/>
      <c r="AK390" s="439"/>
      <c r="AL390" s="439"/>
      <c r="AM390" s="439"/>
      <c r="AN390" s="439"/>
    </row>
    <row r="391" spans="1:40" ht="22.5" customHeight="1" thickBot="1">
      <c r="A391" s="452" t="s">
        <v>98</v>
      </c>
      <c r="B391" s="439" t="s">
        <v>98</v>
      </c>
      <c r="C391" s="512"/>
      <c r="D391" s="513"/>
      <c r="E391" s="513"/>
      <c r="F391" s="514"/>
      <c r="G391" s="512"/>
      <c r="H391" s="513"/>
      <c r="I391" s="514"/>
      <c r="J391" s="512"/>
      <c r="K391" s="515"/>
      <c r="L391" s="516"/>
      <c r="M391" s="517"/>
      <c r="N391" s="518" t="e">
        <f>N390/F390</f>
        <v>#DIV/0!</v>
      </c>
      <c r="O391" s="512"/>
      <c r="P391" s="515"/>
      <c r="Q391" s="519"/>
      <c r="R391" s="517"/>
      <c r="S391" s="519">
        <f>IF(Q390=0,0,S390/Q390)</f>
        <v>-0.17492081533120568</v>
      </c>
      <c r="T391" s="436"/>
      <c r="U391" s="436"/>
      <c r="V391" s="439"/>
      <c r="W391" s="439"/>
      <c r="X391" s="439"/>
      <c r="Y391" s="439"/>
      <c r="Z391" s="439"/>
      <c r="AA391" s="439"/>
      <c r="AB391" s="439"/>
      <c r="AC391" s="439"/>
      <c r="AD391" s="439"/>
      <c r="AE391" s="439"/>
      <c r="AF391" s="439"/>
      <c r="AG391" s="439"/>
      <c r="AH391" s="439"/>
      <c r="AI391" s="439"/>
      <c r="AJ391" s="439"/>
      <c r="AK391" s="439"/>
      <c r="AL391" s="439"/>
      <c r="AM391" s="439"/>
      <c r="AN391" s="439"/>
    </row>
    <row r="392" spans="1:40" ht="15.75" customHeight="1" thickTop="1">
      <c r="A392" s="452" t="s">
        <v>98</v>
      </c>
      <c r="B392" s="439" t="s">
        <v>98</v>
      </c>
      <c r="C392" s="480"/>
      <c r="D392" s="484"/>
      <c r="E392" s="579"/>
      <c r="F392" s="485"/>
      <c r="G392" s="580"/>
      <c r="H392" s="579"/>
      <c r="I392" s="485"/>
      <c r="J392" s="580"/>
      <c r="K392" s="579"/>
      <c r="L392" s="485"/>
      <c r="M392" s="462"/>
      <c r="N392" s="488"/>
      <c r="O392" s="580"/>
      <c r="P392" s="579"/>
      <c r="Q392" s="485"/>
      <c r="R392" s="462"/>
      <c r="S392" s="488"/>
      <c r="T392" s="436"/>
      <c r="U392" s="436"/>
      <c r="V392" s="439"/>
      <c r="W392" s="439"/>
      <c r="X392" s="439"/>
      <c r="Y392" s="439"/>
      <c r="Z392" s="439"/>
      <c r="AA392" s="439"/>
      <c r="AB392" s="439"/>
      <c r="AC392" s="439"/>
      <c r="AD392" s="439"/>
      <c r="AE392" s="439"/>
      <c r="AF392" s="439"/>
      <c r="AG392" s="439"/>
      <c r="AH392" s="439"/>
      <c r="AI392" s="439"/>
      <c r="AJ392" s="439"/>
      <c r="AK392" s="439"/>
      <c r="AL392" s="439"/>
      <c r="AM392" s="439"/>
      <c r="AN392" s="439"/>
    </row>
    <row r="393" spans="1:40" ht="15.75" customHeight="1">
      <c r="A393" s="452" t="s">
        <v>434</v>
      </c>
      <c r="B393" s="439" t="s">
        <v>98</v>
      </c>
      <c r="C393" s="522" t="s">
        <v>29</v>
      </c>
      <c r="D393" s="439"/>
      <c r="E393" s="439"/>
      <c r="F393" s="466"/>
      <c r="G393" s="462"/>
      <c r="H393" s="439"/>
      <c r="I393" s="466"/>
      <c r="J393" s="462"/>
      <c r="K393" s="439"/>
      <c r="L393" s="495"/>
      <c r="M393" s="462"/>
      <c r="N393" s="495"/>
      <c r="O393" s="462"/>
      <c r="P393" s="439"/>
      <c r="Q393" s="495"/>
      <c r="R393" s="462"/>
      <c r="S393" s="495"/>
      <c r="T393" s="436"/>
      <c r="U393" s="436"/>
      <c r="V393" s="439"/>
      <c r="W393" s="439"/>
      <c r="X393" s="439"/>
      <c r="Y393" s="439"/>
      <c r="Z393" s="439"/>
      <c r="AA393" s="439"/>
      <c r="AB393" s="439"/>
      <c r="AC393" s="439"/>
      <c r="AD393" s="439"/>
      <c r="AE393" s="439"/>
      <c r="AF393" s="439"/>
      <c r="AG393" s="439"/>
      <c r="AH393" s="439"/>
      <c r="AI393" s="439"/>
      <c r="AJ393" s="439"/>
      <c r="AK393" s="439"/>
      <c r="AL393" s="439"/>
      <c r="AM393" s="439"/>
      <c r="AN393" s="439"/>
    </row>
    <row r="394" spans="1:40" ht="15.75" customHeight="1">
      <c r="A394" s="452" t="s">
        <v>435</v>
      </c>
      <c r="B394" s="439" t="s">
        <v>98</v>
      </c>
      <c r="C394" s="541" t="s">
        <v>40</v>
      </c>
      <c r="D394" s="439"/>
      <c r="E394" s="439"/>
      <c r="F394" s="463">
        <f t="array" ref="F394">+INDEX('[3]Budget original'!$A$2:$AO$501,MATCH($A394,'[3]Budget original'!$A$2:$A$501,0),MATCH(F$2,'[3]Budget original'!$A$2:$AO$2,0))</f>
        <v>0</v>
      </c>
      <c r="G394" s="462"/>
      <c r="H394" s="439"/>
      <c r="I394" s="463"/>
      <c r="J394" s="462"/>
      <c r="K394" s="439"/>
      <c r="L394" s="466">
        <f>SUMIFS([3]BV_Data_An_Cour!$AM:$AM,[3]BV_Data_An_Cour!$AP:$AP,$B394,[3]BV_Data_An_Cour!$AQ:$AQ,$C394,[3]BV_Data_An_Cour!$AR:$AR,$L$2)</f>
        <v>8180.43</v>
      </c>
      <c r="M394" s="462"/>
      <c r="N394" s="467">
        <f t="shared" ref="N394:N424" si="79">L394-F394</f>
        <v>8180.43</v>
      </c>
      <c r="O394" s="462"/>
      <c r="P394" s="439"/>
      <c r="Q394" s="466">
        <f>SUMIFS([3]BV_Data_An_Prec!$AM:$AM,[3]BV_Data_An_Prec!$AP:$AP,$B394,[3]BV_Data_An_Prec!$AQ:$AQ,$C394,[3]BV_Data_An_Prec!$AR:$AR,$L$2)</f>
        <v>-3302.119999999999</v>
      </c>
      <c r="R394" s="462"/>
      <c r="S394" s="466">
        <f t="shared" ref="S394:S424" si="80">L394-Q394</f>
        <v>11482.55</v>
      </c>
      <c r="T394" s="436"/>
      <c r="U394" s="436"/>
      <c r="V394" s="439"/>
      <c r="W394" s="439"/>
      <c r="X394" s="439"/>
      <c r="Y394" s="439"/>
      <c r="Z394" s="439"/>
      <c r="AA394" s="439"/>
      <c r="AB394" s="439"/>
      <c r="AC394" s="439"/>
      <c r="AD394" s="439"/>
      <c r="AE394" s="439"/>
      <c r="AF394" s="439"/>
      <c r="AG394" s="439"/>
      <c r="AH394" s="439"/>
      <c r="AI394" s="439"/>
      <c r="AJ394" s="439"/>
      <c r="AK394" s="439"/>
      <c r="AL394" s="439"/>
      <c r="AM394" s="439"/>
      <c r="AN394" s="439"/>
    </row>
    <row r="395" spans="1:40" ht="15.75" customHeight="1">
      <c r="A395" s="452" t="s">
        <v>436</v>
      </c>
      <c r="B395" s="439" t="s">
        <v>98</v>
      </c>
      <c r="C395" s="542" t="s">
        <v>41</v>
      </c>
      <c r="D395" s="528"/>
      <c r="E395" s="439"/>
      <c r="F395" s="455">
        <f t="array" ref="F395">+INDEX('[3]Budget original'!$A$2:$AO$501,MATCH($A395,'[3]Budget original'!$A$2:$A$501,0),MATCH(F$2,'[3]Budget original'!$A$2:$AO$2,0))</f>
        <v>0</v>
      </c>
      <c r="G395" s="529"/>
      <c r="H395" s="439"/>
      <c r="I395" s="455"/>
      <c r="J395" s="462"/>
      <c r="K395" s="439"/>
      <c r="L395" s="466">
        <f>SUMIFS([3]BV_Data_An_Cour!$AM:$AM,[3]BV_Data_An_Cour!$AP:$AP,$B395,[3]BV_Data_An_Cour!$AQ:$AQ,$C395,[3]BV_Data_An_Cour!$AR:$AR,$L$2)</f>
        <v>2587.0600000000013</v>
      </c>
      <c r="M395" s="462"/>
      <c r="N395" s="467">
        <f t="shared" si="79"/>
        <v>2587.0600000000013</v>
      </c>
      <c r="O395" s="462"/>
      <c r="P395" s="439"/>
      <c r="Q395" s="466">
        <f>SUMIFS([3]BV_Data_An_Prec!$AM:$AM,[3]BV_Data_An_Prec!$AP:$AP,$B395,[3]BV_Data_An_Prec!$AQ:$AQ,$C395,[3]BV_Data_An_Prec!$AR:$AR,$L$2)</f>
        <v>3258.5399999999972</v>
      </c>
      <c r="R395" s="462"/>
      <c r="S395" s="466">
        <f t="shared" si="80"/>
        <v>-671.47999999999593</v>
      </c>
      <c r="T395" s="436"/>
      <c r="U395" s="436"/>
      <c r="V395" s="439"/>
      <c r="W395" s="439"/>
      <c r="X395" s="439"/>
      <c r="Y395" s="439"/>
      <c r="Z395" s="439"/>
      <c r="AA395" s="439"/>
      <c r="AB395" s="439"/>
      <c r="AC395" s="439"/>
      <c r="AD395" s="439"/>
      <c r="AE395" s="439"/>
      <c r="AF395" s="439"/>
      <c r="AG395" s="439"/>
      <c r="AH395" s="439"/>
      <c r="AI395" s="439"/>
      <c r="AJ395" s="439"/>
      <c r="AK395" s="439"/>
      <c r="AL395" s="439"/>
      <c r="AM395" s="439"/>
      <c r="AN395" s="439"/>
    </row>
    <row r="396" spans="1:40" ht="15.75" customHeight="1">
      <c r="A396" s="452" t="s">
        <v>437</v>
      </c>
      <c r="B396" s="439" t="s">
        <v>98</v>
      </c>
      <c r="C396" s="541" t="s">
        <v>42</v>
      </c>
      <c r="D396" s="543"/>
      <c r="E396" s="544"/>
      <c r="F396" s="463">
        <f t="array" ref="F396">+INDEX('[3]Budget original'!$A$2:$AO$501,MATCH($A396,'[3]Budget original'!$A$2:$A$501,0),MATCH(F$2,'[3]Budget original'!$A$2:$AO$2,0))</f>
        <v>0</v>
      </c>
      <c r="G396" s="545"/>
      <c r="H396" s="544"/>
      <c r="I396" s="463"/>
      <c r="J396" s="447"/>
      <c r="K396" s="544"/>
      <c r="L396" s="503">
        <f>SUMIFS([3]BV_Data_An_Cour!$AM:$AM,[3]BV_Data_An_Cour!$AP:$AP,$B396,[3]BV_Data_An_Cour!$AQ:$AQ,$C396,[3]BV_Data_An_Cour!$AR:$AR,$L$2)</f>
        <v>14535.920000000013</v>
      </c>
      <c r="M396" s="447"/>
      <c r="N396" s="500">
        <f t="shared" si="79"/>
        <v>14535.920000000013</v>
      </c>
      <c r="O396" s="447"/>
      <c r="P396" s="544"/>
      <c r="Q396" s="503">
        <f>SUMIFS([3]BV_Data_An_Prec!$AM:$AM,[3]BV_Data_An_Prec!$AP:$AP,$B396,[3]BV_Data_An_Prec!$AQ:$AQ,$C396,[3]BV_Data_An_Prec!$AR:$AR,$L$2)</f>
        <v>21239.360000000015</v>
      </c>
      <c r="R396" s="447"/>
      <c r="S396" s="503">
        <f t="shared" si="80"/>
        <v>-6703.4400000000023</v>
      </c>
      <c r="T396" s="436"/>
      <c r="U396" s="645"/>
      <c r="V396" s="646"/>
      <c r="W396" s="439"/>
      <c r="X396" s="439"/>
      <c r="Y396" s="439"/>
      <c r="Z396" s="439"/>
      <c r="AA396" s="439"/>
      <c r="AB396" s="439"/>
      <c r="AC396" s="439"/>
      <c r="AD396" s="439"/>
      <c r="AE396" s="439"/>
      <c r="AF396" s="439"/>
      <c r="AG396" s="439"/>
      <c r="AH396" s="439"/>
      <c r="AI396" s="439"/>
      <c r="AJ396" s="439"/>
      <c r="AK396" s="439"/>
      <c r="AL396" s="439"/>
      <c r="AM396" s="439"/>
      <c r="AN396" s="439"/>
    </row>
    <row r="397" spans="1:40" ht="20.25" hidden="1" customHeight="1">
      <c r="A397" s="452" t="s">
        <v>438</v>
      </c>
      <c r="B397" s="439" t="s">
        <v>98</v>
      </c>
      <c r="C397" s="541" t="s">
        <v>43</v>
      </c>
      <c r="D397" s="528"/>
      <c r="E397" s="439"/>
      <c r="F397" s="463">
        <f t="array" ref="F397">+INDEX('[3]Budget original'!$A$2:$AO$501,MATCH($A397,'[3]Budget original'!$A$2:$A$501,0),MATCH(F$2,'[3]Budget original'!$A$2:$AO$2,0))</f>
        <v>0</v>
      </c>
      <c r="G397" s="529"/>
      <c r="H397" s="439"/>
      <c r="I397" s="463"/>
      <c r="J397" s="462"/>
      <c r="K397" s="439"/>
      <c r="L397" s="466">
        <f>SUMIFS([3]BV_Data_An_Cour!$AM:$AM,[3]BV_Data_An_Cour!$AP:$AP,$B397,[3]BV_Data_An_Cour!$AQ:$AQ,$C397,[3]BV_Data_An_Cour!$AR:$AR,$L$2)</f>
        <v>0</v>
      </c>
      <c r="M397" s="462"/>
      <c r="N397" s="467">
        <f t="shared" si="79"/>
        <v>0</v>
      </c>
      <c r="O397" s="462"/>
      <c r="P397" s="439"/>
      <c r="Q397" s="466">
        <f>SUMIFS([3]BV_Data_An_Prec!$AM:$AM,[3]BV_Data_An_Prec!$AP:$AP,$B397,[3]BV_Data_An_Prec!$AQ:$AQ,$C397,[3]BV_Data_An_Prec!$AR:$AR,$L$2)</f>
        <v>0</v>
      </c>
      <c r="R397" s="462"/>
      <c r="S397" s="466">
        <f t="shared" si="80"/>
        <v>0</v>
      </c>
      <c r="T397" s="436"/>
      <c r="U397" s="436"/>
      <c r="V397" s="439"/>
      <c r="W397" s="439"/>
      <c r="X397" s="439"/>
      <c r="Y397" s="439"/>
      <c r="Z397" s="439"/>
      <c r="AA397" s="439"/>
      <c r="AB397" s="439"/>
      <c r="AC397" s="439"/>
      <c r="AD397" s="439"/>
      <c r="AE397" s="439"/>
      <c r="AF397" s="439"/>
      <c r="AG397" s="439"/>
      <c r="AH397" s="439"/>
      <c r="AI397" s="439"/>
      <c r="AJ397" s="439"/>
      <c r="AK397" s="439"/>
      <c r="AL397" s="439"/>
      <c r="AM397" s="439"/>
      <c r="AN397" s="439"/>
    </row>
    <row r="398" spans="1:40" ht="20.25" hidden="1" customHeight="1">
      <c r="A398" s="452" t="s">
        <v>425</v>
      </c>
      <c r="B398" s="439" t="s">
        <v>98</v>
      </c>
      <c r="C398" s="462" t="s">
        <v>19</v>
      </c>
      <c r="D398" s="528"/>
      <c r="E398" s="439"/>
      <c r="F398" s="463">
        <f t="array" ref="F398">+INDEX('[3]Budget original'!$A$2:$AO$501,MATCH($A398,'[3]Budget original'!$A$2:$A$501,0),MATCH(F$2,'[3]Budget original'!$A$2:$AO$2,0))</f>
        <v>0</v>
      </c>
      <c r="G398" s="529"/>
      <c r="H398" s="439"/>
      <c r="I398" s="463"/>
      <c r="J398" s="462"/>
      <c r="K398" s="439"/>
      <c r="L398" s="466">
        <f>SUMIFS([3]BV_Data_An_Cour!$AM:$AM,[3]BV_Data_An_Cour!$AP:$AP,$B398,[3]BV_Data_An_Cour!$AQ:$AQ,$C398,[3]BV_Data_An_Cour!$AR:$AR,$L$2)</f>
        <v>0</v>
      </c>
      <c r="M398" s="462"/>
      <c r="N398" s="467">
        <f t="shared" si="79"/>
        <v>0</v>
      </c>
      <c r="O398" s="462"/>
      <c r="P398" s="439"/>
      <c r="Q398" s="466">
        <f>SUMIFS([3]BV_Data_An_Prec!$AM:$AM,[3]BV_Data_An_Prec!$AP:$AP,$B398,[3]BV_Data_An_Prec!$AQ:$AQ,$C398,[3]BV_Data_An_Prec!$AR:$AR,$L$2)</f>
        <v>0</v>
      </c>
      <c r="R398" s="462"/>
      <c r="S398" s="466">
        <f t="shared" si="80"/>
        <v>0</v>
      </c>
      <c r="T398" s="436"/>
      <c r="U398" s="436"/>
      <c r="V398" s="439"/>
      <c r="W398" s="439"/>
      <c r="X398" s="439"/>
      <c r="Y398" s="439"/>
      <c r="Z398" s="439"/>
      <c r="AA398" s="439"/>
      <c r="AB398" s="439"/>
      <c r="AC398" s="439"/>
      <c r="AD398" s="439"/>
      <c r="AE398" s="439"/>
      <c r="AF398" s="439"/>
      <c r="AG398" s="439"/>
      <c r="AH398" s="439"/>
      <c r="AI398" s="439"/>
      <c r="AJ398" s="439"/>
      <c r="AK398" s="439"/>
      <c r="AL398" s="439"/>
      <c r="AM398" s="439"/>
      <c r="AN398" s="439"/>
    </row>
    <row r="399" spans="1:40" ht="20.25" hidden="1" customHeight="1">
      <c r="A399" s="452" t="s">
        <v>425</v>
      </c>
      <c r="B399" s="439" t="s">
        <v>98</v>
      </c>
      <c r="C399" s="462" t="s">
        <v>19</v>
      </c>
      <c r="D399" s="528"/>
      <c r="E399" s="439"/>
      <c r="F399" s="463">
        <f t="array" ref="F399">+INDEX('[3]Budget original'!$A$2:$AO$501,MATCH($A399,'[3]Budget original'!$A$2:$A$501,0),MATCH(F$2,'[3]Budget original'!$A$2:$AO$2,0))</f>
        <v>0</v>
      </c>
      <c r="G399" s="529"/>
      <c r="H399" s="439"/>
      <c r="I399" s="463"/>
      <c r="J399" s="462"/>
      <c r="K399" s="439"/>
      <c r="L399" s="466">
        <f>SUMIFS([3]BV_Data_An_Cour!$AM:$AM,[3]BV_Data_An_Cour!$AP:$AP,$B399,[3]BV_Data_An_Cour!$AQ:$AQ,$C399,[3]BV_Data_An_Cour!$AR:$AR,$L$2)</f>
        <v>0</v>
      </c>
      <c r="M399" s="462"/>
      <c r="N399" s="467">
        <f t="shared" si="79"/>
        <v>0</v>
      </c>
      <c r="O399" s="462"/>
      <c r="P399" s="439"/>
      <c r="Q399" s="466">
        <f>SUMIFS([3]BV_Data_An_Prec!$AM:$AM,[3]BV_Data_An_Prec!$AP:$AP,$B399,[3]BV_Data_An_Prec!$AQ:$AQ,$C399,[3]BV_Data_An_Prec!$AR:$AR,$L$2)</f>
        <v>0</v>
      </c>
      <c r="R399" s="462"/>
      <c r="S399" s="466">
        <f t="shared" si="80"/>
        <v>0</v>
      </c>
      <c r="T399" s="436"/>
      <c r="U399" s="436"/>
      <c r="V399" s="439"/>
      <c r="W399" s="439"/>
      <c r="X399" s="439"/>
      <c r="Y399" s="439"/>
      <c r="Z399" s="439"/>
      <c r="AA399" s="439"/>
      <c r="AB399" s="439"/>
      <c r="AC399" s="439"/>
      <c r="AD399" s="439"/>
      <c r="AE399" s="439"/>
      <c r="AF399" s="439"/>
      <c r="AG399" s="439"/>
      <c r="AH399" s="439"/>
      <c r="AI399" s="439"/>
      <c r="AJ399" s="439"/>
      <c r="AK399" s="439"/>
      <c r="AL399" s="439"/>
      <c r="AM399" s="439"/>
      <c r="AN399" s="439"/>
    </row>
    <row r="400" spans="1:40" ht="20.25" hidden="1" customHeight="1" thickTop="1" thickBot="1">
      <c r="A400" s="452" t="s">
        <v>425</v>
      </c>
      <c r="B400" s="439" t="s">
        <v>98</v>
      </c>
      <c r="C400" s="462" t="s">
        <v>19</v>
      </c>
      <c r="D400" s="528"/>
      <c r="E400" s="439"/>
      <c r="F400" s="463">
        <f t="array" ref="F400">+INDEX('[3]Budget original'!$A$2:$AO$501,MATCH($A400,'[3]Budget original'!$A$2:$A$501,0),MATCH(F$2,'[3]Budget original'!$A$2:$AO$2,0))</f>
        <v>0</v>
      </c>
      <c r="G400" s="529"/>
      <c r="H400" s="439"/>
      <c r="I400" s="463"/>
      <c r="J400" s="462"/>
      <c r="K400" s="439"/>
      <c r="L400" s="466">
        <f>SUMIFS([3]BV_Data_An_Cour!$AM:$AM,[3]BV_Data_An_Cour!$AP:$AP,$B400,[3]BV_Data_An_Cour!$AQ:$AQ,$C400,[3]BV_Data_An_Cour!$AR:$AR,$L$2)</f>
        <v>0</v>
      </c>
      <c r="M400" s="462"/>
      <c r="N400" s="467">
        <f t="shared" si="79"/>
        <v>0</v>
      </c>
      <c r="O400" s="462"/>
      <c r="P400" s="439"/>
      <c r="Q400" s="466">
        <f>SUMIFS([3]BV_Data_An_Prec!$AM:$AM,[3]BV_Data_An_Prec!$AP:$AP,$B400,[3]BV_Data_An_Prec!$AQ:$AQ,$C400,[3]BV_Data_An_Prec!$AR:$AR,$L$2)</f>
        <v>0</v>
      </c>
      <c r="R400" s="462"/>
      <c r="S400" s="466">
        <f t="shared" si="80"/>
        <v>0</v>
      </c>
      <c r="T400" s="436"/>
      <c r="U400" s="436"/>
      <c r="V400" s="439"/>
      <c r="W400" s="439"/>
      <c r="X400" s="439"/>
      <c r="Y400" s="439"/>
      <c r="Z400" s="439"/>
      <c r="AA400" s="439"/>
      <c r="AB400" s="439"/>
      <c r="AC400" s="439"/>
      <c r="AD400" s="439"/>
      <c r="AE400" s="439"/>
      <c r="AF400" s="439"/>
      <c r="AG400" s="439"/>
      <c r="AH400" s="439"/>
      <c r="AI400" s="439"/>
      <c r="AJ400" s="439"/>
      <c r="AK400" s="439"/>
      <c r="AL400" s="439"/>
      <c r="AM400" s="439"/>
      <c r="AN400" s="439"/>
    </row>
    <row r="401" spans="1:40" ht="15.75" customHeight="1">
      <c r="A401" s="452" t="s">
        <v>439</v>
      </c>
      <c r="B401" s="439" t="s">
        <v>98</v>
      </c>
      <c r="C401" s="542" t="s">
        <v>44</v>
      </c>
      <c r="D401" s="528"/>
      <c r="E401" s="439"/>
      <c r="F401" s="455">
        <f t="array" ref="F401">+INDEX('[3]Budget original'!$A$2:$AO$501,MATCH($A401,'[3]Budget original'!$A$2:$A$501,0),MATCH(F$2,'[3]Budget original'!$A$2:$AO$2,0))</f>
        <v>0</v>
      </c>
      <c r="G401" s="529"/>
      <c r="H401" s="439"/>
      <c r="I401" s="455"/>
      <c r="J401" s="462"/>
      <c r="K401" s="439"/>
      <c r="L401" s="466">
        <f>SUMIFS([3]BV_Data_An_Cour!$AM:$AM,[3]BV_Data_An_Cour!$AP:$AP,$B401,[3]BV_Data_An_Cour!$AQ:$AQ,$C401,[3]BV_Data_An_Cour!$AR:$AR,$L$2)</f>
        <v>2896.3600000000006</v>
      </c>
      <c r="M401" s="462"/>
      <c r="N401" s="467">
        <f t="shared" si="79"/>
        <v>2896.3600000000006</v>
      </c>
      <c r="O401" s="462"/>
      <c r="P401" s="439"/>
      <c r="Q401" s="466">
        <f>SUMIFS([3]BV_Data_An_Prec!$AM:$AM,[3]BV_Data_An_Prec!$AP:$AP,$B401,[3]BV_Data_An_Prec!$AQ:$AQ,$C401,[3]BV_Data_An_Prec!$AR:$AR,$L$2)</f>
        <v>2683.9300000000003</v>
      </c>
      <c r="R401" s="462"/>
      <c r="S401" s="466">
        <f t="shared" si="80"/>
        <v>212.43000000000029</v>
      </c>
      <c r="T401" s="436"/>
      <c r="U401" s="436"/>
      <c r="V401" s="439"/>
      <c r="W401" s="439"/>
      <c r="X401" s="439"/>
      <c r="Y401" s="439"/>
      <c r="Z401" s="439"/>
      <c r="AA401" s="439"/>
      <c r="AB401" s="439"/>
      <c r="AC401" s="439"/>
      <c r="AD401" s="439"/>
      <c r="AE401" s="439"/>
      <c r="AF401" s="439"/>
      <c r="AG401" s="439"/>
      <c r="AH401" s="439"/>
      <c r="AI401" s="439"/>
      <c r="AJ401" s="439"/>
      <c r="AK401" s="439"/>
      <c r="AL401" s="439"/>
      <c r="AM401" s="439"/>
      <c r="AN401" s="439"/>
    </row>
    <row r="402" spans="1:40" ht="15.75" customHeight="1">
      <c r="A402" s="452" t="s">
        <v>440</v>
      </c>
      <c r="B402" s="439" t="s">
        <v>98</v>
      </c>
      <c r="C402" s="541" t="s">
        <v>45</v>
      </c>
      <c r="D402" s="543"/>
      <c r="E402" s="544"/>
      <c r="F402" s="463">
        <f t="array" ref="F402">+INDEX('[3]Budget original'!$A$2:$AO$501,MATCH($A402,'[3]Budget original'!$A$2:$A$501,0),MATCH(F$2,'[3]Budget original'!$A$2:$AO$2,0))</f>
        <v>0</v>
      </c>
      <c r="G402" s="545"/>
      <c r="H402" s="544"/>
      <c r="I402" s="463"/>
      <c r="J402" s="447"/>
      <c r="K402" s="544"/>
      <c r="L402" s="503">
        <f>SUMIFS([3]BV_Data_An_Cour!$AM:$AM,[3]BV_Data_An_Cour!$AP:$AP,$B402,[3]BV_Data_An_Cour!$AQ:$AQ,$C402,[3]BV_Data_An_Cour!$AR:$AR,$L$2)</f>
        <v>3067.4300000000003</v>
      </c>
      <c r="M402" s="447"/>
      <c r="N402" s="500">
        <f t="shared" si="79"/>
        <v>3067.4300000000003</v>
      </c>
      <c r="O402" s="447"/>
      <c r="P402" s="544"/>
      <c r="Q402" s="503">
        <f>SUMIFS([3]BV_Data_An_Prec!$AM:$AM,[3]BV_Data_An_Prec!$AP:$AP,$B402,[3]BV_Data_An_Prec!$AQ:$AQ,$C402,[3]BV_Data_An_Prec!$AR:$AR,$L$2)</f>
        <v>2841.1700000000019</v>
      </c>
      <c r="R402" s="447"/>
      <c r="S402" s="503">
        <f t="shared" si="80"/>
        <v>226.2599999999984</v>
      </c>
      <c r="T402" s="436"/>
      <c r="U402" s="436"/>
      <c r="V402" s="439"/>
      <c r="W402" s="439"/>
      <c r="X402" s="439"/>
      <c r="Y402" s="439"/>
      <c r="Z402" s="439"/>
      <c r="AA402" s="439"/>
      <c r="AB402" s="439"/>
      <c r="AC402" s="439"/>
      <c r="AD402" s="439"/>
      <c r="AE402" s="439"/>
      <c r="AF402" s="439"/>
      <c r="AG402" s="439"/>
      <c r="AH402" s="439"/>
      <c r="AI402" s="439"/>
      <c r="AJ402" s="439"/>
      <c r="AK402" s="439"/>
      <c r="AL402" s="439"/>
      <c r="AM402" s="439"/>
      <c r="AN402" s="439"/>
    </row>
    <row r="403" spans="1:40" ht="15.75" customHeight="1">
      <c r="A403" s="452" t="s">
        <v>441</v>
      </c>
      <c r="B403" s="439" t="s">
        <v>98</v>
      </c>
      <c r="C403" s="541" t="s">
        <v>46</v>
      </c>
      <c r="D403" s="528"/>
      <c r="E403" s="439"/>
      <c r="F403" s="463">
        <f t="array" ref="F403">+INDEX('[3]Budget original'!$A$2:$AO$501,MATCH($A403,'[3]Budget original'!$A$2:$A$501,0),MATCH(F$2,'[3]Budget original'!$A$2:$AO$2,0))</f>
        <v>0</v>
      </c>
      <c r="G403" s="529"/>
      <c r="H403" s="439"/>
      <c r="I403" s="463"/>
      <c r="J403" s="462"/>
      <c r="K403" s="439"/>
      <c r="L403" s="466">
        <f>SUMIFS([3]BV_Data_An_Cour!$AM:$AM,[3]BV_Data_An_Cour!$AP:$AP,$B403,[3]BV_Data_An_Cour!$AQ:$AQ,$C403,[3]BV_Data_An_Cour!$AR:$AR,$L$2)</f>
        <v>1053.58</v>
      </c>
      <c r="M403" s="462"/>
      <c r="N403" s="467">
        <f t="shared" si="79"/>
        <v>1053.58</v>
      </c>
      <c r="O403" s="462"/>
      <c r="P403" s="439"/>
      <c r="Q403" s="466">
        <f>SUMIFS([3]BV_Data_An_Prec!$AM:$AM,[3]BV_Data_An_Prec!$AP:$AP,$B403,[3]BV_Data_An_Prec!$AQ:$AQ,$C403,[3]BV_Data_An_Prec!$AR:$AR,$L$2)</f>
        <v>1458.3100000000013</v>
      </c>
      <c r="R403" s="462"/>
      <c r="S403" s="466">
        <f t="shared" si="80"/>
        <v>-404.73000000000138</v>
      </c>
      <c r="T403" s="436"/>
      <c r="U403" s="436"/>
      <c r="V403" s="439"/>
      <c r="W403" s="439"/>
      <c r="X403" s="439"/>
      <c r="Y403" s="439"/>
      <c r="Z403" s="439"/>
      <c r="AA403" s="439"/>
      <c r="AB403" s="439"/>
      <c r="AC403" s="439"/>
      <c r="AD403" s="439"/>
      <c r="AE403" s="439"/>
      <c r="AF403" s="439"/>
      <c r="AG403" s="439"/>
      <c r="AH403" s="439"/>
      <c r="AI403" s="439"/>
      <c r="AJ403" s="439"/>
      <c r="AK403" s="439"/>
      <c r="AL403" s="439"/>
      <c r="AM403" s="439"/>
      <c r="AN403" s="439"/>
    </row>
    <row r="404" spans="1:40" ht="15.75" customHeight="1">
      <c r="A404" s="452" t="s">
        <v>442</v>
      </c>
      <c r="B404" s="439" t="s">
        <v>98</v>
      </c>
      <c r="C404" s="541" t="s">
        <v>47</v>
      </c>
      <c r="D404" s="528"/>
      <c r="E404" s="439"/>
      <c r="F404" s="463">
        <f t="array" ref="F404">+INDEX('[3]Budget original'!$A$2:$AO$501,MATCH($A404,'[3]Budget original'!$A$2:$A$501,0),MATCH(F$2,'[3]Budget original'!$A$2:$AO$2,0))</f>
        <v>0</v>
      </c>
      <c r="G404" s="529"/>
      <c r="H404" s="439"/>
      <c r="I404" s="463"/>
      <c r="J404" s="462"/>
      <c r="K404" s="439"/>
      <c r="L404" s="466">
        <f>SUMIFS([3]BV_Data_An_Cour!$AM:$AM,[3]BV_Data_An_Cour!$AP:$AP,$B404,[3]BV_Data_An_Cour!$AQ:$AQ,$C404,[3]BV_Data_An_Cour!$AR:$AR,$L$2)</f>
        <v>1331.3399999999992</v>
      </c>
      <c r="M404" s="462"/>
      <c r="N404" s="467">
        <f t="shared" si="79"/>
        <v>1331.3399999999992</v>
      </c>
      <c r="O404" s="462"/>
      <c r="P404" s="439"/>
      <c r="Q404" s="466">
        <f>SUMIFS([3]BV_Data_An_Prec!$AM:$AM,[3]BV_Data_An_Prec!$AP:$AP,$B404,[3]BV_Data_An_Prec!$AQ:$AQ,$C404,[3]BV_Data_An_Prec!$AR:$AR,$L$2)</f>
        <v>183.27999999999997</v>
      </c>
      <c r="R404" s="462"/>
      <c r="S404" s="466">
        <f t="shared" si="80"/>
        <v>1148.0599999999993</v>
      </c>
      <c r="T404" s="436"/>
      <c r="U404" s="436"/>
      <c r="V404" s="439"/>
      <c r="W404" s="439"/>
      <c r="X404" s="439"/>
      <c r="Y404" s="439"/>
      <c r="Z404" s="439"/>
      <c r="AA404" s="439"/>
      <c r="AB404" s="439"/>
      <c r="AC404" s="439"/>
      <c r="AD404" s="439"/>
      <c r="AE404" s="439"/>
      <c r="AF404" s="439"/>
      <c r="AG404" s="439"/>
      <c r="AH404" s="439"/>
      <c r="AI404" s="439"/>
      <c r="AJ404" s="439"/>
      <c r="AK404" s="439"/>
      <c r="AL404" s="439"/>
      <c r="AM404" s="439"/>
      <c r="AN404" s="439"/>
    </row>
    <row r="405" spans="1:40" ht="20.25" hidden="1" customHeight="1" thickTop="1" thickBot="1">
      <c r="A405" s="452" t="s">
        <v>425</v>
      </c>
      <c r="B405" s="439" t="s">
        <v>98</v>
      </c>
      <c r="C405" s="462" t="s">
        <v>19</v>
      </c>
      <c r="D405" s="531"/>
      <c r="E405" s="546"/>
      <c r="F405" s="463">
        <f t="array" ref="F405">+INDEX('[3]Budget original'!$A$2:$AO$501,MATCH($A405,'[3]Budget original'!$A$2:$A$501,0),MATCH(F$2,'[3]Budget original'!$A$2:$AO$2,0))</f>
        <v>0</v>
      </c>
      <c r="G405" s="532"/>
      <c r="H405" s="546"/>
      <c r="I405" s="463"/>
      <c r="J405" s="453"/>
      <c r="K405" s="546"/>
      <c r="L405" s="466">
        <f>SUMIFS([3]BV_Data_An_Cour!$AM:$AM,[3]BV_Data_An_Cour!$AP:$AP,$B405,[3]BV_Data_An_Cour!$AQ:$AQ,$C405,[3]BV_Data_An_Cour!$AR:$AR,$L$2)</f>
        <v>0</v>
      </c>
      <c r="M405" s="453"/>
      <c r="N405" s="458">
        <f t="shared" si="79"/>
        <v>0</v>
      </c>
      <c r="O405" s="453"/>
      <c r="P405" s="546"/>
      <c r="Q405" s="466">
        <f>SUMIFS([3]BV_Data_An_Prec!$AM:$AM,[3]BV_Data_An_Prec!$AP:$AP,$B405,[3]BV_Data_An_Prec!$AQ:$AQ,$C405,[3]BV_Data_An_Prec!$AR:$AR,$L$2)</f>
        <v>0</v>
      </c>
      <c r="R405" s="453"/>
      <c r="S405" s="458">
        <f t="shared" si="80"/>
        <v>0</v>
      </c>
      <c r="T405" s="436"/>
      <c r="U405" s="436"/>
      <c r="V405" s="439"/>
      <c r="W405" s="439"/>
      <c r="X405" s="439"/>
      <c r="Y405" s="439"/>
      <c r="Z405" s="439"/>
      <c r="AA405" s="439"/>
      <c r="AB405" s="439"/>
      <c r="AC405" s="439"/>
      <c r="AD405" s="439"/>
      <c r="AE405" s="439"/>
      <c r="AF405" s="439"/>
      <c r="AG405" s="439"/>
      <c r="AH405" s="439"/>
      <c r="AI405" s="439"/>
      <c r="AJ405" s="439"/>
      <c r="AK405" s="439"/>
      <c r="AL405" s="439"/>
      <c r="AM405" s="439"/>
      <c r="AN405" s="439"/>
    </row>
    <row r="406" spans="1:40" ht="18" customHeight="1">
      <c r="A406" s="452" t="s">
        <v>443</v>
      </c>
      <c r="B406" s="439" t="s">
        <v>98</v>
      </c>
      <c r="C406" s="534" t="s">
        <v>48</v>
      </c>
      <c r="D406" s="535" t="s">
        <v>38</v>
      </c>
      <c r="E406" s="536" t="e">
        <f>F406/F$390</f>
        <v>#DIV/0!</v>
      </c>
      <c r="F406" s="537">
        <f>+SUM(F394:F405)</f>
        <v>0</v>
      </c>
      <c r="G406" s="538"/>
      <c r="H406" s="536"/>
      <c r="I406" s="537"/>
      <c r="J406" s="538" t="s">
        <v>38</v>
      </c>
      <c r="K406" s="536">
        <f>L406/L$390</f>
        <v>0.35129908795348674</v>
      </c>
      <c r="L406" s="537">
        <f>+SUM(L394:L405)</f>
        <v>33652.12000000001</v>
      </c>
      <c r="M406" s="539"/>
      <c r="N406" s="537">
        <f t="shared" si="79"/>
        <v>33652.12000000001</v>
      </c>
      <c r="O406" s="538" t="s">
        <v>38</v>
      </c>
      <c r="P406" s="536">
        <f>Q406/Q$390</f>
        <v>0.24428920358147119</v>
      </c>
      <c r="Q406" s="537">
        <f>+SUM(Q394:Q405)</f>
        <v>28362.470000000016</v>
      </c>
      <c r="R406" s="540"/>
      <c r="S406" s="537">
        <f t="shared" si="80"/>
        <v>5289.6499999999942</v>
      </c>
      <c r="T406" s="436"/>
      <c r="U406" s="436"/>
      <c r="V406" s="439"/>
      <c r="W406" s="439"/>
      <c r="X406" s="439"/>
      <c r="Y406" s="439"/>
      <c r="Z406" s="439"/>
      <c r="AA406" s="439"/>
      <c r="AB406" s="439"/>
      <c r="AC406" s="439"/>
      <c r="AD406" s="439"/>
      <c r="AE406" s="439"/>
      <c r="AF406" s="439"/>
      <c r="AG406" s="439"/>
      <c r="AH406" s="439"/>
      <c r="AI406" s="439"/>
      <c r="AJ406" s="439"/>
      <c r="AK406" s="439"/>
      <c r="AL406" s="439"/>
      <c r="AM406" s="439"/>
      <c r="AN406" s="439"/>
    </row>
    <row r="407" spans="1:40" ht="15.75" customHeight="1">
      <c r="A407" s="452" t="s">
        <v>444</v>
      </c>
      <c r="B407" s="439" t="s">
        <v>98</v>
      </c>
      <c r="C407" s="634" t="s">
        <v>49</v>
      </c>
      <c r="D407" s="528"/>
      <c r="E407" s="439"/>
      <c r="F407" s="463">
        <f t="array" ref="F407">+INDEX('[3]Budget original'!$A$2:$AO$501,MATCH($A407,'[3]Budget original'!$A$2:$A$501,0),MATCH(F$2,'[3]Budget original'!$A$2:$AO$2,0))</f>
        <v>0</v>
      </c>
      <c r="G407" s="529"/>
      <c r="H407" s="439"/>
      <c r="I407" s="463"/>
      <c r="J407" s="462"/>
      <c r="K407" s="439"/>
      <c r="L407" s="466">
        <f>SUMIFS([3]BV_Data_An_Cour!$AM:$AM,[3]BV_Data_An_Cour!$AP:$AP,$B407,[3]BV_Data_An_Cour!$AQ:$AQ,$C407,[3]BV_Data_An_Cour!$AR:$AR,$L$2)</f>
        <v>1238.46</v>
      </c>
      <c r="M407" s="462"/>
      <c r="N407" s="466">
        <f t="shared" si="79"/>
        <v>1238.46</v>
      </c>
      <c r="O407" s="462"/>
      <c r="P407" s="439"/>
      <c r="Q407" s="466">
        <f>SUMIFS([3]BV_Data_An_Prec!$AM:$AM,[3]BV_Data_An_Prec!$AP:$AP,$B407,[3]BV_Data_An_Prec!$AQ:$AQ,$C407,[3]BV_Data_An_Prec!$AR:$AR,$L$2)</f>
        <v>1774.4299999999989</v>
      </c>
      <c r="R407" s="462"/>
      <c r="S407" s="466">
        <f t="shared" si="80"/>
        <v>-535.96999999999889</v>
      </c>
      <c r="T407" s="436"/>
      <c r="U407" s="436"/>
      <c r="V407" s="439"/>
      <c r="W407" s="465"/>
      <c r="X407" s="439"/>
      <c r="Y407" s="439"/>
      <c r="Z407" s="439"/>
      <c r="AA407" s="439"/>
      <c r="AB407" s="439"/>
      <c r="AC407" s="439"/>
      <c r="AD407" s="439"/>
      <c r="AE407" s="439"/>
      <c r="AF407" s="439"/>
      <c r="AG407" s="439"/>
      <c r="AH407" s="439"/>
      <c r="AI407" s="439"/>
      <c r="AJ407" s="439"/>
      <c r="AK407" s="439"/>
      <c r="AL407" s="439"/>
      <c r="AM407" s="439"/>
      <c r="AN407" s="439"/>
    </row>
    <row r="408" spans="1:40" ht="15.75" customHeight="1">
      <c r="A408" s="452" t="s">
        <v>445</v>
      </c>
      <c r="B408" s="439" t="s">
        <v>98</v>
      </c>
      <c r="C408" s="541" t="s">
        <v>50</v>
      </c>
      <c r="D408" s="528"/>
      <c r="E408" s="439"/>
      <c r="F408" s="463">
        <f t="array" ref="F408">+INDEX('[3]Budget original'!$A$2:$AO$501,MATCH($A408,'[3]Budget original'!$A$2:$A$501,0),MATCH(F$2,'[3]Budget original'!$A$2:$AO$2,0))</f>
        <v>0</v>
      </c>
      <c r="G408" s="529"/>
      <c r="H408" s="439"/>
      <c r="I408" s="463"/>
      <c r="J408" s="462"/>
      <c r="K408" s="439"/>
      <c r="L408" s="466">
        <f>SUMIFS([3]BV_Data_An_Cour!$AM:$AM,[3]BV_Data_An_Cour!$AP:$AP,$B408,[3]BV_Data_An_Cour!$AQ:$AQ,$C408,[3]BV_Data_An_Cour!$AR:$AR,$L$2)</f>
        <v>0</v>
      </c>
      <c r="M408" s="462"/>
      <c r="N408" s="466">
        <f t="shared" si="79"/>
        <v>0</v>
      </c>
      <c r="O408" s="462"/>
      <c r="P408" s="439"/>
      <c r="Q408" s="466">
        <f>SUMIFS([3]BV_Data_An_Prec!$AM:$AM,[3]BV_Data_An_Prec!$AP:$AP,$B408,[3]BV_Data_An_Prec!$AQ:$AQ,$C408,[3]BV_Data_An_Prec!$AR:$AR,$L$2)</f>
        <v>1040.5000000000002</v>
      </c>
      <c r="R408" s="462"/>
      <c r="S408" s="466">
        <f t="shared" si="80"/>
        <v>-1040.5000000000002</v>
      </c>
      <c r="T408" s="436"/>
      <c r="U408" s="436"/>
      <c r="V408" s="439"/>
      <c r="W408" s="439"/>
      <c r="X408" s="439"/>
      <c r="Y408" s="439"/>
      <c r="Z408" s="439"/>
      <c r="AA408" s="439"/>
      <c r="AB408" s="439"/>
      <c r="AC408" s="439"/>
      <c r="AD408" s="439"/>
      <c r="AE408" s="439"/>
      <c r="AF408" s="439"/>
      <c r="AG408" s="439"/>
      <c r="AH408" s="439"/>
      <c r="AI408" s="439"/>
      <c r="AJ408" s="439"/>
      <c r="AK408" s="439"/>
      <c r="AL408" s="439"/>
      <c r="AM408" s="439"/>
      <c r="AN408" s="439"/>
    </row>
    <row r="409" spans="1:40" ht="15.75" customHeight="1">
      <c r="A409" s="452" t="s">
        <v>446</v>
      </c>
      <c r="B409" s="439" t="s">
        <v>98</v>
      </c>
      <c r="C409" s="542" t="s">
        <v>51</v>
      </c>
      <c r="D409" s="531"/>
      <c r="E409" s="546"/>
      <c r="F409" s="455">
        <f t="array" ref="F409">+INDEX('[3]Budget original'!$A$2:$AO$501,MATCH($A409,'[3]Budget original'!$A$2:$A$501,0),MATCH(F$2,'[3]Budget original'!$A$2:$AO$2,0))</f>
        <v>0</v>
      </c>
      <c r="G409" s="532"/>
      <c r="H409" s="546"/>
      <c r="I409" s="455"/>
      <c r="J409" s="453"/>
      <c r="K409" s="546"/>
      <c r="L409" s="458">
        <f>SUMIFS([3]BV_Data_An_Cour!$AM:$AM,[3]BV_Data_An_Cour!$AP:$AP,$B409,[3]BV_Data_An_Cour!$AQ:$AQ,$C409,[3]BV_Data_An_Cour!$AR:$AR,$L$2)</f>
        <v>2297.9199999999983</v>
      </c>
      <c r="M409" s="453"/>
      <c r="N409" s="458">
        <f t="shared" si="79"/>
        <v>2297.9199999999983</v>
      </c>
      <c r="O409" s="453"/>
      <c r="P409" s="546"/>
      <c r="Q409" s="458">
        <f>SUMIFS([3]BV_Data_An_Prec!$AM:$AM,[3]BV_Data_An_Prec!$AP:$AP,$B409,[3]BV_Data_An_Prec!$AQ:$AQ,$C409,[3]BV_Data_An_Prec!$AR:$AR,$L$2)</f>
        <v>2929.9399999999987</v>
      </c>
      <c r="R409" s="453"/>
      <c r="S409" s="458">
        <f t="shared" si="80"/>
        <v>-632.02000000000044</v>
      </c>
      <c r="T409" s="436"/>
      <c r="U409" s="436"/>
      <c r="V409" s="439"/>
      <c r="W409" s="439"/>
      <c r="X409" s="439"/>
      <c r="Y409" s="439"/>
      <c r="Z409" s="439"/>
      <c r="AA409" s="439"/>
      <c r="AB409" s="439"/>
      <c r="AC409" s="439"/>
      <c r="AD409" s="439"/>
      <c r="AE409" s="439"/>
      <c r="AF409" s="439"/>
      <c r="AG409" s="439"/>
      <c r="AH409" s="439"/>
      <c r="AI409" s="439"/>
      <c r="AJ409" s="439"/>
      <c r="AK409" s="439"/>
      <c r="AL409" s="439"/>
      <c r="AM409" s="439"/>
      <c r="AN409" s="439"/>
    </row>
    <row r="410" spans="1:40" ht="15.75" customHeight="1">
      <c r="A410" s="452" t="s">
        <v>447</v>
      </c>
      <c r="B410" s="439" t="s">
        <v>98</v>
      </c>
      <c r="C410" s="541" t="s">
        <v>52</v>
      </c>
      <c r="D410" s="528"/>
      <c r="E410" s="439"/>
      <c r="F410" s="463">
        <f t="array" ref="F410">+INDEX('[3]Budget original'!$A$2:$AO$501,MATCH($A410,'[3]Budget original'!$A$2:$A$501,0),MATCH(F$2,'[3]Budget original'!$A$2:$AO$2,0))</f>
        <v>0</v>
      </c>
      <c r="G410" s="529"/>
      <c r="H410" s="439"/>
      <c r="I410" s="463"/>
      <c r="J410" s="462"/>
      <c r="K410" s="439"/>
      <c r="L410" s="466">
        <f>SUMIFS([3]BV_Data_An_Cour!$AM:$AM,[3]BV_Data_An_Cour!$AP:$AP,$B410,[3]BV_Data_An_Cour!$AQ:$AQ,$C410,[3]BV_Data_An_Cour!$AR:$AR,$L$2)</f>
        <v>2108.6899999999987</v>
      </c>
      <c r="M410" s="462"/>
      <c r="N410" s="466">
        <f t="shared" si="79"/>
        <v>2108.6899999999987</v>
      </c>
      <c r="O410" s="462"/>
      <c r="P410" s="439"/>
      <c r="Q410" s="466">
        <f>SUMIFS([3]BV_Data_An_Prec!$AM:$AM,[3]BV_Data_An_Prec!$AP:$AP,$B410,[3]BV_Data_An_Prec!$AQ:$AQ,$C410,[3]BV_Data_An_Prec!$AR:$AR,$L$2)</f>
        <v>1604.6599999999999</v>
      </c>
      <c r="R410" s="462"/>
      <c r="S410" s="466">
        <f t="shared" si="80"/>
        <v>504.02999999999884</v>
      </c>
      <c r="T410" s="436"/>
      <c r="U410" s="436"/>
      <c r="V410" s="439"/>
      <c r="W410" s="439"/>
      <c r="X410" s="439"/>
      <c r="Y410" s="439"/>
      <c r="Z410" s="439"/>
      <c r="AA410" s="439"/>
      <c r="AB410" s="439"/>
      <c r="AC410" s="439"/>
      <c r="AD410" s="439"/>
      <c r="AE410" s="439"/>
      <c r="AF410" s="439"/>
      <c r="AG410" s="439"/>
      <c r="AH410" s="439"/>
      <c r="AI410" s="439"/>
      <c r="AJ410" s="439"/>
      <c r="AK410" s="439"/>
      <c r="AL410" s="439"/>
      <c r="AM410" s="439"/>
      <c r="AN410" s="439"/>
    </row>
    <row r="411" spans="1:40" ht="15.75" customHeight="1">
      <c r="A411" s="452" t="s">
        <v>448</v>
      </c>
      <c r="B411" s="439" t="s">
        <v>98</v>
      </c>
      <c r="C411" s="541" t="s">
        <v>53</v>
      </c>
      <c r="D411" s="528"/>
      <c r="E411" s="439"/>
      <c r="F411" s="463">
        <f t="array" ref="F411">+INDEX('[3]Budget original'!$A$2:$AO$501,MATCH($A411,'[3]Budget original'!$A$2:$A$501,0),MATCH(F$2,'[3]Budget original'!$A$2:$AO$2,0))</f>
        <v>0</v>
      </c>
      <c r="G411" s="529"/>
      <c r="H411" s="439"/>
      <c r="I411" s="463"/>
      <c r="J411" s="462"/>
      <c r="K411" s="439"/>
      <c r="L411" s="466">
        <f>SUMIFS([3]BV_Data_An_Cour!$AM:$AM,[3]BV_Data_An_Cour!$AP:$AP,$B411,[3]BV_Data_An_Cour!$AQ:$AQ,$C411,[3]BV_Data_An_Cour!$AR:$AR,$L$2)</f>
        <v>219.67000000000007</v>
      </c>
      <c r="M411" s="462"/>
      <c r="N411" s="466">
        <f t="shared" si="79"/>
        <v>219.67000000000007</v>
      </c>
      <c r="O411" s="462"/>
      <c r="P411" s="439"/>
      <c r="Q411" s="466">
        <f>SUMIFS([3]BV_Data_An_Prec!$AM:$AM,[3]BV_Data_An_Prec!$AP:$AP,$B411,[3]BV_Data_An_Prec!$AQ:$AQ,$C411,[3]BV_Data_An_Prec!$AR:$AR,$L$2)</f>
        <v>3239.5000000000009</v>
      </c>
      <c r="R411" s="462"/>
      <c r="S411" s="466">
        <f t="shared" si="80"/>
        <v>-3019.8300000000008</v>
      </c>
      <c r="T411" s="436"/>
      <c r="U411" s="436"/>
      <c r="V411" s="439"/>
      <c r="W411" s="439"/>
      <c r="X411" s="439"/>
      <c r="Y411" s="439"/>
      <c r="Z411" s="439"/>
      <c r="AA411" s="439"/>
      <c r="AB411" s="439"/>
      <c r="AC411" s="439"/>
      <c r="AD411" s="439"/>
      <c r="AE411" s="439"/>
      <c r="AF411" s="439"/>
      <c r="AG411" s="439"/>
      <c r="AH411" s="439"/>
      <c r="AI411" s="439"/>
      <c r="AJ411" s="439"/>
      <c r="AK411" s="439"/>
      <c r="AL411" s="439"/>
      <c r="AM411" s="439"/>
      <c r="AN411" s="439"/>
    </row>
    <row r="412" spans="1:40" ht="15.75" customHeight="1">
      <c r="A412" s="452" t="s">
        <v>449</v>
      </c>
      <c r="B412" s="439" t="s">
        <v>98</v>
      </c>
      <c r="C412" s="542" t="s">
        <v>54</v>
      </c>
      <c r="D412" s="531"/>
      <c r="E412" s="546"/>
      <c r="F412" s="455">
        <f t="array" ref="F412">+INDEX('[3]Budget original'!$A$2:$AO$501,MATCH($A412,'[3]Budget original'!$A$2:$A$501,0),MATCH(F$2,'[3]Budget original'!$A$2:$AO$2,0))</f>
        <v>0</v>
      </c>
      <c r="G412" s="532"/>
      <c r="H412" s="546"/>
      <c r="I412" s="455"/>
      <c r="J412" s="453"/>
      <c r="K412" s="546"/>
      <c r="L412" s="458">
        <f>SUMIFS([3]BV_Data_An_Cour!$AM:$AM,[3]BV_Data_An_Cour!$AP:$AP,$B412,[3]BV_Data_An_Cour!$AQ:$AQ,$C412,[3]BV_Data_An_Cour!$AR:$AR,$L$2)</f>
        <v>1426.7000000000007</v>
      </c>
      <c r="M412" s="453"/>
      <c r="N412" s="458">
        <f t="shared" si="79"/>
        <v>1426.7000000000007</v>
      </c>
      <c r="O412" s="453"/>
      <c r="P412" s="546"/>
      <c r="Q412" s="458">
        <f>SUMIFS([3]BV_Data_An_Prec!$AM:$AM,[3]BV_Data_An_Prec!$AP:$AP,$B412,[3]BV_Data_An_Prec!$AQ:$AQ,$C412,[3]BV_Data_An_Prec!$AR:$AR,$L$2)</f>
        <v>2435.5899999999992</v>
      </c>
      <c r="R412" s="453"/>
      <c r="S412" s="458">
        <f t="shared" si="80"/>
        <v>-1008.8899999999985</v>
      </c>
      <c r="T412" s="436"/>
      <c r="U412" s="436"/>
      <c r="V412" s="439"/>
      <c r="W412" s="439"/>
      <c r="X412" s="439"/>
      <c r="Y412" s="439"/>
      <c r="Z412" s="439"/>
      <c r="AA412" s="439"/>
      <c r="AB412" s="439"/>
      <c r="AC412" s="439"/>
      <c r="AD412" s="439"/>
      <c r="AE412" s="439"/>
      <c r="AF412" s="439"/>
      <c r="AG412" s="439"/>
      <c r="AH412" s="439"/>
      <c r="AI412" s="439"/>
      <c r="AJ412" s="439"/>
      <c r="AK412" s="439"/>
      <c r="AL412" s="439"/>
      <c r="AM412" s="439"/>
      <c r="AN412" s="439"/>
    </row>
    <row r="413" spans="1:40" ht="15.75" customHeight="1">
      <c r="A413" s="452" t="s">
        <v>450</v>
      </c>
      <c r="B413" s="439" t="s">
        <v>98</v>
      </c>
      <c r="C413" s="541" t="s">
        <v>93</v>
      </c>
      <c r="D413" s="528"/>
      <c r="E413" s="439"/>
      <c r="F413" s="463"/>
      <c r="G413" s="529"/>
      <c r="H413" s="439"/>
      <c r="I413" s="463"/>
      <c r="J413" s="462"/>
      <c r="K413" s="439"/>
      <c r="L413" s="466">
        <f>SUMIFS([3]BV_Data_An_Cour!$AM:$AM,[3]BV_Data_An_Cour!$AP:$AP,$B413,[3]BV_Data_An_Cour!$AQ:$AQ,$C413,[3]BV_Data_An_Cour!$AR:$AR,$L$2)</f>
        <v>0</v>
      </c>
      <c r="M413" s="462"/>
      <c r="N413" s="466">
        <f t="shared" si="79"/>
        <v>0</v>
      </c>
      <c r="O413" s="462"/>
      <c r="P413" s="439"/>
      <c r="Q413" s="466">
        <f>SUMIFS([3]BV_Data_An_Prec!$AM:$AM,[3]BV_Data_An_Prec!$AP:$AP,$B413,[3]BV_Data_An_Prec!$AQ:$AQ,$C413,[3]BV_Data_An_Prec!$AR:$AR,$L$2)</f>
        <v>0</v>
      </c>
      <c r="R413" s="462"/>
      <c r="S413" s="466">
        <f t="shared" si="80"/>
        <v>0</v>
      </c>
      <c r="T413" s="436"/>
      <c r="U413" s="436"/>
      <c r="V413" s="439"/>
      <c r="W413" s="439"/>
      <c r="X413" s="439"/>
      <c r="Y413" s="439"/>
      <c r="Z413" s="439"/>
      <c r="AA413" s="439"/>
      <c r="AB413" s="439"/>
      <c r="AC413" s="439"/>
      <c r="AD413" s="439"/>
      <c r="AE413" s="439"/>
      <c r="AF413" s="439"/>
      <c r="AG413" s="439"/>
      <c r="AH413" s="439"/>
      <c r="AI413" s="439"/>
      <c r="AJ413" s="439"/>
      <c r="AK413" s="439"/>
      <c r="AL413" s="439"/>
      <c r="AM413" s="439"/>
      <c r="AN413" s="439"/>
    </row>
    <row r="414" spans="1:40" ht="15.75" customHeight="1">
      <c r="A414" s="452" t="s">
        <v>451</v>
      </c>
      <c r="B414" s="439" t="s">
        <v>98</v>
      </c>
      <c r="C414" s="541" t="s">
        <v>55</v>
      </c>
      <c r="D414" s="528"/>
      <c r="E414" s="439"/>
      <c r="F414" s="463">
        <f t="array" ref="F414">+INDEX('[3]Budget original'!$A$2:$AO$501,MATCH($A414,'[3]Budget original'!$A$2:$A$501,0),MATCH(F$2,'[3]Budget original'!$A$2:$AO$2,0))</f>
        <v>0</v>
      </c>
      <c r="G414" s="529"/>
      <c r="H414" s="439"/>
      <c r="I414" s="463"/>
      <c r="J414" s="462"/>
      <c r="K414" s="439"/>
      <c r="L414" s="466">
        <f>SUMIFS([3]BV_Data_An_Cour!$AM:$AM,[3]BV_Data_An_Cour!$AP:$AP,$B414,[3]BV_Data_An_Cour!$AQ:$AQ,$C414,[3]BV_Data_An_Cour!$AR:$AR,$L$2)</f>
        <v>383.69000000000005</v>
      </c>
      <c r="M414" s="462"/>
      <c r="N414" s="466">
        <f t="shared" si="79"/>
        <v>383.69000000000005</v>
      </c>
      <c r="O414" s="462"/>
      <c r="P414" s="439"/>
      <c r="Q414" s="466">
        <f>SUMIFS([3]BV_Data_An_Prec!$AM:$AM,[3]BV_Data_An_Prec!$AP:$AP,$B414,[3]BV_Data_An_Prec!$AQ:$AQ,$C414,[3]BV_Data_An_Prec!$AR:$AR,$L$2)</f>
        <v>53.519999999999982</v>
      </c>
      <c r="R414" s="462"/>
      <c r="S414" s="466">
        <f t="shared" si="80"/>
        <v>330.17000000000007</v>
      </c>
      <c r="T414" s="436"/>
      <c r="U414" s="436"/>
      <c r="V414" s="439"/>
      <c r="W414" s="439"/>
      <c r="X414" s="439"/>
      <c r="Y414" s="439"/>
      <c r="Z414" s="439"/>
      <c r="AA414" s="439"/>
      <c r="AB414" s="439"/>
      <c r="AC414" s="439"/>
      <c r="AD414" s="439"/>
      <c r="AE414" s="439"/>
      <c r="AF414" s="439"/>
      <c r="AG414" s="439"/>
      <c r="AH414" s="439"/>
      <c r="AI414" s="439"/>
      <c r="AJ414" s="439"/>
      <c r="AK414" s="439"/>
      <c r="AL414" s="439"/>
      <c r="AM414" s="439"/>
      <c r="AN414" s="439"/>
    </row>
    <row r="415" spans="1:40" ht="15.75" customHeight="1">
      <c r="A415" s="452" t="s">
        <v>452</v>
      </c>
      <c r="B415" s="439" t="s">
        <v>98</v>
      </c>
      <c r="C415" s="541" t="s">
        <v>56</v>
      </c>
      <c r="D415" s="528"/>
      <c r="E415" s="439"/>
      <c r="F415" s="463">
        <f t="array" ref="F415">+INDEX('[3]Budget original'!$A$2:$AO$501,MATCH($A415,'[3]Budget original'!$A$2:$A$501,0),MATCH(F$2,'[3]Budget original'!$A$2:$AO$2,0))</f>
        <v>0</v>
      </c>
      <c r="G415" s="529"/>
      <c r="H415" s="439"/>
      <c r="I415" s="463"/>
      <c r="J415" s="462"/>
      <c r="K415" s="439"/>
      <c r="L415" s="466">
        <f>SUMIFS([3]BV_Data_An_Cour!$AM:$AM,[3]BV_Data_An_Cour!$AP:$AP,$B415,[3]BV_Data_An_Cour!$AQ:$AQ,$C415,[3]BV_Data_An_Cour!$AR:$AR,$L$2)</f>
        <v>0</v>
      </c>
      <c r="M415" s="462"/>
      <c r="N415" s="466">
        <f t="shared" si="79"/>
        <v>0</v>
      </c>
      <c r="O415" s="462"/>
      <c r="P415" s="439"/>
      <c r="Q415" s="466">
        <f>SUMIFS([3]BV_Data_An_Prec!$AM:$AM,[3]BV_Data_An_Prec!$AP:$AP,$B415,[3]BV_Data_An_Prec!$AQ:$AQ,$C415,[3]BV_Data_An_Prec!$AR:$AR,$L$2)</f>
        <v>0</v>
      </c>
      <c r="R415" s="462"/>
      <c r="S415" s="466">
        <f t="shared" si="80"/>
        <v>0</v>
      </c>
      <c r="T415" s="436"/>
      <c r="U415" s="436"/>
      <c r="V415" s="439"/>
      <c r="W415" s="439"/>
      <c r="X415" s="439"/>
      <c r="Y415" s="439"/>
      <c r="Z415" s="439"/>
      <c r="AA415" s="439"/>
      <c r="AB415" s="439"/>
      <c r="AC415" s="439"/>
      <c r="AD415" s="439"/>
      <c r="AE415" s="439"/>
      <c r="AF415" s="439"/>
      <c r="AG415" s="439"/>
      <c r="AH415" s="439"/>
      <c r="AI415" s="439"/>
      <c r="AJ415" s="439"/>
      <c r="AK415" s="439"/>
      <c r="AL415" s="439"/>
      <c r="AM415" s="439"/>
      <c r="AN415" s="439"/>
    </row>
    <row r="416" spans="1:40" ht="15.75" customHeight="1">
      <c r="A416" s="452" t="s">
        <v>453</v>
      </c>
      <c r="B416" s="439" t="s">
        <v>98</v>
      </c>
      <c r="C416" s="541" t="s">
        <v>57</v>
      </c>
      <c r="D416" s="528"/>
      <c r="E416" s="439"/>
      <c r="F416" s="463">
        <f t="array" ref="F416">+INDEX('[3]Budget original'!$A$2:$AO$501,MATCH($A416,'[3]Budget original'!$A$2:$A$501,0),MATCH(F$2,'[3]Budget original'!$A$2:$AO$2,0))</f>
        <v>0</v>
      </c>
      <c r="G416" s="529"/>
      <c r="H416" s="439"/>
      <c r="I416" s="463"/>
      <c r="J416" s="462"/>
      <c r="K416" s="439"/>
      <c r="L416" s="466">
        <f>SUMIFS([3]BV_Data_An_Cour!$AM:$AM,[3]BV_Data_An_Cour!$AP:$AP,$B416,[3]BV_Data_An_Cour!$AQ:$AQ,$C416,[3]BV_Data_An_Cour!$AR:$AR,$L$2)</f>
        <v>77.309999999999945</v>
      </c>
      <c r="M416" s="462"/>
      <c r="N416" s="466">
        <f t="shared" si="79"/>
        <v>77.309999999999945</v>
      </c>
      <c r="O416" s="462"/>
      <c r="P416" s="439"/>
      <c r="Q416" s="466">
        <f>SUMIFS([3]BV_Data_An_Prec!$AM:$AM,[3]BV_Data_An_Prec!$AP:$AP,$B416,[3]BV_Data_An_Prec!$AQ:$AQ,$C416,[3]BV_Data_An_Prec!$AR:$AR,$L$2)</f>
        <v>120.09999999999945</v>
      </c>
      <c r="R416" s="462"/>
      <c r="S416" s="466">
        <f t="shared" si="80"/>
        <v>-42.789999999999509</v>
      </c>
      <c r="T416" s="436"/>
      <c r="U416" s="436"/>
      <c r="V416" s="439"/>
      <c r="W416" s="439"/>
      <c r="X416" s="439"/>
      <c r="Y416" s="439"/>
      <c r="Z416" s="439"/>
      <c r="AA416" s="439"/>
      <c r="AB416" s="439"/>
      <c r="AC416" s="439"/>
      <c r="AD416" s="439"/>
      <c r="AE416" s="439"/>
      <c r="AF416" s="439"/>
      <c r="AG416" s="439"/>
      <c r="AH416" s="439"/>
      <c r="AI416" s="439"/>
      <c r="AJ416" s="439"/>
      <c r="AK416" s="439"/>
      <c r="AL416" s="439"/>
      <c r="AM416" s="439"/>
      <c r="AN416" s="439"/>
    </row>
    <row r="417" spans="1:40" ht="15.75" customHeight="1">
      <c r="A417" s="452" t="s">
        <v>454</v>
      </c>
      <c r="B417" s="439" t="s">
        <v>98</v>
      </c>
      <c r="C417" s="541" t="s">
        <v>58</v>
      </c>
      <c r="D417" s="528"/>
      <c r="E417" s="439"/>
      <c r="F417" s="463">
        <f t="array" ref="F417">+INDEX('[3]Budget original'!$A$2:$AO$501,MATCH($A417,'[3]Budget original'!$A$2:$A$501,0),MATCH(F$2,'[3]Budget original'!$A$2:$AO$2,0))</f>
        <v>0</v>
      </c>
      <c r="G417" s="529"/>
      <c r="H417" s="439"/>
      <c r="I417" s="463"/>
      <c r="J417" s="462"/>
      <c r="K417" s="439"/>
      <c r="L417" s="466">
        <f>SUMIFS([3]BV_Data_An_Cour!$AM:$AM,[3]BV_Data_An_Cour!$AP:$AP,$B417,[3]BV_Data_An_Cour!$AQ:$AQ,$C417,[3]BV_Data_An_Cour!$AR:$AR,$L$2)</f>
        <v>211.05999999999995</v>
      </c>
      <c r="M417" s="462"/>
      <c r="N417" s="466">
        <f t="shared" si="79"/>
        <v>211.05999999999995</v>
      </c>
      <c r="O417" s="462"/>
      <c r="P417" s="439"/>
      <c r="Q417" s="466">
        <f>SUMIFS([3]BV_Data_An_Prec!$AM:$AM,[3]BV_Data_An_Prec!$AP:$AP,$B417,[3]BV_Data_An_Prec!$AQ:$AQ,$C417,[3]BV_Data_An_Prec!$AR:$AR,$L$2)</f>
        <v>52.639999999999873</v>
      </c>
      <c r="R417" s="462"/>
      <c r="S417" s="466">
        <f t="shared" si="80"/>
        <v>158.42000000000007</v>
      </c>
      <c r="T417" s="436"/>
      <c r="U417" s="436"/>
      <c r="V417" s="439"/>
      <c r="W417" s="439"/>
      <c r="X417" s="439"/>
      <c r="Y417" s="439"/>
      <c r="Z417" s="439"/>
      <c r="AA417" s="439"/>
      <c r="AB417" s="439"/>
      <c r="AC417" s="439"/>
      <c r="AD417" s="439"/>
      <c r="AE417" s="439"/>
      <c r="AF417" s="439"/>
      <c r="AG417" s="439"/>
      <c r="AH417" s="439"/>
      <c r="AI417" s="439"/>
      <c r="AJ417" s="439"/>
      <c r="AK417" s="439"/>
      <c r="AL417" s="439"/>
      <c r="AM417" s="439"/>
      <c r="AN417" s="439"/>
    </row>
    <row r="418" spans="1:40" ht="15.75" customHeight="1">
      <c r="A418" s="452" t="s">
        <v>455</v>
      </c>
      <c r="B418" s="439" t="s">
        <v>98</v>
      </c>
      <c r="C418" s="541" t="s">
        <v>59</v>
      </c>
      <c r="D418" s="528"/>
      <c r="E418" s="439"/>
      <c r="F418" s="463">
        <f t="array" ref="F418">+INDEX('[3]Budget original'!$A$2:$AO$501,MATCH($A418,'[3]Budget original'!$A$2:$A$501,0),MATCH(F$2,'[3]Budget original'!$A$2:$AO$2,0))</f>
        <v>0</v>
      </c>
      <c r="G418" s="529"/>
      <c r="H418" s="439"/>
      <c r="I418" s="463"/>
      <c r="J418" s="462"/>
      <c r="K418" s="439"/>
      <c r="L418" s="466">
        <f>SUMIFS([3]BV_Data_An_Cour!$AM:$AM,[3]BV_Data_An_Cour!$AP:$AP,$B418,[3]BV_Data_An_Cour!$AQ:$AQ,$C418,[3]BV_Data_An_Cour!$AR:$AR,$L$2)</f>
        <v>948.1200000000008</v>
      </c>
      <c r="M418" s="462"/>
      <c r="N418" s="466">
        <f t="shared" si="79"/>
        <v>948.1200000000008</v>
      </c>
      <c r="O418" s="462"/>
      <c r="P418" s="439"/>
      <c r="Q418" s="466">
        <f>SUMIFS([3]BV_Data_An_Prec!$AM:$AM,[3]BV_Data_An_Prec!$AP:$AP,$B418,[3]BV_Data_An_Prec!$AQ:$AQ,$C418,[3]BV_Data_An_Prec!$AR:$AR,$L$2)</f>
        <v>661.85999999999967</v>
      </c>
      <c r="R418" s="462"/>
      <c r="S418" s="466">
        <f t="shared" si="80"/>
        <v>286.26000000000113</v>
      </c>
      <c r="T418" s="436"/>
      <c r="U418" s="436"/>
      <c r="V418" s="439"/>
      <c r="W418" s="439"/>
      <c r="X418" s="439"/>
      <c r="Y418" s="439"/>
      <c r="Z418" s="439"/>
      <c r="AA418" s="439"/>
      <c r="AB418" s="439"/>
      <c r="AC418" s="439"/>
      <c r="AD418" s="439"/>
      <c r="AE418" s="439"/>
      <c r="AF418" s="439"/>
      <c r="AG418" s="439"/>
      <c r="AH418" s="439"/>
      <c r="AI418" s="439"/>
      <c r="AJ418" s="439"/>
      <c r="AK418" s="439"/>
      <c r="AL418" s="439"/>
      <c r="AM418" s="439"/>
      <c r="AN418" s="439"/>
    </row>
    <row r="419" spans="1:40" ht="15.75" customHeight="1">
      <c r="A419" s="452" t="s">
        <v>456</v>
      </c>
      <c r="B419" s="439" t="s">
        <v>98</v>
      </c>
      <c r="C419" s="541" t="s">
        <v>60</v>
      </c>
      <c r="D419" s="528"/>
      <c r="E419" s="439"/>
      <c r="F419" s="463">
        <f t="array" ref="F419">+INDEX('[3]Budget original'!$A$2:$AO$501,MATCH($A419,'[3]Budget original'!$A$2:$A$501,0),MATCH(F$2,'[3]Budget original'!$A$2:$AO$2,0))</f>
        <v>0</v>
      </c>
      <c r="G419" s="529"/>
      <c r="H419" s="439"/>
      <c r="I419" s="463"/>
      <c r="J419" s="462"/>
      <c r="K419" s="439"/>
      <c r="L419" s="466">
        <f>SUMIFS([3]BV_Data_An_Cour!$AM:$AM,[3]BV_Data_An_Cour!$AP:$AP,$B419,[3]BV_Data_An_Cour!$AQ:$AQ,$C419,[3]BV_Data_An_Cour!$AR:$AR,$L$2)</f>
        <v>1290.06</v>
      </c>
      <c r="M419" s="462"/>
      <c r="N419" s="466">
        <f t="shared" si="79"/>
        <v>1290.06</v>
      </c>
      <c r="O419" s="462"/>
      <c r="P419" s="439"/>
      <c r="Q419" s="466">
        <f>SUMIFS([3]BV_Data_An_Prec!$AM:$AM,[3]BV_Data_An_Prec!$AP:$AP,$B419,[3]BV_Data_An_Prec!$AQ:$AQ,$C419,[3]BV_Data_An_Prec!$AR:$AR,$L$2)</f>
        <v>1128.7699999999995</v>
      </c>
      <c r="R419" s="462"/>
      <c r="S419" s="466">
        <f t="shared" si="80"/>
        <v>161.29000000000042</v>
      </c>
      <c r="T419" s="436"/>
      <c r="U419" s="436"/>
      <c r="V419" s="439"/>
      <c r="W419" s="439"/>
      <c r="X419" s="439"/>
      <c r="Y419" s="439"/>
      <c r="Z419" s="439"/>
      <c r="AA419" s="439"/>
      <c r="AB419" s="439"/>
      <c r="AC419" s="439"/>
      <c r="AD419" s="439"/>
      <c r="AE419" s="439"/>
      <c r="AF419" s="439"/>
      <c r="AG419" s="439"/>
      <c r="AH419" s="439"/>
      <c r="AI419" s="439"/>
      <c r="AJ419" s="439"/>
      <c r="AK419" s="439"/>
      <c r="AL419" s="439"/>
      <c r="AM419" s="439"/>
      <c r="AN419" s="439"/>
    </row>
    <row r="420" spans="1:40" ht="15.75" customHeight="1">
      <c r="A420" s="452" t="s">
        <v>457</v>
      </c>
      <c r="B420" s="439" t="s">
        <v>98</v>
      </c>
      <c r="C420" s="541" t="s">
        <v>61</v>
      </c>
      <c r="D420" s="528"/>
      <c r="E420" s="439"/>
      <c r="F420" s="463">
        <f t="array" ref="F420">+INDEX('[3]Budget original'!$A$2:$AO$501,MATCH($A420,'[3]Budget original'!$A$2:$A$501,0),MATCH(F$2,'[3]Budget original'!$A$2:$AO$2,0))</f>
        <v>0</v>
      </c>
      <c r="G420" s="529"/>
      <c r="H420" s="439"/>
      <c r="I420" s="463"/>
      <c r="J420" s="462"/>
      <c r="K420" s="439"/>
      <c r="L420" s="466">
        <f>SUMIFS([3]BV_Data_An_Cour!$AM:$AM,[3]BV_Data_An_Cour!$AP:$AP,$B420,[3]BV_Data_An_Cour!$AQ:$AQ,$C420,[3]BV_Data_An_Cour!$AR:$AR,$L$2)</f>
        <v>0</v>
      </c>
      <c r="M420" s="462"/>
      <c r="N420" s="466">
        <f t="shared" si="79"/>
        <v>0</v>
      </c>
      <c r="O420" s="462"/>
      <c r="P420" s="439"/>
      <c r="Q420" s="466">
        <f>SUMIFS([3]BV_Data_An_Prec!$AM:$AM,[3]BV_Data_An_Prec!$AP:$AP,$B420,[3]BV_Data_An_Prec!$AQ:$AQ,$C420,[3]BV_Data_An_Prec!$AR:$AR,$L$2)</f>
        <v>325</v>
      </c>
      <c r="R420" s="462"/>
      <c r="S420" s="466">
        <f t="shared" si="80"/>
        <v>-325</v>
      </c>
      <c r="T420" s="436"/>
      <c r="U420" s="436"/>
      <c r="X420" s="439"/>
      <c r="Y420" s="439"/>
      <c r="Z420" s="439"/>
      <c r="AA420" s="439"/>
      <c r="AB420" s="439"/>
      <c r="AC420" s="439"/>
      <c r="AD420" s="439"/>
      <c r="AE420" s="439"/>
      <c r="AF420" s="439"/>
      <c r="AG420" s="439"/>
      <c r="AH420" s="439"/>
      <c r="AI420" s="439"/>
      <c r="AJ420" s="439"/>
      <c r="AK420" s="439"/>
      <c r="AL420" s="439"/>
      <c r="AM420" s="439"/>
      <c r="AN420" s="439"/>
    </row>
    <row r="421" spans="1:40" ht="15.75" customHeight="1">
      <c r="A421" s="452" t="s">
        <v>458</v>
      </c>
      <c r="B421" s="439" t="s">
        <v>98</v>
      </c>
      <c r="C421" s="541" t="s">
        <v>62</v>
      </c>
      <c r="D421" s="528"/>
      <c r="E421" s="439"/>
      <c r="F421" s="463">
        <f t="array" ref="F421">+INDEX('[3]Budget original'!$A$2:$AO$501,MATCH($A421,'[3]Budget original'!$A$2:$A$501,0),MATCH(F$2,'[3]Budget original'!$A$2:$AO$2,0))</f>
        <v>0</v>
      </c>
      <c r="G421" s="529"/>
      <c r="H421" s="439"/>
      <c r="I421" s="463"/>
      <c r="J421" s="462"/>
      <c r="K421" s="439"/>
      <c r="L421" s="466">
        <f>SUMIFS([3]BV_Data_An_Cour!$AM:$AM,[3]BV_Data_An_Cour!$AP:$AP,$B421,[3]BV_Data_An_Cour!$AQ:$AQ,$C421,[3]BV_Data_An_Cour!$AR:$AR,$L$2)</f>
        <v>796.4399999999996</v>
      </c>
      <c r="M421" s="462"/>
      <c r="N421" s="466">
        <f t="shared" si="79"/>
        <v>796.4399999999996</v>
      </c>
      <c r="O421" s="462"/>
      <c r="P421" s="439"/>
      <c r="Q421" s="466">
        <f>SUMIFS([3]BV_Data_An_Prec!$AM:$AM,[3]BV_Data_An_Prec!$AP:$AP,$B421,[3]BV_Data_An_Prec!$AQ:$AQ,$C421,[3]BV_Data_An_Prec!$AR:$AR,$L$2)</f>
        <v>125.85000000000002</v>
      </c>
      <c r="R421" s="462"/>
      <c r="S421" s="466">
        <f t="shared" si="80"/>
        <v>670.58999999999958</v>
      </c>
      <c r="T421" s="436"/>
      <c r="U421" s="436"/>
      <c r="X421" s="439"/>
      <c r="Y421" s="439"/>
      <c r="Z421" s="439"/>
      <c r="AA421" s="439"/>
      <c r="AB421" s="439"/>
      <c r="AC421" s="439"/>
      <c r="AD421" s="439"/>
      <c r="AE421" s="439"/>
      <c r="AF421" s="439"/>
      <c r="AG421" s="439"/>
      <c r="AH421" s="439"/>
      <c r="AI421" s="439"/>
      <c r="AJ421" s="439"/>
      <c r="AK421" s="439"/>
      <c r="AL421" s="439"/>
      <c r="AM421" s="439"/>
      <c r="AN421" s="439"/>
    </row>
    <row r="422" spans="1:40" ht="20.25" hidden="1" customHeight="1">
      <c r="A422" s="452" t="s">
        <v>425</v>
      </c>
      <c r="B422" s="439" t="s">
        <v>98</v>
      </c>
      <c r="C422" s="541" t="s">
        <v>19</v>
      </c>
      <c r="D422" s="528"/>
      <c r="E422" s="439"/>
      <c r="F422" s="463">
        <f t="array" ref="F422">+INDEX('[3]Budget original'!$A$2:$AO$501,MATCH($A422,'[3]Budget original'!$A$2:$A$501,0),MATCH(F$2,'[3]Budget original'!$A$2:$AO$2,0))</f>
        <v>0</v>
      </c>
      <c r="G422" s="529"/>
      <c r="H422" s="439"/>
      <c r="I422" s="463"/>
      <c r="J422" s="462"/>
      <c r="K422" s="439"/>
      <c r="L422" s="466">
        <f>SUMIFS([3]BV_Data_An_Cour!$AM:$AM,[3]BV_Data_An_Cour!$AP:$AP,$B422,[3]BV_Data_An_Cour!$AQ:$AQ,$C422,[3]BV_Data_An_Cour!$AR:$AR,$L$2)</f>
        <v>0</v>
      </c>
      <c r="M422" s="462"/>
      <c r="N422" s="466">
        <f t="shared" si="79"/>
        <v>0</v>
      </c>
      <c r="O422" s="462"/>
      <c r="P422" s="439"/>
      <c r="Q422" s="466">
        <f>SUMIFS([3]BV_Data_An_Prec!$AM:$AM,[3]BV_Data_An_Prec!$AP:$AP,$B422,[3]BV_Data_An_Prec!$AQ:$AQ,$C422,[3]BV_Data_An_Prec!$AR:$AR,$L$2)</f>
        <v>0</v>
      </c>
      <c r="R422" s="462"/>
      <c r="S422" s="466">
        <f t="shared" si="80"/>
        <v>0</v>
      </c>
      <c r="T422" s="436"/>
      <c r="U422" s="436"/>
      <c r="X422" s="439"/>
      <c r="Y422" s="439"/>
      <c r="Z422" s="439"/>
      <c r="AA422" s="439"/>
      <c r="AB422" s="439"/>
      <c r="AC422" s="439"/>
      <c r="AD422" s="439"/>
      <c r="AE422" s="439"/>
      <c r="AF422" s="439"/>
      <c r="AG422" s="439"/>
      <c r="AH422" s="439"/>
      <c r="AI422" s="439"/>
      <c r="AJ422" s="439"/>
      <c r="AK422" s="439"/>
      <c r="AL422" s="439"/>
      <c r="AM422" s="439"/>
      <c r="AN422" s="439"/>
    </row>
    <row r="423" spans="1:40" ht="20.25" hidden="1" customHeight="1">
      <c r="A423" s="452" t="s">
        <v>425</v>
      </c>
      <c r="B423" s="439" t="s">
        <v>98</v>
      </c>
      <c r="C423" s="541" t="s">
        <v>19</v>
      </c>
      <c r="D423" s="528"/>
      <c r="E423" s="439"/>
      <c r="F423" s="463">
        <f t="array" ref="F423">+INDEX('[3]Budget original'!$A$2:$AO$501,MATCH($A423,'[3]Budget original'!$A$2:$A$501,0),MATCH(F$2,'[3]Budget original'!$A$2:$AO$2,0))</f>
        <v>0</v>
      </c>
      <c r="G423" s="529"/>
      <c r="H423" s="439"/>
      <c r="I423" s="463"/>
      <c r="J423" s="462"/>
      <c r="K423" s="439"/>
      <c r="L423" s="466">
        <f>SUMIFS([3]BV_Data_An_Cour!$AM:$AM,[3]BV_Data_An_Cour!$AP:$AP,$B423,[3]BV_Data_An_Cour!$AQ:$AQ,$C423,[3]BV_Data_An_Cour!$AR:$AR,$L$2)</f>
        <v>0</v>
      </c>
      <c r="M423" s="462"/>
      <c r="N423" s="466">
        <f t="shared" si="79"/>
        <v>0</v>
      </c>
      <c r="O423" s="462"/>
      <c r="P423" s="439"/>
      <c r="Q423" s="466">
        <f>SUMIFS([3]BV_Data_An_Prec!$AM:$AM,[3]BV_Data_An_Prec!$AP:$AP,$B423,[3]BV_Data_An_Prec!$AQ:$AQ,$C423,[3]BV_Data_An_Prec!$AR:$AR,$L$2)</f>
        <v>0</v>
      </c>
      <c r="R423" s="462"/>
      <c r="S423" s="466">
        <f t="shared" si="80"/>
        <v>0</v>
      </c>
      <c r="T423" s="436"/>
      <c r="U423" s="436"/>
      <c r="X423" s="439"/>
      <c r="Y423" s="439"/>
      <c r="Z423" s="439"/>
      <c r="AA423" s="439"/>
      <c r="AB423" s="439"/>
      <c r="AC423" s="439"/>
      <c r="AD423" s="439"/>
      <c r="AE423" s="439"/>
      <c r="AF423" s="439"/>
      <c r="AG423" s="439"/>
      <c r="AH423" s="439"/>
      <c r="AI423" s="439"/>
      <c r="AJ423" s="439"/>
      <c r="AK423" s="439"/>
      <c r="AL423" s="439"/>
      <c r="AM423" s="439"/>
      <c r="AN423" s="439"/>
    </row>
    <row r="424" spans="1:40" ht="20.25" hidden="1" customHeight="1">
      <c r="A424" s="452" t="s">
        <v>425</v>
      </c>
      <c r="B424" s="439" t="s">
        <v>98</v>
      </c>
      <c r="C424" s="541" t="s">
        <v>19</v>
      </c>
      <c r="D424" s="528"/>
      <c r="E424" s="439"/>
      <c r="F424" s="463">
        <f t="array" ref="F424">+INDEX('[3]Budget original'!$A$2:$AO$501,MATCH($A424,'[3]Budget original'!$A$2:$A$501,0),MATCH(F$2,'[3]Budget original'!$A$2:$AO$2,0))</f>
        <v>0</v>
      </c>
      <c r="G424" s="529"/>
      <c r="H424" s="439"/>
      <c r="I424" s="463"/>
      <c r="J424" s="462"/>
      <c r="K424" s="439"/>
      <c r="L424" s="466">
        <f>SUMIFS([3]BV_Data_An_Cour!$AM:$AM,[3]BV_Data_An_Cour!$AP:$AP,$B424,[3]BV_Data_An_Cour!$AQ:$AQ,$C424,[3]BV_Data_An_Cour!$AR:$AR,$L$2)</f>
        <v>0</v>
      </c>
      <c r="M424" s="462"/>
      <c r="N424" s="466">
        <f t="shared" si="79"/>
        <v>0</v>
      </c>
      <c r="O424" s="462"/>
      <c r="P424" s="439"/>
      <c r="Q424" s="466">
        <f>SUMIFS([3]BV_Data_An_Prec!$AM:$AM,[3]BV_Data_An_Prec!$AP:$AP,$B424,[3]BV_Data_An_Prec!$AQ:$AQ,$C424,[3]BV_Data_An_Prec!$AR:$AR,$L$2)</f>
        <v>0</v>
      </c>
      <c r="R424" s="462"/>
      <c r="S424" s="466">
        <f t="shared" si="80"/>
        <v>0</v>
      </c>
      <c r="T424" s="436"/>
      <c r="U424" s="436"/>
      <c r="X424" s="439"/>
      <c r="Y424" s="439"/>
      <c r="Z424" s="439"/>
      <c r="AA424" s="439"/>
      <c r="AB424" s="439"/>
      <c r="AC424" s="439"/>
      <c r="AD424" s="439"/>
      <c r="AE424" s="439"/>
      <c r="AF424" s="439"/>
      <c r="AG424" s="439"/>
      <c r="AH424" s="439"/>
      <c r="AI424" s="439"/>
      <c r="AJ424" s="439"/>
      <c r="AK424" s="439"/>
      <c r="AL424" s="439"/>
      <c r="AM424" s="439"/>
      <c r="AN424" s="439"/>
    </row>
    <row r="425" spans="1:40" ht="18" customHeight="1">
      <c r="A425" s="452"/>
      <c r="B425" s="439"/>
      <c r="C425" s="534" t="s">
        <v>63</v>
      </c>
      <c r="D425" s="535" t="s">
        <v>38</v>
      </c>
      <c r="E425" s="536" t="e">
        <f>F425/F$390</f>
        <v>#DIV/0!</v>
      </c>
      <c r="F425" s="537">
        <f>+SUM(F407:F424)</f>
        <v>0</v>
      </c>
      <c r="G425" s="538"/>
      <c r="H425" s="536"/>
      <c r="I425" s="537"/>
      <c r="J425" s="538" t="s">
        <v>38</v>
      </c>
      <c r="K425" s="536">
        <f>L425/L$390</f>
        <v>0.11481088042010426</v>
      </c>
      <c r="L425" s="537">
        <f>+SUM(L407:L424)</f>
        <v>10998.119999999995</v>
      </c>
      <c r="M425" s="539"/>
      <c r="N425" s="537">
        <f>+SUM(N407:N424)</f>
        <v>10998.119999999995</v>
      </c>
      <c r="O425" s="538" t="s">
        <v>38</v>
      </c>
      <c r="P425" s="536">
        <f>Q425/Q$390</f>
        <v>0.133437471630554</v>
      </c>
      <c r="Q425" s="537">
        <f>+SUM(Q407:Q424)</f>
        <v>15492.359999999999</v>
      </c>
      <c r="R425" s="540"/>
      <c r="S425" s="537">
        <f>+SUM(S407:S424)</f>
        <v>-4494.2399999999989</v>
      </c>
      <c r="T425" s="436"/>
      <c r="U425" s="436"/>
      <c r="V425" s="439"/>
      <c r="W425" s="439"/>
      <c r="X425" s="439"/>
      <c r="Y425" s="439"/>
      <c r="Z425" s="439"/>
      <c r="AA425" s="439"/>
      <c r="AB425" s="439"/>
      <c r="AC425" s="439"/>
      <c r="AD425" s="439"/>
      <c r="AE425" s="439"/>
      <c r="AF425" s="439"/>
      <c r="AG425" s="439"/>
      <c r="AH425" s="439"/>
      <c r="AI425" s="439"/>
      <c r="AJ425" s="439"/>
      <c r="AK425" s="439"/>
      <c r="AL425" s="439"/>
      <c r="AM425" s="439"/>
      <c r="AN425" s="439"/>
    </row>
    <row r="426" spans="1:40" ht="15.75" customHeight="1">
      <c r="B426" s="433"/>
      <c r="C426" s="453"/>
      <c r="D426" s="531"/>
      <c r="E426" s="546"/>
      <c r="F426" s="466"/>
      <c r="G426" s="532"/>
      <c r="H426" s="546"/>
      <c r="I426" s="466"/>
      <c r="J426" s="453"/>
      <c r="K426" s="546"/>
      <c r="L426" s="458"/>
      <c r="M426" s="453"/>
      <c r="N426" s="458"/>
      <c r="O426" s="453"/>
      <c r="P426" s="546"/>
      <c r="Q426" s="458"/>
      <c r="R426" s="453"/>
      <c r="S426" s="458"/>
      <c r="T426" s="436"/>
      <c r="U426" s="436"/>
      <c r="V426" s="439"/>
      <c r="W426" s="439"/>
      <c r="X426" s="439"/>
      <c r="Y426" s="439"/>
      <c r="Z426" s="439"/>
      <c r="AA426" s="439"/>
      <c r="AB426" s="439"/>
      <c r="AC426" s="439"/>
      <c r="AD426" s="439"/>
      <c r="AE426" s="439"/>
      <c r="AF426" s="439"/>
      <c r="AG426" s="439"/>
      <c r="AH426" s="439"/>
      <c r="AI426" s="439"/>
      <c r="AJ426" s="439"/>
      <c r="AK426" s="439"/>
      <c r="AL426" s="439"/>
      <c r="AM426" s="439"/>
      <c r="AN426" s="439"/>
    </row>
    <row r="427" spans="1:40" ht="18" customHeight="1">
      <c r="A427" s="452"/>
      <c r="B427" s="439"/>
      <c r="C427" s="534" t="s">
        <v>64</v>
      </c>
      <c r="D427" s="535" t="s">
        <v>38</v>
      </c>
      <c r="E427" s="536" t="e">
        <f>F427/F$390</f>
        <v>#DIV/0!</v>
      </c>
      <c r="F427" s="537">
        <f>F406+F425</f>
        <v>0</v>
      </c>
      <c r="G427" s="538"/>
      <c r="H427" s="536"/>
      <c r="I427" s="537"/>
      <c r="J427" s="538" t="s">
        <v>38</v>
      </c>
      <c r="K427" s="536">
        <f>L427/L$390</f>
        <v>0.46610996837359103</v>
      </c>
      <c r="L427" s="537">
        <f>L406+L425</f>
        <v>44650.240000000005</v>
      </c>
      <c r="M427" s="539"/>
      <c r="N427" s="537">
        <f t="shared" ref="N427:N429" si="81">L427-F427</f>
        <v>44650.240000000005</v>
      </c>
      <c r="O427" s="538" t="s">
        <v>38</v>
      </c>
      <c r="P427" s="536">
        <f>Q427/Q$390</f>
        <v>0.37772667521202519</v>
      </c>
      <c r="Q427" s="537">
        <f>Q406+Q425</f>
        <v>43854.830000000016</v>
      </c>
      <c r="R427" s="540"/>
      <c r="S427" s="537">
        <f>L427-Q427</f>
        <v>795.40999999998894</v>
      </c>
      <c r="T427" s="436"/>
      <c r="U427" s="436"/>
      <c r="V427" s="439"/>
      <c r="W427" s="439"/>
      <c r="X427" s="439"/>
      <c r="Y427" s="439"/>
      <c r="Z427" s="439"/>
      <c r="AA427" s="439"/>
      <c r="AB427" s="439"/>
      <c r="AC427" s="439"/>
      <c r="AD427" s="439"/>
      <c r="AE427" s="439"/>
      <c r="AF427" s="439"/>
      <c r="AG427" s="439"/>
      <c r="AH427" s="439"/>
      <c r="AI427" s="439"/>
      <c r="AJ427" s="439"/>
      <c r="AK427" s="439"/>
      <c r="AL427" s="439"/>
      <c r="AM427" s="439"/>
      <c r="AN427" s="439"/>
    </row>
    <row r="428" spans="1:40" ht="15.75" customHeight="1">
      <c r="B428" s="433"/>
      <c r="C428" s="462"/>
      <c r="D428" s="528"/>
      <c r="E428" s="439"/>
      <c r="F428" s="466"/>
      <c r="G428" s="529"/>
      <c r="H428" s="439"/>
      <c r="I428" s="466"/>
      <c r="J428" s="462"/>
      <c r="K428" s="439"/>
      <c r="L428" s="466"/>
      <c r="M428" s="462"/>
      <c r="N428" s="466">
        <f t="shared" si="81"/>
        <v>0</v>
      </c>
      <c r="O428" s="462"/>
      <c r="P428" s="439"/>
      <c r="Q428" s="466"/>
      <c r="R428" s="462"/>
      <c r="S428" s="466"/>
      <c r="T428" s="436"/>
      <c r="U428" s="436"/>
      <c r="V428" s="439"/>
      <c r="W428" s="439"/>
      <c r="X428" s="439"/>
      <c r="Y428" s="439"/>
      <c r="Z428" s="439"/>
      <c r="AA428" s="439"/>
      <c r="AB428" s="439"/>
      <c r="AC428" s="439"/>
      <c r="AD428" s="439"/>
      <c r="AE428" s="439"/>
      <c r="AF428" s="439"/>
      <c r="AG428" s="439"/>
      <c r="AH428" s="439"/>
      <c r="AI428" s="439"/>
      <c r="AJ428" s="439"/>
      <c r="AK428" s="439"/>
      <c r="AL428" s="439"/>
      <c r="AM428" s="439"/>
      <c r="AN428" s="439"/>
    </row>
    <row r="429" spans="1:40" ht="18" customHeight="1" thickBot="1">
      <c r="A429" s="452"/>
      <c r="B429" s="439"/>
      <c r="C429" s="561" t="s">
        <v>69</v>
      </c>
      <c r="D429" s="562"/>
      <c r="E429" s="563"/>
      <c r="F429" s="564">
        <f>F390-F427</f>
        <v>0</v>
      </c>
      <c r="G429" s="565"/>
      <c r="H429" s="563"/>
      <c r="I429" s="564"/>
      <c r="J429" s="565"/>
      <c r="K429" s="563"/>
      <c r="L429" s="564">
        <f>L390-L427</f>
        <v>51143.119999999966</v>
      </c>
      <c r="M429" s="566"/>
      <c r="N429" s="564">
        <f t="shared" si="81"/>
        <v>51143.119999999966</v>
      </c>
      <c r="O429" s="565"/>
      <c r="P429" s="563"/>
      <c r="Q429" s="564">
        <f>Q390-Q427</f>
        <v>72247.189999999886</v>
      </c>
      <c r="R429" s="567"/>
      <c r="S429" s="564">
        <f>L429-Q429</f>
        <v>-21104.06999999992</v>
      </c>
      <c r="T429" s="436"/>
      <c r="U429" s="436"/>
      <c r="V429" s="439"/>
      <c r="W429" s="439"/>
      <c r="X429" s="439"/>
      <c r="Y429" s="439"/>
      <c r="Z429" s="439"/>
      <c r="AA429" s="439"/>
      <c r="AB429" s="439"/>
      <c r="AC429" s="439"/>
      <c r="AD429" s="439"/>
      <c r="AE429" s="439"/>
      <c r="AF429" s="439"/>
      <c r="AG429" s="439"/>
      <c r="AH429" s="439"/>
      <c r="AI429" s="439"/>
      <c r="AJ429" s="439"/>
      <c r="AK429" s="439"/>
      <c r="AL429" s="439"/>
      <c r="AM429" s="439"/>
      <c r="AN429" s="439"/>
    </row>
    <row r="430" spans="1:40" ht="15.75" customHeight="1" thickTop="1">
      <c r="B430" s="433"/>
      <c r="C430" s="481"/>
      <c r="D430" s="528"/>
      <c r="E430" s="439"/>
      <c r="F430" s="484"/>
      <c r="G430" s="528"/>
      <c r="H430" s="439"/>
      <c r="I430" s="484"/>
      <c r="J430" s="481"/>
      <c r="K430" s="481"/>
      <c r="L430" s="484"/>
      <c r="M430" s="481"/>
      <c r="N430" s="484"/>
      <c r="O430" s="481"/>
      <c r="P430" s="481"/>
      <c r="Q430" s="484"/>
      <c r="R430" s="481"/>
      <c r="S430" s="484"/>
      <c r="T430" s="436"/>
      <c r="U430" s="436"/>
      <c r="V430" s="439"/>
      <c r="W430" s="439"/>
      <c r="X430" s="439"/>
      <c r="Y430" s="439"/>
      <c r="Z430" s="439"/>
      <c r="AA430" s="439"/>
      <c r="AB430" s="439"/>
      <c r="AC430" s="439"/>
      <c r="AD430" s="439"/>
      <c r="AE430" s="439"/>
      <c r="AF430" s="439"/>
      <c r="AG430" s="439"/>
      <c r="AH430" s="439"/>
      <c r="AI430" s="439"/>
      <c r="AJ430" s="439"/>
      <c r="AK430" s="439"/>
      <c r="AL430" s="439"/>
      <c r="AM430" s="439"/>
      <c r="AN430" s="439"/>
    </row>
    <row r="431" spans="1:40" ht="15.75" customHeight="1">
      <c r="B431" s="433"/>
      <c r="C431" s="481"/>
      <c r="D431" s="528"/>
      <c r="E431" s="439"/>
      <c r="F431" s="484"/>
      <c r="G431" s="528"/>
      <c r="H431" s="439"/>
      <c r="I431" s="484"/>
      <c r="J431" s="481"/>
      <c r="K431" s="481"/>
      <c r="L431" s="484"/>
      <c r="M431" s="481"/>
      <c r="N431" s="484"/>
      <c r="O431" s="481"/>
      <c r="P431" s="481"/>
      <c r="Q431" s="484"/>
      <c r="R431" s="481"/>
      <c r="S431" s="484"/>
      <c r="T431" s="436"/>
      <c r="U431" s="436"/>
      <c r="V431" s="439"/>
      <c r="W431" s="439"/>
      <c r="X431" s="439"/>
      <c r="Y431" s="439"/>
      <c r="Z431" s="439"/>
      <c r="AA431" s="439"/>
      <c r="AB431" s="439"/>
      <c r="AC431" s="439"/>
      <c r="AD431" s="439"/>
      <c r="AE431" s="439"/>
      <c r="AF431" s="439"/>
      <c r="AG431" s="439"/>
      <c r="AH431" s="439"/>
      <c r="AI431" s="439"/>
      <c r="AJ431" s="439"/>
      <c r="AK431" s="439"/>
      <c r="AL431" s="439"/>
      <c r="AM431" s="439"/>
      <c r="AN431" s="439"/>
    </row>
    <row r="432" spans="1:40" ht="34.5" customHeight="1">
      <c r="B432" s="433"/>
      <c r="C432" s="425" t="str">
        <f>+C367</f>
        <v>Ste-Marie Auto</v>
      </c>
      <c r="D432" s="426"/>
      <c r="E432" s="427"/>
      <c r="F432" s="426"/>
      <c r="G432" s="426"/>
      <c r="H432" s="425"/>
      <c r="I432" s="426"/>
      <c r="J432" s="425"/>
      <c r="K432" s="428" t="s">
        <v>459</v>
      </c>
      <c r="L432" s="426"/>
      <c r="M432" s="426"/>
      <c r="N432" s="429"/>
      <c r="O432" s="425"/>
      <c r="P432" s="426"/>
      <c r="Q432" s="425"/>
      <c r="R432" s="426"/>
      <c r="S432" s="430" t="str">
        <f>$S$1</f>
        <v>Réalisé, Septembre 2026</v>
      </c>
      <c r="T432" s="436"/>
      <c r="U432" s="436"/>
      <c r="V432" s="439"/>
      <c r="W432" s="436"/>
      <c r="X432" s="436"/>
      <c r="Y432" s="436"/>
      <c r="Z432" s="436"/>
      <c r="AA432" s="436"/>
      <c r="AB432" s="436"/>
      <c r="AC432" s="436"/>
      <c r="AD432" s="436"/>
      <c r="AE432" s="436"/>
      <c r="AF432" s="436"/>
      <c r="AG432" s="436"/>
      <c r="AH432" s="436"/>
      <c r="AI432" s="436"/>
      <c r="AJ432" s="436"/>
      <c r="AK432" s="436"/>
      <c r="AL432" s="436"/>
      <c r="AM432" s="436"/>
      <c r="AN432" s="436"/>
    </row>
    <row r="433" spans="1:40" ht="15.75" customHeight="1" thickBot="1">
      <c r="B433" s="433"/>
      <c r="C433" s="434"/>
      <c r="D433" s="436"/>
      <c r="E433" s="436"/>
      <c r="F433" s="436"/>
      <c r="G433" s="436"/>
      <c r="H433" s="436"/>
      <c r="I433" s="436"/>
      <c r="J433" s="436"/>
      <c r="K433" s="436"/>
      <c r="L433" s="436"/>
      <c r="M433" s="436"/>
      <c r="N433" s="436"/>
      <c r="O433" s="436"/>
      <c r="P433" s="436"/>
      <c r="Q433" s="436"/>
      <c r="R433" s="436"/>
      <c r="S433" s="436"/>
      <c r="T433" s="436"/>
      <c r="U433" s="436"/>
      <c r="V433" s="439"/>
      <c r="W433" s="436"/>
      <c r="X433" s="436"/>
      <c r="Y433" s="436"/>
      <c r="Z433" s="436"/>
      <c r="AA433" s="436"/>
      <c r="AB433" s="436"/>
      <c r="AC433" s="436"/>
      <c r="AD433" s="436"/>
      <c r="AE433" s="436"/>
      <c r="AF433" s="436"/>
      <c r="AG433" s="436"/>
      <c r="AH433" s="436"/>
      <c r="AI433" s="436"/>
      <c r="AJ433" s="436"/>
      <c r="AK433" s="436"/>
      <c r="AL433" s="436"/>
      <c r="AM433" s="436"/>
      <c r="AN433" s="436"/>
    </row>
    <row r="434" spans="1:40" ht="15.75" customHeight="1" thickTop="1">
      <c r="B434" s="433"/>
      <c r="C434" s="440"/>
      <c r="D434" s="441" t="s">
        <v>5</v>
      </c>
      <c r="E434" s="442"/>
      <c r="F434" s="443"/>
      <c r="G434" s="444"/>
      <c r="H434" s="442"/>
      <c r="I434" s="443"/>
      <c r="J434" s="444" t="s">
        <v>7</v>
      </c>
      <c r="K434" s="442"/>
      <c r="L434" s="443"/>
      <c r="M434" s="444"/>
      <c r="N434" s="443"/>
      <c r="O434" s="441" t="s">
        <v>8</v>
      </c>
      <c r="P434" s="442"/>
      <c r="Q434" s="443"/>
      <c r="R434" s="444" t="s">
        <v>9</v>
      </c>
      <c r="S434" s="443"/>
      <c r="T434" s="436"/>
      <c r="U434" s="436"/>
      <c r="V434" s="439"/>
      <c r="W434" s="436"/>
      <c r="X434" s="436"/>
      <c r="Y434" s="436"/>
      <c r="Z434" s="436"/>
      <c r="AA434" s="436"/>
      <c r="AB434" s="436"/>
      <c r="AC434" s="436"/>
      <c r="AD434" s="436"/>
      <c r="AE434" s="436"/>
      <c r="AF434" s="436"/>
      <c r="AG434" s="436"/>
      <c r="AH434" s="436"/>
      <c r="AI434" s="436"/>
      <c r="AJ434" s="436"/>
      <c r="AK434" s="436"/>
      <c r="AL434" s="436"/>
      <c r="AM434" s="436"/>
      <c r="AN434" s="436"/>
    </row>
    <row r="435" spans="1:40" ht="15.75" customHeight="1">
      <c r="A435" s="452" t="s">
        <v>114</v>
      </c>
      <c r="B435" s="439" t="s">
        <v>459</v>
      </c>
      <c r="C435" s="635"/>
      <c r="D435" s="523" t="s">
        <v>79</v>
      </c>
      <c r="E435" s="523" t="s">
        <v>99</v>
      </c>
      <c r="F435" s="591" t="s">
        <v>12</v>
      </c>
      <c r="G435" s="590"/>
      <c r="H435" s="523"/>
      <c r="I435" s="591"/>
      <c r="J435" s="590" t="s">
        <v>39</v>
      </c>
      <c r="K435" s="523" t="s">
        <v>79</v>
      </c>
      <c r="L435" s="591" t="s">
        <v>12</v>
      </c>
      <c r="M435" s="590" t="s">
        <v>39</v>
      </c>
      <c r="N435" s="591" t="s">
        <v>215</v>
      </c>
      <c r="O435" s="523" t="s">
        <v>39</v>
      </c>
      <c r="P435" s="523" t="s">
        <v>79</v>
      </c>
      <c r="Q435" s="591" t="s">
        <v>12</v>
      </c>
      <c r="R435" s="590" t="s">
        <v>80</v>
      </c>
      <c r="S435" s="591" t="s">
        <v>12</v>
      </c>
      <c r="T435" s="436"/>
      <c r="U435" s="436"/>
      <c r="V435" s="439"/>
      <c r="W435" s="436"/>
      <c r="X435" s="436"/>
      <c r="Y435" s="436"/>
      <c r="Z435" s="436"/>
      <c r="AA435" s="436"/>
      <c r="AB435" s="436"/>
      <c r="AC435" s="436"/>
      <c r="AD435" s="436"/>
      <c r="AE435" s="436"/>
      <c r="AF435" s="436"/>
      <c r="AG435" s="436"/>
      <c r="AH435" s="436"/>
      <c r="AI435" s="436"/>
      <c r="AJ435" s="436"/>
      <c r="AK435" s="436"/>
      <c r="AL435" s="436"/>
      <c r="AM435" s="436"/>
      <c r="AN435" s="436"/>
    </row>
    <row r="436" spans="1:40" ht="15.75" customHeight="1">
      <c r="A436" s="452"/>
      <c r="B436" s="439" t="s">
        <v>459</v>
      </c>
      <c r="C436" s="462"/>
      <c r="D436" s="523"/>
      <c r="E436" s="523"/>
      <c r="F436" s="591"/>
      <c r="G436" s="523"/>
      <c r="H436" s="523"/>
      <c r="I436" s="523"/>
      <c r="J436" s="590"/>
      <c r="K436" s="523"/>
      <c r="L436" s="591"/>
      <c r="M436" s="590"/>
      <c r="N436" s="591"/>
      <c r="O436" s="590"/>
      <c r="P436" s="523"/>
      <c r="Q436" s="591"/>
      <c r="R436" s="590"/>
      <c r="S436" s="591"/>
      <c r="T436" s="436"/>
      <c r="U436" s="436"/>
      <c r="V436" s="439"/>
      <c r="W436" s="436"/>
      <c r="X436" s="436"/>
      <c r="Y436" s="436"/>
      <c r="Z436" s="436"/>
      <c r="AA436" s="436"/>
      <c r="AB436" s="436"/>
      <c r="AC436" s="436"/>
      <c r="AD436" s="436"/>
      <c r="AE436" s="436"/>
      <c r="AF436" s="436"/>
      <c r="AG436" s="436"/>
      <c r="AH436" s="436"/>
      <c r="AI436" s="436"/>
      <c r="AJ436" s="436"/>
      <c r="AK436" s="436"/>
      <c r="AL436" s="436"/>
      <c r="AM436" s="436"/>
      <c r="AN436" s="436"/>
    </row>
    <row r="437" spans="1:40" ht="15.75" customHeight="1">
      <c r="A437" s="452"/>
      <c r="B437" s="439" t="s">
        <v>459</v>
      </c>
      <c r="C437" s="462" t="s">
        <v>460</v>
      </c>
      <c r="D437" s="465">
        <f t="array" ref="D437">+INDEX('[3]Budget original'!$A$2:$AO$501,MATCH($A437,'[3]Budget original'!$A$2:$A$501,0),MATCH(D$2,'[3]Budget original'!$A$2:$AO$2,0))</f>
        <v>0</v>
      </c>
      <c r="E437" s="465">
        <f t="array" ref="E437">+INDEX('[3]Budget original'!$A$2:$AO$501,MATCH($A437,'[3]Budget original'!$A$2:$A$501,0),MATCH(E$2,'[3]Budget original'!$A$2:$AO$2,0))</f>
        <v>0</v>
      </c>
      <c r="F437" s="465">
        <f t="array" ref="F437">+INDEX('[3]Budget original'!$A$2:$AO$501,MATCH($A437,'[3]Budget original'!$A$2:$A$501,0),MATCH(F$2,'[3]Budget original'!$A$2:$AO$2,0))</f>
        <v>0</v>
      </c>
      <c r="G437" s="629"/>
      <c r="H437" s="465"/>
      <c r="I437" s="465"/>
      <c r="J437" s="468">
        <f>SUMIFS([3]BV_Data_An_Cour!$AW:$AW,[3]BV_Data_An_Cour!$AP:$AP,$B437,[3]BV_Data_An_Cour!$AQ:$AQ,$C437,[3]BV_Data_An_Cour!$AY:$AY,J$2)</f>
        <v>361</v>
      </c>
      <c r="K437" s="465">
        <f>-SUMIFS([3]BV_Data_An_Cour!$AM:$AM,[3]BV_Data_An_Cour!$AS:$AS,"Oui",[3]BV_Data_An_Cour!$AP:$AP,$B437,[3]BV_Data_An_Cour!$AQ:$AQ,$C437)</f>
        <v>67750</v>
      </c>
      <c r="L437" s="466">
        <f>-SUMIFS([3]BV_Data_An_Cour!$AM:$AM,[3]BV_Data_An_Cour!$AP:$AP,$B437,[3]BV_Data_An_Cour!$AQ:$AQ,$C437,[3]BV_Data_An_Cour!$AR:$AR,$L$2)</f>
        <v>52694.15</v>
      </c>
      <c r="M437" s="496">
        <f>IFERROR((K437-E437)/E437,0)</f>
        <v>0</v>
      </c>
      <c r="N437" s="466">
        <f>L437-F437</f>
        <v>52694.15</v>
      </c>
      <c r="O437" s="468">
        <f>SUMIFS([3]BV_Data_An_Prec!$AW:$AW,[3]BV_Data_An_Prec!$AP:$AP,$B437,[3]BV_Data_An_Prec!$AQ:$AQ,$C437,[3]BV_Data_An_Prec!$AY:$AY,O$2)</f>
        <v>0</v>
      </c>
      <c r="P437" s="465">
        <f>-SUMIFS([3]BV_Data_An_Prec!$AM:$AM,[3]BV_Data_An_Prec!$AS:$AS,"Oui",[3]BV_Data_An_Prec!$AP:$AP,$B437,[3]BV_Data_An_Prec!$AQ:$AQ,$C437)</f>
        <v>0</v>
      </c>
      <c r="Q437" s="466">
        <f>-SUMIFS([3]BV_Data_An_Prec!$AM:$AM,[3]BV_Data_An_Prec!$AP:$AP,$B437,[3]BV_Data_An_Prec!$AQ:$AQ,$C437,[3]BV_Data_An_Prec!$AR:$AR,$L$2)</f>
        <v>0</v>
      </c>
      <c r="R437" s="496">
        <f>IF(O437=0,0,J437/O437)</f>
        <v>0</v>
      </c>
      <c r="S437" s="466">
        <f>L437-Q437</f>
        <v>52694.15</v>
      </c>
      <c r="T437" s="436"/>
      <c r="U437" s="436"/>
      <c r="V437" s="439"/>
      <c r="W437" s="436"/>
      <c r="X437" s="436"/>
      <c r="Y437" s="436"/>
      <c r="Z437" s="436"/>
      <c r="AA437" s="436"/>
      <c r="AB437" s="436"/>
      <c r="AC437" s="436"/>
      <c r="AD437" s="436"/>
      <c r="AE437" s="436"/>
      <c r="AF437" s="436"/>
      <c r="AG437" s="436"/>
      <c r="AH437" s="436"/>
      <c r="AI437" s="436"/>
      <c r="AJ437" s="436"/>
      <c r="AK437" s="436"/>
      <c r="AL437" s="436"/>
      <c r="AM437" s="436"/>
      <c r="AN437" s="436"/>
    </row>
    <row r="438" spans="1:40" ht="15.75" customHeight="1">
      <c r="A438" s="452"/>
      <c r="B438" s="439" t="s">
        <v>459</v>
      </c>
      <c r="C438" s="462" t="s">
        <v>82</v>
      </c>
      <c r="D438" s="523"/>
      <c r="E438" s="581"/>
      <c r="F438" s="497">
        <f>IFERROR(F437/E437,0)</f>
        <v>0</v>
      </c>
      <c r="G438" s="462"/>
      <c r="H438" s="581"/>
      <c r="I438" s="497"/>
      <c r="J438" s="468"/>
      <c r="K438" s="439"/>
      <c r="L438" s="497">
        <f>IFERROR(L437/K437,0)</f>
        <v>0.77777343173431734</v>
      </c>
      <c r="M438" s="496"/>
      <c r="N438" s="466">
        <f>IFERROR(N437/M437,0)</f>
        <v>0</v>
      </c>
      <c r="O438" s="468"/>
      <c r="P438" s="439"/>
      <c r="Q438" s="497">
        <f>IFERROR(Q437/P437,0)</f>
        <v>0</v>
      </c>
      <c r="R438" s="468"/>
      <c r="S438" s="466"/>
      <c r="T438" s="436"/>
      <c r="U438" s="436"/>
      <c r="V438" s="439"/>
      <c r="W438" s="436"/>
      <c r="X438" s="436"/>
      <c r="Y438" s="436"/>
      <c r="Z438" s="436"/>
      <c r="AA438" s="436"/>
      <c r="AB438" s="436"/>
      <c r="AC438" s="436"/>
      <c r="AD438" s="436"/>
      <c r="AE438" s="436"/>
      <c r="AF438" s="436"/>
      <c r="AG438" s="436"/>
      <c r="AH438" s="436"/>
      <c r="AI438" s="436"/>
      <c r="AJ438" s="436"/>
      <c r="AK438" s="436"/>
      <c r="AL438" s="436"/>
      <c r="AM438" s="436"/>
      <c r="AN438" s="436"/>
    </row>
    <row r="439" spans="1:40" ht="15.75" customHeight="1">
      <c r="A439" s="452"/>
      <c r="B439" s="439" t="s">
        <v>459</v>
      </c>
      <c r="C439" s="462"/>
      <c r="D439" s="523"/>
      <c r="E439" s="630"/>
      <c r="F439" s="573"/>
      <c r="G439" s="590"/>
      <c r="H439" s="630"/>
      <c r="I439" s="573"/>
      <c r="J439" s="590"/>
      <c r="K439" s="601">
        <f>IFERROR(K437/J437,0)</f>
        <v>187.67313019390582</v>
      </c>
      <c r="L439" s="591"/>
      <c r="M439" s="590"/>
      <c r="N439" s="591"/>
      <c r="O439" s="590"/>
      <c r="P439" s="601">
        <f>IFERROR(P437/O437,0)</f>
        <v>0</v>
      </c>
      <c r="Q439" s="591"/>
      <c r="R439" s="572"/>
      <c r="S439" s="573"/>
      <c r="T439" s="436"/>
      <c r="U439" s="436"/>
      <c r="V439" s="439"/>
      <c r="W439" s="436"/>
      <c r="X439" s="436"/>
      <c r="Y439" s="436"/>
      <c r="Z439" s="436"/>
      <c r="AA439" s="436"/>
      <c r="AB439" s="436"/>
      <c r="AC439" s="436"/>
      <c r="AD439" s="436"/>
      <c r="AE439" s="436"/>
      <c r="AF439" s="436"/>
      <c r="AG439" s="436"/>
      <c r="AH439" s="436"/>
      <c r="AI439" s="436"/>
      <c r="AJ439" s="436"/>
      <c r="AK439" s="436"/>
      <c r="AL439" s="436"/>
      <c r="AM439" s="436"/>
      <c r="AN439" s="436"/>
    </row>
    <row r="440" spans="1:40" ht="15.75" customHeight="1">
      <c r="A440" s="452"/>
      <c r="B440" s="439" t="s">
        <v>459</v>
      </c>
      <c r="C440" s="447" t="s">
        <v>461</v>
      </c>
      <c r="D440" s="502">
        <f t="array" ref="D440">+INDEX('[3]Budget original'!$A$2:$AO$501,MATCH($A440,'[3]Budget original'!$A$2:$A$501,0),MATCH(D$2,'[3]Budget original'!$A$2:$AO$2,0))</f>
        <v>0</v>
      </c>
      <c r="E440" s="465">
        <f t="array" ref="E440">+INDEX('[3]Budget original'!$A$2:$AO$501,MATCH($A440,'[3]Budget original'!$A$2:$A$501,0),MATCH(E$2,'[3]Budget original'!$A$2:$AO$2,0))</f>
        <v>0</v>
      </c>
      <c r="F440" s="465">
        <f t="array" ref="F440">+INDEX('[3]Budget original'!$A$2:$AO$501,MATCH($A440,'[3]Budget original'!$A$2:$A$501,0),MATCH(F$2,'[3]Budget original'!$A$2:$AO$2,0))</f>
        <v>0</v>
      </c>
      <c r="G440" s="631"/>
      <c r="H440" s="465"/>
      <c r="I440" s="465"/>
      <c r="J440" s="505">
        <f>SUMIFS([3]BV_Data_An_Cour!$AW:$AW,[3]BV_Data_An_Cour!$AP:$AP,$B440,[3]BV_Data_An_Cour!$AQ:$AQ,$C440,[3]BV_Data_An_Cour!$AY:$AY,J$2)</f>
        <v>168</v>
      </c>
      <c r="K440" s="502">
        <f>-SUMIFS([3]BV_Data_An_Cour!$AM:$AM,[3]BV_Data_An_Cour!$AS:$AS,"Oui",[3]BV_Data_An_Cour!$AP:$AP,$B440,[3]BV_Data_An_Cour!$AQ:$AQ,$C440)</f>
        <v>21330.000000000058</v>
      </c>
      <c r="L440" s="503">
        <f>-SUMIFS([3]BV_Data_An_Cour!$AM:$AM,[3]BV_Data_An_Cour!$AP:$AP,$B440,[3]BV_Data_An_Cour!$AQ:$AQ,$C440,[3]BV_Data_An_Cour!$AR:$AR,$L$2)</f>
        <v>15386.550000000061</v>
      </c>
      <c r="M440" s="604">
        <f>IFERROR((K440-E440)/E440,0)</f>
        <v>0</v>
      </c>
      <c r="N440" s="503">
        <f>L440-F440</f>
        <v>15386.550000000061</v>
      </c>
      <c r="O440" s="505">
        <f>SUMIFS([3]BV_Data_An_Prec!$AW:$AW,[3]BV_Data_An_Prec!$AP:$AP,$B440,[3]BV_Data_An_Prec!$AQ:$AQ,$C440,[3]BV_Data_An_Prec!$AY:$AY,O$2)</f>
        <v>470</v>
      </c>
      <c r="P440" s="502">
        <f>-SUMIFS([3]BV_Data_An_Prec!$AM:$AM,[3]BV_Data_An_Prec!$AS:$AS,"Oui",[3]BV_Data_An_Prec!$AP:$AP,$B440,[3]BV_Data_An_Prec!$AQ:$AQ,$C440)</f>
        <v>71453.400000000023</v>
      </c>
      <c r="Q440" s="503">
        <f>-SUMIFS([3]BV_Data_An_Prec!$AM:$AM,[3]BV_Data_An_Prec!$AP:$AP,$B440,[3]BV_Data_An_Prec!$AQ:$AQ,$C440,[3]BV_Data_An_Prec!$AR:$AR,$L$2)</f>
        <v>53896.860000000015</v>
      </c>
      <c r="R440" s="496">
        <f>IF(O440=0,0,J440/O440)</f>
        <v>0.35744680851063831</v>
      </c>
      <c r="S440" s="466">
        <f>L440-Q440</f>
        <v>-38510.309999999954</v>
      </c>
      <c r="T440" s="436"/>
      <c r="U440" s="436"/>
      <c r="V440" s="439"/>
      <c r="W440" s="436"/>
      <c r="X440" s="436"/>
      <c r="Y440" s="436"/>
      <c r="Z440" s="436"/>
      <c r="AA440" s="436"/>
      <c r="AB440" s="436"/>
      <c r="AC440" s="436"/>
      <c r="AD440" s="436"/>
      <c r="AE440" s="436"/>
      <c r="AF440" s="436"/>
      <c r="AG440" s="436"/>
      <c r="AH440" s="436"/>
      <c r="AI440" s="436"/>
      <c r="AJ440" s="436"/>
      <c r="AK440" s="436"/>
      <c r="AL440" s="436"/>
      <c r="AM440" s="436"/>
      <c r="AN440" s="436"/>
    </row>
    <row r="441" spans="1:40" ht="15.75" customHeight="1">
      <c r="A441" s="452"/>
      <c r="B441" s="439" t="s">
        <v>459</v>
      </c>
      <c r="C441" s="462" t="s">
        <v>82</v>
      </c>
      <c r="D441" s="439"/>
      <c r="E441" s="581"/>
      <c r="F441" s="497">
        <f>IFERROR(F440/E440,0)</f>
        <v>0</v>
      </c>
      <c r="G441" s="462"/>
      <c r="H441" s="581"/>
      <c r="I441" s="497"/>
      <c r="J441" s="468"/>
      <c r="K441" s="439"/>
      <c r="L441" s="497">
        <f>IFERROR(L440/K440,0)</f>
        <v>0.72135724331926954</v>
      </c>
      <c r="M441" s="496"/>
      <c r="N441" s="466">
        <f>IFERROR(N440/M440,0)</f>
        <v>0</v>
      </c>
      <c r="O441" s="468"/>
      <c r="P441" s="439"/>
      <c r="Q441" s="497">
        <f>IFERROR(Q440/P440,0)</f>
        <v>0.75429384745862338</v>
      </c>
      <c r="R441" s="468"/>
      <c r="S441" s="466"/>
      <c r="T441" s="436"/>
      <c r="U441" s="436"/>
      <c r="V441" s="439"/>
      <c r="W441" s="436"/>
      <c r="X441" s="436"/>
      <c r="Y441" s="436"/>
      <c r="Z441" s="436"/>
      <c r="AA441" s="436"/>
      <c r="AB441" s="436"/>
      <c r="AC441" s="436"/>
      <c r="AD441" s="436"/>
      <c r="AE441" s="436"/>
      <c r="AF441" s="436"/>
      <c r="AG441" s="436"/>
      <c r="AH441" s="436"/>
      <c r="AI441" s="436"/>
      <c r="AJ441" s="436"/>
      <c r="AK441" s="436"/>
      <c r="AL441" s="436"/>
      <c r="AM441" s="436"/>
      <c r="AN441" s="436"/>
    </row>
    <row r="442" spans="1:40" ht="15.75" customHeight="1">
      <c r="A442" s="452"/>
      <c r="B442" s="439" t="s">
        <v>459</v>
      </c>
      <c r="C442" s="453"/>
      <c r="D442" s="546"/>
      <c r="E442" s="605"/>
      <c r="F442" s="594"/>
      <c r="G442" s="453"/>
      <c r="H442" s="605"/>
      <c r="I442" s="594"/>
      <c r="J442" s="602"/>
      <c r="K442" s="601">
        <f>IFERROR(K440/J440,0)</f>
        <v>126.96428571428606</v>
      </c>
      <c r="L442" s="594"/>
      <c r="M442" s="527"/>
      <c r="N442" s="458"/>
      <c r="O442" s="602"/>
      <c r="P442" s="601">
        <f>IFERROR(P440/O440,0)</f>
        <v>152.02851063829792</v>
      </c>
      <c r="Q442" s="594"/>
      <c r="R442" s="602"/>
      <c r="S442" s="458"/>
      <c r="T442" s="436"/>
      <c r="U442" s="436"/>
      <c r="V442" s="439"/>
      <c r="W442" s="436"/>
      <c r="X442" s="436"/>
      <c r="Y442" s="436"/>
      <c r="Z442" s="436"/>
      <c r="AA442" s="436"/>
      <c r="AB442" s="436"/>
      <c r="AC442" s="436"/>
      <c r="AD442" s="436"/>
      <c r="AE442" s="436"/>
      <c r="AF442" s="436"/>
      <c r="AG442" s="436"/>
      <c r="AH442" s="436"/>
      <c r="AI442" s="436"/>
      <c r="AJ442" s="436"/>
      <c r="AK442" s="436"/>
      <c r="AL442" s="436"/>
      <c r="AM442" s="436"/>
      <c r="AN442" s="436"/>
    </row>
    <row r="443" spans="1:40" ht="15.75" customHeight="1">
      <c r="A443" s="452"/>
      <c r="B443" s="439" t="s">
        <v>459</v>
      </c>
      <c r="C443" s="447" t="s">
        <v>462</v>
      </c>
      <c r="D443" s="502">
        <v>0</v>
      </c>
      <c r="E443" s="465">
        <v>0</v>
      </c>
      <c r="F443" s="465">
        <v>0</v>
      </c>
      <c r="G443" s="505"/>
      <c r="H443" s="465"/>
      <c r="I443" s="465"/>
      <c r="J443" s="505">
        <f>SUMIFS([3]BV_Data_An_Cour!$AW:$AW,[3]BV_Data_An_Cour!$AP:$AP,$B443,[3]BV_Data_An_Cour!$AQ:$AQ,$C443,[3]BV_Data_An_Cour!$AY:$AY,J$2)</f>
        <v>0</v>
      </c>
      <c r="K443" s="465">
        <f>-SUMIFS([3]BV_Data_An_Cour!$AM:$AM,[3]BV_Data_An_Cour!$AS:$AS,"Oui",[3]BV_Data_An_Cour!$AP:$AP,$B443,[3]BV_Data_An_Cour!$AQ:$AQ,$C443)</f>
        <v>0</v>
      </c>
      <c r="L443" s="466">
        <f>-SUMIFS([3]BV_Data_An_Cour!$AM:$AM,[3]BV_Data_An_Cour!$AP:$AP,$B443,[3]BV_Data_An_Cour!$AQ:$AQ,$C443,[3]BV_Data_An_Cour!$AR:$AR,$L$2)</f>
        <v>0</v>
      </c>
      <c r="M443" s="496">
        <f>IFERROR((K443-E443)/E443,0)</f>
        <v>0</v>
      </c>
      <c r="N443" s="503">
        <f>L443-F443</f>
        <v>0</v>
      </c>
      <c r="O443" s="505">
        <f>SUMIFS([3]BV_Data_An_Prec!$AW:$AW,[3]BV_Data_An_Prec!$AP:$AP,$B443,[3]BV_Data_An_Prec!$AQ:$AQ,$C443,[3]BV_Data_An_Prec!$AY:$AY,O$2)</f>
        <v>8</v>
      </c>
      <c r="P443" s="465">
        <f>-SUMIFS([3]BV_Data_An_Prec!$AM:$AM,[3]BV_Data_An_Prec!$AS:$AS,"Oui",[3]BV_Data_An_Prec!$AP:$AP,$B443,[3]BV_Data_An_Prec!$AQ:$AQ,$C443)</f>
        <v>950</v>
      </c>
      <c r="Q443" s="466">
        <f>-SUMIFS([3]BV_Data_An_Prec!$AM:$AM,[3]BV_Data_An_Prec!$AP:$AP,$B443,[3]BV_Data_An_Prec!$AQ:$AQ,$C443,[3]BV_Data_An_Prec!$AR:$AR,$L$2)</f>
        <v>737.84999999999991</v>
      </c>
      <c r="R443" s="496">
        <f>IF(O443=0,0,J443/O443)</f>
        <v>0</v>
      </c>
      <c r="S443" s="466">
        <f>L443-Q443</f>
        <v>-737.84999999999991</v>
      </c>
      <c r="T443" s="436"/>
      <c r="U443" s="436"/>
      <c r="V443" s="439"/>
      <c r="W443" s="436"/>
      <c r="X443" s="436"/>
      <c r="Y443" s="436"/>
      <c r="Z443" s="436"/>
      <c r="AA443" s="436"/>
      <c r="AB443" s="436"/>
      <c r="AC443" s="436"/>
      <c r="AD443" s="436"/>
      <c r="AE443" s="436"/>
      <c r="AF443" s="436"/>
      <c r="AG443" s="436"/>
      <c r="AH443" s="436"/>
      <c r="AI443" s="436"/>
      <c r="AJ443" s="436"/>
      <c r="AK443" s="436"/>
      <c r="AL443" s="436"/>
      <c r="AM443" s="436"/>
      <c r="AN443" s="436"/>
    </row>
    <row r="444" spans="1:40" ht="15.75" customHeight="1">
      <c r="A444" s="452"/>
      <c r="B444" s="439" t="s">
        <v>459</v>
      </c>
      <c r="C444" s="462" t="s">
        <v>82</v>
      </c>
      <c r="D444" s="439"/>
      <c r="E444" s="439"/>
      <c r="F444" s="497">
        <f>IFERROR(F443/E443,0)</f>
        <v>0</v>
      </c>
      <c r="G444" s="462"/>
      <c r="H444" s="581"/>
      <c r="I444" s="497"/>
      <c r="J444" s="468"/>
      <c r="K444" s="439"/>
      <c r="L444" s="497">
        <f>IFERROR(L443/K443,0)</f>
        <v>0</v>
      </c>
      <c r="M444" s="496"/>
      <c r="N444" s="466">
        <f>IFERROR(N443/M443,0)</f>
        <v>0</v>
      </c>
      <c r="O444" s="468"/>
      <c r="P444" s="439"/>
      <c r="Q444" s="497">
        <f>IFERROR(Q443/P443,0)</f>
        <v>0.77668421052631564</v>
      </c>
      <c r="R444" s="468"/>
      <c r="S444" s="466"/>
      <c r="T444" s="436"/>
      <c r="U444" s="436"/>
      <c r="V444" s="439"/>
      <c r="W444" s="436"/>
      <c r="X444" s="436"/>
      <c r="Y444" s="436"/>
      <c r="Z444" s="436"/>
      <c r="AA444" s="436"/>
      <c r="AB444" s="436"/>
      <c r="AC444" s="436"/>
      <c r="AD444" s="436"/>
      <c r="AE444" s="436"/>
      <c r="AF444" s="436"/>
      <c r="AG444" s="436"/>
      <c r="AH444" s="436"/>
      <c r="AI444" s="436"/>
      <c r="AJ444" s="436"/>
      <c r="AK444" s="436"/>
      <c r="AL444" s="436"/>
      <c r="AM444" s="436"/>
      <c r="AN444" s="436"/>
    </row>
    <row r="445" spans="1:40" ht="15.75" customHeight="1">
      <c r="A445" s="452"/>
      <c r="B445" s="439" t="s">
        <v>459</v>
      </c>
      <c r="C445" s="462"/>
      <c r="D445" s="439"/>
      <c r="E445" s="439"/>
      <c r="F445" s="497"/>
      <c r="G445" s="439"/>
      <c r="H445" s="581"/>
      <c r="I445" s="582"/>
      <c r="J445" s="468"/>
      <c r="K445" s="647">
        <f>IFERROR(K443/J443,0)</f>
        <v>0</v>
      </c>
      <c r="L445" s="497"/>
      <c r="M445" s="496"/>
      <c r="N445" s="466"/>
      <c r="O445" s="468"/>
      <c r="P445" s="647">
        <f>IFERROR(P443/O443,0)</f>
        <v>118.75</v>
      </c>
      <c r="Q445" s="497"/>
      <c r="R445" s="468"/>
      <c r="S445" s="466"/>
      <c r="T445" s="436"/>
      <c r="U445" s="436"/>
      <c r="V445" s="439"/>
      <c r="W445" s="436"/>
      <c r="X445" s="436"/>
      <c r="Y445" s="436"/>
      <c r="Z445" s="436"/>
      <c r="AA445" s="436"/>
      <c r="AB445" s="436"/>
      <c r="AC445" s="436"/>
      <c r="AD445" s="436"/>
      <c r="AE445" s="436"/>
      <c r="AF445" s="436"/>
      <c r="AG445" s="436"/>
      <c r="AH445" s="436"/>
      <c r="AI445" s="436"/>
      <c r="AJ445" s="436"/>
      <c r="AK445" s="436"/>
      <c r="AL445" s="436"/>
      <c r="AM445" s="436"/>
      <c r="AN445" s="436"/>
    </row>
    <row r="446" spans="1:40" ht="15.75" customHeight="1">
      <c r="A446" s="452"/>
      <c r="B446" s="439" t="s">
        <v>459</v>
      </c>
      <c r="C446" s="462" t="s">
        <v>463</v>
      </c>
      <c r="D446" s="439"/>
      <c r="E446" s="439"/>
      <c r="F446" s="497"/>
      <c r="G446" s="439"/>
      <c r="H446" s="581"/>
      <c r="I446" s="582"/>
      <c r="J446" s="468"/>
      <c r="K446" s="439"/>
      <c r="L446" s="466">
        <f>-SUMIFS([3]BV_Data_An_Cour!$AM:$AM,[3]BV_Data_An_Cour!$AP:$AP,$B446,[3]BV_Data_An_Cour!$AQ:$AQ,$C446,[3]BV_Data_An_Cour!$AR:$AR,$L$2)</f>
        <v>669.09999999999991</v>
      </c>
      <c r="M446" s="496"/>
      <c r="N446" s="466"/>
      <c r="O446" s="468"/>
      <c r="P446" s="439"/>
      <c r="Q446" s="466">
        <f>-SUMIFS([3]BV_Data_An_Prec!$AM:$AM,[3]BV_Data_An_Prec!$AP:$AP,$B446,[3]BV_Data_An_Prec!$AQ:$AQ,$C446,[3]BV_Data_An_Prec!$AR:$AR,$L$2)</f>
        <v>0</v>
      </c>
      <c r="R446" s="468"/>
      <c r="S446" s="466">
        <f>L446-Q446</f>
        <v>669.09999999999991</v>
      </c>
      <c r="T446" s="436"/>
      <c r="U446" s="436"/>
      <c r="V446" s="439"/>
      <c r="W446" s="436"/>
      <c r="X446" s="436"/>
      <c r="Y446" s="436"/>
      <c r="Z446" s="436"/>
      <c r="AA446" s="436"/>
      <c r="AB446" s="436"/>
      <c r="AC446" s="436"/>
      <c r="AD446" s="436"/>
      <c r="AE446" s="436"/>
      <c r="AF446" s="436"/>
      <c r="AG446" s="436"/>
      <c r="AH446" s="436"/>
      <c r="AI446" s="436"/>
      <c r="AJ446" s="436"/>
      <c r="AK446" s="436"/>
      <c r="AL446" s="436"/>
      <c r="AM446" s="436"/>
      <c r="AN446" s="436"/>
    </row>
    <row r="447" spans="1:40" ht="15.75" customHeight="1" thickBot="1">
      <c r="A447" s="452"/>
      <c r="B447" s="439" t="s">
        <v>459</v>
      </c>
      <c r="C447" s="462"/>
      <c r="D447" s="523"/>
      <c r="E447" s="523"/>
      <c r="F447" s="591"/>
      <c r="G447" s="523"/>
      <c r="H447" s="523"/>
      <c r="I447" s="523"/>
      <c r="J447" s="590"/>
      <c r="K447" s="523"/>
      <c r="L447" s="591"/>
      <c r="M447" s="590"/>
      <c r="N447" s="591"/>
      <c r="O447" s="590"/>
      <c r="P447" s="523"/>
      <c r="Q447" s="591"/>
      <c r="R447" s="590"/>
      <c r="S447" s="591"/>
      <c r="T447" s="436"/>
      <c r="U447" s="436"/>
      <c r="V447" s="439"/>
      <c r="W447" s="436"/>
      <c r="X447" s="436"/>
      <c r="Y447" s="436"/>
      <c r="Z447" s="436"/>
      <c r="AA447" s="436"/>
      <c r="AB447" s="436"/>
      <c r="AC447" s="436"/>
      <c r="AD447" s="436"/>
      <c r="AE447" s="436"/>
      <c r="AF447" s="436"/>
      <c r="AG447" s="436"/>
      <c r="AH447" s="436"/>
      <c r="AI447" s="436"/>
      <c r="AJ447" s="436"/>
      <c r="AK447" s="436"/>
      <c r="AL447" s="436"/>
      <c r="AM447" s="436"/>
      <c r="AN447" s="436"/>
    </row>
    <row r="448" spans="1:40" ht="18" customHeight="1" thickTop="1">
      <c r="A448" s="452" t="s">
        <v>464</v>
      </c>
      <c r="B448" s="439" t="s">
        <v>459</v>
      </c>
      <c r="C448" s="507" t="s">
        <v>465</v>
      </c>
      <c r="D448" s="508">
        <f t="array" ref="D448">+INDEX('[3]Budget original'!$A$2:$AO$501,MATCH($A448,'[3]Budget original'!$A$2:$A$501,0),MATCH(D$2,'[3]Budget original'!$A$2:$AO$2,0))</f>
        <v>0</v>
      </c>
      <c r="E448" s="509">
        <f>IFERROR(F448/D448,0)</f>
        <v>0</v>
      </c>
      <c r="F448" s="510">
        <f t="array" ref="F448">+INDEX('[3]Budget original'!$A$2:$AO$501,MATCH($A448,'[3]Budget original'!$A$2:$A$501,0),MATCH(F$2,'[3]Budget original'!$A$2:$AO$2,0))</f>
        <v>0</v>
      </c>
      <c r="G448" s="511"/>
      <c r="H448" s="509"/>
      <c r="I448" s="510"/>
      <c r="J448" s="511"/>
      <c r="K448" s="508">
        <f>K437+K440+K443</f>
        <v>89080.000000000058</v>
      </c>
      <c r="L448" s="510">
        <f>L437+L440+L443+L446</f>
        <v>68749.800000000076</v>
      </c>
      <c r="M448" s="511"/>
      <c r="N448" s="510"/>
      <c r="O448" s="511"/>
      <c r="P448" s="508">
        <f>P437+P440+P443</f>
        <v>72403.400000000023</v>
      </c>
      <c r="Q448" s="510">
        <f>Q437+Q440+Q443+Q446</f>
        <v>54634.710000000014</v>
      </c>
      <c r="R448" s="511">
        <f>IF(O448=0,0,(J448-O448)/O448)</f>
        <v>0</v>
      </c>
      <c r="S448" s="510">
        <f>S437+S440+S443+S446</f>
        <v>14115.090000000047</v>
      </c>
      <c r="T448" s="436"/>
      <c r="U448" s="436"/>
      <c r="V448" s="439"/>
      <c r="W448" s="439"/>
      <c r="X448" s="439"/>
      <c r="Y448" s="439"/>
      <c r="Z448" s="439"/>
      <c r="AA448" s="439"/>
      <c r="AB448" s="439"/>
      <c r="AC448" s="439"/>
      <c r="AD448" s="439"/>
      <c r="AE448" s="439"/>
      <c r="AF448" s="439"/>
      <c r="AG448" s="439"/>
      <c r="AH448" s="439"/>
      <c r="AI448" s="439"/>
      <c r="AJ448" s="439"/>
      <c r="AK448" s="439"/>
      <c r="AL448" s="439"/>
      <c r="AM448" s="439"/>
      <c r="AN448" s="439"/>
    </row>
    <row r="449" spans="1:40" ht="22.5" customHeight="1" thickBot="1">
      <c r="A449" s="452" t="s">
        <v>114</v>
      </c>
      <c r="B449" s="439" t="s">
        <v>459</v>
      </c>
      <c r="C449" s="512"/>
      <c r="D449" s="513"/>
      <c r="E449" s="513"/>
      <c r="F449" s="514"/>
      <c r="G449" s="512"/>
      <c r="H449" s="513"/>
      <c r="I449" s="514"/>
      <c r="J449" s="512"/>
      <c r="K449" s="515"/>
      <c r="L449" s="519">
        <f>L448/K448</f>
        <v>0.77177593174674486</v>
      </c>
      <c r="M449" s="517"/>
      <c r="N449" s="518"/>
      <c r="O449" s="512"/>
      <c r="P449" s="515"/>
      <c r="Q449" s="519">
        <f>Q448/P448</f>
        <v>0.7545876298626859</v>
      </c>
      <c r="R449" s="517"/>
      <c r="S449" s="519">
        <f>IF(Q448=0,0,S448/Q448)</f>
        <v>0.25835389260783198</v>
      </c>
      <c r="T449" s="436"/>
      <c r="U449" s="436"/>
      <c r="V449" s="439"/>
      <c r="W449" s="439"/>
      <c r="X449" s="439"/>
      <c r="Y449" s="439"/>
      <c r="Z449" s="439"/>
      <c r="AA449" s="439"/>
      <c r="AB449" s="439"/>
      <c r="AC449" s="439"/>
      <c r="AD449" s="439"/>
      <c r="AE449" s="439"/>
      <c r="AF449" s="439"/>
      <c r="AG449" s="439"/>
      <c r="AH449" s="439"/>
      <c r="AI449" s="439"/>
      <c r="AJ449" s="439"/>
      <c r="AK449" s="439"/>
      <c r="AL449" s="439"/>
      <c r="AM449" s="439"/>
      <c r="AN449" s="439"/>
    </row>
    <row r="450" spans="1:40" ht="15.75" customHeight="1" thickTop="1">
      <c r="A450" s="452" t="s">
        <v>114</v>
      </c>
      <c r="B450" s="439" t="s">
        <v>459</v>
      </c>
      <c r="C450" s="522"/>
      <c r="D450" s="439"/>
      <c r="E450" s="439"/>
      <c r="F450" s="466"/>
      <c r="G450" s="462"/>
      <c r="H450" s="439"/>
      <c r="I450" s="466"/>
      <c r="J450" s="462"/>
      <c r="K450" s="439"/>
      <c r="L450" s="495"/>
      <c r="M450" s="462"/>
      <c r="N450" s="497"/>
      <c r="O450" s="462"/>
      <c r="P450" s="439"/>
      <c r="Q450" s="495"/>
      <c r="R450" s="462"/>
      <c r="S450" s="495"/>
      <c r="T450" s="436"/>
      <c r="U450" s="436"/>
      <c r="V450" s="439"/>
      <c r="W450" s="436"/>
      <c r="X450" s="436"/>
      <c r="Y450" s="436"/>
      <c r="Z450" s="436"/>
      <c r="AA450" s="436"/>
      <c r="AB450" s="436"/>
      <c r="AC450" s="436"/>
      <c r="AD450" s="436"/>
      <c r="AE450" s="436"/>
      <c r="AF450" s="436"/>
      <c r="AG450" s="436"/>
      <c r="AH450" s="436"/>
      <c r="AI450" s="436"/>
      <c r="AJ450" s="436"/>
      <c r="AK450" s="436"/>
      <c r="AL450" s="436"/>
      <c r="AM450" s="436"/>
      <c r="AN450" s="436"/>
    </row>
    <row r="451" spans="1:40" ht="15.75" customHeight="1">
      <c r="A451" s="452" t="s">
        <v>466</v>
      </c>
      <c r="B451" s="439" t="s">
        <v>459</v>
      </c>
      <c r="C451" s="522" t="s">
        <v>29</v>
      </c>
      <c r="D451" s="439"/>
      <c r="E451" s="439"/>
      <c r="F451" s="466"/>
      <c r="G451" s="462"/>
      <c r="H451" s="439"/>
      <c r="I451" s="466"/>
      <c r="J451" s="462"/>
      <c r="K451" s="439"/>
      <c r="L451" s="495"/>
      <c r="M451" s="462"/>
      <c r="N451" s="495"/>
      <c r="O451" s="462"/>
      <c r="P451" s="439"/>
      <c r="Q451" s="495"/>
      <c r="R451" s="462"/>
      <c r="S451" s="495"/>
      <c r="T451" s="436"/>
      <c r="U451" s="436"/>
      <c r="V451" s="439"/>
      <c r="W451" s="436"/>
      <c r="X451" s="436"/>
      <c r="Y451" s="436"/>
      <c r="Z451" s="436"/>
      <c r="AA451" s="436"/>
      <c r="AB451" s="436"/>
      <c r="AC451" s="436"/>
      <c r="AD451" s="436"/>
      <c r="AE451" s="436"/>
      <c r="AF451" s="436"/>
      <c r="AG451" s="436"/>
      <c r="AH451" s="436"/>
      <c r="AI451" s="436"/>
      <c r="AJ451" s="436"/>
      <c r="AK451" s="436"/>
      <c r="AL451" s="436"/>
      <c r="AM451" s="436"/>
      <c r="AN451" s="436"/>
    </row>
    <row r="452" spans="1:40" ht="15.75" customHeight="1">
      <c r="A452" s="452" t="s">
        <v>467</v>
      </c>
      <c r="B452" s="439" t="s">
        <v>459</v>
      </c>
      <c r="C452" s="541" t="s">
        <v>40</v>
      </c>
      <c r="D452" s="439"/>
      <c r="E452" s="439"/>
      <c r="F452" s="463">
        <f t="array" ref="F452">+INDEX('[3]Budget original'!$A$2:$AO$501,MATCH($A452,'[3]Budget original'!$A$2:$A$501,0),MATCH(F$2,'[3]Budget original'!$A$2:$AO$2,0))</f>
        <v>0</v>
      </c>
      <c r="G452" s="462"/>
      <c r="H452" s="439"/>
      <c r="I452" s="463"/>
      <c r="J452" s="462"/>
      <c r="K452" s="439"/>
      <c r="L452" s="466">
        <f>SUMIFS([3]BV_Data_An_Cour!$AM:$AM,[3]BV_Data_An_Cour!$AP:$AP,$B452,[3]BV_Data_An_Cour!$AQ:$AQ,$C452,[3]BV_Data_An_Cour!$AR:$AR,$L$2)</f>
        <v>0</v>
      </c>
      <c r="M452" s="462"/>
      <c r="N452" s="495"/>
      <c r="O452" s="462"/>
      <c r="P452" s="439"/>
      <c r="Q452" s="466">
        <f>SUMIFS([3]BV_Data_An_Prec!$AM:$AM,[3]BV_Data_An_Prec!$AP:$AP,$B452,[3]BV_Data_An_Prec!$AQ:$AQ,$C452,[3]BV_Data_An_Prec!$AR:$AR,$L$2)</f>
        <v>0</v>
      </c>
      <c r="R452" s="462"/>
      <c r="S452" s="466">
        <f t="shared" ref="S452:S481" si="82">L452-Q452</f>
        <v>0</v>
      </c>
      <c r="T452" s="436"/>
      <c r="U452" s="436"/>
      <c r="V452" s="439"/>
      <c r="W452" s="436"/>
      <c r="X452" s="436"/>
      <c r="Y452" s="436"/>
      <c r="Z452" s="436"/>
      <c r="AA452" s="436"/>
      <c r="AB452" s="436"/>
      <c r="AC452" s="436"/>
      <c r="AD452" s="436"/>
      <c r="AE452" s="436"/>
      <c r="AF452" s="436"/>
      <c r="AG452" s="436"/>
      <c r="AH452" s="436"/>
      <c r="AI452" s="436"/>
      <c r="AJ452" s="436"/>
      <c r="AK452" s="436"/>
      <c r="AL452" s="436"/>
      <c r="AM452" s="436"/>
      <c r="AN452" s="436"/>
    </row>
    <row r="453" spans="1:40" ht="15.75" customHeight="1">
      <c r="A453" s="452" t="s">
        <v>468</v>
      </c>
      <c r="B453" s="439" t="s">
        <v>459</v>
      </c>
      <c r="C453" s="542" t="s">
        <v>41</v>
      </c>
      <c r="D453" s="528"/>
      <c r="E453" s="439"/>
      <c r="F453" s="455">
        <f t="array" ref="F453">+INDEX('[3]Budget original'!$A$2:$AO$501,MATCH($A453,'[3]Budget original'!$A$2:$A$501,0),MATCH(F$2,'[3]Budget original'!$A$2:$AO$2,0))</f>
        <v>0</v>
      </c>
      <c r="G453" s="529"/>
      <c r="H453" s="439"/>
      <c r="I453" s="455"/>
      <c r="J453" s="462"/>
      <c r="K453" s="439"/>
      <c r="L453" s="458">
        <f>SUMIFS([3]BV_Data_An_Cour!$AM:$AM,[3]BV_Data_An_Cour!$AP:$AP,$B453,[3]BV_Data_An_Cour!$AQ:$AQ,$C453,[3]BV_Data_An_Cour!$AR:$AR,$L$2)</f>
        <v>8443.4200000000019</v>
      </c>
      <c r="M453" s="462"/>
      <c r="N453" s="466"/>
      <c r="O453" s="462"/>
      <c r="P453" s="439"/>
      <c r="Q453" s="458">
        <f>SUMIFS([3]BV_Data_An_Prec!$AM:$AM,[3]BV_Data_An_Prec!$AP:$AP,$B453,[3]BV_Data_An_Prec!$AQ:$AQ,$C453,[3]BV_Data_An_Prec!$AR:$AR,$L$2)</f>
        <v>0</v>
      </c>
      <c r="R453" s="462"/>
      <c r="S453" s="466">
        <f t="shared" si="82"/>
        <v>8443.4200000000019</v>
      </c>
      <c r="T453" s="436"/>
      <c r="U453" s="436"/>
      <c r="V453" s="439"/>
      <c r="W453" s="436"/>
      <c r="X453" s="436"/>
      <c r="Y453" s="436"/>
      <c r="Z453" s="436"/>
      <c r="AA453" s="436"/>
      <c r="AB453" s="436"/>
      <c r="AC453" s="436"/>
      <c r="AD453" s="436"/>
      <c r="AE453" s="436"/>
      <c r="AF453" s="436"/>
      <c r="AG453" s="436"/>
      <c r="AH453" s="436"/>
      <c r="AI453" s="436"/>
      <c r="AJ453" s="436"/>
      <c r="AK453" s="436"/>
      <c r="AL453" s="436"/>
      <c r="AM453" s="436"/>
      <c r="AN453" s="436"/>
    </row>
    <row r="454" spans="1:40" ht="15.75" customHeight="1">
      <c r="A454" s="452" t="s">
        <v>469</v>
      </c>
      <c r="B454" s="439" t="s">
        <v>459</v>
      </c>
      <c r="C454" s="541" t="s">
        <v>42</v>
      </c>
      <c r="D454" s="543"/>
      <c r="E454" s="544"/>
      <c r="F454" s="463">
        <f t="array" ref="F454">+INDEX('[3]Budget original'!$A$2:$AO$501,MATCH($A454,'[3]Budget original'!$A$2:$A$501,0),MATCH(F$2,'[3]Budget original'!$A$2:$AO$2,0))</f>
        <v>0</v>
      </c>
      <c r="G454" s="545"/>
      <c r="H454" s="544"/>
      <c r="I454" s="463"/>
      <c r="J454" s="447"/>
      <c r="K454" s="544"/>
      <c r="L454" s="466">
        <f>SUMIFS([3]BV_Data_An_Cour!$AM:$AM,[3]BV_Data_An_Cour!$AP:$AP,$B454,[3]BV_Data_An_Cour!$AQ:$AQ,$C454,[3]BV_Data_An_Cour!$AR:$AR,$L$2)</f>
        <v>2025.0000000000002</v>
      </c>
      <c r="M454" s="447"/>
      <c r="N454" s="503"/>
      <c r="O454" s="447"/>
      <c r="P454" s="544"/>
      <c r="Q454" s="466">
        <f>SUMIFS([3]BV_Data_An_Prec!$AM:$AM,[3]BV_Data_An_Prec!$AP:$AP,$B454,[3]BV_Data_An_Prec!$AQ:$AQ,$C454,[3]BV_Data_An_Prec!$AR:$AR,$L$2)</f>
        <v>0</v>
      </c>
      <c r="R454" s="447"/>
      <c r="S454" s="503">
        <f t="shared" si="82"/>
        <v>2025.0000000000002</v>
      </c>
      <c r="T454" s="436"/>
      <c r="U454" s="436"/>
      <c r="V454" s="439"/>
      <c r="W454" s="436"/>
      <c r="X454" s="436"/>
      <c r="Y454" s="436"/>
      <c r="Z454" s="436"/>
      <c r="AA454" s="436"/>
      <c r="AB454" s="436"/>
      <c r="AC454" s="436"/>
      <c r="AD454" s="436"/>
      <c r="AE454" s="436"/>
      <c r="AF454" s="436"/>
      <c r="AG454" s="436"/>
      <c r="AH454" s="436"/>
      <c r="AI454" s="436"/>
      <c r="AJ454" s="436"/>
      <c r="AK454" s="436"/>
      <c r="AL454" s="436"/>
      <c r="AM454" s="436"/>
      <c r="AN454" s="436"/>
    </row>
    <row r="455" spans="1:40" ht="15.75" customHeight="1">
      <c r="A455" s="452" t="s">
        <v>470</v>
      </c>
      <c r="B455" s="439" t="s">
        <v>459</v>
      </c>
      <c r="C455" s="541" t="s">
        <v>43</v>
      </c>
      <c r="D455" s="528"/>
      <c r="E455" s="439"/>
      <c r="F455" s="463">
        <f t="array" ref="F455">+INDEX('[3]Budget original'!$A$2:$AO$501,MATCH($A455,'[3]Budget original'!$A$2:$A$501,0),MATCH(F$2,'[3]Budget original'!$A$2:$AO$2,0))</f>
        <v>0</v>
      </c>
      <c r="G455" s="529"/>
      <c r="H455" s="439"/>
      <c r="I455" s="463"/>
      <c r="J455" s="462"/>
      <c r="K455" s="439"/>
      <c r="L455" s="466">
        <f>SUMIFS([3]BV_Data_An_Cour!$AM:$AM,[3]BV_Data_An_Cour!$AP:$AP,$B455,[3]BV_Data_An_Cour!$AQ:$AQ,$C455,[3]BV_Data_An_Cour!$AR:$AR,$L$2)</f>
        <v>0</v>
      </c>
      <c r="M455" s="462"/>
      <c r="N455" s="466"/>
      <c r="O455" s="462"/>
      <c r="P455" s="439"/>
      <c r="Q455" s="466">
        <f>SUMIFS([3]BV_Data_An_Prec!$AM:$AM,[3]BV_Data_An_Prec!$AP:$AP,$B455,[3]BV_Data_An_Prec!$AQ:$AQ,$C455,[3]BV_Data_An_Prec!$AR:$AR,$L$2)</f>
        <v>0</v>
      </c>
      <c r="R455" s="462"/>
      <c r="S455" s="466">
        <f t="shared" si="82"/>
        <v>0</v>
      </c>
      <c r="T455" s="436"/>
      <c r="U455" s="436"/>
      <c r="V455" s="439"/>
      <c r="W455" s="436"/>
      <c r="X455" s="436"/>
      <c r="Y455" s="436"/>
      <c r="Z455" s="436"/>
      <c r="AA455" s="436"/>
      <c r="AB455" s="436"/>
      <c r="AC455" s="436"/>
      <c r="AD455" s="436"/>
      <c r="AE455" s="436"/>
      <c r="AF455" s="436"/>
      <c r="AG455" s="436"/>
      <c r="AH455" s="436"/>
      <c r="AI455" s="436"/>
      <c r="AJ455" s="436"/>
      <c r="AK455" s="436"/>
      <c r="AL455" s="436"/>
      <c r="AM455" s="436"/>
      <c r="AN455" s="436"/>
    </row>
    <row r="456" spans="1:40" ht="20.25" hidden="1" customHeight="1">
      <c r="A456" s="452" t="s">
        <v>471</v>
      </c>
      <c r="B456" s="439" t="s">
        <v>459</v>
      </c>
      <c r="C456" s="462" t="s">
        <v>19</v>
      </c>
      <c r="D456" s="528"/>
      <c r="E456" s="439"/>
      <c r="F456" s="463">
        <f t="array" ref="F456">+INDEX('[3]Budget original'!$A$2:$AO$501,MATCH($A456,'[3]Budget original'!$A$2:$A$501,0),MATCH(F$2,'[3]Budget original'!$A$2:$AO$2,0))</f>
        <v>0</v>
      </c>
      <c r="G456" s="529"/>
      <c r="H456" s="439"/>
      <c r="I456" s="463"/>
      <c r="J456" s="462"/>
      <c r="K456" s="439"/>
      <c r="L456" s="466">
        <f>SUMIFS([3]BV_Data_An_Cour!$AM:$AM,[3]BV_Data_An_Cour!$AP:$AP,$B456,[3]BV_Data_An_Cour!$AQ:$AQ,$C456,[3]BV_Data_An_Cour!$AR:$AR,$L$2)</f>
        <v>0</v>
      </c>
      <c r="M456" s="462"/>
      <c r="N456" s="466"/>
      <c r="O456" s="462"/>
      <c r="P456" s="439"/>
      <c r="Q456" s="466">
        <f>SUMIFS([3]BV_Data_An_Prec!$AM:$AM,[3]BV_Data_An_Prec!$AP:$AP,$B456,[3]BV_Data_An_Prec!$AQ:$AQ,$C456,[3]BV_Data_An_Prec!$AR:$AR,$L$2)</f>
        <v>0</v>
      </c>
      <c r="R456" s="462"/>
      <c r="S456" s="466">
        <f t="shared" si="82"/>
        <v>0</v>
      </c>
      <c r="T456" s="436"/>
      <c r="U456" s="436"/>
      <c r="V456" s="439"/>
      <c r="W456" s="436"/>
      <c r="X456" s="436"/>
      <c r="Y456" s="436"/>
      <c r="Z456" s="436"/>
      <c r="AA456" s="436"/>
      <c r="AB456" s="436"/>
      <c r="AC456" s="436"/>
      <c r="AD456" s="436"/>
      <c r="AE456" s="436"/>
      <c r="AF456" s="436"/>
      <c r="AG456" s="436"/>
      <c r="AH456" s="436"/>
      <c r="AI456" s="436"/>
      <c r="AJ456" s="436"/>
      <c r="AK456" s="436"/>
      <c r="AL456" s="436"/>
      <c r="AM456" s="436"/>
      <c r="AN456" s="436"/>
    </row>
    <row r="457" spans="1:40" ht="20.25" hidden="1" customHeight="1">
      <c r="A457" s="452" t="s">
        <v>471</v>
      </c>
      <c r="B457" s="439" t="s">
        <v>459</v>
      </c>
      <c r="C457" s="462" t="s">
        <v>19</v>
      </c>
      <c r="D457" s="528"/>
      <c r="E457" s="439"/>
      <c r="F457" s="463">
        <f t="array" ref="F457">+INDEX('[3]Budget original'!$A$2:$AO$501,MATCH($A457,'[3]Budget original'!$A$2:$A$501,0),MATCH(F$2,'[3]Budget original'!$A$2:$AO$2,0))</f>
        <v>0</v>
      </c>
      <c r="G457" s="529"/>
      <c r="H457" s="439"/>
      <c r="I457" s="463"/>
      <c r="J457" s="462"/>
      <c r="K457" s="439"/>
      <c r="L457" s="466">
        <f>SUMIFS([3]BV_Data_An_Cour!$AM:$AM,[3]BV_Data_An_Cour!$AP:$AP,$B457,[3]BV_Data_An_Cour!$AQ:$AQ,$C457,[3]BV_Data_An_Cour!$AR:$AR,$L$2)</f>
        <v>0</v>
      </c>
      <c r="M457" s="462"/>
      <c r="N457" s="466"/>
      <c r="O457" s="462"/>
      <c r="P457" s="439"/>
      <c r="Q457" s="466">
        <f>SUMIFS([3]BV_Data_An_Prec!$AM:$AM,[3]BV_Data_An_Prec!$AP:$AP,$B457,[3]BV_Data_An_Prec!$AQ:$AQ,$C457,[3]BV_Data_An_Prec!$AR:$AR,$L$2)</f>
        <v>0</v>
      </c>
      <c r="R457" s="462"/>
      <c r="S457" s="466">
        <f t="shared" si="82"/>
        <v>0</v>
      </c>
      <c r="T457" s="436"/>
      <c r="U457" s="436"/>
      <c r="V457" s="439"/>
      <c r="W457" s="436"/>
      <c r="X457" s="436"/>
      <c r="Y457" s="436"/>
      <c r="Z457" s="436"/>
      <c r="AA457" s="436"/>
      <c r="AB457" s="436"/>
      <c r="AC457" s="436"/>
      <c r="AD457" s="436"/>
      <c r="AE457" s="436"/>
      <c r="AF457" s="436"/>
      <c r="AG457" s="436"/>
      <c r="AH457" s="436"/>
      <c r="AI457" s="436"/>
      <c r="AJ457" s="436"/>
      <c r="AK457" s="436"/>
      <c r="AL457" s="436"/>
      <c r="AM457" s="436"/>
      <c r="AN457" s="436"/>
    </row>
    <row r="458" spans="1:40" ht="20.25" hidden="1" customHeight="1">
      <c r="A458" s="452" t="s">
        <v>471</v>
      </c>
      <c r="B458" s="439" t="s">
        <v>459</v>
      </c>
      <c r="C458" s="462" t="s">
        <v>19</v>
      </c>
      <c r="D458" s="528"/>
      <c r="E458" s="439"/>
      <c r="F458" s="463">
        <f t="array" ref="F458">+INDEX('[3]Budget original'!$A$2:$AO$501,MATCH($A458,'[3]Budget original'!$A$2:$A$501,0),MATCH(F$2,'[3]Budget original'!$A$2:$AO$2,0))</f>
        <v>0</v>
      </c>
      <c r="G458" s="529"/>
      <c r="H458" s="439"/>
      <c r="I458" s="463"/>
      <c r="J458" s="462"/>
      <c r="K458" s="439"/>
      <c r="L458" s="466">
        <f>SUMIFS([3]BV_Data_An_Cour!$AM:$AM,[3]BV_Data_An_Cour!$AP:$AP,$B458,[3]BV_Data_An_Cour!$AQ:$AQ,$C458,[3]BV_Data_An_Cour!$AR:$AR,$L$2)</f>
        <v>0</v>
      </c>
      <c r="M458" s="462"/>
      <c r="N458" s="466"/>
      <c r="O458" s="462"/>
      <c r="P458" s="439"/>
      <c r="Q458" s="466">
        <f>SUMIFS([3]BV_Data_An_Prec!$AM:$AM,[3]BV_Data_An_Prec!$AP:$AP,$B458,[3]BV_Data_An_Prec!$AQ:$AQ,$C458,[3]BV_Data_An_Prec!$AR:$AR,$L$2)</f>
        <v>0</v>
      </c>
      <c r="R458" s="462"/>
      <c r="S458" s="466">
        <f t="shared" si="82"/>
        <v>0</v>
      </c>
      <c r="T458" s="436"/>
      <c r="U458" s="436"/>
      <c r="V458" s="439"/>
      <c r="W458" s="436"/>
      <c r="X458" s="436"/>
      <c r="Y458" s="436"/>
      <c r="Z458" s="436"/>
      <c r="AA458" s="436"/>
      <c r="AB458" s="436"/>
      <c r="AC458" s="436"/>
      <c r="AD458" s="436"/>
      <c r="AE458" s="436"/>
      <c r="AF458" s="436"/>
      <c r="AG458" s="436"/>
      <c r="AH458" s="436"/>
      <c r="AI458" s="436"/>
      <c r="AJ458" s="436"/>
      <c r="AK458" s="436"/>
      <c r="AL458" s="436"/>
      <c r="AM458" s="436"/>
      <c r="AN458" s="436"/>
    </row>
    <row r="459" spans="1:40" ht="15.75" customHeight="1">
      <c r="A459" s="452" t="s">
        <v>472</v>
      </c>
      <c r="B459" s="439" t="s">
        <v>459</v>
      </c>
      <c r="C459" s="542" t="s">
        <v>44</v>
      </c>
      <c r="D459" s="528"/>
      <c r="E459" s="439"/>
      <c r="F459" s="455">
        <f t="array" ref="F459">+INDEX('[3]Budget original'!$A$2:$AO$501,MATCH($A459,'[3]Budget original'!$A$2:$A$501,0),MATCH(F$2,'[3]Budget original'!$A$2:$AO$2,0))</f>
        <v>0</v>
      </c>
      <c r="G459" s="529"/>
      <c r="H459" s="439"/>
      <c r="I459" s="455"/>
      <c r="J459" s="462"/>
      <c r="K459" s="439"/>
      <c r="L459" s="458">
        <f>SUMIFS([3]BV_Data_An_Cour!$AM:$AM,[3]BV_Data_An_Cour!$AP:$AP,$B459,[3]BV_Data_An_Cour!$AQ:$AQ,$C459,[3]BV_Data_An_Cour!$AR:$AR,$L$2)</f>
        <v>6497.1700000000019</v>
      </c>
      <c r="M459" s="462"/>
      <c r="N459" s="466"/>
      <c r="O459" s="462"/>
      <c r="P459" s="439"/>
      <c r="Q459" s="458">
        <f>SUMIFS([3]BV_Data_An_Prec!$AM:$AM,[3]BV_Data_An_Prec!$AP:$AP,$B459,[3]BV_Data_An_Prec!$AQ:$AQ,$C459,[3]BV_Data_An_Prec!$AR:$AR,$L$2)</f>
        <v>0</v>
      </c>
      <c r="R459" s="462"/>
      <c r="S459" s="466">
        <f t="shared" si="82"/>
        <v>6497.1700000000019</v>
      </c>
      <c r="T459" s="436"/>
      <c r="U459" s="436"/>
      <c r="V459" s="439"/>
      <c r="W459" s="436"/>
      <c r="X459" s="436"/>
      <c r="Y459" s="436"/>
      <c r="Z459" s="436"/>
      <c r="AA459" s="436"/>
      <c r="AB459" s="436"/>
      <c r="AC459" s="436"/>
      <c r="AD459" s="436"/>
      <c r="AE459" s="436"/>
      <c r="AF459" s="436"/>
      <c r="AG459" s="436"/>
      <c r="AH459" s="436"/>
      <c r="AI459" s="436"/>
      <c r="AJ459" s="436"/>
      <c r="AK459" s="436"/>
      <c r="AL459" s="436"/>
      <c r="AM459" s="436"/>
      <c r="AN459" s="436"/>
    </row>
    <row r="460" spans="1:40" ht="15.75" customHeight="1">
      <c r="A460" s="452" t="s">
        <v>473</v>
      </c>
      <c r="B460" s="439" t="s">
        <v>459</v>
      </c>
      <c r="C460" s="541" t="s">
        <v>45</v>
      </c>
      <c r="D460" s="543"/>
      <c r="E460" s="544"/>
      <c r="F460" s="463">
        <f t="array" ref="F460">+INDEX('[3]Budget original'!$A$2:$AO$501,MATCH($A460,'[3]Budget original'!$A$2:$A$501,0),MATCH(F$2,'[3]Budget original'!$A$2:$AO$2,0))</f>
        <v>0</v>
      </c>
      <c r="G460" s="545"/>
      <c r="H460" s="544"/>
      <c r="I460" s="463"/>
      <c r="J460" s="447"/>
      <c r="K460" s="544"/>
      <c r="L460" s="466">
        <f>SUMIFS([3]BV_Data_An_Cour!$AM:$AM,[3]BV_Data_An_Cour!$AP:$AP,$B460,[3]BV_Data_An_Cour!$AQ:$AQ,$C460,[3]BV_Data_An_Cour!$AR:$AR,$L$2)</f>
        <v>5652.2199999999993</v>
      </c>
      <c r="M460" s="447"/>
      <c r="N460" s="503"/>
      <c r="O460" s="447"/>
      <c r="P460" s="544"/>
      <c r="Q460" s="466">
        <f>SUMIFS([3]BV_Data_An_Prec!$AM:$AM,[3]BV_Data_An_Prec!$AP:$AP,$B460,[3]BV_Data_An_Prec!$AQ:$AQ,$C460,[3]BV_Data_An_Prec!$AR:$AR,$L$2)</f>
        <v>0</v>
      </c>
      <c r="R460" s="447"/>
      <c r="S460" s="503">
        <f t="shared" si="82"/>
        <v>5652.2199999999993</v>
      </c>
      <c r="T460" s="436"/>
      <c r="U460" s="436"/>
      <c r="V460" s="439"/>
      <c r="W460" s="436"/>
      <c r="X460" s="436"/>
      <c r="Y460" s="436"/>
      <c r="Z460" s="436"/>
      <c r="AA460" s="436"/>
      <c r="AB460" s="436"/>
      <c r="AC460" s="436"/>
      <c r="AD460" s="436"/>
      <c r="AE460" s="436"/>
      <c r="AF460" s="436"/>
      <c r="AG460" s="436"/>
      <c r="AH460" s="436"/>
      <c r="AI460" s="436"/>
      <c r="AJ460" s="436"/>
      <c r="AK460" s="436"/>
      <c r="AL460" s="436"/>
      <c r="AM460" s="436"/>
      <c r="AN460" s="436"/>
    </row>
    <row r="461" spans="1:40" ht="15.75" customHeight="1">
      <c r="A461" s="452" t="s">
        <v>474</v>
      </c>
      <c r="B461" s="439" t="s">
        <v>459</v>
      </c>
      <c r="C461" s="541" t="s">
        <v>46</v>
      </c>
      <c r="D461" s="528"/>
      <c r="E461" s="439"/>
      <c r="F461" s="463">
        <f t="array" ref="F461">+INDEX('[3]Budget original'!$A$2:$AO$501,MATCH($A461,'[3]Budget original'!$A$2:$A$501,0),MATCH(F$2,'[3]Budget original'!$A$2:$AO$2,0))</f>
        <v>0</v>
      </c>
      <c r="G461" s="529"/>
      <c r="H461" s="439"/>
      <c r="I461" s="463"/>
      <c r="J461" s="462"/>
      <c r="K461" s="439"/>
      <c r="L461" s="466">
        <f>SUMIFS([3]BV_Data_An_Cour!$AM:$AM,[3]BV_Data_An_Cour!$AP:$AP,$B461,[3]BV_Data_An_Cour!$AQ:$AQ,$C461,[3]BV_Data_An_Cour!$AR:$AR,$L$2)</f>
        <v>1102.9100000000003</v>
      </c>
      <c r="M461" s="462"/>
      <c r="N461" s="466"/>
      <c r="O461" s="462"/>
      <c r="P461" s="439"/>
      <c r="Q461" s="466">
        <f>SUMIFS([3]BV_Data_An_Prec!$AM:$AM,[3]BV_Data_An_Prec!$AP:$AP,$B461,[3]BV_Data_An_Prec!$AQ:$AQ,$C461,[3]BV_Data_An_Prec!$AR:$AR,$L$2)</f>
        <v>0</v>
      </c>
      <c r="R461" s="462"/>
      <c r="S461" s="466">
        <f t="shared" si="82"/>
        <v>1102.9100000000003</v>
      </c>
      <c r="T461" s="436"/>
      <c r="U461" s="436"/>
      <c r="V461" s="439"/>
      <c r="W461" s="436"/>
      <c r="X461" s="436"/>
      <c r="Y461" s="436"/>
      <c r="Z461" s="436"/>
      <c r="AA461" s="436"/>
      <c r="AB461" s="436"/>
      <c r="AC461" s="436"/>
      <c r="AD461" s="436"/>
      <c r="AE461" s="436"/>
      <c r="AF461" s="436"/>
      <c r="AG461" s="436"/>
      <c r="AH461" s="436"/>
      <c r="AI461" s="436"/>
      <c r="AJ461" s="436"/>
      <c r="AK461" s="436"/>
      <c r="AL461" s="436"/>
      <c r="AM461" s="436"/>
      <c r="AN461" s="436"/>
    </row>
    <row r="462" spans="1:40" ht="15.75" customHeight="1">
      <c r="A462" s="452" t="s">
        <v>475</v>
      </c>
      <c r="B462" s="439" t="s">
        <v>459</v>
      </c>
      <c r="C462" s="541" t="s">
        <v>47</v>
      </c>
      <c r="D462" s="528"/>
      <c r="E462" s="439"/>
      <c r="F462" s="463">
        <f t="array" ref="F462">+INDEX('[3]Budget original'!$A$2:$AO$501,MATCH($A462,'[3]Budget original'!$A$2:$A$501,0),MATCH(F$2,'[3]Budget original'!$A$2:$AO$2,0))</f>
        <v>0</v>
      </c>
      <c r="G462" s="529"/>
      <c r="H462" s="439"/>
      <c r="I462" s="463"/>
      <c r="J462" s="462"/>
      <c r="K462" s="439"/>
      <c r="L462" s="466">
        <f>SUMIFS([3]BV_Data_An_Cour!$AM:$AM,[3]BV_Data_An_Cour!$AP:$AP,$B462,[3]BV_Data_An_Cour!$AQ:$AQ,$C462,[3]BV_Data_An_Cour!$AR:$AR,$L$2)</f>
        <v>741.76</v>
      </c>
      <c r="M462" s="462"/>
      <c r="N462" s="466"/>
      <c r="O462" s="462"/>
      <c r="P462" s="439"/>
      <c r="Q462" s="466">
        <f>SUMIFS([3]BV_Data_An_Prec!$AM:$AM,[3]BV_Data_An_Prec!$AP:$AP,$B462,[3]BV_Data_An_Prec!$AQ:$AQ,$C462,[3]BV_Data_An_Prec!$AR:$AR,$L$2)</f>
        <v>0</v>
      </c>
      <c r="R462" s="462"/>
      <c r="S462" s="466">
        <f t="shared" si="82"/>
        <v>741.76</v>
      </c>
      <c r="T462" s="436"/>
      <c r="U462" s="436"/>
      <c r="V462" s="439"/>
      <c r="W462" s="436"/>
      <c r="X462" s="436"/>
      <c r="Y462" s="436"/>
      <c r="Z462" s="436"/>
      <c r="AA462" s="436"/>
      <c r="AB462" s="436"/>
      <c r="AC462" s="436"/>
      <c r="AD462" s="436"/>
      <c r="AE462" s="436"/>
      <c r="AF462" s="436"/>
      <c r="AG462" s="436"/>
      <c r="AH462" s="436"/>
      <c r="AI462" s="436"/>
      <c r="AJ462" s="436"/>
      <c r="AK462" s="436"/>
      <c r="AL462" s="436"/>
      <c r="AM462" s="436"/>
      <c r="AN462" s="436"/>
    </row>
    <row r="463" spans="1:40" ht="20.25" hidden="1" customHeight="1">
      <c r="A463" s="452" t="s">
        <v>471</v>
      </c>
      <c r="B463" s="439" t="s">
        <v>459</v>
      </c>
      <c r="C463" s="462" t="s">
        <v>19</v>
      </c>
      <c r="D463" s="531"/>
      <c r="E463" s="546"/>
      <c r="F463" s="463">
        <f t="array" ref="F463">+INDEX('[3]Budget original'!$A$2:$AO$501,MATCH($A463,'[3]Budget original'!$A$2:$A$501,0),MATCH(F$2,'[3]Budget original'!$A$2:$AO$2,0))</f>
        <v>0</v>
      </c>
      <c r="G463" s="532"/>
      <c r="H463" s="546"/>
      <c r="I463" s="463"/>
      <c r="J463" s="453"/>
      <c r="K463" s="546"/>
      <c r="L463" s="466">
        <f>-SUMIFS([3]BV_Data_An_Cour!$AM:$AM,[3]BV_Data_An_Cour!$AP:$AP,$B463,[3]BV_Data_An_Cour!$AQ:$AQ,$C463,[3]BV_Data_An_Cour!$AR:$AR,$L$2)</f>
        <v>0</v>
      </c>
      <c r="M463" s="453"/>
      <c r="N463" s="458"/>
      <c r="O463" s="453"/>
      <c r="P463" s="546"/>
      <c r="Q463" s="466">
        <f>-SUMIFS([3]BV_Data_An_Prec!$AM:$AM,[3]BV_Data_An_Prec!$AP:$AP,$B463,[3]BV_Data_An_Prec!$AQ:$AQ,$C463,[3]BV_Data_An_Prec!$AR:$AR,$L$2)</f>
        <v>0</v>
      </c>
      <c r="R463" s="453"/>
      <c r="S463" s="458">
        <f t="shared" si="82"/>
        <v>0</v>
      </c>
      <c r="T463" s="436"/>
      <c r="U463" s="436"/>
      <c r="V463" s="439"/>
      <c r="W463" s="436"/>
      <c r="X463" s="436"/>
      <c r="Y463" s="436"/>
      <c r="Z463" s="436"/>
      <c r="AA463" s="436"/>
      <c r="AB463" s="436"/>
      <c r="AC463" s="436"/>
      <c r="AD463" s="436"/>
      <c r="AE463" s="436"/>
      <c r="AF463" s="436"/>
      <c r="AG463" s="436"/>
      <c r="AH463" s="436"/>
      <c r="AI463" s="436"/>
      <c r="AJ463" s="436"/>
      <c r="AK463" s="436"/>
      <c r="AL463" s="436"/>
      <c r="AM463" s="436"/>
      <c r="AN463" s="436"/>
    </row>
    <row r="464" spans="1:40" ht="18" customHeight="1">
      <c r="A464" s="452" t="s">
        <v>476</v>
      </c>
      <c r="B464" s="439" t="s">
        <v>459</v>
      </c>
      <c r="C464" s="534" t="s">
        <v>48</v>
      </c>
      <c r="D464" s="535" t="s">
        <v>38</v>
      </c>
      <c r="E464" s="536">
        <f>IFERROR(F464/F$448,0)</f>
        <v>0</v>
      </c>
      <c r="F464" s="537">
        <f>+SUM(F452:F463)</f>
        <v>0</v>
      </c>
      <c r="G464" s="538"/>
      <c r="H464" s="536"/>
      <c r="I464" s="537"/>
      <c r="J464" s="538" t="s">
        <v>38</v>
      </c>
      <c r="K464" s="536">
        <f>IFERROR(L464/L$448,0)</f>
        <v>0.35581892601869353</v>
      </c>
      <c r="L464" s="537">
        <f>+SUM(L452:L463)</f>
        <v>24462.480000000003</v>
      </c>
      <c r="M464" s="539"/>
      <c r="N464" s="537"/>
      <c r="O464" s="538" t="s">
        <v>38</v>
      </c>
      <c r="P464" s="536">
        <f>IFERROR(Q464/Q$448,0)</f>
        <v>0</v>
      </c>
      <c r="Q464" s="537">
        <f>+SUM(Q452:Q463)</f>
        <v>0</v>
      </c>
      <c r="R464" s="540"/>
      <c r="S464" s="537">
        <f t="shared" si="82"/>
        <v>24462.480000000003</v>
      </c>
      <c r="T464" s="436"/>
      <c r="U464" s="436"/>
      <c r="V464" s="439"/>
      <c r="W464" s="439"/>
      <c r="X464" s="439"/>
      <c r="Y464" s="439"/>
      <c r="Z464" s="439"/>
      <c r="AA464" s="439"/>
      <c r="AB464" s="439"/>
      <c r="AC464" s="439"/>
      <c r="AD464" s="439"/>
      <c r="AE464" s="439"/>
      <c r="AF464" s="439"/>
      <c r="AG464" s="439"/>
      <c r="AH464" s="439"/>
      <c r="AI464" s="439"/>
      <c r="AJ464" s="439"/>
      <c r="AK464" s="439"/>
      <c r="AL464" s="439"/>
      <c r="AM464" s="439"/>
      <c r="AN464" s="439"/>
    </row>
    <row r="465" spans="1:40" ht="15.75" customHeight="1">
      <c r="A465" s="452" t="s">
        <v>477</v>
      </c>
      <c r="B465" s="439" t="s">
        <v>459</v>
      </c>
      <c r="C465" s="634" t="s">
        <v>49</v>
      </c>
      <c r="D465" s="528"/>
      <c r="E465" s="439"/>
      <c r="F465" s="463">
        <f t="array" ref="F465">+INDEX('[3]Budget original'!$A$2:$AO$501,MATCH($A465,'[3]Budget original'!$A$2:$A$501,0),MATCH(F$2,'[3]Budget original'!$A$2:$AO$2,0))</f>
        <v>0</v>
      </c>
      <c r="G465" s="529"/>
      <c r="H465" s="439"/>
      <c r="I465" s="463"/>
      <c r="J465" s="462"/>
      <c r="K465" s="439"/>
      <c r="L465" s="466">
        <f>SUMIFS([3]BV_Data_An_Cour!$AM:$AM,[3]BV_Data_An_Cour!$AP:$AP,$B465,[3]BV_Data_An_Cour!$AQ:$AQ,$C465,[3]BV_Data_An_Cour!$AR:$AR,$L$2)</f>
        <v>0</v>
      </c>
      <c r="M465" s="462"/>
      <c r="N465" s="466"/>
      <c r="O465" s="462"/>
      <c r="P465" s="439"/>
      <c r="Q465" s="466">
        <f>SUMIFS([3]BV_Data_An_Prec!$AM:$AM,[3]BV_Data_An_Prec!$AP:$AP,$B465,[3]BV_Data_An_Prec!$AQ:$AQ,$C465,[3]BV_Data_An_Prec!$AR:$AR,$L$2)</f>
        <v>0</v>
      </c>
      <c r="R465" s="462"/>
      <c r="S465" s="466">
        <f t="shared" si="82"/>
        <v>0</v>
      </c>
      <c r="T465" s="436"/>
      <c r="U465" s="436"/>
      <c r="V465" s="439"/>
      <c r="W465" s="436"/>
      <c r="X465" s="436"/>
      <c r="Y465" s="436"/>
      <c r="Z465" s="436"/>
      <c r="AA465" s="436"/>
      <c r="AB465" s="436"/>
      <c r="AC465" s="436"/>
      <c r="AD465" s="436"/>
      <c r="AE465" s="436"/>
      <c r="AF465" s="436"/>
      <c r="AG465" s="436"/>
      <c r="AH465" s="436"/>
      <c r="AI465" s="436"/>
      <c r="AJ465" s="436"/>
      <c r="AK465" s="436"/>
      <c r="AL465" s="436"/>
      <c r="AM465" s="436"/>
      <c r="AN465" s="436"/>
    </row>
    <row r="466" spans="1:40" ht="15.75" customHeight="1">
      <c r="A466" s="452" t="s">
        <v>478</v>
      </c>
      <c r="B466" s="439" t="s">
        <v>459</v>
      </c>
      <c r="C466" s="541" t="s">
        <v>50</v>
      </c>
      <c r="D466" s="528"/>
      <c r="E466" s="439"/>
      <c r="F466" s="463">
        <f t="array" ref="F466">+INDEX('[3]Budget original'!$A$2:$AO$501,MATCH($A466,'[3]Budget original'!$A$2:$A$501,0),MATCH(F$2,'[3]Budget original'!$A$2:$AO$2,0))</f>
        <v>0</v>
      </c>
      <c r="G466" s="529"/>
      <c r="H466" s="439"/>
      <c r="I466" s="463"/>
      <c r="J466" s="462"/>
      <c r="K466" s="439"/>
      <c r="L466" s="466">
        <f>SUMIFS([3]BV_Data_An_Cour!$AM:$AM,[3]BV_Data_An_Cour!$AP:$AP,$B466,[3]BV_Data_An_Cour!$AQ:$AQ,$C466,[3]BV_Data_An_Cour!$AR:$AR,$L$2)</f>
        <v>0</v>
      </c>
      <c r="M466" s="462"/>
      <c r="N466" s="466"/>
      <c r="O466" s="462"/>
      <c r="P466" s="439"/>
      <c r="Q466" s="466">
        <f>SUMIFS([3]BV_Data_An_Prec!$AM:$AM,[3]BV_Data_An_Prec!$AP:$AP,$B466,[3]BV_Data_An_Prec!$AQ:$AQ,$C466,[3]BV_Data_An_Prec!$AR:$AR,$L$2)</f>
        <v>0</v>
      </c>
      <c r="R466" s="462"/>
      <c r="S466" s="466">
        <f t="shared" si="82"/>
        <v>0</v>
      </c>
      <c r="T466" s="436"/>
      <c r="U466" s="436"/>
      <c r="V466" s="439"/>
      <c r="W466" s="436"/>
      <c r="X466" s="436"/>
      <c r="Y466" s="436"/>
      <c r="Z466" s="436"/>
      <c r="AA466" s="436"/>
      <c r="AB466" s="436"/>
      <c r="AC466" s="436"/>
      <c r="AD466" s="436"/>
      <c r="AE466" s="436"/>
      <c r="AF466" s="436"/>
      <c r="AG466" s="436"/>
      <c r="AH466" s="436"/>
      <c r="AI466" s="436"/>
      <c r="AJ466" s="436"/>
      <c r="AK466" s="436"/>
      <c r="AL466" s="436"/>
      <c r="AM466" s="436"/>
      <c r="AN466" s="436"/>
    </row>
    <row r="467" spans="1:40" ht="15.75" customHeight="1">
      <c r="A467" s="452" t="s">
        <v>479</v>
      </c>
      <c r="B467" s="439" t="s">
        <v>459</v>
      </c>
      <c r="C467" s="542" t="s">
        <v>51</v>
      </c>
      <c r="D467" s="531"/>
      <c r="E467" s="546"/>
      <c r="F467" s="455">
        <f t="array" ref="F467">+INDEX('[3]Budget original'!$A$2:$AO$501,MATCH($A467,'[3]Budget original'!$A$2:$A$501,0),MATCH(F$2,'[3]Budget original'!$A$2:$AO$2,0))</f>
        <v>0</v>
      </c>
      <c r="G467" s="532"/>
      <c r="H467" s="546"/>
      <c r="I467" s="455"/>
      <c r="J467" s="453"/>
      <c r="K467" s="546"/>
      <c r="L467" s="458">
        <f>SUMIFS([3]BV_Data_An_Cour!$AM:$AM,[3]BV_Data_An_Cour!$AP:$AP,$B467,[3]BV_Data_An_Cour!$AQ:$AQ,$C467,[3]BV_Data_An_Cour!$AR:$AR,$L$2)</f>
        <v>0</v>
      </c>
      <c r="M467" s="453"/>
      <c r="N467" s="458"/>
      <c r="O467" s="453"/>
      <c r="P467" s="546"/>
      <c r="Q467" s="458">
        <f>SUMIFS([3]BV_Data_An_Prec!$AM:$AM,[3]BV_Data_An_Prec!$AP:$AP,$B467,[3]BV_Data_An_Prec!$AQ:$AQ,$C467,[3]BV_Data_An_Prec!$AR:$AR,$L$2)</f>
        <v>0</v>
      </c>
      <c r="R467" s="453"/>
      <c r="S467" s="458">
        <f t="shared" si="82"/>
        <v>0</v>
      </c>
      <c r="T467" s="436"/>
      <c r="U467" s="436"/>
      <c r="V467" s="439"/>
      <c r="W467" s="436"/>
      <c r="X467" s="436"/>
      <c r="Y467" s="436"/>
      <c r="Z467" s="436"/>
      <c r="AA467" s="436"/>
      <c r="AB467" s="436"/>
      <c r="AC467" s="436"/>
      <c r="AD467" s="436"/>
      <c r="AE467" s="436"/>
      <c r="AF467" s="436"/>
      <c r="AG467" s="436"/>
      <c r="AH467" s="436"/>
      <c r="AI467" s="436"/>
      <c r="AJ467" s="436"/>
      <c r="AK467" s="436"/>
      <c r="AL467" s="436"/>
      <c r="AM467" s="436"/>
      <c r="AN467" s="436"/>
    </row>
    <row r="468" spans="1:40" ht="15.75" customHeight="1">
      <c r="A468" s="452" t="s">
        <v>480</v>
      </c>
      <c r="B468" s="439" t="s">
        <v>459</v>
      </c>
      <c r="C468" s="541" t="s">
        <v>52</v>
      </c>
      <c r="D468" s="528"/>
      <c r="E468" s="439"/>
      <c r="F468" s="463">
        <f t="array" ref="F468">+INDEX('[3]Budget original'!$A$2:$AO$501,MATCH($A468,'[3]Budget original'!$A$2:$A$501,0),MATCH(F$2,'[3]Budget original'!$A$2:$AO$2,0))</f>
        <v>0</v>
      </c>
      <c r="G468" s="529"/>
      <c r="H468" s="439"/>
      <c r="I468" s="463"/>
      <c r="J468" s="462"/>
      <c r="K468" s="439"/>
      <c r="L468" s="466">
        <f>SUMIFS([3]BV_Data_An_Cour!$AM:$AM,[3]BV_Data_An_Cour!$AP:$AP,$B468,[3]BV_Data_An_Cour!$AQ:$AQ,$C468,[3]BV_Data_An_Cour!$AR:$AR,$L$2)</f>
        <v>0</v>
      </c>
      <c r="M468" s="462"/>
      <c r="N468" s="466"/>
      <c r="O468" s="462"/>
      <c r="P468" s="439"/>
      <c r="Q468" s="466">
        <f>SUMIFS([3]BV_Data_An_Prec!$AM:$AM,[3]BV_Data_An_Prec!$AP:$AP,$B468,[3]BV_Data_An_Prec!$AQ:$AQ,$C468,[3]BV_Data_An_Prec!$AR:$AR,$L$2)</f>
        <v>0</v>
      </c>
      <c r="R468" s="462"/>
      <c r="S468" s="466">
        <f t="shared" si="82"/>
        <v>0</v>
      </c>
      <c r="T468" s="436"/>
      <c r="U468" s="436"/>
      <c r="V468" s="439"/>
      <c r="W468" s="436"/>
      <c r="X468" s="436"/>
      <c r="Y468" s="436"/>
      <c r="Z468" s="436"/>
      <c r="AA468" s="436"/>
      <c r="AB468" s="436"/>
      <c r="AC468" s="436"/>
      <c r="AD468" s="436"/>
      <c r="AE468" s="436"/>
      <c r="AF468" s="436"/>
      <c r="AG468" s="436"/>
      <c r="AH468" s="436"/>
      <c r="AI468" s="436"/>
      <c r="AJ468" s="436"/>
      <c r="AK468" s="436"/>
      <c r="AL468" s="436"/>
      <c r="AM468" s="436"/>
      <c r="AN468" s="436"/>
    </row>
    <row r="469" spans="1:40" ht="15.75" customHeight="1">
      <c r="A469" s="452" t="s">
        <v>481</v>
      </c>
      <c r="B469" s="439" t="s">
        <v>459</v>
      </c>
      <c r="C469" s="541" t="s">
        <v>53</v>
      </c>
      <c r="D469" s="528"/>
      <c r="E469" s="439"/>
      <c r="F469" s="463">
        <f t="array" ref="F469">+INDEX('[3]Budget original'!$A$2:$AO$501,MATCH($A469,'[3]Budget original'!$A$2:$A$501,0),MATCH(F$2,'[3]Budget original'!$A$2:$AO$2,0))</f>
        <v>0</v>
      </c>
      <c r="G469" s="529"/>
      <c r="H469" s="439"/>
      <c r="I469" s="463"/>
      <c r="J469" s="462"/>
      <c r="K469" s="439"/>
      <c r="L469" s="466">
        <f>SUMIFS([3]BV_Data_An_Cour!$AM:$AM,[3]BV_Data_An_Cour!$AP:$AP,$B469,[3]BV_Data_An_Cour!$AQ:$AQ,$C469,[3]BV_Data_An_Cour!$AR:$AR,$L$2)</f>
        <v>0</v>
      </c>
      <c r="M469" s="462"/>
      <c r="N469" s="466"/>
      <c r="O469" s="462"/>
      <c r="P469" s="439"/>
      <c r="Q469" s="466">
        <f>SUMIFS([3]BV_Data_An_Prec!$AM:$AM,[3]BV_Data_An_Prec!$AP:$AP,$B469,[3]BV_Data_An_Prec!$AQ:$AQ,$C469,[3]BV_Data_An_Prec!$AR:$AR,$L$2)</f>
        <v>0</v>
      </c>
      <c r="R469" s="462"/>
      <c r="S469" s="466">
        <f t="shared" si="82"/>
        <v>0</v>
      </c>
      <c r="T469" s="436"/>
      <c r="U469" s="436"/>
      <c r="V469" s="439"/>
      <c r="W469" s="436"/>
      <c r="X469" s="436"/>
      <c r="Y469" s="436"/>
      <c r="Z469" s="436"/>
      <c r="AA469" s="436"/>
      <c r="AB469" s="436"/>
      <c r="AC469" s="436"/>
      <c r="AD469" s="436"/>
      <c r="AE469" s="436"/>
      <c r="AF469" s="436"/>
      <c r="AG469" s="436"/>
      <c r="AH469" s="436"/>
      <c r="AI469" s="436"/>
      <c r="AJ469" s="436"/>
      <c r="AK469" s="436"/>
      <c r="AL469" s="436"/>
      <c r="AM469" s="436"/>
      <c r="AN469" s="436"/>
    </row>
    <row r="470" spans="1:40" ht="15.75" customHeight="1">
      <c r="A470" s="452" t="s">
        <v>482</v>
      </c>
      <c r="B470" s="439" t="s">
        <v>459</v>
      </c>
      <c r="C470" s="541" t="s">
        <v>54</v>
      </c>
      <c r="D470" s="531"/>
      <c r="E470" s="546"/>
      <c r="F470" s="455">
        <f t="array" ref="F470">+INDEX('[3]Budget original'!$A$2:$AO$501,MATCH($A470,'[3]Budget original'!$A$2:$A$501,0),MATCH(F$2,'[3]Budget original'!$A$2:$AO$2,0))</f>
        <v>0</v>
      </c>
      <c r="G470" s="532"/>
      <c r="H470" s="546"/>
      <c r="I470" s="455"/>
      <c r="J470" s="453"/>
      <c r="K470" s="546"/>
      <c r="L470" s="458">
        <f>SUMIFS([3]BV_Data_An_Cour!$AM:$AM,[3]BV_Data_An_Cour!$AP:$AP,$B470,[3]BV_Data_An_Cour!$AQ:$AQ,$C470,[3]BV_Data_An_Cour!$AR:$AR,$L$2)</f>
        <v>567.63</v>
      </c>
      <c r="M470" s="453"/>
      <c r="N470" s="458"/>
      <c r="O470" s="453"/>
      <c r="P470" s="546"/>
      <c r="Q470" s="458">
        <f>SUMIFS([3]BV_Data_An_Prec!$AM:$AM,[3]BV_Data_An_Prec!$AP:$AP,$B470,[3]BV_Data_An_Prec!$AQ:$AQ,$C470,[3]BV_Data_An_Prec!$AR:$AR,$L$2)</f>
        <v>0</v>
      </c>
      <c r="R470" s="453"/>
      <c r="S470" s="458">
        <f t="shared" si="82"/>
        <v>567.63</v>
      </c>
      <c r="T470" s="436"/>
      <c r="U470" s="436"/>
      <c r="V470" s="439"/>
      <c r="W470" s="436"/>
      <c r="X470" s="436"/>
      <c r="Y470" s="436"/>
      <c r="Z470" s="436"/>
      <c r="AA470" s="436"/>
      <c r="AB470" s="436"/>
      <c r="AC470" s="436"/>
      <c r="AD470" s="436"/>
      <c r="AE470" s="436"/>
      <c r="AF470" s="436"/>
      <c r="AG470" s="436"/>
      <c r="AH470" s="436"/>
      <c r="AI470" s="436"/>
      <c r="AJ470" s="436"/>
      <c r="AK470" s="436"/>
      <c r="AL470" s="436"/>
      <c r="AM470" s="436"/>
      <c r="AN470" s="436"/>
    </row>
    <row r="471" spans="1:40" ht="20.25" customHeight="1">
      <c r="A471" s="452" t="s">
        <v>483</v>
      </c>
      <c r="B471" s="439" t="s">
        <v>459</v>
      </c>
      <c r="C471" s="634" t="s">
        <v>55</v>
      </c>
      <c r="D471" s="528"/>
      <c r="E471" s="439"/>
      <c r="F471" s="463">
        <f t="array" ref="F471">+INDEX('[3]Budget original'!$A$2:$AO$501,MATCH($A471,'[3]Budget original'!$A$2:$A$501,0),MATCH(F$2,'[3]Budget original'!$A$2:$AO$2,0))</f>
        <v>0</v>
      </c>
      <c r="G471" s="529"/>
      <c r="H471" s="439"/>
      <c r="I471" s="463"/>
      <c r="J471" s="462"/>
      <c r="K471" s="439"/>
      <c r="L471" s="466">
        <f>SUMIFS([3]BV_Data_An_Cour!$AM:$AM,[3]BV_Data_An_Cour!$AP:$AP,$B471,[3]BV_Data_An_Cour!$AQ:$AQ,$C471,[3]BV_Data_An_Cour!$AR:$AR,$L$2)</f>
        <v>0</v>
      </c>
      <c r="M471" s="462"/>
      <c r="N471" s="466"/>
      <c r="O471" s="462"/>
      <c r="P471" s="439"/>
      <c r="Q471" s="466">
        <f>SUMIFS([3]BV_Data_An_Prec!$AM:$AM,[3]BV_Data_An_Prec!$AP:$AP,$B471,[3]BV_Data_An_Prec!$AQ:$AQ,$C471,[3]BV_Data_An_Prec!$AR:$AR,$L$2)</f>
        <v>0</v>
      </c>
      <c r="R471" s="462"/>
      <c r="S471" s="466">
        <f t="shared" si="82"/>
        <v>0</v>
      </c>
      <c r="T471" s="436"/>
      <c r="U471" s="436"/>
      <c r="V471" s="439"/>
      <c r="W471" s="436"/>
      <c r="X471" s="436"/>
      <c r="Y471" s="436"/>
      <c r="Z471" s="436"/>
      <c r="AA471" s="436"/>
      <c r="AB471" s="436"/>
      <c r="AC471" s="436"/>
      <c r="AD471" s="436"/>
      <c r="AE471" s="436"/>
      <c r="AF471" s="436"/>
      <c r="AG471" s="436"/>
      <c r="AH471" s="436"/>
      <c r="AI471" s="436"/>
      <c r="AJ471" s="436"/>
      <c r="AK471" s="436"/>
      <c r="AL471" s="436"/>
      <c r="AM471" s="436"/>
      <c r="AN471" s="436"/>
    </row>
    <row r="472" spans="1:40" ht="20.25" customHeight="1">
      <c r="A472" s="452" t="s">
        <v>484</v>
      </c>
      <c r="B472" s="439" t="s">
        <v>459</v>
      </c>
      <c r="C472" s="541" t="s">
        <v>56</v>
      </c>
      <c r="D472" s="528"/>
      <c r="E472" s="439"/>
      <c r="F472" s="463">
        <f t="array" ref="F472">+INDEX('[3]Budget original'!$A$2:$AO$501,MATCH($A472,'[3]Budget original'!$A$2:$A$501,0),MATCH(F$2,'[3]Budget original'!$A$2:$AO$2,0))</f>
        <v>0</v>
      </c>
      <c r="G472" s="529"/>
      <c r="H472" s="439"/>
      <c r="I472" s="463"/>
      <c r="J472" s="462"/>
      <c r="K472" s="439"/>
      <c r="L472" s="466">
        <f>SUMIFS([3]BV_Data_An_Cour!$AM:$AM,[3]BV_Data_An_Cour!$AP:$AP,$B472,[3]BV_Data_An_Cour!$AQ:$AQ,$C472,[3]BV_Data_An_Cour!$AR:$AR,$L$2)</f>
        <v>544.45000000000005</v>
      </c>
      <c r="M472" s="462"/>
      <c r="N472" s="466"/>
      <c r="O472" s="462"/>
      <c r="P472" s="439"/>
      <c r="Q472" s="466">
        <f>SUMIFS([3]BV_Data_An_Prec!$AM:$AM,[3]BV_Data_An_Prec!$AP:$AP,$B472,[3]BV_Data_An_Prec!$AQ:$AQ,$C472,[3]BV_Data_An_Prec!$AR:$AR,$L$2)</f>
        <v>0</v>
      </c>
      <c r="R472" s="462"/>
      <c r="S472" s="466">
        <f t="shared" si="82"/>
        <v>544.45000000000005</v>
      </c>
      <c r="T472" s="436"/>
      <c r="U472" s="436"/>
      <c r="V472" s="439"/>
      <c r="W472" s="436"/>
      <c r="X472" s="436"/>
      <c r="Y472" s="436"/>
      <c r="Z472" s="436"/>
      <c r="AA472" s="436"/>
      <c r="AB472" s="436"/>
      <c r="AC472" s="436"/>
      <c r="AD472" s="436"/>
      <c r="AE472" s="436"/>
      <c r="AF472" s="436"/>
      <c r="AG472" s="436"/>
      <c r="AH472" s="436"/>
      <c r="AI472" s="436"/>
      <c r="AJ472" s="436"/>
      <c r="AK472" s="436"/>
      <c r="AL472" s="436"/>
      <c r="AM472" s="436"/>
      <c r="AN472" s="436"/>
    </row>
    <row r="473" spans="1:40" ht="20.25" customHeight="1">
      <c r="A473" s="452" t="s">
        <v>485</v>
      </c>
      <c r="B473" s="439" t="s">
        <v>459</v>
      </c>
      <c r="C473" s="541" t="s">
        <v>57</v>
      </c>
      <c r="D473" s="528"/>
      <c r="E473" s="439"/>
      <c r="F473" s="463">
        <f t="array" ref="F473">+INDEX('[3]Budget original'!$A$2:$AO$501,MATCH($A473,'[3]Budget original'!$A$2:$A$501,0),MATCH(F$2,'[3]Budget original'!$A$2:$AO$2,0))</f>
        <v>0</v>
      </c>
      <c r="G473" s="529"/>
      <c r="H473" s="439"/>
      <c r="I473" s="463"/>
      <c r="J473" s="462"/>
      <c r="K473" s="439"/>
      <c r="L473" s="466">
        <f>SUMIFS([3]BV_Data_An_Cour!$AM:$AM,[3]BV_Data_An_Cour!$AP:$AP,$B473,[3]BV_Data_An_Cour!$AQ:$AQ,$C473,[3]BV_Data_An_Cour!$AR:$AR,$L$2)</f>
        <v>0</v>
      </c>
      <c r="M473" s="462"/>
      <c r="N473" s="466"/>
      <c r="O473" s="462"/>
      <c r="P473" s="439"/>
      <c r="Q473" s="466">
        <f>SUMIFS([3]BV_Data_An_Prec!$AM:$AM,[3]BV_Data_An_Prec!$AP:$AP,$B473,[3]BV_Data_An_Prec!$AQ:$AQ,$C473,[3]BV_Data_An_Prec!$AR:$AR,$L$2)</f>
        <v>0</v>
      </c>
      <c r="R473" s="462"/>
      <c r="S473" s="466">
        <f t="shared" si="82"/>
        <v>0</v>
      </c>
      <c r="T473" s="436"/>
      <c r="U473" s="436"/>
      <c r="V473" s="439"/>
      <c r="W473" s="436"/>
      <c r="X473" s="436"/>
      <c r="Y473" s="436"/>
      <c r="Z473" s="436"/>
      <c r="AA473" s="436"/>
      <c r="AB473" s="436"/>
      <c r="AC473" s="436"/>
      <c r="AD473" s="436"/>
      <c r="AE473" s="436"/>
      <c r="AF473" s="436"/>
      <c r="AG473" s="436"/>
      <c r="AH473" s="436"/>
      <c r="AI473" s="436"/>
      <c r="AJ473" s="436"/>
      <c r="AK473" s="436"/>
      <c r="AL473" s="436"/>
      <c r="AM473" s="436"/>
      <c r="AN473" s="436"/>
    </row>
    <row r="474" spans="1:40" ht="20.25" customHeight="1">
      <c r="A474" s="452" t="s">
        <v>486</v>
      </c>
      <c r="B474" s="439" t="s">
        <v>459</v>
      </c>
      <c r="C474" s="541" t="s">
        <v>58</v>
      </c>
      <c r="D474" s="528"/>
      <c r="E474" s="439"/>
      <c r="F474" s="463">
        <f t="array" ref="F474">+INDEX('[3]Budget original'!$A$2:$AO$501,MATCH($A474,'[3]Budget original'!$A$2:$A$501,0),MATCH(F$2,'[3]Budget original'!$A$2:$AO$2,0))</f>
        <v>0</v>
      </c>
      <c r="G474" s="529"/>
      <c r="H474" s="439"/>
      <c r="I474" s="463"/>
      <c r="J474" s="462"/>
      <c r="K474" s="439"/>
      <c r="L474" s="466">
        <f>SUMIFS([3]BV_Data_An_Cour!$AM:$AM,[3]BV_Data_An_Cour!$AP:$AP,$B474,[3]BV_Data_An_Cour!$AQ:$AQ,$C474,[3]BV_Data_An_Cour!$AR:$AR,$L$2)</f>
        <v>0</v>
      </c>
      <c r="M474" s="462"/>
      <c r="N474" s="466"/>
      <c r="O474" s="462"/>
      <c r="P474" s="439"/>
      <c r="Q474" s="466">
        <f>SUMIFS([3]BV_Data_An_Prec!$AM:$AM,[3]BV_Data_An_Prec!$AP:$AP,$B474,[3]BV_Data_An_Prec!$AQ:$AQ,$C474,[3]BV_Data_An_Prec!$AR:$AR,$L$2)</f>
        <v>0</v>
      </c>
      <c r="R474" s="462"/>
      <c r="S474" s="466">
        <f t="shared" si="82"/>
        <v>0</v>
      </c>
      <c r="T474" s="436"/>
      <c r="U474" s="436"/>
      <c r="V474" s="439"/>
      <c r="W474" s="436"/>
      <c r="X474" s="436"/>
      <c r="Y474" s="436"/>
      <c r="Z474" s="436"/>
      <c r="AA474" s="436"/>
      <c r="AB474" s="436"/>
      <c r="AC474" s="436"/>
      <c r="AD474" s="436"/>
      <c r="AE474" s="436"/>
      <c r="AF474" s="436"/>
      <c r="AG474" s="436"/>
      <c r="AH474" s="436"/>
      <c r="AI474" s="436"/>
      <c r="AJ474" s="436"/>
      <c r="AK474" s="436"/>
      <c r="AL474" s="436"/>
      <c r="AM474" s="436"/>
      <c r="AN474" s="436"/>
    </row>
    <row r="475" spans="1:40" ht="20.25" customHeight="1">
      <c r="A475" s="452" t="s">
        <v>487</v>
      </c>
      <c r="B475" s="439" t="s">
        <v>459</v>
      </c>
      <c r="C475" s="541" t="s">
        <v>59</v>
      </c>
      <c r="D475" s="528"/>
      <c r="E475" s="439"/>
      <c r="F475" s="463">
        <f t="array" ref="F475">+INDEX('[3]Budget original'!$A$2:$AO$501,MATCH($A475,'[3]Budget original'!$A$2:$A$501,0),MATCH(F$2,'[3]Budget original'!$A$2:$AO$2,0))</f>
        <v>0</v>
      </c>
      <c r="G475" s="529"/>
      <c r="H475" s="439"/>
      <c r="I475" s="463"/>
      <c r="J475" s="462"/>
      <c r="K475" s="439"/>
      <c r="L475" s="466">
        <f>SUMIFS([3]BV_Data_An_Cour!$AM:$AM,[3]BV_Data_An_Cour!$AP:$AP,$B475,[3]BV_Data_An_Cour!$AQ:$AQ,$C475,[3]BV_Data_An_Cour!$AR:$AR,$L$2)</f>
        <v>0</v>
      </c>
      <c r="M475" s="462"/>
      <c r="N475" s="466"/>
      <c r="O475" s="462"/>
      <c r="P475" s="439"/>
      <c r="Q475" s="466">
        <f>SUMIFS([3]BV_Data_An_Prec!$AM:$AM,[3]BV_Data_An_Prec!$AP:$AP,$B475,[3]BV_Data_An_Prec!$AQ:$AQ,$C475,[3]BV_Data_An_Prec!$AR:$AR,$L$2)</f>
        <v>0</v>
      </c>
      <c r="R475" s="462"/>
      <c r="S475" s="466">
        <f t="shared" si="82"/>
        <v>0</v>
      </c>
      <c r="T475" s="436"/>
      <c r="U475" s="436"/>
      <c r="V475" s="439"/>
      <c r="W475" s="436"/>
      <c r="X475" s="436"/>
      <c r="Y475" s="436"/>
      <c r="Z475" s="436"/>
      <c r="AA475" s="436"/>
      <c r="AB475" s="436"/>
      <c r="AC475" s="436"/>
      <c r="AD475" s="436"/>
      <c r="AE475" s="436"/>
      <c r="AF475" s="436"/>
      <c r="AG475" s="436"/>
      <c r="AH475" s="436"/>
      <c r="AI475" s="436"/>
      <c r="AJ475" s="436"/>
      <c r="AK475" s="436"/>
      <c r="AL475" s="436"/>
      <c r="AM475" s="436"/>
      <c r="AN475" s="436"/>
    </row>
    <row r="476" spans="1:40" ht="20.25" customHeight="1">
      <c r="A476" s="452" t="s">
        <v>488</v>
      </c>
      <c r="B476" s="439" t="s">
        <v>459</v>
      </c>
      <c r="C476" s="541" t="s">
        <v>60</v>
      </c>
      <c r="D476" s="528"/>
      <c r="E476" s="439"/>
      <c r="F476" s="463">
        <f t="array" ref="F476">+INDEX('[3]Budget original'!$A$2:$AO$501,MATCH($A476,'[3]Budget original'!$A$2:$A$501,0),MATCH(F$2,'[3]Budget original'!$A$2:$AO$2,0))</f>
        <v>0</v>
      </c>
      <c r="G476" s="529"/>
      <c r="H476" s="439"/>
      <c r="I476" s="463"/>
      <c r="J476" s="462"/>
      <c r="K476" s="439"/>
      <c r="L476" s="466">
        <f>SUMIFS([3]BV_Data_An_Cour!$AM:$AM,[3]BV_Data_An_Cour!$AP:$AP,$B476,[3]BV_Data_An_Cour!$AQ:$AQ,$C476,[3]BV_Data_An_Cour!$AR:$AR,$L$2)</f>
        <v>75</v>
      </c>
      <c r="M476" s="462"/>
      <c r="N476" s="466"/>
      <c r="O476" s="462"/>
      <c r="P476" s="439"/>
      <c r="Q476" s="466">
        <f>SUMIFS([3]BV_Data_An_Prec!$AM:$AM,[3]BV_Data_An_Prec!$AP:$AP,$B476,[3]BV_Data_An_Prec!$AQ:$AQ,$C476,[3]BV_Data_An_Prec!$AR:$AR,$L$2)</f>
        <v>0</v>
      </c>
      <c r="R476" s="462"/>
      <c r="S476" s="466">
        <f t="shared" si="82"/>
        <v>75</v>
      </c>
      <c r="T476" s="436"/>
      <c r="U476" s="436"/>
      <c r="V476" s="439"/>
      <c r="W476" s="436"/>
      <c r="X476" s="436"/>
      <c r="Y476" s="436"/>
      <c r="Z476" s="436"/>
      <c r="AA476" s="436"/>
      <c r="AB476" s="436"/>
      <c r="AC476" s="436"/>
      <c r="AD476" s="436"/>
      <c r="AE476" s="436"/>
      <c r="AF476" s="436"/>
      <c r="AG476" s="436"/>
      <c r="AH476" s="436"/>
      <c r="AI476" s="436"/>
      <c r="AJ476" s="436"/>
      <c r="AK476" s="436"/>
      <c r="AL476" s="436"/>
      <c r="AM476" s="436"/>
      <c r="AN476" s="436"/>
    </row>
    <row r="477" spans="1:40" ht="20.25" customHeight="1">
      <c r="A477" s="452" t="s">
        <v>489</v>
      </c>
      <c r="B477" s="439" t="s">
        <v>459</v>
      </c>
      <c r="C477" s="541" t="s">
        <v>61</v>
      </c>
      <c r="D477" s="528"/>
      <c r="E477" s="439"/>
      <c r="F477" s="463">
        <f t="array" ref="F477">+INDEX('[3]Budget original'!$A$2:$AO$501,MATCH($A477,'[3]Budget original'!$A$2:$A$501,0),MATCH(F$2,'[3]Budget original'!$A$2:$AO$2,0))</f>
        <v>0</v>
      </c>
      <c r="G477" s="529"/>
      <c r="H477" s="439"/>
      <c r="I477" s="463"/>
      <c r="J477" s="462"/>
      <c r="K477" s="439"/>
      <c r="L477" s="466">
        <f>SUMIFS([3]BV_Data_An_Cour!$AM:$AM,[3]BV_Data_An_Cour!$AP:$AP,$B477,[3]BV_Data_An_Cour!$AQ:$AQ,$C477,[3]BV_Data_An_Cour!$AR:$AR,$L$2)</f>
        <v>1577.2800000000002</v>
      </c>
      <c r="M477" s="462"/>
      <c r="N477" s="466"/>
      <c r="O477" s="462"/>
      <c r="P477" s="439"/>
      <c r="Q477" s="466">
        <f>SUMIFS([3]BV_Data_An_Prec!$AM:$AM,[3]BV_Data_An_Prec!$AP:$AP,$B477,[3]BV_Data_An_Prec!$AQ:$AQ,$C477,[3]BV_Data_An_Prec!$AR:$AR,$L$2)</f>
        <v>0</v>
      </c>
      <c r="R477" s="462"/>
      <c r="S477" s="466">
        <f t="shared" si="82"/>
        <v>1577.2800000000002</v>
      </c>
      <c r="T477" s="436"/>
      <c r="U477" s="436"/>
      <c r="V477" s="439"/>
      <c r="W477" s="436"/>
      <c r="X477" s="436"/>
      <c r="Y477" s="436"/>
      <c r="Z477" s="436"/>
      <c r="AA477" s="436"/>
      <c r="AB477" s="436"/>
      <c r="AC477" s="436"/>
      <c r="AD477" s="436"/>
      <c r="AE477" s="436"/>
      <c r="AF477" s="436"/>
      <c r="AG477" s="436"/>
      <c r="AH477" s="436"/>
      <c r="AI477" s="436"/>
      <c r="AJ477" s="436"/>
      <c r="AK477" s="436"/>
      <c r="AL477" s="436"/>
      <c r="AM477" s="436"/>
      <c r="AN477" s="436"/>
    </row>
    <row r="478" spans="1:40" ht="19.5" customHeight="1">
      <c r="A478" s="452" t="s">
        <v>490</v>
      </c>
      <c r="B478" s="439" t="s">
        <v>459</v>
      </c>
      <c r="C478" s="541" t="s">
        <v>62</v>
      </c>
      <c r="D478" s="528"/>
      <c r="E478" s="439"/>
      <c r="F478" s="463">
        <f t="array" ref="F478">+INDEX('[3]Budget original'!$A$2:$AO$501,MATCH($A478,'[3]Budget original'!$A$2:$A$501,0),MATCH(F$2,'[3]Budget original'!$A$2:$AO$2,0))</f>
        <v>0</v>
      </c>
      <c r="G478" s="529"/>
      <c r="H478" s="439"/>
      <c r="I478" s="463"/>
      <c r="J478" s="462"/>
      <c r="K478" s="439"/>
      <c r="L478" s="466">
        <f>SUMIFS([3]BV_Data_An_Cour!$AM:$AM,[3]BV_Data_An_Cour!$AP:$AP,$B478,[3]BV_Data_An_Cour!$AQ:$AQ,$C478,[3]BV_Data_An_Cour!$AR:$AR,$L$2)</f>
        <v>0</v>
      </c>
      <c r="M478" s="462"/>
      <c r="N478" s="466"/>
      <c r="O478" s="462"/>
      <c r="P478" s="439"/>
      <c r="Q478" s="466">
        <f>SUMIFS([3]BV_Data_An_Prec!$AM:$AM,[3]BV_Data_An_Prec!$AP:$AP,$B478,[3]BV_Data_An_Prec!$AQ:$AQ,$C478,[3]BV_Data_An_Prec!$AR:$AR,$L$2)</f>
        <v>0</v>
      </c>
      <c r="R478" s="462"/>
      <c r="S478" s="466">
        <f t="shared" si="82"/>
        <v>0</v>
      </c>
      <c r="T478" s="436"/>
      <c r="U478" s="436"/>
      <c r="V478" s="439"/>
      <c r="W478" s="436"/>
      <c r="X478" s="436"/>
      <c r="Y478" s="436"/>
      <c r="Z478" s="436"/>
      <c r="AA478" s="436"/>
      <c r="AB478" s="436"/>
      <c r="AC478" s="436"/>
      <c r="AD478" s="436"/>
      <c r="AE478" s="436"/>
      <c r="AF478" s="436"/>
      <c r="AG478" s="436"/>
      <c r="AH478" s="436"/>
      <c r="AI478" s="436"/>
      <c r="AJ478" s="436"/>
      <c r="AK478" s="436"/>
      <c r="AL478" s="436"/>
      <c r="AM478" s="436"/>
      <c r="AN478" s="436"/>
    </row>
    <row r="479" spans="1:40" ht="20.25" hidden="1" customHeight="1">
      <c r="A479" s="452" t="s">
        <v>471</v>
      </c>
      <c r="B479" s="439" t="s">
        <v>459</v>
      </c>
      <c r="C479" s="541" t="s">
        <v>19</v>
      </c>
      <c r="D479" s="528"/>
      <c r="E479" s="439"/>
      <c r="F479" s="463">
        <f t="array" ref="F479">+INDEX('[3]Budget original'!$A$2:$AO$501,MATCH($A479,'[3]Budget original'!$A$2:$A$501,0),MATCH(F$2,'[3]Budget original'!$A$2:$AO$2,0))</f>
        <v>0</v>
      </c>
      <c r="G479" s="529"/>
      <c r="H479" s="439"/>
      <c r="I479" s="463"/>
      <c r="J479" s="462"/>
      <c r="K479" s="439"/>
      <c r="L479" s="466">
        <f>-SUMIFS([3]BV_Data_An_Cour!$AM:$AM,[3]BV_Data_An_Cour!$AP:$AP,$B479,[3]BV_Data_An_Cour!$AQ:$AQ,$C479,[3]BV_Data_An_Cour!$AR:$AR,$L$2)</f>
        <v>0</v>
      </c>
      <c r="M479" s="462"/>
      <c r="N479" s="466"/>
      <c r="O479" s="462"/>
      <c r="P479" s="439"/>
      <c r="Q479" s="466">
        <f>-SUMIFS([3]BV_Data_An_Prec!$AM:$AM,[3]BV_Data_An_Prec!$AP:$AP,$B479,[3]BV_Data_An_Prec!$AQ:$AQ,$C479,[3]BV_Data_An_Prec!$AR:$AR,$L$2)</f>
        <v>0</v>
      </c>
      <c r="R479" s="462"/>
      <c r="S479" s="466">
        <f t="shared" si="82"/>
        <v>0</v>
      </c>
      <c r="T479" s="436"/>
      <c r="U479" s="436"/>
      <c r="V479" s="439"/>
      <c r="W479" s="436"/>
      <c r="X479" s="436"/>
      <c r="Y479" s="436"/>
      <c r="Z479" s="436"/>
      <c r="AA479" s="436"/>
      <c r="AB479" s="436"/>
      <c r="AC479" s="436"/>
      <c r="AD479" s="436"/>
      <c r="AE479" s="436"/>
      <c r="AF479" s="436"/>
      <c r="AG479" s="436"/>
      <c r="AH479" s="436"/>
      <c r="AI479" s="436"/>
      <c r="AJ479" s="436"/>
      <c r="AK479" s="436"/>
      <c r="AL479" s="436"/>
      <c r="AM479" s="436"/>
      <c r="AN479" s="436"/>
    </row>
    <row r="480" spans="1:40" ht="20.25" hidden="1" customHeight="1">
      <c r="A480" s="452" t="s">
        <v>471</v>
      </c>
      <c r="B480" s="439" t="s">
        <v>459</v>
      </c>
      <c r="C480" s="541" t="s">
        <v>19</v>
      </c>
      <c r="D480" s="528"/>
      <c r="E480" s="439"/>
      <c r="F480" s="463">
        <f t="array" ref="F480">+INDEX('[3]Budget original'!$A$2:$AO$501,MATCH($A480,'[3]Budget original'!$A$2:$A$501,0),MATCH(F$2,'[3]Budget original'!$A$2:$AO$2,0))</f>
        <v>0</v>
      </c>
      <c r="G480" s="529"/>
      <c r="H480" s="439"/>
      <c r="I480" s="463"/>
      <c r="J480" s="462"/>
      <c r="K480" s="439"/>
      <c r="L480" s="466">
        <f>-SUMIFS([3]BV_Data_An_Cour!$AM:$AM,[3]BV_Data_An_Cour!$AP:$AP,$B480,[3]BV_Data_An_Cour!$AQ:$AQ,$C480,[3]BV_Data_An_Cour!$AR:$AR,$L$2)</f>
        <v>0</v>
      </c>
      <c r="M480" s="462"/>
      <c r="N480" s="466"/>
      <c r="O480" s="462"/>
      <c r="P480" s="439"/>
      <c r="Q480" s="466">
        <f>-SUMIFS([3]BV_Data_An_Prec!$AM:$AM,[3]BV_Data_An_Prec!$AP:$AP,$B480,[3]BV_Data_An_Prec!$AQ:$AQ,$C480,[3]BV_Data_An_Prec!$AR:$AR,$L$2)</f>
        <v>0</v>
      </c>
      <c r="R480" s="462"/>
      <c r="S480" s="466">
        <f t="shared" si="82"/>
        <v>0</v>
      </c>
      <c r="T480" s="436"/>
      <c r="U480" s="436"/>
      <c r="V480" s="439"/>
      <c r="W480" s="436"/>
      <c r="X480" s="436"/>
      <c r="Y480" s="436"/>
      <c r="Z480" s="436"/>
      <c r="AA480" s="436"/>
      <c r="AB480" s="436"/>
      <c r="AC480" s="436"/>
      <c r="AD480" s="436"/>
      <c r="AE480" s="436"/>
      <c r="AF480" s="436"/>
      <c r="AG480" s="436"/>
      <c r="AH480" s="436"/>
      <c r="AI480" s="436"/>
      <c r="AJ480" s="436"/>
      <c r="AK480" s="436"/>
      <c r="AL480" s="436"/>
      <c r="AM480" s="436"/>
      <c r="AN480" s="436"/>
    </row>
    <row r="481" spans="1:61" ht="20.25" hidden="1" customHeight="1">
      <c r="A481" s="452" t="s">
        <v>471</v>
      </c>
      <c r="B481" s="439" t="s">
        <v>459</v>
      </c>
      <c r="C481" s="541" t="s">
        <v>19</v>
      </c>
      <c r="D481" s="531"/>
      <c r="E481" s="546"/>
      <c r="F481" s="463">
        <f t="array" ref="F481">+INDEX('[3]Budget original'!$A$2:$AO$501,MATCH($A481,'[3]Budget original'!$A$2:$A$501,0),MATCH(F$2,'[3]Budget original'!$A$2:$AO$2,0))</f>
        <v>0</v>
      </c>
      <c r="G481" s="532"/>
      <c r="H481" s="546"/>
      <c r="I481" s="463"/>
      <c r="J481" s="453"/>
      <c r="K481" s="546"/>
      <c r="L481" s="466">
        <f>-SUMIFS([3]BV_Data_An_Cour!$AM:$AM,[3]BV_Data_An_Cour!$AP:$AP,$B481,[3]BV_Data_An_Cour!$AQ:$AQ,$C481,[3]BV_Data_An_Cour!$AR:$AR,$L$2)</f>
        <v>0</v>
      </c>
      <c r="M481" s="453"/>
      <c r="N481" s="458"/>
      <c r="O481" s="453"/>
      <c r="P481" s="546"/>
      <c r="Q481" s="466">
        <f>-SUMIFS([3]BV_Data_An_Prec!$AM:$AM,[3]BV_Data_An_Prec!$AP:$AP,$B481,[3]BV_Data_An_Prec!$AQ:$AQ,$C481,[3]BV_Data_An_Prec!$AR:$AR,$L$2)</f>
        <v>0</v>
      </c>
      <c r="R481" s="453"/>
      <c r="S481" s="458">
        <f t="shared" si="82"/>
        <v>0</v>
      </c>
      <c r="T481" s="436"/>
      <c r="U481" s="436"/>
      <c r="V481" s="439"/>
      <c r="W481" s="436"/>
      <c r="X481" s="436"/>
      <c r="Y481" s="436"/>
      <c r="Z481" s="436"/>
      <c r="AA481" s="436"/>
      <c r="AB481" s="436"/>
      <c r="AC481" s="436"/>
      <c r="AD481" s="436"/>
      <c r="AE481" s="436"/>
      <c r="AF481" s="436"/>
      <c r="AG481" s="436"/>
      <c r="AH481" s="436"/>
      <c r="AI481" s="436"/>
      <c r="AJ481" s="436"/>
      <c r="AK481" s="436"/>
      <c r="AL481" s="436"/>
      <c r="AM481" s="436"/>
      <c r="AN481" s="436"/>
    </row>
    <row r="482" spans="1:61" ht="18" customHeight="1">
      <c r="A482" s="452"/>
      <c r="B482" s="439"/>
      <c r="C482" s="534" t="s">
        <v>63</v>
      </c>
      <c r="D482" s="535" t="s">
        <v>38</v>
      </c>
      <c r="E482" s="536">
        <f>IFERROR(F482/F$448,0)</f>
        <v>0</v>
      </c>
      <c r="F482" s="537">
        <f>+SUM(F465:F481)</f>
        <v>0</v>
      </c>
      <c r="G482" s="538"/>
      <c r="H482" s="536"/>
      <c r="I482" s="537"/>
      <c r="J482" s="538" t="s">
        <v>38</v>
      </c>
      <c r="K482" s="536">
        <f>IFERROR(L482/L$448,0)</f>
        <v>4.020898969887908E-2</v>
      </c>
      <c r="L482" s="537">
        <f>+SUM(L465:L481)</f>
        <v>2764.36</v>
      </c>
      <c r="M482" s="539"/>
      <c r="N482" s="537"/>
      <c r="O482" s="538" t="s">
        <v>38</v>
      </c>
      <c r="P482" s="536">
        <f>IFERROR(Q482/Q$448,0)</f>
        <v>0</v>
      </c>
      <c r="Q482" s="537">
        <f>+SUM(Q465:Q481)</f>
        <v>0</v>
      </c>
      <c r="R482" s="540"/>
      <c r="S482" s="537">
        <f>+SUM(S465:S481)</f>
        <v>2764.36</v>
      </c>
      <c r="T482" s="436"/>
      <c r="U482" s="436"/>
      <c r="V482" s="439"/>
      <c r="W482" s="439"/>
      <c r="X482" s="439"/>
      <c r="Y482" s="439"/>
      <c r="Z482" s="439"/>
      <c r="AA482" s="439"/>
      <c r="AB482" s="439"/>
      <c r="AC482" s="439"/>
      <c r="AD482" s="439"/>
      <c r="AE482" s="439"/>
      <c r="AF482" s="439"/>
      <c r="AG482" s="439"/>
      <c r="AH482" s="439"/>
      <c r="AI482" s="439"/>
      <c r="AJ482" s="439"/>
      <c r="AK482" s="439"/>
      <c r="AL482" s="439"/>
      <c r="AM482" s="439"/>
      <c r="AN482" s="439"/>
    </row>
    <row r="483" spans="1:61" ht="15.75" customHeight="1">
      <c r="B483" s="433"/>
      <c r="C483" s="462"/>
      <c r="D483" s="439"/>
      <c r="E483" s="439"/>
      <c r="F483" s="495"/>
      <c r="G483" s="462"/>
      <c r="H483" s="439"/>
      <c r="I483" s="495"/>
      <c r="J483" s="462"/>
      <c r="K483" s="439"/>
      <c r="L483" s="466"/>
      <c r="M483" s="480"/>
      <c r="N483" s="483"/>
      <c r="O483" s="462"/>
      <c r="P483" s="439"/>
      <c r="Q483" s="466"/>
      <c r="R483" s="462"/>
      <c r="S483" s="485"/>
      <c r="T483" s="436"/>
      <c r="U483" s="436"/>
      <c r="V483" s="439"/>
      <c r="W483" s="436"/>
      <c r="X483" s="436"/>
      <c r="Y483" s="436"/>
      <c r="Z483" s="436"/>
      <c r="AA483" s="436"/>
      <c r="AB483" s="436"/>
      <c r="AC483" s="436"/>
      <c r="AD483" s="436"/>
      <c r="AE483" s="436"/>
      <c r="AF483" s="436"/>
      <c r="AG483" s="436"/>
      <c r="AH483" s="436"/>
      <c r="AI483" s="436"/>
      <c r="AJ483" s="436"/>
      <c r="AK483" s="436"/>
      <c r="AL483" s="436"/>
      <c r="AM483" s="436"/>
      <c r="AN483" s="436"/>
    </row>
    <row r="484" spans="1:61" ht="18" customHeight="1">
      <c r="A484" s="452"/>
      <c r="B484" s="439"/>
      <c r="C484" s="534" t="s">
        <v>64</v>
      </c>
      <c r="D484" s="535" t="s">
        <v>38</v>
      </c>
      <c r="E484" s="536">
        <f>IFERROR(F484/F$448,0)</f>
        <v>0</v>
      </c>
      <c r="F484" s="537">
        <f>F464+F482</f>
        <v>0</v>
      </c>
      <c r="G484" s="538"/>
      <c r="H484" s="536"/>
      <c r="I484" s="537"/>
      <c r="J484" s="538" t="s">
        <v>38</v>
      </c>
      <c r="K484" s="536">
        <f>IFERROR(L484/L$448,0)</f>
        <v>0.39602791571757262</v>
      </c>
      <c r="L484" s="537">
        <f>L464+L482</f>
        <v>27226.840000000004</v>
      </c>
      <c r="M484" s="539"/>
      <c r="N484" s="537"/>
      <c r="O484" s="538" t="s">
        <v>38</v>
      </c>
      <c r="P484" s="536">
        <f>IFERROR(Q484/Q$448,0)</f>
        <v>0</v>
      </c>
      <c r="Q484" s="537">
        <f>Q464+Q482</f>
        <v>0</v>
      </c>
      <c r="R484" s="540"/>
      <c r="S484" s="537">
        <f>L484-Q484</f>
        <v>27226.840000000004</v>
      </c>
      <c r="T484" s="436"/>
      <c r="U484" s="436"/>
      <c r="V484" s="439"/>
      <c r="W484" s="439"/>
      <c r="X484" s="439"/>
      <c r="Y484" s="439"/>
      <c r="Z484" s="439"/>
      <c r="AA484" s="439"/>
      <c r="AB484" s="439"/>
      <c r="AC484" s="439"/>
      <c r="AD484" s="439"/>
      <c r="AE484" s="439"/>
      <c r="AF484" s="439"/>
      <c r="AG484" s="439"/>
      <c r="AH484" s="439"/>
      <c r="AI484" s="439"/>
      <c r="AJ484" s="439"/>
      <c r="AK484" s="439"/>
      <c r="AL484" s="439"/>
      <c r="AM484" s="439"/>
      <c r="AN484" s="439"/>
    </row>
    <row r="485" spans="1:61" ht="15.75" customHeight="1">
      <c r="B485" s="433"/>
      <c r="C485" s="462"/>
      <c r="D485" s="439"/>
      <c r="E485" s="439"/>
      <c r="F485" s="466"/>
      <c r="G485" s="462"/>
      <c r="H485" s="439"/>
      <c r="I485" s="466"/>
      <c r="J485" s="462"/>
      <c r="K485" s="439"/>
      <c r="L485" s="466"/>
      <c r="M485" s="480"/>
      <c r="N485" s="483"/>
      <c r="O485" s="462"/>
      <c r="P485" s="439"/>
      <c r="Q485" s="466"/>
      <c r="R485" s="462"/>
      <c r="S485" s="485"/>
      <c r="T485" s="436"/>
      <c r="U485" s="436"/>
      <c r="V485" s="439"/>
      <c r="W485" s="436"/>
      <c r="X485" s="436"/>
      <c r="Y485" s="436"/>
      <c r="Z485" s="436"/>
      <c r="AA485" s="436"/>
      <c r="AB485" s="436"/>
      <c r="AC485" s="436"/>
      <c r="AD485" s="436"/>
      <c r="AE485" s="436"/>
      <c r="AF485" s="436"/>
      <c r="AG485" s="436"/>
      <c r="AH485" s="436"/>
      <c r="AI485" s="436"/>
      <c r="AJ485" s="436"/>
      <c r="AK485" s="436"/>
      <c r="AL485" s="436"/>
      <c r="AM485" s="436"/>
      <c r="AN485" s="436"/>
    </row>
    <row r="486" spans="1:61" ht="18" customHeight="1" thickBot="1">
      <c r="A486" s="452"/>
      <c r="B486" s="439"/>
      <c r="C486" s="561" t="s">
        <v>69</v>
      </c>
      <c r="D486" s="562"/>
      <c r="E486" s="563"/>
      <c r="F486" s="564" t="e">
        <f>#REF!-F484</f>
        <v>#REF!</v>
      </c>
      <c r="G486" s="565"/>
      <c r="H486" s="563"/>
      <c r="I486" s="564"/>
      <c r="J486" s="565"/>
      <c r="K486" s="563"/>
      <c r="L486" s="564">
        <f>L448-L484</f>
        <v>41522.960000000072</v>
      </c>
      <c r="M486" s="566"/>
      <c r="N486" s="564"/>
      <c r="O486" s="565"/>
      <c r="P486" s="563"/>
      <c r="Q486" s="564">
        <f>Q448-Q484</f>
        <v>54634.710000000014</v>
      </c>
      <c r="R486" s="567"/>
      <c r="S486" s="564">
        <f>L486-Q486</f>
        <v>-13111.749999999942</v>
      </c>
      <c r="T486" s="436"/>
      <c r="U486" s="436"/>
      <c r="V486" s="439"/>
      <c r="W486" s="439"/>
      <c r="X486" s="439"/>
      <c r="Y486" s="439"/>
      <c r="Z486" s="439"/>
      <c r="AA486" s="439"/>
      <c r="AB486" s="439"/>
      <c r="AC486" s="439"/>
      <c r="AD486" s="439"/>
      <c r="AE486" s="439"/>
      <c r="AF486" s="465"/>
      <c r="AG486" s="439"/>
      <c r="AH486" s="439"/>
      <c r="AI486" s="439"/>
      <c r="AJ486" s="465"/>
      <c r="AK486" s="439"/>
      <c r="AL486" s="439"/>
      <c r="AM486" s="439"/>
      <c r="AN486" s="439"/>
    </row>
    <row r="487" spans="1:61" ht="15.75" customHeight="1" thickTop="1">
      <c r="B487" s="433"/>
      <c r="C487" s="481"/>
      <c r="D487" s="482"/>
      <c r="E487" s="439"/>
      <c r="F487" s="484">
        <f>F390+F326+F268</f>
        <v>0</v>
      </c>
      <c r="G487" s="528"/>
      <c r="H487" s="439"/>
      <c r="I487" s="484"/>
      <c r="J487" s="482"/>
      <c r="K487" s="481"/>
      <c r="L487" s="484"/>
      <c r="M487" s="481"/>
      <c r="N487" s="484"/>
      <c r="O487" s="481"/>
      <c r="P487" s="481"/>
      <c r="Q487" s="484"/>
      <c r="R487" s="481"/>
      <c r="S487" s="484"/>
      <c r="T487" s="436"/>
      <c r="U487" s="436"/>
      <c r="V487" s="439"/>
      <c r="W487" s="439"/>
      <c r="X487" s="439"/>
      <c r="Y487" s="439"/>
      <c r="Z487" s="439"/>
      <c r="AA487" s="439"/>
      <c r="AB487" s="439"/>
      <c r="AC487" s="439"/>
      <c r="AD487" s="439"/>
      <c r="AE487" s="439"/>
      <c r="AF487" s="465"/>
      <c r="AG487" s="439"/>
      <c r="AH487" s="439"/>
      <c r="AI487" s="439"/>
      <c r="AJ487" s="439"/>
      <c r="AK487" s="439"/>
      <c r="AL487" s="439"/>
      <c r="AM487" s="439"/>
      <c r="AN487" s="439"/>
    </row>
    <row r="488" spans="1:61" ht="15.75" customHeight="1">
      <c r="B488" s="433"/>
      <c r="F488" s="484">
        <f>F429+F307+F365</f>
        <v>0</v>
      </c>
      <c r="L488" s="484"/>
      <c r="T488" s="436"/>
      <c r="U488" s="436"/>
      <c r="V488" s="439"/>
      <c r="W488" s="436"/>
      <c r="X488" s="436"/>
      <c r="Y488" s="436"/>
      <c r="Z488" s="436"/>
      <c r="AA488" s="436"/>
      <c r="AB488" s="436"/>
      <c r="AC488" s="436"/>
      <c r="AD488" s="436"/>
      <c r="AE488" s="436"/>
      <c r="AF488" s="436"/>
      <c r="AG488" s="436"/>
      <c r="AH488" s="436"/>
      <c r="AI488" s="436"/>
      <c r="AJ488" s="436"/>
      <c r="AK488" s="436"/>
      <c r="AL488" s="436"/>
      <c r="AM488" s="436"/>
      <c r="AN488" s="436"/>
    </row>
    <row r="489" spans="1:61" ht="15.75" customHeight="1">
      <c r="B489" s="433"/>
      <c r="C489" s="648" t="s">
        <v>491</v>
      </c>
      <c r="F489" s="649"/>
      <c r="L489" s="649"/>
      <c r="T489" s="436"/>
      <c r="U489" s="436"/>
      <c r="V489" s="650" t="str">
        <f>C1</f>
        <v>Ste-Marie Auto</v>
      </c>
      <c r="W489" s="425"/>
      <c r="X489" s="425"/>
      <c r="Y489" s="425"/>
      <c r="Z489" s="425"/>
      <c r="AA489" s="425"/>
      <c r="AB489" s="425"/>
      <c r="AC489" s="425"/>
      <c r="AD489" s="425"/>
      <c r="AE489" s="651"/>
      <c r="AF489" s="651" t="s">
        <v>492</v>
      </c>
      <c r="AG489" s="425"/>
      <c r="AH489" s="425"/>
      <c r="AI489" s="425"/>
      <c r="AJ489" s="652"/>
      <c r="AK489" s="426"/>
      <c r="AL489" s="425"/>
      <c r="AM489" s="425"/>
      <c r="AN489" s="425"/>
      <c r="AO489" s="652" t="str">
        <f>$S$1</f>
        <v>Réalisé, Septembre 2026</v>
      </c>
      <c r="AP489" s="436"/>
      <c r="AQ489" s="436"/>
      <c r="AR489" s="436"/>
      <c r="AS489" s="436"/>
      <c r="AT489" s="436"/>
      <c r="AU489" s="436"/>
      <c r="AV489" s="436"/>
      <c r="AW489" s="436"/>
      <c r="AX489" s="436"/>
      <c r="AY489" s="436"/>
      <c r="AZ489" s="436"/>
      <c r="BA489" s="436"/>
      <c r="BB489" s="436"/>
      <c r="BC489" s="436"/>
      <c r="BD489" s="436"/>
      <c r="BE489" s="436"/>
      <c r="BF489" s="436"/>
      <c r="BG489" s="436"/>
      <c r="BH489" s="436"/>
      <c r="BI489" s="436"/>
    </row>
    <row r="490" spans="1:61" ht="15.75" customHeight="1" thickBot="1">
      <c r="B490" s="433"/>
      <c r="C490" s="648" t="s">
        <v>491</v>
      </c>
      <c r="T490" s="436"/>
      <c r="U490" s="436"/>
      <c r="V490" s="653"/>
      <c r="W490" s="435"/>
      <c r="X490" s="435"/>
      <c r="Y490" s="435"/>
      <c r="Z490" s="435"/>
      <c r="AA490" s="435"/>
      <c r="AB490" s="435"/>
      <c r="AC490" s="435"/>
      <c r="AD490" s="435"/>
      <c r="AE490" s="435"/>
      <c r="AF490" s="435"/>
      <c r="AG490" s="435"/>
      <c r="AH490" s="435"/>
      <c r="AI490" s="435"/>
      <c r="AJ490" s="435"/>
      <c r="AK490" s="435"/>
      <c r="AL490" s="436"/>
      <c r="AM490" s="436"/>
      <c r="AN490" s="436"/>
      <c r="AO490" s="436"/>
      <c r="AP490" s="436"/>
      <c r="AQ490" s="436"/>
      <c r="AR490" s="436"/>
      <c r="AS490" s="436"/>
      <c r="AT490" s="436"/>
      <c r="AU490" s="436"/>
      <c r="AV490" s="436"/>
      <c r="AW490" s="436"/>
      <c r="AX490" s="436"/>
      <c r="AY490" s="436"/>
      <c r="AZ490" s="436"/>
      <c r="BA490" s="436"/>
      <c r="BB490" s="436"/>
      <c r="BC490" s="436"/>
      <c r="BD490" s="436"/>
      <c r="BE490" s="436"/>
      <c r="BF490" s="436"/>
      <c r="BG490" s="436"/>
      <c r="BH490" s="436"/>
      <c r="BI490" s="436"/>
    </row>
    <row r="491" spans="1:61" ht="15.75" customHeight="1" thickTop="1" thickBot="1">
      <c r="A491" s="452" t="s">
        <v>493</v>
      </c>
      <c r="B491" s="433"/>
      <c r="C491" s="648" t="s">
        <v>491</v>
      </c>
      <c r="T491" s="436"/>
      <c r="U491" s="436"/>
      <c r="V491" s="654"/>
      <c r="W491" s="655"/>
      <c r="X491" s="656" t="s">
        <v>116</v>
      </c>
      <c r="Y491" s="657"/>
      <c r="Z491" s="658"/>
      <c r="AA491" s="659"/>
      <c r="AB491" s="657"/>
      <c r="AC491" s="658"/>
      <c r="AD491" s="659" t="s">
        <v>7</v>
      </c>
      <c r="AE491" s="657"/>
      <c r="AF491" s="658"/>
      <c r="AG491" s="659" t="s">
        <v>211</v>
      </c>
      <c r="AH491" s="657"/>
      <c r="AI491" s="658"/>
      <c r="AJ491" s="659" t="s">
        <v>117</v>
      </c>
      <c r="AK491" s="657"/>
      <c r="AL491" s="657"/>
      <c r="AM491" s="659" t="s">
        <v>118</v>
      </c>
      <c r="AN491" s="657"/>
      <c r="AO491" s="660"/>
      <c r="AP491" s="436"/>
      <c r="AQ491" s="436"/>
      <c r="AR491" s="436"/>
      <c r="AS491" s="436"/>
      <c r="AT491" s="436"/>
      <c r="AU491" s="436"/>
      <c r="AV491" s="436"/>
      <c r="AW491" s="436"/>
      <c r="AX491" s="436"/>
      <c r="AY491" s="436"/>
      <c r="AZ491" s="436"/>
      <c r="BA491" s="436"/>
      <c r="BB491" s="436"/>
      <c r="BC491" s="436"/>
      <c r="BD491" s="436"/>
      <c r="BE491" s="436"/>
      <c r="BF491" s="436"/>
      <c r="BG491" s="436"/>
      <c r="BH491" s="436"/>
      <c r="BI491" s="436"/>
    </row>
    <row r="492" spans="1:61" ht="15.75" customHeight="1">
      <c r="A492" s="452" t="s">
        <v>493</v>
      </c>
      <c r="B492" s="433"/>
      <c r="C492" s="648" t="s">
        <v>491</v>
      </c>
      <c r="T492" s="436"/>
      <c r="U492" s="436"/>
      <c r="V492" s="453"/>
      <c r="W492" s="630" t="s">
        <v>119</v>
      </c>
      <c r="X492" s="630" t="s">
        <v>120</v>
      </c>
      <c r="Y492" s="630" t="s">
        <v>121</v>
      </c>
      <c r="Z492" s="661" t="s">
        <v>122</v>
      </c>
      <c r="AA492" s="630"/>
      <c r="AB492" s="630"/>
      <c r="AC492" s="661"/>
      <c r="AD492" s="662" t="s">
        <v>120</v>
      </c>
      <c r="AE492" s="630" t="s">
        <v>121</v>
      </c>
      <c r="AF492" s="630" t="s">
        <v>122</v>
      </c>
      <c r="AG492" s="662" t="s">
        <v>123</v>
      </c>
      <c r="AH492" s="630" t="s">
        <v>124</v>
      </c>
      <c r="AI492" s="630" t="s">
        <v>125</v>
      </c>
      <c r="AJ492" s="662" t="s">
        <v>120</v>
      </c>
      <c r="AK492" s="630" t="s">
        <v>121</v>
      </c>
      <c r="AL492" s="630" t="s">
        <v>122</v>
      </c>
      <c r="AM492" s="663" t="s">
        <v>123</v>
      </c>
      <c r="AN492" s="630" t="s">
        <v>124</v>
      </c>
      <c r="AO492" s="573" t="s">
        <v>125</v>
      </c>
      <c r="AP492" s="436"/>
      <c r="AQ492" s="436"/>
      <c r="AR492" s="436"/>
      <c r="AS492" s="436"/>
      <c r="AT492" s="436"/>
      <c r="AU492" s="436"/>
      <c r="AV492" s="436"/>
      <c r="AW492" s="436"/>
      <c r="AX492" s="436"/>
      <c r="AY492" s="436"/>
      <c r="AZ492" s="436"/>
      <c r="BA492" s="436"/>
      <c r="BB492" s="436"/>
      <c r="BC492" s="436"/>
      <c r="BD492" s="436"/>
      <c r="BE492" s="436"/>
      <c r="BF492" s="436"/>
      <c r="BG492" s="436"/>
      <c r="BH492" s="436"/>
      <c r="BI492" s="436"/>
    </row>
    <row r="493" spans="1:61" ht="15.75" customHeight="1">
      <c r="A493" s="452" t="s">
        <v>14</v>
      </c>
      <c r="B493" s="433"/>
      <c r="C493" s="648" t="s">
        <v>491</v>
      </c>
      <c r="T493" s="436"/>
      <c r="U493" s="436"/>
      <c r="V493" s="542" t="s">
        <v>14</v>
      </c>
      <c r="W493" s="664"/>
      <c r="X493" s="664"/>
      <c r="Y493" s="664"/>
      <c r="Z493" s="665" t="e">
        <f>F5+F93+E268+E326+D390+#REF!</f>
        <v>#REF!</v>
      </c>
      <c r="AA493" s="664"/>
      <c r="AB493" s="664"/>
      <c r="AC493" s="665"/>
      <c r="AD493" s="666"/>
      <c r="AE493" s="667"/>
      <c r="AF493" s="665">
        <f>L5+L93+L173+K268+K326+J390+K448</f>
        <v>11196501.990000006</v>
      </c>
      <c r="AG493" s="666"/>
      <c r="AH493" s="667"/>
      <c r="AI493" s="668"/>
      <c r="AJ493" s="666"/>
      <c r="AK493" s="667"/>
      <c r="AL493" s="665">
        <f>Q5+Q93+Q173+P268+P326+O390+P448</f>
        <v>16454252.350000013</v>
      </c>
      <c r="AM493" s="669"/>
      <c r="AN493" s="667"/>
      <c r="AO493" s="670"/>
      <c r="AP493" s="436"/>
      <c r="AQ493" s="436"/>
      <c r="AR493" s="436"/>
      <c r="AS493" s="436"/>
      <c r="AT493" s="436"/>
      <c r="AU493" s="436"/>
      <c r="AV493" s="436"/>
      <c r="AW493" s="436"/>
      <c r="AX493" s="436"/>
      <c r="AY493" s="436"/>
      <c r="AZ493" s="436"/>
      <c r="BA493" s="436"/>
      <c r="BB493" s="436"/>
      <c r="BC493" s="436"/>
      <c r="BD493" s="436"/>
      <c r="BE493" s="436"/>
      <c r="BF493" s="436"/>
      <c r="BG493" s="436"/>
      <c r="BH493" s="436"/>
      <c r="BI493" s="436"/>
    </row>
    <row r="494" spans="1:61" ht="21" customHeight="1">
      <c r="A494" s="452" t="s">
        <v>126</v>
      </c>
      <c r="B494" s="433"/>
      <c r="C494" s="648" t="s">
        <v>491</v>
      </c>
      <c r="T494" s="436"/>
      <c r="U494" s="436"/>
      <c r="V494" s="671" t="s">
        <v>126</v>
      </c>
      <c r="W494" s="672"/>
      <c r="X494" s="673" t="e">
        <f>Z494/Z493</f>
        <v>#REF!</v>
      </c>
      <c r="Y494" s="672"/>
      <c r="Z494" s="674" t="e">
        <f>F27+F109+F268+F326+F390+#REF!</f>
        <v>#REF!</v>
      </c>
      <c r="AA494" s="672"/>
      <c r="AB494" s="672"/>
      <c r="AC494" s="674"/>
      <c r="AD494" s="673">
        <f>AF494/AF493</f>
        <v>5.0956039708613156E-2</v>
      </c>
      <c r="AE494" s="675"/>
      <c r="AF494" s="674">
        <f>L27+L109+L182+L268+L326+L390+L448</f>
        <v>570529.40000000654</v>
      </c>
      <c r="AG494" s="676"/>
      <c r="AH494" s="675" t="e">
        <f>AF494-Z494</f>
        <v>#REF!</v>
      </c>
      <c r="AI494" s="677" t="e">
        <f>AH494/Z494</f>
        <v>#REF!</v>
      </c>
      <c r="AJ494" s="673">
        <f>AL494/AL493</f>
        <v>5.0348758021813898E-2</v>
      </c>
      <c r="AK494" s="675"/>
      <c r="AL494" s="674">
        <f>Q27+Q109+Q182+Q268+Q326+Q390+Q448</f>
        <v>828451.17000001331</v>
      </c>
      <c r="AM494" s="678"/>
      <c r="AN494" s="675">
        <f>AF494-AL494</f>
        <v>-257921.77000000677</v>
      </c>
      <c r="AO494" s="679">
        <f>IF(AL494=0,0,AN494/AL494)</f>
        <v>-0.31133008116821492</v>
      </c>
      <c r="AP494" s="436"/>
      <c r="AQ494" s="436"/>
      <c r="AR494" s="436"/>
      <c r="AS494" s="436"/>
      <c r="AT494" s="436"/>
      <c r="AU494" s="436"/>
      <c r="AV494" s="436"/>
      <c r="AW494" s="436"/>
      <c r="AX494" s="436"/>
      <c r="AY494" s="436"/>
      <c r="AZ494" s="436"/>
      <c r="BA494" s="436"/>
      <c r="BB494" s="436"/>
      <c r="BC494" s="436"/>
      <c r="BD494" s="436"/>
      <c r="BE494" s="436"/>
      <c r="BF494" s="436"/>
      <c r="BG494" s="436"/>
      <c r="BH494" s="436"/>
      <c r="BI494" s="436"/>
    </row>
    <row r="495" spans="1:61" ht="15.75" customHeight="1">
      <c r="A495" s="452" t="s">
        <v>127</v>
      </c>
      <c r="B495" s="433"/>
      <c r="C495" s="648" t="s">
        <v>491</v>
      </c>
      <c r="T495" s="436"/>
      <c r="U495" s="436"/>
      <c r="V495" s="680" t="s">
        <v>127</v>
      </c>
      <c r="W495" s="681"/>
      <c r="X495" s="681"/>
      <c r="Y495" s="681"/>
      <c r="Z495" s="682"/>
      <c r="AA495" s="681"/>
      <c r="AB495" s="681"/>
      <c r="AC495" s="682"/>
      <c r="AD495" s="683"/>
      <c r="AE495" s="684"/>
      <c r="AF495" s="682"/>
      <c r="AG495" s="683"/>
      <c r="AH495" s="684"/>
      <c r="AI495" s="685"/>
      <c r="AJ495" s="683"/>
      <c r="AK495" s="684"/>
      <c r="AL495" s="682"/>
      <c r="AM495" s="686"/>
      <c r="AN495" s="684"/>
      <c r="AO495" s="687"/>
      <c r="AP495" s="436"/>
      <c r="AQ495" s="436"/>
      <c r="AR495" s="436"/>
      <c r="AS495" s="436"/>
      <c r="AT495" s="436"/>
      <c r="AU495" s="436"/>
      <c r="AV495" s="436"/>
      <c r="AW495" s="436"/>
      <c r="AX495" s="436"/>
      <c r="AY495" s="436"/>
      <c r="AZ495" s="436"/>
      <c r="BA495" s="436"/>
      <c r="BB495" s="436"/>
      <c r="BC495" s="436"/>
      <c r="BD495" s="436"/>
      <c r="BE495" s="436"/>
      <c r="BF495" s="436"/>
      <c r="BG495" s="436"/>
      <c r="BH495" s="436"/>
      <c r="BI495" s="436"/>
    </row>
    <row r="496" spans="1:61" ht="15.75" customHeight="1">
      <c r="A496" s="452" t="s">
        <v>30</v>
      </c>
      <c r="B496" s="433"/>
      <c r="C496" s="648" t="s">
        <v>491</v>
      </c>
      <c r="T496" s="436"/>
      <c r="U496" s="436"/>
      <c r="V496" s="541" t="s">
        <v>30</v>
      </c>
      <c r="W496" s="688" t="s">
        <v>128</v>
      </c>
      <c r="X496" s="681"/>
      <c r="Y496" s="689" t="e">
        <f t="shared" ref="Y496:Y505" si="83">Z496/(D$13+D$97)</f>
        <v>#DIV/0!</v>
      </c>
      <c r="Z496" s="682">
        <f t="shared" ref="Z496:Z502" si="84">+SUMIF($C:$C,$V496,F:F)</f>
        <v>0</v>
      </c>
      <c r="AA496" s="681"/>
      <c r="AB496" s="689"/>
      <c r="AC496" s="682"/>
      <c r="AD496" s="690"/>
      <c r="AE496" s="684">
        <f t="shared" ref="AE496:AE504" si="85">IF(AF496=0,0,AF496/(J$13+J$97))</f>
        <v>535.23099009900977</v>
      </c>
      <c r="AF496" s="682">
        <f t="shared" ref="AF496:AF502" si="86">+SUMIF($C:$C,$V496,L:L)</f>
        <v>54058.329999999987</v>
      </c>
      <c r="AG496" s="683" t="e">
        <f t="shared" ref="AG496:AH511" si="87">AE496-Y496</f>
        <v>#DIV/0!</v>
      </c>
      <c r="AH496" s="684">
        <f t="shared" si="87"/>
        <v>54058.329999999987</v>
      </c>
      <c r="AI496" s="685">
        <f t="shared" ref="AI496:AI505" si="88">IF(Z496=0,0,AH496/Z496)</f>
        <v>0</v>
      </c>
      <c r="AJ496" s="690"/>
      <c r="AK496" s="684">
        <f t="shared" ref="AK496:AK504" si="89">IF(AL496=0,0,AL496/(O$13+O$97))</f>
        <v>1116.3302631578945</v>
      </c>
      <c r="AL496" s="682">
        <f>SUMIFS([3]BV_Data_An_Prec!$AM:$AM,[3]BV_Data_An_Prec!$AQ:$AQ,$V496)</f>
        <v>84841.099999999977</v>
      </c>
      <c r="AM496" s="686">
        <f t="shared" ref="AM496:AN511" si="90">AE496-AK496</f>
        <v>-581.09927305888471</v>
      </c>
      <c r="AN496" s="684">
        <f t="shared" si="90"/>
        <v>-30782.76999999999</v>
      </c>
      <c r="AO496" s="691">
        <f t="shared" ref="AO496:AO553" si="91">IF(AL496=0,0,AN496/AL496)</f>
        <v>-0.36282851118149101</v>
      </c>
      <c r="AP496" s="436"/>
      <c r="AQ496" s="436"/>
      <c r="AR496" s="433"/>
      <c r="AS496" s="436"/>
      <c r="AT496" s="436"/>
      <c r="AU496" s="436"/>
      <c r="AV496" s="436"/>
      <c r="AW496" s="436"/>
      <c r="AX496" s="436"/>
      <c r="AY496" s="436"/>
      <c r="AZ496" s="436"/>
      <c r="BA496" s="436"/>
      <c r="BB496" s="436"/>
      <c r="BC496" s="436"/>
      <c r="BD496" s="436"/>
      <c r="BE496" s="436"/>
      <c r="BF496" s="436"/>
      <c r="BG496" s="436"/>
      <c r="BH496" s="436"/>
      <c r="BI496" s="436"/>
    </row>
    <row r="497" spans="1:61" ht="15.75" customHeight="1">
      <c r="A497" s="452" t="s">
        <v>31</v>
      </c>
      <c r="B497" s="433"/>
      <c r="C497" s="648" t="s">
        <v>491</v>
      </c>
      <c r="T497" s="436"/>
      <c r="U497" s="436"/>
      <c r="V497" s="542" t="s">
        <v>31</v>
      </c>
      <c r="W497" s="692" t="s">
        <v>129</v>
      </c>
      <c r="X497" s="664"/>
      <c r="Y497" s="693" t="e">
        <f t="shared" si="83"/>
        <v>#DIV/0!</v>
      </c>
      <c r="Z497" s="665">
        <f t="shared" si="84"/>
        <v>0</v>
      </c>
      <c r="AA497" s="664"/>
      <c r="AB497" s="693"/>
      <c r="AC497" s="665"/>
      <c r="AD497" s="694"/>
      <c r="AE497" s="667">
        <f t="shared" si="85"/>
        <v>165.07564356435637</v>
      </c>
      <c r="AF497" s="665">
        <f t="shared" si="86"/>
        <v>16672.639999999992</v>
      </c>
      <c r="AG497" s="666" t="e">
        <f t="shared" si="87"/>
        <v>#DIV/0!</v>
      </c>
      <c r="AH497" s="667">
        <f t="shared" si="87"/>
        <v>16672.639999999992</v>
      </c>
      <c r="AI497" s="695">
        <f t="shared" si="88"/>
        <v>0</v>
      </c>
      <c r="AJ497" s="694"/>
      <c r="AK497" s="667">
        <f t="shared" si="89"/>
        <v>278.6752631578949</v>
      </c>
      <c r="AL497" s="665">
        <f>SUMIFS([3]BV_Data_An_Prec!$AM:$AM,[3]BV_Data_An_Prec!$AQ:$AQ,$V497)</f>
        <v>21179.320000000011</v>
      </c>
      <c r="AM497" s="669">
        <f t="shared" si="90"/>
        <v>-113.59961959353853</v>
      </c>
      <c r="AN497" s="667">
        <f t="shared" si="90"/>
        <v>-4506.6800000000185</v>
      </c>
      <c r="AO497" s="670">
        <f t="shared" si="91"/>
        <v>-0.21278681279663447</v>
      </c>
      <c r="AP497" s="436"/>
      <c r="AQ497" s="436"/>
      <c r="AR497" s="439"/>
      <c r="AS497" s="436"/>
      <c r="AT497" s="436"/>
      <c r="AU497" s="436"/>
      <c r="AV497" s="436"/>
      <c r="AW497" s="436"/>
      <c r="AX497" s="436"/>
      <c r="AY497" s="436"/>
      <c r="AZ497" s="436"/>
      <c r="BA497" s="436"/>
      <c r="BB497" s="436"/>
      <c r="BC497" s="436"/>
      <c r="BD497" s="436"/>
      <c r="BE497" s="436"/>
      <c r="BF497" s="436"/>
      <c r="BG497" s="436"/>
      <c r="BH497" s="436"/>
      <c r="BI497" s="436"/>
    </row>
    <row r="498" spans="1:61" ht="15.75" customHeight="1">
      <c r="A498" s="452" t="s">
        <v>32</v>
      </c>
      <c r="B498" s="433"/>
      <c r="C498" s="648" t="s">
        <v>491</v>
      </c>
      <c r="T498" s="436"/>
      <c r="U498" s="436"/>
      <c r="V498" s="541" t="s">
        <v>32</v>
      </c>
      <c r="W498" s="688" t="s">
        <v>130</v>
      </c>
      <c r="X498" s="681"/>
      <c r="Y498" s="689" t="e">
        <f t="shared" si="83"/>
        <v>#DIV/0!</v>
      </c>
      <c r="Z498" s="682">
        <f t="shared" si="84"/>
        <v>0</v>
      </c>
      <c r="AA498" s="681"/>
      <c r="AB498" s="689"/>
      <c r="AC498" s="682"/>
      <c r="AD498" s="690"/>
      <c r="AE498" s="684">
        <f t="shared" si="85"/>
        <v>275.1953465346532</v>
      </c>
      <c r="AF498" s="682">
        <f t="shared" si="86"/>
        <v>27794.729999999974</v>
      </c>
      <c r="AG498" s="683" t="e">
        <f t="shared" si="87"/>
        <v>#DIV/0!</v>
      </c>
      <c r="AH498" s="684">
        <f t="shared" si="87"/>
        <v>27794.729999999974</v>
      </c>
      <c r="AI498" s="685">
        <f t="shared" si="88"/>
        <v>0</v>
      </c>
      <c r="AJ498" s="690"/>
      <c r="AK498" s="684">
        <f t="shared" si="89"/>
        <v>-72.434473684210502</v>
      </c>
      <c r="AL498" s="682">
        <f>SUMIFS([3]BV_Data_An_Prec!$AM:$AM,[3]BV_Data_An_Prec!$AQ:$AQ,$V498)</f>
        <v>-5505.0199999999977</v>
      </c>
      <c r="AM498" s="686">
        <f t="shared" si="90"/>
        <v>347.6298202188637</v>
      </c>
      <c r="AN498" s="684">
        <f t="shared" si="90"/>
        <v>33299.749999999971</v>
      </c>
      <c r="AO498" s="691">
        <f t="shared" si="91"/>
        <v>-6.0489789319566478</v>
      </c>
      <c r="AP498" s="436"/>
      <c r="AQ498" s="436"/>
      <c r="AR498" s="439"/>
      <c r="AS498" s="436"/>
      <c r="AT498" s="436"/>
      <c r="AU498" s="436"/>
      <c r="AV498" s="436"/>
      <c r="AW498" s="436"/>
      <c r="AX498" s="436"/>
      <c r="AY498" s="436"/>
      <c r="AZ498" s="436"/>
      <c r="BA498" s="436"/>
      <c r="BB498" s="436"/>
      <c r="BC498" s="436"/>
      <c r="BD498" s="436"/>
      <c r="BE498" s="436"/>
      <c r="BF498" s="436"/>
      <c r="BG498" s="436"/>
      <c r="BH498" s="436"/>
      <c r="BI498" s="436"/>
    </row>
    <row r="499" spans="1:61" ht="15.75" customHeight="1">
      <c r="A499" s="452" t="s">
        <v>33</v>
      </c>
      <c r="B499" s="433"/>
      <c r="C499" s="648" t="s">
        <v>491</v>
      </c>
      <c r="T499" s="436"/>
      <c r="U499" s="436"/>
      <c r="V499" s="541" t="s">
        <v>33</v>
      </c>
      <c r="W499" s="688" t="s">
        <v>131</v>
      </c>
      <c r="X499" s="681"/>
      <c r="Y499" s="689" t="e">
        <f t="shared" si="83"/>
        <v>#DIV/0!</v>
      </c>
      <c r="Z499" s="682">
        <f t="shared" si="84"/>
        <v>0</v>
      </c>
      <c r="AA499" s="681"/>
      <c r="AB499" s="689"/>
      <c r="AC499" s="682"/>
      <c r="AD499" s="690"/>
      <c r="AE499" s="684">
        <f t="shared" si="85"/>
        <v>7.7640594059405768</v>
      </c>
      <c r="AF499" s="682">
        <f t="shared" si="86"/>
        <v>784.16999999999825</v>
      </c>
      <c r="AG499" s="683" t="e">
        <f t="shared" si="87"/>
        <v>#DIV/0!</v>
      </c>
      <c r="AH499" s="684">
        <f t="shared" si="87"/>
        <v>784.16999999999825</v>
      </c>
      <c r="AI499" s="685">
        <f t="shared" si="88"/>
        <v>0</v>
      </c>
      <c r="AJ499" s="690"/>
      <c r="AK499" s="684">
        <f t="shared" si="89"/>
        <v>6.2107894736842102</v>
      </c>
      <c r="AL499" s="682">
        <f>SUMIFS([3]BV_Data_An_Prec!$AM:$AM,[3]BV_Data_An_Prec!$AQ:$AQ,$V499)</f>
        <v>472.02</v>
      </c>
      <c r="AM499" s="686">
        <f t="shared" si="90"/>
        <v>1.5532699322563666</v>
      </c>
      <c r="AN499" s="684">
        <f t="shared" si="90"/>
        <v>312.14999999999827</v>
      </c>
      <c r="AO499" s="691">
        <f t="shared" si="91"/>
        <v>0.66130672429133996</v>
      </c>
      <c r="AP499" s="436"/>
      <c r="AQ499" s="436"/>
      <c r="AR499" s="439"/>
      <c r="AS499" s="436"/>
      <c r="AT499" s="436"/>
      <c r="AU499" s="436"/>
      <c r="AV499" s="436"/>
      <c r="AW499" s="436"/>
      <c r="AX499" s="436"/>
      <c r="AY499" s="436"/>
      <c r="AZ499" s="436"/>
      <c r="BA499" s="436"/>
      <c r="BB499" s="436"/>
      <c r="BC499" s="436"/>
      <c r="BD499" s="436"/>
      <c r="BE499" s="436"/>
      <c r="BF499" s="436"/>
      <c r="BG499" s="436"/>
      <c r="BH499" s="436"/>
      <c r="BI499" s="436"/>
    </row>
    <row r="500" spans="1:61" ht="15.75" customHeight="1">
      <c r="A500" s="452" t="s">
        <v>34</v>
      </c>
      <c r="B500" s="433"/>
      <c r="C500" s="648" t="s">
        <v>491</v>
      </c>
      <c r="T500" s="436"/>
      <c r="U500" s="436"/>
      <c r="V500" s="542" t="s">
        <v>34</v>
      </c>
      <c r="W500" s="692"/>
      <c r="X500" s="664"/>
      <c r="Y500" s="693" t="e">
        <f t="shared" si="83"/>
        <v>#DIV/0!</v>
      </c>
      <c r="Z500" s="665">
        <f t="shared" si="84"/>
        <v>0</v>
      </c>
      <c r="AA500" s="664"/>
      <c r="AB500" s="693"/>
      <c r="AC500" s="665"/>
      <c r="AD500" s="694"/>
      <c r="AE500" s="667">
        <f t="shared" si="85"/>
        <v>31.036138613861382</v>
      </c>
      <c r="AF500" s="665">
        <f t="shared" si="86"/>
        <v>3134.6499999999996</v>
      </c>
      <c r="AG500" s="666" t="e">
        <f t="shared" si="87"/>
        <v>#DIV/0!</v>
      </c>
      <c r="AH500" s="667">
        <f t="shared" si="87"/>
        <v>3134.6499999999996</v>
      </c>
      <c r="AI500" s="695">
        <f t="shared" si="88"/>
        <v>0</v>
      </c>
      <c r="AJ500" s="694"/>
      <c r="AK500" s="667">
        <f t="shared" si="89"/>
        <v>0</v>
      </c>
      <c r="AL500" s="665">
        <f>SUMIFS([3]BV_Data_An_Prec!$AM:$AM,[3]BV_Data_An_Prec!$AQ:$AQ,$V500)</f>
        <v>0</v>
      </c>
      <c r="AM500" s="669">
        <f t="shared" si="90"/>
        <v>31.036138613861382</v>
      </c>
      <c r="AN500" s="667">
        <f t="shared" si="90"/>
        <v>3134.6499999999996</v>
      </c>
      <c r="AO500" s="670">
        <f t="shared" si="91"/>
        <v>0</v>
      </c>
      <c r="AP500" s="436"/>
      <c r="AQ500" s="436"/>
      <c r="AR500" s="439"/>
      <c r="AS500" s="436"/>
      <c r="AT500" s="436"/>
      <c r="AU500" s="436"/>
      <c r="AV500" s="436"/>
      <c r="AW500" s="436"/>
      <c r="AX500" s="436"/>
      <c r="AY500" s="436"/>
      <c r="AZ500" s="436"/>
      <c r="BA500" s="436"/>
      <c r="BB500" s="436"/>
      <c r="BC500" s="436"/>
      <c r="BD500" s="436"/>
      <c r="BE500" s="436"/>
      <c r="BF500" s="436"/>
      <c r="BG500" s="436"/>
      <c r="BH500" s="436"/>
      <c r="BI500" s="436"/>
    </row>
    <row r="501" spans="1:61" ht="15.75" customHeight="1">
      <c r="A501" s="452" t="s">
        <v>35</v>
      </c>
      <c r="B501" s="433"/>
      <c r="C501" s="648" t="s">
        <v>491</v>
      </c>
      <c r="T501" s="436"/>
      <c r="U501" s="436"/>
      <c r="V501" s="541" t="s">
        <v>35</v>
      </c>
      <c r="W501" s="688" t="s">
        <v>132</v>
      </c>
      <c r="X501" s="685"/>
      <c r="Y501" s="689" t="e">
        <f t="shared" si="83"/>
        <v>#DIV/0!</v>
      </c>
      <c r="Z501" s="682">
        <f t="shared" si="84"/>
        <v>0</v>
      </c>
      <c r="AA501" s="685"/>
      <c r="AB501" s="689"/>
      <c r="AC501" s="682"/>
      <c r="AD501" s="690"/>
      <c r="AE501" s="684">
        <f t="shared" si="85"/>
        <v>-548.20772277227718</v>
      </c>
      <c r="AF501" s="682">
        <f t="shared" si="86"/>
        <v>-55368.979999999996</v>
      </c>
      <c r="AG501" s="683" t="e">
        <f t="shared" si="87"/>
        <v>#DIV/0!</v>
      </c>
      <c r="AH501" s="684">
        <f t="shared" si="87"/>
        <v>-55368.979999999996</v>
      </c>
      <c r="AI501" s="685">
        <f t="shared" si="88"/>
        <v>0</v>
      </c>
      <c r="AJ501" s="690"/>
      <c r="AK501" s="684">
        <f t="shared" si="89"/>
        <v>-1186.0940789473686</v>
      </c>
      <c r="AL501" s="682">
        <f>SUMIFS([3]BV_Data_An_Prec!$AM:$AM,[3]BV_Data_An_Prec!$AQ:$AQ,$V501)</f>
        <v>-90143.150000000009</v>
      </c>
      <c r="AM501" s="686">
        <f t="shared" si="90"/>
        <v>637.88635617509146</v>
      </c>
      <c r="AN501" s="684">
        <f t="shared" si="90"/>
        <v>34774.170000000013</v>
      </c>
      <c r="AO501" s="691">
        <f t="shared" si="91"/>
        <v>-0.38576608427817322</v>
      </c>
      <c r="AP501" s="436"/>
      <c r="AQ501" s="436"/>
      <c r="AR501" s="439"/>
      <c r="AS501" s="436"/>
      <c r="AT501" s="436"/>
      <c r="AU501" s="436"/>
      <c r="AV501" s="436"/>
      <c r="AW501" s="436"/>
      <c r="AX501" s="436"/>
      <c r="AY501" s="436"/>
      <c r="AZ501" s="436"/>
      <c r="BA501" s="436"/>
      <c r="BB501" s="436"/>
      <c r="BC501" s="436"/>
      <c r="BD501" s="436"/>
      <c r="BE501" s="436"/>
      <c r="BF501" s="436"/>
      <c r="BG501" s="436"/>
      <c r="BH501" s="436"/>
      <c r="BI501" s="436"/>
    </row>
    <row r="502" spans="1:61" ht="15.75" customHeight="1">
      <c r="A502" s="452" t="s">
        <v>36</v>
      </c>
      <c r="B502" s="433"/>
      <c r="C502" s="648" t="s">
        <v>491</v>
      </c>
      <c r="T502" s="436"/>
      <c r="U502" s="436"/>
      <c r="V502" s="541" t="s">
        <v>36</v>
      </c>
      <c r="W502" s="688" t="s">
        <v>133</v>
      </c>
      <c r="X502" s="681"/>
      <c r="Y502" s="689" t="e">
        <f t="shared" si="83"/>
        <v>#DIV/0!</v>
      </c>
      <c r="Z502" s="682">
        <f t="shared" si="84"/>
        <v>0</v>
      </c>
      <c r="AA502" s="681"/>
      <c r="AB502" s="689"/>
      <c r="AC502" s="682"/>
      <c r="AD502" s="690"/>
      <c r="AE502" s="684">
        <f t="shared" si="85"/>
        <v>487.26128712871269</v>
      </c>
      <c r="AF502" s="682">
        <f t="shared" si="86"/>
        <v>49213.389999999985</v>
      </c>
      <c r="AG502" s="683" t="e">
        <f t="shared" si="87"/>
        <v>#DIV/0!</v>
      </c>
      <c r="AH502" s="684">
        <f t="shared" si="87"/>
        <v>49213.389999999985</v>
      </c>
      <c r="AI502" s="685">
        <f t="shared" si="88"/>
        <v>0</v>
      </c>
      <c r="AJ502" s="690"/>
      <c r="AK502" s="684">
        <f t="shared" si="89"/>
        <v>766.22947368420978</v>
      </c>
      <c r="AL502" s="682">
        <f>SUMIFS([3]BV_Data_An_Prec!$AM:$AM,[3]BV_Data_An_Prec!$AQ:$AQ,$V502)</f>
        <v>58233.439999999944</v>
      </c>
      <c r="AM502" s="686">
        <f t="shared" si="90"/>
        <v>-278.96818655549708</v>
      </c>
      <c r="AN502" s="684">
        <f t="shared" si="90"/>
        <v>-9020.0499999999593</v>
      </c>
      <c r="AO502" s="691">
        <f t="shared" si="91"/>
        <v>-0.15489467907099372</v>
      </c>
      <c r="AP502" s="436"/>
      <c r="AQ502" s="436"/>
      <c r="AR502" s="439"/>
      <c r="AS502" s="436"/>
      <c r="AT502" s="436"/>
      <c r="AU502" s="436"/>
      <c r="AV502" s="436"/>
      <c r="AW502" s="436"/>
      <c r="AX502" s="436"/>
      <c r="AY502" s="436"/>
      <c r="AZ502" s="436"/>
      <c r="BA502" s="436"/>
      <c r="BB502" s="436"/>
      <c r="BC502" s="436"/>
      <c r="BD502" s="436"/>
      <c r="BE502" s="436"/>
      <c r="BF502" s="436"/>
      <c r="BG502" s="436"/>
      <c r="BH502" s="436"/>
      <c r="BI502" s="436"/>
    </row>
    <row r="503" spans="1:61" ht="15.75" customHeight="1">
      <c r="A503" s="452" t="s">
        <v>19</v>
      </c>
      <c r="B503" s="433"/>
      <c r="C503" s="648" t="s">
        <v>491</v>
      </c>
      <c r="T503" s="436"/>
      <c r="U503" s="436"/>
      <c r="V503" s="541" t="s">
        <v>303</v>
      </c>
      <c r="W503" s="688"/>
      <c r="X503" s="685"/>
      <c r="Y503" s="689" t="e">
        <f t="shared" si="83"/>
        <v>#DIV/0!</v>
      </c>
      <c r="Z503" s="682">
        <f t="shared" ref="Z503:Z505" si="92">IFERROR(SUMIF($C:$C,$V503,F:F),0)</f>
        <v>0</v>
      </c>
      <c r="AA503" s="681"/>
      <c r="AB503" s="689"/>
      <c r="AC503" s="682"/>
      <c r="AD503" s="690"/>
      <c r="AE503" s="684">
        <f t="shared" si="85"/>
        <v>-1270.494455445544</v>
      </c>
      <c r="AF503" s="682">
        <f t="shared" ref="AF503:AF505" si="93">IFERROR(SUMIF($C:$C,$V503,L:L),0)</f>
        <v>-128319.93999999994</v>
      </c>
      <c r="AG503" s="683" t="e">
        <f t="shared" si="87"/>
        <v>#DIV/0!</v>
      </c>
      <c r="AH503" s="684">
        <f t="shared" si="87"/>
        <v>-128319.93999999994</v>
      </c>
      <c r="AI503" s="685">
        <f t="shared" si="88"/>
        <v>0</v>
      </c>
      <c r="AJ503" s="690"/>
      <c r="AK503" s="684">
        <f t="shared" si="89"/>
        <v>-2902.7215789473694</v>
      </c>
      <c r="AL503" s="682">
        <f>SUMIFS([3]BV_Data_An_Prec!$AM:$AM,[3]BV_Data_An_Prec!$AQ:$AQ,$V503)</f>
        <v>-220606.84000000008</v>
      </c>
      <c r="AM503" s="686">
        <f t="shared" si="90"/>
        <v>1632.2271235018254</v>
      </c>
      <c r="AN503" s="684">
        <f t="shared" si="90"/>
        <v>92286.90000000014</v>
      </c>
      <c r="AO503" s="691">
        <f t="shared" si="91"/>
        <v>-0.41833199732157039</v>
      </c>
      <c r="AP503" s="436"/>
      <c r="AQ503" s="436"/>
      <c r="AR503" s="439"/>
      <c r="AS503" s="436"/>
      <c r="AT503" s="436"/>
      <c r="AU503" s="436"/>
      <c r="AV503" s="436"/>
      <c r="AW503" s="436"/>
      <c r="AX503" s="436"/>
      <c r="AY503" s="436"/>
      <c r="AZ503" s="436"/>
      <c r="BA503" s="436"/>
      <c r="BB503" s="436"/>
      <c r="BC503" s="436"/>
      <c r="BD503" s="436"/>
      <c r="BE503" s="436"/>
      <c r="BF503" s="436"/>
      <c r="BG503" s="436"/>
      <c r="BH503" s="436"/>
      <c r="BI503" s="436"/>
    </row>
    <row r="504" spans="1:61" ht="15.75" customHeight="1">
      <c r="A504" s="452" t="s">
        <v>19</v>
      </c>
      <c r="B504" s="433"/>
      <c r="C504" s="648" t="s">
        <v>491</v>
      </c>
      <c r="T504" s="436"/>
      <c r="U504" s="436"/>
      <c r="V504" s="541" t="s">
        <v>304</v>
      </c>
      <c r="W504" s="688"/>
      <c r="X504" s="685"/>
      <c r="Y504" s="689" t="e">
        <f t="shared" si="83"/>
        <v>#DIV/0!</v>
      </c>
      <c r="Z504" s="682">
        <f t="shared" si="92"/>
        <v>0</v>
      </c>
      <c r="AA504" s="681"/>
      <c r="AB504" s="689"/>
      <c r="AC504" s="682"/>
      <c r="AD504" s="690"/>
      <c r="AE504" s="684">
        <f t="shared" si="85"/>
        <v>-115.21386138613869</v>
      </c>
      <c r="AF504" s="682">
        <f t="shared" si="93"/>
        <v>-11636.600000000008</v>
      </c>
      <c r="AG504" s="683" t="e">
        <f t="shared" si="87"/>
        <v>#DIV/0!</v>
      </c>
      <c r="AH504" s="684">
        <f t="shared" si="87"/>
        <v>-11636.600000000008</v>
      </c>
      <c r="AI504" s="685">
        <f t="shared" si="88"/>
        <v>0</v>
      </c>
      <c r="AJ504" s="690"/>
      <c r="AK504" s="684">
        <f t="shared" si="89"/>
        <v>0</v>
      </c>
      <c r="AL504" s="682">
        <f>SUMIFS([3]BV_Data_An_Prec!$AM:$AM,[3]BV_Data_An_Prec!$AQ:$AQ,$V504)</f>
        <v>0</v>
      </c>
      <c r="AM504" s="686">
        <f t="shared" si="90"/>
        <v>-115.21386138613869</v>
      </c>
      <c r="AN504" s="684">
        <f t="shared" si="90"/>
        <v>-11636.600000000008</v>
      </c>
      <c r="AO504" s="691">
        <f t="shared" si="91"/>
        <v>0</v>
      </c>
      <c r="AP504" s="436"/>
      <c r="AQ504" s="436"/>
      <c r="AR504" s="439"/>
      <c r="AS504" s="436"/>
      <c r="AT504" s="436"/>
      <c r="AU504" s="436"/>
      <c r="AV504" s="436"/>
      <c r="AW504" s="436"/>
      <c r="AX504" s="436"/>
      <c r="AY504" s="436"/>
      <c r="AZ504" s="436"/>
      <c r="BA504" s="436"/>
      <c r="BB504" s="436"/>
      <c r="BC504" s="436"/>
      <c r="BD504" s="436"/>
      <c r="BE504" s="436"/>
      <c r="BF504" s="436"/>
      <c r="BG504" s="436"/>
      <c r="BH504" s="436"/>
      <c r="BI504" s="436"/>
    </row>
    <row r="505" spans="1:61" ht="20.25" hidden="1" customHeight="1">
      <c r="A505" s="452" t="s">
        <v>19</v>
      </c>
      <c r="B505" s="433"/>
      <c r="C505" s="648" t="s">
        <v>491</v>
      </c>
      <c r="T505" s="436"/>
      <c r="U505" s="436"/>
      <c r="V505" s="541" t="s">
        <v>19</v>
      </c>
      <c r="W505" s="688" t="s">
        <v>133</v>
      </c>
      <c r="X505" s="681"/>
      <c r="Y505" s="689" t="e">
        <f t="shared" si="83"/>
        <v>#DIV/0!</v>
      </c>
      <c r="Z505" s="682">
        <f t="shared" si="92"/>
        <v>0</v>
      </c>
      <c r="AA505" s="681"/>
      <c r="AB505" s="689"/>
      <c r="AC505" s="682"/>
      <c r="AD505" s="690"/>
      <c r="AE505" s="684">
        <f>IF(AF505=0,0,AF505/(J$13+J$13))</f>
        <v>0</v>
      </c>
      <c r="AF505" s="682">
        <f t="shared" si="93"/>
        <v>0</v>
      </c>
      <c r="AG505" s="683" t="e">
        <f t="shared" si="87"/>
        <v>#DIV/0!</v>
      </c>
      <c r="AH505" s="684">
        <f t="shared" si="87"/>
        <v>0</v>
      </c>
      <c r="AI505" s="685">
        <f t="shared" si="88"/>
        <v>0</v>
      </c>
      <c r="AJ505" s="690"/>
      <c r="AK505" s="684">
        <f>IF(AL505=0,0,AL505/(P$13+P$13))</f>
        <v>0</v>
      </c>
      <c r="AL505" s="682">
        <f>IFERROR(SUMIF($C:$C,$V505,R:R),0)</f>
        <v>0</v>
      </c>
      <c r="AM505" s="686" t="e">
        <f>AE505-Y505</f>
        <v>#DIV/0!</v>
      </c>
      <c r="AN505" s="684">
        <f t="shared" si="90"/>
        <v>0</v>
      </c>
      <c r="AO505" s="691">
        <f t="shared" si="91"/>
        <v>0</v>
      </c>
      <c r="AP505" s="436"/>
      <c r="AQ505" s="436"/>
      <c r="AR505" s="439"/>
      <c r="AS505" s="436"/>
      <c r="AT505" s="436"/>
      <c r="AU505" s="436"/>
      <c r="AV505" s="436"/>
      <c r="AW505" s="436"/>
      <c r="AX505" s="436"/>
      <c r="AY505" s="436"/>
      <c r="AZ505" s="436"/>
      <c r="BA505" s="436"/>
      <c r="BB505" s="436"/>
      <c r="BC505" s="436"/>
      <c r="BD505" s="436"/>
      <c r="BE505" s="436"/>
      <c r="BF505" s="436"/>
      <c r="BG505" s="436"/>
      <c r="BH505" s="436"/>
      <c r="BI505" s="436"/>
    </row>
    <row r="506" spans="1:61" ht="21" customHeight="1">
      <c r="A506" s="452" t="s">
        <v>37</v>
      </c>
      <c r="B506" s="433"/>
      <c r="C506" s="648" t="s">
        <v>491</v>
      </c>
      <c r="T506" s="436"/>
      <c r="U506" s="436"/>
      <c r="V506" s="696" t="s">
        <v>37</v>
      </c>
      <c r="W506" s="697"/>
      <c r="X506" s="698" t="e">
        <f>Z506/Z494</f>
        <v>#REF!</v>
      </c>
      <c r="Y506" s="697"/>
      <c r="Z506" s="699">
        <f>SUM(Z496:Z505)</f>
        <v>0</v>
      </c>
      <c r="AA506" s="698"/>
      <c r="AB506" s="697"/>
      <c r="AC506" s="699"/>
      <c r="AD506" s="700">
        <f>AF506/AF494</f>
        <v>-7.6538755058020699E-2</v>
      </c>
      <c r="AE506" s="701"/>
      <c r="AF506" s="699">
        <f>SUM(AF496:AF505)</f>
        <v>-43667.610000000015</v>
      </c>
      <c r="AG506" s="702"/>
      <c r="AH506" s="701">
        <f t="shared" si="87"/>
        <v>-43667.610000000015</v>
      </c>
      <c r="AI506" s="698" t="e">
        <f>AH506/Z506</f>
        <v>#DIV/0!</v>
      </c>
      <c r="AJ506" s="700">
        <f>AL506/AL494</f>
        <v>-0.18290653147366276</v>
      </c>
      <c r="AK506" s="701"/>
      <c r="AL506" s="699">
        <f>SUM(AL496:AL505)</f>
        <v>-151529.13000000018</v>
      </c>
      <c r="AM506" s="703"/>
      <c r="AN506" s="701">
        <f t="shared" si="90"/>
        <v>107861.52000000016</v>
      </c>
      <c r="AO506" s="679">
        <f t="shared" si="91"/>
        <v>-0.7118203608771464</v>
      </c>
      <c r="AP506" s="436"/>
      <c r="AQ506" s="436"/>
      <c r="AR506" s="439"/>
      <c r="AS506" s="436"/>
      <c r="AT506" s="436"/>
      <c r="AU506" s="436"/>
      <c r="AV506" s="436"/>
      <c r="AW506" s="436"/>
      <c r="AX506" s="436"/>
      <c r="AY506" s="436"/>
      <c r="AZ506" s="436"/>
      <c r="BA506" s="436"/>
      <c r="BB506" s="436"/>
      <c r="BC506" s="436"/>
      <c r="BD506" s="436"/>
      <c r="BE506" s="436"/>
      <c r="BF506" s="436"/>
      <c r="BG506" s="436"/>
      <c r="BH506" s="436"/>
      <c r="BI506" s="436"/>
    </row>
    <row r="507" spans="1:61" ht="15.75" customHeight="1">
      <c r="A507" s="452" t="s">
        <v>134</v>
      </c>
      <c r="B507" s="433"/>
      <c r="C507" s="648" t="s">
        <v>491</v>
      </c>
      <c r="T507" s="436"/>
      <c r="U507" s="436"/>
      <c r="V507" s="541" t="s">
        <v>134</v>
      </c>
      <c r="W507" s="688" t="s">
        <v>135</v>
      </c>
      <c r="X507" s="681"/>
      <c r="Y507" s="681"/>
      <c r="Z507" s="682">
        <f t="array" ref="Z507">+INDEX('[3]Budget original'!$A$2:$AO$501,MATCH($A507,'[3]Budget original'!$A$2:$A$501,0),MATCH(F$2,'[3]Budget original'!$A$2:$AO$2,0))</f>
        <v>0</v>
      </c>
      <c r="AA507" s="681"/>
      <c r="AB507" s="681"/>
      <c r="AC507" s="682"/>
      <c r="AD507" s="690"/>
      <c r="AE507" s="689"/>
      <c r="AF507" s="682">
        <f>SUMIFS([3]BV_Data_An_Cour!$AM:$AM,[3]BV_Data_An_Cour!$AQ:$AQ,$V507)</f>
        <v>11538.489999999994</v>
      </c>
      <c r="AG507" s="683"/>
      <c r="AH507" s="684">
        <f t="shared" si="87"/>
        <v>11538.489999999994</v>
      </c>
      <c r="AI507" s="685">
        <f t="shared" ref="AI507:AI519" si="94">IF(Z507=0,0,AH507/Z507)</f>
        <v>0</v>
      </c>
      <c r="AJ507" s="690"/>
      <c r="AK507" s="689"/>
      <c r="AL507" s="682">
        <f>SUMIFS([3]BV_Data_An_Prec!$AM:$AM,[3]BV_Data_An_Prec!$AQ:$AQ,$V507)</f>
        <v>2522.1799999999821</v>
      </c>
      <c r="AM507" s="686"/>
      <c r="AN507" s="684">
        <f t="shared" si="90"/>
        <v>9016.3100000000122</v>
      </c>
      <c r="AO507" s="691">
        <f t="shared" si="91"/>
        <v>3.5748083007557256</v>
      </c>
      <c r="AP507" s="436"/>
      <c r="AQ507" s="436"/>
      <c r="AR507" s="436"/>
      <c r="AS507" s="436"/>
      <c r="AT507" s="436"/>
      <c r="AU507" s="436"/>
      <c r="AV507" s="436"/>
      <c r="AW507" s="436"/>
      <c r="AX507" s="436"/>
      <c r="AY507" s="436"/>
      <c r="AZ507" s="436"/>
      <c r="BA507" s="436"/>
      <c r="BB507" s="436"/>
      <c r="BC507" s="436"/>
      <c r="BD507" s="436"/>
      <c r="BE507" s="436"/>
      <c r="BF507" s="436"/>
      <c r="BG507" s="436"/>
      <c r="BH507" s="436"/>
      <c r="BI507" s="436"/>
    </row>
    <row r="508" spans="1:61" ht="15.75" customHeight="1">
      <c r="A508" s="452" t="s">
        <v>40</v>
      </c>
      <c r="B508" s="433"/>
      <c r="C508" s="648" t="s">
        <v>491</v>
      </c>
      <c r="T508" s="436"/>
      <c r="U508" s="436"/>
      <c r="V508" s="541" t="s">
        <v>40</v>
      </c>
      <c r="W508" s="688" t="s">
        <v>136</v>
      </c>
      <c r="X508" s="681"/>
      <c r="Y508" s="681"/>
      <c r="Z508" s="682">
        <f t="shared" ref="Z508:Z518" si="95">+SUMIF($C:$C,$V508,F:F)</f>
        <v>0</v>
      </c>
      <c r="AA508" s="681"/>
      <c r="AB508" s="681"/>
      <c r="AC508" s="682"/>
      <c r="AD508" s="690"/>
      <c r="AE508" s="689"/>
      <c r="AF508" s="682">
        <f t="shared" ref="AF508:AF511" si="96">+SUMIF($C:$C,$V508,L:L)</f>
        <v>87484.749999999971</v>
      </c>
      <c r="AG508" s="683"/>
      <c r="AH508" s="684">
        <f t="shared" si="87"/>
        <v>87484.749999999971</v>
      </c>
      <c r="AI508" s="685">
        <f t="shared" si="94"/>
        <v>0</v>
      </c>
      <c r="AJ508" s="690"/>
      <c r="AK508" s="689"/>
      <c r="AL508" s="682">
        <f>SUMIFS([3]BV_Data_An_Prec!$AM:$AM,[3]BV_Data_An_Prec!$AQ:$AQ,$V508)</f>
        <v>45636.330000000016</v>
      </c>
      <c r="AM508" s="686"/>
      <c r="AN508" s="684">
        <f t="shared" si="90"/>
        <v>41848.419999999955</v>
      </c>
      <c r="AO508" s="691">
        <f t="shared" si="91"/>
        <v>0.91699792687098058</v>
      </c>
      <c r="AP508" s="436"/>
      <c r="AQ508" s="436"/>
      <c r="AR508" s="436"/>
      <c r="AS508" s="436"/>
      <c r="AT508" s="436"/>
      <c r="AU508" s="436"/>
      <c r="AV508" s="436"/>
      <c r="AW508" s="436"/>
      <c r="AX508" s="436"/>
      <c r="AY508" s="436"/>
      <c r="AZ508" s="436"/>
      <c r="BA508" s="436"/>
      <c r="BB508" s="436"/>
      <c r="BC508" s="436"/>
      <c r="BD508" s="436"/>
      <c r="BE508" s="436"/>
      <c r="BF508" s="436"/>
      <c r="BG508" s="436"/>
      <c r="BH508" s="436"/>
      <c r="BI508" s="436"/>
    </row>
    <row r="509" spans="1:61" ht="15.75" customHeight="1">
      <c r="A509" s="452" t="s">
        <v>41</v>
      </c>
      <c r="B509" s="433"/>
      <c r="C509" s="648" t="s">
        <v>491</v>
      </c>
      <c r="T509" s="436"/>
      <c r="U509" s="436"/>
      <c r="V509" s="542" t="s">
        <v>41</v>
      </c>
      <c r="W509" s="692" t="s">
        <v>137</v>
      </c>
      <c r="X509" s="664"/>
      <c r="Y509" s="664"/>
      <c r="Z509" s="665">
        <f t="shared" si="95"/>
        <v>0</v>
      </c>
      <c r="AA509" s="664"/>
      <c r="AB509" s="664"/>
      <c r="AC509" s="665"/>
      <c r="AD509" s="694"/>
      <c r="AE509" s="693"/>
      <c r="AF509" s="665">
        <f t="shared" si="96"/>
        <v>46614.23000000001</v>
      </c>
      <c r="AG509" s="666"/>
      <c r="AH509" s="667">
        <f t="shared" si="87"/>
        <v>46614.23000000001</v>
      </c>
      <c r="AI509" s="695">
        <f t="shared" si="94"/>
        <v>0</v>
      </c>
      <c r="AJ509" s="694"/>
      <c r="AK509" s="693"/>
      <c r="AL509" s="665">
        <f>SUMIFS([3]BV_Data_An_Prec!$AM:$AM,[3]BV_Data_An_Prec!$AQ:$AQ,$V509)</f>
        <v>98155.829999999973</v>
      </c>
      <c r="AM509" s="669"/>
      <c r="AN509" s="667">
        <f t="shared" si="90"/>
        <v>-51541.599999999962</v>
      </c>
      <c r="AO509" s="670">
        <f t="shared" si="91"/>
        <v>-0.52509973172250668</v>
      </c>
      <c r="AP509" s="436"/>
      <c r="AQ509" s="436"/>
      <c r="AR509" s="436"/>
      <c r="AS509" s="436"/>
      <c r="AT509" s="436"/>
      <c r="AU509" s="436"/>
      <c r="AV509" s="436"/>
      <c r="AW509" s="436"/>
      <c r="AX509" s="436"/>
      <c r="AY509" s="436"/>
      <c r="AZ509" s="436"/>
      <c r="BA509" s="436"/>
      <c r="BB509" s="436"/>
      <c r="BC509" s="436"/>
      <c r="BD509" s="436"/>
      <c r="BE509" s="436"/>
      <c r="BF509" s="436"/>
      <c r="BG509" s="436"/>
      <c r="BH509" s="436"/>
      <c r="BI509" s="436"/>
    </row>
    <row r="510" spans="1:61" ht="15.75" customHeight="1">
      <c r="A510" s="452" t="s">
        <v>42</v>
      </c>
      <c r="B510" s="433"/>
      <c r="C510" s="648" t="s">
        <v>491</v>
      </c>
      <c r="T510" s="436"/>
      <c r="U510" s="436"/>
      <c r="V510" s="541" t="s">
        <v>42</v>
      </c>
      <c r="W510" s="688" t="s">
        <v>138</v>
      </c>
      <c r="X510" s="681"/>
      <c r="Y510" s="681"/>
      <c r="Z510" s="682">
        <f t="shared" si="95"/>
        <v>0</v>
      </c>
      <c r="AA510" s="681"/>
      <c r="AB510" s="681"/>
      <c r="AC510" s="682"/>
      <c r="AD510" s="690"/>
      <c r="AE510" s="689"/>
      <c r="AF510" s="682">
        <f t="shared" si="96"/>
        <v>53783.18</v>
      </c>
      <c r="AG510" s="683"/>
      <c r="AH510" s="684">
        <f t="shared" si="87"/>
        <v>53783.18</v>
      </c>
      <c r="AI510" s="685">
        <f t="shared" si="94"/>
        <v>0</v>
      </c>
      <c r="AJ510" s="690"/>
      <c r="AK510" s="689"/>
      <c r="AL510" s="682">
        <f>SUMIFS([3]BV_Data_An_Prec!$AM:$AM,[3]BV_Data_An_Prec!$AQ:$AQ,$V510)</f>
        <v>93760.670000000027</v>
      </c>
      <c r="AM510" s="686"/>
      <c r="AN510" s="684">
        <f t="shared" si="90"/>
        <v>-39977.490000000027</v>
      </c>
      <c r="AO510" s="691">
        <f t="shared" si="91"/>
        <v>-0.42637803249486184</v>
      </c>
      <c r="AP510" s="436"/>
      <c r="AQ510" s="436"/>
      <c r="AR510" s="436"/>
      <c r="AS510" s="436"/>
      <c r="AT510" s="436"/>
      <c r="AU510" s="436"/>
      <c r="AV510" s="436"/>
      <c r="AW510" s="436"/>
      <c r="AX510" s="436"/>
      <c r="AY510" s="436"/>
      <c r="AZ510" s="436"/>
      <c r="BA510" s="436"/>
      <c r="BB510" s="436"/>
      <c r="BC510" s="436"/>
      <c r="BD510" s="436"/>
      <c r="BE510" s="436"/>
      <c r="BF510" s="436"/>
      <c r="BG510" s="436"/>
      <c r="BH510" s="436"/>
      <c r="BI510" s="436"/>
    </row>
    <row r="511" spans="1:61" ht="15.75" customHeight="1">
      <c r="A511" s="452" t="s">
        <v>43</v>
      </c>
      <c r="B511" s="433"/>
      <c r="C511" s="648" t="s">
        <v>491</v>
      </c>
      <c r="T511" s="436"/>
      <c r="U511" s="436"/>
      <c r="V511" s="541" t="s">
        <v>43</v>
      </c>
      <c r="W511" s="688" t="s">
        <v>139</v>
      </c>
      <c r="X511" s="681"/>
      <c r="Y511" s="681"/>
      <c r="Z511" s="682">
        <f t="shared" si="95"/>
        <v>0</v>
      </c>
      <c r="AA511" s="681"/>
      <c r="AB511" s="681"/>
      <c r="AC511" s="682"/>
      <c r="AD511" s="690"/>
      <c r="AE511" s="689"/>
      <c r="AF511" s="682">
        <f t="shared" si="96"/>
        <v>9827.5999999999985</v>
      </c>
      <c r="AG511" s="683"/>
      <c r="AH511" s="684">
        <f t="shared" si="87"/>
        <v>9827.5999999999985</v>
      </c>
      <c r="AI511" s="685">
        <f t="shared" si="94"/>
        <v>0</v>
      </c>
      <c r="AJ511" s="690"/>
      <c r="AK511" s="689"/>
      <c r="AL511" s="682">
        <f>SUMIFS([3]BV_Data_An_Prec!$AM:$AM,[3]BV_Data_An_Prec!$AQ:$AQ,$V511)</f>
        <v>0</v>
      </c>
      <c r="AM511" s="686"/>
      <c r="AN511" s="684">
        <f t="shared" si="90"/>
        <v>9827.5999999999985</v>
      </c>
      <c r="AO511" s="691">
        <f t="shared" si="91"/>
        <v>0</v>
      </c>
      <c r="AP511" s="436"/>
      <c r="AQ511" s="436"/>
      <c r="AR511" s="436"/>
      <c r="AS511" s="436"/>
      <c r="AT511" s="436"/>
      <c r="AU511" s="436"/>
      <c r="AV511" s="436"/>
      <c r="AW511" s="436"/>
      <c r="AX511" s="436"/>
      <c r="AY511" s="436"/>
      <c r="AZ511" s="436"/>
      <c r="BA511" s="436"/>
      <c r="BB511" s="436"/>
      <c r="BC511" s="436"/>
      <c r="BD511" s="436"/>
      <c r="BE511" s="436"/>
      <c r="BF511" s="436"/>
      <c r="BG511" s="436"/>
      <c r="BH511" s="436"/>
      <c r="BI511" s="436"/>
    </row>
    <row r="512" spans="1:61" ht="17.25" hidden="1" customHeight="1">
      <c r="A512" s="452" t="s">
        <v>19</v>
      </c>
      <c r="B512" s="433"/>
      <c r="C512" s="648" t="s">
        <v>491</v>
      </c>
      <c r="T512" s="436"/>
      <c r="U512" s="436"/>
      <c r="V512" s="541" t="s">
        <v>19</v>
      </c>
      <c r="W512" s="688"/>
      <c r="X512" s="681"/>
      <c r="Y512" s="681"/>
      <c r="Z512" s="682">
        <f t="shared" si="95"/>
        <v>0</v>
      </c>
      <c r="AA512" s="681"/>
      <c r="AB512" s="681"/>
      <c r="AC512" s="682"/>
      <c r="AD512" s="690"/>
      <c r="AE512" s="689"/>
      <c r="AF512" s="682">
        <f t="shared" ref="AF512:AF514" si="97">IFERROR(SUMIF($C:$C,$V512,L:L),0)</f>
        <v>0</v>
      </c>
      <c r="AG512" s="683"/>
      <c r="AH512" s="684">
        <f t="shared" ref="AH512:AH544" si="98">AF512-Z512</f>
        <v>0</v>
      </c>
      <c r="AI512" s="685">
        <f t="shared" si="94"/>
        <v>0</v>
      </c>
      <c r="AJ512" s="690"/>
      <c r="AK512" s="689"/>
      <c r="AL512" s="682">
        <f>SUMIFS([3]BV_Data_An_Prec!$AM:$AM,[3]BV_Data_An_Prec!$AQ:$AQ,$V512)</f>
        <v>0</v>
      </c>
      <c r="AM512" s="686"/>
      <c r="AN512" s="684">
        <f t="shared" ref="AN512:AN560" si="99">AF512-AL512</f>
        <v>0</v>
      </c>
      <c r="AO512" s="691">
        <f t="shared" si="91"/>
        <v>0</v>
      </c>
      <c r="AP512" s="436"/>
      <c r="AQ512" s="436"/>
      <c r="AR512" s="436"/>
      <c r="AS512" s="436"/>
      <c r="AT512" s="436"/>
      <c r="AU512" s="436"/>
      <c r="AV512" s="436"/>
      <c r="AW512" s="436"/>
      <c r="AX512" s="436"/>
      <c r="AY512" s="436"/>
      <c r="AZ512" s="436"/>
      <c r="BA512" s="436"/>
      <c r="BB512" s="436"/>
      <c r="BC512" s="436"/>
      <c r="BD512" s="436"/>
      <c r="BE512" s="436"/>
      <c r="BF512" s="436"/>
      <c r="BG512" s="436"/>
      <c r="BH512" s="436"/>
      <c r="BI512" s="436"/>
    </row>
    <row r="513" spans="1:62" ht="17.25" hidden="1" customHeight="1">
      <c r="A513" s="452" t="s">
        <v>19</v>
      </c>
      <c r="B513" s="433"/>
      <c r="C513" s="648" t="s">
        <v>491</v>
      </c>
      <c r="T513" s="436"/>
      <c r="U513" s="436"/>
      <c r="V513" s="541" t="s">
        <v>19</v>
      </c>
      <c r="W513" s="688"/>
      <c r="X513" s="681"/>
      <c r="Y513" s="681"/>
      <c r="Z513" s="682">
        <f t="shared" si="95"/>
        <v>0</v>
      </c>
      <c r="AA513" s="681"/>
      <c r="AB513" s="681"/>
      <c r="AC513" s="682"/>
      <c r="AD513" s="690"/>
      <c r="AE513" s="689"/>
      <c r="AF513" s="682">
        <f t="shared" si="97"/>
        <v>0</v>
      </c>
      <c r="AG513" s="683"/>
      <c r="AH513" s="684">
        <f t="shared" si="98"/>
        <v>0</v>
      </c>
      <c r="AI513" s="685">
        <f t="shared" si="94"/>
        <v>0</v>
      </c>
      <c r="AJ513" s="690"/>
      <c r="AK513" s="689"/>
      <c r="AL513" s="682">
        <f>SUMIFS([3]BV_Data_An_Prec!$AM:$AM,[3]BV_Data_An_Prec!$AQ:$AQ,$V513)</f>
        <v>0</v>
      </c>
      <c r="AM513" s="686"/>
      <c r="AN513" s="684">
        <f t="shared" si="99"/>
        <v>0</v>
      </c>
      <c r="AO513" s="691">
        <f t="shared" si="91"/>
        <v>0</v>
      </c>
      <c r="AP513" s="436"/>
      <c r="AQ513" s="436"/>
      <c r="AR513" s="436"/>
      <c r="AS513" s="436"/>
      <c r="AT513" s="436"/>
      <c r="AU513" s="436"/>
      <c r="AV513" s="436"/>
      <c r="AW513" s="436"/>
      <c r="AX513" s="436"/>
      <c r="AY513" s="436"/>
      <c r="AZ513" s="436"/>
      <c r="BA513" s="436"/>
      <c r="BB513" s="436"/>
      <c r="BC513" s="436"/>
      <c r="BD513" s="436"/>
      <c r="BE513" s="436"/>
      <c r="BF513" s="436"/>
      <c r="BG513" s="436"/>
      <c r="BH513" s="436"/>
      <c r="BI513" s="436"/>
    </row>
    <row r="514" spans="1:62" ht="17.25" hidden="1" customHeight="1">
      <c r="A514" s="452" t="s">
        <v>19</v>
      </c>
      <c r="B514" s="433"/>
      <c r="C514" s="648" t="s">
        <v>491</v>
      </c>
      <c r="T514" s="436"/>
      <c r="U514" s="436"/>
      <c r="V514" s="541" t="s">
        <v>19</v>
      </c>
      <c r="W514" s="688"/>
      <c r="X514" s="681"/>
      <c r="Y514" s="681"/>
      <c r="Z514" s="682">
        <f t="shared" si="95"/>
        <v>0</v>
      </c>
      <c r="AA514" s="681"/>
      <c r="AB514" s="681"/>
      <c r="AC514" s="682"/>
      <c r="AD514" s="690"/>
      <c r="AE514" s="689"/>
      <c r="AF514" s="682">
        <f t="shared" si="97"/>
        <v>0</v>
      </c>
      <c r="AG514" s="683"/>
      <c r="AH514" s="684">
        <f t="shared" si="98"/>
        <v>0</v>
      </c>
      <c r="AI514" s="685">
        <f t="shared" si="94"/>
        <v>0</v>
      </c>
      <c r="AJ514" s="690"/>
      <c r="AK514" s="689"/>
      <c r="AL514" s="682">
        <f>SUMIFS([3]BV_Data_An_Prec!$AM:$AM,[3]BV_Data_An_Prec!$AQ:$AQ,$V514)</f>
        <v>0</v>
      </c>
      <c r="AM514" s="686"/>
      <c r="AN514" s="684">
        <f t="shared" si="99"/>
        <v>0</v>
      </c>
      <c r="AO514" s="691">
        <f t="shared" si="91"/>
        <v>0</v>
      </c>
      <c r="AP514" s="436"/>
      <c r="AQ514" s="436"/>
      <c r="AR514" s="436"/>
      <c r="AS514" s="436"/>
      <c r="AT514" s="436"/>
      <c r="AU514" s="436"/>
      <c r="AV514" s="436"/>
      <c r="AW514" s="436"/>
      <c r="AX514" s="436"/>
      <c r="AY514" s="436"/>
      <c r="AZ514" s="436"/>
      <c r="BA514" s="436"/>
      <c r="BB514" s="436"/>
      <c r="BC514" s="436"/>
      <c r="BD514" s="436"/>
      <c r="BE514" s="436"/>
      <c r="BF514" s="436"/>
      <c r="BG514" s="436"/>
      <c r="BH514" s="436"/>
      <c r="BI514" s="436"/>
    </row>
    <row r="515" spans="1:62" ht="15.75" customHeight="1">
      <c r="A515" s="452" t="s">
        <v>44</v>
      </c>
      <c r="B515" s="433"/>
      <c r="C515" s="648" t="s">
        <v>491</v>
      </c>
      <c r="T515" s="436"/>
      <c r="U515" s="436"/>
      <c r="V515" s="542" t="s">
        <v>44</v>
      </c>
      <c r="W515" s="692" t="s">
        <v>140</v>
      </c>
      <c r="X515" s="664"/>
      <c r="Y515" s="668" t="e">
        <f>Z515/(SUM(Z507:Z511)+E268-F268+Z496+Z497)</f>
        <v>#DIV/0!</v>
      </c>
      <c r="Z515" s="665">
        <f t="shared" si="95"/>
        <v>0</v>
      </c>
      <c r="AA515" s="664"/>
      <c r="AB515" s="664"/>
      <c r="AC515" s="665"/>
      <c r="AD515" s="694"/>
      <c r="AE515" s="693"/>
      <c r="AF515" s="665">
        <f t="shared" ref="AF515:AF518" si="100">+SUMIF($C:$C,$V515,L:L)</f>
        <v>44303.240000000005</v>
      </c>
      <c r="AG515" s="666"/>
      <c r="AH515" s="667">
        <f t="shared" si="98"/>
        <v>44303.240000000005</v>
      </c>
      <c r="AI515" s="695">
        <f t="shared" si="94"/>
        <v>0</v>
      </c>
      <c r="AJ515" s="694"/>
      <c r="AK515" s="693"/>
      <c r="AL515" s="665">
        <f>SUMIFS([3]BV_Data_An_Prec!$AM:$AM,[3]BV_Data_An_Prec!$AQ:$AQ,$V515)</f>
        <v>40334.779999999992</v>
      </c>
      <c r="AM515" s="669"/>
      <c r="AN515" s="667">
        <f t="shared" si="99"/>
        <v>3968.4600000000137</v>
      </c>
      <c r="AO515" s="670">
        <f t="shared" si="91"/>
        <v>9.8388041288436798E-2</v>
      </c>
      <c r="AP515" s="436"/>
      <c r="AQ515" s="436"/>
      <c r="AR515" s="436"/>
      <c r="AS515" s="436"/>
      <c r="AT515" s="436"/>
      <c r="AU515" s="436"/>
      <c r="AV515" s="436"/>
      <c r="AW515" s="436"/>
      <c r="AX515" s="436"/>
      <c r="AY515" s="436"/>
      <c r="AZ515" s="436"/>
      <c r="BA515" s="436"/>
      <c r="BB515" s="436"/>
      <c r="BC515" s="436"/>
      <c r="BD515" s="436"/>
      <c r="BE515" s="436"/>
      <c r="BF515" s="436"/>
      <c r="BG515" s="436"/>
      <c r="BH515" s="436"/>
      <c r="BI515" s="436"/>
    </row>
    <row r="516" spans="1:62" ht="15.75" customHeight="1">
      <c r="A516" s="452" t="s">
        <v>45</v>
      </c>
      <c r="B516" s="433"/>
      <c r="C516" s="648" t="s">
        <v>491</v>
      </c>
      <c r="T516" s="436"/>
      <c r="U516" s="436"/>
      <c r="V516" s="541" t="s">
        <v>45</v>
      </c>
      <c r="W516" s="688" t="s">
        <v>141</v>
      </c>
      <c r="X516" s="681"/>
      <c r="Y516" s="685" t="e">
        <f>Z516/(SUM(Z507:Z511)+E268-F268+Z496+Z497)</f>
        <v>#DIV/0!</v>
      </c>
      <c r="Z516" s="682">
        <f t="shared" si="95"/>
        <v>0</v>
      </c>
      <c r="AA516" s="681"/>
      <c r="AB516" s="681"/>
      <c r="AC516" s="682"/>
      <c r="AD516" s="690"/>
      <c r="AE516" s="689"/>
      <c r="AF516" s="682">
        <f t="shared" si="100"/>
        <v>44203.040000000008</v>
      </c>
      <c r="AG516" s="683"/>
      <c r="AH516" s="684">
        <f t="shared" si="98"/>
        <v>44203.040000000008</v>
      </c>
      <c r="AI516" s="685">
        <f t="shared" si="94"/>
        <v>0</v>
      </c>
      <c r="AJ516" s="690"/>
      <c r="AK516" s="689"/>
      <c r="AL516" s="682">
        <f>SUMIFS([3]BV_Data_An_Prec!$AM:$AM,[3]BV_Data_An_Prec!$AQ:$AQ,$V516)</f>
        <v>43183.060000000012</v>
      </c>
      <c r="AM516" s="686"/>
      <c r="AN516" s="684">
        <f t="shared" si="99"/>
        <v>1019.9799999999959</v>
      </c>
      <c r="AO516" s="691">
        <f t="shared" si="91"/>
        <v>2.3619910214792459E-2</v>
      </c>
      <c r="AP516" s="436"/>
      <c r="AQ516" s="436"/>
      <c r="AR516" s="436"/>
      <c r="AS516" s="436"/>
      <c r="AT516" s="436"/>
      <c r="AU516" s="436"/>
      <c r="AV516" s="436"/>
      <c r="AW516" s="436"/>
      <c r="AX516" s="436"/>
      <c r="AY516" s="436"/>
      <c r="AZ516" s="436"/>
      <c r="BA516" s="436"/>
      <c r="BB516" s="436"/>
      <c r="BC516" s="436"/>
      <c r="BD516" s="436"/>
      <c r="BE516" s="436"/>
      <c r="BF516" s="436"/>
      <c r="BG516" s="436"/>
      <c r="BH516" s="436"/>
      <c r="BI516" s="436"/>
    </row>
    <row r="517" spans="1:62" ht="15.75" customHeight="1">
      <c r="A517" s="452" t="s">
        <v>46</v>
      </c>
      <c r="B517" s="433"/>
      <c r="C517" s="648" t="s">
        <v>491</v>
      </c>
      <c r="T517" s="436"/>
      <c r="U517" s="436"/>
      <c r="V517" s="541" t="s">
        <v>46</v>
      </c>
      <c r="W517" s="688" t="s">
        <v>142</v>
      </c>
      <c r="X517" s="681"/>
      <c r="Y517" s="685" t="e">
        <f>Z517/(SUM(Z507:Z511)+E268-F268+Z497+Z496)</f>
        <v>#DIV/0!</v>
      </c>
      <c r="Z517" s="682">
        <f t="shared" si="95"/>
        <v>0</v>
      </c>
      <c r="AA517" s="681"/>
      <c r="AB517" s="681"/>
      <c r="AC517" s="682"/>
      <c r="AD517" s="690"/>
      <c r="AE517" s="689"/>
      <c r="AF517" s="682">
        <f t="shared" si="100"/>
        <v>12533.66</v>
      </c>
      <c r="AG517" s="683"/>
      <c r="AH517" s="684">
        <f t="shared" si="98"/>
        <v>12533.66</v>
      </c>
      <c r="AI517" s="685">
        <f t="shared" si="94"/>
        <v>0</v>
      </c>
      <c r="AJ517" s="690"/>
      <c r="AK517" s="689"/>
      <c r="AL517" s="682">
        <f>SUMIFS([3]BV_Data_An_Prec!$AM:$AM,[3]BV_Data_An_Prec!$AQ:$AQ,$V517)</f>
        <v>21788.750000000011</v>
      </c>
      <c r="AM517" s="686"/>
      <c r="AN517" s="684">
        <f t="shared" si="99"/>
        <v>-9255.0900000000111</v>
      </c>
      <c r="AO517" s="691">
        <f t="shared" si="91"/>
        <v>-0.42476461476679511</v>
      </c>
      <c r="AP517" s="436"/>
      <c r="AQ517" s="436"/>
      <c r="AR517" s="436"/>
      <c r="AS517" s="436"/>
      <c r="AT517" s="436"/>
      <c r="AU517" s="436"/>
      <c r="AV517" s="436"/>
      <c r="AW517" s="436"/>
      <c r="AX517" s="436"/>
      <c r="AY517" s="436"/>
      <c r="AZ517" s="436"/>
      <c r="BA517" s="436"/>
      <c r="BB517" s="436"/>
      <c r="BC517" s="436"/>
      <c r="BD517" s="436"/>
      <c r="BE517" s="436"/>
      <c r="BF517" s="436"/>
      <c r="BG517" s="436"/>
      <c r="BH517" s="436"/>
      <c r="BI517" s="436"/>
    </row>
    <row r="518" spans="1:62" ht="15.75" customHeight="1">
      <c r="A518" s="452" t="s">
        <v>47</v>
      </c>
      <c r="B518" s="433"/>
      <c r="C518" s="648" t="s">
        <v>491</v>
      </c>
      <c r="T518" s="436"/>
      <c r="U518" s="436"/>
      <c r="V518" s="541" t="s">
        <v>47</v>
      </c>
      <c r="W518" s="688"/>
      <c r="X518" s="681"/>
      <c r="Y518" s="681"/>
      <c r="Z518" s="682">
        <f t="shared" si="95"/>
        <v>0</v>
      </c>
      <c r="AA518" s="681"/>
      <c r="AB518" s="681"/>
      <c r="AC518" s="682"/>
      <c r="AD518" s="690"/>
      <c r="AE518" s="689"/>
      <c r="AF518" s="682">
        <f t="shared" si="100"/>
        <v>15015.040000000006</v>
      </c>
      <c r="AG518" s="683"/>
      <c r="AH518" s="684">
        <f t="shared" si="98"/>
        <v>15015.040000000006</v>
      </c>
      <c r="AI518" s="704">
        <f t="shared" si="94"/>
        <v>0</v>
      </c>
      <c r="AJ518" s="690"/>
      <c r="AK518" s="689"/>
      <c r="AL518" s="682">
        <f>SUMIFS([3]BV_Data_An_Prec!$AM:$AM,[3]BV_Data_An_Prec!$AQ:$AQ,$V518)</f>
        <v>1080.9199999999985</v>
      </c>
      <c r="AM518" s="686"/>
      <c r="AN518" s="684">
        <f t="shared" si="99"/>
        <v>13934.120000000008</v>
      </c>
      <c r="AO518" s="691">
        <f t="shared" si="91"/>
        <v>12.890981756281711</v>
      </c>
      <c r="AP518" s="436"/>
      <c r="AQ518" s="436"/>
      <c r="AR518" s="436"/>
      <c r="AS518" s="436"/>
      <c r="AT518" s="436"/>
      <c r="AU518" s="436"/>
      <c r="AV518" s="436"/>
      <c r="AW518" s="436"/>
      <c r="AX518" s="436"/>
      <c r="AY518" s="436"/>
      <c r="AZ518" s="436"/>
      <c r="BA518" s="436"/>
      <c r="BB518" s="436"/>
      <c r="BC518" s="436"/>
      <c r="BD518" s="436"/>
      <c r="BE518" s="436"/>
      <c r="BF518" s="436"/>
      <c r="BG518" s="436"/>
      <c r="BH518" s="436"/>
      <c r="BI518" s="436"/>
    </row>
    <row r="519" spans="1:62" ht="20.25" hidden="1" customHeight="1">
      <c r="A519" s="452" t="s">
        <v>19</v>
      </c>
      <c r="B519" s="433"/>
      <c r="C519" s="648" t="s">
        <v>491</v>
      </c>
      <c r="T519" s="436"/>
      <c r="U519" s="436"/>
      <c r="V519" s="462" t="s">
        <v>19</v>
      </c>
      <c r="W519" s="688"/>
      <c r="X519" s="681"/>
      <c r="Y519" s="689"/>
      <c r="Z519" s="682">
        <f>IFERROR(SUMIF($C:$C,$V519,F:F),0)</f>
        <v>0</v>
      </c>
      <c r="AA519" s="681"/>
      <c r="AB519" s="681"/>
      <c r="AC519" s="682"/>
      <c r="AD519" s="690"/>
      <c r="AE519" s="689"/>
      <c r="AF519" s="682">
        <f>IFERROR(SUMIF($C:$C,$V519,L:L),0)</f>
        <v>0</v>
      </c>
      <c r="AG519" s="683"/>
      <c r="AH519" s="684">
        <f t="shared" si="98"/>
        <v>0</v>
      </c>
      <c r="AI519" s="685">
        <f t="shared" si="94"/>
        <v>0</v>
      </c>
      <c r="AJ519" s="690"/>
      <c r="AK519" s="689"/>
      <c r="AL519" s="682">
        <f>IFERROR(SUMIF($C:$C,$V519,R:R),0)</f>
        <v>0</v>
      </c>
      <c r="AM519" s="686"/>
      <c r="AN519" s="684">
        <f t="shared" si="99"/>
        <v>0</v>
      </c>
      <c r="AO519" s="670">
        <f t="shared" si="91"/>
        <v>0</v>
      </c>
      <c r="AP519" s="436"/>
      <c r="AQ519" s="436"/>
      <c r="AR519" s="436"/>
      <c r="AS519" s="436"/>
      <c r="AT519" s="436"/>
      <c r="AU519" s="436"/>
      <c r="AV519" s="436"/>
      <c r="AW519" s="436"/>
      <c r="AX519" s="436"/>
      <c r="AY519" s="436"/>
      <c r="AZ519" s="436"/>
      <c r="BA519" s="436"/>
      <c r="BB519" s="436"/>
      <c r="BC519" s="436"/>
      <c r="BD519" s="436"/>
      <c r="BE519" s="436"/>
      <c r="BF519" s="436"/>
      <c r="BG519" s="436"/>
      <c r="BH519" s="436"/>
      <c r="BI519" s="436"/>
    </row>
    <row r="520" spans="1:62" ht="21" customHeight="1">
      <c r="A520" s="452" t="s">
        <v>48</v>
      </c>
      <c r="B520" s="433"/>
      <c r="C520" s="648" t="s">
        <v>491</v>
      </c>
      <c r="T520" s="436"/>
      <c r="U520" s="436"/>
      <c r="V520" s="696" t="s">
        <v>48</v>
      </c>
      <c r="W520" s="697"/>
      <c r="X520" s="698" t="e">
        <f>Z520/Z494</f>
        <v>#REF!</v>
      </c>
      <c r="Y520" s="697"/>
      <c r="Z520" s="699">
        <f>SUM(Z507:Z519)</f>
        <v>0</v>
      </c>
      <c r="AA520" s="698"/>
      <c r="AB520" s="697"/>
      <c r="AC520" s="699"/>
      <c r="AD520" s="700">
        <f>AF520/AF494</f>
        <v>0.57017785586508996</v>
      </c>
      <c r="AE520" s="705"/>
      <c r="AF520" s="699">
        <f>SUM(AF507:AF519)</f>
        <v>325303.23</v>
      </c>
      <c r="AG520" s="702"/>
      <c r="AH520" s="701">
        <f t="shared" si="98"/>
        <v>325303.23</v>
      </c>
      <c r="AI520" s="698" t="e">
        <f>AH520/Z520</f>
        <v>#DIV/0!</v>
      </c>
      <c r="AJ520" s="700">
        <f>AL520/AL494</f>
        <v>0.41820511883638767</v>
      </c>
      <c r="AK520" s="705"/>
      <c r="AL520" s="699">
        <f>SUM(AL507:AL519)</f>
        <v>346462.51999999996</v>
      </c>
      <c r="AM520" s="703"/>
      <c r="AN520" s="701">
        <f t="shared" si="99"/>
        <v>-21159.289999999979</v>
      </c>
      <c r="AO520" s="679">
        <f t="shared" si="91"/>
        <v>-6.1072378045394296E-2</v>
      </c>
      <c r="AP520" s="436"/>
      <c r="AQ520" s="436"/>
      <c r="AR520" s="436"/>
      <c r="AS520" s="436"/>
      <c r="AT520" s="436"/>
      <c r="AU520" s="436"/>
      <c r="AV520" s="436"/>
      <c r="AW520" s="436"/>
      <c r="AX520" s="436"/>
      <c r="AY520" s="436"/>
      <c r="AZ520" s="436"/>
      <c r="BA520" s="436"/>
      <c r="BB520" s="436"/>
      <c r="BC520" s="436"/>
      <c r="BD520" s="436"/>
      <c r="BE520" s="436"/>
      <c r="BF520" s="436"/>
      <c r="BG520" s="436"/>
      <c r="BH520" s="436"/>
      <c r="BI520" s="436"/>
    </row>
    <row r="521" spans="1:62" ht="15.75" customHeight="1">
      <c r="A521" s="452" t="s">
        <v>49</v>
      </c>
      <c r="B521" s="433"/>
      <c r="C521" s="648" t="s">
        <v>491</v>
      </c>
      <c r="T521" s="436"/>
      <c r="U521" s="436"/>
      <c r="V521" s="634" t="s">
        <v>49</v>
      </c>
      <c r="W521" s="706" t="s">
        <v>132</v>
      </c>
      <c r="X521" s="707"/>
      <c r="Y521" s="707"/>
      <c r="Z521" s="708">
        <f t="shared" ref="Z521:Z535" si="101">+SUMIF($C:$C,$V521,F:F)</f>
        <v>0</v>
      </c>
      <c r="AA521" s="707"/>
      <c r="AB521" s="707"/>
      <c r="AC521" s="708"/>
      <c r="AD521" s="709"/>
      <c r="AE521" s="710"/>
      <c r="AF521" s="708">
        <f t="shared" ref="AF521:AF525" si="102">+SUMIF($C:$C,$V521,L:L)</f>
        <v>5732.2299999999987</v>
      </c>
      <c r="AG521" s="709"/>
      <c r="AH521" s="711">
        <f t="shared" si="98"/>
        <v>5732.2299999999987</v>
      </c>
      <c r="AI521" s="712">
        <f t="shared" ref="AI521:AI538" si="103">IF(Z521=0,0,AH521/Z521)</f>
        <v>0</v>
      </c>
      <c r="AJ521" s="709"/>
      <c r="AK521" s="710"/>
      <c r="AL521" s="708">
        <f>SUMIFS([3]BV_Data_An_Prec!$AM:$AM,[3]BV_Data_An_Prec!$AQ:$AQ,$V521)</f>
        <v>5671.7099999999991</v>
      </c>
      <c r="AM521" s="713"/>
      <c r="AN521" s="711">
        <f t="shared" si="99"/>
        <v>60.519999999999527</v>
      </c>
      <c r="AO521" s="687">
        <f t="shared" si="91"/>
        <v>1.0670503252105544E-2</v>
      </c>
      <c r="AP521" s="436"/>
      <c r="AQ521" s="436"/>
      <c r="AR521" s="436"/>
      <c r="AS521" s="436"/>
      <c r="AT521" s="436"/>
      <c r="AU521" s="436"/>
      <c r="AV521" s="436"/>
      <c r="AW521" s="436"/>
      <c r="AX521" s="436"/>
      <c r="AY521" s="436"/>
      <c r="AZ521" s="436"/>
      <c r="BA521" s="436"/>
      <c r="BB521" s="436"/>
      <c r="BC521" s="436"/>
      <c r="BD521" s="436"/>
      <c r="BE521" s="436"/>
      <c r="BF521" s="436"/>
      <c r="BG521" s="436"/>
      <c r="BH521" s="436"/>
      <c r="BI521" s="436"/>
    </row>
    <row r="522" spans="1:62" ht="15.75" customHeight="1">
      <c r="A522" s="452" t="s">
        <v>50</v>
      </c>
      <c r="B522" s="433"/>
      <c r="C522" s="648" t="s">
        <v>491</v>
      </c>
      <c r="T522" s="436"/>
      <c r="U522" s="436"/>
      <c r="V522" s="541" t="s">
        <v>50</v>
      </c>
      <c r="W522" s="688" t="s">
        <v>143</v>
      </c>
      <c r="X522" s="681"/>
      <c r="Y522" s="681"/>
      <c r="Z522" s="682">
        <f t="shared" si="101"/>
        <v>0</v>
      </c>
      <c r="AA522" s="681"/>
      <c r="AB522" s="681"/>
      <c r="AC522" s="682"/>
      <c r="AD522" s="690"/>
      <c r="AE522" s="689"/>
      <c r="AF522" s="682">
        <f t="shared" si="102"/>
        <v>5031.2100000000009</v>
      </c>
      <c r="AG522" s="683"/>
      <c r="AH522" s="684">
        <f t="shared" si="98"/>
        <v>5031.2100000000009</v>
      </c>
      <c r="AI522" s="685">
        <f t="shared" si="103"/>
        <v>0</v>
      </c>
      <c r="AJ522" s="690"/>
      <c r="AK522" s="689"/>
      <c r="AL522" s="682">
        <f>SUMIFS([3]BV_Data_An_Prec!$AM:$AM,[3]BV_Data_An_Prec!$AQ:$AQ,$V522)</f>
        <v>6896.33</v>
      </c>
      <c r="AM522" s="686"/>
      <c r="AN522" s="684">
        <f t="shared" si="99"/>
        <v>-1865.119999999999</v>
      </c>
      <c r="AO522" s="691">
        <f t="shared" si="91"/>
        <v>-0.2704510950027042</v>
      </c>
      <c r="AP522" s="436"/>
      <c r="AQ522" s="436"/>
      <c r="AR522" s="436"/>
      <c r="AS522" s="436"/>
      <c r="AT522" s="436"/>
      <c r="AU522" s="436"/>
      <c r="AV522" s="436"/>
      <c r="AW522" s="436"/>
      <c r="AX522" s="436"/>
      <c r="AY522" s="436"/>
      <c r="AZ522" s="436"/>
      <c r="BA522" s="436"/>
      <c r="BB522" s="436"/>
      <c r="BC522" s="436"/>
      <c r="BD522" s="436"/>
      <c r="BE522" s="436"/>
      <c r="BF522" s="436"/>
      <c r="BG522" s="436"/>
      <c r="BH522" s="436"/>
      <c r="BI522" s="436"/>
    </row>
    <row r="523" spans="1:62" ht="15.75" customHeight="1">
      <c r="A523" s="452" t="s">
        <v>51</v>
      </c>
      <c r="B523" s="433"/>
      <c r="C523" s="648" t="s">
        <v>491</v>
      </c>
      <c r="T523" s="436"/>
      <c r="U523" s="714"/>
      <c r="V523" s="542" t="s">
        <v>51</v>
      </c>
      <c r="W523" s="692" t="s">
        <v>144</v>
      </c>
      <c r="X523" s="664"/>
      <c r="Y523" s="664"/>
      <c r="Z523" s="665">
        <f t="shared" si="101"/>
        <v>0</v>
      </c>
      <c r="AA523" s="664"/>
      <c r="AB523" s="664"/>
      <c r="AC523" s="665"/>
      <c r="AD523" s="694"/>
      <c r="AE523" s="693"/>
      <c r="AF523" s="665">
        <f t="shared" si="102"/>
        <v>16391.28999999999</v>
      </c>
      <c r="AG523" s="666"/>
      <c r="AH523" s="667">
        <f t="shared" si="98"/>
        <v>16391.28999999999</v>
      </c>
      <c r="AI523" s="695">
        <f t="shared" si="103"/>
        <v>0</v>
      </c>
      <c r="AJ523" s="694"/>
      <c r="AK523" s="693"/>
      <c r="AL523" s="665">
        <f>SUMIFS([3]BV_Data_An_Prec!$AM:$AM,[3]BV_Data_An_Prec!$AQ:$AQ,$V523)</f>
        <v>12036.199999999992</v>
      </c>
      <c r="AM523" s="669"/>
      <c r="AN523" s="667">
        <f t="shared" si="99"/>
        <v>4355.0899999999983</v>
      </c>
      <c r="AO523" s="670">
        <f t="shared" si="91"/>
        <v>0.36183263820807243</v>
      </c>
      <c r="AP523" s="436"/>
      <c r="AQ523" s="436"/>
      <c r="AR523" s="436"/>
      <c r="AS523" s="436"/>
      <c r="AT523" s="436"/>
      <c r="AU523" s="436"/>
      <c r="AV523" s="436"/>
      <c r="AW523" s="436"/>
      <c r="AX523" s="436"/>
      <c r="AY523" s="436"/>
      <c r="AZ523" s="436"/>
      <c r="BA523" s="436"/>
      <c r="BB523" s="436"/>
      <c r="BC523" s="436"/>
      <c r="BD523" s="436"/>
      <c r="BE523" s="436"/>
      <c r="BF523" s="436"/>
      <c r="BG523" s="436"/>
      <c r="BH523" s="436"/>
      <c r="BI523" s="436"/>
    </row>
    <row r="524" spans="1:62" ht="15.75" customHeight="1">
      <c r="A524" s="452" t="s">
        <v>52</v>
      </c>
      <c r="B524" s="433"/>
      <c r="C524" s="648" t="s">
        <v>491</v>
      </c>
      <c r="T524" s="436"/>
      <c r="U524" s="714"/>
      <c r="V524" s="541" t="s">
        <v>52</v>
      </c>
      <c r="W524" s="688" t="s">
        <v>145</v>
      </c>
      <c r="X524" s="681"/>
      <c r="Y524" s="681"/>
      <c r="Z524" s="682">
        <f t="shared" si="101"/>
        <v>0</v>
      </c>
      <c r="AA524" s="681"/>
      <c r="AB524" s="681"/>
      <c r="AC524" s="682"/>
      <c r="AD524" s="690"/>
      <c r="AE524" s="689"/>
      <c r="AF524" s="682">
        <f t="shared" si="102"/>
        <v>14908.369999999995</v>
      </c>
      <c r="AG524" s="683"/>
      <c r="AH524" s="684">
        <f t="shared" si="98"/>
        <v>14908.369999999995</v>
      </c>
      <c r="AI524" s="685">
        <f t="shared" si="103"/>
        <v>0</v>
      </c>
      <c r="AJ524" s="690"/>
      <c r="AK524" s="689"/>
      <c r="AL524" s="682">
        <f>SUMIFS([3]BV_Data_An_Prec!$AM:$AM,[3]BV_Data_An_Prec!$AQ:$AQ,$V524)</f>
        <v>11173.099999999997</v>
      </c>
      <c r="AM524" s="686"/>
      <c r="AN524" s="684">
        <f t="shared" si="99"/>
        <v>3735.2699999999986</v>
      </c>
      <c r="AO524" s="691">
        <f t="shared" si="91"/>
        <v>0.33430918903437717</v>
      </c>
      <c r="AP524" s="436"/>
      <c r="AQ524" s="436"/>
      <c r="AR524" s="436"/>
      <c r="AS524" s="436"/>
      <c r="AT524" s="436"/>
      <c r="AU524" s="436"/>
      <c r="AV524" s="436"/>
      <c r="AW524" s="436"/>
      <c r="AX524" s="436"/>
      <c r="AY524" s="436"/>
      <c r="AZ524" s="436"/>
      <c r="BA524" s="436"/>
      <c r="BB524" s="436"/>
      <c r="BC524" s="436"/>
      <c r="BD524" s="436"/>
      <c r="BE524" s="436"/>
      <c r="BF524" s="436"/>
      <c r="BG524" s="436"/>
      <c r="BH524" s="436"/>
      <c r="BI524" s="436"/>
    </row>
    <row r="525" spans="1:62" ht="15.75" customHeight="1">
      <c r="A525" s="452" t="s">
        <v>53</v>
      </c>
      <c r="B525" s="433"/>
      <c r="C525" s="648" t="s">
        <v>491</v>
      </c>
      <c r="T525" s="436"/>
      <c r="U525" s="714"/>
      <c r="V525" s="541" t="s">
        <v>53</v>
      </c>
      <c r="W525" s="688" t="s">
        <v>146</v>
      </c>
      <c r="X525" s="681"/>
      <c r="Y525" s="681"/>
      <c r="Z525" s="682">
        <f t="shared" si="101"/>
        <v>0</v>
      </c>
      <c r="AA525" s="681"/>
      <c r="AB525" s="681"/>
      <c r="AC525" s="682"/>
      <c r="AD525" s="690"/>
      <c r="AE525" s="689"/>
      <c r="AF525" s="682">
        <f t="shared" si="102"/>
        <v>2503.3900000000003</v>
      </c>
      <c r="AG525" s="683"/>
      <c r="AH525" s="684">
        <f t="shared" si="98"/>
        <v>2503.3900000000003</v>
      </c>
      <c r="AI525" s="685">
        <f t="shared" si="103"/>
        <v>0</v>
      </c>
      <c r="AJ525" s="690"/>
      <c r="AK525" s="689"/>
      <c r="AL525" s="682">
        <f>SUMIFS([3]BV_Data_An_Prec!$AM:$AM,[3]BV_Data_An_Prec!$AQ:$AQ,$V525)</f>
        <v>34438.07</v>
      </c>
      <c r="AM525" s="686"/>
      <c r="AN525" s="684">
        <f t="shared" si="99"/>
        <v>-31934.68</v>
      </c>
      <c r="AO525" s="691">
        <f t="shared" si="91"/>
        <v>-0.92730748267832663</v>
      </c>
      <c r="AP525" s="436"/>
      <c r="AQ525" s="436"/>
      <c r="AR525" s="436"/>
      <c r="AS525" s="436"/>
      <c r="AT525" s="436"/>
      <c r="AU525" s="436"/>
      <c r="AV525" s="436"/>
      <c r="AW525" s="436"/>
      <c r="AX525" s="436"/>
      <c r="AY525" s="436"/>
      <c r="AZ525" s="436"/>
      <c r="BA525" s="436"/>
      <c r="BB525" s="436"/>
      <c r="BC525" s="436"/>
      <c r="BD525" s="436"/>
      <c r="BE525" s="436"/>
      <c r="BF525" s="436"/>
      <c r="BG525" s="436"/>
      <c r="BH525" s="436"/>
      <c r="BI525" s="436"/>
    </row>
    <row r="526" spans="1:62" ht="15.75" customHeight="1">
      <c r="A526" s="452" t="s">
        <v>54</v>
      </c>
      <c r="B526" s="433"/>
      <c r="C526" s="648" t="s">
        <v>491</v>
      </c>
      <c r="T526" s="436"/>
      <c r="U526" s="436"/>
      <c r="V526" s="541" t="s">
        <v>54</v>
      </c>
      <c r="W526" s="688" t="s">
        <v>147</v>
      </c>
      <c r="X526" s="681"/>
      <c r="Y526" s="681"/>
      <c r="Z526" s="682">
        <f t="shared" si="101"/>
        <v>0</v>
      </c>
      <c r="AA526" s="681"/>
      <c r="AB526" s="681"/>
      <c r="AC526" s="682"/>
      <c r="AD526" s="690"/>
      <c r="AE526" s="689"/>
      <c r="AF526" s="682">
        <f>SUMIFS([3]BV_Data_An_Cour!$AM:$AM,[3]BV_Data_An_Cour!$AQ:$AQ,$V526)</f>
        <v>22691.139999999996</v>
      </c>
      <c r="AG526" s="683"/>
      <c r="AH526" s="684">
        <f t="shared" si="98"/>
        <v>22691.139999999996</v>
      </c>
      <c r="AI526" s="685">
        <f t="shared" si="103"/>
        <v>0</v>
      </c>
      <c r="AJ526" s="690"/>
      <c r="AK526" s="689"/>
      <c r="AL526" s="682">
        <f>SUMIFS([3]BV_Data_An_Prec!$AM:$AM,[3]BV_Data_An_Prec!$AQ:$AQ,$V526)</f>
        <v>33892.07</v>
      </c>
      <c r="AM526" s="686"/>
      <c r="AN526" s="684">
        <f t="shared" si="99"/>
        <v>-11200.930000000004</v>
      </c>
      <c r="AO526" s="691">
        <f t="shared" si="91"/>
        <v>-0.33048822335136224</v>
      </c>
      <c r="AP526" s="436"/>
      <c r="AQ526" s="436"/>
      <c r="AR526" s="436"/>
      <c r="AS526" s="436"/>
      <c r="AT526" s="436"/>
      <c r="AU526" s="436"/>
      <c r="AV526" s="436"/>
      <c r="AW526" s="436"/>
      <c r="AX526" s="436"/>
      <c r="AY526" s="436"/>
      <c r="AZ526" s="436"/>
      <c r="BA526" s="436"/>
      <c r="BB526" s="436"/>
      <c r="BC526" s="436"/>
      <c r="BD526" s="436"/>
      <c r="BE526" s="436"/>
      <c r="BF526" s="436"/>
      <c r="BG526" s="436"/>
      <c r="BH526" s="436"/>
      <c r="BI526" s="436"/>
    </row>
    <row r="527" spans="1:62" ht="15.75" customHeight="1">
      <c r="B527" s="433"/>
      <c r="C527" s="648" t="s">
        <v>491</v>
      </c>
      <c r="T527" s="436"/>
      <c r="U527" s="436"/>
      <c r="V527" s="634" t="s">
        <v>93</v>
      </c>
      <c r="W527" s="706"/>
      <c r="X527" s="707"/>
      <c r="Y527" s="707"/>
      <c r="Z527" s="708">
        <f t="shared" si="101"/>
        <v>0</v>
      </c>
      <c r="AA527" s="707"/>
      <c r="AB527" s="707"/>
      <c r="AC527" s="708"/>
      <c r="AD527" s="709"/>
      <c r="AE527" s="710"/>
      <c r="AF527" s="708">
        <f t="shared" ref="AF527:AF532" si="104">+SUMIF($C:$C,$V527,L:L)</f>
        <v>0</v>
      </c>
      <c r="AG527" s="715"/>
      <c r="AH527" s="711">
        <f t="shared" si="98"/>
        <v>0</v>
      </c>
      <c r="AI527" s="712">
        <f t="shared" si="103"/>
        <v>0</v>
      </c>
      <c r="AJ527" s="709"/>
      <c r="AK527" s="710"/>
      <c r="AL527" s="708">
        <f>SUMIFS([3]BV_Data_An_Prec!$AM:$AM,[3]BV_Data_An_Prec!$AQ:$AQ,$V527)</f>
        <v>0</v>
      </c>
      <c r="AM527" s="713"/>
      <c r="AN527" s="711">
        <f t="shared" si="99"/>
        <v>0</v>
      </c>
      <c r="AO527" s="687">
        <f t="shared" si="91"/>
        <v>0</v>
      </c>
      <c r="AP527" s="436"/>
      <c r="AQ527" s="436"/>
      <c r="AR527" s="436"/>
      <c r="AS527" s="436"/>
      <c r="AT527" s="436"/>
      <c r="AU527" s="436"/>
      <c r="AV527" s="436"/>
      <c r="AW527" s="436"/>
      <c r="AX527" s="436"/>
      <c r="AY527" s="436"/>
      <c r="AZ527" s="436"/>
      <c r="BA527" s="436"/>
      <c r="BB527" s="436"/>
      <c r="BC527" s="436"/>
      <c r="BD527" s="436"/>
      <c r="BE527" s="436"/>
      <c r="BF527" s="436"/>
      <c r="BG527" s="436"/>
      <c r="BH527" s="436"/>
      <c r="BI527" s="436"/>
    </row>
    <row r="528" spans="1:62" ht="15.75" customHeight="1">
      <c r="A528" s="452" t="s">
        <v>55</v>
      </c>
      <c r="B528" s="433"/>
      <c r="C528" s="648" t="s">
        <v>491</v>
      </c>
      <c r="T528" s="436"/>
      <c r="U528" s="436"/>
      <c r="V528" s="541" t="s">
        <v>55</v>
      </c>
      <c r="W528" s="688" t="s">
        <v>148</v>
      </c>
      <c r="X528" s="681"/>
      <c r="Y528" s="689"/>
      <c r="Z528" s="682">
        <f t="shared" si="101"/>
        <v>0</v>
      </c>
      <c r="AA528" s="681"/>
      <c r="AB528" s="689"/>
      <c r="AC528" s="682"/>
      <c r="AD528" s="690"/>
      <c r="AE528" s="689"/>
      <c r="AF528" s="682">
        <f t="shared" si="104"/>
        <v>11315.549999999997</v>
      </c>
      <c r="AG528" s="683"/>
      <c r="AH528" s="684">
        <f t="shared" si="98"/>
        <v>11315.549999999997</v>
      </c>
      <c r="AI528" s="685">
        <f t="shared" si="103"/>
        <v>0</v>
      </c>
      <c r="AJ528" s="690"/>
      <c r="AK528" s="689"/>
      <c r="AL528" s="682">
        <f>SUMIFS([3]BV_Data_An_Prec!$AM:$AM,[3]BV_Data_An_Prec!$AQ:$AQ,$V528)</f>
        <v>15438.829999999998</v>
      </c>
      <c r="AM528" s="686"/>
      <c r="AN528" s="684">
        <f t="shared" si="99"/>
        <v>-4123.2800000000007</v>
      </c>
      <c r="AO528" s="691">
        <f t="shared" si="91"/>
        <v>-0.2670720514443129</v>
      </c>
      <c r="AP528" s="436"/>
      <c r="AQ528" s="436"/>
      <c r="AR528" s="436"/>
      <c r="AS528" s="436"/>
      <c r="AT528" s="436"/>
      <c r="AU528" s="436"/>
      <c r="AV528" s="436"/>
      <c r="AW528" s="436"/>
      <c r="AX528" s="436"/>
      <c r="AY528" s="436"/>
      <c r="AZ528" s="436"/>
      <c r="BA528" s="436"/>
      <c r="BB528" s="436"/>
      <c r="BC528" s="436"/>
      <c r="BD528" s="436"/>
      <c r="BE528" s="436"/>
      <c r="BF528" s="436"/>
      <c r="BG528" s="436"/>
      <c r="BH528" s="436"/>
      <c r="BI528" s="436"/>
      <c r="BJ528" s="436"/>
    </row>
    <row r="529" spans="1:62" ht="15.75" customHeight="1">
      <c r="A529" s="452" t="s">
        <v>56</v>
      </c>
      <c r="B529" s="433"/>
      <c r="C529" s="648" t="s">
        <v>491</v>
      </c>
      <c r="T529" s="436"/>
      <c r="U529" s="436"/>
      <c r="V529" s="541" t="s">
        <v>56</v>
      </c>
      <c r="W529" s="688" t="s">
        <v>149</v>
      </c>
      <c r="X529" s="681"/>
      <c r="Y529" s="681"/>
      <c r="Z529" s="682">
        <f t="shared" si="101"/>
        <v>0</v>
      </c>
      <c r="AA529" s="681"/>
      <c r="AB529" s="681"/>
      <c r="AC529" s="682"/>
      <c r="AD529" s="690"/>
      <c r="AE529" s="689"/>
      <c r="AF529" s="682">
        <f t="shared" si="104"/>
        <v>2687.8500000000004</v>
      </c>
      <c r="AG529" s="683"/>
      <c r="AH529" s="684">
        <f t="shared" si="98"/>
        <v>2687.8500000000004</v>
      </c>
      <c r="AI529" s="704">
        <f t="shared" si="103"/>
        <v>0</v>
      </c>
      <c r="AJ529" s="690"/>
      <c r="AK529" s="689"/>
      <c r="AL529" s="682">
        <f>SUMIFS([3]BV_Data_An_Prec!$AM:$AM,[3]BV_Data_An_Prec!$AQ:$AQ,$V529)</f>
        <v>0</v>
      </c>
      <c r="AM529" s="686"/>
      <c r="AN529" s="684">
        <f t="shared" si="99"/>
        <v>2687.8500000000004</v>
      </c>
      <c r="AO529" s="691">
        <f t="shared" si="91"/>
        <v>0</v>
      </c>
      <c r="AP529" s="436"/>
      <c r="AQ529" s="436"/>
      <c r="AR529" s="436"/>
      <c r="AS529" s="436"/>
      <c r="AT529" s="436"/>
      <c r="AU529" s="436"/>
      <c r="AV529" s="436"/>
      <c r="AW529" s="436"/>
      <c r="AX529" s="436"/>
      <c r="AY529" s="436"/>
      <c r="AZ529" s="436"/>
      <c r="BA529" s="436"/>
      <c r="BB529" s="436"/>
      <c r="BC529" s="436"/>
      <c r="BD529" s="436"/>
      <c r="BE529" s="436"/>
      <c r="BF529" s="436"/>
      <c r="BG529" s="436"/>
      <c r="BH529" s="436"/>
      <c r="BI529" s="436"/>
      <c r="BJ529" s="436"/>
    </row>
    <row r="530" spans="1:62" ht="15.75" customHeight="1">
      <c r="A530" s="452" t="s">
        <v>57</v>
      </c>
      <c r="B530" s="433"/>
      <c r="C530" s="648" t="s">
        <v>491</v>
      </c>
      <c r="T530" s="436"/>
      <c r="U530" s="436"/>
      <c r="V530" s="541" t="s">
        <v>57</v>
      </c>
      <c r="W530" s="688" t="s">
        <v>150</v>
      </c>
      <c r="X530" s="681"/>
      <c r="Y530" s="681"/>
      <c r="Z530" s="682">
        <f t="shared" si="101"/>
        <v>0</v>
      </c>
      <c r="AA530" s="681"/>
      <c r="AB530" s="681"/>
      <c r="AC530" s="682"/>
      <c r="AD530" s="690"/>
      <c r="AE530" s="689"/>
      <c r="AF530" s="682">
        <f t="shared" si="104"/>
        <v>1367.8299999999981</v>
      </c>
      <c r="AG530" s="683"/>
      <c r="AH530" s="684">
        <f t="shared" si="98"/>
        <v>1367.8299999999981</v>
      </c>
      <c r="AI530" s="685">
        <f t="shared" si="103"/>
        <v>0</v>
      </c>
      <c r="AJ530" s="690"/>
      <c r="AK530" s="689"/>
      <c r="AL530" s="682">
        <f>SUMIFS([3]BV_Data_An_Prec!$AM:$AM,[3]BV_Data_An_Prec!$AQ:$AQ,$V530)</f>
        <v>4226.6199999999981</v>
      </c>
      <c r="AM530" s="686"/>
      <c r="AN530" s="684">
        <f t="shared" si="99"/>
        <v>-2858.79</v>
      </c>
      <c r="AO530" s="691">
        <f t="shared" si="91"/>
        <v>-0.67637734170566577</v>
      </c>
      <c r="AP530" s="436"/>
      <c r="AQ530" s="436"/>
      <c r="AR530" s="436"/>
      <c r="AS530" s="436"/>
      <c r="AT530" s="436"/>
      <c r="AU530" s="436"/>
      <c r="AV530" s="436"/>
      <c r="AW530" s="436"/>
      <c r="AX530" s="436"/>
      <c r="AY530" s="436"/>
      <c r="AZ530" s="436"/>
      <c r="BA530" s="436"/>
      <c r="BB530" s="436"/>
      <c r="BC530" s="436"/>
      <c r="BD530" s="436"/>
      <c r="BE530" s="436"/>
      <c r="BF530" s="436"/>
      <c r="BG530" s="436"/>
      <c r="BH530" s="436"/>
      <c r="BI530" s="436"/>
      <c r="BJ530" s="436"/>
    </row>
    <row r="531" spans="1:62" ht="15.75" customHeight="1">
      <c r="A531" s="452" t="s">
        <v>58</v>
      </c>
      <c r="B531" s="433"/>
      <c r="C531" s="648" t="s">
        <v>491</v>
      </c>
      <c r="T531" s="436"/>
      <c r="U531" s="436"/>
      <c r="V531" s="541" t="s">
        <v>58</v>
      </c>
      <c r="W531" s="688" t="s">
        <v>151</v>
      </c>
      <c r="X531" s="681"/>
      <c r="Y531" s="681"/>
      <c r="Z531" s="682">
        <f t="shared" si="101"/>
        <v>0</v>
      </c>
      <c r="AA531" s="681"/>
      <c r="AB531" s="681"/>
      <c r="AC531" s="682"/>
      <c r="AD531" s="690"/>
      <c r="AE531" s="689"/>
      <c r="AF531" s="682">
        <f t="shared" si="104"/>
        <v>2523.6400000000008</v>
      </c>
      <c r="AG531" s="683"/>
      <c r="AH531" s="684">
        <f t="shared" si="98"/>
        <v>2523.6400000000008</v>
      </c>
      <c r="AI531" s="704">
        <f t="shared" si="103"/>
        <v>0</v>
      </c>
      <c r="AJ531" s="690"/>
      <c r="AK531" s="689"/>
      <c r="AL531" s="682">
        <f>SUMIFS([3]BV_Data_An_Prec!$AM:$AM,[3]BV_Data_An_Prec!$AQ:$AQ,$V531)</f>
        <v>581.55000000000064</v>
      </c>
      <c r="AM531" s="686"/>
      <c r="AN531" s="684">
        <f t="shared" si="99"/>
        <v>1942.0900000000001</v>
      </c>
      <c r="AO531" s="691">
        <f t="shared" si="91"/>
        <v>3.3395064912733181</v>
      </c>
      <c r="AP531" s="436"/>
      <c r="AQ531" s="436"/>
      <c r="AR531" s="436"/>
      <c r="AS531" s="436"/>
      <c r="AT531" s="436"/>
      <c r="AU531" s="436"/>
      <c r="AV531" s="436"/>
      <c r="AW531" s="436"/>
      <c r="AX531" s="436"/>
      <c r="AY531" s="436"/>
      <c r="AZ531" s="436"/>
      <c r="BA531" s="436"/>
      <c r="BB531" s="436"/>
      <c r="BC531" s="436"/>
      <c r="BD531" s="436"/>
      <c r="BE531" s="436"/>
      <c r="BF531" s="436"/>
      <c r="BG531" s="436"/>
      <c r="BH531" s="436"/>
      <c r="BI531" s="436"/>
      <c r="BJ531" s="436"/>
    </row>
    <row r="532" spans="1:62" ht="15.75" customHeight="1">
      <c r="A532" s="452" t="s">
        <v>59</v>
      </c>
      <c r="B532" s="433"/>
      <c r="C532" s="648" t="s">
        <v>491</v>
      </c>
      <c r="T532" s="436"/>
      <c r="U532" s="436"/>
      <c r="V532" s="541" t="s">
        <v>59</v>
      </c>
      <c r="W532" s="688" t="s">
        <v>152</v>
      </c>
      <c r="X532" s="681"/>
      <c r="Y532" s="681"/>
      <c r="Z532" s="682">
        <f t="shared" si="101"/>
        <v>0</v>
      </c>
      <c r="AA532" s="681"/>
      <c r="AB532" s="681"/>
      <c r="AC532" s="682"/>
      <c r="AD532" s="690"/>
      <c r="AE532" s="689"/>
      <c r="AF532" s="682">
        <f t="shared" si="104"/>
        <v>3715.949999999998</v>
      </c>
      <c r="AG532" s="683"/>
      <c r="AH532" s="684">
        <f t="shared" si="98"/>
        <v>3715.949999999998</v>
      </c>
      <c r="AI532" s="685">
        <f t="shared" si="103"/>
        <v>0</v>
      </c>
      <c r="AJ532" s="690"/>
      <c r="AK532" s="689"/>
      <c r="AL532" s="682">
        <f>SUMIFS([3]BV_Data_An_Prec!$AM:$AM,[3]BV_Data_An_Prec!$AQ:$AQ,$V532)</f>
        <v>5647.37</v>
      </c>
      <c r="AM532" s="686"/>
      <c r="AN532" s="684">
        <f t="shared" si="99"/>
        <v>-1931.4200000000019</v>
      </c>
      <c r="AO532" s="691">
        <f t="shared" si="91"/>
        <v>-0.34200344585178621</v>
      </c>
      <c r="AP532" s="436"/>
      <c r="AQ532" s="436"/>
      <c r="AR532" s="436"/>
      <c r="AS532" s="436"/>
      <c r="AT532" s="436"/>
      <c r="AU532" s="436"/>
      <c r="AV532" s="436"/>
      <c r="AW532" s="436"/>
      <c r="AX532" s="436"/>
      <c r="AY532" s="436"/>
      <c r="AZ532" s="436"/>
      <c r="BA532" s="436"/>
      <c r="BB532" s="436"/>
      <c r="BC532" s="436"/>
      <c r="BD532" s="436"/>
      <c r="BE532" s="436"/>
      <c r="BF532" s="436"/>
      <c r="BG532" s="436"/>
      <c r="BH532" s="436"/>
      <c r="BI532" s="436"/>
      <c r="BJ532" s="436"/>
    </row>
    <row r="533" spans="1:62" ht="15.75" customHeight="1">
      <c r="A533" s="452" t="s">
        <v>60</v>
      </c>
      <c r="B533" s="433"/>
      <c r="C533" s="648" t="s">
        <v>491</v>
      </c>
      <c r="T533" s="436"/>
      <c r="U533" s="436"/>
      <c r="V533" s="541" t="s">
        <v>60</v>
      </c>
      <c r="W533" s="688" t="s">
        <v>153</v>
      </c>
      <c r="X533" s="681"/>
      <c r="Y533" s="689"/>
      <c r="Z533" s="682">
        <f t="shared" si="101"/>
        <v>0</v>
      </c>
      <c r="AA533" s="681"/>
      <c r="AB533" s="689"/>
      <c r="AC533" s="682"/>
      <c r="AD533" s="690"/>
      <c r="AE533" s="689"/>
      <c r="AF533" s="682">
        <f>SUMIFS([3]BV_Data_An_Cour!$AM:$AM,[3]BV_Data_An_Cour!$AQ:$AQ,$V533)</f>
        <v>9924.3299999999981</v>
      </c>
      <c r="AG533" s="683"/>
      <c r="AH533" s="684">
        <f t="shared" si="98"/>
        <v>9924.3299999999981</v>
      </c>
      <c r="AI533" s="704">
        <f t="shared" si="103"/>
        <v>0</v>
      </c>
      <c r="AJ533" s="690"/>
      <c r="AK533" s="689"/>
      <c r="AL533" s="682">
        <f>SUMIFS([3]BV_Data_An_Prec!$AM:$AM,[3]BV_Data_An_Prec!$AQ:$AQ,$V533)</f>
        <v>14257.789999999999</v>
      </c>
      <c r="AM533" s="686"/>
      <c r="AN533" s="684">
        <f t="shared" si="99"/>
        <v>-4333.4600000000009</v>
      </c>
      <c r="AO533" s="691">
        <f t="shared" si="91"/>
        <v>-0.30393630429400359</v>
      </c>
      <c r="AP533" s="436"/>
      <c r="AQ533" s="436"/>
      <c r="AR533" s="436"/>
      <c r="AS533" s="436"/>
      <c r="AT533" s="436"/>
      <c r="AU533" s="436"/>
      <c r="AV533" s="436"/>
      <c r="AW533" s="436"/>
      <c r="AX533" s="436"/>
      <c r="AY533" s="436"/>
      <c r="AZ533" s="436"/>
      <c r="BA533" s="436"/>
      <c r="BB533" s="436"/>
      <c r="BC533" s="436"/>
      <c r="BD533" s="436"/>
      <c r="BE533" s="436"/>
      <c r="BF533" s="436"/>
      <c r="BG533" s="436"/>
      <c r="BH533" s="436"/>
      <c r="BI533" s="436"/>
      <c r="BJ533" s="436"/>
    </row>
    <row r="534" spans="1:62" ht="15.75" customHeight="1">
      <c r="A534" s="452" t="s">
        <v>61</v>
      </c>
      <c r="B534" s="433"/>
      <c r="C534" s="648" t="s">
        <v>491</v>
      </c>
      <c r="T534" s="436"/>
      <c r="U534" s="436"/>
      <c r="V534" s="541" t="s">
        <v>61</v>
      </c>
      <c r="W534" s="688" t="s">
        <v>154</v>
      </c>
      <c r="X534" s="681"/>
      <c r="Y534" s="689"/>
      <c r="Z534" s="682">
        <f t="shared" si="101"/>
        <v>0</v>
      </c>
      <c r="AA534" s="681"/>
      <c r="AB534" s="689"/>
      <c r="AC534" s="682"/>
      <c r="AD534" s="690"/>
      <c r="AE534" s="689"/>
      <c r="AF534" s="682">
        <f>+SUMIF($C:$C,$V534,L:L)</f>
        <v>6511.4500000000007</v>
      </c>
      <c r="AG534" s="683"/>
      <c r="AH534" s="684">
        <f t="shared" si="98"/>
        <v>6511.4500000000007</v>
      </c>
      <c r="AI534" s="685">
        <f t="shared" si="103"/>
        <v>0</v>
      </c>
      <c r="AJ534" s="690"/>
      <c r="AK534" s="689"/>
      <c r="AL534" s="682">
        <f>SUMIFS([3]BV_Data_An_Prec!$AM:$AM,[3]BV_Data_An_Prec!$AQ:$AQ,$V534)</f>
        <v>7885.760000000002</v>
      </c>
      <c r="AM534" s="686"/>
      <c r="AN534" s="684">
        <f t="shared" si="99"/>
        <v>-1374.3100000000013</v>
      </c>
      <c r="AO534" s="691">
        <f t="shared" si="91"/>
        <v>-0.1742774317250336</v>
      </c>
      <c r="AQ534" s="436"/>
      <c r="AR534" s="436"/>
      <c r="AS534" s="436"/>
      <c r="AT534" s="436"/>
      <c r="AU534" s="436"/>
      <c r="AV534" s="436"/>
      <c r="AW534" s="436"/>
      <c r="AX534" s="436"/>
      <c r="AY534" s="436"/>
      <c r="AZ534" s="436"/>
      <c r="BA534" s="436"/>
      <c r="BB534" s="436"/>
      <c r="BC534" s="436"/>
      <c r="BD534" s="436"/>
      <c r="BE534" s="436"/>
      <c r="BF534" s="436"/>
      <c r="BG534" s="436"/>
      <c r="BH534" s="436"/>
      <c r="BI534" s="436"/>
      <c r="BJ534" s="436"/>
    </row>
    <row r="535" spans="1:62" ht="15.75" customHeight="1">
      <c r="A535" s="452" t="s">
        <v>62</v>
      </c>
      <c r="B535" s="433"/>
      <c r="C535" s="648" t="s">
        <v>491</v>
      </c>
      <c r="T535" s="436"/>
      <c r="U535" s="436"/>
      <c r="V535" s="541" t="s">
        <v>62</v>
      </c>
      <c r="W535" s="688" t="s">
        <v>155</v>
      </c>
      <c r="X535" s="681"/>
      <c r="Y535" s="685" t="e">
        <f>Z535/Z493</f>
        <v>#REF!</v>
      </c>
      <c r="Z535" s="682">
        <f t="shared" si="101"/>
        <v>0</v>
      </c>
      <c r="AA535" s="681"/>
      <c r="AB535" s="689"/>
      <c r="AC535" s="682"/>
      <c r="AD535" s="690"/>
      <c r="AE535" s="689"/>
      <c r="AF535" s="682">
        <f>SUMIFS([3]BV_Data_An_Cour!$AM:$AM,[3]BV_Data_An_Cour!$AQ:$AQ,$V535)</f>
        <v>8016.9199999999983</v>
      </c>
      <c r="AG535" s="683"/>
      <c r="AH535" s="684">
        <f t="shared" si="98"/>
        <v>8016.9199999999983</v>
      </c>
      <c r="AI535" s="685">
        <f t="shared" si="103"/>
        <v>0</v>
      </c>
      <c r="AJ535" s="690"/>
      <c r="AK535" s="689"/>
      <c r="AL535" s="682">
        <f>SUMIFS([3]BV_Data_An_Prec!$AM:$AM,[3]BV_Data_An_Prec!$AQ:$AQ,$V535)</f>
        <v>1282.04</v>
      </c>
      <c r="AM535" s="686"/>
      <c r="AN535" s="684">
        <f t="shared" si="99"/>
        <v>6734.8799999999983</v>
      </c>
      <c r="AO535" s="691">
        <f t="shared" si="91"/>
        <v>5.2532526286231311</v>
      </c>
      <c r="AQ535" s="436"/>
      <c r="AR535" s="436"/>
      <c r="AS535" s="436"/>
      <c r="AT535" s="436"/>
      <c r="AU535" s="436"/>
      <c r="AV535" s="436"/>
      <c r="AW535" s="436"/>
      <c r="AX535" s="436"/>
      <c r="AY535" s="436"/>
      <c r="AZ535" s="436"/>
      <c r="BA535" s="436"/>
      <c r="BB535" s="436"/>
      <c r="BC535" s="436"/>
      <c r="BD535" s="436"/>
      <c r="BE535" s="436"/>
      <c r="BF535" s="436"/>
      <c r="BG535" s="436"/>
      <c r="BH535" s="436"/>
      <c r="BI535" s="436"/>
      <c r="BJ535" s="436"/>
    </row>
    <row r="536" spans="1:62" ht="17.25" customHeight="1">
      <c r="A536" s="452" t="s">
        <v>19</v>
      </c>
      <c r="B536" s="433"/>
      <c r="C536" s="648" t="s">
        <v>491</v>
      </c>
      <c r="T536" s="436"/>
      <c r="U536" s="436"/>
      <c r="V536" s="541" t="s">
        <v>418</v>
      </c>
      <c r="W536" s="688"/>
      <c r="X536" s="681"/>
      <c r="Y536" s="689"/>
      <c r="Z536" s="682">
        <f t="shared" ref="Z536:Z538" si="105">IFERROR(SUMIF($C:$C,$V536,F:F),0)</f>
        <v>0</v>
      </c>
      <c r="AA536" s="681"/>
      <c r="AB536" s="681"/>
      <c r="AC536" s="682"/>
      <c r="AD536" s="690"/>
      <c r="AE536" s="689"/>
      <c r="AF536" s="682">
        <f t="shared" ref="AF536:AF538" si="106">IFERROR(SUMIF($C:$C,$V536,L:L),0)</f>
        <v>2278.380000000001</v>
      </c>
      <c r="AG536" s="683"/>
      <c r="AH536" s="684">
        <f t="shared" si="98"/>
        <v>2278.380000000001</v>
      </c>
      <c r="AI536" s="685">
        <f t="shared" si="103"/>
        <v>0</v>
      </c>
      <c r="AJ536" s="690"/>
      <c r="AK536" s="689"/>
      <c r="AL536" s="682">
        <f t="shared" ref="AL536:AL538" si="107">IFERROR(SUMIF($C:$C,$V536,R:R),0)</f>
        <v>0</v>
      </c>
      <c r="AM536" s="686"/>
      <c r="AN536" s="684">
        <f t="shared" si="99"/>
        <v>2278.380000000001</v>
      </c>
      <c r="AO536" s="691">
        <f t="shared" si="91"/>
        <v>0</v>
      </c>
      <c r="AP536" s="436"/>
      <c r="AQ536" s="436"/>
      <c r="AR536" s="436"/>
      <c r="AS536" s="436"/>
      <c r="AT536" s="436"/>
      <c r="AU536" s="436"/>
      <c r="AV536" s="436"/>
      <c r="AW536" s="436"/>
      <c r="AX536" s="436"/>
      <c r="AY536" s="436"/>
      <c r="AZ536" s="436"/>
      <c r="BA536" s="436"/>
      <c r="BB536" s="436"/>
      <c r="BC536" s="436"/>
      <c r="BD536" s="436"/>
      <c r="BE536" s="436"/>
      <c r="BF536" s="436"/>
      <c r="BG536" s="436"/>
      <c r="BH536" s="436"/>
      <c r="BI536" s="436"/>
      <c r="BJ536" s="436"/>
    </row>
    <row r="537" spans="1:62" ht="17.25" hidden="1" customHeight="1">
      <c r="A537" s="452" t="s">
        <v>19</v>
      </c>
      <c r="B537" s="433"/>
      <c r="C537" s="648" t="s">
        <v>491</v>
      </c>
      <c r="T537" s="436"/>
      <c r="U537" s="436"/>
      <c r="V537" s="541" t="s">
        <v>19</v>
      </c>
      <c r="W537" s="688"/>
      <c r="X537" s="681"/>
      <c r="Y537" s="689"/>
      <c r="Z537" s="682">
        <f t="shared" si="105"/>
        <v>0</v>
      </c>
      <c r="AA537" s="681"/>
      <c r="AB537" s="681"/>
      <c r="AC537" s="682"/>
      <c r="AD537" s="690"/>
      <c r="AE537" s="689"/>
      <c r="AF537" s="682">
        <f t="shared" si="106"/>
        <v>0</v>
      </c>
      <c r="AG537" s="683"/>
      <c r="AH537" s="684">
        <f t="shared" si="98"/>
        <v>0</v>
      </c>
      <c r="AI537" s="685">
        <f t="shared" si="103"/>
        <v>0</v>
      </c>
      <c r="AJ537" s="690"/>
      <c r="AK537" s="689"/>
      <c r="AL537" s="682">
        <f t="shared" si="107"/>
        <v>0</v>
      </c>
      <c r="AM537" s="686"/>
      <c r="AN537" s="684">
        <f t="shared" si="99"/>
        <v>0</v>
      </c>
      <c r="AO537" s="691">
        <f t="shared" si="91"/>
        <v>0</v>
      </c>
      <c r="AP537" s="436"/>
      <c r="AQ537" s="436"/>
      <c r="AR537" s="436"/>
      <c r="AS537" s="436"/>
      <c r="AT537" s="436"/>
      <c r="AU537" s="436"/>
      <c r="AV537" s="436"/>
      <c r="AW537" s="436"/>
      <c r="AX537" s="436"/>
      <c r="AY537" s="436"/>
      <c r="AZ537" s="436"/>
      <c r="BA537" s="436"/>
      <c r="BB537" s="436"/>
      <c r="BC537" s="436"/>
      <c r="BD537" s="436"/>
      <c r="BE537" s="436"/>
      <c r="BF537" s="436"/>
      <c r="BG537" s="436"/>
      <c r="BH537" s="436"/>
      <c r="BI537" s="436"/>
      <c r="BJ537" s="436"/>
    </row>
    <row r="538" spans="1:62" ht="17.25" hidden="1" customHeight="1">
      <c r="A538" s="452" t="s">
        <v>19</v>
      </c>
      <c r="B538" s="433"/>
      <c r="C538" s="648" t="s">
        <v>491</v>
      </c>
      <c r="T538" s="436"/>
      <c r="U538" s="436"/>
      <c r="V538" s="541" t="s">
        <v>19</v>
      </c>
      <c r="W538" s="688"/>
      <c r="X538" s="681"/>
      <c r="Y538" s="689"/>
      <c r="Z538" s="682">
        <f t="shared" si="105"/>
        <v>0</v>
      </c>
      <c r="AA538" s="681"/>
      <c r="AB538" s="681"/>
      <c r="AC538" s="682"/>
      <c r="AD538" s="690"/>
      <c r="AE538" s="689"/>
      <c r="AF538" s="682">
        <f t="shared" si="106"/>
        <v>0</v>
      </c>
      <c r="AG538" s="683"/>
      <c r="AH538" s="684">
        <f t="shared" si="98"/>
        <v>0</v>
      </c>
      <c r="AI538" s="685">
        <f t="shared" si="103"/>
        <v>0</v>
      </c>
      <c r="AJ538" s="690"/>
      <c r="AK538" s="689"/>
      <c r="AL538" s="682">
        <f t="shared" si="107"/>
        <v>0</v>
      </c>
      <c r="AM538" s="686"/>
      <c r="AN538" s="684">
        <f t="shared" si="99"/>
        <v>0</v>
      </c>
      <c r="AO538" s="691">
        <f t="shared" si="91"/>
        <v>0</v>
      </c>
      <c r="AP538" s="436"/>
      <c r="AQ538" s="436"/>
      <c r="AR538" s="436"/>
      <c r="AS538" s="436"/>
      <c r="AT538" s="436"/>
      <c r="AU538" s="436"/>
      <c r="AV538" s="436"/>
      <c r="AW538" s="436"/>
      <c r="AX538" s="436"/>
      <c r="AY538" s="436"/>
      <c r="AZ538" s="436"/>
      <c r="BA538" s="436"/>
      <c r="BB538" s="436"/>
      <c r="BC538" s="436"/>
      <c r="BD538" s="436"/>
      <c r="BE538" s="436"/>
      <c r="BF538" s="436"/>
      <c r="BG538" s="436"/>
      <c r="BH538" s="436"/>
      <c r="BI538" s="436"/>
      <c r="BJ538" s="436"/>
    </row>
    <row r="539" spans="1:62" ht="21" customHeight="1">
      <c r="A539" s="452" t="s">
        <v>63</v>
      </c>
      <c r="B539" s="433"/>
      <c r="C539" s="648" t="s">
        <v>491</v>
      </c>
      <c r="T539" s="436"/>
      <c r="U539" s="436"/>
      <c r="V539" s="696" t="s">
        <v>63</v>
      </c>
      <c r="W539" s="716"/>
      <c r="X539" s="698" t="e">
        <f>Z539/+Z494</f>
        <v>#REF!</v>
      </c>
      <c r="Y539" s="697"/>
      <c r="Z539" s="699">
        <f>+SUM(Z521:Z538)</f>
        <v>0</v>
      </c>
      <c r="AA539" s="698"/>
      <c r="AB539" s="697"/>
      <c r="AC539" s="699"/>
      <c r="AD539" s="700">
        <f>AF539/AF494</f>
        <v>0.20261800706501482</v>
      </c>
      <c r="AE539" s="697"/>
      <c r="AF539" s="699">
        <f>+SUM(AF521:AF538)</f>
        <v>115599.52999999998</v>
      </c>
      <c r="AG539" s="717"/>
      <c r="AH539" s="718">
        <f>+SUM(AH521:AH538)</f>
        <v>115599.52999999998</v>
      </c>
      <c r="AI539" s="698" t="e">
        <f>AH539/Z539</f>
        <v>#DIV/0!</v>
      </c>
      <c r="AJ539" s="700">
        <f>AL539/AL494</f>
        <v>0.18519792783924433</v>
      </c>
      <c r="AK539" s="697"/>
      <c r="AL539" s="699">
        <f>+SUM(AL521:AL538)</f>
        <v>153427.44</v>
      </c>
      <c r="AM539" s="703"/>
      <c r="AN539" s="701">
        <f t="shared" si="99"/>
        <v>-37827.910000000018</v>
      </c>
      <c r="AO539" s="719">
        <f t="shared" si="91"/>
        <v>-0.24655244198821291</v>
      </c>
      <c r="AP539" s="436"/>
      <c r="AQ539" s="436"/>
      <c r="AR539" s="436"/>
      <c r="AS539" s="436"/>
      <c r="AT539" s="436"/>
      <c r="AU539" s="436"/>
      <c r="AV539" s="436"/>
      <c r="AW539" s="436"/>
      <c r="AX539" s="436"/>
      <c r="AY539" s="436"/>
      <c r="AZ539" s="436"/>
      <c r="BA539" s="436"/>
      <c r="BB539" s="436"/>
      <c r="BC539" s="436"/>
      <c r="BD539" s="436"/>
      <c r="BE539" s="436"/>
      <c r="BF539" s="436"/>
      <c r="BG539" s="436"/>
      <c r="BH539" s="436"/>
      <c r="BI539" s="436"/>
      <c r="BJ539" s="436"/>
    </row>
    <row r="540" spans="1:62" ht="15.75" customHeight="1">
      <c r="A540" s="452" t="s">
        <v>156</v>
      </c>
      <c r="B540" s="433"/>
      <c r="C540" s="648" t="s">
        <v>491</v>
      </c>
      <c r="D540" s="436"/>
      <c r="E540" s="436"/>
      <c r="F540" s="436"/>
      <c r="G540" s="436"/>
      <c r="H540" s="436"/>
      <c r="I540" s="436"/>
      <c r="J540" s="436"/>
      <c r="K540" s="436"/>
      <c r="L540" s="436"/>
      <c r="M540" s="436"/>
      <c r="N540" s="436"/>
      <c r="O540" s="436"/>
      <c r="P540" s="436"/>
      <c r="Q540" s="436"/>
      <c r="R540" s="436"/>
      <c r="S540" s="436"/>
      <c r="T540" s="436"/>
      <c r="U540" s="436"/>
      <c r="V540" s="541" t="s">
        <v>156</v>
      </c>
      <c r="W540" s="688" t="s">
        <v>157</v>
      </c>
      <c r="X540" s="681"/>
      <c r="Y540" s="689"/>
      <c r="Z540" s="682">
        <f t="array" ref="Z540">+INDEX('[3]Budget original'!$A$2:$AO$501,MATCH($A540,'[3]Budget original'!$A$2:$A$501,0),MATCH(F$2,'[3]Budget original'!$A$2:$AO$2,0))</f>
        <v>0</v>
      </c>
      <c r="AA540" s="681"/>
      <c r="AB540" s="689"/>
      <c r="AC540" s="682"/>
      <c r="AD540" s="690"/>
      <c r="AE540" s="689"/>
      <c r="AF540" s="682">
        <f>SUMIFS([3]BV_Data_An_Cour!$AM:$AM,[3]BV_Data_An_Cour!$AQ:$AQ,$V540)</f>
        <v>71050</v>
      </c>
      <c r="AG540" s="683"/>
      <c r="AH540" s="684">
        <f t="shared" ref="AH540:AH548" si="108">AF540-Z540</f>
        <v>71050</v>
      </c>
      <c r="AI540" s="685">
        <f t="shared" ref="AI540:AI548" si="109">IF(Z540=0,0,AH540/Z540)</f>
        <v>0</v>
      </c>
      <c r="AJ540" s="690"/>
      <c r="AK540" s="689"/>
      <c r="AL540" s="682">
        <f>SUMIFS([3]BV_Data_An_Prec!$AM:$AM,[3]BV_Data_An_Prec!$AQ:$AQ,$V540)</f>
        <v>80049.989999999991</v>
      </c>
      <c r="AM540" s="686"/>
      <c r="AN540" s="684">
        <f t="shared" si="99"/>
        <v>-8999.9899999999907</v>
      </c>
      <c r="AO540" s="691">
        <f t="shared" si="91"/>
        <v>-0.11242962054086443</v>
      </c>
      <c r="AP540" s="436"/>
      <c r="AQ540" s="720">
        <v>71050</v>
      </c>
      <c r="AR540" s="436"/>
      <c r="AS540" s="436"/>
      <c r="AT540" s="436"/>
      <c r="AU540" s="436"/>
      <c r="AV540" s="436"/>
      <c r="AW540" s="436"/>
      <c r="AX540" s="436"/>
      <c r="AY540" s="436"/>
      <c r="AZ540" s="436"/>
      <c r="BA540" s="436"/>
      <c r="BB540" s="436"/>
      <c r="BC540" s="436"/>
      <c r="BD540" s="436"/>
      <c r="BE540" s="436"/>
      <c r="BF540" s="436"/>
      <c r="BG540" s="436"/>
      <c r="BH540" s="436"/>
      <c r="BI540" s="436"/>
      <c r="BJ540" s="436"/>
    </row>
    <row r="541" spans="1:62" ht="15.75" customHeight="1">
      <c r="A541" s="452" t="s">
        <v>158</v>
      </c>
      <c r="B541" s="433"/>
      <c r="C541" s="648" t="s">
        <v>491</v>
      </c>
      <c r="D541" s="436"/>
      <c r="E541" s="436"/>
      <c r="F541" s="436"/>
      <c r="G541" s="436"/>
      <c r="H541" s="436"/>
      <c r="I541" s="436"/>
      <c r="J541" s="436"/>
      <c r="K541" s="436"/>
      <c r="L541" s="436"/>
      <c r="M541" s="436"/>
      <c r="N541" s="436"/>
      <c r="O541" s="436"/>
      <c r="P541" s="436"/>
      <c r="Q541" s="436"/>
      <c r="R541" s="436"/>
      <c r="S541" s="436"/>
      <c r="T541" s="436"/>
      <c r="U541" s="436"/>
      <c r="V541" s="541" t="s">
        <v>158</v>
      </c>
      <c r="W541" s="688" t="s">
        <v>159</v>
      </c>
      <c r="X541" s="681"/>
      <c r="Y541" s="689"/>
      <c r="Z541" s="682">
        <f t="array" ref="Z541">+INDEX('[3]Budget original'!$A$2:$AO$501,MATCH($A541,'[3]Budget original'!$A$2:$A$501,0),MATCH(F$2,'[3]Budget original'!$A$2:$AO$2,0))</f>
        <v>0</v>
      </c>
      <c r="AA541" s="681"/>
      <c r="AB541" s="689"/>
      <c r="AC541" s="682"/>
      <c r="AD541" s="690"/>
      <c r="AE541" s="689"/>
      <c r="AF541" s="682">
        <f>SUMIFS([3]BV_Data_An_Cour!$AM:$AM,[3]BV_Data_An_Cour!$AQ:$AQ,$V541)</f>
        <v>7053.8899999999976</v>
      </c>
      <c r="AG541" s="683"/>
      <c r="AH541" s="684">
        <f t="shared" si="108"/>
        <v>7053.8899999999976</v>
      </c>
      <c r="AI541" s="685">
        <f t="shared" si="109"/>
        <v>0</v>
      </c>
      <c r="AJ541" s="690"/>
      <c r="AK541" s="689"/>
      <c r="AL541" s="682">
        <f>SUMIFS([3]BV_Data_An_Prec!$AM:$AM,[3]BV_Data_An_Prec!$AQ:$AQ,$V541)</f>
        <v>12238</v>
      </c>
      <c r="AM541" s="686"/>
      <c r="AN541" s="684">
        <f t="shared" si="99"/>
        <v>-5184.1100000000024</v>
      </c>
      <c r="AO541" s="691">
        <f t="shared" si="91"/>
        <v>-0.4236076156234681</v>
      </c>
      <c r="AP541" s="436"/>
      <c r="AQ541" s="720">
        <v>7054</v>
      </c>
      <c r="AR541" s="436"/>
      <c r="AS541" s="436"/>
      <c r="AT541" s="436"/>
      <c r="AU541" s="436"/>
      <c r="AV541" s="436"/>
      <c r="AW541" s="436"/>
      <c r="AX541" s="436"/>
      <c r="AY541" s="436"/>
      <c r="AZ541" s="436"/>
      <c r="BA541" s="436"/>
      <c r="BB541" s="436"/>
      <c r="BC541" s="436"/>
      <c r="BD541" s="436"/>
      <c r="BE541" s="436"/>
      <c r="BF541" s="436"/>
      <c r="BG541" s="436"/>
      <c r="BH541" s="436"/>
      <c r="BI541" s="436"/>
      <c r="BJ541" s="436"/>
    </row>
    <row r="542" spans="1:62" ht="15.75" customHeight="1">
      <c r="A542" s="452" t="s">
        <v>160</v>
      </c>
      <c r="B542" s="433"/>
      <c r="C542" s="648" t="s">
        <v>491</v>
      </c>
      <c r="D542" s="436"/>
      <c r="E542" s="436"/>
      <c r="F542" s="436"/>
      <c r="G542" s="436"/>
      <c r="H542" s="436"/>
      <c r="I542" s="436"/>
      <c r="J542" s="436"/>
      <c r="K542" s="436"/>
      <c r="L542" s="436"/>
      <c r="M542" s="436"/>
      <c r="N542" s="436"/>
      <c r="O542" s="436"/>
      <c r="P542" s="436"/>
      <c r="Q542" s="436"/>
      <c r="R542" s="436"/>
      <c r="S542" s="436"/>
      <c r="T542" s="436"/>
      <c r="U542" s="436"/>
      <c r="V542" s="542" t="s">
        <v>160</v>
      </c>
      <c r="W542" s="692" t="s">
        <v>161</v>
      </c>
      <c r="X542" s="664"/>
      <c r="Y542" s="693"/>
      <c r="Z542" s="665">
        <f t="array" ref="Z542">+INDEX('[3]Budget original'!$A$2:$AO$501,MATCH($A542,'[3]Budget original'!$A$2:$A$501,0),MATCH(F$2,'[3]Budget original'!$A$2:$AO$2,0))</f>
        <v>0</v>
      </c>
      <c r="AA542" s="664"/>
      <c r="AB542" s="693"/>
      <c r="AC542" s="665"/>
      <c r="AD542" s="694"/>
      <c r="AE542" s="693"/>
      <c r="AF542" s="665">
        <f>SUMIFS([3]BV_Data_An_Cour!$AM:$AM,[3]BV_Data_An_Cour!$AQ:$AQ,$V542)</f>
        <v>14727.609999999999</v>
      </c>
      <c r="AG542" s="666"/>
      <c r="AH542" s="667">
        <f t="shared" si="108"/>
        <v>14727.609999999999</v>
      </c>
      <c r="AI542" s="695">
        <f t="shared" si="109"/>
        <v>0</v>
      </c>
      <c r="AJ542" s="694"/>
      <c r="AK542" s="693"/>
      <c r="AL542" s="665">
        <f>SUMIFS([3]BV_Data_An_Prec!$AM:$AM,[3]BV_Data_An_Prec!$AQ:$AQ,$V542)</f>
        <v>10000</v>
      </c>
      <c r="AM542" s="669"/>
      <c r="AN542" s="667">
        <f t="shared" si="99"/>
        <v>4727.6099999999988</v>
      </c>
      <c r="AO542" s="670">
        <f t="shared" si="91"/>
        <v>0.47276099999999988</v>
      </c>
      <c r="AP542" s="436"/>
      <c r="AQ542" s="720">
        <v>14728</v>
      </c>
      <c r="AR542" s="436"/>
      <c r="AS542" s="436"/>
      <c r="AT542" s="436"/>
      <c r="AU542" s="436"/>
      <c r="AV542" s="436"/>
      <c r="AW542" s="436"/>
      <c r="AX542" s="436"/>
      <c r="AY542" s="436"/>
      <c r="AZ542" s="436"/>
      <c r="BA542" s="436"/>
      <c r="BB542" s="436"/>
      <c r="BC542" s="436"/>
      <c r="BD542" s="436"/>
      <c r="BE542" s="436"/>
      <c r="BF542" s="436"/>
      <c r="BG542" s="436"/>
      <c r="BH542" s="436"/>
      <c r="BI542" s="436"/>
      <c r="BJ542" s="436"/>
    </row>
    <row r="543" spans="1:62" ht="17.25" hidden="1" customHeight="1">
      <c r="A543" s="452" t="s">
        <v>162</v>
      </c>
      <c r="B543" s="433"/>
      <c r="C543" s="648" t="s">
        <v>491</v>
      </c>
      <c r="D543" s="436"/>
      <c r="E543" s="436"/>
      <c r="F543" s="436"/>
      <c r="G543" s="436"/>
      <c r="H543" s="436"/>
      <c r="I543" s="436"/>
      <c r="J543" s="436"/>
      <c r="K543" s="436"/>
      <c r="L543" s="436"/>
      <c r="M543" s="436"/>
      <c r="N543" s="436"/>
      <c r="O543" s="436"/>
      <c r="P543" s="436"/>
      <c r="Q543" s="436"/>
      <c r="R543" s="436"/>
      <c r="S543" s="436"/>
      <c r="T543" s="436"/>
      <c r="U543" s="436"/>
      <c r="V543" s="541" t="s">
        <v>162</v>
      </c>
      <c r="W543" s="688"/>
      <c r="X543" s="681"/>
      <c r="Y543" s="689"/>
      <c r="Z543" s="682">
        <f t="array" ref="Z543">+INDEX('[3]Budget original'!$A$2:$AO$501,MATCH($A543,'[3]Budget original'!$A$2:$A$501,0),MATCH(F$2,'[3]Budget original'!$A$2:$AO$2,0))</f>
        <v>0</v>
      </c>
      <c r="AA543" s="681"/>
      <c r="AB543" s="689"/>
      <c r="AC543" s="682"/>
      <c r="AD543" s="690"/>
      <c r="AE543" s="689"/>
      <c r="AF543" s="682">
        <f>SUMIFS([3]BV_Data_An_Cour!$AM:$AM,[3]BV_Data_An_Cour!$AQ:$AQ,$V543)</f>
        <v>0</v>
      </c>
      <c r="AG543" s="683"/>
      <c r="AH543" s="684">
        <f t="shared" si="108"/>
        <v>0</v>
      </c>
      <c r="AI543" s="685">
        <f t="shared" si="109"/>
        <v>0</v>
      </c>
      <c r="AJ543" s="690"/>
      <c r="AK543" s="689"/>
      <c r="AL543" s="682">
        <f>SUMIFS([3]BV_Data_An_Prec!$AM:$AM,[3]BV_Data_An_Prec!$AQ:$AQ,$V543)</f>
        <v>0</v>
      </c>
      <c r="AM543" s="686"/>
      <c r="AN543" s="684">
        <f t="shared" si="99"/>
        <v>0</v>
      </c>
      <c r="AO543" s="691">
        <f t="shared" si="91"/>
        <v>0</v>
      </c>
      <c r="AP543" s="436"/>
      <c r="AQ543" s="720"/>
      <c r="AR543" s="436"/>
      <c r="AS543" s="436"/>
      <c r="AT543" s="436"/>
      <c r="AU543" s="436"/>
      <c r="AV543" s="436"/>
      <c r="AW543" s="436"/>
      <c r="AX543" s="436"/>
      <c r="AY543" s="436"/>
      <c r="AZ543" s="436"/>
      <c r="BA543" s="436"/>
      <c r="BB543" s="436"/>
      <c r="BC543" s="436"/>
      <c r="BD543" s="436"/>
      <c r="BE543" s="436"/>
      <c r="BF543" s="436"/>
      <c r="BG543" s="436"/>
      <c r="BH543" s="436"/>
      <c r="BI543" s="436"/>
      <c r="BJ543" s="436"/>
    </row>
    <row r="544" spans="1:62" ht="15.75" customHeight="1">
      <c r="A544" s="452" t="s">
        <v>163</v>
      </c>
      <c r="B544" s="433"/>
      <c r="C544" s="648" t="s">
        <v>491</v>
      </c>
      <c r="D544" s="436"/>
      <c r="E544" s="436"/>
      <c r="F544" s="436"/>
      <c r="G544" s="436"/>
      <c r="H544" s="436"/>
      <c r="I544" s="436"/>
      <c r="J544" s="436"/>
      <c r="K544" s="436"/>
      <c r="L544" s="436"/>
      <c r="M544" s="436"/>
      <c r="N544" s="436"/>
      <c r="O544" s="436"/>
      <c r="P544" s="436"/>
      <c r="Q544" s="436"/>
      <c r="R544" s="436"/>
      <c r="S544" s="436"/>
      <c r="T544" s="436"/>
      <c r="U544" s="436"/>
      <c r="V544" s="542" t="s">
        <v>163</v>
      </c>
      <c r="W544" s="692" t="s">
        <v>164</v>
      </c>
      <c r="X544" s="664"/>
      <c r="Y544" s="693"/>
      <c r="Z544" s="665">
        <f t="array" ref="Z544">+INDEX('[3]Budget original'!$A$2:$AO$501,MATCH($A544,'[3]Budget original'!$A$2:$A$501,0),MATCH(F$2,'[3]Budget original'!$A$2:$AO$2,0))</f>
        <v>0</v>
      </c>
      <c r="AA544" s="664"/>
      <c r="AB544" s="693"/>
      <c r="AC544" s="665"/>
      <c r="AD544" s="694"/>
      <c r="AE544" s="693"/>
      <c r="AF544" s="665">
        <f>SUMIF([3]BV_Data_An_Cour!$AQ:$AQ,[3]Print_Mois!$V544,[3]BV_Data_An_Cour!$AM:$AM)</f>
        <v>7841.2899999999991</v>
      </c>
      <c r="AG544" s="666"/>
      <c r="AH544" s="667">
        <f t="shared" si="108"/>
        <v>7841.2899999999991</v>
      </c>
      <c r="AI544" s="695">
        <f t="shared" si="109"/>
        <v>0</v>
      </c>
      <c r="AJ544" s="694"/>
      <c r="AK544" s="693"/>
      <c r="AL544" s="665">
        <f>SUMIFS([3]BV_Data_An_Prec!$AM:$AM,[3]BV_Data_An_Prec!$AQ:$AQ,$V544)</f>
        <v>13073.610000000006</v>
      </c>
      <c r="AM544" s="669"/>
      <c r="AN544" s="667">
        <f t="shared" si="99"/>
        <v>-5232.320000000007</v>
      </c>
      <c r="AO544" s="670">
        <f t="shared" si="91"/>
        <v>-0.40021998514564872</v>
      </c>
      <c r="AP544" s="436"/>
      <c r="AQ544" s="720">
        <v>7841</v>
      </c>
      <c r="AR544" s="436"/>
      <c r="AS544" s="436"/>
      <c r="AT544" s="436"/>
      <c r="AU544" s="436"/>
      <c r="AV544" s="436"/>
      <c r="AW544" s="436"/>
      <c r="AX544" s="436"/>
      <c r="AY544" s="436"/>
      <c r="AZ544" s="436"/>
      <c r="BA544" s="436"/>
      <c r="BB544" s="436"/>
      <c r="BC544" s="436"/>
      <c r="BD544" s="436"/>
      <c r="BE544" s="436"/>
      <c r="BF544" s="436"/>
      <c r="BG544" s="436"/>
      <c r="BH544" s="436"/>
      <c r="BI544" s="436"/>
      <c r="BJ544" s="436"/>
    </row>
    <row r="545" spans="1:62" ht="15.75" customHeight="1">
      <c r="A545" s="452" t="s">
        <v>165</v>
      </c>
      <c r="B545" s="433"/>
      <c r="C545" s="648" t="s">
        <v>491</v>
      </c>
      <c r="D545" s="436"/>
      <c r="E545" s="436"/>
      <c r="F545" s="436"/>
      <c r="G545" s="436"/>
      <c r="H545" s="436"/>
      <c r="I545" s="436"/>
      <c r="J545" s="436"/>
      <c r="K545" s="436"/>
      <c r="L545" s="436"/>
      <c r="M545" s="436"/>
      <c r="N545" s="436"/>
      <c r="O545" s="436"/>
      <c r="P545" s="436"/>
      <c r="Q545" s="436"/>
      <c r="R545" s="436"/>
      <c r="S545" s="436"/>
      <c r="T545" s="436"/>
      <c r="U545" s="436"/>
      <c r="V545" s="541" t="s">
        <v>165</v>
      </c>
      <c r="W545" s="688" t="s">
        <v>166</v>
      </c>
      <c r="X545" s="721"/>
      <c r="Y545" s="722"/>
      <c r="Z545" s="682">
        <f t="array" ref="Z545">+INDEX('[3]Budget original'!$A$2:$AO$501,MATCH($A545,'[3]Budget original'!$A$2:$A$501,0),MATCH(F$2,'[3]Budget original'!$A$2:$AO$2,0))</f>
        <v>0</v>
      </c>
      <c r="AA545" s="721"/>
      <c r="AB545" s="722"/>
      <c r="AC545" s="682"/>
      <c r="AD545" s="690"/>
      <c r="AE545" s="689"/>
      <c r="AF545" s="682">
        <f>SUMIFS([3]BV_Data_An_Cour!$AM:$AM,[3]BV_Data_An_Cour!$AQ:$AQ,$V545)</f>
        <v>11100</v>
      </c>
      <c r="AG545" s="683"/>
      <c r="AH545" s="684">
        <f t="shared" si="108"/>
        <v>11100</v>
      </c>
      <c r="AI545" s="685">
        <f t="shared" si="109"/>
        <v>0</v>
      </c>
      <c r="AJ545" s="690"/>
      <c r="AK545" s="689"/>
      <c r="AL545" s="682">
        <f>SUMIFS([3]BV_Data_An_Prec!$AM:$AM,[3]BV_Data_An_Prec!$AQ:$AQ,$V545)</f>
        <v>9936.6999999999989</v>
      </c>
      <c r="AM545" s="686"/>
      <c r="AN545" s="684">
        <f t="shared" si="99"/>
        <v>1163.3000000000011</v>
      </c>
      <c r="AO545" s="691">
        <f t="shared" si="91"/>
        <v>0.11707105980858849</v>
      </c>
      <c r="AP545" s="436"/>
      <c r="AQ545" s="720">
        <v>11100</v>
      </c>
      <c r="AR545" s="436"/>
      <c r="AS545" s="436"/>
      <c r="AT545" s="436"/>
      <c r="AU545" s="436"/>
      <c r="AV545" s="436"/>
      <c r="AW545" s="436"/>
      <c r="AX545" s="436"/>
      <c r="AY545" s="436"/>
      <c r="AZ545" s="436"/>
      <c r="BA545" s="436"/>
      <c r="BB545" s="436"/>
      <c r="BC545" s="436"/>
      <c r="BD545" s="436"/>
      <c r="BE545" s="436"/>
      <c r="BF545" s="436"/>
      <c r="BG545" s="436"/>
      <c r="BH545" s="436"/>
      <c r="BI545" s="436"/>
      <c r="BJ545" s="436"/>
    </row>
    <row r="546" spans="1:62" ht="15.75" customHeight="1">
      <c r="A546" s="452" t="s">
        <v>167</v>
      </c>
      <c r="B546" s="433"/>
      <c r="C546" s="648" t="s">
        <v>491</v>
      </c>
      <c r="D546" s="436"/>
      <c r="E546" s="436"/>
      <c r="F546" s="436"/>
      <c r="G546" s="436"/>
      <c r="H546" s="436"/>
      <c r="I546" s="436"/>
      <c r="J546" s="436"/>
      <c r="K546" s="436"/>
      <c r="L546" s="436"/>
      <c r="M546" s="436"/>
      <c r="N546" s="436"/>
      <c r="O546" s="436"/>
      <c r="P546" s="436"/>
      <c r="Q546" s="436"/>
      <c r="R546" s="436"/>
      <c r="S546" s="436"/>
      <c r="T546" s="436"/>
      <c r="U546" s="436"/>
      <c r="V546" s="541" t="s">
        <v>167</v>
      </c>
      <c r="W546" s="688" t="s">
        <v>168</v>
      </c>
      <c r="X546" s="681"/>
      <c r="Y546" s="689"/>
      <c r="Z546" s="682">
        <f t="array" ref="Z546">+INDEX('[3]Budget original'!$A$2:$AO$501,MATCH($A546,'[3]Budget original'!$A$2:$A$501,0),MATCH(F$2,'[3]Budget original'!$A$2:$AO$2,0))</f>
        <v>0</v>
      </c>
      <c r="AA546" s="681"/>
      <c r="AB546" s="689"/>
      <c r="AC546" s="682"/>
      <c r="AD546" s="690"/>
      <c r="AE546" s="689"/>
      <c r="AF546" s="682">
        <f>SUMIFS([3]BV_Data_An_Cour!$AM:$AM,[3]BV_Data_An_Cour!$AQ:$AQ,$V546)</f>
        <v>5434.869999999999</v>
      </c>
      <c r="AG546" s="683"/>
      <c r="AH546" s="684">
        <f t="shared" si="108"/>
        <v>5434.869999999999</v>
      </c>
      <c r="AI546" s="685">
        <f t="shared" si="109"/>
        <v>0</v>
      </c>
      <c r="AJ546" s="690"/>
      <c r="AK546" s="689"/>
      <c r="AL546" s="682">
        <f>SUMIFS([3]BV_Data_An_Prec!$AM:$AM,[3]BV_Data_An_Prec!$AQ:$AQ,$V546)</f>
        <v>10861.199999999999</v>
      </c>
      <c r="AM546" s="686"/>
      <c r="AN546" s="684">
        <f t="shared" si="99"/>
        <v>-5426.33</v>
      </c>
      <c r="AO546" s="691">
        <f t="shared" si="91"/>
        <v>-0.49960685743748395</v>
      </c>
      <c r="AP546" s="436"/>
      <c r="AQ546" s="436"/>
      <c r="AR546" s="436"/>
      <c r="AS546" s="436"/>
      <c r="AT546" s="436"/>
      <c r="AU546" s="436"/>
      <c r="AV546" s="436"/>
      <c r="AW546" s="436"/>
      <c r="AX546" s="436"/>
      <c r="AY546" s="436"/>
      <c r="AZ546" s="436"/>
      <c r="BA546" s="436"/>
      <c r="BB546" s="436"/>
      <c r="BC546" s="436"/>
      <c r="BD546" s="436"/>
      <c r="BE546" s="436"/>
      <c r="BF546" s="436"/>
      <c r="BG546" s="436"/>
      <c r="BH546" s="436"/>
      <c r="BI546" s="436"/>
      <c r="BJ546" s="436"/>
    </row>
    <row r="547" spans="1:62" ht="15.75" customHeight="1">
      <c r="A547" s="452" t="s">
        <v>169</v>
      </c>
      <c r="B547" s="433"/>
      <c r="C547" s="648" t="s">
        <v>491</v>
      </c>
      <c r="D547" s="436"/>
      <c r="E547" s="436"/>
      <c r="F547" s="436"/>
      <c r="G547" s="436"/>
      <c r="H547" s="436"/>
      <c r="I547" s="436"/>
      <c r="J547" s="436"/>
      <c r="K547" s="436"/>
      <c r="L547" s="436"/>
      <c r="M547" s="436"/>
      <c r="N547" s="436"/>
      <c r="O547" s="436"/>
      <c r="P547" s="436"/>
      <c r="Q547" s="436"/>
      <c r="R547" s="436"/>
      <c r="S547" s="436"/>
      <c r="T547" s="436"/>
      <c r="U547" s="436"/>
      <c r="V547" s="542" t="s">
        <v>169</v>
      </c>
      <c r="W547" s="692" t="s">
        <v>170</v>
      </c>
      <c r="X547" s="664"/>
      <c r="Y547" s="693"/>
      <c r="Z547" s="665">
        <f t="array" ref="Z547">+INDEX('[3]Budget original'!$A$2:$AO$501,MATCH($A547,'[3]Budget original'!$A$2:$A$501,0),MATCH(F$2,'[3]Budget original'!$A$2:$AO$2,0))</f>
        <v>0</v>
      </c>
      <c r="AA547" s="664"/>
      <c r="AB547" s="693"/>
      <c r="AC547" s="665"/>
      <c r="AD547" s="694"/>
      <c r="AE547" s="693"/>
      <c r="AF547" s="665">
        <f>SUMIFS([3]BV_Data_An_Cour!$AM:$AM,[3]BV_Data_An_Cour!$AQ:$AQ,$V547)</f>
        <v>10786.670000000002</v>
      </c>
      <c r="AG547" s="666"/>
      <c r="AH547" s="667">
        <f t="shared" si="108"/>
        <v>10786.670000000002</v>
      </c>
      <c r="AI547" s="695">
        <f t="shared" si="109"/>
        <v>0</v>
      </c>
      <c r="AJ547" s="694"/>
      <c r="AK547" s="693"/>
      <c r="AL547" s="665">
        <f>SUMIFS([3]BV_Data_An_Prec!$AM:$AM,[3]BV_Data_An_Prec!$AQ:$AQ,$V547)</f>
        <v>11687.770000000004</v>
      </c>
      <c r="AM547" s="669"/>
      <c r="AN547" s="667">
        <f t="shared" si="99"/>
        <v>-901.10000000000218</v>
      </c>
      <c r="AO547" s="670">
        <f t="shared" si="91"/>
        <v>-7.7097684160451638E-2</v>
      </c>
      <c r="AP547" s="436"/>
      <c r="AQ547" s="436"/>
      <c r="AR547" s="436"/>
      <c r="AS547" s="436"/>
      <c r="AT547" s="436"/>
      <c r="AU547" s="436"/>
      <c r="AV547" s="436"/>
      <c r="AW547" s="436"/>
      <c r="AX547" s="436"/>
      <c r="AY547" s="436"/>
      <c r="AZ547" s="436"/>
      <c r="BA547" s="436"/>
      <c r="BB547" s="436"/>
      <c r="BC547" s="436"/>
      <c r="BD547" s="436"/>
      <c r="BE547" s="436"/>
      <c r="BF547" s="436"/>
      <c r="BG547" s="436"/>
      <c r="BH547" s="436"/>
      <c r="BI547" s="436"/>
      <c r="BJ547" s="436"/>
    </row>
    <row r="548" spans="1:62" ht="15.75" customHeight="1">
      <c r="A548" s="452" t="s">
        <v>171</v>
      </c>
      <c r="B548" s="433"/>
      <c r="C548" s="648" t="s">
        <v>491</v>
      </c>
      <c r="D548" s="436"/>
      <c r="E548" s="436"/>
      <c r="F548" s="436"/>
      <c r="G548" s="436"/>
      <c r="H548" s="436"/>
      <c r="I548" s="436"/>
      <c r="J548" s="436"/>
      <c r="K548" s="436"/>
      <c r="L548" s="436"/>
      <c r="M548" s="436"/>
      <c r="N548" s="436"/>
      <c r="O548" s="436"/>
      <c r="P548" s="436"/>
      <c r="Q548" s="436"/>
      <c r="R548" s="436"/>
      <c r="S548" s="436"/>
      <c r="T548" s="436"/>
      <c r="U548" s="436"/>
      <c r="V548" s="541" t="s">
        <v>171</v>
      </c>
      <c r="W548" s="688" t="s">
        <v>172</v>
      </c>
      <c r="X548" s="681"/>
      <c r="Y548" s="689"/>
      <c r="Z548" s="682">
        <f t="array" ref="Z548">+INDEX('[3]Budget original'!$A$2:$AO$501,MATCH($A548,'[3]Budget original'!$A$2:$A$501,0),MATCH(F$2,'[3]Budget original'!$A$2:$AO$2,0))</f>
        <v>0</v>
      </c>
      <c r="AA548" s="681"/>
      <c r="AB548" s="689"/>
      <c r="AC548" s="682"/>
      <c r="AD548" s="690"/>
      <c r="AE548" s="689"/>
      <c r="AF548" s="682">
        <f>SUMIFS([3]BV_Data_An_Cour!$AM:$AM,[3]BV_Data_An_Cour!$AQ:$AQ,$V548)</f>
        <v>855.75999999999976</v>
      </c>
      <c r="AG548" s="683"/>
      <c r="AH548" s="684">
        <f t="shared" si="108"/>
        <v>855.75999999999976</v>
      </c>
      <c r="AI548" s="723">
        <f t="shared" si="109"/>
        <v>0</v>
      </c>
      <c r="AJ548" s="690"/>
      <c r="AK548" s="689"/>
      <c r="AL548" s="682">
        <f>SUMIFS([3]BV_Data_An_Prec!$AM:$AM,[3]BV_Data_An_Prec!$AQ:$AQ,$V548)</f>
        <v>1954.2500000000007</v>
      </c>
      <c r="AM548" s="686"/>
      <c r="AN548" s="684">
        <f t="shared" si="99"/>
        <v>-1098.4900000000009</v>
      </c>
      <c r="AO548" s="691">
        <f t="shared" si="91"/>
        <v>-0.56210310860944124</v>
      </c>
      <c r="AP548" s="436"/>
      <c r="AQ548" s="436"/>
      <c r="AR548" s="436"/>
      <c r="AS548" s="436"/>
      <c r="AT548" s="436"/>
      <c r="AU548" s="436"/>
      <c r="AV548" s="436"/>
      <c r="AW548" s="436"/>
      <c r="AX548" s="436"/>
      <c r="AY548" s="436"/>
      <c r="AZ548" s="436"/>
      <c r="BA548" s="436"/>
      <c r="BB548" s="436"/>
      <c r="BC548" s="436"/>
      <c r="BD548" s="436"/>
      <c r="BE548" s="436"/>
      <c r="BF548" s="436"/>
      <c r="BG548" s="436"/>
      <c r="BH548" s="436"/>
      <c r="BI548" s="436"/>
      <c r="BJ548" s="436"/>
    </row>
    <row r="549" spans="1:62" ht="17.25" hidden="1" customHeight="1">
      <c r="A549" s="452" t="s">
        <v>173</v>
      </c>
      <c r="B549" s="433"/>
      <c r="C549" s="648" t="s">
        <v>491</v>
      </c>
      <c r="D549" s="436"/>
      <c r="E549" s="436"/>
      <c r="F549" s="436"/>
      <c r="G549" s="436"/>
      <c r="H549" s="436"/>
      <c r="I549" s="436"/>
      <c r="J549" s="436"/>
      <c r="K549" s="436"/>
      <c r="L549" s="436"/>
      <c r="M549" s="436"/>
      <c r="N549" s="436"/>
      <c r="O549" s="436"/>
      <c r="P549" s="436"/>
      <c r="Q549" s="436"/>
      <c r="R549" s="436"/>
      <c r="S549" s="436"/>
      <c r="T549" s="436"/>
      <c r="U549" s="436"/>
      <c r="V549" s="541" t="s">
        <v>173</v>
      </c>
      <c r="W549" s="688" t="s">
        <v>174</v>
      </c>
      <c r="X549" s="681"/>
      <c r="Y549" s="689"/>
      <c r="Z549" s="682">
        <v>0</v>
      </c>
      <c r="AA549" s="681"/>
      <c r="AB549" s="689"/>
      <c r="AC549" s="682"/>
      <c r="AD549" s="690"/>
      <c r="AE549" s="689"/>
      <c r="AF549" s="682">
        <f>SUMIFS([3]BV_Data_An_Cour!$AM:$AM,[3]BV_Data_An_Cour!$AQ:$AQ,$V549)</f>
        <v>0</v>
      </c>
      <c r="AG549" s="683"/>
      <c r="AH549" s="684">
        <v>0</v>
      </c>
      <c r="AI549" s="704">
        <v>0</v>
      </c>
      <c r="AJ549" s="690"/>
      <c r="AK549" s="689"/>
      <c r="AL549" s="682">
        <f>SUMIFS([3]BV_Data_An_Prec!$AM:$AM,[3]BV_Data_An_Prec!$AQ:$AQ,$V549)</f>
        <v>0</v>
      </c>
      <c r="AM549" s="686"/>
      <c r="AN549" s="684">
        <f t="shared" si="99"/>
        <v>0</v>
      </c>
      <c r="AO549" s="691">
        <f t="shared" si="91"/>
        <v>0</v>
      </c>
      <c r="AP549" s="436"/>
      <c r="AQ549" s="436"/>
      <c r="AR549" s="436"/>
      <c r="AS549" s="436"/>
      <c r="AT549" s="436"/>
      <c r="AU549" s="436"/>
      <c r="AV549" s="436"/>
      <c r="AW549" s="436"/>
      <c r="AX549" s="436"/>
      <c r="AY549" s="436"/>
      <c r="AZ549" s="436"/>
      <c r="BA549" s="436"/>
      <c r="BB549" s="436"/>
      <c r="BC549" s="436"/>
      <c r="BD549" s="436"/>
      <c r="BE549" s="436"/>
      <c r="BF549" s="436"/>
      <c r="BG549" s="436"/>
      <c r="BH549" s="436"/>
      <c r="BI549" s="436"/>
      <c r="BJ549" s="436"/>
    </row>
    <row r="550" spans="1:62" ht="17.25" hidden="1" customHeight="1">
      <c r="A550" s="452" t="s">
        <v>19</v>
      </c>
      <c r="B550" s="433"/>
      <c r="C550" s="648" t="s">
        <v>491</v>
      </c>
      <c r="D550" s="436"/>
      <c r="E550" s="436"/>
      <c r="F550" s="436"/>
      <c r="G550" s="436"/>
      <c r="H550" s="436"/>
      <c r="I550" s="436"/>
      <c r="J550" s="436"/>
      <c r="K550" s="436"/>
      <c r="L550" s="436"/>
      <c r="M550" s="436"/>
      <c r="N550" s="436"/>
      <c r="O550" s="436"/>
      <c r="P550" s="436"/>
      <c r="Q550" s="436"/>
      <c r="R550" s="436"/>
      <c r="S550" s="436"/>
      <c r="T550" s="436"/>
      <c r="U550" s="436"/>
      <c r="V550" s="541" t="s">
        <v>19</v>
      </c>
      <c r="W550" s="688"/>
      <c r="X550" s="681"/>
      <c r="Y550" s="689"/>
      <c r="Z550" s="682">
        <f t="shared" ref="Z550:Z552" si="110">IFERROR(SUMIF($C:$C,$V550,F:F),0)</f>
        <v>0</v>
      </c>
      <c r="AA550" s="681"/>
      <c r="AB550" s="681"/>
      <c r="AC550" s="682"/>
      <c r="AD550" s="690"/>
      <c r="AE550" s="689"/>
      <c r="AF550" s="682">
        <f t="shared" ref="AF550:AF552" si="111">IFERROR(SUMIF($C:$C,$V550,L:L),0)</f>
        <v>0</v>
      </c>
      <c r="AG550" s="683"/>
      <c r="AH550" s="684">
        <f t="shared" ref="AH550:AH552" si="112">AF550-Z550</f>
        <v>0</v>
      </c>
      <c r="AI550" s="685">
        <f t="shared" ref="AI550:AI553" si="113">IF(Z550=0,0,AH550/Z550)</f>
        <v>0</v>
      </c>
      <c r="AJ550" s="690"/>
      <c r="AK550" s="689"/>
      <c r="AL550" s="682">
        <f>SUMIFS([3]BV_Data_An_Prec!$AM:$AM,[3]BV_Data_An_Prec!$AQ:$AQ,$V550)</f>
        <v>0</v>
      </c>
      <c r="AM550" s="686"/>
      <c r="AN550" s="684">
        <f t="shared" si="99"/>
        <v>0</v>
      </c>
      <c r="AO550" s="691">
        <f t="shared" si="91"/>
        <v>0</v>
      </c>
      <c r="AP550" s="436"/>
      <c r="AQ550" s="436"/>
      <c r="AR550" s="436"/>
      <c r="AS550" s="436"/>
      <c r="AT550" s="436"/>
      <c r="AU550" s="436"/>
      <c r="AV550" s="436"/>
      <c r="AW550" s="436"/>
      <c r="AX550" s="436"/>
      <c r="AY550" s="436"/>
      <c r="AZ550" s="436"/>
      <c r="BA550" s="436"/>
      <c r="BB550" s="436"/>
      <c r="BC550" s="436"/>
      <c r="BD550" s="436"/>
      <c r="BE550" s="436"/>
      <c r="BF550" s="436"/>
      <c r="BG550" s="436"/>
      <c r="BH550" s="436"/>
      <c r="BI550" s="436"/>
      <c r="BJ550" s="436"/>
    </row>
    <row r="551" spans="1:62" ht="17.25" hidden="1" customHeight="1">
      <c r="A551" s="452" t="s">
        <v>19</v>
      </c>
      <c r="B551" s="433"/>
      <c r="C551" s="648" t="s">
        <v>491</v>
      </c>
      <c r="D551" s="436"/>
      <c r="E551" s="436"/>
      <c r="F551" s="436"/>
      <c r="G551" s="436"/>
      <c r="H551" s="436"/>
      <c r="I551" s="436"/>
      <c r="J551" s="436"/>
      <c r="K551" s="436"/>
      <c r="L551" s="436"/>
      <c r="M551" s="436"/>
      <c r="N551" s="436"/>
      <c r="O551" s="436"/>
      <c r="P551" s="436"/>
      <c r="Q551" s="436"/>
      <c r="R551" s="436"/>
      <c r="S551" s="436"/>
      <c r="T551" s="436"/>
      <c r="U551" s="436"/>
      <c r="V551" s="541" t="s">
        <v>19</v>
      </c>
      <c r="W551" s="688"/>
      <c r="X551" s="681"/>
      <c r="Y551" s="689"/>
      <c r="Z551" s="682">
        <f t="shared" si="110"/>
        <v>0</v>
      </c>
      <c r="AA551" s="681"/>
      <c r="AB551" s="681"/>
      <c r="AC551" s="682"/>
      <c r="AD551" s="690"/>
      <c r="AE551" s="689"/>
      <c r="AF551" s="682">
        <f t="shared" si="111"/>
        <v>0</v>
      </c>
      <c r="AG551" s="683"/>
      <c r="AH551" s="684">
        <f t="shared" si="112"/>
        <v>0</v>
      </c>
      <c r="AI551" s="685">
        <f t="shared" si="113"/>
        <v>0</v>
      </c>
      <c r="AJ551" s="690"/>
      <c r="AK551" s="689"/>
      <c r="AL551" s="682">
        <f>SUMIFS([3]BV_Data_An_Prec!$AM:$AM,[3]BV_Data_An_Prec!$AQ:$AQ,$V551)</f>
        <v>0</v>
      </c>
      <c r="AM551" s="686"/>
      <c r="AN551" s="684">
        <f t="shared" si="99"/>
        <v>0</v>
      </c>
      <c r="AO551" s="691">
        <f t="shared" si="91"/>
        <v>0</v>
      </c>
      <c r="AP551" s="436"/>
      <c r="AQ551" s="436"/>
      <c r="AR551" s="436"/>
      <c r="AS551" s="436"/>
      <c r="AT551" s="436"/>
      <c r="AU551" s="436"/>
      <c r="AV551" s="436"/>
      <c r="AW551" s="436"/>
      <c r="AX551" s="436"/>
      <c r="AY551" s="436"/>
      <c r="AZ551" s="436"/>
      <c r="BA551" s="436"/>
      <c r="BB551" s="436"/>
      <c r="BC551" s="436"/>
      <c r="BD551" s="436"/>
      <c r="BE551" s="436"/>
      <c r="BF551" s="436"/>
      <c r="BG551" s="436"/>
      <c r="BH551" s="436"/>
      <c r="BI551" s="436"/>
      <c r="BJ551" s="436"/>
    </row>
    <row r="552" spans="1:62" ht="17.25" hidden="1" customHeight="1">
      <c r="A552" s="452" t="s">
        <v>19</v>
      </c>
      <c r="B552" s="433"/>
      <c r="C552" s="648" t="s">
        <v>491</v>
      </c>
      <c r="D552" s="436"/>
      <c r="E552" s="436"/>
      <c r="F552" s="436"/>
      <c r="G552" s="436"/>
      <c r="H552" s="436"/>
      <c r="I552" s="436"/>
      <c r="J552" s="436"/>
      <c r="K552" s="436"/>
      <c r="L552" s="436"/>
      <c r="M552" s="436"/>
      <c r="N552" s="436"/>
      <c r="O552" s="436"/>
      <c r="P552" s="436"/>
      <c r="Q552" s="436"/>
      <c r="R552" s="436"/>
      <c r="S552" s="436"/>
      <c r="T552" s="436"/>
      <c r="U552" s="436"/>
      <c r="V552" s="541" t="s">
        <v>19</v>
      </c>
      <c r="W552" s="688"/>
      <c r="X552" s="681"/>
      <c r="Y552" s="689"/>
      <c r="Z552" s="682">
        <f t="shared" si="110"/>
        <v>0</v>
      </c>
      <c r="AA552" s="681"/>
      <c r="AB552" s="681"/>
      <c r="AC552" s="682"/>
      <c r="AD552" s="690"/>
      <c r="AE552" s="689"/>
      <c r="AF552" s="682">
        <f t="shared" si="111"/>
        <v>0</v>
      </c>
      <c r="AG552" s="683"/>
      <c r="AH552" s="684">
        <f t="shared" si="112"/>
        <v>0</v>
      </c>
      <c r="AI552" s="685">
        <f t="shared" si="113"/>
        <v>0</v>
      </c>
      <c r="AJ552" s="690"/>
      <c r="AK552" s="689"/>
      <c r="AL552" s="682">
        <f>SUMIFS([3]BV_Data_An_Prec!$AM:$AM,[3]BV_Data_An_Prec!$AQ:$AQ,$V552)</f>
        <v>0</v>
      </c>
      <c r="AM552" s="686"/>
      <c r="AN552" s="684">
        <f t="shared" si="99"/>
        <v>0</v>
      </c>
      <c r="AO552" s="691">
        <f t="shared" si="91"/>
        <v>0</v>
      </c>
      <c r="AP552" s="436"/>
      <c r="AQ552" s="436"/>
      <c r="AR552" s="436"/>
      <c r="AS552" s="436"/>
      <c r="AT552" s="436"/>
      <c r="AU552" s="436"/>
      <c r="AV552" s="436"/>
      <c r="AW552" s="436"/>
      <c r="AX552" s="436"/>
      <c r="AY552" s="436"/>
      <c r="AZ552" s="436"/>
      <c r="BA552" s="436"/>
      <c r="BB552" s="436"/>
      <c r="BC552" s="436"/>
      <c r="BD552" s="436"/>
      <c r="BE552" s="436"/>
      <c r="BF552" s="436"/>
      <c r="BG552" s="436"/>
      <c r="BH552" s="436"/>
      <c r="BI552" s="436"/>
      <c r="BJ552" s="436"/>
    </row>
    <row r="553" spans="1:62" ht="21" customHeight="1">
      <c r="A553" s="452" t="s">
        <v>175</v>
      </c>
      <c r="B553" s="433"/>
      <c r="C553" s="648" t="s">
        <v>491</v>
      </c>
      <c r="D553" s="436"/>
      <c r="E553" s="436"/>
      <c r="F553" s="436"/>
      <c r="G553" s="436"/>
      <c r="H553" s="436"/>
      <c r="I553" s="436"/>
      <c r="J553" s="436"/>
      <c r="K553" s="436"/>
      <c r="L553" s="436"/>
      <c r="M553" s="436"/>
      <c r="N553" s="436"/>
      <c r="O553" s="436"/>
      <c r="P553" s="436"/>
      <c r="Q553" s="436"/>
      <c r="R553" s="436"/>
      <c r="S553" s="436"/>
      <c r="T553" s="436"/>
      <c r="U553" s="436"/>
      <c r="V553" s="696" t="s">
        <v>175</v>
      </c>
      <c r="W553" s="697"/>
      <c r="X553" s="698" t="e">
        <f>Z553/+Z494</f>
        <v>#REF!</v>
      </c>
      <c r="Y553" s="697"/>
      <c r="Z553" s="699">
        <f>SUM(Z540:Z552)</f>
        <v>0</v>
      </c>
      <c r="AA553" s="698"/>
      <c r="AB553" s="697"/>
      <c r="AC553" s="699"/>
      <c r="AD553" s="700">
        <f>AF553/AF494</f>
        <v>0.22584303280426654</v>
      </c>
      <c r="AE553" s="697"/>
      <c r="AF553" s="699">
        <f>SUM(AF540:AF552)</f>
        <v>128850.08999999998</v>
      </c>
      <c r="AG553" s="717"/>
      <c r="AH553" s="718">
        <f>SUM(AH540:AH552)</f>
        <v>128850.08999999998</v>
      </c>
      <c r="AI553" s="698">
        <f t="shared" si="113"/>
        <v>0</v>
      </c>
      <c r="AJ553" s="700">
        <f>AL553/AL494</f>
        <v>0.18082118225507196</v>
      </c>
      <c r="AK553" s="697"/>
      <c r="AL553" s="699">
        <f>SUM(AL540:AL552)</f>
        <v>149801.52000000002</v>
      </c>
      <c r="AM553" s="703"/>
      <c r="AN553" s="701">
        <f t="shared" si="99"/>
        <v>-20951.430000000037</v>
      </c>
      <c r="AO553" s="719">
        <f t="shared" si="91"/>
        <v>-0.13986126442508751</v>
      </c>
      <c r="AP553" s="436"/>
      <c r="AQ553" s="436"/>
      <c r="AR553" s="436"/>
      <c r="AS553" s="436"/>
      <c r="AT553" s="436"/>
      <c r="AU553" s="436"/>
      <c r="AV553" s="436"/>
      <c r="AW553" s="436"/>
      <c r="AX553" s="436"/>
      <c r="AY553" s="436"/>
      <c r="AZ553" s="436"/>
      <c r="BA553" s="436"/>
      <c r="BB553" s="436"/>
      <c r="BC553" s="436"/>
      <c r="BD553" s="436"/>
      <c r="BE553" s="436"/>
      <c r="BF553" s="436"/>
      <c r="BG553" s="436"/>
      <c r="BH553" s="436"/>
      <c r="BI553" s="436"/>
      <c r="BJ553" s="436"/>
    </row>
    <row r="554" spans="1:62" ht="15.75" customHeight="1">
      <c r="A554" s="452" t="s">
        <v>493</v>
      </c>
      <c r="B554" s="433"/>
      <c r="C554" s="648" t="s">
        <v>491</v>
      </c>
      <c r="D554" s="436"/>
      <c r="E554" s="436"/>
      <c r="F554" s="436"/>
      <c r="G554" s="436"/>
      <c r="H554" s="436"/>
      <c r="I554" s="436"/>
      <c r="J554" s="436"/>
      <c r="K554" s="436"/>
      <c r="L554" s="436"/>
      <c r="M554" s="436"/>
      <c r="N554" s="436"/>
      <c r="O554" s="436"/>
      <c r="P554" s="436"/>
      <c r="Q554" s="436"/>
      <c r="R554" s="436"/>
      <c r="S554" s="436"/>
      <c r="T554" s="436"/>
      <c r="U554" s="436"/>
      <c r="V554" s="541"/>
      <c r="W554" s="681"/>
      <c r="X554" s="681"/>
      <c r="Y554" s="681"/>
      <c r="Z554" s="724"/>
      <c r="AA554" s="681"/>
      <c r="AB554" s="681"/>
      <c r="AC554" s="724"/>
      <c r="AD554" s="690"/>
      <c r="AE554" s="681"/>
      <c r="AF554" s="682"/>
      <c r="AG554" s="690"/>
      <c r="AH554" s="684">
        <f t="shared" ref="AH554:AH568" si="114">AF554-Z554</f>
        <v>0</v>
      </c>
      <c r="AI554" s="685"/>
      <c r="AJ554" s="690"/>
      <c r="AK554" s="681"/>
      <c r="AL554" s="682"/>
      <c r="AM554" s="725"/>
      <c r="AN554" s="684"/>
      <c r="AO554" s="726"/>
      <c r="AP554" s="436"/>
      <c r="AQ554" s="436"/>
      <c r="AR554" s="436"/>
      <c r="AS554" s="436"/>
      <c r="AT554" s="436"/>
      <c r="AU554" s="436"/>
      <c r="AV554" s="436"/>
      <c r="AW554" s="436"/>
      <c r="AX554" s="436"/>
      <c r="AY554" s="436"/>
      <c r="AZ554" s="436"/>
      <c r="BA554" s="436"/>
      <c r="BB554" s="436"/>
      <c r="BC554" s="436"/>
      <c r="BD554" s="436"/>
      <c r="BE554" s="436"/>
      <c r="BF554" s="436"/>
      <c r="BG554" s="436"/>
      <c r="BH554" s="436"/>
      <c r="BI554" s="436"/>
      <c r="BJ554" s="436"/>
    </row>
    <row r="555" spans="1:62" ht="21" customHeight="1">
      <c r="A555" s="452" t="s">
        <v>64</v>
      </c>
      <c r="B555" s="433"/>
      <c r="C555" s="648" t="s">
        <v>491</v>
      </c>
      <c r="D555" s="436"/>
      <c r="E555" s="436"/>
      <c r="F555" s="436"/>
      <c r="G555" s="436"/>
      <c r="H555" s="436"/>
      <c r="I555" s="436"/>
      <c r="J555" s="436"/>
      <c r="K555" s="436"/>
      <c r="L555" s="436"/>
      <c r="M555" s="436"/>
      <c r="N555" s="436"/>
      <c r="O555" s="436"/>
      <c r="P555" s="436"/>
      <c r="Q555" s="436"/>
      <c r="R555" s="436"/>
      <c r="S555" s="436"/>
      <c r="T555" s="436"/>
      <c r="U555" s="436"/>
      <c r="V555" s="696" t="s">
        <v>64</v>
      </c>
      <c r="W555" s="697"/>
      <c r="X555" s="698" t="e">
        <f>Z555/+Z494</f>
        <v>#REF!</v>
      </c>
      <c r="Y555" s="697"/>
      <c r="Z555" s="699">
        <f>Z506+Z520+Z539+Z553</f>
        <v>0</v>
      </c>
      <c r="AA555" s="698"/>
      <c r="AB555" s="697"/>
      <c r="AC555" s="699"/>
      <c r="AD555" s="700">
        <f>AF555/AF494</f>
        <v>0.92210014067635071</v>
      </c>
      <c r="AE555" s="697"/>
      <c r="AF555" s="699">
        <f>AF506+AF520+AF539+AF553</f>
        <v>526085.24</v>
      </c>
      <c r="AG555" s="717"/>
      <c r="AH555" s="718">
        <f t="shared" si="114"/>
        <v>526085.24</v>
      </c>
      <c r="AI555" s="698" t="e">
        <f>AH555/Z555</f>
        <v>#DIV/0!</v>
      </c>
      <c r="AJ555" s="700">
        <f>AL555/AL494</f>
        <v>0.60131769745704122</v>
      </c>
      <c r="AK555" s="697"/>
      <c r="AL555" s="699">
        <f>AL506+AL520+AL539+AL553</f>
        <v>498162.3499999998</v>
      </c>
      <c r="AM555" s="703"/>
      <c r="AN555" s="701">
        <f t="shared" ref="AN555:AN568" si="115">AF555-AL555</f>
        <v>27922.890000000189</v>
      </c>
      <c r="AO555" s="679">
        <f t="shared" ref="AO555:AO568" si="116">IF(AL555=0,0,AN555/AL555)</f>
        <v>5.6051787133251235E-2</v>
      </c>
      <c r="AP555" s="436"/>
      <c r="AQ555" s="436"/>
      <c r="AR555" s="436"/>
      <c r="AS555" s="436"/>
      <c r="AT555" s="436"/>
      <c r="AU555" s="436"/>
      <c r="AV555" s="436"/>
      <c r="AW555" s="436"/>
      <c r="AX555" s="436"/>
      <c r="AY555" s="436"/>
      <c r="AZ555" s="436"/>
      <c r="BA555" s="436"/>
      <c r="BB555" s="436"/>
      <c r="BC555" s="436"/>
      <c r="BD555" s="436"/>
      <c r="BE555" s="436"/>
      <c r="BF555" s="436"/>
      <c r="BG555" s="436"/>
      <c r="BH555" s="436"/>
      <c r="BI555" s="436"/>
      <c r="BJ555" s="436"/>
    </row>
    <row r="556" spans="1:62" ht="15.75" customHeight="1">
      <c r="A556" s="452" t="s">
        <v>176</v>
      </c>
      <c r="B556" s="433"/>
      <c r="C556" s="648" t="s">
        <v>491</v>
      </c>
      <c r="D556" s="436"/>
      <c r="E556" s="436"/>
      <c r="F556" s="436"/>
      <c r="G556" s="436"/>
      <c r="H556" s="436"/>
      <c r="I556" s="436"/>
      <c r="J556" s="436"/>
      <c r="K556" s="436"/>
      <c r="L556" s="436"/>
      <c r="M556" s="436"/>
      <c r="N556" s="436"/>
      <c r="O556" s="436"/>
      <c r="P556" s="436"/>
      <c r="Q556" s="436"/>
      <c r="R556" s="436"/>
      <c r="S556" s="436"/>
      <c r="T556" s="436"/>
      <c r="U556" s="436"/>
      <c r="V556" s="541" t="s">
        <v>176</v>
      </c>
      <c r="W556" s="722"/>
      <c r="X556" s="722"/>
      <c r="Y556" s="681"/>
      <c r="Z556" s="708">
        <f t="array" ref="Z556">+INDEX('[3]Budget original'!$A$2:$AO$501,MATCH($A556,'[3]Budget original'!$A$2:$A$501,0),MATCH(F$2,'[3]Budget original'!$A$2:$AO$2,0))</f>
        <v>0</v>
      </c>
      <c r="AA556" s="727"/>
      <c r="AB556" s="728"/>
      <c r="AC556" s="708"/>
      <c r="AD556" s="729"/>
      <c r="AE556" s="728"/>
      <c r="AF556" s="708">
        <f>-SUMIFS([3]BV_Data_An_Cour!$AM:$AM,[3]BV_Data_An_Cour!$AQ:$AQ,$V556)</f>
        <v>7630.0200000000041</v>
      </c>
      <c r="AG556" s="730"/>
      <c r="AH556" s="684">
        <f t="shared" si="114"/>
        <v>7630.0200000000041</v>
      </c>
      <c r="AI556" s="723" t="e">
        <f>IF(AH556=0,0,AH556/Z556)</f>
        <v>#DIV/0!</v>
      </c>
      <c r="AJ556" s="729"/>
      <c r="AK556" s="728"/>
      <c r="AL556" s="708">
        <f>-SUMIFS([3]BV_Data_An_Prec!$AM:$AM,[3]BV_Data_An_Prec!$AQ:$AQ,$V556)</f>
        <v>139981.76000000001</v>
      </c>
      <c r="AM556" s="731"/>
      <c r="AN556" s="684">
        <f t="shared" si="115"/>
        <v>-132351.74</v>
      </c>
      <c r="AO556" s="691">
        <f t="shared" si="116"/>
        <v>-0.94549275562759016</v>
      </c>
      <c r="AP556" s="436"/>
      <c r="AQ556" s="436"/>
      <c r="AR556" s="436"/>
      <c r="AS556" s="436"/>
      <c r="AT556" s="436"/>
      <c r="AU556" s="436"/>
      <c r="AV556" s="436"/>
      <c r="AW556" s="436"/>
      <c r="AX556" s="436"/>
      <c r="AY556" s="436"/>
      <c r="AZ556" s="436"/>
      <c r="BA556" s="436"/>
      <c r="BB556" s="436"/>
      <c r="BC556" s="436"/>
      <c r="BD556" s="436"/>
      <c r="BE556" s="436"/>
      <c r="BF556" s="436"/>
      <c r="BG556" s="436"/>
      <c r="BH556" s="436"/>
      <c r="BI556" s="436"/>
      <c r="BJ556" s="436"/>
    </row>
    <row r="557" spans="1:62" ht="17.25" hidden="1" customHeight="1">
      <c r="A557" s="452" t="s">
        <v>66</v>
      </c>
      <c r="B557" s="433"/>
      <c r="C557" s="648" t="s">
        <v>491</v>
      </c>
      <c r="D557" s="436"/>
      <c r="E557" s="436"/>
      <c r="F557" s="436"/>
      <c r="G557" s="436"/>
      <c r="H557" s="436"/>
      <c r="I557" s="436"/>
      <c r="J557" s="436"/>
      <c r="K557" s="436"/>
      <c r="L557" s="436"/>
      <c r="M557" s="436"/>
      <c r="N557" s="436"/>
      <c r="O557" s="436"/>
      <c r="P557" s="436"/>
      <c r="Q557" s="436"/>
      <c r="R557" s="436"/>
      <c r="S557" s="436"/>
      <c r="T557" s="436"/>
      <c r="U557" s="436"/>
      <c r="V557" s="541" t="s">
        <v>66</v>
      </c>
      <c r="W557" s="681"/>
      <c r="X557" s="681"/>
      <c r="Y557" s="681"/>
      <c r="Z557" s="682">
        <f t="shared" ref="Z557:Z563" si="117">+SUMIF($C:$C,$V557,F:F)</f>
        <v>0</v>
      </c>
      <c r="AA557" s="721"/>
      <c r="AB557" s="684"/>
      <c r="AC557" s="682"/>
      <c r="AD557" s="732"/>
      <c r="AE557" s="733"/>
      <c r="AF557" s="682">
        <f t="shared" ref="AF557:AF563" si="118">+SUMIF($C:$C,$V557,L:L)</f>
        <v>0</v>
      </c>
      <c r="AG557" s="734"/>
      <c r="AH557" s="684">
        <f t="shared" si="114"/>
        <v>0</v>
      </c>
      <c r="AI557" s="704">
        <f>IF(Z557=0,0,AH557/Z557)</f>
        <v>0</v>
      </c>
      <c r="AJ557" s="732"/>
      <c r="AK557" s="733"/>
      <c r="AL557" s="682">
        <f>-SUMIFS([3]BV_Data_An_Prec!$AM:$AM,[3]BV_Data_An_Prec!$AQ:$AQ,$V557)</f>
        <v>0</v>
      </c>
      <c r="AM557" s="732"/>
      <c r="AN557" s="684">
        <f t="shared" si="115"/>
        <v>0</v>
      </c>
      <c r="AO557" s="691">
        <f t="shared" si="116"/>
        <v>0</v>
      </c>
      <c r="AP557" s="436"/>
      <c r="AQ557" s="436"/>
      <c r="AR557" s="436"/>
      <c r="AS557" s="436"/>
      <c r="AT557" s="436"/>
      <c r="AU557" s="436"/>
      <c r="AV557" s="436"/>
      <c r="AW557" s="436"/>
      <c r="AX557" s="436"/>
      <c r="AY557" s="436"/>
      <c r="AZ557" s="436"/>
      <c r="BA557" s="436"/>
      <c r="BB557" s="436"/>
      <c r="BC557" s="436"/>
      <c r="BD557" s="436"/>
      <c r="BE557" s="436"/>
      <c r="BF557" s="436"/>
      <c r="BG557" s="436"/>
      <c r="BH557" s="436"/>
      <c r="BI557" s="436"/>
      <c r="BJ557" s="436"/>
    </row>
    <row r="558" spans="1:62" ht="15.75" customHeight="1">
      <c r="A558" s="452" t="s">
        <v>494</v>
      </c>
      <c r="B558" s="433"/>
      <c r="C558" s="648" t="s">
        <v>491</v>
      </c>
      <c r="D558" s="436"/>
      <c r="E558" s="436"/>
      <c r="F558" s="436"/>
      <c r="G558" s="436"/>
      <c r="H558" s="436"/>
      <c r="I558" s="436"/>
      <c r="J558" s="436"/>
      <c r="K558" s="436"/>
      <c r="L558" s="436"/>
      <c r="M558" s="436"/>
      <c r="N558" s="436"/>
      <c r="O558" s="436"/>
      <c r="P558" s="436"/>
      <c r="Q558" s="436"/>
      <c r="R558" s="436"/>
      <c r="S558" s="436"/>
      <c r="T558" s="436"/>
      <c r="U558" s="436"/>
      <c r="V558" s="541" t="s">
        <v>332</v>
      </c>
      <c r="W558" s="681"/>
      <c r="X558" s="681"/>
      <c r="Y558" s="681"/>
      <c r="Z558" s="682">
        <f t="shared" si="117"/>
        <v>0</v>
      </c>
      <c r="AA558" s="721"/>
      <c r="AB558" s="722"/>
      <c r="AC558" s="682"/>
      <c r="AD558" s="735"/>
      <c r="AF558" s="682">
        <f t="shared" si="118"/>
        <v>45385.709999999992</v>
      </c>
      <c r="AG558" s="734"/>
      <c r="AH558" s="684">
        <f t="shared" si="114"/>
        <v>45385.709999999992</v>
      </c>
      <c r="AI558" s="704" t="e">
        <f t="shared" ref="AI558:AI567" si="119">IF(AH558=0,0,AH558/Z558)</f>
        <v>#DIV/0!</v>
      </c>
      <c r="AJ558" s="735"/>
      <c r="AL558" s="682">
        <f>-SUMIFS([3]BV_Data_An_Prec!$AM:$AM,[3]BV_Data_An_Prec!$AQ:$AQ,$V558)</f>
        <v>26831.50999999998</v>
      </c>
      <c r="AM558" s="732"/>
      <c r="AN558" s="684">
        <f t="shared" si="115"/>
        <v>18554.200000000012</v>
      </c>
      <c r="AO558" s="691">
        <f t="shared" si="116"/>
        <v>0.69150785773890566</v>
      </c>
      <c r="AP558" s="436"/>
      <c r="AQ558" s="436"/>
      <c r="AR558" s="436"/>
      <c r="AS558" s="436"/>
      <c r="AT558" s="436"/>
      <c r="AU558" s="436"/>
      <c r="AV558" s="436"/>
      <c r="AW558" s="436"/>
      <c r="AX558" s="436"/>
      <c r="AY558" s="436"/>
      <c r="AZ558" s="436"/>
      <c r="BA558" s="436"/>
      <c r="BB558" s="436"/>
      <c r="BC558" s="436"/>
      <c r="BD558" s="436"/>
      <c r="BE558" s="436"/>
      <c r="BF558" s="436"/>
      <c r="BG558" s="436"/>
      <c r="BH558" s="436"/>
      <c r="BI558" s="436"/>
      <c r="BJ558" s="436"/>
    </row>
    <row r="559" spans="1:62" ht="17.25" hidden="1" customHeight="1">
      <c r="A559" s="452" t="s">
        <v>187</v>
      </c>
      <c r="B559" s="433"/>
      <c r="C559" s="648" t="s">
        <v>491</v>
      </c>
      <c r="D559" s="436"/>
      <c r="E559" s="436"/>
      <c r="F559" s="436"/>
      <c r="G559" s="436"/>
      <c r="H559" s="436"/>
      <c r="I559" s="436"/>
      <c r="J559" s="436"/>
      <c r="K559" s="436"/>
      <c r="L559" s="436"/>
      <c r="M559" s="436"/>
      <c r="N559" s="436"/>
      <c r="O559" s="436"/>
      <c r="P559" s="436"/>
      <c r="Q559" s="436"/>
      <c r="R559" s="436"/>
      <c r="S559" s="436"/>
      <c r="T559" s="436"/>
      <c r="U559" s="436"/>
      <c r="V559" s="541" t="s">
        <v>187</v>
      </c>
      <c r="W559" s="681"/>
      <c r="X559" s="681"/>
      <c r="Y559" s="681"/>
      <c r="Z559" s="682">
        <f t="shared" si="117"/>
        <v>0</v>
      </c>
      <c r="AA559" s="721"/>
      <c r="AB559" s="722"/>
      <c r="AC559" s="682"/>
      <c r="AD559" s="735"/>
      <c r="AE559" s="722"/>
      <c r="AF559" s="682">
        <f t="shared" si="118"/>
        <v>0</v>
      </c>
      <c r="AG559" s="734"/>
      <c r="AH559" s="684">
        <f t="shared" si="114"/>
        <v>0</v>
      </c>
      <c r="AI559" s="704">
        <f t="shared" si="119"/>
        <v>0</v>
      </c>
      <c r="AJ559" s="735"/>
      <c r="AK559" s="722"/>
      <c r="AL559" s="682">
        <f>-SUMIFS([3]BV_Data_An_Prec!$AM:$AM,[3]BV_Data_An_Prec!$AQ:$AQ,$V559)</f>
        <v>0</v>
      </c>
      <c r="AM559" s="732"/>
      <c r="AN559" s="684">
        <f t="shared" si="115"/>
        <v>0</v>
      </c>
      <c r="AO559" s="691">
        <f t="shared" si="116"/>
        <v>0</v>
      </c>
      <c r="AP559" s="436"/>
      <c r="AQ559" s="436"/>
      <c r="AR559" s="436"/>
      <c r="AS559" s="436"/>
      <c r="AT559" s="436"/>
      <c r="AU559" s="436"/>
      <c r="AV559" s="436"/>
      <c r="AW559" s="436"/>
      <c r="AX559" s="436"/>
      <c r="AY559" s="436"/>
      <c r="AZ559" s="436"/>
      <c r="BA559" s="436"/>
      <c r="BB559" s="436"/>
      <c r="BC559" s="436"/>
      <c r="BD559" s="436"/>
      <c r="BE559" s="436"/>
      <c r="BF559" s="436"/>
      <c r="BG559" s="436"/>
      <c r="BH559" s="436"/>
      <c r="BI559" s="436"/>
      <c r="BJ559" s="436"/>
    </row>
    <row r="560" spans="1:62" ht="17.25" hidden="1" customHeight="1">
      <c r="A560" s="452" t="s">
        <v>65</v>
      </c>
      <c r="B560" s="433"/>
      <c r="C560" s="648" t="s">
        <v>491</v>
      </c>
      <c r="D560" s="436"/>
      <c r="E560" s="436"/>
      <c r="F560" s="436"/>
      <c r="G560" s="436"/>
      <c r="H560" s="436"/>
      <c r="I560" s="436"/>
      <c r="J560" s="436"/>
      <c r="K560" s="436"/>
      <c r="L560" s="436"/>
      <c r="M560" s="436"/>
      <c r="N560" s="436"/>
      <c r="O560" s="436"/>
      <c r="P560" s="436"/>
      <c r="Q560" s="436"/>
      <c r="R560" s="436"/>
      <c r="S560" s="436"/>
      <c r="T560" s="436"/>
      <c r="U560" s="436"/>
      <c r="V560" s="541" t="s">
        <v>65</v>
      </c>
      <c r="W560" s="681"/>
      <c r="X560" s="681"/>
      <c r="Y560" s="681"/>
      <c r="Z560" s="682">
        <f t="shared" si="117"/>
        <v>0</v>
      </c>
      <c r="AA560" s="721"/>
      <c r="AB560" s="722"/>
      <c r="AC560" s="682"/>
      <c r="AD560" s="735"/>
      <c r="AE560" s="722"/>
      <c r="AF560" s="682">
        <f t="shared" si="118"/>
        <v>0</v>
      </c>
      <c r="AG560" s="734"/>
      <c r="AH560" s="684">
        <f t="shared" si="114"/>
        <v>0</v>
      </c>
      <c r="AI560" s="704">
        <f t="shared" si="119"/>
        <v>0</v>
      </c>
      <c r="AJ560" s="735"/>
      <c r="AK560" s="722"/>
      <c r="AL560" s="682">
        <f>-SUMIFS([3]BV_Data_An_Prec!$AM:$AM,[3]BV_Data_An_Prec!$AQ:$AQ,$V560)</f>
        <v>0</v>
      </c>
      <c r="AM560" s="732"/>
      <c r="AN560" s="684">
        <f t="shared" si="115"/>
        <v>0</v>
      </c>
      <c r="AO560" s="691">
        <f t="shared" si="116"/>
        <v>0</v>
      </c>
      <c r="AP560" s="436"/>
      <c r="AQ560" s="436"/>
      <c r="AR560" s="436"/>
      <c r="AS560" s="436"/>
      <c r="AT560" s="436"/>
      <c r="AU560" s="436"/>
      <c r="AV560" s="436"/>
      <c r="AW560" s="436"/>
      <c r="AX560" s="436"/>
      <c r="AY560" s="436"/>
      <c r="AZ560" s="436"/>
      <c r="BA560" s="436"/>
      <c r="BB560" s="436"/>
      <c r="BC560" s="436"/>
      <c r="BD560" s="436"/>
      <c r="BE560" s="436"/>
      <c r="BF560" s="436"/>
      <c r="BG560" s="436"/>
      <c r="BH560" s="436"/>
      <c r="BI560" s="436"/>
      <c r="BJ560" s="436"/>
    </row>
    <row r="561" spans="1:62" ht="17.25" hidden="1" customHeight="1">
      <c r="A561" s="452" t="s">
        <v>267</v>
      </c>
      <c r="B561" s="433"/>
      <c r="C561" s="648" t="s">
        <v>491</v>
      </c>
      <c r="D561" s="436"/>
      <c r="E561" s="436"/>
      <c r="F561" s="436"/>
      <c r="G561" s="436"/>
      <c r="H561" s="436"/>
      <c r="I561" s="436"/>
      <c r="J561" s="436"/>
      <c r="K561" s="436"/>
      <c r="L561" s="436"/>
      <c r="M561" s="436"/>
      <c r="N561" s="436"/>
      <c r="O561" s="436"/>
      <c r="P561" s="436"/>
      <c r="Q561" s="436"/>
      <c r="R561" s="436"/>
      <c r="S561" s="436"/>
      <c r="T561" s="436"/>
      <c r="U561" s="436"/>
      <c r="V561" s="541" t="s">
        <v>267</v>
      </c>
      <c r="W561" s="681"/>
      <c r="X561" s="681"/>
      <c r="Y561" s="681"/>
      <c r="Z561" s="682">
        <f t="shared" si="117"/>
        <v>0</v>
      </c>
      <c r="AA561" s="721"/>
      <c r="AB561" s="722"/>
      <c r="AC561" s="682"/>
      <c r="AD561" s="735"/>
      <c r="AE561" s="722"/>
      <c r="AF561" s="682">
        <f t="shared" si="118"/>
        <v>0</v>
      </c>
      <c r="AG561" s="734"/>
      <c r="AH561" s="684">
        <f t="shared" si="114"/>
        <v>0</v>
      </c>
      <c r="AI561" s="704">
        <f t="shared" si="119"/>
        <v>0</v>
      </c>
      <c r="AJ561" s="735"/>
      <c r="AK561" s="722"/>
      <c r="AL561" s="682">
        <f>-SUMIFS([3]BV_Data_An_Prec!$AM:$AM,[3]BV_Data_An_Prec!$AQ:$AQ,$V561)</f>
        <v>0</v>
      </c>
      <c r="AM561" s="732"/>
      <c r="AN561" s="684">
        <f t="shared" si="115"/>
        <v>0</v>
      </c>
      <c r="AO561" s="691">
        <f t="shared" si="116"/>
        <v>0</v>
      </c>
      <c r="AP561" s="436"/>
      <c r="AQ561" s="436"/>
      <c r="AR561" s="436"/>
      <c r="AS561" s="436"/>
      <c r="AT561" s="436"/>
      <c r="AU561" s="436"/>
      <c r="AV561" s="436"/>
      <c r="AW561" s="436"/>
      <c r="AX561" s="436"/>
      <c r="AY561" s="436"/>
      <c r="AZ561" s="436"/>
      <c r="BA561" s="436"/>
      <c r="BB561" s="436"/>
      <c r="BC561" s="436"/>
      <c r="BD561" s="436"/>
      <c r="BE561" s="436"/>
      <c r="BF561" s="436"/>
      <c r="BG561" s="436"/>
      <c r="BH561" s="436"/>
      <c r="BI561" s="436"/>
      <c r="BJ561" s="436"/>
    </row>
    <row r="562" spans="1:62" ht="17.25" hidden="1" customHeight="1">
      <c r="A562" s="452" t="s">
        <v>269</v>
      </c>
      <c r="B562" s="433"/>
      <c r="C562" s="648" t="s">
        <v>491</v>
      </c>
      <c r="D562" s="436"/>
      <c r="E562" s="436"/>
      <c r="F562" s="436"/>
      <c r="G562" s="436"/>
      <c r="H562" s="436"/>
      <c r="I562" s="436"/>
      <c r="J562" s="436"/>
      <c r="K562" s="436"/>
      <c r="L562" s="436"/>
      <c r="M562" s="436"/>
      <c r="N562" s="436"/>
      <c r="O562" s="436"/>
      <c r="P562" s="436"/>
      <c r="Q562" s="436"/>
      <c r="R562" s="436"/>
      <c r="S562" s="436"/>
      <c r="T562" s="436"/>
      <c r="U562" s="436"/>
      <c r="V562" s="541" t="s">
        <v>269</v>
      </c>
      <c r="W562" s="681"/>
      <c r="X562" s="681"/>
      <c r="Y562" s="681"/>
      <c r="Z562" s="682">
        <f t="shared" si="117"/>
        <v>0</v>
      </c>
      <c r="AA562" s="721"/>
      <c r="AB562" s="722"/>
      <c r="AC562" s="682"/>
      <c r="AD562" s="735"/>
      <c r="AE562" s="722"/>
      <c r="AF562" s="682">
        <f t="shared" si="118"/>
        <v>0</v>
      </c>
      <c r="AG562" s="734"/>
      <c r="AH562" s="684">
        <f t="shared" si="114"/>
        <v>0</v>
      </c>
      <c r="AI562" s="704">
        <f t="shared" si="119"/>
        <v>0</v>
      </c>
      <c r="AJ562" s="735"/>
      <c r="AK562" s="722"/>
      <c r="AL562" s="682">
        <f>-SUMIFS([3]BV_Data_An_Prec!$AM:$AM,[3]BV_Data_An_Prec!$AQ:$AQ,$V562)</f>
        <v>0</v>
      </c>
      <c r="AM562" s="732"/>
      <c r="AN562" s="684">
        <f t="shared" si="115"/>
        <v>0</v>
      </c>
      <c r="AO562" s="691">
        <f t="shared" si="116"/>
        <v>0</v>
      </c>
      <c r="AP562" s="436"/>
      <c r="AQ562" s="436"/>
      <c r="AR562" s="436"/>
      <c r="AS562" s="436"/>
      <c r="AT562" s="436"/>
      <c r="AU562" s="436"/>
      <c r="AV562" s="436"/>
      <c r="AW562" s="436"/>
      <c r="AX562" s="436"/>
      <c r="AY562" s="436"/>
      <c r="AZ562" s="436"/>
      <c r="BA562" s="436"/>
      <c r="BB562" s="436"/>
      <c r="BC562" s="436"/>
      <c r="BD562" s="436"/>
      <c r="BE562" s="436"/>
      <c r="BF562" s="436"/>
      <c r="BG562" s="436"/>
      <c r="BH562" s="436"/>
      <c r="BI562" s="436"/>
      <c r="BJ562" s="436"/>
    </row>
    <row r="563" spans="1:62" ht="17.25" hidden="1" customHeight="1">
      <c r="A563" s="452" t="s">
        <v>77</v>
      </c>
      <c r="B563" s="433"/>
      <c r="C563" s="648" t="s">
        <v>491</v>
      </c>
      <c r="D563" s="436"/>
      <c r="E563" s="436"/>
      <c r="F563" s="436"/>
      <c r="G563" s="436"/>
      <c r="H563" s="436"/>
      <c r="I563" s="436"/>
      <c r="J563" s="436"/>
      <c r="K563" s="436"/>
      <c r="L563" s="436"/>
      <c r="M563" s="436"/>
      <c r="N563" s="436"/>
      <c r="O563" s="436"/>
      <c r="P563" s="436"/>
      <c r="Q563" s="436"/>
      <c r="R563" s="436"/>
      <c r="S563" s="436"/>
      <c r="T563" s="436"/>
      <c r="U563" s="436"/>
      <c r="V563" s="541" t="s">
        <v>77</v>
      </c>
      <c r="W563" s="681"/>
      <c r="X563" s="681"/>
      <c r="Y563" s="681"/>
      <c r="Z563" s="682">
        <f t="shared" si="117"/>
        <v>0</v>
      </c>
      <c r="AA563" s="721"/>
      <c r="AB563" s="722"/>
      <c r="AC563" s="682"/>
      <c r="AD563" s="735"/>
      <c r="AE563" s="722"/>
      <c r="AF563" s="682">
        <f t="shared" si="118"/>
        <v>0</v>
      </c>
      <c r="AG563" s="734"/>
      <c r="AH563" s="684">
        <f t="shared" si="114"/>
        <v>0</v>
      </c>
      <c r="AI563" s="704">
        <f t="shared" si="119"/>
        <v>0</v>
      </c>
      <c r="AJ563" s="735"/>
      <c r="AK563" s="722"/>
      <c r="AL563" s="682">
        <f>-SUMIFS([3]BV_Data_An_Prec!$AM:$AM,[3]BV_Data_An_Prec!$AQ:$AQ,$V563)</f>
        <v>0</v>
      </c>
      <c r="AM563" s="732"/>
      <c r="AN563" s="684">
        <f t="shared" si="115"/>
        <v>0</v>
      </c>
      <c r="AO563" s="691">
        <f t="shared" si="116"/>
        <v>0</v>
      </c>
      <c r="AP563" s="436"/>
      <c r="AQ563" s="436"/>
      <c r="AR563" s="436"/>
      <c r="AS563" s="436"/>
      <c r="AT563" s="436"/>
      <c r="AU563" s="436"/>
      <c r="AV563" s="436"/>
      <c r="AW563" s="436"/>
      <c r="AX563" s="436"/>
      <c r="AY563" s="436"/>
      <c r="AZ563" s="436"/>
      <c r="BA563" s="436"/>
      <c r="BB563" s="436"/>
      <c r="BC563" s="436"/>
      <c r="BD563" s="436"/>
      <c r="BE563" s="436"/>
      <c r="BF563" s="436"/>
      <c r="BG563" s="436"/>
      <c r="BH563" s="436"/>
      <c r="BI563" s="436"/>
      <c r="BJ563" s="436"/>
    </row>
    <row r="564" spans="1:62" ht="17.25" hidden="1" customHeight="1">
      <c r="A564" s="452" t="s">
        <v>19</v>
      </c>
      <c r="B564" s="433"/>
      <c r="C564" s="648" t="s">
        <v>491</v>
      </c>
      <c r="D564" s="436"/>
      <c r="E564" s="436"/>
      <c r="F564" s="436"/>
      <c r="G564" s="436"/>
      <c r="H564" s="436"/>
      <c r="I564" s="436"/>
      <c r="J564" s="436"/>
      <c r="K564" s="436"/>
      <c r="L564" s="436"/>
      <c r="M564" s="436"/>
      <c r="N564" s="436"/>
      <c r="O564" s="436"/>
      <c r="P564" s="436"/>
      <c r="Q564" s="436"/>
      <c r="R564" s="436"/>
      <c r="S564" s="436"/>
      <c r="T564" s="436"/>
      <c r="U564" s="436"/>
      <c r="V564" s="541" t="s">
        <v>19</v>
      </c>
      <c r="W564" s="681"/>
      <c r="X564" s="681"/>
      <c r="Y564" s="681"/>
      <c r="Z564" s="682">
        <f t="array" ref="Z564">+INDEX('[3]Budget original'!$A$2:$AO$501,MATCH($A564,'[3]Budget original'!$A$2:$A$501,0),MATCH(F$2,'[3]Budget original'!$A$2:$AO$2,0))</f>
        <v>0</v>
      </c>
      <c r="AA564" s="681"/>
      <c r="AB564" s="681"/>
      <c r="AC564" s="682"/>
      <c r="AD564" s="690"/>
      <c r="AE564" s="689"/>
      <c r="AF564" s="682">
        <f t="shared" ref="AF564:AF566" si="120">IFERROR(SUMIF($C:$C,$V564,L:L),0)</f>
        <v>0</v>
      </c>
      <c r="AG564" s="683"/>
      <c r="AH564" s="684">
        <f t="shared" si="114"/>
        <v>0</v>
      </c>
      <c r="AI564" s="685">
        <f t="shared" si="119"/>
        <v>0</v>
      </c>
      <c r="AJ564" s="690"/>
      <c r="AK564" s="689"/>
      <c r="AL564" s="682">
        <f>-SUMIFS([3]BV_Data_An_Prec!$AM:$AM,[3]BV_Data_An_Prec!$AQ:$AQ,$V564)</f>
        <v>0</v>
      </c>
      <c r="AM564" s="732"/>
      <c r="AN564" s="684">
        <f t="shared" si="115"/>
        <v>0</v>
      </c>
      <c r="AO564" s="691">
        <f t="shared" si="116"/>
        <v>0</v>
      </c>
      <c r="AP564" s="436"/>
      <c r="AQ564" s="436"/>
      <c r="AR564" s="436"/>
      <c r="AS564" s="436"/>
      <c r="AT564" s="436"/>
      <c r="AU564" s="436"/>
      <c r="AV564" s="436"/>
      <c r="AW564" s="436"/>
      <c r="AX564" s="436"/>
      <c r="AY564" s="436"/>
      <c r="AZ564" s="436"/>
      <c r="BA564" s="436"/>
      <c r="BB564" s="436"/>
      <c r="BC564" s="436"/>
      <c r="BD564" s="436"/>
      <c r="BE564" s="436"/>
      <c r="BF564" s="436"/>
      <c r="BG564" s="436"/>
      <c r="BH564" s="436"/>
      <c r="BI564" s="436"/>
      <c r="BJ564" s="436"/>
    </row>
    <row r="565" spans="1:62" ht="17.25" hidden="1" customHeight="1">
      <c r="A565" s="452" t="s">
        <v>19</v>
      </c>
      <c r="B565" s="433"/>
      <c r="C565" s="648" t="s">
        <v>491</v>
      </c>
      <c r="D565" s="436"/>
      <c r="E565" s="436"/>
      <c r="F565" s="436"/>
      <c r="G565" s="436"/>
      <c r="H565" s="436"/>
      <c r="I565" s="436"/>
      <c r="J565" s="436"/>
      <c r="K565" s="436"/>
      <c r="L565" s="436"/>
      <c r="M565" s="436"/>
      <c r="N565" s="436"/>
      <c r="O565" s="436"/>
      <c r="P565" s="436"/>
      <c r="Q565" s="436"/>
      <c r="R565" s="436"/>
      <c r="S565" s="436"/>
      <c r="T565" s="436"/>
      <c r="U565" s="436"/>
      <c r="V565" s="541" t="s">
        <v>19</v>
      </c>
      <c r="W565" s="681"/>
      <c r="X565" s="681"/>
      <c r="Y565" s="681"/>
      <c r="Z565" s="682">
        <f t="shared" ref="Z565:Z566" si="121">IFERROR(SUMIF($C:$C,$V565,F:F),0)</f>
        <v>0</v>
      </c>
      <c r="AA565" s="681"/>
      <c r="AB565" s="681"/>
      <c r="AC565" s="682"/>
      <c r="AD565" s="690"/>
      <c r="AE565" s="689"/>
      <c r="AF565" s="682">
        <f t="shared" si="120"/>
        <v>0</v>
      </c>
      <c r="AG565" s="683"/>
      <c r="AH565" s="684">
        <f t="shared" si="114"/>
        <v>0</v>
      </c>
      <c r="AI565" s="685">
        <f t="shared" si="119"/>
        <v>0</v>
      </c>
      <c r="AJ565" s="690"/>
      <c r="AK565" s="689"/>
      <c r="AL565" s="682">
        <f>-SUMIFS([3]BV_Data_An_Prec!$AM:$AM,[3]BV_Data_An_Prec!$AQ:$AQ,$V565)</f>
        <v>0</v>
      </c>
      <c r="AM565" s="732"/>
      <c r="AN565" s="684">
        <f t="shared" si="115"/>
        <v>0</v>
      </c>
      <c r="AO565" s="691">
        <f t="shared" si="116"/>
        <v>0</v>
      </c>
      <c r="AP565" s="436"/>
      <c r="AQ565" s="436"/>
      <c r="AR565" s="436"/>
      <c r="AS565" s="436"/>
      <c r="AT565" s="436"/>
      <c r="AU565" s="436"/>
      <c r="AV565" s="436"/>
      <c r="AW565" s="436"/>
      <c r="AX565" s="436"/>
      <c r="AY565" s="436"/>
      <c r="AZ565" s="436"/>
      <c r="BA565" s="436"/>
      <c r="BB565" s="436"/>
      <c r="BC565" s="436"/>
      <c r="BD565" s="436"/>
      <c r="BE565" s="436"/>
      <c r="BF565" s="436"/>
      <c r="BG565" s="436"/>
      <c r="BH565" s="436"/>
      <c r="BI565" s="436"/>
      <c r="BJ565" s="436"/>
    </row>
    <row r="566" spans="1:62" ht="17.25" hidden="1" customHeight="1">
      <c r="A566" s="452" t="s">
        <v>19</v>
      </c>
      <c r="B566" s="433"/>
      <c r="C566" s="648" t="s">
        <v>491</v>
      </c>
      <c r="D566" s="436"/>
      <c r="E566" s="436"/>
      <c r="F566" s="436"/>
      <c r="G566" s="436"/>
      <c r="H566" s="436"/>
      <c r="I566" s="436"/>
      <c r="J566" s="436"/>
      <c r="K566" s="436"/>
      <c r="L566" s="436"/>
      <c r="M566" s="436"/>
      <c r="N566" s="436"/>
      <c r="O566" s="436"/>
      <c r="P566" s="436"/>
      <c r="Q566" s="436"/>
      <c r="R566" s="436"/>
      <c r="S566" s="436"/>
      <c r="T566" s="436"/>
      <c r="U566" s="436"/>
      <c r="V566" s="541" t="s">
        <v>19</v>
      </c>
      <c r="W566" s="681"/>
      <c r="X566" s="681"/>
      <c r="Y566" s="681"/>
      <c r="Z566" s="682">
        <f t="shared" si="121"/>
        <v>0</v>
      </c>
      <c r="AA566" s="681"/>
      <c r="AB566" s="681"/>
      <c r="AC566" s="682"/>
      <c r="AD566" s="690"/>
      <c r="AE566" s="689"/>
      <c r="AF566" s="682">
        <f t="shared" si="120"/>
        <v>0</v>
      </c>
      <c r="AG566" s="683"/>
      <c r="AH566" s="684">
        <f t="shared" si="114"/>
        <v>0</v>
      </c>
      <c r="AI566" s="685">
        <f t="shared" si="119"/>
        <v>0</v>
      </c>
      <c r="AJ566" s="690"/>
      <c r="AK566" s="689"/>
      <c r="AL566" s="682">
        <f>-SUMIFS([3]BV_Data_An_Prec!$AM:$AM,[3]BV_Data_An_Prec!$AQ:$AQ,$V566)</f>
        <v>0</v>
      </c>
      <c r="AM566" s="732"/>
      <c r="AN566" s="684">
        <f t="shared" si="115"/>
        <v>0</v>
      </c>
      <c r="AO566" s="691">
        <f t="shared" si="116"/>
        <v>0</v>
      </c>
      <c r="AP566" s="436"/>
      <c r="AQ566" s="436"/>
      <c r="AR566" s="436"/>
      <c r="AS566" s="436"/>
      <c r="AT566" s="436"/>
      <c r="AU566" s="436"/>
      <c r="AV566" s="436"/>
      <c r="AW566" s="436"/>
      <c r="AX566" s="436"/>
      <c r="AY566" s="436"/>
      <c r="AZ566" s="436"/>
      <c r="BA566" s="436"/>
      <c r="BB566" s="436"/>
      <c r="BC566" s="436"/>
      <c r="BD566" s="436"/>
      <c r="BE566" s="436"/>
      <c r="BF566" s="436"/>
      <c r="BG566" s="436"/>
      <c r="BH566" s="436"/>
      <c r="BI566" s="436"/>
      <c r="BJ566" s="436"/>
    </row>
    <row r="567" spans="1:62" ht="15.75" customHeight="1">
      <c r="A567" s="452" t="s">
        <v>67</v>
      </c>
      <c r="B567" s="433"/>
      <c r="C567" s="648" t="s">
        <v>491</v>
      </c>
      <c r="D567" s="436"/>
      <c r="E567" s="436"/>
      <c r="F567" s="436"/>
      <c r="G567" s="436"/>
      <c r="H567" s="436"/>
      <c r="I567" s="436"/>
      <c r="J567" s="436"/>
      <c r="K567" s="436"/>
      <c r="L567" s="436"/>
      <c r="M567" s="436"/>
      <c r="N567" s="436"/>
      <c r="O567" s="436"/>
      <c r="P567" s="436"/>
      <c r="Q567" s="436"/>
      <c r="R567" s="436"/>
      <c r="S567" s="436"/>
      <c r="T567" s="436"/>
      <c r="U567" s="436"/>
      <c r="V567" s="542" t="s">
        <v>67</v>
      </c>
      <c r="W567" s="681"/>
      <c r="X567" s="681"/>
      <c r="Y567" s="681"/>
      <c r="Z567" s="682">
        <f>+SUMIF($C:$C,$V567,F:F)</f>
        <v>0</v>
      </c>
      <c r="AA567" s="721"/>
      <c r="AB567" s="722"/>
      <c r="AC567" s="682"/>
      <c r="AD567" s="736">
        <f>AF567/499</f>
        <v>108.48496993987976</v>
      </c>
      <c r="AE567" s="721">
        <f>(AF567/399)/(J13+J15+J97)</f>
        <v>1.3433087669669221</v>
      </c>
      <c r="AF567" s="682">
        <f>+SUMIF($C:$C,$V567,L:L)</f>
        <v>54134</v>
      </c>
      <c r="AG567" s="734"/>
      <c r="AH567" s="684">
        <f t="shared" si="114"/>
        <v>54134</v>
      </c>
      <c r="AI567" s="704" t="e">
        <f t="shared" si="119"/>
        <v>#DIV/0!</v>
      </c>
      <c r="AJ567" s="736">
        <f>AL567/499</f>
        <v>0</v>
      </c>
      <c r="AK567" s="721">
        <f>(AL567/399)/(P13+P15+P97)</f>
        <v>0</v>
      </c>
      <c r="AL567" s="682">
        <f>-SUMIFS([3]BV_Data_An_Prec!$AM:$AM,[3]BV_Data_An_Prec!$AQ:$AQ,$V567)</f>
        <v>0</v>
      </c>
      <c r="AM567" s="732"/>
      <c r="AN567" s="684">
        <f t="shared" si="115"/>
        <v>54134</v>
      </c>
      <c r="AO567" s="691">
        <f t="shared" si="116"/>
        <v>0</v>
      </c>
      <c r="AP567" s="436"/>
      <c r="AQ567" s="436"/>
      <c r="AR567" s="436"/>
      <c r="AS567" s="436"/>
      <c r="AT567" s="436"/>
      <c r="AU567" s="436"/>
      <c r="AV567" s="436"/>
      <c r="AW567" s="436"/>
      <c r="AX567" s="436"/>
      <c r="AY567" s="436"/>
      <c r="AZ567" s="436"/>
      <c r="BA567" s="436"/>
      <c r="BB567" s="436"/>
      <c r="BC567" s="436"/>
      <c r="BD567" s="436"/>
      <c r="BE567" s="436"/>
      <c r="BF567" s="436"/>
      <c r="BG567" s="436"/>
      <c r="BH567" s="436"/>
      <c r="BI567" s="436"/>
      <c r="BJ567" s="436"/>
    </row>
    <row r="568" spans="1:62" ht="21" customHeight="1">
      <c r="A568" s="452" t="s">
        <v>177</v>
      </c>
      <c r="B568" s="433"/>
      <c r="C568" s="648" t="s">
        <v>491</v>
      </c>
      <c r="D568" s="436"/>
      <c r="E568" s="436"/>
      <c r="F568" s="436"/>
      <c r="G568" s="436"/>
      <c r="H568" s="436"/>
      <c r="I568" s="436"/>
      <c r="J568" s="436"/>
      <c r="K568" s="436"/>
      <c r="L568" s="436"/>
      <c r="M568" s="436"/>
      <c r="N568" s="436"/>
      <c r="O568" s="436"/>
      <c r="P568" s="436"/>
      <c r="Q568" s="436"/>
      <c r="R568" s="436"/>
      <c r="S568" s="436"/>
      <c r="T568" s="436"/>
      <c r="U568" s="436"/>
      <c r="V568" s="696" t="s">
        <v>177</v>
      </c>
      <c r="W568" s="697"/>
      <c r="X568" s="698" t="e">
        <f>Z568/+Z494</f>
        <v>#REF!</v>
      </c>
      <c r="Y568" s="716"/>
      <c r="Z568" s="699">
        <f>SUM(Z556:Z567)</f>
        <v>0</v>
      </c>
      <c r="AA568" s="698"/>
      <c r="AB568" s="716"/>
      <c r="AC568" s="699"/>
      <c r="AD568" s="698">
        <f>AF568/+AF494</f>
        <v>0.1878075520735632</v>
      </c>
      <c r="AE568" s="716"/>
      <c r="AF568" s="699">
        <f>SUM(AF556:AF567)</f>
        <v>107149.73</v>
      </c>
      <c r="AG568" s="717"/>
      <c r="AH568" s="701">
        <f t="shared" si="114"/>
        <v>107149.73</v>
      </c>
      <c r="AI568" s="698" t="e">
        <f>AH568/Z568</f>
        <v>#DIV/0!</v>
      </c>
      <c r="AJ568" s="698">
        <f>AL568/+AL494</f>
        <v>0.20135558502500189</v>
      </c>
      <c r="AK568" s="716"/>
      <c r="AL568" s="699">
        <f>SUM(AL556:AL567)</f>
        <v>166813.26999999999</v>
      </c>
      <c r="AM568" s="737"/>
      <c r="AN568" s="701">
        <f t="shared" si="115"/>
        <v>-59663.539999999994</v>
      </c>
      <c r="AO568" s="719">
        <f t="shared" si="116"/>
        <v>-0.35766662927955312</v>
      </c>
      <c r="AP568" s="436"/>
      <c r="AQ568" s="436"/>
      <c r="AR568" s="436"/>
      <c r="AS568" s="436"/>
      <c r="AT568" s="436"/>
      <c r="AU568" s="436"/>
      <c r="AV568" s="436"/>
      <c r="AW568" s="436"/>
      <c r="AX568" s="436"/>
      <c r="AY568" s="436"/>
      <c r="AZ568" s="436"/>
      <c r="BA568" s="436"/>
      <c r="BB568" s="436"/>
      <c r="BC568" s="436"/>
      <c r="BD568" s="436"/>
      <c r="BE568" s="436"/>
      <c r="BF568" s="436"/>
      <c r="BG568" s="436"/>
      <c r="BH568" s="436"/>
      <c r="BI568" s="436"/>
      <c r="BJ568" s="436"/>
    </row>
    <row r="569" spans="1:62" ht="6" customHeight="1" thickBot="1">
      <c r="A569" s="452" t="s">
        <v>493</v>
      </c>
      <c r="B569" s="433"/>
      <c r="C569" s="648" t="s">
        <v>491</v>
      </c>
      <c r="D569" s="436"/>
      <c r="E569" s="436"/>
      <c r="F569" s="436"/>
      <c r="G569" s="436"/>
      <c r="H569" s="436"/>
      <c r="I569" s="436"/>
      <c r="J569" s="436"/>
      <c r="K569" s="436"/>
      <c r="L569" s="436"/>
      <c r="M569" s="436"/>
      <c r="N569" s="436"/>
      <c r="O569" s="436"/>
      <c r="P569" s="436"/>
      <c r="Q569" s="436"/>
      <c r="R569" s="436"/>
      <c r="S569" s="436"/>
      <c r="T569" s="436"/>
      <c r="U569" s="436"/>
      <c r="V569" s="738"/>
      <c r="W569" s="739"/>
      <c r="X569" s="739"/>
      <c r="Y569" s="740"/>
      <c r="Z569" s="741"/>
      <c r="AA569" s="739"/>
      <c r="AB569" s="742"/>
      <c r="AC569" s="741"/>
      <c r="AD569" s="739"/>
      <c r="AE569" s="742"/>
      <c r="AF569" s="741"/>
      <c r="AG569" s="743"/>
      <c r="AH569" s="744"/>
      <c r="AI569" s="745"/>
      <c r="AJ569" s="739"/>
      <c r="AK569" s="742"/>
      <c r="AL569" s="741"/>
      <c r="AM569" s="746"/>
      <c r="AN569" s="744"/>
      <c r="AO569" s="747"/>
      <c r="AP569" s="436"/>
      <c r="AQ569" s="436"/>
      <c r="AR569" s="436"/>
      <c r="AS569" s="436"/>
      <c r="AT569" s="436"/>
      <c r="AU569" s="436"/>
      <c r="AV569" s="436"/>
      <c r="AW569" s="436"/>
      <c r="AX569" s="436"/>
      <c r="AY569" s="436"/>
      <c r="AZ569" s="436"/>
      <c r="BA569" s="436"/>
      <c r="BB569" s="436"/>
      <c r="BC569" s="436"/>
      <c r="BD569" s="436"/>
      <c r="BE569" s="436"/>
      <c r="BF569" s="436"/>
      <c r="BG569" s="436"/>
      <c r="BH569" s="436"/>
      <c r="BI569" s="436"/>
      <c r="BJ569" s="436"/>
    </row>
    <row r="570" spans="1:62" ht="21" customHeight="1" thickTop="1" thickBot="1">
      <c r="A570" s="452" t="s">
        <v>178</v>
      </c>
      <c r="B570" s="433"/>
      <c r="C570" s="648" t="s">
        <v>491</v>
      </c>
      <c r="D570" s="436"/>
      <c r="E570" s="436"/>
      <c r="F570" s="436"/>
      <c r="G570" s="436"/>
      <c r="H570" s="436"/>
      <c r="I570" s="436"/>
      <c r="J570" s="436"/>
      <c r="K570" s="436"/>
      <c r="L570" s="436"/>
      <c r="M570" s="436"/>
      <c r="N570" s="436"/>
      <c r="O570" s="436"/>
      <c r="P570" s="436"/>
      <c r="Q570" s="436"/>
      <c r="R570" s="436"/>
      <c r="S570" s="436"/>
      <c r="T570" s="436"/>
      <c r="U570" s="436"/>
      <c r="V570" s="748" t="s">
        <v>178</v>
      </c>
      <c r="W570" s="749"/>
      <c r="X570" s="750" t="s">
        <v>179</v>
      </c>
      <c r="Y570" s="751" t="e">
        <f>Z570/Z493</f>
        <v>#REF!</v>
      </c>
      <c r="Z570" s="752" t="e">
        <f>Z494-Z555+Z568</f>
        <v>#REF!</v>
      </c>
      <c r="AA570" s="750"/>
      <c r="AB570" s="751"/>
      <c r="AC570" s="752"/>
      <c r="AD570" s="750" t="s">
        <v>179</v>
      </c>
      <c r="AE570" s="751">
        <f>AF570/AF493</f>
        <v>1.3539397406029172E-2</v>
      </c>
      <c r="AF570" s="752">
        <f>AF494-AF555+AF568</f>
        <v>151593.89000000653</v>
      </c>
      <c r="AG570" s="753"/>
      <c r="AH570" s="753" t="e">
        <f>AF570-Z570</f>
        <v>#REF!</v>
      </c>
      <c r="AI570" s="754" t="e">
        <f>AH570/Z570</f>
        <v>#REF!</v>
      </c>
      <c r="AJ570" s="750" t="s">
        <v>179</v>
      </c>
      <c r="AK570" s="751">
        <f>AL570/AL493</f>
        <v>3.0211162405079626E-2</v>
      </c>
      <c r="AL570" s="752">
        <f>AL494-AL555+AL568</f>
        <v>497102.09000001347</v>
      </c>
      <c r="AM570" s="755"/>
      <c r="AN570" s="756">
        <f>AF570-AL570</f>
        <v>-345508.20000000694</v>
      </c>
      <c r="AO570" s="757">
        <f>IF(AL570=0,0,AN570/AL570)</f>
        <v>-0.69504475428779144</v>
      </c>
      <c r="AP570" s="436"/>
      <c r="AQ570" s="436"/>
      <c r="AR570" s="436"/>
      <c r="AS570" s="436"/>
      <c r="AT570" s="436"/>
      <c r="AU570" s="436"/>
      <c r="AV570" s="436"/>
      <c r="AW570" s="436"/>
      <c r="AX570" s="436"/>
      <c r="AY570" s="436"/>
      <c r="AZ570" s="436"/>
      <c r="BA570" s="436"/>
      <c r="BB570" s="436"/>
      <c r="BC570" s="436"/>
      <c r="BD570" s="436"/>
      <c r="BE570" s="436"/>
      <c r="BF570" s="436"/>
      <c r="BG570" s="436"/>
      <c r="BH570" s="436"/>
      <c r="BI570" s="436"/>
      <c r="BJ570" s="436"/>
    </row>
    <row r="571" spans="1:62" ht="8.25" customHeight="1" thickTop="1">
      <c r="A571" s="452" t="s">
        <v>493</v>
      </c>
      <c r="B571" s="433"/>
      <c r="C571" s="648" t="s">
        <v>491</v>
      </c>
      <c r="D571" s="436"/>
      <c r="E571" s="436"/>
      <c r="F571" s="436"/>
      <c r="G571" s="436"/>
      <c r="H571" s="436"/>
      <c r="I571" s="436"/>
      <c r="J571" s="436"/>
      <c r="K571" s="436"/>
      <c r="L571" s="436"/>
      <c r="M571" s="436"/>
      <c r="N571" s="436"/>
      <c r="O571" s="436"/>
      <c r="P571" s="436"/>
      <c r="Q571" s="436"/>
      <c r="R571" s="436"/>
      <c r="S571" s="436"/>
      <c r="T571" s="436"/>
      <c r="U571" s="436"/>
      <c r="V571" s="424"/>
      <c r="W571" s="424"/>
      <c r="X571" s="424"/>
      <c r="Y571" s="424"/>
      <c r="Z571" s="465"/>
      <c r="AA571" s="439"/>
      <c r="AB571" s="439"/>
      <c r="AC571" s="465"/>
      <c r="AD571" s="439"/>
      <c r="AE571" s="439"/>
      <c r="AF571" s="465"/>
      <c r="AG571" s="439"/>
      <c r="AH571" s="439"/>
      <c r="AI571" s="439"/>
      <c r="AJ571" s="439"/>
      <c r="AK571" s="439"/>
      <c r="AL571" s="465"/>
      <c r="AM571" s="439"/>
      <c r="AN571" s="439"/>
      <c r="AO571" s="439"/>
      <c r="AP571" s="436"/>
      <c r="AQ571" s="436"/>
      <c r="AR571" s="436"/>
      <c r="AS571" s="436"/>
      <c r="AT571" s="436"/>
      <c r="AU571" s="436"/>
      <c r="AV571" s="436"/>
      <c r="AW571" s="436"/>
      <c r="AX571" s="436"/>
      <c r="AY571" s="436"/>
      <c r="AZ571" s="436"/>
      <c r="BA571" s="436"/>
      <c r="BB571" s="436"/>
      <c r="BC571" s="436"/>
      <c r="BD571" s="436"/>
      <c r="BE571" s="436"/>
      <c r="BF571" s="436"/>
      <c r="BG571" s="436"/>
      <c r="BH571" s="436"/>
      <c r="BI571" s="436"/>
      <c r="BJ571" s="436"/>
    </row>
    <row r="572" spans="1:62" ht="15.75" customHeight="1">
      <c r="A572" s="452" t="s">
        <v>495</v>
      </c>
      <c r="B572" s="433"/>
      <c r="C572" s="648" t="s">
        <v>491</v>
      </c>
      <c r="D572" s="436"/>
      <c r="E572" s="436"/>
      <c r="F572" s="436"/>
      <c r="G572" s="436"/>
      <c r="H572" s="436"/>
      <c r="I572" s="436"/>
      <c r="J572" s="436"/>
      <c r="K572" s="436"/>
      <c r="L572" s="436"/>
      <c r="M572" s="436"/>
      <c r="N572" s="436"/>
      <c r="O572" s="436"/>
      <c r="P572" s="436"/>
      <c r="Q572" s="436"/>
      <c r="R572" s="436"/>
      <c r="S572" s="436"/>
      <c r="T572" s="436"/>
      <c r="U572" s="436"/>
      <c r="V572" s="758" t="str">
        <f>C1</f>
        <v>Ste-Marie Auto</v>
      </c>
      <c r="W572" s="758"/>
      <c r="X572" s="758"/>
      <c r="Y572" s="758"/>
      <c r="Z572" s="758"/>
      <c r="AA572" s="758"/>
      <c r="AB572" s="758"/>
      <c r="AC572" s="758"/>
      <c r="AD572" s="758"/>
      <c r="AE572" s="759" t="s">
        <v>180</v>
      </c>
      <c r="AF572" s="758"/>
      <c r="AG572" s="758"/>
      <c r="AH572" s="758"/>
      <c r="AI572" s="758"/>
      <c r="AJ572" s="758"/>
      <c r="AK572" s="759"/>
      <c r="AL572" s="758"/>
      <c r="AM572" s="758"/>
      <c r="AN572" s="758"/>
      <c r="AO572" s="760" t="str">
        <f>$S$1</f>
        <v>Réalisé, Septembre 2026</v>
      </c>
      <c r="AP572" s="436"/>
      <c r="AQ572" s="436"/>
      <c r="AR572" s="436"/>
      <c r="AS572" s="436"/>
      <c r="AT572" s="436"/>
      <c r="AU572" s="436"/>
      <c r="AV572" s="436"/>
      <c r="AW572" s="436"/>
      <c r="AX572" s="436"/>
      <c r="AY572" s="436"/>
      <c r="AZ572" s="436"/>
      <c r="BA572" s="436"/>
      <c r="BB572" s="436"/>
      <c r="BC572" s="436"/>
      <c r="BD572" s="436"/>
      <c r="BE572" s="436"/>
      <c r="BF572" s="436"/>
      <c r="BG572" s="436"/>
      <c r="BH572" s="436"/>
      <c r="BI572" s="436"/>
      <c r="BJ572" s="436"/>
    </row>
    <row r="573" spans="1:62" ht="19.5" customHeight="1">
      <c r="A573" s="452" t="s">
        <v>493</v>
      </c>
      <c r="B573" s="433"/>
      <c r="C573" s="648" t="s">
        <v>491</v>
      </c>
      <c r="D573" s="436"/>
      <c r="E573" s="436"/>
      <c r="F573" s="436"/>
      <c r="G573" s="436"/>
      <c r="H573" s="436"/>
      <c r="I573" s="436"/>
      <c r="J573" s="436"/>
      <c r="K573" s="436"/>
      <c r="L573" s="436"/>
      <c r="M573" s="436"/>
      <c r="N573" s="436"/>
      <c r="O573" s="436"/>
      <c r="P573" s="436"/>
      <c r="Q573" s="436"/>
      <c r="R573" s="436"/>
      <c r="S573" s="436"/>
      <c r="T573" s="436"/>
      <c r="U573" s="436"/>
      <c r="V573" s="424"/>
      <c r="W573" s="424"/>
      <c r="X573" s="424"/>
      <c r="Y573" s="424"/>
      <c r="Z573" s="465"/>
      <c r="AA573" s="439"/>
      <c r="AB573" s="439"/>
      <c r="AC573" s="465"/>
      <c r="AD573" s="439"/>
      <c r="AE573" s="439"/>
      <c r="AF573" s="465"/>
      <c r="AG573" s="439"/>
      <c r="AH573" s="439"/>
      <c r="AI573" s="439"/>
      <c r="AJ573" s="439"/>
      <c r="AK573" s="439"/>
      <c r="AL573" s="465"/>
      <c r="AM573" s="439"/>
      <c r="AN573" s="439"/>
      <c r="AO573" s="439"/>
      <c r="AP573" s="436"/>
      <c r="AQ573" s="436"/>
      <c r="AR573" s="436"/>
      <c r="AS573" s="436"/>
      <c r="AT573" s="436"/>
      <c r="AU573" s="436"/>
      <c r="AV573" s="436"/>
      <c r="AW573" s="436"/>
      <c r="AX573" s="436"/>
      <c r="AY573" s="436"/>
      <c r="AZ573" s="436"/>
      <c r="BA573" s="436"/>
      <c r="BB573" s="436"/>
      <c r="BC573" s="436"/>
      <c r="BD573" s="436"/>
      <c r="BE573" s="436"/>
      <c r="BF573" s="436"/>
      <c r="BG573" s="436"/>
      <c r="BH573" s="436"/>
      <c r="BI573" s="436"/>
      <c r="BJ573" s="436"/>
    </row>
    <row r="574" spans="1:62" ht="19.5" customHeight="1" thickBot="1">
      <c r="A574" s="452" t="s">
        <v>493</v>
      </c>
      <c r="B574" s="433"/>
      <c r="C574" s="648" t="s">
        <v>491</v>
      </c>
      <c r="D574" s="436"/>
      <c r="E574" s="436"/>
      <c r="F574" s="436"/>
      <c r="G574" s="436"/>
      <c r="H574" s="436"/>
      <c r="I574" s="436"/>
      <c r="J574" s="436"/>
      <c r="K574" s="436"/>
      <c r="L574" s="436"/>
      <c r="M574" s="436"/>
      <c r="N574" s="436"/>
      <c r="O574" s="436"/>
      <c r="P574" s="436"/>
      <c r="Q574" s="436"/>
      <c r="R574" s="436"/>
      <c r="S574" s="436"/>
      <c r="T574" s="436"/>
      <c r="U574" s="436"/>
      <c r="V574" s="424"/>
      <c r="W574" s="424"/>
      <c r="X574" s="424"/>
      <c r="Y574" s="424"/>
      <c r="Z574" s="465"/>
      <c r="AA574" s="439"/>
      <c r="AB574" s="439"/>
      <c r="AC574" s="465"/>
      <c r="AD574" s="439"/>
      <c r="AE574" s="439"/>
      <c r="AF574" s="465"/>
      <c r="AG574" s="439"/>
      <c r="AH574" s="439"/>
      <c r="AI574" s="439"/>
      <c r="AJ574" s="439"/>
      <c r="AK574" s="439"/>
      <c r="AL574" s="465"/>
      <c r="AM574" s="439"/>
      <c r="AN574" s="439"/>
      <c r="AO574" s="439"/>
      <c r="AP574" s="436"/>
      <c r="AQ574" s="436"/>
      <c r="AR574" s="436"/>
      <c r="AS574" s="436"/>
      <c r="AT574" s="436"/>
      <c r="AU574" s="436"/>
      <c r="AV574" s="436"/>
      <c r="AW574" s="436"/>
      <c r="AX574" s="436"/>
      <c r="AY574" s="436"/>
      <c r="AZ574" s="436"/>
      <c r="BA574" s="436"/>
      <c r="BB574" s="436"/>
      <c r="BC574" s="436"/>
      <c r="BD574" s="436"/>
      <c r="BE574" s="436"/>
      <c r="BF574" s="436"/>
      <c r="BG574" s="436"/>
      <c r="BH574" s="436"/>
      <c r="BI574" s="436"/>
      <c r="BJ574" s="436"/>
    </row>
    <row r="575" spans="1:62" ht="18.75" hidden="1" customHeight="1">
      <c r="A575" s="452" t="s">
        <v>493</v>
      </c>
      <c r="B575" s="433"/>
      <c r="C575" s="648" t="s">
        <v>491</v>
      </c>
      <c r="D575" s="436"/>
      <c r="E575" s="436"/>
      <c r="F575" s="436"/>
      <c r="G575" s="436"/>
      <c r="H575" s="436"/>
      <c r="I575" s="436"/>
      <c r="J575" s="436"/>
      <c r="K575" s="436"/>
      <c r="L575" s="436"/>
      <c r="M575" s="436"/>
      <c r="N575" s="436"/>
      <c r="O575" s="436"/>
      <c r="P575" s="436"/>
      <c r="Q575" s="436"/>
      <c r="R575" s="436"/>
      <c r="S575" s="436"/>
      <c r="T575" s="436"/>
      <c r="U575" s="436"/>
      <c r="V575" s="748" t="s">
        <v>208</v>
      </c>
      <c r="W575" s="749"/>
      <c r="X575" s="750" t="s">
        <v>179</v>
      </c>
      <c r="Y575" s="751" t="e">
        <f>Z575/Z493</f>
        <v>#REF!</v>
      </c>
      <c r="Z575" s="756" t="e">
        <f>Z576+Z502</f>
        <v>#REF!</v>
      </c>
      <c r="AA575" s="750"/>
      <c r="AB575" s="751"/>
      <c r="AC575" s="752"/>
      <c r="AD575" s="750" t="s">
        <v>179</v>
      </c>
      <c r="AE575" s="751">
        <f>AF575/AF493</f>
        <v>1.7934822874086445E-2</v>
      </c>
      <c r="AF575" s="756">
        <f>AF576+AF502</f>
        <v>200807.28000000652</v>
      </c>
      <c r="AG575" s="753"/>
      <c r="AH575" s="753" t="e">
        <f t="shared" ref="AH575:AH576" si="122">AF575-Z575</f>
        <v>#REF!</v>
      </c>
      <c r="AI575" s="754" t="e">
        <f t="shared" ref="AI575:AI576" si="123">AH575/Z575</f>
        <v>#REF!</v>
      </c>
      <c r="AJ575" s="750" t="s">
        <v>179</v>
      </c>
      <c r="AK575" s="751">
        <f t="shared" ref="AK575:AK576" si="124">IF($AL$493=0,0,AL575/$AL$493)</f>
        <v>3.3750274286999921E-2</v>
      </c>
      <c r="AL575" s="756">
        <f>AL576+AL502</f>
        <v>555335.53000001342</v>
      </c>
      <c r="AM575" s="755"/>
      <c r="AN575" s="756">
        <f t="shared" ref="AN575:AN576" si="125">AF575-AL575</f>
        <v>-354528.25000000687</v>
      </c>
      <c r="AO575" s="761">
        <f t="shared" ref="AO575:AO576" si="126">IF(AL575=0,0,AN575/AL575)</f>
        <v>-0.63840368722670837</v>
      </c>
      <c r="AP575" s="436"/>
      <c r="AQ575" s="436"/>
      <c r="AR575" s="436"/>
      <c r="AS575" s="436"/>
      <c r="AT575" s="436"/>
      <c r="AU575" s="436"/>
      <c r="AV575" s="436"/>
      <c r="AW575" s="436"/>
      <c r="AX575" s="436"/>
      <c r="AY575" s="436"/>
      <c r="AZ575" s="436"/>
      <c r="BA575" s="436"/>
      <c r="BB575" s="436"/>
      <c r="BC575" s="436"/>
      <c r="BD575" s="436"/>
      <c r="BE575" s="436"/>
      <c r="BF575" s="436"/>
      <c r="BG575" s="436"/>
      <c r="BH575" s="436"/>
      <c r="BI575" s="436"/>
      <c r="BJ575" s="436"/>
    </row>
    <row r="576" spans="1:62" ht="21" customHeight="1" thickTop="1" thickBot="1">
      <c r="A576" s="452" t="s">
        <v>178</v>
      </c>
      <c r="B576" s="433"/>
      <c r="C576" s="648" t="s">
        <v>491</v>
      </c>
      <c r="D576" s="436"/>
      <c r="E576" s="436"/>
      <c r="F576" s="436"/>
      <c r="G576" s="436"/>
      <c r="H576" s="436"/>
      <c r="I576" s="436"/>
      <c r="J576" s="436"/>
      <c r="K576" s="436"/>
      <c r="L576" s="436"/>
      <c r="M576" s="436"/>
      <c r="N576" s="436"/>
      <c r="O576" s="436"/>
      <c r="P576" s="436"/>
      <c r="Q576" s="436"/>
      <c r="R576" s="436"/>
      <c r="S576" s="436"/>
      <c r="T576" s="436"/>
      <c r="U576" s="436"/>
      <c r="V576" s="748" t="s">
        <v>178</v>
      </c>
      <c r="W576" s="749"/>
      <c r="X576" s="750" t="s">
        <v>179</v>
      </c>
      <c r="Y576" s="751" t="e">
        <f>Z576/Z493</f>
        <v>#REF!</v>
      </c>
      <c r="Z576" s="752" t="e">
        <f>Z570</f>
        <v>#REF!</v>
      </c>
      <c r="AA576" s="750"/>
      <c r="AB576" s="751"/>
      <c r="AC576" s="752"/>
      <c r="AD576" s="750" t="s">
        <v>179</v>
      </c>
      <c r="AE576" s="751">
        <f>AF576/AF493</f>
        <v>1.3539397406029172E-2</v>
      </c>
      <c r="AF576" s="752">
        <f>AF570</f>
        <v>151593.89000000653</v>
      </c>
      <c r="AG576" s="756"/>
      <c r="AH576" s="753" t="e">
        <f t="shared" si="122"/>
        <v>#REF!</v>
      </c>
      <c r="AI576" s="754" t="e">
        <f t="shared" si="123"/>
        <v>#REF!</v>
      </c>
      <c r="AJ576" s="750" t="s">
        <v>179</v>
      </c>
      <c r="AK576" s="751">
        <f t="shared" si="124"/>
        <v>3.0211162405079626E-2</v>
      </c>
      <c r="AL576" s="752">
        <f>AL570</f>
        <v>497102.09000001347</v>
      </c>
      <c r="AM576" s="762"/>
      <c r="AN576" s="763">
        <f t="shared" si="125"/>
        <v>-345508.20000000694</v>
      </c>
      <c r="AO576" s="764">
        <f t="shared" si="126"/>
        <v>-0.69504475428779144</v>
      </c>
      <c r="AP576" s="436"/>
      <c r="AQ576" s="436"/>
      <c r="AR576" s="436"/>
      <c r="AS576" s="436"/>
      <c r="AT576" s="436"/>
      <c r="AU576" s="436"/>
      <c r="AV576" s="436"/>
      <c r="AW576" s="436"/>
      <c r="AX576" s="436"/>
      <c r="AY576" s="436"/>
      <c r="AZ576" s="436"/>
      <c r="BA576" s="436"/>
      <c r="BB576" s="436"/>
      <c r="BC576" s="436"/>
      <c r="BD576" s="436"/>
      <c r="BE576" s="436"/>
      <c r="BF576" s="436"/>
      <c r="BG576" s="436"/>
      <c r="BH576" s="436"/>
      <c r="BI576" s="436"/>
      <c r="BJ576" s="436"/>
    </row>
    <row r="577" spans="1:62" ht="15.75" customHeight="1" thickTop="1">
      <c r="A577" s="452" t="s">
        <v>493</v>
      </c>
      <c r="B577" s="433"/>
      <c r="C577" s="648" t="s">
        <v>491</v>
      </c>
      <c r="D577" s="436"/>
      <c r="E577" s="436"/>
      <c r="F577" s="521"/>
      <c r="G577" s="436"/>
      <c r="H577" s="436"/>
      <c r="I577" s="521"/>
      <c r="J577" s="436"/>
      <c r="K577" s="436"/>
      <c r="L577" s="436"/>
      <c r="M577" s="521"/>
      <c r="N577" s="436"/>
      <c r="O577" s="436"/>
      <c r="P577" s="436"/>
      <c r="Q577" s="521"/>
      <c r="R577" s="521"/>
      <c r="S577" s="521"/>
      <c r="T577" s="765"/>
      <c r="U577" s="436"/>
      <c r="V577" s="766"/>
      <c r="W577" s="436"/>
      <c r="X577" s="436"/>
      <c r="Y577" s="436"/>
      <c r="Z577" s="767"/>
      <c r="AA577" s="436"/>
      <c r="AB577" s="436"/>
      <c r="AC577" s="436"/>
      <c r="AD577" s="768"/>
      <c r="AE577" s="436"/>
      <c r="AF577" s="767"/>
      <c r="AG577" s="436"/>
      <c r="AH577" s="436"/>
      <c r="AI577" s="769"/>
      <c r="AJ577" s="436"/>
      <c r="AK577" s="436"/>
      <c r="AL577" s="767"/>
      <c r="AM577" s="770"/>
      <c r="AN577" s="521"/>
      <c r="AO577" s="771"/>
      <c r="AP577" s="436"/>
      <c r="AQ577" s="436"/>
      <c r="AR577" s="436"/>
      <c r="AS577" s="436"/>
      <c r="AT577" s="436"/>
      <c r="AU577" s="436"/>
      <c r="AV577" s="436"/>
      <c r="AW577" s="436"/>
      <c r="AX577" s="436"/>
      <c r="AY577" s="436"/>
      <c r="AZ577" s="436"/>
      <c r="BA577" s="436"/>
      <c r="BB577" s="436"/>
      <c r="BC577" s="436"/>
      <c r="BD577" s="436"/>
      <c r="BE577" s="436"/>
      <c r="BF577" s="436"/>
      <c r="BG577" s="436"/>
      <c r="BH577" s="436"/>
      <c r="BI577" s="436"/>
      <c r="BJ577" s="436"/>
    </row>
    <row r="578" spans="1:62" ht="15.75" customHeight="1">
      <c r="A578" s="452" t="s">
        <v>181</v>
      </c>
      <c r="B578" s="433"/>
      <c r="C578" s="648" t="s">
        <v>491</v>
      </c>
      <c r="D578" s="436"/>
      <c r="E578" s="436"/>
      <c r="F578" s="436"/>
      <c r="G578" s="436"/>
      <c r="H578" s="436"/>
      <c r="I578" s="436"/>
      <c r="J578" s="436"/>
      <c r="K578" s="436"/>
      <c r="L578" s="436"/>
      <c r="M578" s="436"/>
      <c r="N578" s="436"/>
      <c r="O578" s="436"/>
      <c r="P578" s="436"/>
      <c r="Q578" s="436"/>
      <c r="R578" s="436"/>
      <c r="S578" s="436"/>
      <c r="T578" s="436"/>
      <c r="U578" s="436"/>
      <c r="V578" s="541" t="s">
        <v>181</v>
      </c>
      <c r="W578" s="688"/>
      <c r="X578" s="681"/>
      <c r="Y578" s="689"/>
      <c r="Z578" s="682">
        <f t="array" ref="Z578">+INDEX('[3]Budget original'!$A$2:$AO$501,MATCH($A578,'[3]Budget original'!$A$2:$A$501,0),MATCH(F$2,'[3]Budget original'!$A$2:$AO$2,0))</f>
        <v>0</v>
      </c>
      <c r="AA578" s="681"/>
      <c r="AB578" s="689"/>
      <c r="AC578" s="684"/>
      <c r="AD578" s="690"/>
      <c r="AE578" s="689"/>
      <c r="AF578" s="682">
        <f>SUMIFS([3]BV_Data_An_Cour!$AM:$AM,[3]BV_Data_An_Cour!$AQ:$AQ,$V578)</f>
        <v>10810</v>
      </c>
      <c r="AG578" s="681"/>
      <c r="AH578" s="684">
        <f t="shared" ref="AH578:AH585" si="127">AF578-Z578</f>
        <v>10810</v>
      </c>
      <c r="AI578" s="704">
        <f t="shared" ref="AI578:AI584" si="128">IF(Z578=0,0,AH578/Z578)</f>
        <v>0</v>
      </c>
      <c r="AJ578" s="681"/>
      <c r="AK578" s="689"/>
      <c r="AL578" s="682">
        <f>SUMIFS([3]BV_Data_An_Prec!$AM:$AM,[3]BV_Data_An_Prec!$AQ:$AQ,$V578)</f>
        <v>10786.230000000003</v>
      </c>
      <c r="AM578" s="686"/>
      <c r="AN578" s="684">
        <f t="shared" ref="AN578:AN585" si="129">AF578-AL578</f>
        <v>23.769999999996799</v>
      </c>
      <c r="AO578" s="691">
        <f t="shared" ref="AO578:AO585" si="130">IF(AL578=0,0,AN578/AL578)</f>
        <v>2.2037356889290133E-3</v>
      </c>
      <c r="AP578" s="436"/>
      <c r="AQ578" s="436">
        <v>10810</v>
      </c>
      <c r="AR578" s="436" t="s">
        <v>498</v>
      </c>
      <c r="AS578" s="436"/>
      <c r="AT578" s="436"/>
      <c r="AU578" s="436"/>
      <c r="AV578" s="436"/>
      <c r="AW578" s="436"/>
      <c r="AX578" s="436"/>
      <c r="AY578" s="436"/>
      <c r="AZ578" s="436"/>
      <c r="BA578" s="436"/>
      <c r="BB578" s="436"/>
      <c r="BC578" s="436"/>
      <c r="BD578" s="436"/>
      <c r="BE578" s="436"/>
      <c r="BF578" s="436"/>
      <c r="BG578" s="436"/>
      <c r="BH578" s="436"/>
      <c r="BI578" s="436"/>
      <c r="BJ578" s="436"/>
    </row>
    <row r="579" spans="1:62" ht="15.75" customHeight="1">
      <c r="A579" s="452" t="s">
        <v>182</v>
      </c>
      <c r="B579" s="433"/>
      <c r="C579" s="648" t="s">
        <v>491</v>
      </c>
      <c r="D579" s="436"/>
      <c r="E579" s="436"/>
      <c r="F579" s="521"/>
      <c r="G579" s="436"/>
      <c r="H579" s="436"/>
      <c r="I579" s="521"/>
      <c r="J579" s="436"/>
      <c r="K579" s="436"/>
      <c r="L579" s="436"/>
      <c r="M579" s="521"/>
      <c r="N579" s="436"/>
      <c r="O579" s="436"/>
      <c r="P579" s="436"/>
      <c r="Q579" s="521"/>
      <c r="R579" s="521"/>
      <c r="S579" s="521"/>
      <c r="T579" s="436"/>
      <c r="U579" s="436"/>
      <c r="V579" s="541" t="s">
        <v>182</v>
      </c>
      <c r="W579" s="436"/>
      <c r="X579" s="436"/>
      <c r="Y579" s="436"/>
      <c r="Z579" s="682">
        <f t="array" ref="Z579">+INDEX('[3]Budget original'!$A$2:$AO$501,MATCH($A579,'[3]Budget original'!$A$2:$A$501,0),MATCH(F$2,'[3]Budget original'!$A$2:$AO$2,0))</f>
        <v>0</v>
      </c>
      <c r="AA579" s="436"/>
      <c r="AB579" s="436"/>
      <c r="AC579" s="684"/>
      <c r="AD579" s="772"/>
      <c r="AE579" s="439"/>
      <c r="AF579" s="682">
        <f>SUMIFS([3]BV_Data_An_Cour!$AM:$AM,[3]BV_Data_An_Cour!$AQ:$AQ,$V579)</f>
        <v>-178.07</v>
      </c>
      <c r="AG579" s="436"/>
      <c r="AH579" s="684">
        <f t="shared" si="127"/>
        <v>-178.07</v>
      </c>
      <c r="AI579" s="704">
        <f t="shared" si="128"/>
        <v>0</v>
      </c>
      <c r="AJ579" s="436"/>
      <c r="AK579" s="439"/>
      <c r="AL579" s="682">
        <f>SUMIFS([3]BV_Data_An_Prec!$AM:$AM,[3]BV_Data_An_Prec!$AQ:$AQ,$V579)</f>
        <v>0</v>
      </c>
      <c r="AM579" s="770"/>
      <c r="AN579" s="684">
        <f t="shared" si="129"/>
        <v>-178.07</v>
      </c>
      <c r="AO579" s="691">
        <f t="shared" si="130"/>
        <v>0</v>
      </c>
      <c r="AP579" s="436"/>
      <c r="AQ579" s="436"/>
      <c r="AR579" s="436"/>
      <c r="AS579" s="436"/>
      <c r="AT579" s="436"/>
      <c r="AU579" s="436"/>
      <c r="AV579" s="436"/>
      <c r="AW579" s="436"/>
      <c r="AX579" s="436"/>
      <c r="AY579" s="436"/>
      <c r="AZ579" s="436"/>
      <c r="BA579" s="436"/>
      <c r="BB579" s="436"/>
      <c r="BC579" s="436"/>
      <c r="BD579" s="436"/>
      <c r="BE579" s="436"/>
      <c r="BF579" s="436"/>
      <c r="BG579" s="436"/>
      <c r="BH579" s="436"/>
      <c r="BI579" s="436"/>
      <c r="BJ579" s="436"/>
    </row>
    <row r="580" spans="1:62" ht="15.75" customHeight="1">
      <c r="A580" s="452" t="s">
        <v>183</v>
      </c>
      <c r="B580" s="433"/>
      <c r="C580" s="648" t="s">
        <v>491</v>
      </c>
      <c r="D580" s="436"/>
      <c r="E580" s="436"/>
      <c r="F580" s="521"/>
      <c r="G580" s="436"/>
      <c r="H580" s="436"/>
      <c r="I580" s="521"/>
      <c r="J580" s="436"/>
      <c r="K580" s="436"/>
      <c r="L580" s="436"/>
      <c r="M580" s="521"/>
      <c r="N580" s="436"/>
      <c r="O580" s="436"/>
      <c r="P580" s="436"/>
      <c r="Q580" s="521"/>
      <c r="R580" s="521"/>
      <c r="S580" s="521"/>
      <c r="T580" s="436"/>
      <c r="U580" s="436"/>
      <c r="V580" s="541" t="s">
        <v>183</v>
      </c>
      <c r="W580" s="439"/>
      <c r="X580" s="439"/>
      <c r="Y580" s="439"/>
      <c r="Z580" s="682">
        <f t="array" ref="Z580">+INDEX('[3]Budget original'!$A$2:$AO$501,MATCH($A580,'[3]Budget original'!$A$2:$A$501,0),MATCH(F$2,'[3]Budget original'!$A$2:$AO$2,0))</f>
        <v>0</v>
      </c>
      <c r="AA580" s="436"/>
      <c r="AB580" s="436"/>
      <c r="AC580" s="684"/>
      <c r="AD580" s="772"/>
      <c r="AE580" s="439"/>
      <c r="AF580" s="682">
        <f>SUMIFS([3]BV_Data_An_Cour!$AM:$AM,[3]BV_Data_An_Cour!$AQ:$AQ,$V580)</f>
        <v>7887.2099999999919</v>
      </c>
      <c r="AG580" s="436"/>
      <c r="AH580" s="684">
        <f t="shared" si="127"/>
        <v>7887.2099999999919</v>
      </c>
      <c r="AI580" s="704">
        <f t="shared" si="128"/>
        <v>0</v>
      </c>
      <c r="AJ580" s="436"/>
      <c r="AK580" s="439"/>
      <c r="AL580" s="682">
        <f>SUMIFS([3]BV_Data_An_Prec!$AM:$AM,[3]BV_Data_An_Prec!$AQ:$AQ,$V580)</f>
        <v>0</v>
      </c>
      <c r="AM580" s="770"/>
      <c r="AN580" s="684">
        <f t="shared" si="129"/>
        <v>7887.2099999999919</v>
      </c>
      <c r="AO580" s="691">
        <f t="shared" si="130"/>
        <v>0</v>
      </c>
      <c r="AP580" s="436"/>
      <c r="AQ580" s="436">
        <v>7887</v>
      </c>
      <c r="AR580" s="521">
        <f>AQ580-AF580</f>
        <v>-0.20999999999185093</v>
      </c>
      <c r="AS580" s="436"/>
      <c r="AT580" s="436"/>
      <c r="AU580" s="436"/>
      <c r="AV580" s="436"/>
      <c r="AW580" s="436"/>
      <c r="AX580" s="436"/>
      <c r="AY580" s="436"/>
      <c r="AZ580" s="436"/>
      <c r="BA580" s="436"/>
      <c r="BB580" s="436"/>
      <c r="BC580" s="436"/>
      <c r="BD580" s="436"/>
      <c r="BE580" s="436"/>
      <c r="BF580" s="436"/>
      <c r="BG580" s="436"/>
      <c r="BH580" s="436"/>
      <c r="BI580" s="436"/>
      <c r="BJ580" s="436"/>
    </row>
    <row r="581" spans="1:62" ht="15.75" customHeight="1">
      <c r="A581" s="452" t="s">
        <v>184</v>
      </c>
      <c r="B581" s="433"/>
      <c r="C581" s="648" t="s">
        <v>491</v>
      </c>
      <c r="D581" s="436"/>
      <c r="E581" s="436"/>
      <c r="F581" s="521"/>
      <c r="G581" s="436"/>
      <c r="H581" s="436"/>
      <c r="I581" s="521"/>
      <c r="J581" s="436"/>
      <c r="K581" s="436"/>
      <c r="L581" s="436"/>
      <c r="M581" s="521"/>
      <c r="N581" s="436"/>
      <c r="O581" s="436"/>
      <c r="P581" s="436"/>
      <c r="Q581" s="521"/>
      <c r="R581" s="521"/>
      <c r="S581" s="521"/>
      <c r="T581" s="436"/>
      <c r="U581" s="436"/>
      <c r="V581" s="541" t="s">
        <v>184</v>
      </c>
      <c r="W581" s="439"/>
      <c r="X581" s="439"/>
      <c r="Y581" s="439"/>
      <c r="Z581" s="682">
        <f t="array" ref="Z581">+INDEX('[3]Budget original'!$A$2:$AO$501,MATCH($A581,'[3]Budget original'!$A$2:$A$501,0),MATCH(F$2,'[3]Budget original'!$A$2:$AO$2,0))</f>
        <v>0</v>
      </c>
      <c r="AA581" s="436"/>
      <c r="AB581" s="436"/>
      <c r="AC581" s="684"/>
      <c r="AD581" s="772"/>
      <c r="AE581" s="439"/>
      <c r="AF581" s="682">
        <f>SUMIFS([3]BV_Data_An_Cour!$AM:$AM,[3]BV_Data_An_Cour!$AQ:$AQ,$V581)</f>
        <v>0</v>
      </c>
      <c r="AG581" s="436"/>
      <c r="AH581" s="684">
        <f t="shared" si="127"/>
        <v>0</v>
      </c>
      <c r="AI581" s="704">
        <f t="shared" si="128"/>
        <v>0</v>
      </c>
      <c r="AJ581" s="436"/>
      <c r="AK581" s="439"/>
      <c r="AL581" s="682">
        <f>SUMIFS([3]BV_Data_An_Prec!$AM:$AM,[3]BV_Data_An_Prec!$AQ:$AQ,$V581)</f>
        <v>0</v>
      </c>
      <c r="AM581" s="770"/>
      <c r="AN581" s="684">
        <f t="shared" si="129"/>
        <v>0</v>
      </c>
      <c r="AO581" s="691">
        <f t="shared" si="130"/>
        <v>0</v>
      </c>
      <c r="AP581" s="436"/>
      <c r="AQ581" s="436"/>
      <c r="AR581" s="436"/>
      <c r="AS581" s="436"/>
      <c r="AT581" s="436"/>
      <c r="AU581" s="436"/>
      <c r="AV581" s="436"/>
      <c r="AW581" s="436"/>
      <c r="AX581" s="436"/>
      <c r="AY581" s="436"/>
      <c r="AZ581" s="436"/>
      <c r="BA581" s="436"/>
      <c r="BB581" s="436"/>
      <c r="BC581" s="436"/>
      <c r="BD581" s="436"/>
      <c r="BE581" s="436"/>
      <c r="BF581" s="436"/>
      <c r="BG581" s="436"/>
      <c r="BH581" s="436"/>
      <c r="BI581" s="436"/>
      <c r="BJ581" s="436"/>
    </row>
    <row r="582" spans="1:62" ht="20.25" hidden="1" customHeight="1">
      <c r="A582" s="452" t="s">
        <v>19</v>
      </c>
      <c r="B582" s="433"/>
      <c r="C582" s="648" t="s">
        <v>491</v>
      </c>
      <c r="D582" s="436"/>
      <c r="E582" s="436"/>
      <c r="F582" s="521"/>
      <c r="G582" s="436"/>
      <c r="H582" s="436"/>
      <c r="I582" s="521"/>
      <c r="J582" s="436"/>
      <c r="K582" s="436"/>
      <c r="L582" s="436"/>
      <c r="M582" s="521"/>
      <c r="N582" s="436"/>
      <c r="O582" s="436"/>
      <c r="P582" s="436"/>
      <c r="Q582" s="521"/>
      <c r="R582" s="521"/>
      <c r="S582" s="521"/>
      <c r="T582" s="436"/>
      <c r="U582" s="436"/>
      <c r="V582" s="541" t="s">
        <v>19</v>
      </c>
      <c r="W582" s="439"/>
      <c r="X582" s="439"/>
      <c r="Y582" s="439"/>
      <c r="Z582" s="682">
        <f>IFERROR(SUMIF($C:$C,$V582,F:F),0)</f>
        <v>0</v>
      </c>
      <c r="AA582" s="681"/>
      <c r="AB582" s="681"/>
      <c r="AC582" s="684"/>
      <c r="AD582" s="690"/>
      <c r="AE582" s="689"/>
      <c r="AF582" s="682">
        <f>IFERROR(SUMIF($C:$C,$V582,L:L),0)</f>
        <v>0</v>
      </c>
      <c r="AG582" s="683"/>
      <c r="AH582" s="684">
        <f t="shared" si="127"/>
        <v>0</v>
      </c>
      <c r="AI582" s="685">
        <f t="shared" si="128"/>
        <v>0</v>
      </c>
      <c r="AJ582" s="690"/>
      <c r="AK582" s="689"/>
      <c r="AL582" s="682">
        <f>SUMIFS([3]BV_Data_An_Prec!$AM:$AM,[3]BV_Data_An_Prec!$AQ:$AQ,$V582)</f>
        <v>0</v>
      </c>
      <c r="AM582" s="770"/>
      <c r="AN582" s="684">
        <f t="shared" si="129"/>
        <v>0</v>
      </c>
      <c r="AO582" s="691">
        <f t="shared" si="130"/>
        <v>0</v>
      </c>
      <c r="AP582" s="436"/>
      <c r="AQ582" s="436"/>
      <c r="AR582" s="436"/>
      <c r="AS582" s="436"/>
      <c r="AT582" s="436"/>
      <c r="AU582" s="436"/>
      <c r="AV582" s="436"/>
      <c r="AW582" s="436"/>
      <c r="AX582" s="436"/>
      <c r="AY582" s="436"/>
      <c r="AZ582" s="436"/>
      <c r="BA582" s="436"/>
      <c r="BB582" s="436"/>
      <c r="BC582" s="436"/>
      <c r="BD582" s="436"/>
      <c r="BE582" s="436"/>
      <c r="BF582" s="436"/>
      <c r="BG582" s="436"/>
      <c r="BH582" s="436"/>
      <c r="BI582" s="436"/>
      <c r="BJ582" s="436"/>
    </row>
    <row r="583" spans="1:62" ht="15.75" customHeight="1" thickBot="1">
      <c r="A583" s="541" t="str">
        <f>V583</f>
        <v>Revenus d'intérêts Floor plan</v>
      </c>
      <c r="B583" s="433"/>
      <c r="C583" s="648" t="s">
        <v>491</v>
      </c>
      <c r="D583" s="436"/>
      <c r="E583" s="436"/>
      <c r="F583" s="521"/>
      <c r="G583" s="436"/>
      <c r="H583" s="436"/>
      <c r="I583" s="521"/>
      <c r="J583" s="436"/>
      <c r="K583" s="436"/>
      <c r="L583" s="436"/>
      <c r="M583" s="521"/>
      <c r="N583" s="436"/>
      <c r="O583" s="436"/>
      <c r="P583" s="436"/>
      <c r="Q583" s="521"/>
      <c r="R583" s="521"/>
      <c r="S583" s="521"/>
      <c r="T583" s="436"/>
      <c r="U583" s="436"/>
      <c r="V583" s="541" t="s">
        <v>207</v>
      </c>
      <c r="W583" s="439"/>
      <c r="X583" s="439"/>
      <c r="Y583" s="439"/>
      <c r="Z583" s="682">
        <f t="array" ref="Z583">+INDEX('[3]Budget original'!$A$2:$AO$501,MATCH($A583,'[3]Budget original'!$A$2:$A$501,0),MATCH(F$2,'[3]Budget original'!$A$2:$AO$2,0))</f>
        <v>0</v>
      </c>
      <c r="AA583" s="681"/>
      <c r="AB583" s="681"/>
      <c r="AC583" s="684"/>
      <c r="AD583" s="690"/>
      <c r="AE583" s="689"/>
      <c r="AF583" s="682">
        <f>SUMIFS([3]BV_Data_An_Cour!$AM:$AM,[3]BV_Data_An_Cour!$AQ:$AQ,$V583)</f>
        <v>0</v>
      </c>
      <c r="AG583" s="683"/>
      <c r="AH583" s="684">
        <f t="shared" si="127"/>
        <v>0</v>
      </c>
      <c r="AI583" s="685">
        <f t="shared" si="128"/>
        <v>0</v>
      </c>
      <c r="AJ583" s="690"/>
      <c r="AK583" s="689"/>
      <c r="AL583" s="682">
        <f>SUMIFS([3]BV_Data_An_Prec!$AM:$AM,[3]BV_Data_An_Prec!$AQ:$AQ,$V583)</f>
        <v>0</v>
      </c>
      <c r="AM583" s="770"/>
      <c r="AN583" s="684">
        <f t="shared" si="129"/>
        <v>0</v>
      </c>
      <c r="AO583" s="691">
        <f t="shared" si="130"/>
        <v>0</v>
      </c>
      <c r="AP583" s="436"/>
      <c r="AQ583" s="436"/>
      <c r="AR583" s="436"/>
      <c r="AS583" s="436"/>
      <c r="AT583" s="436"/>
      <c r="AU583" s="436"/>
      <c r="AV583" s="436"/>
      <c r="AW583" s="436"/>
      <c r="AX583" s="436"/>
      <c r="AY583" s="436"/>
      <c r="AZ583" s="436"/>
      <c r="BA583" s="436"/>
      <c r="BB583" s="436"/>
      <c r="BC583" s="436"/>
      <c r="BD583" s="436"/>
      <c r="BE583" s="436"/>
      <c r="BF583" s="436"/>
      <c r="BG583" s="436"/>
      <c r="BH583" s="436"/>
      <c r="BI583" s="436"/>
      <c r="BJ583" s="436"/>
    </row>
    <row r="584" spans="1:62" ht="21" hidden="1" customHeight="1">
      <c r="A584" s="452" t="s">
        <v>19</v>
      </c>
      <c r="B584" s="433"/>
      <c r="C584" s="648" t="s">
        <v>491</v>
      </c>
      <c r="D584" s="436"/>
      <c r="E584" s="436"/>
      <c r="F584" s="521"/>
      <c r="G584" s="436"/>
      <c r="H584" s="436"/>
      <c r="I584" s="521"/>
      <c r="J584" s="436"/>
      <c r="K584" s="436"/>
      <c r="L584" s="436"/>
      <c r="M584" s="521"/>
      <c r="N584" s="436"/>
      <c r="O584" s="436"/>
      <c r="P584" s="436"/>
      <c r="Q584" s="521"/>
      <c r="R584" s="521"/>
      <c r="S584" s="521"/>
      <c r="T584" s="436"/>
      <c r="U584" s="436"/>
      <c r="V584" s="541" t="s">
        <v>19</v>
      </c>
      <c r="W584" s="439"/>
      <c r="X584" s="436"/>
      <c r="Y584" s="439"/>
      <c r="Z584" s="682">
        <f>IFERROR(SUMIF($C:$C,$V584,F:F),0)</f>
        <v>0</v>
      </c>
      <c r="AA584" s="681"/>
      <c r="AB584" s="681"/>
      <c r="AC584" s="682"/>
      <c r="AD584" s="690"/>
      <c r="AE584" s="689"/>
      <c r="AF584" s="682">
        <f>IFERROR(SUMIF($C:$C,$V584,L:L),0)</f>
        <v>0</v>
      </c>
      <c r="AG584" s="683"/>
      <c r="AH584" s="684">
        <f t="shared" si="127"/>
        <v>0</v>
      </c>
      <c r="AI584" s="685">
        <f t="shared" si="128"/>
        <v>0</v>
      </c>
      <c r="AJ584" s="690"/>
      <c r="AK584" s="689"/>
      <c r="AL584" s="682">
        <f>SUMIFS([3]BV_Data_An_Prec!$AM:$AM,[3]BV_Data_An_Prec!$AQ:$AQ,$V584)</f>
        <v>0</v>
      </c>
      <c r="AM584" s="770"/>
      <c r="AN584" s="684">
        <f t="shared" si="129"/>
        <v>0</v>
      </c>
      <c r="AO584" s="691">
        <f t="shared" si="130"/>
        <v>0</v>
      </c>
      <c r="AP584" s="436"/>
      <c r="AQ584" s="436"/>
      <c r="AR584" s="436"/>
      <c r="AS584" s="436"/>
      <c r="AT584" s="436"/>
      <c r="AU584" s="436"/>
      <c r="AV584" s="436"/>
      <c r="AW584" s="436"/>
      <c r="AX584" s="436"/>
      <c r="AY584" s="436"/>
      <c r="AZ584" s="436"/>
      <c r="BA584" s="436"/>
      <c r="BB584" s="436"/>
      <c r="BC584" s="436"/>
      <c r="BD584" s="436"/>
      <c r="BE584" s="436"/>
      <c r="BF584" s="436"/>
      <c r="BG584" s="436"/>
      <c r="BH584" s="436"/>
      <c r="BI584" s="436"/>
      <c r="BJ584" s="436"/>
    </row>
    <row r="585" spans="1:62" ht="21" customHeight="1" thickTop="1" thickBot="1">
      <c r="A585" s="452" t="s">
        <v>185</v>
      </c>
      <c r="B585" s="433"/>
      <c r="C585" s="648" t="s">
        <v>491</v>
      </c>
      <c r="D585" s="436"/>
      <c r="E585" s="436"/>
      <c r="F585" s="521"/>
      <c r="G585" s="436"/>
      <c r="H585" s="436"/>
      <c r="I585" s="521"/>
      <c r="J585" s="436"/>
      <c r="K585" s="436"/>
      <c r="L585" s="436"/>
      <c r="M585" s="521"/>
      <c r="N585" s="436"/>
      <c r="O585" s="436"/>
      <c r="P585" s="436"/>
      <c r="Q585" s="521"/>
      <c r="R585" s="521"/>
      <c r="S585" s="521"/>
      <c r="T585" s="436"/>
      <c r="U585" s="436"/>
      <c r="V585" s="748" t="s">
        <v>185</v>
      </c>
      <c r="W585" s="749"/>
      <c r="X585" s="750" t="s">
        <v>179</v>
      </c>
      <c r="Y585" s="751" t="e">
        <f>Z585/Z493</f>
        <v>#REF!</v>
      </c>
      <c r="Z585" s="752" t="e">
        <f>Z576-Z578-Z579-Z580-Z584-Z583</f>
        <v>#REF!</v>
      </c>
      <c r="AA585" s="750"/>
      <c r="AB585" s="751"/>
      <c r="AC585" s="752"/>
      <c r="AD585" s="750" t="s">
        <v>179</v>
      </c>
      <c r="AE585" s="751">
        <f>AF585/AF493</f>
        <v>1.1885386178545794E-2</v>
      </c>
      <c r="AF585" s="752">
        <f>AF576-AF578-AF579-AF580-AF584-AF583</f>
        <v>133074.75000000655</v>
      </c>
      <c r="AG585" s="753"/>
      <c r="AH585" s="753" t="e">
        <f t="shared" si="127"/>
        <v>#REF!</v>
      </c>
      <c r="AI585" s="754" t="e">
        <f>AH585/Z585</f>
        <v>#REF!</v>
      </c>
      <c r="AJ585" s="750" t="s">
        <v>179</v>
      </c>
      <c r="AK585" s="751">
        <f>IF($AL$493=0,0,AL585/$AL$493)</f>
        <v>2.9555633987831304E-2</v>
      </c>
      <c r="AL585" s="752">
        <f>AL576-AL578-AL579-AL580-AL584-AL583</f>
        <v>486315.86000001349</v>
      </c>
      <c r="AM585" s="755"/>
      <c r="AN585" s="756">
        <f t="shared" si="129"/>
        <v>-353241.11000000697</v>
      </c>
      <c r="AO585" s="761">
        <f t="shared" si="130"/>
        <v>-0.72636148448869664</v>
      </c>
      <c r="AP585" s="436"/>
      <c r="AQ585" s="436"/>
      <c r="AR585" s="436"/>
      <c r="AS585" s="436"/>
      <c r="AT585" s="436"/>
      <c r="AU585" s="436"/>
      <c r="AV585" s="436"/>
      <c r="AW585" s="436"/>
      <c r="AX585" s="436"/>
      <c r="AY585" s="436"/>
      <c r="AZ585" s="436"/>
      <c r="BA585" s="436"/>
      <c r="BB585" s="436"/>
      <c r="BC585" s="436"/>
      <c r="BD585" s="436"/>
      <c r="BE585" s="436"/>
      <c r="BF585" s="436"/>
      <c r="BG585" s="436"/>
      <c r="BH585" s="436"/>
      <c r="BI585" s="436"/>
      <c r="BJ585" s="436"/>
    </row>
    <row r="586" spans="1:62" ht="15.75" customHeight="1" thickTop="1">
      <c r="A586" s="452" t="s">
        <v>493</v>
      </c>
      <c r="B586" s="433"/>
      <c r="C586" s="436"/>
      <c r="D586" s="436"/>
      <c r="E586" s="436"/>
      <c r="F586" s="521"/>
      <c r="G586" s="436"/>
      <c r="H586" s="436"/>
      <c r="I586" s="521"/>
      <c r="J586" s="436"/>
      <c r="K586" s="436"/>
      <c r="L586" s="436"/>
      <c r="M586" s="521"/>
      <c r="N586" s="436"/>
      <c r="O586" s="436"/>
      <c r="P586" s="436"/>
      <c r="Q586" s="521"/>
      <c r="R586" s="521"/>
      <c r="S586" s="521"/>
      <c r="T586" s="436"/>
      <c r="U586" s="436"/>
      <c r="AP586" s="436"/>
      <c r="AQ586" s="436"/>
      <c r="AR586" s="436"/>
      <c r="AS586" s="436"/>
      <c r="AT586" s="436"/>
      <c r="AU586" s="436"/>
      <c r="AV586" s="436"/>
      <c r="AW586" s="436"/>
      <c r="AX586" s="436"/>
      <c r="AY586" s="436"/>
      <c r="AZ586" s="436"/>
      <c r="BA586" s="436"/>
      <c r="BB586" s="436"/>
      <c r="BC586" s="436"/>
      <c r="BD586" s="436"/>
      <c r="BE586" s="436"/>
      <c r="BF586" s="436"/>
      <c r="BG586" s="436"/>
      <c r="BH586" s="436"/>
      <c r="BI586" s="436"/>
      <c r="BJ586" s="436"/>
    </row>
    <row r="587" spans="1:62" ht="15.75" customHeight="1">
      <c r="B587" s="433"/>
      <c r="T587" s="436"/>
      <c r="U587" s="436"/>
      <c r="AM587" s="436"/>
      <c r="AN587" s="436"/>
      <c r="AO587" s="436"/>
      <c r="AP587" s="436"/>
      <c r="AQ587" s="436"/>
      <c r="AR587" s="436"/>
      <c r="AS587" s="436"/>
      <c r="AT587" s="436"/>
      <c r="AU587" s="436"/>
      <c r="AV587" s="436"/>
      <c r="AW587" s="436"/>
      <c r="AX587" s="436"/>
      <c r="AY587" s="436"/>
      <c r="AZ587" s="436"/>
      <c r="BA587" s="436"/>
      <c r="BB587" s="436"/>
      <c r="BC587" s="436"/>
      <c r="BD587" s="436"/>
      <c r="BE587" s="436"/>
      <c r="BF587" s="436"/>
      <c r="BG587" s="436"/>
      <c r="BH587" s="436"/>
      <c r="BI587" s="436"/>
      <c r="BJ587" s="436"/>
    </row>
    <row r="588" spans="1:62" ht="15.75" customHeight="1">
      <c r="B588" s="433"/>
      <c r="C588" s="436"/>
      <c r="S588" s="521"/>
      <c r="T588" s="436"/>
      <c r="U588" s="436"/>
      <c r="AM588" s="436"/>
      <c r="AN588" s="436"/>
      <c r="AO588" s="436"/>
      <c r="AP588" s="436"/>
      <c r="AQ588" s="436"/>
      <c r="AR588" s="436"/>
      <c r="AS588" s="436"/>
      <c r="AT588" s="436"/>
      <c r="AU588" s="436"/>
      <c r="AV588" s="436"/>
      <c r="AW588" s="436"/>
      <c r="AX588" s="436"/>
      <c r="AY588" s="436"/>
      <c r="AZ588" s="436"/>
      <c r="BA588" s="436"/>
      <c r="BB588" s="436"/>
      <c r="BC588" s="436"/>
      <c r="BD588" s="436"/>
      <c r="BE588" s="436"/>
      <c r="BF588" s="436"/>
      <c r="BG588" s="436"/>
      <c r="BH588" s="436"/>
      <c r="BI588" s="436"/>
      <c r="BJ588" s="436"/>
    </row>
    <row r="589" spans="1:62" ht="15.75" customHeight="1">
      <c r="B589" s="433"/>
      <c r="C589" s="681"/>
      <c r="T589" s="436"/>
      <c r="U589" s="436"/>
      <c r="V589" s="436" t="s">
        <v>499</v>
      </c>
      <c r="W589" s="436"/>
      <c r="X589" s="436"/>
      <c r="Y589" s="436"/>
      <c r="Z589" s="521"/>
      <c r="AA589" s="436"/>
      <c r="AB589" s="436"/>
      <c r="AC589" s="521"/>
      <c r="AE589" s="773"/>
      <c r="AF589" s="773">
        <v>166333.46</v>
      </c>
      <c r="AG589" s="436"/>
      <c r="AH589" s="436"/>
      <c r="AI589" s="436"/>
      <c r="AJ589" s="774"/>
      <c r="AK589" s="775"/>
      <c r="AL589" s="773">
        <v>486312</v>
      </c>
      <c r="AM589" s="436"/>
      <c r="AN589" s="436"/>
      <c r="AO589" s="436"/>
      <c r="AP589" s="436"/>
      <c r="AQ589" s="436"/>
      <c r="AR589" s="436"/>
      <c r="AS589" s="436"/>
      <c r="AT589" s="436"/>
      <c r="AU589" s="436"/>
      <c r="AV589" s="436"/>
      <c r="AW589" s="436"/>
      <c r="AX589" s="436"/>
      <c r="AY589" s="436"/>
      <c r="AZ589" s="436"/>
      <c r="BA589" s="436"/>
      <c r="BB589" s="436"/>
      <c r="BC589" s="436"/>
      <c r="BD589" s="436"/>
      <c r="BE589" s="436"/>
      <c r="BF589" s="436"/>
      <c r="BG589" s="436"/>
      <c r="BH589" s="436"/>
      <c r="BI589" s="436"/>
      <c r="BJ589" s="436"/>
    </row>
    <row r="590" spans="1:62" ht="15.75" customHeight="1">
      <c r="B590" s="433"/>
      <c r="C590" s="681"/>
      <c r="T590" s="436"/>
      <c r="U590" s="436"/>
      <c r="W590" s="436"/>
      <c r="X590" s="436"/>
      <c r="Y590" s="436"/>
      <c r="Z590" s="521"/>
      <c r="AA590" s="436"/>
      <c r="AB590" s="436"/>
      <c r="AC590" s="521"/>
      <c r="AD590" s="436"/>
      <c r="AE590" s="436"/>
      <c r="AF590" s="773"/>
      <c r="AG590" s="436"/>
      <c r="AH590" s="436"/>
      <c r="AI590" s="436"/>
      <c r="AJ590" s="436"/>
      <c r="AL590" s="773"/>
      <c r="AM590" s="436"/>
      <c r="AN590" s="436"/>
      <c r="AO590" s="436"/>
      <c r="AP590" s="436"/>
      <c r="AQ590" s="436"/>
      <c r="AR590" s="436"/>
      <c r="AS590" s="436"/>
      <c r="AT590" s="436"/>
      <c r="AU590" s="436"/>
      <c r="AV590" s="436"/>
      <c r="AW590" s="436"/>
      <c r="AX590" s="436"/>
      <c r="AY590" s="436"/>
      <c r="AZ590" s="436"/>
      <c r="BA590" s="436"/>
      <c r="BB590" s="436"/>
      <c r="BC590" s="436"/>
      <c r="BD590" s="436"/>
      <c r="BE590" s="436"/>
      <c r="BF590" s="436"/>
      <c r="BG590" s="436"/>
      <c r="BH590" s="436"/>
      <c r="BI590" s="436"/>
      <c r="BJ590" s="436"/>
    </row>
    <row r="591" spans="1:62" ht="15.75" customHeight="1">
      <c r="B591" s="433"/>
      <c r="C591" s="681"/>
      <c r="T591" s="436"/>
      <c r="U591" s="436"/>
      <c r="W591" s="436"/>
      <c r="X591" s="436"/>
      <c r="Y591" s="436"/>
      <c r="AE591" s="436"/>
      <c r="AF591" s="776">
        <f>AF589-AF585</f>
        <v>33258.709999993443</v>
      </c>
      <c r="AL591" s="776">
        <f>AL589-AL585</f>
        <v>-3.8600000134902075</v>
      </c>
      <c r="AM591" s="436"/>
      <c r="AN591" s="436"/>
      <c r="AO591" s="436"/>
      <c r="AP591" s="436"/>
      <c r="AQ591" s="436"/>
      <c r="AR591" s="436"/>
      <c r="AS591" s="436"/>
      <c r="AT591" s="436"/>
      <c r="AU591" s="436"/>
      <c r="AV591" s="436"/>
      <c r="AW591" s="436"/>
      <c r="AX591" s="436"/>
      <c r="AY591" s="436"/>
      <c r="AZ591" s="436"/>
      <c r="BA591" s="436"/>
      <c r="BB591" s="436"/>
      <c r="BC591" s="436"/>
      <c r="BD591" s="436"/>
      <c r="BE591" s="436"/>
      <c r="BF591" s="436"/>
      <c r="BG591" s="436"/>
      <c r="BH591" s="436"/>
      <c r="BI591" s="436"/>
      <c r="BJ591" s="436"/>
    </row>
    <row r="592" spans="1:62" ht="15.75" customHeight="1">
      <c r="B592" s="433"/>
      <c r="C592" s="681"/>
      <c r="T592" s="436"/>
      <c r="U592" s="436"/>
      <c r="W592" s="436"/>
      <c r="X592" s="436"/>
      <c r="Y592" s="436"/>
      <c r="Z592" s="436"/>
      <c r="AA592" s="436"/>
      <c r="AB592" s="436"/>
      <c r="AC592" s="436"/>
      <c r="AD592" s="436"/>
      <c r="AE592" s="436"/>
      <c r="AG592" s="436"/>
      <c r="AH592" s="436"/>
      <c r="AI592" s="436"/>
      <c r="AJ592" s="436"/>
      <c r="AK592" s="436"/>
      <c r="AL592" s="436"/>
      <c r="AM592" s="436"/>
      <c r="AN592" s="436"/>
      <c r="AO592" s="436"/>
      <c r="AP592" s="436"/>
      <c r="AQ592" s="436"/>
      <c r="AR592" s="436"/>
      <c r="AS592" s="436"/>
      <c r="AT592" s="436"/>
      <c r="AU592" s="436"/>
      <c r="AV592" s="436"/>
      <c r="AW592" s="436"/>
      <c r="AX592" s="436"/>
      <c r="AY592" s="436"/>
      <c r="AZ592" s="436"/>
      <c r="BA592" s="436"/>
      <c r="BB592" s="436"/>
      <c r="BC592" s="436"/>
      <c r="BD592" s="436"/>
      <c r="BE592" s="436"/>
      <c r="BF592" s="436"/>
      <c r="BG592" s="436"/>
      <c r="BH592" s="436"/>
      <c r="BI592" s="436"/>
      <c r="BJ592" s="436"/>
    </row>
    <row r="593" spans="2:62" ht="15.75" customHeight="1">
      <c r="B593" s="433"/>
      <c r="C593" s="681"/>
      <c r="T593" s="436"/>
      <c r="U593" s="436"/>
      <c r="W593" s="436"/>
      <c r="X593" s="436"/>
      <c r="Y593" s="436"/>
      <c r="Z593" s="436"/>
      <c r="AA593" s="436"/>
      <c r="AB593" s="436"/>
      <c r="AC593" s="436"/>
      <c r="AD593" s="436"/>
      <c r="AE593" s="436"/>
      <c r="AG593" s="436"/>
      <c r="AH593" s="436"/>
      <c r="AI593" s="436"/>
      <c r="AJ593" s="436"/>
      <c r="AK593" s="436"/>
      <c r="AL593" s="436"/>
      <c r="AM593" s="436"/>
      <c r="AN593" s="436"/>
      <c r="AO593" s="436"/>
      <c r="AP593" s="436"/>
      <c r="AQ593" s="436"/>
      <c r="AR593" s="436"/>
      <c r="AS593" s="436"/>
      <c r="AT593" s="436"/>
      <c r="AU593" s="436"/>
      <c r="AV593" s="436"/>
      <c r="AW593" s="436"/>
      <c r="AX593" s="436"/>
      <c r="AY593" s="436"/>
      <c r="AZ593" s="436"/>
      <c r="BA593" s="436"/>
      <c r="BB593" s="436"/>
      <c r="BC593" s="436"/>
      <c r="BD593" s="436"/>
      <c r="BE593" s="436"/>
      <c r="BF593" s="436"/>
      <c r="BG593" s="436"/>
      <c r="BH593" s="436"/>
      <c r="BI593" s="436"/>
      <c r="BJ593" s="436"/>
    </row>
    <row r="594" spans="2:62" ht="15.75" customHeight="1">
      <c r="B594" s="433"/>
      <c r="C594" s="681"/>
      <c r="T594" s="436"/>
      <c r="U594" s="436"/>
      <c r="W594" s="436"/>
      <c r="X594" s="436"/>
      <c r="Y594" s="436"/>
      <c r="Z594" s="436"/>
      <c r="AA594" s="436"/>
      <c r="AB594" s="436"/>
      <c r="AC594" s="436"/>
      <c r="AD594" s="436"/>
      <c r="AE594" s="436"/>
      <c r="AG594" s="436"/>
      <c r="AH594" s="436"/>
      <c r="AI594" s="436"/>
      <c r="AJ594" s="436"/>
      <c r="AK594" s="436"/>
      <c r="AL594" s="436"/>
      <c r="AM594" s="436"/>
      <c r="AN594" s="436"/>
      <c r="AO594" s="436"/>
      <c r="AP594" s="436"/>
      <c r="AQ594" s="436"/>
      <c r="AR594" s="436"/>
      <c r="AS594" s="436"/>
      <c r="AT594" s="436"/>
      <c r="AU594" s="436"/>
      <c r="AV594" s="436"/>
      <c r="AW594" s="436"/>
      <c r="AX594" s="436"/>
      <c r="AY594" s="436"/>
      <c r="AZ594" s="436"/>
      <c r="BA594" s="436"/>
      <c r="BB594" s="436"/>
      <c r="BC594" s="436"/>
      <c r="BD594" s="436"/>
      <c r="BE594" s="436"/>
      <c r="BF594" s="436"/>
      <c r="BG594" s="436"/>
      <c r="BH594" s="436"/>
      <c r="BI594" s="436"/>
      <c r="BJ594" s="436"/>
    </row>
    <row r="595" spans="2:62" ht="15.75" customHeight="1">
      <c r="B595" s="433"/>
      <c r="C595" s="681"/>
      <c r="T595" s="436"/>
      <c r="U595" s="436"/>
      <c r="V595" s="452" t="s">
        <v>517</v>
      </c>
      <c r="W595" s="436"/>
      <c r="X595" s="436"/>
      <c r="Y595" s="436"/>
      <c r="Z595" s="436"/>
      <c r="AA595" s="436"/>
      <c r="AB595" s="436"/>
      <c r="AC595" s="436"/>
      <c r="AD595" s="436"/>
      <c r="AE595" s="436"/>
      <c r="AG595" s="436"/>
      <c r="AH595" s="436"/>
      <c r="AI595" s="436"/>
      <c r="AJ595" s="436"/>
      <c r="AK595" s="436"/>
      <c r="AL595" s="436"/>
      <c r="AM595" s="436"/>
      <c r="AN595" s="436"/>
      <c r="AO595" s="436"/>
      <c r="AP595" s="436"/>
      <c r="AQ595" s="436"/>
      <c r="AR595" s="436"/>
      <c r="AS595" s="436"/>
      <c r="AT595" s="436"/>
      <c r="AU595" s="436"/>
      <c r="AV595" s="436"/>
      <c r="AW595" s="436"/>
      <c r="AX595" s="436"/>
      <c r="AY595" s="436"/>
      <c r="AZ595" s="436"/>
      <c r="BA595" s="436"/>
      <c r="BB595" s="436"/>
      <c r="BC595" s="436"/>
      <c r="BD595" s="436"/>
      <c r="BE595" s="436"/>
      <c r="BF595" s="436"/>
      <c r="BG595" s="436"/>
      <c r="BH595" s="436"/>
      <c r="BI595" s="436"/>
      <c r="BJ595" s="436"/>
    </row>
    <row r="596" spans="2:62" ht="15.75" customHeight="1">
      <c r="B596" s="433"/>
      <c r="C596" s="681"/>
      <c r="T596" s="436"/>
      <c r="U596" s="436"/>
      <c r="W596" s="436"/>
      <c r="X596" s="436"/>
      <c r="Y596" s="436"/>
      <c r="Z596" s="436"/>
      <c r="AA596" s="436"/>
      <c r="AB596" s="436"/>
      <c r="AC596" s="436"/>
      <c r="AD596" s="436"/>
      <c r="AE596" s="436"/>
      <c r="AG596" s="436"/>
      <c r="AH596" s="436"/>
      <c r="AI596" s="436"/>
      <c r="AJ596" s="436"/>
      <c r="AK596" s="436"/>
      <c r="AL596" s="436"/>
      <c r="AM596" s="436"/>
      <c r="AN596" s="436"/>
      <c r="AO596" s="436"/>
      <c r="AP596" s="436"/>
      <c r="AQ596" s="436"/>
      <c r="AR596" s="436"/>
      <c r="AS596" s="436"/>
      <c r="AT596" s="436"/>
      <c r="AU596" s="436"/>
      <c r="AV596" s="436"/>
      <c r="AW596" s="436"/>
      <c r="AX596" s="436"/>
      <c r="AY596" s="436"/>
      <c r="AZ596" s="436"/>
      <c r="BA596" s="436"/>
      <c r="BB596" s="436"/>
      <c r="BC596" s="436"/>
      <c r="BD596" s="436"/>
      <c r="BE596" s="436"/>
      <c r="BF596" s="436"/>
      <c r="BG596" s="436"/>
      <c r="BH596" s="436"/>
      <c r="BI596" s="436"/>
      <c r="BJ596" s="436"/>
    </row>
    <row r="597" spans="2:62" ht="15.75" customHeight="1">
      <c r="B597" s="433"/>
      <c r="C597" s="681"/>
      <c r="T597" s="436"/>
      <c r="U597" s="436"/>
      <c r="W597" s="436"/>
      <c r="X597" s="436"/>
      <c r="Y597" s="436"/>
      <c r="Z597" s="436"/>
      <c r="AA597" s="436"/>
      <c r="AB597" s="436"/>
      <c r="AC597" s="436"/>
      <c r="AD597" s="436"/>
      <c r="AE597" s="436"/>
      <c r="AF597" s="649">
        <f>AF585+AF595</f>
        <v>133074.75000000655</v>
      </c>
      <c r="AG597" s="436"/>
      <c r="AH597" s="436"/>
      <c r="AI597" s="436"/>
      <c r="AJ597" s="436"/>
      <c r="AK597" s="436"/>
      <c r="AL597" s="436"/>
      <c r="AM597" s="436"/>
      <c r="AN597" s="436"/>
      <c r="AO597" s="436"/>
      <c r="AP597" s="436"/>
      <c r="AQ597" s="436"/>
      <c r="AR597" s="436"/>
      <c r="AS597" s="436"/>
      <c r="AT597" s="436"/>
      <c r="AU597" s="436"/>
      <c r="AV597" s="436"/>
      <c r="AW597" s="436"/>
      <c r="AX597" s="436"/>
      <c r="AY597" s="436"/>
      <c r="AZ597" s="436"/>
      <c r="BA597" s="436"/>
      <c r="BB597" s="436"/>
      <c r="BC597" s="436"/>
      <c r="BD597" s="436"/>
      <c r="BE597" s="436"/>
      <c r="BF597" s="436"/>
      <c r="BG597" s="436"/>
      <c r="BH597" s="436"/>
      <c r="BI597" s="436"/>
      <c r="BJ597" s="436"/>
    </row>
    <row r="598" spans="2:62" ht="15.75" customHeight="1">
      <c r="B598" s="433"/>
      <c r="C598" s="681"/>
      <c r="T598" s="436"/>
      <c r="U598" s="436"/>
      <c r="W598" s="436"/>
      <c r="X598" s="436"/>
      <c r="Y598" s="436"/>
      <c r="Z598" s="436"/>
      <c r="AA598" s="436"/>
      <c r="AB598" s="436"/>
      <c r="AC598" s="436"/>
      <c r="AD598" s="436"/>
      <c r="AE598" s="436"/>
      <c r="AF598" s="773"/>
      <c r="AG598" s="436"/>
      <c r="AH598" s="436"/>
      <c r="AI598" s="436"/>
      <c r="AJ598" s="436"/>
      <c r="AK598" s="436"/>
      <c r="AL598" s="436"/>
      <c r="AM598" s="436"/>
      <c r="AN598" s="436"/>
      <c r="AO598" s="436"/>
      <c r="AP598" s="436"/>
      <c r="AQ598" s="436"/>
      <c r="AR598" s="436"/>
      <c r="AS598" s="436"/>
      <c r="AT598" s="436"/>
      <c r="AU598" s="436"/>
      <c r="AV598" s="436"/>
      <c r="AW598" s="436"/>
      <c r="AX598" s="436"/>
      <c r="AY598" s="436"/>
      <c r="AZ598" s="436"/>
      <c r="BA598" s="436"/>
      <c r="BB598" s="436"/>
      <c r="BC598" s="436"/>
      <c r="BD598" s="436"/>
      <c r="BE598" s="436"/>
      <c r="BF598" s="436"/>
      <c r="BG598" s="436"/>
      <c r="BH598" s="436"/>
      <c r="BI598" s="436"/>
      <c r="BJ598" s="436"/>
    </row>
    <row r="599" spans="2:62" ht="15.75" customHeight="1">
      <c r="B599" s="433"/>
      <c r="C599" s="681"/>
      <c r="T599" s="436"/>
      <c r="U599" s="436"/>
      <c r="W599" s="436"/>
      <c r="X599" s="436"/>
      <c r="Y599" s="436"/>
      <c r="Z599" s="436"/>
      <c r="AA599" s="436"/>
      <c r="AB599" s="436"/>
      <c r="AC599" s="436"/>
      <c r="AD599" s="436"/>
      <c r="AE599" s="436"/>
      <c r="AF599" s="777"/>
      <c r="AG599" s="436"/>
      <c r="AH599" s="436"/>
      <c r="AI599" s="436"/>
      <c r="AJ599" s="436"/>
      <c r="AK599" s="436"/>
      <c r="AL599" s="436"/>
      <c r="AM599" s="436"/>
      <c r="AN599" s="436"/>
      <c r="AO599" s="436"/>
      <c r="AP599" s="436"/>
      <c r="AQ599" s="436"/>
      <c r="AR599" s="436"/>
      <c r="AS599" s="436"/>
      <c r="AT599" s="436"/>
      <c r="AU599" s="436"/>
      <c r="AV599" s="436"/>
      <c r="AW599" s="436"/>
      <c r="AX599" s="436"/>
      <c r="AY599" s="436"/>
      <c r="AZ599" s="436"/>
      <c r="BA599" s="436"/>
      <c r="BB599" s="436"/>
      <c r="BC599" s="436"/>
      <c r="BD599" s="436"/>
      <c r="BE599" s="436"/>
      <c r="BF599" s="436"/>
      <c r="BG599" s="436"/>
      <c r="BH599" s="436"/>
      <c r="BI599" s="436"/>
      <c r="BJ599" s="436"/>
    </row>
    <row r="600" spans="2:62" ht="15.75" customHeight="1">
      <c r="B600" s="433"/>
      <c r="C600" s="681"/>
      <c r="T600" s="436"/>
      <c r="U600" s="436"/>
      <c r="W600" s="436"/>
      <c r="X600" s="436"/>
      <c r="Y600" s="436"/>
      <c r="Z600" s="436"/>
      <c r="AA600" s="436"/>
      <c r="AB600" s="436"/>
      <c r="AC600" s="436"/>
      <c r="AD600" s="436"/>
      <c r="AE600" s="436"/>
      <c r="AF600" s="777"/>
      <c r="AG600" s="436"/>
      <c r="AH600" s="436"/>
      <c r="AI600" s="436"/>
      <c r="AJ600" s="436"/>
      <c r="AK600" s="436"/>
      <c r="AL600" s="436"/>
      <c r="AM600" s="436"/>
      <c r="AN600" s="436"/>
      <c r="AO600" s="436"/>
      <c r="AP600" s="436"/>
      <c r="AQ600" s="436"/>
      <c r="AR600" s="436"/>
      <c r="AS600" s="436"/>
      <c r="AT600" s="436"/>
      <c r="AU600" s="436"/>
      <c r="AV600" s="436"/>
      <c r="AW600" s="436"/>
      <c r="AX600" s="436"/>
      <c r="AY600" s="436"/>
      <c r="AZ600" s="436"/>
      <c r="BA600" s="436"/>
      <c r="BB600" s="436"/>
      <c r="BC600" s="436"/>
      <c r="BD600" s="436"/>
      <c r="BE600" s="436"/>
      <c r="BF600" s="436"/>
      <c r="BG600" s="436"/>
      <c r="BH600" s="436"/>
      <c r="BI600" s="436"/>
      <c r="BJ600" s="436"/>
    </row>
    <row r="601" spans="2:62" ht="15.75" customHeight="1">
      <c r="B601" s="433"/>
      <c r="C601" s="681"/>
      <c r="T601" s="436"/>
      <c r="U601" s="436"/>
      <c r="W601" s="436"/>
      <c r="X601" s="436"/>
      <c r="Y601" s="436"/>
      <c r="Z601" s="436"/>
      <c r="AA601" s="436"/>
      <c r="AB601" s="436"/>
      <c r="AC601" s="436"/>
      <c r="AD601" s="436"/>
      <c r="AE601" s="436"/>
      <c r="AF601" s="777"/>
      <c r="AG601" s="436"/>
      <c r="AH601" s="436"/>
      <c r="AI601" s="436"/>
      <c r="AJ601" s="436"/>
      <c r="AK601" s="436"/>
      <c r="AL601" s="436"/>
      <c r="AM601" s="436"/>
      <c r="AN601" s="436"/>
      <c r="AO601" s="436"/>
      <c r="AP601" s="436"/>
      <c r="AQ601" s="436"/>
      <c r="AR601" s="436"/>
      <c r="AS601" s="436"/>
      <c r="AT601" s="436"/>
      <c r="AU601" s="436"/>
      <c r="AV601" s="436"/>
      <c r="AW601" s="436"/>
      <c r="AX601" s="436"/>
      <c r="AY601" s="436"/>
      <c r="AZ601" s="436"/>
      <c r="BA601" s="436"/>
      <c r="BB601" s="436"/>
      <c r="BC601" s="436"/>
      <c r="BD601" s="436"/>
      <c r="BE601" s="436"/>
      <c r="BF601" s="436"/>
      <c r="BG601" s="436"/>
      <c r="BH601" s="436"/>
      <c r="BI601" s="436"/>
      <c r="BJ601" s="436"/>
    </row>
    <row r="602" spans="2:62" ht="15.75" customHeight="1">
      <c r="B602" s="433"/>
      <c r="C602" s="681"/>
      <c r="T602" s="436"/>
      <c r="U602" s="436"/>
      <c r="W602" s="436"/>
      <c r="X602" s="436"/>
      <c r="Y602" s="436"/>
      <c r="Z602" s="436"/>
      <c r="AA602" s="436"/>
      <c r="AB602" s="436"/>
      <c r="AC602" s="436"/>
      <c r="AD602" s="436"/>
      <c r="AE602" s="436"/>
      <c r="AF602" s="436"/>
      <c r="AG602" s="436"/>
      <c r="AH602" s="436"/>
      <c r="AI602" s="436"/>
      <c r="AJ602" s="436"/>
      <c r="AK602" s="436"/>
      <c r="AL602" s="436"/>
      <c r="AM602" s="436"/>
      <c r="AN602" s="436"/>
      <c r="AO602" s="436"/>
      <c r="AP602" s="436"/>
      <c r="AQ602" s="436"/>
      <c r="AR602" s="436"/>
      <c r="AS602" s="436"/>
      <c r="AT602" s="436"/>
      <c r="AU602" s="436"/>
      <c r="AV602" s="436"/>
      <c r="AW602" s="436"/>
      <c r="AX602" s="436"/>
      <c r="AY602" s="436"/>
      <c r="AZ602" s="436"/>
      <c r="BA602" s="436"/>
      <c r="BB602" s="436"/>
      <c r="BC602" s="436"/>
      <c r="BD602" s="436"/>
      <c r="BE602" s="436"/>
      <c r="BF602" s="436"/>
      <c r="BG602" s="436"/>
      <c r="BH602" s="436"/>
      <c r="BI602" s="436"/>
      <c r="BJ602" s="436"/>
    </row>
    <row r="603" spans="2:62" ht="15.75" customHeight="1">
      <c r="B603" s="433"/>
      <c r="T603" s="436"/>
      <c r="U603" s="436"/>
      <c r="W603" s="436"/>
      <c r="X603" s="436"/>
      <c r="Y603" s="436"/>
      <c r="Z603" s="436"/>
      <c r="AA603" s="436"/>
      <c r="AB603" s="436"/>
      <c r="AC603" s="436"/>
      <c r="AD603" s="436"/>
      <c r="AE603" s="436"/>
      <c r="AF603" s="436"/>
      <c r="AG603" s="436"/>
      <c r="AH603" s="436"/>
      <c r="AI603" s="436"/>
      <c r="AJ603" s="436"/>
      <c r="AK603" s="436"/>
      <c r="AL603" s="436"/>
      <c r="AM603" s="436"/>
      <c r="AN603" s="436"/>
      <c r="AO603" s="436"/>
      <c r="AP603" s="436"/>
      <c r="AQ603" s="436"/>
      <c r="AR603" s="436"/>
      <c r="AS603" s="436"/>
      <c r="AT603" s="436"/>
      <c r="AU603" s="436"/>
      <c r="AV603" s="436"/>
      <c r="AW603" s="436"/>
      <c r="AX603" s="436"/>
      <c r="AY603" s="436"/>
      <c r="AZ603" s="436"/>
      <c r="BA603" s="436"/>
      <c r="BB603" s="436"/>
      <c r="BC603" s="436"/>
      <c r="BD603" s="436"/>
      <c r="BE603" s="436"/>
      <c r="BF603" s="436"/>
      <c r="BG603" s="436"/>
      <c r="BH603" s="436"/>
      <c r="BI603" s="436"/>
      <c r="BJ603" s="436"/>
    </row>
    <row r="604" spans="2:62" ht="15.75" customHeight="1">
      <c r="B604" s="433"/>
      <c r="T604" s="436"/>
      <c r="U604" s="436"/>
      <c r="W604" s="436"/>
      <c r="X604" s="436"/>
      <c r="Y604" s="436"/>
      <c r="Z604" s="436"/>
      <c r="AA604" s="436"/>
      <c r="AB604" s="436"/>
      <c r="AC604" s="436"/>
      <c r="AD604" s="436"/>
      <c r="AE604" s="436"/>
      <c r="AF604" s="436"/>
      <c r="AG604" s="436"/>
      <c r="AH604" s="436"/>
      <c r="AI604" s="436"/>
      <c r="AJ604" s="436"/>
      <c r="AK604" s="436"/>
      <c r="AL604" s="436"/>
      <c r="AM604" s="436"/>
      <c r="AN604" s="436"/>
      <c r="AO604" s="436"/>
      <c r="AP604" s="436"/>
      <c r="AQ604" s="436"/>
      <c r="AR604" s="436"/>
      <c r="AS604" s="436"/>
      <c r="AT604" s="436"/>
      <c r="AU604" s="436"/>
      <c r="AV604" s="436"/>
      <c r="AW604" s="436"/>
      <c r="AX604" s="436"/>
      <c r="AY604" s="436"/>
      <c r="AZ604" s="436"/>
      <c r="BA604" s="436"/>
      <c r="BB604" s="436"/>
      <c r="BC604" s="436"/>
      <c r="BD604" s="436"/>
      <c r="BE604" s="436"/>
      <c r="BF604" s="436"/>
      <c r="BG604" s="436"/>
      <c r="BH604" s="436"/>
      <c r="BI604" s="436"/>
      <c r="BJ604" s="436"/>
    </row>
    <row r="605" spans="2:62" ht="15.75" customHeight="1">
      <c r="B605" s="433"/>
      <c r="T605" s="436"/>
      <c r="U605" s="436"/>
      <c r="W605" s="436"/>
      <c r="X605" s="436"/>
      <c r="Y605" s="436"/>
      <c r="Z605" s="436"/>
      <c r="AA605" s="436"/>
      <c r="AB605" s="436"/>
      <c r="AC605" s="436"/>
      <c r="AD605" s="436"/>
      <c r="AE605" s="436"/>
      <c r="AF605" s="436"/>
      <c r="AG605" s="436"/>
      <c r="AH605" s="436"/>
      <c r="AI605" s="436"/>
      <c r="AJ605" s="436"/>
      <c r="AK605" s="436"/>
      <c r="AL605" s="436"/>
      <c r="AM605" s="436"/>
      <c r="AN605" s="436"/>
      <c r="AO605" s="436"/>
      <c r="AP605" s="436"/>
      <c r="AQ605" s="436"/>
      <c r="AR605" s="436"/>
      <c r="AS605" s="436"/>
      <c r="AT605" s="436"/>
      <c r="AU605" s="436"/>
      <c r="AV605" s="436"/>
      <c r="AW605" s="436"/>
      <c r="AX605" s="436"/>
      <c r="AY605" s="436"/>
      <c r="AZ605" s="436"/>
      <c r="BA605" s="436"/>
      <c r="BB605" s="436"/>
      <c r="BC605" s="436"/>
      <c r="BD605" s="436"/>
      <c r="BE605" s="436"/>
      <c r="BF605" s="436"/>
      <c r="BG605" s="436"/>
      <c r="BH605" s="436"/>
      <c r="BI605" s="436"/>
      <c r="BJ605" s="436"/>
    </row>
    <row r="606" spans="2:62" ht="15.75" customHeight="1">
      <c r="B606" s="433"/>
      <c r="T606" s="436"/>
      <c r="U606" s="436"/>
      <c r="W606" s="436"/>
      <c r="X606" s="436"/>
      <c r="Y606" s="436"/>
      <c r="Z606" s="436"/>
      <c r="AA606" s="436"/>
      <c r="AB606" s="436"/>
      <c r="AC606" s="436"/>
      <c r="AD606" s="436"/>
      <c r="AE606" s="436"/>
      <c r="AF606" s="436"/>
      <c r="AG606" s="436"/>
      <c r="AH606" s="436"/>
      <c r="AI606" s="436"/>
      <c r="AJ606" s="436"/>
      <c r="AK606" s="436"/>
      <c r="AL606" s="436"/>
      <c r="AM606" s="436"/>
      <c r="AN606" s="436"/>
      <c r="AO606" s="436"/>
      <c r="AP606" s="436"/>
      <c r="AQ606" s="436"/>
      <c r="AR606" s="436"/>
      <c r="AS606" s="436"/>
      <c r="AT606" s="436"/>
      <c r="AU606" s="436"/>
      <c r="AV606" s="436"/>
      <c r="AW606" s="436"/>
      <c r="AX606" s="436"/>
      <c r="AY606" s="436"/>
      <c r="AZ606" s="436"/>
      <c r="BA606" s="436"/>
      <c r="BB606" s="436"/>
      <c r="BC606" s="436"/>
      <c r="BD606" s="436"/>
      <c r="BE606" s="436"/>
      <c r="BF606" s="436"/>
      <c r="BG606" s="436"/>
      <c r="BH606" s="436"/>
      <c r="BI606" s="436"/>
      <c r="BJ606" s="436"/>
    </row>
    <row r="607" spans="2:62" ht="15.75" customHeight="1">
      <c r="B607" s="433"/>
      <c r="T607" s="436"/>
      <c r="U607" s="436"/>
      <c r="W607" s="436"/>
      <c r="X607" s="436"/>
      <c r="Y607" s="436"/>
      <c r="Z607" s="436"/>
      <c r="AA607" s="436"/>
      <c r="AB607" s="436"/>
      <c r="AC607" s="436"/>
      <c r="AD607" s="436"/>
      <c r="AE607" s="436"/>
      <c r="AF607" s="436"/>
      <c r="AG607" s="436"/>
      <c r="AH607" s="436"/>
      <c r="AI607" s="436"/>
      <c r="AJ607" s="436"/>
      <c r="AK607" s="436"/>
      <c r="AL607" s="436"/>
      <c r="AM607" s="436"/>
      <c r="AN607" s="436"/>
      <c r="AO607" s="436"/>
      <c r="AP607" s="436"/>
      <c r="AQ607" s="436"/>
      <c r="AR607" s="436"/>
      <c r="AS607" s="436"/>
      <c r="AT607" s="436"/>
      <c r="AU607" s="436"/>
      <c r="AV607" s="436"/>
      <c r="AW607" s="436"/>
      <c r="AX607" s="436"/>
      <c r="AY607" s="436"/>
      <c r="AZ607" s="436"/>
      <c r="BA607" s="436"/>
      <c r="BB607" s="436"/>
      <c r="BC607" s="436"/>
      <c r="BD607" s="436"/>
      <c r="BE607" s="436"/>
      <c r="BF607" s="436"/>
      <c r="BG607" s="436"/>
      <c r="BH607" s="436"/>
      <c r="BI607" s="436"/>
      <c r="BJ607" s="436"/>
    </row>
    <row r="608" spans="2:62" ht="15.75" customHeight="1">
      <c r="B608" s="433"/>
      <c r="T608" s="436"/>
      <c r="U608" s="436"/>
      <c r="W608" s="436"/>
      <c r="X608" s="436"/>
      <c r="Y608" s="436"/>
      <c r="Z608" s="436"/>
      <c r="AA608" s="436"/>
      <c r="AB608" s="436"/>
      <c r="AC608" s="436"/>
      <c r="AD608" s="436"/>
      <c r="AE608" s="436"/>
      <c r="AF608" s="436"/>
      <c r="AG608" s="436"/>
      <c r="AH608" s="436"/>
      <c r="AI608" s="436"/>
      <c r="AJ608" s="436"/>
      <c r="AK608" s="436"/>
      <c r="AL608" s="436"/>
      <c r="AM608" s="436"/>
      <c r="AN608" s="436"/>
      <c r="AO608" s="436"/>
      <c r="AP608" s="436"/>
      <c r="AQ608" s="436"/>
      <c r="AR608" s="436"/>
      <c r="AS608" s="436"/>
      <c r="AT608" s="436"/>
      <c r="AU608" s="436"/>
      <c r="AV608" s="436"/>
      <c r="AW608" s="436"/>
      <c r="AX608" s="436"/>
      <c r="AY608" s="436"/>
      <c r="AZ608" s="436"/>
      <c r="BA608" s="436"/>
      <c r="BB608" s="436"/>
      <c r="BC608" s="436"/>
      <c r="BD608" s="436"/>
      <c r="BE608" s="436"/>
      <c r="BF608" s="436"/>
      <c r="BG608" s="436"/>
      <c r="BH608" s="436"/>
      <c r="BI608" s="436"/>
      <c r="BJ608" s="436"/>
    </row>
    <row r="609" spans="2:62" ht="15.75" customHeight="1">
      <c r="B609" s="433"/>
      <c r="T609" s="436"/>
      <c r="U609" s="436"/>
      <c r="W609" s="436"/>
      <c r="X609" s="436"/>
      <c r="Y609" s="436"/>
      <c r="Z609" s="436"/>
      <c r="AA609" s="436"/>
      <c r="AB609" s="436"/>
      <c r="AC609" s="436"/>
      <c r="AD609" s="436"/>
      <c r="AE609" s="436"/>
      <c r="AF609" s="436"/>
      <c r="AG609" s="436"/>
      <c r="AH609" s="436"/>
      <c r="AI609" s="436"/>
      <c r="AJ609" s="436"/>
      <c r="AK609" s="436"/>
      <c r="AL609" s="436"/>
      <c r="AM609" s="436"/>
      <c r="AN609" s="436"/>
      <c r="AO609" s="436"/>
      <c r="AP609" s="436"/>
      <c r="AQ609" s="436"/>
      <c r="AR609" s="436"/>
      <c r="AS609" s="436"/>
      <c r="AT609" s="436"/>
      <c r="AU609" s="436"/>
      <c r="AV609" s="436"/>
      <c r="AW609" s="436"/>
      <c r="AX609" s="436"/>
      <c r="AY609" s="436"/>
      <c r="AZ609" s="436"/>
      <c r="BA609" s="436"/>
      <c r="BB609" s="436"/>
      <c r="BC609" s="436"/>
      <c r="BD609" s="436"/>
      <c r="BE609" s="436"/>
      <c r="BF609" s="436"/>
      <c r="BG609" s="436"/>
      <c r="BH609" s="436"/>
      <c r="BI609" s="436"/>
      <c r="BJ609" s="436"/>
    </row>
    <row r="610" spans="2:62" ht="15.75" customHeight="1">
      <c r="B610" s="433"/>
      <c r="T610" s="436"/>
      <c r="U610" s="436"/>
      <c r="W610" s="436"/>
      <c r="X610" s="436"/>
      <c r="Y610" s="436"/>
      <c r="Z610" s="436"/>
      <c r="AA610" s="436"/>
      <c r="AB610" s="436"/>
      <c r="AC610" s="436"/>
      <c r="AD610" s="436"/>
      <c r="AE610" s="436"/>
      <c r="AF610" s="436"/>
      <c r="AG610" s="436"/>
      <c r="AH610" s="436"/>
      <c r="AI610" s="436"/>
      <c r="AJ610" s="436"/>
      <c r="AK610" s="436"/>
      <c r="AL610" s="436"/>
      <c r="AM610" s="436"/>
      <c r="AN610" s="436"/>
      <c r="AO610" s="436"/>
      <c r="AP610" s="436"/>
      <c r="AQ610" s="436"/>
      <c r="AR610" s="436"/>
      <c r="AS610" s="436"/>
      <c r="AT610" s="436"/>
      <c r="AU610" s="436"/>
      <c r="AV610" s="436"/>
      <c r="AW610" s="436"/>
      <c r="AX610" s="436"/>
      <c r="AY610" s="436"/>
      <c r="AZ610" s="436"/>
      <c r="BA610" s="436"/>
      <c r="BB610" s="436"/>
      <c r="BC610" s="436"/>
      <c r="BD610" s="436"/>
      <c r="BE610" s="436"/>
      <c r="BF610" s="436"/>
      <c r="BG610" s="436"/>
      <c r="BH610" s="436"/>
      <c r="BI610" s="436"/>
      <c r="BJ610" s="436"/>
    </row>
    <row r="611" spans="2:62" ht="15.75" customHeight="1">
      <c r="B611" s="433"/>
      <c r="T611" s="436"/>
      <c r="U611" s="436"/>
      <c r="W611" s="436"/>
      <c r="X611" s="436"/>
      <c r="Y611" s="436"/>
      <c r="Z611" s="436"/>
      <c r="AA611" s="436"/>
      <c r="AB611" s="436"/>
      <c r="AC611" s="436"/>
      <c r="AD611" s="436"/>
      <c r="AE611" s="436"/>
      <c r="AF611" s="436"/>
      <c r="AG611" s="436"/>
      <c r="AH611" s="436"/>
      <c r="AI611" s="436"/>
      <c r="AJ611" s="436"/>
      <c r="AK611" s="436"/>
      <c r="AL611" s="436"/>
      <c r="AM611" s="436"/>
      <c r="AN611" s="436"/>
      <c r="AO611" s="436"/>
      <c r="AP611" s="436"/>
      <c r="AQ611" s="436"/>
      <c r="AR611" s="436"/>
      <c r="AS611" s="436"/>
      <c r="AT611" s="436"/>
      <c r="AU611" s="436"/>
      <c r="AV611" s="436"/>
      <c r="AW611" s="436"/>
      <c r="AX611" s="436"/>
      <c r="AY611" s="436"/>
      <c r="AZ611" s="436"/>
      <c r="BA611" s="436"/>
      <c r="BB611" s="436"/>
      <c r="BC611" s="436"/>
      <c r="BD611" s="436"/>
      <c r="BE611" s="436"/>
      <c r="BF611" s="436"/>
      <c r="BG611" s="436"/>
      <c r="BH611" s="436"/>
      <c r="BI611" s="436"/>
      <c r="BJ611" s="436"/>
    </row>
    <row r="612" spans="2:62" ht="15.75" customHeight="1">
      <c r="B612" s="433"/>
      <c r="C612" s="681"/>
      <c r="T612" s="436"/>
      <c r="U612" s="436"/>
      <c r="W612" s="436"/>
      <c r="X612" s="436"/>
      <c r="Y612" s="436"/>
      <c r="Z612" s="436"/>
      <c r="AA612" s="436"/>
      <c r="AB612" s="436"/>
      <c r="AC612" s="436"/>
      <c r="AD612" s="436"/>
      <c r="AE612" s="436"/>
      <c r="AF612" s="436"/>
      <c r="AG612" s="436"/>
      <c r="AH612" s="436"/>
      <c r="AI612" s="436"/>
      <c r="AJ612" s="436"/>
      <c r="AK612" s="436"/>
      <c r="AL612" s="436"/>
      <c r="AM612" s="436"/>
      <c r="AN612" s="436"/>
      <c r="AO612" s="436"/>
      <c r="AP612" s="436"/>
      <c r="AQ612" s="436"/>
      <c r="AR612" s="436"/>
      <c r="AS612" s="436"/>
      <c r="AT612" s="436"/>
      <c r="AU612" s="436"/>
      <c r="AV612" s="436"/>
      <c r="AW612" s="436"/>
      <c r="AX612" s="436"/>
      <c r="AY612" s="436"/>
      <c r="AZ612" s="436"/>
      <c r="BA612" s="436"/>
      <c r="BB612" s="436"/>
      <c r="BC612" s="436"/>
      <c r="BD612" s="436"/>
      <c r="BE612" s="436"/>
      <c r="BF612" s="436"/>
      <c r="BG612" s="436"/>
      <c r="BH612" s="436"/>
      <c r="BI612" s="436"/>
      <c r="BJ612" s="436"/>
    </row>
    <row r="613" spans="2:62" ht="15.75" customHeight="1">
      <c r="B613" s="433"/>
      <c r="C613" s="681"/>
      <c r="T613" s="436"/>
      <c r="U613" s="436"/>
      <c r="W613" s="436"/>
      <c r="X613" s="436"/>
      <c r="Y613" s="436"/>
      <c r="Z613" s="436"/>
      <c r="AA613" s="436"/>
      <c r="AB613" s="436"/>
      <c r="AC613" s="436"/>
      <c r="AD613" s="436"/>
      <c r="AE613" s="436"/>
      <c r="AF613" s="436"/>
      <c r="AG613" s="436"/>
      <c r="AH613" s="436"/>
      <c r="AI613" s="436"/>
      <c r="AJ613" s="436"/>
      <c r="AK613" s="436"/>
      <c r="AL613" s="436"/>
      <c r="AM613" s="436"/>
      <c r="AN613" s="436"/>
      <c r="AO613" s="436"/>
      <c r="AP613" s="436"/>
      <c r="AQ613" s="436"/>
      <c r="AR613" s="436"/>
      <c r="AS613" s="436"/>
      <c r="AT613" s="436"/>
      <c r="AU613" s="436"/>
      <c r="AV613" s="436"/>
      <c r="AW613" s="436"/>
      <c r="AX613" s="436"/>
      <c r="AY613" s="436"/>
      <c r="AZ613" s="436"/>
      <c r="BA613" s="436"/>
      <c r="BB613" s="436"/>
      <c r="BC613" s="436"/>
      <c r="BD613" s="436"/>
      <c r="BE613" s="436"/>
      <c r="BF613" s="436"/>
      <c r="BG613" s="436"/>
      <c r="BH613" s="436"/>
      <c r="BI613" s="436"/>
      <c r="BJ613" s="436"/>
    </row>
    <row r="614" spans="2:62" ht="15.75" customHeight="1">
      <c r="B614" s="433"/>
      <c r="C614" s="681"/>
      <c r="T614" s="436"/>
      <c r="U614" s="436"/>
      <c r="W614" s="436"/>
      <c r="X614" s="436"/>
      <c r="Y614" s="436"/>
      <c r="Z614" s="436"/>
      <c r="AA614" s="436"/>
      <c r="AB614" s="436"/>
      <c r="AC614" s="436"/>
      <c r="AD614" s="436"/>
      <c r="AE614" s="436"/>
      <c r="AF614" s="436"/>
      <c r="AG614" s="436"/>
      <c r="AH614" s="436"/>
      <c r="AI614" s="436"/>
      <c r="AJ614" s="436"/>
      <c r="AK614" s="436"/>
      <c r="AL614" s="436"/>
      <c r="AM614" s="436"/>
      <c r="AN614" s="436"/>
      <c r="AO614" s="436"/>
      <c r="AP614" s="436"/>
      <c r="AQ614" s="436"/>
      <c r="AR614" s="436"/>
      <c r="AS614" s="436"/>
      <c r="AT614" s="436"/>
      <c r="AU614" s="436"/>
      <c r="AV614" s="436"/>
      <c r="AW614" s="436"/>
      <c r="AX614" s="436"/>
      <c r="AY614" s="436"/>
      <c r="AZ614" s="436"/>
      <c r="BA614" s="436"/>
      <c r="BB614" s="436"/>
      <c r="BC614" s="436"/>
      <c r="BD614" s="436"/>
      <c r="BE614" s="436"/>
      <c r="BF614" s="436"/>
      <c r="BG614" s="436"/>
      <c r="BH614" s="436"/>
      <c r="BI614" s="436"/>
      <c r="BJ614" s="436"/>
    </row>
    <row r="615" spans="2:62" ht="15.75" customHeight="1">
      <c r="B615" s="433"/>
      <c r="C615" s="681"/>
      <c r="T615" s="436"/>
      <c r="U615" s="436"/>
      <c r="W615" s="436"/>
      <c r="X615" s="436"/>
      <c r="Y615" s="436"/>
      <c r="Z615" s="436"/>
      <c r="AA615" s="436"/>
      <c r="AB615" s="436"/>
      <c r="AC615" s="436"/>
      <c r="AD615" s="436"/>
      <c r="AE615" s="436"/>
      <c r="AF615" s="436"/>
      <c r="AG615" s="436"/>
      <c r="AH615" s="436"/>
      <c r="AI615" s="436"/>
      <c r="AJ615" s="436"/>
      <c r="AK615" s="436"/>
      <c r="AL615" s="436"/>
      <c r="AM615" s="436"/>
      <c r="AN615" s="436"/>
      <c r="AO615" s="436"/>
      <c r="AP615" s="436"/>
      <c r="AQ615" s="436"/>
      <c r="AR615" s="436"/>
      <c r="AS615" s="436"/>
      <c r="AT615" s="436"/>
      <c r="AU615" s="436"/>
      <c r="AV615" s="436"/>
      <c r="AW615" s="436"/>
      <c r="AX615" s="436"/>
      <c r="AY615" s="436"/>
      <c r="AZ615" s="436"/>
      <c r="BA615" s="436"/>
      <c r="BB615" s="436"/>
      <c r="BC615" s="436"/>
      <c r="BD615" s="436"/>
      <c r="BE615" s="436"/>
      <c r="BF615" s="436"/>
      <c r="BG615" s="436"/>
      <c r="BH615" s="436"/>
      <c r="BI615" s="436"/>
      <c r="BJ615" s="436"/>
    </row>
    <row r="616" spans="2:62" ht="15.75" customHeight="1">
      <c r="B616" s="433"/>
      <c r="C616" s="681"/>
      <c r="T616" s="436"/>
      <c r="U616" s="436"/>
      <c r="W616" s="436"/>
      <c r="X616" s="436"/>
      <c r="Y616" s="436"/>
      <c r="Z616" s="436"/>
      <c r="AA616" s="436"/>
      <c r="AB616" s="436"/>
      <c r="AC616" s="436"/>
      <c r="AD616" s="436"/>
      <c r="AE616" s="436"/>
      <c r="AF616" s="436"/>
      <c r="AG616" s="436"/>
      <c r="AH616" s="436"/>
      <c r="AI616" s="436"/>
      <c r="AJ616" s="436"/>
      <c r="AK616" s="436"/>
      <c r="AL616" s="436"/>
      <c r="AM616" s="436"/>
      <c r="AN616" s="436"/>
      <c r="AO616" s="436"/>
      <c r="AP616" s="436"/>
      <c r="AQ616" s="436"/>
      <c r="AR616" s="436"/>
      <c r="AS616" s="436"/>
      <c r="AT616" s="436"/>
      <c r="AU616" s="436"/>
      <c r="AV616" s="436"/>
      <c r="AW616" s="436"/>
      <c r="AX616" s="436"/>
      <c r="AY616" s="436"/>
      <c r="AZ616" s="436"/>
      <c r="BA616" s="436"/>
      <c r="BB616" s="436"/>
      <c r="BC616" s="436"/>
      <c r="BD616" s="436"/>
      <c r="BE616" s="436"/>
      <c r="BF616" s="436"/>
      <c r="BG616" s="436"/>
      <c r="BH616" s="436"/>
      <c r="BI616" s="436"/>
      <c r="BJ616" s="436"/>
    </row>
    <row r="617" spans="2:62" ht="15.75" customHeight="1">
      <c r="B617" s="433"/>
      <c r="C617" s="681"/>
      <c r="T617" s="436"/>
      <c r="U617" s="436"/>
      <c r="W617" s="436"/>
      <c r="X617" s="436"/>
      <c r="Y617" s="436"/>
      <c r="Z617" s="436"/>
      <c r="AA617" s="436"/>
      <c r="AB617" s="436"/>
      <c r="AC617" s="436"/>
      <c r="AD617" s="436"/>
      <c r="AE617" s="436"/>
      <c r="AF617" s="436"/>
      <c r="AG617" s="436"/>
      <c r="AH617" s="436"/>
      <c r="AI617" s="436"/>
      <c r="AJ617" s="436"/>
      <c r="AK617" s="436"/>
      <c r="AL617" s="436"/>
      <c r="AM617" s="436"/>
      <c r="AN617" s="436"/>
      <c r="AO617" s="436"/>
      <c r="AP617" s="436"/>
      <c r="AQ617" s="436"/>
      <c r="AR617" s="436"/>
      <c r="AS617" s="436"/>
      <c r="AT617" s="436"/>
      <c r="AU617" s="436"/>
      <c r="AV617" s="436"/>
      <c r="AW617" s="436"/>
      <c r="AX617" s="436"/>
      <c r="AY617" s="436"/>
      <c r="AZ617" s="436"/>
      <c r="BA617" s="436"/>
      <c r="BB617" s="436"/>
      <c r="BC617" s="436"/>
      <c r="BD617" s="436"/>
      <c r="BE617" s="436"/>
      <c r="BF617" s="436"/>
      <c r="BG617" s="436"/>
      <c r="BH617" s="436"/>
      <c r="BI617" s="436"/>
      <c r="BJ617" s="436"/>
    </row>
    <row r="618" spans="2:62" ht="15.75" customHeight="1">
      <c r="B618" s="433"/>
      <c r="C618" s="681"/>
      <c r="T618" s="436"/>
      <c r="U618" s="436"/>
      <c r="W618" s="436"/>
      <c r="X618" s="436"/>
      <c r="Y618" s="436"/>
      <c r="Z618" s="436"/>
      <c r="AA618" s="436"/>
      <c r="AB618" s="436"/>
      <c r="AC618" s="436"/>
      <c r="AD618" s="436"/>
      <c r="AE618" s="436"/>
      <c r="AF618" s="436"/>
      <c r="AG618" s="436"/>
      <c r="AH618" s="436"/>
      <c r="AI618" s="436"/>
      <c r="AJ618" s="436"/>
      <c r="AK618" s="436"/>
      <c r="AL618" s="436"/>
      <c r="AM618" s="436"/>
      <c r="AN618" s="436"/>
      <c r="AO618" s="436"/>
      <c r="AP618" s="436"/>
      <c r="AQ618" s="436"/>
      <c r="AR618" s="436"/>
      <c r="AS618" s="436"/>
      <c r="AT618" s="436"/>
      <c r="AU618" s="436"/>
      <c r="AV618" s="436"/>
      <c r="AW618" s="436"/>
      <c r="AX618" s="436"/>
      <c r="AY618" s="436"/>
      <c r="AZ618" s="436"/>
      <c r="BA618" s="436"/>
      <c r="BB618" s="436"/>
      <c r="BC618" s="436"/>
      <c r="BD618" s="436"/>
      <c r="BE618" s="436"/>
      <c r="BF618" s="436"/>
      <c r="BG618" s="436"/>
      <c r="BH618" s="436"/>
      <c r="BI618" s="436"/>
      <c r="BJ618" s="436"/>
    </row>
    <row r="619" spans="2:62" ht="15.75" customHeight="1">
      <c r="B619" s="433"/>
      <c r="C619" s="681"/>
      <c r="T619" s="436"/>
      <c r="U619" s="436"/>
      <c r="W619" s="436"/>
      <c r="X619" s="436"/>
      <c r="Y619" s="436"/>
      <c r="Z619" s="436"/>
      <c r="AA619" s="436"/>
      <c r="AB619" s="436"/>
      <c r="AC619" s="436"/>
      <c r="AD619" s="436"/>
      <c r="AE619" s="436"/>
      <c r="AF619" s="436"/>
      <c r="AG619" s="436"/>
      <c r="AH619" s="436"/>
      <c r="AI619" s="436"/>
      <c r="AJ619" s="436"/>
      <c r="AK619" s="436"/>
      <c r="AL619" s="436"/>
      <c r="AM619" s="436"/>
      <c r="AN619" s="436"/>
      <c r="AO619" s="436"/>
      <c r="AP619" s="436"/>
      <c r="AQ619" s="436"/>
      <c r="AR619" s="436"/>
      <c r="AS619" s="436"/>
      <c r="AT619" s="436"/>
      <c r="AU619" s="436"/>
      <c r="AV619" s="436"/>
      <c r="AW619" s="436"/>
      <c r="AX619" s="436"/>
      <c r="AY619" s="436"/>
      <c r="AZ619" s="436"/>
      <c r="BA619" s="436"/>
      <c r="BB619" s="436"/>
      <c r="BC619" s="436"/>
      <c r="BD619" s="436"/>
      <c r="BE619" s="436"/>
      <c r="BF619" s="436"/>
      <c r="BG619" s="436"/>
      <c r="BH619" s="436"/>
      <c r="BI619" s="436"/>
      <c r="BJ619" s="436"/>
    </row>
    <row r="620" spans="2:62" ht="15.75" customHeight="1">
      <c r="B620" s="433"/>
      <c r="C620" s="681"/>
      <c r="T620" s="436"/>
      <c r="U620" s="436"/>
      <c r="W620" s="436"/>
      <c r="X620" s="436"/>
      <c r="Y620" s="436"/>
      <c r="Z620" s="436"/>
      <c r="AA620" s="436"/>
      <c r="AB620" s="436"/>
      <c r="AC620" s="436"/>
      <c r="AD620" s="436"/>
      <c r="AE620" s="436"/>
      <c r="AF620" s="436"/>
      <c r="AG620" s="436"/>
      <c r="AH620" s="436"/>
      <c r="AI620" s="436"/>
      <c r="AJ620" s="436"/>
      <c r="AK620" s="436"/>
      <c r="AL620" s="436"/>
      <c r="AM620" s="436"/>
      <c r="AN620" s="436"/>
      <c r="AO620" s="436"/>
      <c r="AP620" s="436"/>
      <c r="AQ620" s="436"/>
      <c r="AR620" s="436"/>
      <c r="AS620" s="436"/>
      <c r="AT620" s="436"/>
      <c r="AU620" s="436"/>
      <c r="AV620" s="436"/>
      <c r="AW620" s="436"/>
      <c r="AX620" s="436"/>
      <c r="AY620" s="436"/>
      <c r="AZ620" s="436"/>
      <c r="BA620" s="436"/>
      <c r="BB620" s="436"/>
      <c r="BC620" s="436"/>
      <c r="BD620" s="436"/>
      <c r="BE620" s="436"/>
      <c r="BF620" s="436"/>
      <c r="BG620" s="436"/>
      <c r="BH620" s="436"/>
      <c r="BI620" s="436"/>
      <c r="BJ620" s="436"/>
    </row>
    <row r="621" spans="2:62" ht="15.75" customHeight="1">
      <c r="B621" s="433"/>
      <c r="C621" s="681"/>
      <c r="T621" s="436"/>
      <c r="U621" s="436"/>
      <c r="W621" s="436"/>
      <c r="X621" s="436"/>
      <c r="Y621" s="436"/>
      <c r="Z621" s="436"/>
      <c r="AA621" s="436"/>
      <c r="AB621" s="436"/>
      <c r="AC621" s="436"/>
      <c r="AD621" s="436"/>
      <c r="AE621" s="436"/>
      <c r="AF621" s="436"/>
      <c r="AG621" s="436"/>
      <c r="AH621" s="436"/>
      <c r="AI621" s="436"/>
      <c r="AJ621" s="436"/>
      <c r="AK621" s="436"/>
      <c r="AL621" s="436"/>
      <c r="AM621" s="436"/>
      <c r="AN621" s="436"/>
      <c r="AO621" s="436"/>
      <c r="AP621" s="436"/>
      <c r="AQ621" s="436"/>
      <c r="AR621" s="436"/>
      <c r="AS621" s="436"/>
      <c r="AT621" s="436"/>
      <c r="AU621" s="436"/>
      <c r="AV621" s="436"/>
      <c r="AW621" s="436"/>
      <c r="AX621" s="436"/>
      <c r="AY621" s="436"/>
      <c r="AZ621" s="436"/>
      <c r="BA621" s="436"/>
      <c r="BB621" s="436"/>
      <c r="BC621" s="436"/>
      <c r="BD621" s="436"/>
      <c r="BE621" s="436"/>
      <c r="BF621" s="436"/>
      <c r="BG621" s="436"/>
      <c r="BH621" s="436"/>
      <c r="BI621" s="436"/>
      <c r="BJ621" s="436"/>
    </row>
    <row r="622" spans="2:62" ht="15.75" customHeight="1">
      <c r="B622" s="433"/>
      <c r="T622" s="436"/>
      <c r="U622" s="436"/>
      <c r="W622" s="436"/>
      <c r="X622" s="436"/>
      <c r="Y622" s="436"/>
      <c r="Z622" s="436"/>
      <c r="AA622" s="436"/>
      <c r="AB622" s="436"/>
      <c r="AC622" s="436"/>
      <c r="AD622" s="436"/>
      <c r="AE622" s="436"/>
      <c r="AF622" s="436"/>
      <c r="AG622" s="436"/>
      <c r="AH622" s="436"/>
      <c r="AI622" s="436"/>
      <c r="AJ622" s="436"/>
      <c r="AK622" s="436"/>
      <c r="AL622" s="436"/>
      <c r="AM622" s="436"/>
      <c r="AN622" s="436"/>
      <c r="AO622" s="436"/>
      <c r="AP622" s="436"/>
      <c r="AQ622" s="436"/>
      <c r="AR622" s="436"/>
      <c r="AS622" s="436"/>
      <c r="AT622" s="436"/>
      <c r="AU622" s="436"/>
      <c r="AV622" s="436"/>
      <c r="AW622" s="436"/>
      <c r="AX622" s="436"/>
      <c r="AY622" s="436"/>
      <c r="AZ622" s="436"/>
      <c r="BA622" s="436"/>
      <c r="BB622" s="436"/>
      <c r="BC622" s="436"/>
      <c r="BD622" s="436"/>
      <c r="BE622" s="436"/>
      <c r="BF622" s="436"/>
      <c r="BG622" s="436"/>
      <c r="BH622" s="436"/>
      <c r="BI622" s="436"/>
      <c r="BJ622" s="436"/>
    </row>
    <row r="623" spans="2:62" ht="15.75" customHeight="1">
      <c r="B623" s="433"/>
      <c r="T623" s="436"/>
      <c r="U623" s="436"/>
      <c r="W623" s="436"/>
      <c r="X623" s="436"/>
      <c r="Y623" s="436"/>
      <c r="Z623" s="436"/>
      <c r="AA623" s="436"/>
      <c r="AB623" s="436"/>
      <c r="AC623" s="436"/>
      <c r="AD623" s="436"/>
      <c r="AE623" s="436"/>
      <c r="AF623" s="436"/>
      <c r="AG623" s="436"/>
      <c r="AH623" s="436"/>
      <c r="AI623" s="436"/>
      <c r="AJ623" s="436"/>
      <c r="AK623" s="436"/>
      <c r="AL623" s="436"/>
      <c r="AM623" s="436"/>
      <c r="AN623" s="436"/>
      <c r="AO623" s="436"/>
      <c r="AP623" s="436"/>
      <c r="AQ623" s="436"/>
      <c r="AR623" s="436"/>
      <c r="AS623" s="436"/>
      <c r="AT623" s="436"/>
      <c r="AU623" s="436"/>
      <c r="AV623" s="436"/>
      <c r="AW623" s="436"/>
      <c r="AX623" s="436"/>
      <c r="AY623" s="436"/>
      <c r="AZ623" s="436"/>
      <c r="BA623" s="436"/>
      <c r="BB623" s="436"/>
      <c r="BC623" s="436"/>
      <c r="BD623" s="436"/>
      <c r="BE623" s="436"/>
      <c r="BF623" s="436"/>
      <c r="BG623" s="436"/>
      <c r="BH623" s="436"/>
      <c r="BI623" s="436"/>
      <c r="BJ623" s="436"/>
    </row>
    <row r="624" spans="2:62" ht="15.75" customHeight="1">
      <c r="B624" s="433"/>
      <c r="T624" s="436"/>
      <c r="U624" s="436"/>
      <c r="W624" s="436"/>
      <c r="X624" s="436"/>
      <c r="Y624" s="436"/>
      <c r="Z624" s="436"/>
      <c r="AA624" s="436"/>
      <c r="AB624" s="436"/>
      <c r="AC624" s="436"/>
      <c r="AD624" s="436"/>
      <c r="AE624" s="436"/>
      <c r="AF624" s="436"/>
      <c r="AG624" s="436"/>
      <c r="AH624" s="436"/>
      <c r="AI624" s="436"/>
      <c r="AJ624" s="436"/>
      <c r="AK624" s="436"/>
      <c r="AL624" s="436"/>
      <c r="AM624" s="436"/>
      <c r="AN624" s="436"/>
      <c r="AO624" s="436"/>
      <c r="AP624" s="436"/>
      <c r="AQ624" s="436"/>
      <c r="AR624" s="436"/>
      <c r="AS624" s="436"/>
      <c r="AT624" s="436"/>
      <c r="AU624" s="436"/>
      <c r="AV624" s="436"/>
      <c r="AW624" s="436"/>
      <c r="AX624" s="436"/>
      <c r="AY624" s="436"/>
      <c r="AZ624" s="436"/>
      <c r="BA624" s="436"/>
      <c r="BB624" s="436"/>
      <c r="BC624" s="436"/>
      <c r="BD624" s="436"/>
      <c r="BE624" s="436"/>
      <c r="BF624" s="436"/>
      <c r="BG624" s="436"/>
      <c r="BH624" s="436"/>
      <c r="BI624" s="436"/>
      <c r="BJ624" s="436"/>
    </row>
    <row r="625" spans="2:62" ht="15.75" customHeight="1">
      <c r="B625" s="433"/>
      <c r="T625" s="436"/>
      <c r="U625" s="436"/>
      <c r="W625" s="436"/>
      <c r="X625" s="436"/>
      <c r="Y625" s="436"/>
      <c r="Z625" s="436"/>
      <c r="AA625" s="436"/>
      <c r="AB625" s="436"/>
      <c r="AC625" s="436"/>
      <c r="AD625" s="436"/>
      <c r="AE625" s="436"/>
      <c r="AF625" s="436"/>
      <c r="AG625" s="436"/>
      <c r="AH625" s="436"/>
      <c r="AI625" s="436"/>
      <c r="AJ625" s="436"/>
      <c r="AK625" s="436"/>
      <c r="AL625" s="436"/>
      <c r="AM625" s="436"/>
      <c r="AN625" s="436"/>
      <c r="AO625" s="436"/>
      <c r="AP625" s="436"/>
      <c r="AQ625" s="436"/>
      <c r="AR625" s="436"/>
      <c r="AS625" s="436"/>
      <c r="AT625" s="436"/>
      <c r="AU625" s="436"/>
      <c r="AV625" s="436"/>
      <c r="AW625" s="436"/>
      <c r="AX625" s="436"/>
      <c r="AY625" s="436"/>
      <c r="AZ625" s="436"/>
      <c r="BA625" s="436"/>
      <c r="BB625" s="436"/>
      <c r="BC625" s="436"/>
      <c r="BD625" s="436"/>
      <c r="BE625" s="436"/>
      <c r="BF625" s="436"/>
      <c r="BG625" s="436"/>
      <c r="BH625" s="436"/>
      <c r="BI625" s="436"/>
      <c r="BJ625" s="436"/>
    </row>
    <row r="626" spans="2:62" ht="15.75" customHeight="1">
      <c r="T626" s="436"/>
      <c r="U626" s="436"/>
    </row>
    <row r="627" spans="2:62" ht="15.75" customHeight="1">
      <c r="T627" s="436"/>
      <c r="U627" s="436"/>
    </row>
    <row r="628" spans="2:62" ht="15.75" customHeight="1">
      <c r="T628" s="436"/>
      <c r="U628" s="436"/>
    </row>
    <row r="629" spans="2:62" ht="15.75" customHeight="1">
      <c r="T629" s="436"/>
      <c r="U629" s="436"/>
    </row>
    <row r="630" spans="2:62" ht="15.75" customHeight="1">
      <c r="T630" s="436"/>
      <c r="U630" s="436"/>
    </row>
    <row r="631" spans="2:62" ht="15.75" customHeight="1">
      <c r="T631" s="436"/>
      <c r="U631" s="436"/>
    </row>
    <row r="632" spans="2:62" ht="15.75" customHeight="1">
      <c r="T632" s="436"/>
      <c r="U632" s="436"/>
    </row>
    <row r="633" spans="2:62" ht="15.75" customHeight="1">
      <c r="T633" s="436"/>
      <c r="U633" s="436"/>
    </row>
    <row r="634" spans="2:62" ht="15.75" customHeight="1">
      <c r="T634" s="436"/>
      <c r="U634" s="436"/>
    </row>
    <row r="635" spans="2:62" ht="15.75" customHeight="1">
      <c r="T635" s="436"/>
      <c r="U635" s="436"/>
    </row>
    <row r="636" spans="2:62" ht="15.75" customHeight="1">
      <c r="T636" s="436"/>
      <c r="U636" s="436"/>
    </row>
    <row r="637" spans="2:62" ht="15.75" customHeight="1">
      <c r="T637" s="436"/>
      <c r="U637" s="436"/>
    </row>
    <row r="638" spans="2:62" ht="15.75" customHeight="1">
      <c r="T638" s="436"/>
      <c r="U638" s="436"/>
    </row>
    <row r="639" spans="2:62" ht="15.75" customHeight="1">
      <c r="T639" s="436"/>
      <c r="U639" s="436"/>
    </row>
    <row r="640" spans="2:62" ht="15.75" customHeight="1">
      <c r="T640" s="436"/>
      <c r="U640" s="436"/>
    </row>
    <row r="641" spans="20:21" ht="15.75" customHeight="1">
      <c r="T641" s="436"/>
      <c r="U641" s="436"/>
    </row>
    <row r="642" spans="20:21" ht="15.75" customHeight="1">
      <c r="T642" s="436"/>
      <c r="U642" s="436"/>
    </row>
    <row r="643" spans="20:21" ht="15.75" customHeight="1">
      <c r="T643" s="436"/>
      <c r="U643" s="436"/>
    </row>
    <row r="644" spans="20:21" ht="15.75" customHeight="1">
      <c r="T644" s="436"/>
      <c r="U644" s="436"/>
    </row>
    <row r="645" spans="20:21" ht="15.75" customHeight="1">
      <c r="T645" s="436"/>
      <c r="U645" s="436"/>
    </row>
    <row r="646" spans="20:21" ht="15.75" customHeight="1">
      <c r="T646" s="436"/>
      <c r="U646" s="436"/>
    </row>
    <row r="647" spans="20:21" ht="15.75" customHeight="1">
      <c r="T647" s="436"/>
      <c r="U647" s="436"/>
    </row>
    <row r="648" spans="20:21" ht="15.75" customHeight="1">
      <c r="T648" s="436"/>
      <c r="U648" s="436"/>
    </row>
    <row r="649" spans="20:21" ht="15.75" customHeight="1">
      <c r="T649" s="436"/>
      <c r="U649" s="436"/>
    </row>
    <row r="650" spans="20:21" ht="15.75" customHeight="1">
      <c r="T650" s="436"/>
      <c r="U650" s="436"/>
    </row>
    <row r="651" spans="20:21" ht="15.75" customHeight="1">
      <c r="T651" s="436"/>
      <c r="U651" s="436"/>
    </row>
    <row r="652" spans="20:21" ht="15.75" customHeight="1">
      <c r="T652" s="436"/>
      <c r="U652" s="436"/>
    </row>
    <row r="653" spans="20:21" ht="15.75" customHeight="1">
      <c r="T653" s="436"/>
      <c r="U653" s="436"/>
    </row>
    <row r="654" spans="20:21" ht="15.75" customHeight="1">
      <c r="T654" s="436"/>
      <c r="U654" s="436"/>
    </row>
    <row r="655" spans="20:21" ht="15.75" customHeight="1">
      <c r="T655" s="436"/>
      <c r="U655" s="436"/>
    </row>
    <row r="656" spans="20:21" ht="15.75" customHeight="1">
      <c r="T656" s="436"/>
      <c r="U656" s="436"/>
    </row>
    <row r="657" spans="20:21" ht="15.75" customHeight="1">
      <c r="T657" s="436"/>
      <c r="U657" s="436"/>
    </row>
    <row r="658" spans="20:21" ht="15.75" customHeight="1">
      <c r="T658" s="436"/>
      <c r="U658" s="436"/>
    </row>
    <row r="659" spans="20:21" ht="15.75" customHeight="1">
      <c r="T659" s="436"/>
      <c r="U659" s="436"/>
    </row>
    <row r="660" spans="20:21" ht="15.75" customHeight="1">
      <c r="T660" s="436"/>
      <c r="U660" s="436"/>
    </row>
    <row r="661" spans="20:21" ht="15.75" customHeight="1">
      <c r="T661" s="436"/>
      <c r="U661" s="436"/>
    </row>
    <row r="662" spans="20:21" ht="15.75" customHeight="1">
      <c r="T662" s="436"/>
      <c r="U662" s="436"/>
    </row>
    <row r="663" spans="20:21" ht="15.75" customHeight="1">
      <c r="T663" s="436"/>
      <c r="U663" s="436"/>
    </row>
    <row r="664" spans="20:21" ht="15.75" customHeight="1">
      <c r="T664" s="436"/>
      <c r="U664" s="436"/>
    </row>
    <row r="665" spans="20:21" ht="15.75" customHeight="1">
      <c r="T665" s="436"/>
      <c r="U665" s="436"/>
    </row>
    <row r="666" spans="20:21" ht="15.75" customHeight="1">
      <c r="T666" s="436"/>
      <c r="U666" s="436"/>
    </row>
    <row r="667" spans="20:21" ht="15.75" customHeight="1">
      <c r="T667" s="436"/>
      <c r="U667" s="436"/>
    </row>
    <row r="668" spans="20:21" ht="15.75" customHeight="1">
      <c r="T668" s="436"/>
      <c r="U668" s="436"/>
    </row>
    <row r="669" spans="20:21" ht="15.75" customHeight="1">
      <c r="T669" s="436"/>
      <c r="U669" s="436"/>
    </row>
    <row r="670" spans="20:21" ht="15.75" customHeight="1">
      <c r="T670" s="436"/>
      <c r="U670" s="436"/>
    </row>
    <row r="671" spans="20:21" ht="15.75" customHeight="1">
      <c r="T671" s="436"/>
      <c r="U671" s="436"/>
    </row>
    <row r="672" spans="20:21" ht="15.75" customHeight="1">
      <c r="T672" s="436"/>
      <c r="U672" s="436"/>
    </row>
    <row r="673" spans="20:21" ht="15.75" customHeight="1">
      <c r="T673" s="436"/>
      <c r="U673" s="436"/>
    </row>
    <row r="674" spans="20:21" ht="15.75" customHeight="1">
      <c r="T674" s="436"/>
      <c r="U674" s="436"/>
    </row>
    <row r="675" spans="20:21" ht="15.75" customHeight="1">
      <c r="T675" s="436"/>
      <c r="U675" s="436"/>
    </row>
    <row r="676" spans="20:21" ht="15.75" customHeight="1">
      <c r="T676" s="436"/>
      <c r="U676" s="436"/>
    </row>
    <row r="677" spans="20:21" ht="15.75" customHeight="1">
      <c r="T677" s="436"/>
      <c r="U677" s="436"/>
    </row>
    <row r="678" spans="20:21" ht="15.75" customHeight="1">
      <c r="T678" s="436"/>
      <c r="U678" s="436"/>
    </row>
    <row r="679" spans="20:21" ht="15.75" customHeight="1">
      <c r="T679" s="436"/>
      <c r="U679" s="436"/>
    </row>
    <row r="680" spans="20:21" ht="15.75" customHeight="1">
      <c r="T680" s="436"/>
      <c r="U680" s="436"/>
    </row>
    <row r="681" spans="20:21" ht="15.75" customHeight="1">
      <c r="T681" s="436"/>
      <c r="U681" s="436"/>
    </row>
    <row r="682" spans="20:21" ht="15.75" customHeight="1">
      <c r="T682" s="436"/>
      <c r="U682" s="436"/>
    </row>
    <row r="683" spans="20:21" ht="15.75" customHeight="1">
      <c r="T683" s="436"/>
      <c r="U683" s="436"/>
    </row>
    <row r="684" spans="20:21" ht="15.75" customHeight="1">
      <c r="T684" s="436"/>
      <c r="U684" s="436"/>
    </row>
    <row r="685" spans="20:21" ht="15.75" customHeight="1">
      <c r="T685" s="436"/>
      <c r="U685" s="436"/>
    </row>
    <row r="686" spans="20:21" ht="15.75" customHeight="1">
      <c r="T686" s="436"/>
      <c r="U686" s="436"/>
    </row>
    <row r="687" spans="20:21" ht="15.75" customHeight="1">
      <c r="T687" s="436"/>
      <c r="U687" s="436"/>
    </row>
    <row r="688" spans="20:21" ht="15.75" customHeight="1">
      <c r="T688" s="436"/>
      <c r="U688" s="436"/>
    </row>
    <row r="689" spans="20:21" ht="15.75" customHeight="1">
      <c r="T689" s="436"/>
      <c r="U689" s="436"/>
    </row>
    <row r="690" spans="20:21" ht="15.75" customHeight="1">
      <c r="T690" s="436"/>
      <c r="U690" s="436"/>
    </row>
    <row r="691" spans="20:21" ht="15.75" customHeight="1">
      <c r="T691" s="436"/>
      <c r="U691" s="436"/>
    </row>
    <row r="692" spans="20:21" ht="15.75" customHeight="1">
      <c r="T692" s="436"/>
      <c r="U692" s="436"/>
    </row>
    <row r="693" spans="20:21" ht="15.75" customHeight="1">
      <c r="T693" s="436"/>
      <c r="U693" s="436"/>
    </row>
    <row r="694" spans="20:21" ht="15.75" customHeight="1">
      <c r="T694" s="436"/>
      <c r="U694" s="436"/>
    </row>
    <row r="695" spans="20:21" ht="15.75" customHeight="1">
      <c r="T695" s="436"/>
      <c r="U695" s="436"/>
    </row>
    <row r="696" spans="20:21" ht="15.75" customHeight="1">
      <c r="T696" s="436"/>
      <c r="U696" s="436"/>
    </row>
    <row r="697" spans="20:21" ht="15.75" customHeight="1">
      <c r="T697" s="436"/>
      <c r="U697" s="436"/>
    </row>
    <row r="698" spans="20:21" ht="15.75" customHeight="1">
      <c r="T698" s="436"/>
      <c r="U698" s="436"/>
    </row>
    <row r="699" spans="20:21" ht="15.75" customHeight="1">
      <c r="T699" s="436"/>
      <c r="U699" s="436"/>
    </row>
    <row r="700" spans="20:21" ht="15.75" customHeight="1">
      <c r="T700" s="436"/>
      <c r="U700" s="436"/>
    </row>
    <row r="701" spans="20:21" ht="15.75" customHeight="1">
      <c r="T701" s="436"/>
      <c r="U701" s="436"/>
    </row>
    <row r="702" spans="20:21" ht="15.75" customHeight="1">
      <c r="T702" s="436"/>
      <c r="U702" s="436"/>
    </row>
    <row r="703" spans="20:21" ht="15.75" customHeight="1">
      <c r="T703" s="436"/>
      <c r="U703" s="436"/>
    </row>
    <row r="704" spans="20:21" ht="15.75" customHeight="1">
      <c r="T704" s="436"/>
      <c r="U704" s="436"/>
    </row>
    <row r="705" spans="20:21" ht="15.75" customHeight="1">
      <c r="T705" s="436"/>
      <c r="U705" s="436"/>
    </row>
    <row r="706" spans="20:21" ht="15.75" customHeight="1">
      <c r="T706" s="436"/>
      <c r="U706" s="436"/>
    </row>
    <row r="707" spans="20:21" ht="15.75" customHeight="1">
      <c r="T707" s="436"/>
      <c r="U707" s="436"/>
    </row>
    <row r="708" spans="20:21" ht="15.75" customHeight="1">
      <c r="T708" s="436"/>
      <c r="U708" s="436"/>
    </row>
    <row r="709" spans="20:21" ht="15.75" customHeight="1">
      <c r="T709" s="436"/>
      <c r="U709" s="436"/>
    </row>
    <row r="710" spans="20:21" ht="15.75" customHeight="1">
      <c r="T710" s="436"/>
      <c r="U710" s="436"/>
    </row>
    <row r="711" spans="20:21" ht="15.75" customHeight="1">
      <c r="T711" s="436"/>
      <c r="U711" s="436"/>
    </row>
    <row r="712" spans="20:21" ht="15.75" customHeight="1">
      <c r="T712" s="436"/>
      <c r="U712" s="436"/>
    </row>
    <row r="713" spans="20:21" ht="15.75" customHeight="1">
      <c r="T713" s="436"/>
      <c r="U713" s="436"/>
    </row>
    <row r="714" spans="20:21" ht="15.75" customHeight="1">
      <c r="T714" s="436"/>
      <c r="U714" s="436"/>
    </row>
    <row r="715" spans="20:21" ht="15.75" customHeight="1">
      <c r="T715" s="436"/>
      <c r="U715" s="436"/>
    </row>
    <row r="716" spans="20:21" ht="15.75" customHeight="1">
      <c r="T716" s="436"/>
      <c r="U716" s="436"/>
    </row>
    <row r="717" spans="20:21" ht="15.75" customHeight="1">
      <c r="T717" s="436"/>
      <c r="U717" s="436"/>
    </row>
    <row r="718" spans="20:21" ht="15.75" customHeight="1">
      <c r="T718" s="436"/>
      <c r="U718" s="436"/>
    </row>
    <row r="719" spans="20:21" ht="15.75" customHeight="1">
      <c r="T719" s="436"/>
      <c r="U719" s="436"/>
    </row>
    <row r="720" spans="20:21" ht="15.75" customHeight="1">
      <c r="T720" s="436"/>
      <c r="U720" s="436"/>
    </row>
    <row r="721" spans="20:21" ht="15.75" customHeight="1">
      <c r="T721" s="436"/>
      <c r="U721" s="436"/>
    </row>
    <row r="722" spans="20:21" ht="15.75" customHeight="1">
      <c r="T722" s="436"/>
      <c r="U722" s="436"/>
    </row>
    <row r="723" spans="20:21" ht="15.75" customHeight="1">
      <c r="T723" s="436"/>
      <c r="U723" s="436"/>
    </row>
    <row r="724" spans="20:21" ht="15.75" customHeight="1">
      <c r="T724" s="436"/>
      <c r="U724" s="436"/>
    </row>
    <row r="725" spans="20:21" ht="15.75" customHeight="1">
      <c r="T725" s="436"/>
      <c r="U725" s="436"/>
    </row>
    <row r="726" spans="20:21" ht="15.75" customHeight="1">
      <c r="T726" s="436"/>
      <c r="U726" s="436"/>
    </row>
    <row r="727" spans="20:21" ht="15.75" customHeight="1">
      <c r="T727" s="436"/>
      <c r="U727" s="436"/>
    </row>
    <row r="728" spans="20:21" ht="15.75" customHeight="1">
      <c r="T728" s="436"/>
      <c r="U728" s="436"/>
    </row>
    <row r="729" spans="20:21" ht="15.75" customHeight="1">
      <c r="T729" s="436"/>
      <c r="U729" s="436"/>
    </row>
    <row r="730" spans="20:21" ht="15.75" customHeight="1">
      <c r="T730" s="436"/>
      <c r="U730" s="436"/>
    </row>
    <row r="731" spans="20:21" ht="15.75" customHeight="1">
      <c r="T731" s="436"/>
      <c r="U731" s="436"/>
    </row>
    <row r="732" spans="20:21" ht="15.75" customHeight="1">
      <c r="T732" s="436"/>
      <c r="U732" s="436"/>
    </row>
    <row r="733" spans="20:21" ht="15.75" customHeight="1">
      <c r="T733" s="436"/>
      <c r="U733" s="436"/>
    </row>
    <row r="734" spans="20:21" ht="15.75" customHeight="1">
      <c r="T734" s="436"/>
      <c r="U734" s="436"/>
    </row>
    <row r="735" spans="20:21" ht="15.75" customHeight="1">
      <c r="T735" s="436"/>
      <c r="U735" s="436"/>
    </row>
    <row r="736" spans="20:21" ht="15.75" customHeight="1">
      <c r="T736" s="436"/>
      <c r="U736" s="436"/>
    </row>
    <row r="737" spans="20:21" ht="15.75" customHeight="1">
      <c r="T737" s="436"/>
      <c r="U737" s="436"/>
    </row>
    <row r="738" spans="20:21" ht="15.75" customHeight="1">
      <c r="T738" s="436"/>
      <c r="U738" s="436"/>
    </row>
    <row r="739" spans="20:21" ht="15.75" customHeight="1">
      <c r="T739" s="436"/>
      <c r="U739" s="436"/>
    </row>
    <row r="740" spans="20:21" ht="15.75" customHeight="1">
      <c r="T740" s="436"/>
      <c r="U740" s="436"/>
    </row>
    <row r="741" spans="20:21" ht="15.75" customHeight="1">
      <c r="T741" s="436"/>
      <c r="U741" s="436"/>
    </row>
    <row r="742" spans="20:21" ht="15.75" customHeight="1">
      <c r="T742" s="436"/>
      <c r="U742" s="436"/>
    </row>
    <row r="743" spans="20:21" ht="15.75" customHeight="1">
      <c r="T743" s="436"/>
      <c r="U743" s="436"/>
    </row>
    <row r="744" spans="20:21" ht="15.75" customHeight="1">
      <c r="T744" s="436"/>
      <c r="U744" s="436"/>
    </row>
    <row r="745" spans="20:21" ht="15.75" customHeight="1">
      <c r="T745" s="436"/>
      <c r="U745" s="436"/>
    </row>
    <row r="746" spans="20:21" ht="15.75" customHeight="1">
      <c r="T746" s="436"/>
      <c r="U746" s="436"/>
    </row>
    <row r="747" spans="20:21" ht="15.75" customHeight="1">
      <c r="T747" s="436"/>
      <c r="U747" s="436"/>
    </row>
    <row r="748" spans="20:21" ht="15.75" customHeight="1">
      <c r="T748" s="436"/>
      <c r="U748" s="436"/>
    </row>
    <row r="749" spans="20:21" ht="15.75" customHeight="1">
      <c r="T749" s="436"/>
      <c r="U749" s="436"/>
    </row>
    <row r="750" spans="20:21" ht="15.75" customHeight="1">
      <c r="T750" s="436"/>
      <c r="U750" s="436"/>
    </row>
    <row r="751" spans="20:21" ht="15.75" customHeight="1">
      <c r="T751" s="436"/>
      <c r="U751" s="436"/>
    </row>
    <row r="752" spans="20:21" ht="15.75" customHeight="1">
      <c r="T752" s="436"/>
      <c r="U752" s="436"/>
    </row>
    <row r="753" spans="20:21" ht="15.75" customHeight="1">
      <c r="T753" s="436"/>
      <c r="U753" s="436"/>
    </row>
    <row r="754" spans="20:21" ht="15.75" customHeight="1">
      <c r="T754" s="436"/>
      <c r="U754" s="436"/>
    </row>
    <row r="755" spans="20:21" ht="15.75" customHeight="1">
      <c r="T755" s="436"/>
      <c r="U755" s="436"/>
    </row>
    <row r="756" spans="20:21" ht="15.75" customHeight="1">
      <c r="T756" s="436"/>
      <c r="U756" s="436"/>
    </row>
    <row r="757" spans="20:21" ht="15.75" customHeight="1">
      <c r="T757" s="436"/>
      <c r="U757" s="436"/>
    </row>
    <row r="758" spans="20:21" ht="15.75" customHeight="1">
      <c r="T758" s="436"/>
      <c r="U758" s="436"/>
    </row>
    <row r="759" spans="20:21" ht="15.75" customHeight="1">
      <c r="T759" s="436"/>
      <c r="U759" s="436"/>
    </row>
    <row r="760" spans="20:21" ht="15.75" customHeight="1">
      <c r="T760" s="436"/>
      <c r="U760" s="436"/>
    </row>
    <row r="761" spans="20:21" ht="15.75" customHeight="1">
      <c r="T761" s="436"/>
      <c r="U761" s="436"/>
    </row>
    <row r="762" spans="20:21" ht="15.75" customHeight="1">
      <c r="T762" s="436"/>
      <c r="U762" s="436"/>
    </row>
    <row r="763" spans="20:21" ht="15.75" customHeight="1">
      <c r="T763" s="436"/>
      <c r="U763" s="436"/>
    </row>
    <row r="764" spans="20:21" ht="15.75" customHeight="1">
      <c r="T764" s="436"/>
      <c r="U764" s="436"/>
    </row>
    <row r="765" spans="20:21" ht="15.75" customHeight="1">
      <c r="T765" s="436"/>
      <c r="U765" s="436"/>
    </row>
    <row r="766" spans="20:21" ht="15.75" customHeight="1">
      <c r="T766" s="436"/>
      <c r="U766" s="436"/>
    </row>
    <row r="767" spans="20:21" ht="15.75" customHeight="1">
      <c r="T767" s="436"/>
      <c r="U767" s="436"/>
    </row>
    <row r="768" spans="20:21" ht="15.75" customHeight="1">
      <c r="T768" s="436"/>
      <c r="U768" s="436"/>
    </row>
    <row r="769" spans="20:21" ht="15.75" customHeight="1">
      <c r="T769" s="436"/>
      <c r="U769" s="436"/>
    </row>
    <row r="770" spans="20:21" ht="15.75" customHeight="1">
      <c r="T770" s="436"/>
      <c r="U770" s="436"/>
    </row>
    <row r="771" spans="20:21" ht="15.75" customHeight="1">
      <c r="T771" s="436"/>
      <c r="U771" s="436"/>
    </row>
    <row r="772" spans="20:21" ht="15.75" customHeight="1">
      <c r="T772" s="436"/>
      <c r="U772" s="436"/>
    </row>
    <row r="773" spans="20:21" ht="15.75" customHeight="1">
      <c r="T773" s="436"/>
      <c r="U773" s="436"/>
    </row>
    <row r="774" spans="20:21" ht="15.75" customHeight="1">
      <c r="T774" s="436"/>
      <c r="U774" s="436"/>
    </row>
    <row r="775" spans="20:21" ht="15.75" customHeight="1">
      <c r="T775" s="436"/>
      <c r="U775" s="436"/>
    </row>
    <row r="776" spans="20:21" ht="15.75" customHeight="1">
      <c r="T776" s="436"/>
      <c r="U776" s="436"/>
    </row>
    <row r="777" spans="20:21" ht="15.75" customHeight="1">
      <c r="T777" s="436"/>
      <c r="U777" s="436"/>
    </row>
    <row r="778" spans="20:21" ht="15.75" customHeight="1">
      <c r="T778" s="436"/>
      <c r="U778" s="436"/>
    </row>
    <row r="779" spans="20:21" ht="15.75" customHeight="1">
      <c r="T779" s="436"/>
      <c r="U779" s="436"/>
    </row>
    <row r="780" spans="20:21" ht="15.75" customHeight="1">
      <c r="T780" s="436"/>
      <c r="U780" s="436"/>
    </row>
  </sheetData>
  <mergeCells count="48">
    <mergeCell ref="R91:S91"/>
    <mergeCell ref="D91:F91"/>
    <mergeCell ref="G91:I91"/>
    <mergeCell ref="J91:L91"/>
    <mergeCell ref="M91:N91"/>
    <mergeCell ref="O91:Q91"/>
    <mergeCell ref="R3:S3"/>
    <mergeCell ref="D3:F3"/>
    <mergeCell ref="G3:I3"/>
    <mergeCell ref="J3:L3"/>
    <mergeCell ref="M3:N3"/>
    <mergeCell ref="O3:Q3"/>
    <mergeCell ref="D369:F369"/>
    <mergeCell ref="G369:I369"/>
    <mergeCell ref="J369:L369"/>
    <mergeCell ref="M171:N171"/>
    <mergeCell ref="R369:S369"/>
    <mergeCell ref="R171:S171"/>
    <mergeCell ref="D171:F171"/>
    <mergeCell ref="G171:I171"/>
    <mergeCell ref="O171:Q171"/>
    <mergeCell ref="M369:N369"/>
    <mergeCell ref="O369:Q369"/>
    <mergeCell ref="R244:S244"/>
    <mergeCell ref="D312:F312"/>
    <mergeCell ref="G312:I312"/>
    <mergeCell ref="J312:L312"/>
    <mergeCell ref="M312:N312"/>
    <mergeCell ref="O312:Q312"/>
    <mergeCell ref="R312:S312"/>
    <mergeCell ref="D244:F244"/>
    <mergeCell ref="G244:I244"/>
    <mergeCell ref="J244:L244"/>
    <mergeCell ref="M244:N244"/>
    <mergeCell ref="O244:Q244"/>
    <mergeCell ref="J171:L171"/>
    <mergeCell ref="D434:F434"/>
    <mergeCell ref="G434:I434"/>
    <mergeCell ref="J434:L434"/>
    <mergeCell ref="M434:N434"/>
    <mergeCell ref="O434:Q434"/>
    <mergeCell ref="AJ491:AL491"/>
    <mergeCell ref="AM491:AO491"/>
    <mergeCell ref="R434:S434"/>
    <mergeCell ref="X491:Z491"/>
    <mergeCell ref="AA491:AC491"/>
    <mergeCell ref="AD491:AF491"/>
    <mergeCell ref="AG491:AI491"/>
  </mergeCells>
  <conditionalFormatting sqref="D113 H180:L181 I184:L185">
    <cfRule type="expression" dxfId="173" priority="1" stopIfTrue="1">
      <formula>"esterreur(reference)"</formula>
    </cfRule>
  </conditionalFormatting>
  <conditionalFormatting sqref="D246:D255">
    <cfRule type="expression" dxfId="172" priority="2" stopIfTrue="1">
      <formula>"esterreur(reference)"</formula>
    </cfRule>
  </conditionalFormatting>
  <conditionalFormatting sqref="D487">
    <cfRule type="expression" dxfId="171" priority="3" stopIfTrue="1">
      <formula>"esterreur(reference)"</formula>
    </cfRule>
  </conditionalFormatting>
  <conditionalFormatting sqref="D186:E192">
    <cfRule type="expression" dxfId="170" priority="4" stopIfTrue="1">
      <formula>"esterreur(reference)"</formula>
    </cfRule>
  </conditionalFormatting>
  <conditionalFormatting sqref="E260">
    <cfRule type="expression" dxfId="169" priority="5" stopIfTrue="1">
      <formula>"esterreur(reference)"</formula>
    </cfRule>
  </conditionalFormatting>
  <conditionalFormatting sqref="F5">
    <cfRule type="expression" dxfId="168" priority="6" stopIfTrue="1">
      <formula>"esterreur(reference)"</formula>
    </cfRule>
  </conditionalFormatting>
  <conditionalFormatting sqref="F84">
    <cfRule type="expression" dxfId="167" priority="7" stopIfTrue="1">
      <formula>"esterreur(reference)"</formula>
    </cfRule>
  </conditionalFormatting>
  <conditionalFormatting sqref="F102">
    <cfRule type="expression" dxfId="166" priority="8" stopIfTrue="1">
      <formula>"esterreur(reference)"</formula>
    </cfRule>
  </conditionalFormatting>
  <conditionalFormatting sqref="F258">
    <cfRule type="expression" dxfId="165" priority="9" stopIfTrue="1">
      <formula>"esterreur(reference)"</formula>
    </cfRule>
  </conditionalFormatting>
  <conditionalFormatting sqref="G31:G32">
    <cfRule type="expression" dxfId="164" priority="10" stopIfTrue="1">
      <formula>"esterreur(reference)"</formula>
    </cfRule>
  </conditionalFormatting>
  <conditionalFormatting sqref="G113:G114">
    <cfRule type="expression" dxfId="163" priority="11" stopIfTrue="1">
      <formula>"esterreur(reference)"</formula>
    </cfRule>
  </conditionalFormatting>
  <conditionalFormatting sqref="G186:G187">
    <cfRule type="expression" dxfId="162" priority="12" stopIfTrue="1">
      <formula>"esterreur(reference)"</formula>
    </cfRule>
  </conditionalFormatting>
  <conditionalFormatting sqref="G246:G255">
    <cfRule type="expression" dxfId="161" priority="13" stopIfTrue="1">
      <formula>"esterreur(reference)"</formula>
    </cfRule>
  </conditionalFormatting>
  <conditionalFormatting sqref="H25:H26 H28:H72">
    <cfRule type="expression" dxfId="160" priority="14" stopIfTrue="1">
      <formula>"esterreur(reference)"</formula>
    </cfRule>
  </conditionalFormatting>
  <conditionalFormatting sqref="H74">
    <cfRule type="expression" dxfId="159" priority="15" stopIfTrue="1">
      <formula>"esterreur(reference)"</formula>
    </cfRule>
  </conditionalFormatting>
  <conditionalFormatting sqref="H83">
    <cfRule type="expression" dxfId="158" priority="16" stopIfTrue="1">
      <formula>"esterreur(reference)"</formula>
    </cfRule>
  </conditionalFormatting>
  <conditionalFormatting sqref="H85">
    <cfRule type="expression" dxfId="157" priority="17" stopIfTrue="1">
      <formula>"esterreur(reference)"</formula>
    </cfRule>
  </conditionalFormatting>
  <conditionalFormatting sqref="H110:H154">
    <cfRule type="expression" dxfId="156" priority="18" stopIfTrue="1">
      <formula>"esterreur(reference)"</formula>
    </cfRule>
  </conditionalFormatting>
  <conditionalFormatting sqref="H156:H158">
    <cfRule type="expression" dxfId="155" priority="19" stopIfTrue="1">
      <formula>"esterreur(reference)"</formula>
    </cfRule>
  </conditionalFormatting>
  <conditionalFormatting sqref="H164">
    <cfRule type="expression" dxfId="154" priority="20" stopIfTrue="1">
      <formula>"esterreur(reference)"</formula>
    </cfRule>
  </conditionalFormatting>
  <conditionalFormatting sqref="H166">
    <cfRule type="expression" dxfId="153" priority="21" stopIfTrue="1">
      <formula>"esterreur(reference)"</formula>
    </cfRule>
  </conditionalFormatting>
  <conditionalFormatting sqref="H183:H227">
    <cfRule type="expression" dxfId="152" priority="22" stopIfTrue="1">
      <formula>"esterreur(reference)"</formula>
    </cfRule>
  </conditionalFormatting>
  <conditionalFormatting sqref="H229:H231">
    <cfRule type="expression" dxfId="151" priority="23" stopIfTrue="1">
      <formula>"esterreur(reference)"</formula>
    </cfRule>
  </conditionalFormatting>
  <conditionalFormatting sqref="H237">
    <cfRule type="expression" dxfId="150" priority="24" stopIfTrue="1">
      <formula>"esterreur(reference)"</formula>
    </cfRule>
  </conditionalFormatting>
  <conditionalFormatting sqref="H239">
    <cfRule type="expression" dxfId="149" priority="25" stopIfTrue="1">
      <formula>"esterreur(reference)"</formula>
    </cfRule>
  </conditionalFormatting>
  <conditionalFormatting sqref="H269">
    <cfRule type="expression" dxfId="148" priority="26" stopIfTrue="1">
      <formula>"esterreur(reference)"</formula>
    </cfRule>
  </conditionalFormatting>
  <conditionalFormatting sqref="H272:H303">
    <cfRule type="expression" dxfId="147" priority="27" stopIfTrue="1">
      <formula>"esterreur(reference)"</formula>
    </cfRule>
  </conditionalFormatting>
  <conditionalFormatting sqref="H305">
    <cfRule type="expression" dxfId="146" priority="28" stopIfTrue="1">
      <formula>"esterreur(reference)"</formula>
    </cfRule>
  </conditionalFormatting>
  <conditionalFormatting sqref="H307">
    <cfRule type="expression" dxfId="145" priority="29" stopIfTrue="1">
      <formula>"esterreur(reference)"</formula>
    </cfRule>
  </conditionalFormatting>
  <conditionalFormatting sqref="H327">
    <cfRule type="expression" dxfId="144" priority="30" stopIfTrue="1">
      <formula>"esterreur(reference)"</formula>
    </cfRule>
  </conditionalFormatting>
  <conditionalFormatting sqref="H330:H361">
    <cfRule type="expression" dxfId="143" priority="31" stopIfTrue="1">
      <formula>"esterreur(reference)"</formula>
    </cfRule>
  </conditionalFormatting>
  <conditionalFormatting sqref="H363">
    <cfRule type="expression" dxfId="142" priority="32" stopIfTrue="1">
      <formula>"esterreur(reference)"</formula>
    </cfRule>
  </conditionalFormatting>
  <conditionalFormatting sqref="H365">
    <cfRule type="expression" dxfId="141" priority="33" stopIfTrue="1">
      <formula>"esterreur(reference)"</formula>
    </cfRule>
  </conditionalFormatting>
  <conditionalFormatting sqref="H391">
    <cfRule type="expression" dxfId="140" priority="34" stopIfTrue="1">
      <formula>"esterreur(reference)"</formula>
    </cfRule>
  </conditionalFormatting>
  <conditionalFormatting sqref="H394:H425">
    <cfRule type="expression" dxfId="139" priority="35" stopIfTrue="1">
      <formula>"esterreur(reference)"</formula>
    </cfRule>
  </conditionalFormatting>
  <conditionalFormatting sqref="H427">
    <cfRule type="expression" dxfId="138" priority="36" stopIfTrue="1">
      <formula>"esterreur(reference)"</formula>
    </cfRule>
  </conditionalFormatting>
  <conditionalFormatting sqref="H429:H431">
    <cfRule type="expression" dxfId="137" priority="37" stopIfTrue="1">
      <formula>"esterreur(reference)"</formula>
    </cfRule>
  </conditionalFormatting>
  <conditionalFormatting sqref="H449">
    <cfRule type="expression" dxfId="136" priority="38" stopIfTrue="1">
      <formula>"esterreur(reference)"</formula>
    </cfRule>
  </conditionalFormatting>
  <conditionalFormatting sqref="H452:H482">
    <cfRule type="expression" dxfId="135" priority="39" stopIfTrue="1">
      <formula>"esterreur(reference)"</formula>
    </cfRule>
  </conditionalFormatting>
  <conditionalFormatting sqref="H484">
    <cfRule type="expression" dxfId="134" priority="40" stopIfTrue="1">
      <formula>"esterreur(reference)"</formula>
    </cfRule>
  </conditionalFormatting>
  <conditionalFormatting sqref="H486:H487">
    <cfRule type="expression" dxfId="133" priority="41" stopIfTrue="1">
      <formula>"esterreur(reference)"</formula>
    </cfRule>
  </conditionalFormatting>
  <conditionalFormatting sqref="H433:I433 K433:L433 J433:J434">
    <cfRule type="expression" dxfId="132" priority="42" stopIfTrue="1">
      <formula>"esterreur(reference)"</formula>
    </cfRule>
  </conditionalFormatting>
  <conditionalFormatting sqref="H317:J317">
    <cfRule type="expression" dxfId="131" priority="43" stopIfTrue="1">
      <formula>"esterreur(reference)"</formula>
    </cfRule>
  </conditionalFormatting>
  <conditionalFormatting sqref="H439:J439">
    <cfRule type="expression" dxfId="130" priority="44" stopIfTrue="1">
      <formula>"esterreur(reference)"</formula>
    </cfRule>
  </conditionalFormatting>
  <conditionalFormatting sqref="H435:L436">
    <cfRule type="expression" dxfId="129" priority="45" stopIfTrue="1">
      <formula>"esterreur(reference)"</formula>
    </cfRule>
  </conditionalFormatting>
  <conditionalFormatting sqref="H447:L447 H450:L451">
    <cfRule type="expression" dxfId="128" priority="46" stopIfTrue="1">
      <formula>"esterreur(reference)"</formula>
    </cfRule>
  </conditionalFormatting>
  <conditionalFormatting sqref="H483:L483 H485:L485">
    <cfRule type="expression" dxfId="127" priority="47" stopIfTrue="1">
      <formula>"esterreur(reference)"</formula>
    </cfRule>
  </conditionalFormatting>
  <conditionalFormatting sqref="I16:I18 I20 I24:I30">
    <cfRule type="expression" dxfId="126" priority="48" stopIfTrue="1">
      <formula>"esterreur(reference)"</formula>
    </cfRule>
  </conditionalFormatting>
  <conditionalFormatting sqref="I109:I110">
    <cfRule type="expression" dxfId="125" priority="49" stopIfTrue="1">
      <formula>"esterreur(reference)"</formula>
    </cfRule>
  </conditionalFormatting>
  <conditionalFormatting sqref="I182:I183">
    <cfRule type="expression" dxfId="124" priority="50" stopIfTrue="1">
      <formula>"esterreur(reference)"</formula>
    </cfRule>
  </conditionalFormatting>
  <conditionalFormatting sqref="I268:I269">
    <cfRule type="expression" dxfId="123" priority="51" stopIfTrue="1">
      <formula>"esterreur(reference)"</formula>
    </cfRule>
  </conditionalFormatting>
  <conditionalFormatting sqref="I326:I327">
    <cfRule type="expression" dxfId="122" priority="52" stopIfTrue="1">
      <formula>"esterreur(reference)"</formula>
    </cfRule>
  </conditionalFormatting>
  <conditionalFormatting sqref="I390:I391">
    <cfRule type="expression" dxfId="121" priority="53" stopIfTrue="1">
      <formula>"esterreur(reference)"</formula>
    </cfRule>
  </conditionalFormatting>
  <conditionalFormatting sqref="I448:I449">
    <cfRule type="expression" dxfId="120" priority="54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119" priority="55" stopIfTrue="1">
      <formula>"esterreur(reference)"</formula>
    </cfRule>
  </conditionalFormatting>
  <conditionalFormatting sqref="J16 L16:L24">
    <cfRule type="expression" dxfId="118" priority="56" stopIfTrue="1">
      <formula>"esterreur(reference)"</formula>
    </cfRule>
  </conditionalFormatting>
  <conditionalFormatting sqref="J182 J183:L183">
    <cfRule type="expression" dxfId="117" priority="57" stopIfTrue="1">
      <formula>"esterreur(reference)"</formula>
    </cfRule>
  </conditionalFormatting>
  <conditionalFormatting sqref="J326 J327:K327">
    <cfRule type="expression" dxfId="116" priority="58" stopIfTrue="1">
      <formula>"esterreur(reference)"</formula>
    </cfRule>
  </conditionalFormatting>
  <conditionalFormatting sqref="J371:J390">
    <cfRule type="expression" dxfId="115" priority="59" stopIfTrue="1">
      <formula>"esterreur(reference)"</formula>
    </cfRule>
  </conditionalFormatting>
  <conditionalFormatting sqref="J448 J449:K449">
    <cfRule type="expression" dxfId="114" priority="60" stopIfTrue="1">
      <formula>"esterreur(reference)"</formula>
    </cfRule>
  </conditionalFormatting>
  <conditionalFormatting sqref="J54:K54">
    <cfRule type="expression" dxfId="113" priority="61" stopIfTrue="1">
      <formula>"esterreur(reference)"</formula>
    </cfRule>
  </conditionalFormatting>
  <conditionalFormatting sqref="J72:K72">
    <cfRule type="expression" dxfId="112" priority="62" stopIfTrue="1">
      <formula>"esterreur(reference)"</formula>
    </cfRule>
  </conditionalFormatting>
  <conditionalFormatting sqref="J74:K74">
    <cfRule type="expression" dxfId="111" priority="63" stopIfTrue="1">
      <formula>"esterreur(reference)"</formula>
    </cfRule>
  </conditionalFormatting>
  <conditionalFormatting sqref="J85:K85">
    <cfRule type="expression" dxfId="110" priority="64" stopIfTrue="1">
      <formula>"esterreur(reference)"</formula>
    </cfRule>
  </conditionalFormatting>
  <conditionalFormatting sqref="J156:K158">
    <cfRule type="expression" dxfId="109" priority="65" stopIfTrue="1">
      <formula>"esterreur(reference)"</formula>
    </cfRule>
  </conditionalFormatting>
  <conditionalFormatting sqref="J164:K164">
    <cfRule type="expression" dxfId="108" priority="66" stopIfTrue="1">
      <formula>"esterreur(reference)"</formula>
    </cfRule>
  </conditionalFormatting>
  <conditionalFormatting sqref="J166:K166">
    <cfRule type="expression" dxfId="107" priority="67" stopIfTrue="1">
      <formula>"esterreur(reference)"</formula>
    </cfRule>
  </conditionalFormatting>
  <conditionalFormatting sqref="J229:K231">
    <cfRule type="expression" dxfId="106" priority="68" stopIfTrue="1">
      <formula>"esterreur(reference)"</formula>
    </cfRule>
  </conditionalFormatting>
  <conditionalFormatting sqref="J237:K237">
    <cfRule type="expression" dxfId="105" priority="69" stopIfTrue="1">
      <formula>"esterreur(reference)"</formula>
    </cfRule>
  </conditionalFormatting>
  <conditionalFormatting sqref="J239:K239">
    <cfRule type="expression" dxfId="104" priority="70" stopIfTrue="1">
      <formula>"esterreur(reference)"</formula>
    </cfRule>
  </conditionalFormatting>
  <conditionalFormatting sqref="J305:K305">
    <cfRule type="expression" dxfId="103" priority="71" stopIfTrue="1">
      <formula>"esterreur(reference)"</formula>
    </cfRule>
  </conditionalFormatting>
  <conditionalFormatting sqref="J307:K307">
    <cfRule type="expression" dxfId="102" priority="72" stopIfTrue="1">
      <formula>"esterreur(reference)"</formula>
    </cfRule>
  </conditionalFormatting>
  <conditionalFormatting sqref="J363:K363">
    <cfRule type="expression" dxfId="101" priority="73" stopIfTrue="1">
      <formula>"esterreur(reference)"</formula>
    </cfRule>
  </conditionalFormatting>
  <conditionalFormatting sqref="J365:K365">
    <cfRule type="expression" dxfId="100" priority="74" stopIfTrue="1">
      <formula>"esterreur(reference)"</formula>
    </cfRule>
  </conditionalFormatting>
  <conditionalFormatting sqref="J427:K427">
    <cfRule type="expression" dxfId="99" priority="75" stopIfTrue="1">
      <formula>"esterreur(reference)"</formula>
    </cfRule>
  </conditionalFormatting>
  <conditionalFormatting sqref="J429:K431">
    <cfRule type="expression" dxfId="98" priority="76" stopIfTrue="1">
      <formula>"esterreur(reference)"</formula>
    </cfRule>
  </conditionalFormatting>
  <conditionalFormatting sqref="J464:K464">
    <cfRule type="expression" dxfId="97" priority="77" stopIfTrue="1">
      <formula>"esterreur(reference)"</formula>
    </cfRule>
  </conditionalFormatting>
  <conditionalFormatting sqref="J482:K482">
    <cfRule type="expression" dxfId="96" priority="78" stopIfTrue="1">
      <formula>"esterreur(reference)"</formula>
    </cfRule>
  </conditionalFormatting>
  <conditionalFormatting sqref="J484:K484">
    <cfRule type="expression" dxfId="95" priority="79" stopIfTrue="1">
      <formula>"esterreur(reference)"</formula>
    </cfRule>
  </conditionalFormatting>
  <conditionalFormatting sqref="J486:K487">
    <cfRule type="expression" dxfId="94" priority="80" stopIfTrue="1">
      <formula>"esterreur(reference)"</formula>
    </cfRule>
  </conditionalFormatting>
  <conditionalFormatting sqref="J53:L53 J55:L71">
    <cfRule type="expression" dxfId="93" priority="81" stopIfTrue="1">
      <formula>"esterreur(reference)"</formula>
    </cfRule>
  </conditionalFormatting>
  <conditionalFormatting sqref="J465:L481">
    <cfRule type="expression" dxfId="92" priority="82" stopIfTrue="1">
      <formula>"esterreur(reference)"</formula>
    </cfRule>
  </conditionalFormatting>
  <conditionalFormatting sqref="K5">
    <cfRule type="expression" dxfId="91" priority="83" stopIfTrue="1">
      <formula>"esterreur(reference)"</formula>
    </cfRule>
  </conditionalFormatting>
  <conditionalFormatting sqref="K321:L321">
    <cfRule type="expression" dxfId="90" priority="84" stopIfTrue="1">
      <formula>"esterreur(reference)"</formula>
    </cfRule>
  </conditionalFormatting>
  <conditionalFormatting sqref="K437:L437 L439 K440:L440">
    <cfRule type="expression" dxfId="89" priority="85" stopIfTrue="1">
      <formula>"esterreur(reference)"</formula>
    </cfRule>
  </conditionalFormatting>
  <conditionalFormatting sqref="K443:L443">
    <cfRule type="expression" dxfId="88" priority="86" stopIfTrue="1">
      <formula>"esterreur(reference)"</formula>
    </cfRule>
  </conditionalFormatting>
  <conditionalFormatting sqref="L5:L14">
    <cfRule type="expression" dxfId="87" priority="87" stopIfTrue="1">
      <formula>"esterreur(reference)"</formula>
    </cfRule>
  </conditionalFormatting>
  <conditionalFormatting sqref="L75:L82">
    <cfRule type="expression" dxfId="86" priority="88" stopIfTrue="1">
      <formula>"esterreur(reference)"</formula>
    </cfRule>
  </conditionalFormatting>
  <conditionalFormatting sqref="L157:L163">
    <cfRule type="expression" dxfId="85" priority="89" stopIfTrue="1">
      <formula>"esterreur(reference)"</formula>
    </cfRule>
  </conditionalFormatting>
  <conditionalFormatting sqref="L230:L236">
    <cfRule type="expression" dxfId="84" priority="90" stopIfTrue="1">
      <formula>"esterreur(reference)"</formula>
    </cfRule>
  </conditionalFormatting>
  <conditionalFormatting sqref="L272:L283">
    <cfRule type="expression" dxfId="83" priority="91" stopIfTrue="1">
      <formula>"esterreur(reference)"</formula>
    </cfRule>
  </conditionalFormatting>
  <conditionalFormatting sqref="L285:L302">
    <cfRule type="expression" dxfId="82" priority="92" stopIfTrue="1">
      <formula>"esterreur(reference)"</formula>
    </cfRule>
  </conditionalFormatting>
  <conditionalFormatting sqref="L324">
    <cfRule type="expression" dxfId="81" priority="93" stopIfTrue="1">
      <formula>"esterreur(reference)"</formula>
    </cfRule>
  </conditionalFormatting>
  <conditionalFormatting sqref="L330:L341">
    <cfRule type="expression" dxfId="80" priority="94" stopIfTrue="1">
      <formula>"esterreur(reference)"</formula>
    </cfRule>
  </conditionalFormatting>
  <conditionalFormatting sqref="L422:L424">
    <cfRule type="expression" dxfId="79" priority="95" stopIfTrue="1">
      <formula>"esterreur(reference)"</formula>
    </cfRule>
  </conditionalFormatting>
  <conditionalFormatting sqref="L446">
    <cfRule type="expression" dxfId="78" priority="96" stopIfTrue="1">
      <formula>"esterreur(reference)"</formula>
    </cfRule>
  </conditionalFormatting>
  <conditionalFormatting sqref="M95:M97">
    <cfRule type="expression" dxfId="77" priority="97" stopIfTrue="1">
      <formula>"esterreur(reference)"</formula>
    </cfRule>
  </conditionalFormatting>
  <conditionalFormatting sqref="M177:M179">
    <cfRule type="expression" dxfId="76" priority="98" stopIfTrue="1">
      <formula>"esterreur(reference)"</formula>
    </cfRule>
  </conditionalFormatting>
  <conditionalFormatting sqref="N283">
    <cfRule type="expression" dxfId="75" priority="99" stopIfTrue="1">
      <formula>"esterreur(reference)"</formula>
    </cfRule>
  </conditionalFormatting>
  <conditionalFormatting sqref="N394:N404">
    <cfRule type="expression" dxfId="74" priority="100" stopIfTrue="1">
      <formula>"esterreur(reference)"</formula>
    </cfRule>
  </conditionalFormatting>
  <conditionalFormatting sqref="N271:Q271">
    <cfRule type="expression" dxfId="73" priority="101" stopIfTrue="1">
      <formula>"esterreur(reference)"</formula>
    </cfRule>
  </conditionalFormatting>
  <conditionalFormatting sqref="O16 Q16:Q24">
    <cfRule type="expression" dxfId="72" priority="102" stopIfTrue="1">
      <formula>"esterreur(reference)"</formula>
    </cfRule>
  </conditionalFormatting>
  <conditionalFormatting sqref="O109 O110:Q122">
    <cfRule type="expression" dxfId="71" priority="103" stopIfTrue="1">
      <formula>"esterreur(reference)"</formula>
    </cfRule>
  </conditionalFormatting>
  <conditionalFormatting sqref="O182 O183:Q195">
    <cfRule type="expression" dxfId="70" priority="104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69" priority="105" stopIfTrue="1">
      <formula>"esterreur(reference)"</formula>
    </cfRule>
  </conditionalFormatting>
  <conditionalFormatting sqref="O266:O268 O269:P269">
    <cfRule type="expression" dxfId="68" priority="106" stopIfTrue="1">
      <formula>"esterreur(reference)"</formula>
    </cfRule>
  </conditionalFormatting>
  <conditionalFormatting sqref="O317">
    <cfRule type="expression" dxfId="67" priority="107" stopIfTrue="1">
      <formula>"esterreur(reference)"</formula>
    </cfRule>
  </conditionalFormatting>
  <conditionalFormatting sqref="O326 O327:P327">
    <cfRule type="expression" dxfId="66" priority="108" stopIfTrue="1">
      <formula>"esterreur(reference)"</formula>
    </cfRule>
  </conditionalFormatting>
  <conditionalFormatting sqref="O390 O391:P391">
    <cfRule type="expression" dxfId="65" priority="109" stopIfTrue="1">
      <formula>"esterreur(reference)"</formula>
    </cfRule>
  </conditionalFormatting>
  <conditionalFormatting sqref="O439">
    <cfRule type="expression" dxfId="64" priority="110" stopIfTrue="1">
      <formula>"esterreur(reference)"</formula>
    </cfRule>
  </conditionalFormatting>
  <conditionalFormatting sqref="O448 O449:P449">
    <cfRule type="expression" dxfId="63" priority="111" stopIfTrue="1">
      <formula>"esterreur(reference)"</formula>
    </cfRule>
  </conditionalFormatting>
  <conditionalFormatting sqref="O54:P54">
    <cfRule type="expression" dxfId="62" priority="112" stopIfTrue="1">
      <formula>"esterreur(reference)"</formula>
    </cfRule>
  </conditionalFormatting>
  <conditionalFormatting sqref="O72:P72">
    <cfRule type="expression" dxfId="61" priority="113" stopIfTrue="1">
      <formula>"esterreur(reference)"</formula>
    </cfRule>
  </conditionalFormatting>
  <conditionalFormatting sqref="O74:P74">
    <cfRule type="expression" dxfId="60" priority="114" stopIfTrue="1">
      <formula>"esterreur(reference)"</formula>
    </cfRule>
  </conditionalFormatting>
  <conditionalFormatting sqref="O85:P85">
    <cfRule type="expression" dxfId="59" priority="115" stopIfTrue="1">
      <formula>"esterreur(reference)"</formula>
    </cfRule>
  </conditionalFormatting>
  <conditionalFormatting sqref="O123:P133">
    <cfRule type="expression" dxfId="58" priority="116" stopIfTrue="1">
      <formula>"esterreur(reference)"</formula>
    </cfRule>
  </conditionalFormatting>
  <conditionalFormatting sqref="O136:P136">
    <cfRule type="expression" dxfId="57" priority="117" stopIfTrue="1">
      <formula>"esterreur(reference)"</formula>
    </cfRule>
  </conditionalFormatting>
  <conditionalFormatting sqref="O154:P154">
    <cfRule type="expression" dxfId="56" priority="118" stopIfTrue="1">
      <formula>"esterreur(reference)"</formula>
    </cfRule>
  </conditionalFormatting>
  <conditionalFormatting sqref="O156:P158">
    <cfRule type="expression" dxfId="55" priority="119" stopIfTrue="1">
      <formula>"esterreur(reference)"</formula>
    </cfRule>
  </conditionalFormatting>
  <conditionalFormatting sqref="O164:P164">
    <cfRule type="expression" dxfId="54" priority="120" stopIfTrue="1">
      <formula>"esterreur(reference)"</formula>
    </cfRule>
  </conditionalFormatting>
  <conditionalFormatting sqref="O166:P166">
    <cfRule type="expression" dxfId="53" priority="121" stopIfTrue="1">
      <formula>"esterreur(reference)"</formula>
    </cfRule>
  </conditionalFormatting>
  <conditionalFormatting sqref="O196:P206">
    <cfRule type="expression" dxfId="52" priority="122" stopIfTrue="1">
      <formula>"esterreur(reference)"</formula>
    </cfRule>
  </conditionalFormatting>
  <conditionalFormatting sqref="O209:P209">
    <cfRule type="expression" dxfId="51" priority="123" stopIfTrue="1">
      <formula>"esterreur(reference)"</formula>
    </cfRule>
  </conditionalFormatting>
  <conditionalFormatting sqref="O227:P227">
    <cfRule type="expression" dxfId="50" priority="124" stopIfTrue="1">
      <formula>"esterreur(reference)"</formula>
    </cfRule>
  </conditionalFormatting>
  <conditionalFormatting sqref="O229:P231">
    <cfRule type="expression" dxfId="49" priority="125" stopIfTrue="1">
      <formula>"esterreur(reference)"</formula>
    </cfRule>
  </conditionalFormatting>
  <conditionalFormatting sqref="O237:P237">
    <cfRule type="expression" dxfId="48" priority="126" stopIfTrue="1">
      <formula>"esterreur(reference)"</formula>
    </cfRule>
  </conditionalFormatting>
  <conditionalFormatting sqref="O239:P239">
    <cfRule type="expression" dxfId="47" priority="127" stopIfTrue="1">
      <formula>"esterreur(reference)"</formula>
    </cfRule>
  </conditionalFormatting>
  <conditionalFormatting sqref="O276:P303">
    <cfRule type="expression" dxfId="46" priority="128" stopIfTrue="1">
      <formula>"esterreur(reference)"</formula>
    </cfRule>
  </conditionalFormatting>
  <conditionalFormatting sqref="O305:P305">
    <cfRule type="expression" dxfId="45" priority="129" stopIfTrue="1">
      <formula>"esterreur(reference)"</formula>
    </cfRule>
  </conditionalFormatting>
  <conditionalFormatting sqref="O307:P307">
    <cfRule type="expression" dxfId="44" priority="130" stopIfTrue="1">
      <formula>"esterreur(reference)"</formula>
    </cfRule>
  </conditionalFormatting>
  <conditionalFormatting sqref="O330:P342">
    <cfRule type="expression" dxfId="43" priority="131" stopIfTrue="1">
      <formula>"esterreur(reference)"</formula>
    </cfRule>
  </conditionalFormatting>
  <conditionalFormatting sqref="O361:P361">
    <cfRule type="expression" dxfId="42" priority="132" stopIfTrue="1">
      <formula>"esterreur(reference)"</formula>
    </cfRule>
  </conditionalFormatting>
  <conditionalFormatting sqref="O363:P363">
    <cfRule type="expression" dxfId="41" priority="133" stopIfTrue="1">
      <formula>"esterreur(reference)"</formula>
    </cfRule>
  </conditionalFormatting>
  <conditionalFormatting sqref="O365:P365">
    <cfRule type="expression" dxfId="40" priority="134" stopIfTrue="1">
      <formula>"esterreur(reference)"</formula>
    </cfRule>
  </conditionalFormatting>
  <conditionalFormatting sqref="O371:P379 O380:Q382 O383:P384 O385:Q389 O392:Q405 O428:Q428">
    <cfRule type="expression" dxfId="39" priority="135" stopIfTrue="1">
      <formula>"esterreur(reference)"</formula>
    </cfRule>
  </conditionalFormatting>
  <conditionalFormatting sqref="O406:P425">
    <cfRule type="expression" dxfId="38" priority="136" stopIfTrue="1">
      <formula>"esterreur(reference)"</formula>
    </cfRule>
  </conditionalFormatting>
  <conditionalFormatting sqref="O427:P427">
    <cfRule type="expression" dxfId="37" priority="137" stopIfTrue="1">
      <formula>"esterreur(reference)"</formula>
    </cfRule>
  </conditionalFormatting>
  <conditionalFormatting sqref="O429:P429">
    <cfRule type="expression" dxfId="36" priority="138" stopIfTrue="1">
      <formula>"esterreur(reference)"</formula>
    </cfRule>
  </conditionalFormatting>
  <conditionalFormatting sqref="O464:P464">
    <cfRule type="expression" dxfId="35" priority="139" stopIfTrue="1">
      <formula>"esterreur(reference)"</formula>
    </cfRule>
  </conditionalFormatting>
  <conditionalFormatting sqref="O482:P482">
    <cfRule type="expression" dxfId="34" priority="140" stopIfTrue="1">
      <formula>"esterreur(reference)"</formula>
    </cfRule>
  </conditionalFormatting>
  <conditionalFormatting sqref="O484:P484">
    <cfRule type="expression" dxfId="33" priority="141" stopIfTrue="1">
      <formula>"esterreur(reference)"</formula>
    </cfRule>
  </conditionalFormatting>
  <conditionalFormatting sqref="O486:P486">
    <cfRule type="expression" dxfId="32" priority="142" stopIfTrue="1">
      <formula>"esterreur(reference)"</formula>
    </cfRule>
  </conditionalFormatting>
  <conditionalFormatting sqref="O53:Q53 O55:Q71">
    <cfRule type="expression" dxfId="31" priority="143" stopIfTrue="1">
      <formula>"esterreur(reference)"</formula>
    </cfRule>
  </conditionalFormatting>
  <conditionalFormatting sqref="O180:Q181">
    <cfRule type="expression" dxfId="30" priority="144" stopIfTrue="1">
      <formula>"esterreur(reference)"</formula>
    </cfRule>
  </conditionalFormatting>
  <conditionalFormatting sqref="O436:Q436">
    <cfRule type="expression" dxfId="29" priority="145" stopIfTrue="1">
      <formula>"esterreur(reference)"</formula>
    </cfRule>
  </conditionalFormatting>
  <conditionalFormatting sqref="O447:Q447 O450:Q463 O465:Q481">
    <cfRule type="expression" dxfId="28" priority="146" stopIfTrue="1">
      <formula>"esterreur(reference)"</formula>
    </cfRule>
  </conditionalFormatting>
  <conditionalFormatting sqref="O483:Q483 O485:Q485">
    <cfRule type="expression" dxfId="27" priority="147" stopIfTrue="1">
      <formula>"esterreur(reference)"</formula>
    </cfRule>
  </conditionalFormatting>
  <conditionalFormatting sqref="P5:Q5">
    <cfRule type="expression" dxfId="26" priority="148" stopIfTrue="1">
      <formula>"esterreur(reference)"</formula>
    </cfRule>
  </conditionalFormatting>
  <conditionalFormatting sqref="P315:Q315 P317:Q318 O328:Q329 O343:Q360 O364:Q364">
    <cfRule type="expression" dxfId="25" priority="149" stopIfTrue="1">
      <formula>"esterreur(reference)"</formula>
    </cfRule>
  </conditionalFormatting>
  <conditionalFormatting sqref="P321:Q321">
    <cfRule type="expression" dxfId="24" priority="150" stopIfTrue="1">
      <formula>"esterreur(reference)"</formula>
    </cfRule>
  </conditionalFormatting>
  <conditionalFormatting sqref="P437:Q437 Q439 P440:Q440">
    <cfRule type="expression" dxfId="23" priority="151" stopIfTrue="1">
      <formula>"esterreur(reference)"</formula>
    </cfRule>
  </conditionalFormatting>
  <conditionalFormatting sqref="P443:Q443">
    <cfRule type="expression" dxfId="22" priority="152" stopIfTrue="1">
      <formula>"esterreur(reference)"</formula>
    </cfRule>
  </conditionalFormatting>
  <conditionalFormatting sqref="Q6:Q14 O13:O14 O18:O24 O25:Q26 O27 O28:Q30 O31:P36 O37 O38:P52 O83:P83 O84:Q84">
    <cfRule type="expression" dxfId="21" priority="153" stopIfTrue="1">
      <formula>"esterreur(reference)"</formula>
    </cfRule>
  </conditionalFormatting>
  <conditionalFormatting sqref="Q75:Q82">
    <cfRule type="expression" dxfId="20" priority="154" stopIfTrue="1">
      <formula>"esterreur(reference)"</formula>
    </cfRule>
  </conditionalFormatting>
  <conditionalFormatting sqref="Q157:Q163">
    <cfRule type="expression" dxfId="19" priority="155" stopIfTrue="1">
      <formula>"esterreur(reference)"</formula>
    </cfRule>
  </conditionalFormatting>
  <conditionalFormatting sqref="Q230:Q236">
    <cfRule type="expression" dxfId="18" priority="156" stopIfTrue="1">
      <formula>"esterreur(reference)"</formula>
    </cfRule>
  </conditionalFormatting>
  <conditionalFormatting sqref="Q259">
    <cfRule type="expression" dxfId="17" priority="157" stopIfTrue="1">
      <formula>"esterreur(reference)"</formula>
    </cfRule>
  </conditionalFormatting>
  <conditionalFormatting sqref="Q272:Q283">
    <cfRule type="expression" dxfId="16" priority="158" stopIfTrue="1">
      <formula>"esterreur(reference)"</formula>
    </cfRule>
  </conditionalFormatting>
  <conditionalFormatting sqref="Q285:Q302">
    <cfRule type="expression" dxfId="15" priority="159" stopIfTrue="1">
      <formula>"esterreur(reference)"</formula>
    </cfRule>
  </conditionalFormatting>
  <conditionalFormatting sqref="Q324">
    <cfRule type="expression" dxfId="14" priority="160" stopIfTrue="1">
      <formula>"esterreur(reference)"</formula>
    </cfRule>
  </conditionalFormatting>
  <conditionalFormatting sqref="Q330:Q341">
    <cfRule type="expression" dxfId="13" priority="161" stopIfTrue="1">
      <formula>"esterreur(reference)"</formula>
    </cfRule>
  </conditionalFormatting>
  <conditionalFormatting sqref="Q422:Q424">
    <cfRule type="expression" dxfId="12" priority="162" stopIfTrue="1">
      <formula>"esterreur(reference)"</formula>
    </cfRule>
  </conditionalFormatting>
  <conditionalFormatting sqref="Q446">
    <cfRule type="expression" dxfId="11" priority="163" stopIfTrue="1">
      <formula>"esterreur(reference)"</formula>
    </cfRule>
  </conditionalFormatting>
  <conditionalFormatting sqref="R388">
    <cfRule type="expression" dxfId="10" priority="164" stopIfTrue="1">
      <formula>"esterreur(reference)"</formula>
    </cfRule>
  </conditionalFormatting>
  <conditionalFormatting sqref="S260">
    <cfRule type="expression" dxfId="9" priority="165" stopIfTrue="1">
      <formula>"esterreur(reference)"</formula>
    </cfRule>
  </conditionalFormatting>
  <conditionalFormatting sqref="AG496:AI505 AH507:AI519 AH521:AI538 AH540:AI547 AH548:AH549 AH550:AI552 AH554:AI554 AH578:AI584">
    <cfRule type="cellIs" dxfId="8" priority="166" operator="greaterThan">
      <formula>0</formula>
    </cfRule>
  </conditionalFormatting>
  <conditionalFormatting sqref="AH556:AI563 AH567:AI567">
    <cfRule type="cellIs" dxfId="7" priority="167" operator="lessThan">
      <formula>0</formula>
    </cfRule>
  </conditionalFormatting>
  <conditionalFormatting sqref="AH564:AI566">
    <cfRule type="cellIs" dxfId="6" priority="168" operator="greaterThan">
      <formula>0</formula>
    </cfRule>
  </conditionalFormatting>
  <conditionalFormatting sqref="AO496:AO505">
    <cfRule type="cellIs" dxfId="5" priority="169" operator="greaterThan">
      <formula>0</formula>
    </cfRule>
  </conditionalFormatting>
  <printOptions horizontalCentered="1"/>
  <pageMargins left="0.25" right="0.25" top="0.75" bottom="0.75" header="0.3" footer="0.3"/>
  <pageSetup scale="41" fitToHeight="0" orientation="landscape" r:id="rId1"/>
  <rowBreaks count="6" manualBreakCount="6">
    <brk id="86" min="2" max="19" man="1"/>
    <brk id="166" max="16383" man="1"/>
    <brk id="234" max="16383" man="1"/>
    <brk id="290" min="2" max="19" man="1"/>
    <brk id="354" max="16383" man="1"/>
    <brk id="499" max="16383" man="1"/>
  </rowBreaks>
  <colBreaks count="2" manualBreakCount="2">
    <brk id="2" max="1048575" man="1"/>
    <brk id="21" max="696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8"/>
  <dimension ref="A1"/>
  <sheetViews>
    <sheetView workbookViewId="0">
      <selection sqref="A1:XFD1048576"/>
    </sheetView>
  </sheetViews>
  <sheetFormatPr baseColWidth="10"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2</vt:i4>
      </vt:variant>
    </vt:vector>
  </HeadingPairs>
  <TitlesOfParts>
    <vt:vector size="9" baseType="lpstr">
      <vt:lpstr>Paramètre</vt:lpstr>
      <vt:lpstr>Conso</vt:lpstr>
      <vt:lpstr>START</vt:lpstr>
      <vt:lpstr>Mois 1</vt:lpstr>
      <vt:lpstr>Mois 2</vt:lpstr>
      <vt:lpstr>Mois 3</vt:lpstr>
      <vt:lpstr>END</vt:lpstr>
      <vt:lpstr>Conso!Zone_d_impression</vt:lpstr>
      <vt:lpstr>'Mois 3'!Zone_d_impression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2026-06-17T02:50:14Z</cp:lastPrinted>
  <dcterms:created xsi:type="dcterms:W3CDTF">2021-02-12T03:12:48Z</dcterms:created>
  <dcterms:modified xsi:type="dcterms:W3CDTF">2026-10-20T01:21:40Z</dcterms:modified>
</cp:coreProperties>
</file>