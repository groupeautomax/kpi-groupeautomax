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Shared drives\Volkswagen PA - Contrôleurs\1- Dossier de fin de mois\b) Fichier d'écritures avec pièces justificatives\2025\FM Volks 2025-01\"/>
    </mc:Choice>
  </mc:AlternateContent>
  <xr:revisionPtr revIDLastSave="0" documentId="13_ncr:1_{1B3A3400-968A-4E46-9156-040F6869D80B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Sommaire" sheetId="3" state="hidden" r:id="rId1"/>
    <sheet name="Neuf" sheetId="1" r:id="rId2"/>
    <sheet name="Usages" sheetId="2" r:id="rId3"/>
    <sheet name="Unite budgete" sheetId="4" r:id="rId4"/>
  </sheets>
  <definedNames>
    <definedName name="_xlnm._FilterDatabase" localSheetId="1" hidden="1">Neuf!$A$1:$G$102</definedName>
    <definedName name="_xlnm._FilterDatabase" localSheetId="2" hidden="1">Usages!$A$1:$G$39</definedName>
  </definedNames>
  <calcPr calcId="191029"/>
  <pivotCaches>
    <pivotCache cacheId="2" r:id="rId5"/>
    <pivotCache cacheId="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  <c r="G34" i="2"/>
  <c r="G13" i="2"/>
  <c r="G2" i="2"/>
  <c r="G30" i="2"/>
  <c r="G33" i="2"/>
  <c r="G29" i="2"/>
  <c r="G40" i="2"/>
  <c r="G7" i="2"/>
  <c r="G15" i="2"/>
  <c r="G16" i="2"/>
  <c r="G5" i="2"/>
  <c r="G39" i="2"/>
  <c r="G27" i="2"/>
  <c r="G20" i="2"/>
  <c r="G38" i="2"/>
  <c r="G24" i="2"/>
  <c r="G18" i="2"/>
  <c r="G17" i="2"/>
  <c r="G26" i="2"/>
  <c r="G28" i="2"/>
  <c r="G22" i="2"/>
  <c r="G32" i="2"/>
  <c r="G37" i="2"/>
  <c r="G23" i="2"/>
  <c r="G11" i="2"/>
  <c r="G31" i="2"/>
  <c r="G21" i="2"/>
  <c r="G36" i="2"/>
  <c r="G25" i="2"/>
  <c r="G10" i="2"/>
  <c r="G8" i="2"/>
  <c r="G3" i="2"/>
  <c r="G12" i="2"/>
  <c r="G14" i="2"/>
  <c r="G4" i="2"/>
  <c r="G19" i="2"/>
  <c r="G35" i="2"/>
  <c r="G21" i="1"/>
  <c r="G85" i="1"/>
  <c r="G17" i="1"/>
  <c r="G70" i="1"/>
  <c r="G20" i="1"/>
  <c r="G67" i="1"/>
  <c r="G11" i="1"/>
  <c r="G31" i="1"/>
  <c r="G49" i="1"/>
  <c r="G72" i="1"/>
  <c r="G22" i="1"/>
  <c r="G26" i="1"/>
  <c r="G9" i="2"/>
  <c r="G63" i="1" l="1"/>
  <c r="G92" i="1"/>
  <c r="G98" i="1"/>
  <c r="G39" i="1"/>
  <c r="G65" i="1"/>
  <c r="G4" i="1"/>
  <c r="G68" i="1"/>
  <c r="G10" i="1"/>
  <c r="G58" i="1"/>
  <c r="G61" i="1"/>
  <c r="G14" i="1"/>
  <c r="G24" i="1"/>
  <c r="G55" i="1"/>
  <c r="G62" i="1"/>
  <c r="G101" i="1"/>
  <c r="G53" i="1"/>
  <c r="G45" i="1"/>
  <c r="G87" i="1"/>
  <c r="G33" i="1"/>
  <c r="G43" i="1"/>
  <c r="G89" i="1"/>
  <c r="G34" i="1"/>
  <c r="G25" i="1"/>
  <c r="G99" i="1"/>
  <c r="G8" i="1"/>
  <c r="G28" i="1"/>
  <c r="G73" i="1"/>
  <c r="G96" i="1"/>
  <c r="G15" i="1"/>
  <c r="G77" i="1"/>
  <c r="G32" i="1"/>
  <c r="G40" i="1"/>
  <c r="G71" i="1"/>
  <c r="G59" i="1"/>
  <c r="G75" i="1"/>
  <c r="G94" i="1"/>
  <c r="G48" i="1"/>
  <c r="G41" i="1"/>
  <c r="G64" i="1"/>
  <c r="G18" i="1"/>
  <c r="G44" i="1"/>
  <c r="G9" i="1"/>
  <c r="G74" i="1"/>
  <c r="G95" i="1"/>
  <c r="G102" i="1"/>
  <c r="G13" i="1"/>
  <c r="G16" i="1"/>
  <c r="G5" i="1"/>
  <c r="G90" i="1"/>
  <c r="G27" i="1"/>
  <c r="G81" i="1"/>
  <c r="G7" i="1"/>
  <c r="G97" i="1"/>
  <c r="G82" i="1"/>
  <c r="G57" i="1"/>
  <c r="G29" i="1"/>
  <c r="G12" i="1"/>
  <c r="G47" i="1"/>
  <c r="G19" i="1"/>
  <c r="G66" i="1"/>
  <c r="G36" i="1"/>
  <c r="G6" i="1"/>
  <c r="G93" i="1"/>
  <c r="G30" i="1"/>
  <c r="G46" i="1"/>
  <c r="G50" i="1"/>
  <c r="G38" i="1"/>
  <c r="G100" i="1"/>
  <c r="G69" i="1"/>
  <c r="G3" i="1"/>
  <c r="G37" i="1"/>
  <c r="G91" i="1"/>
  <c r="G2" i="1"/>
  <c r="G54" i="1"/>
  <c r="G56" i="1"/>
  <c r="G78" i="1"/>
  <c r="G79" i="1"/>
  <c r="G80" i="1"/>
  <c r="G88" i="1"/>
  <c r="G23" i="1"/>
  <c r="G84" i="1"/>
  <c r="G42" i="1"/>
  <c r="G60" i="1"/>
  <c r="G86" i="1"/>
  <c r="G76" i="1"/>
  <c r="G51" i="1"/>
  <c r="G35" i="1"/>
  <c r="G83" i="1"/>
  <c r="G52" i="1"/>
  <c r="E34" i="3" l="1"/>
  <c r="E36" i="3" s="1"/>
  <c r="C34" i="3"/>
  <c r="E15" i="3"/>
  <c r="C15" i="3"/>
  <c r="E17" i="3" l="1"/>
  <c r="N10" i="2" l="1"/>
  <c r="O10" i="2" s="1"/>
  <c r="M10" i="2"/>
  <c r="P10" i="2" s="1"/>
  <c r="K10" i="2"/>
  <c r="J10" i="2"/>
  <c r="N9" i="2"/>
  <c r="O9" i="2" s="1"/>
  <c r="M9" i="2"/>
  <c r="P9" i="2" s="1"/>
  <c r="K9" i="2"/>
  <c r="J9" i="2"/>
  <c r="N8" i="2"/>
  <c r="O8" i="2" s="1"/>
  <c r="M8" i="2"/>
  <c r="K8" i="2"/>
  <c r="J8" i="2"/>
  <c r="P8" i="2" s="1"/>
  <c r="N7" i="2"/>
  <c r="O7" i="2" s="1"/>
  <c r="M7" i="2"/>
  <c r="K7" i="2"/>
  <c r="J7" i="2"/>
  <c r="M10" i="1"/>
  <c r="P10" i="1" s="1"/>
  <c r="M9" i="1"/>
  <c r="P9" i="1" s="1"/>
  <c r="M8" i="1"/>
  <c r="M7" i="1"/>
  <c r="N10" i="1"/>
  <c r="O10" i="1" s="1"/>
  <c r="J10" i="1"/>
  <c r="K10" i="1"/>
  <c r="N9" i="1"/>
  <c r="O9" i="1" s="1"/>
  <c r="N8" i="1"/>
  <c r="O8" i="1" s="1"/>
  <c r="N7" i="1"/>
  <c r="O7" i="1" s="1"/>
  <c r="J3" i="2"/>
  <c r="K2" i="2"/>
  <c r="J2" i="2"/>
  <c r="K9" i="1"/>
  <c r="K8" i="1"/>
  <c r="K7" i="1"/>
  <c r="J9" i="1"/>
  <c r="J8" i="1"/>
  <c r="J7" i="1"/>
  <c r="J3" i="1"/>
  <c r="K2" i="1"/>
  <c r="J2" i="1"/>
  <c r="P7" i="1" l="1"/>
  <c r="P8" i="1"/>
  <c r="E30" i="3"/>
  <c r="C27" i="3"/>
  <c r="E29" i="3"/>
  <c r="C26" i="3"/>
  <c r="E28" i="3"/>
  <c r="C25" i="3"/>
  <c r="E27" i="3"/>
  <c r="C24" i="3"/>
  <c r="E26" i="3"/>
  <c r="E25" i="3"/>
  <c r="E24" i="3"/>
  <c r="C30" i="3"/>
  <c r="C29" i="3"/>
  <c r="C28" i="3"/>
  <c r="C5" i="3"/>
  <c r="E8" i="3"/>
  <c r="C7" i="3"/>
  <c r="C6" i="3"/>
  <c r="E10" i="3"/>
  <c r="E9" i="3"/>
  <c r="E11" i="3"/>
  <c r="C8" i="3"/>
  <c r="C9" i="3"/>
  <c r="C10" i="3"/>
  <c r="C11" i="3"/>
  <c r="E5" i="3"/>
  <c r="E6" i="3"/>
  <c r="E7" i="3"/>
  <c r="K3" i="2"/>
  <c r="P7" i="2"/>
  <c r="K3" i="1"/>
  <c r="E31" i="3" l="1"/>
  <c r="F26" i="3" s="1"/>
  <c r="C31" i="3"/>
  <c r="D26" i="3" s="1"/>
  <c r="E12" i="3"/>
  <c r="C12" i="3"/>
  <c r="F25" i="3" l="1"/>
  <c r="F24" i="3"/>
  <c r="F28" i="3"/>
  <c r="F30" i="3"/>
  <c r="F27" i="3"/>
  <c r="D34" i="3"/>
  <c r="C35" i="3"/>
  <c r="D25" i="3"/>
  <c r="D24" i="3"/>
  <c r="D29" i="3"/>
  <c r="E32" i="3"/>
  <c r="E35" i="3"/>
  <c r="F34" i="3"/>
  <c r="F31" i="3"/>
  <c r="D27" i="3"/>
  <c r="D28" i="3"/>
  <c r="F29" i="3"/>
  <c r="D30" i="3"/>
  <c r="C16" i="3"/>
  <c r="D15" i="3"/>
  <c r="F11" i="3"/>
  <c r="F15" i="3"/>
  <c r="E16" i="3"/>
  <c r="F10" i="3"/>
  <c r="F9" i="3"/>
  <c r="D7" i="3"/>
  <c r="D5" i="3"/>
  <c r="D6" i="3"/>
  <c r="D8" i="3"/>
  <c r="D9" i="3"/>
  <c r="D10" i="3"/>
  <c r="D11" i="3"/>
  <c r="E13" i="3"/>
  <c r="F8" i="3"/>
  <c r="F5" i="3"/>
  <c r="F6" i="3"/>
  <c r="F7" i="3"/>
  <c r="D31" i="3" l="1"/>
  <c r="F12" i="3"/>
  <c r="D12" i="3"/>
</calcChain>
</file>

<file path=xl/sharedStrings.xml><?xml version="1.0" encoding="utf-8"?>
<sst xmlns="http://schemas.openxmlformats.org/spreadsheetml/2006/main" count="550" uniqueCount="383">
  <si>
    <t>#Contrôle</t>
  </si>
  <si>
    <t>Description</t>
  </si>
  <si>
    <t>1402</t>
  </si>
  <si>
    <t>2101</t>
  </si>
  <si>
    <t>NIV</t>
  </si>
  <si>
    <t>Jours en stock</t>
  </si>
  <si>
    <t>24 VOLKSWAGEN GOLF GTI</t>
  </si>
  <si>
    <t>24 VOLKSWAGEN TIGUAN</t>
  </si>
  <si>
    <t>24 VOLKSWAGEN JETTA SEDAN</t>
  </si>
  <si>
    <t>24 VOLKSWAGEN GOLF R</t>
  </si>
  <si>
    <t>24 VOLKSWAGEN ATLAS CROSS SPT</t>
  </si>
  <si>
    <t>24 VOLKSWAGEN TAOS</t>
  </si>
  <si>
    <t>24 VOLKSWAGEN JETTA GLI</t>
  </si>
  <si>
    <t>24 VOLKSWAGEN ATLAS</t>
  </si>
  <si>
    <t>23 VOLKSWAGEN TAOS</t>
  </si>
  <si>
    <t>240070</t>
  </si>
  <si>
    <t>1V2BE2CA9RC212335</t>
  </si>
  <si>
    <t>230639</t>
  </si>
  <si>
    <t>3VVEX7B23PM379190</t>
  </si>
  <si>
    <t>23 VOLKSWAGEN JETTA SEDAN</t>
  </si>
  <si>
    <t>1416</t>
  </si>
  <si>
    <t>2103</t>
  </si>
  <si>
    <t>5407P</t>
  </si>
  <si>
    <t>19 GMC SAVANA CARGO VA</t>
  </si>
  <si>
    <t>1GTW7BFP1K1340423</t>
  </si>
  <si>
    <t>5291P</t>
  </si>
  <si>
    <t>20 VOLKSWAGEN E-GOLF</t>
  </si>
  <si>
    <t>WVWPR7AU2LW903993</t>
  </si>
  <si>
    <t>20 VOLKSWAGEN TIGUAN</t>
  </si>
  <si>
    <t>21 VOLKSWAGEN TIGUAN</t>
  </si>
  <si>
    <t>20 JEEP COMPASS</t>
  </si>
  <si>
    <t>19 VOLKSWAGEN TIGUAN</t>
  </si>
  <si>
    <t>20 VOLKSWAGEN JETTA</t>
  </si>
  <si>
    <t>17 AUDI A3 E-TRON</t>
  </si>
  <si>
    <t>18 CHEVROLET VOLT</t>
  </si>
  <si>
    <t>5488P</t>
  </si>
  <si>
    <t>10 VOLKSWAGEN ROUTAN</t>
  </si>
  <si>
    <t>2V4RW3DX0AR228009</t>
  </si>
  <si>
    <t>5188P</t>
  </si>
  <si>
    <t>11 VOLKSWAGEN JETTA SEDAN</t>
  </si>
  <si>
    <t>3VWLL7AJ3BM097101</t>
  </si>
  <si>
    <t>$ Inventaire</t>
  </si>
  <si>
    <t>$ Financé</t>
  </si>
  <si>
    <t>CTRL</t>
  </si>
  <si>
    <t># unités</t>
  </si>
  <si>
    <t>Plus de 365 jrs</t>
  </si>
  <si>
    <t>Entre 180 et 364 jours</t>
  </si>
  <si>
    <t>Entre 90 et 179 jours</t>
  </si>
  <si>
    <t>24 VOLKSWAGEN ID.4</t>
  </si>
  <si>
    <t>Entre 0 et 89 jours</t>
  </si>
  <si>
    <t>Financé</t>
  </si>
  <si>
    <t>Interet / mois</t>
  </si>
  <si>
    <t>Interet / auto</t>
  </si>
  <si>
    <t>Classement</t>
  </si>
  <si>
    <t>Unite</t>
  </si>
  <si>
    <t>% unite</t>
  </si>
  <si>
    <t>Montant</t>
  </si>
  <si>
    <t>% Montant</t>
  </si>
  <si>
    <t>301 &amp; +</t>
  </si>
  <si>
    <t>181-300</t>
  </si>
  <si>
    <t>121-180</t>
  </si>
  <si>
    <t>91-120</t>
  </si>
  <si>
    <t>61-90</t>
  </si>
  <si>
    <t>31-60</t>
  </si>
  <si>
    <t>0-30</t>
  </si>
  <si>
    <t>Total</t>
  </si>
  <si>
    <t>Valeur moyenne reel</t>
  </si>
  <si>
    <t>Budget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</si>
  <si>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</si>
  <si>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</si>
  <si>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</si>
  <si>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</si>
  <si>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</si>
  <si>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</si>
  <si>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</si>
  <si>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</si>
  <si>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</si>
  <si>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</si>
  <si>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</si>
  <si>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</si>
  <si>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Neuf</t>
  </si>
  <si>
    <t>Row Labels</t>
  </si>
  <si>
    <t>Grand Total</t>
  </si>
  <si>
    <t>Sum of 1402</t>
  </si>
  <si>
    <t>Count of NIV</t>
  </si>
  <si>
    <t>Ecart</t>
  </si>
  <si>
    <t>Valeur moyenne budgete</t>
  </si>
  <si>
    <t>Vehicules neuf</t>
  </si>
  <si>
    <t>Vehicules usages</t>
  </si>
  <si>
    <t>Sum of 1416</t>
  </si>
  <si>
    <t>Homme de cours</t>
  </si>
  <si>
    <t>Count of Classement</t>
  </si>
  <si>
    <t>240475</t>
  </si>
  <si>
    <t>1V2BE2CA8RC234066</t>
  </si>
  <si>
    <t>240494</t>
  </si>
  <si>
    <t>3VWGM7BU6RM052560</t>
  </si>
  <si>
    <t>21 VOLKSWAGEN ATLAS</t>
  </si>
  <si>
    <t>240506</t>
  </si>
  <si>
    <t>3VWGM7BU1RM051705</t>
  </si>
  <si>
    <t>240522</t>
  </si>
  <si>
    <t>1V2BE2CA0RC236135</t>
  </si>
  <si>
    <t>240576</t>
  </si>
  <si>
    <t>3VWSM7BU4RM044399</t>
  </si>
  <si>
    <t>240641</t>
  </si>
  <si>
    <t>1V2WSPE88RC008661</t>
  </si>
  <si>
    <t>240711</t>
  </si>
  <si>
    <t>1V27SPE80RC011610</t>
  </si>
  <si>
    <t>240714</t>
  </si>
  <si>
    <t>1V2BE2CA3RC244875</t>
  </si>
  <si>
    <t>240706</t>
  </si>
  <si>
    <t>3VV4X7B23RM081155</t>
  </si>
  <si>
    <t>240710</t>
  </si>
  <si>
    <t>3VWGM7BU2RM082395</t>
  </si>
  <si>
    <t>240729</t>
  </si>
  <si>
    <t>1V2WSPE82RC013757</t>
  </si>
  <si>
    <t>240757</t>
  </si>
  <si>
    <t>1V2WSPE80RC014101</t>
  </si>
  <si>
    <t>240762</t>
  </si>
  <si>
    <t>1V2WSPE88RC013357</t>
  </si>
  <si>
    <t>240786</t>
  </si>
  <si>
    <t>1V2WSPE81RC015063</t>
  </si>
  <si>
    <t>240793</t>
  </si>
  <si>
    <t>1V2WSPE83RC015517</t>
  </si>
  <si>
    <t>240728</t>
  </si>
  <si>
    <t>1V27SPE81RC013009</t>
  </si>
  <si>
    <t>240791</t>
  </si>
  <si>
    <t>1V2CR2CA5RC594288</t>
  </si>
  <si>
    <t>240723</t>
  </si>
  <si>
    <t>3VW9T7BU0RM081421</t>
  </si>
  <si>
    <t>240724</t>
  </si>
  <si>
    <t>3VW9T7BU9RM081465</t>
  </si>
  <si>
    <t>240876</t>
  </si>
  <si>
    <t>1V2WSPE88RC017845</t>
  </si>
  <si>
    <t>240809</t>
  </si>
  <si>
    <t>1V2WSPE85RC015499</t>
  </si>
  <si>
    <t>240817</t>
  </si>
  <si>
    <t>1V2WSPE86RC015818</t>
  </si>
  <si>
    <t>240883</t>
  </si>
  <si>
    <t>WVWDB7CD9RW221299</t>
  </si>
  <si>
    <t>240895</t>
  </si>
  <si>
    <t>240921</t>
  </si>
  <si>
    <t>240943</t>
  </si>
  <si>
    <t>240912</t>
  </si>
  <si>
    <t>240900</t>
  </si>
  <si>
    <t>240934</t>
  </si>
  <si>
    <t>1V29SPE88RC017888</t>
  </si>
  <si>
    <t>1V29SPE82RC018504</t>
  </si>
  <si>
    <t>1V2WSPE89RC019281</t>
  </si>
  <si>
    <t>1V2WSPE86RC018489</t>
  </si>
  <si>
    <t>1V2WSPE80RC018150</t>
  </si>
  <si>
    <t>1V2WSPE8XRC019922</t>
  </si>
  <si>
    <t>240985</t>
  </si>
  <si>
    <t>1V29SPE81RC022365</t>
  </si>
  <si>
    <t>240986</t>
  </si>
  <si>
    <t>1V29SPE80RC022051</t>
  </si>
  <si>
    <t>240999</t>
  </si>
  <si>
    <t>1V2WSPE87RC007226</t>
  </si>
  <si>
    <t>240983</t>
  </si>
  <si>
    <t>1V27SPE82RC022012</t>
  </si>
  <si>
    <t>250011</t>
  </si>
  <si>
    <t>25 VOLKSWAGEN JETTA SEDAN</t>
  </si>
  <si>
    <t>3VWGX7BU6SM012055</t>
  </si>
  <si>
    <t>250008</t>
  </si>
  <si>
    <t>3VWSX7BU7SM009644</t>
  </si>
  <si>
    <t>250002</t>
  </si>
  <si>
    <t>3VWSX7BU7SM005402</t>
  </si>
  <si>
    <t>25 VOLKSWAGEN ATLAS</t>
  </si>
  <si>
    <t>250039</t>
  </si>
  <si>
    <t>1V2FR2CA6SC507503</t>
  </si>
  <si>
    <t>250037</t>
  </si>
  <si>
    <t>1V2CR2CAXSC500699</t>
  </si>
  <si>
    <t>250036</t>
  </si>
  <si>
    <t>1V2CR2CA2SC500714</t>
  </si>
  <si>
    <t>241050</t>
  </si>
  <si>
    <t>3VV4B7AX8RM146707</t>
  </si>
  <si>
    <t>241051</t>
  </si>
  <si>
    <t>3VV4B7AXXRM194533</t>
  </si>
  <si>
    <t>241057</t>
  </si>
  <si>
    <t>WVWWA7CD7RW229235</t>
  </si>
  <si>
    <t>241065</t>
  </si>
  <si>
    <t>WVWWA7CD2RW230258</t>
  </si>
  <si>
    <t>241063</t>
  </si>
  <si>
    <t>WVWWA7CD6RW231493</t>
  </si>
  <si>
    <t>241062</t>
  </si>
  <si>
    <t>WVWWA7CD3RW231211</t>
  </si>
  <si>
    <t>241021</t>
  </si>
  <si>
    <t>WVWSA7CD4RW228428</t>
  </si>
  <si>
    <t>25 VOLKSWAGEN JETTA GLI</t>
  </si>
  <si>
    <t>250031</t>
  </si>
  <si>
    <t>3VW1T7BU0SM016765</t>
  </si>
  <si>
    <t>250029</t>
  </si>
  <si>
    <t>3VWSX7BU2SM014654</t>
  </si>
  <si>
    <t>250027</t>
  </si>
  <si>
    <t>3VWEX7BU2SM018894</t>
  </si>
  <si>
    <t>250022</t>
  </si>
  <si>
    <t>3VWEX7BU6SM018753</t>
  </si>
  <si>
    <t>19 VOLKSWAGEN ATLAS</t>
  </si>
  <si>
    <t>18 VOLKSWAGEN TIGUAN</t>
  </si>
  <si>
    <t>16 VOLKSWAGEN JETTA SEDAN</t>
  </si>
  <si>
    <t>250048</t>
  </si>
  <si>
    <t>25 VOLKSWAGEN ATLAS CROSS SPT</t>
  </si>
  <si>
    <t>1V2KE2CA4SC203919</t>
  </si>
  <si>
    <t>241067</t>
  </si>
  <si>
    <t>WVWWA7CD2RW230261</t>
  </si>
  <si>
    <t>250047</t>
  </si>
  <si>
    <t>3VWSX7BU9SM024680</t>
  </si>
  <si>
    <t>241074</t>
  </si>
  <si>
    <t>WVWDB7CD7RW232091</t>
  </si>
  <si>
    <t>241080</t>
  </si>
  <si>
    <t>WVWDB7CD2RW231740</t>
  </si>
  <si>
    <t>250051</t>
  </si>
  <si>
    <t>3VW2T7BU3SM027005</t>
  </si>
  <si>
    <t>250050</t>
  </si>
  <si>
    <t>3VW2T7BU7SM027363</t>
  </si>
  <si>
    <t>250054</t>
  </si>
  <si>
    <t>3VW2T7BU3SM027988</t>
  </si>
  <si>
    <t>241088</t>
  </si>
  <si>
    <t>3VVMB7AX9RM217283</t>
  </si>
  <si>
    <t>241100</t>
  </si>
  <si>
    <t>3VVMB7AX9RM221690</t>
  </si>
  <si>
    <t>241104</t>
  </si>
  <si>
    <t>WVWSA7CD2RW232381</t>
  </si>
  <si>
    <t>250063</t>
  </si>
  <si>
    <t>3VW1T7BU9SM033998</t>
  </si>
  <si>
    <t>19 VOLKSWAGEN JETTA</t>
  </si>
  <si>
    <t>5693P</t>
  </si>
  <si>
    <t>17 AUDI A3</t>
  </si>
  <si>
    <t>WAUB8GFF8H1078356</t>
  </si>
  <si>
    <t>250071</t>
  </si>
  <si>
    <t>25 VOLKSWAGEN ID.BUZZ</t>
  </si>
  <si>
    <t>WVG6YVEB3SH008751</t>
  </si>
  <si>
    <t>250065</t>
  </si>
  <si>
    <t>1V2FE2CA4SC207664</t>
  </si>
  <si>
    <t>241111</t>
  </si>
  <si>
    <t>WVWFB7CD1RW232533</t>
  </si>
  <si>
    <t>241121</t>
  </si>
  <si>
    <t>WVWFB7CD9RW229380</t>
  </si>
  <si>
    <t>241114</t>
  </si>
  <si>
    <t>WVWFB7CD2RW232816</t>
  </si>
  <si>
    <t>241109</t>
  </si>
  <si>
    <t>WVWFB7CDXRW232725</t>
  </si>
  <si>
    <t>241123</t>
  </si>
  <si>
    <t>WVWCB7CD0RW221414</t>
  </si>
  <si>
    <t>241119</t>
  </si>
  <si>
    <t>3VV8B7AX3RM233710</t>
  </si>
  <si>
    <t>241118</t>
  </si>
  <si>
    <t>3VV8B7AX6RM229120</t>
  </si>
  <si>
    <t>241120</t>
  </si>
  <si>
    <t>3VV4X7B25RM089712</t>
  </si>
  <si>
    <t>241115</t>
  </si>
  <si>
    <t>WVWWA7CD5RW233221</t>
  </si>
  <si>
    <t>250068</t>
  </si>
  <si>
    <t>3VW2T7BU9SM033598</t>
  </si>
  <si>
    <t>5700P</t>
  </si>
  <si>
    <t>1V2FR2CA6RC622211</t>
  </si>
  <si>
    <t>5708P</t>
  </si>
  <si>
    <t>3VW2T7BU9RM062240</t>
  </si>
  <si>
    <t>241116A</t>
  </si>
  <si>
    <t>23 HYUNDAI TUCSON HYBRID</t>
  </si>
  <si>
    <t>KM8JCCA12PU097253</t>
  </si>
  <si>
    <t>5697P</t>
  </si>
  <si>
    <t>22 VOLKSWAGEN GOLF GTI</t>
  </si>
  <si>
    <t>WVW587CD3NW124581</t>
  </si>
  <si>
    <t>241105A</t>
  </si>
  <si>
    <t>3VVNX7B20PM323160</t>
  </si>
  <si>
    <t>22 VOLKSWAGEN TIGUAN</t>
  </si>
  <si>
    <t>240978A</t>
  </si>
  <si>
    <t>19 VOLKSWAGEN E-GOLF</t>
  </si>
  <si>
    <t>WVWPR7AU6KW904224</t>
  </si>
  <si>
    <t>240979A</t>
  </si>
  <si>
    <t>16 VOLKSWAGEN GOLF SPORTWAGON</t>
  </si>
  <si>
    <t>3VWA17AU9GM507916</t>
  </si>
  <si>
    <t>250075</t>
  </si>
  <si>
    <t>WVG6YVEB0SH014975</t>
  </si>
  <si>
    <t>241143</t>
  </si>
  <si>
    <t>1V29SPE88RC023593</t>
  </si>
  <si>
    <t>241139</t>
  </si>
  <si>
    <t>1V29SPE85RC023857</t>
  </si>
  <si>
    <t>241137</t>
  </si>
  <si>
    <t>1V29SPE81RC023242</t>
  </si>
  <si>
    <t>241131</t>
  </si>
  <si>
    <t>1V29SPE80RC023409</t>
  </si>
  <si>
    <t>241142</t>
  </si>
  <si>
    <t>1V29SPE83RC023338</t>
  </si>
  <si>
    <t>241129</t>
  </si>
  <si>
    <t>1V29SPE87RC022483</t>
  </si>
  <si>
    <t>241138</t>
  </si>
  <si>
    <t>1V29SPE85RC024037</t>
  </si>
  <si>
    <t>241134</t>
  </si>
  <si>
    <t>1V29SPE88RC023173</t>
  </si>
  <si>
    <t>250091</t>
  </si>
  <si>
    <t>1V2FR2CA2SC524752</t>
  </si>
  <si>
    <t>250092</t>
  </si>
  <si>
    <t>1V2FE2CA2SC211020</t>
  </si>
  <si>
    <t>250100</t>
  </si>
  <si>
    <t>1V2BE2CA4SC209767</t>
  </si>
  <si>
    <t>241126</t>
  </si>
  <si>
    <t>3VV8B7AX8RM130315</t>
  </si>
  <si>
    <t>241128</t>
  </si>
  <si>
    <t>WVWWA7CD4RW233274</t>
  </si>
  <si>
    <t>250088</t>
  </si>
  <si>
    <t>25 VOLKSWAGEN TAOS</t>
  </si>
  <si>
    <t>3VV8C7B2XSM008268</t>
  </si>
  <si>
    <t>250089</t>
  </si>
  <si>
    <t>3VV8C7B2XSM016497</t>
  </si>
  <si>
    <t>250083</t>
  </si>
  <si>
    <t>3VWSX7BUXSM033517</t>
  </si>
  <si>
    <t>250084</t>
  </si>
  <si>
    <t>3VWSX7BU3SM044651</t>
  </si>
  <si>
    <t>250076</t>
  </si>
  <si>
    <t>3VWEX7BU9SM044232</t>
  </si>
  <si>
    <t>250090</t>
  </si>
  <si>
    <t>3VWEX7BU9SM047647</t>
  </si>
  <si>
    <t>250097</t>
  </si>
  <si>
    <t>3VWCX7BU5SM045949</t>
  </si>
  <si>
    <t>250096</t>
  </si>
  <si>
    <t>3VWCX7BU8SM045038</t>
  </si>
  <si>
    <t>250087</t>
  </si>
  <si>
    <t>3VWCX7BU3SM045092</t>
  </si>
  <si>
    <t>250086</t>
  </si>
  <si>
    <t>3VWCX7BU1SM045480</t>
  </si>
  <si>
    <t>250077</t>
  </si>
  <si>
    <t>3VWCX7BU2SM041535</t>
  </si>
  <si>
    <t>240995A</t>
  </si>
  <si>
    <t>3VV4B7AX7RM134256</t>
  </si>
  <si>
    <t>5713P</t>
  </si>
  <si>
    <t>22 VOLKSWAGEN GOLF R</t>
  </si>
  <si>
    <t>WVWFB7CD6NW168452</t>
  </si>
  <si>
    <t>5716P</t>
  </si>
  <si>
    <t>3VV4B7AX9NM104069</t>
  </si>
  <si>
    <t>241122A</t>
  </si>
  <si>
    <t>3VV4B7AX7NM018808</t>
  </si>
  <si>
    <t>241124A</t>
  </si>
  <si>
    <t>3VV4B7AX5MM085714</t>
  </si>
  <si>
    <t>250055A</t>
  </si>
  <si>
    <t>21 VOLKSWAGEN GOLF GTI</t>
  </si>
  <si>
    <t>3VW6T7AU1MM014503</t>
  </si>
  <si>
    <t>5707P</t>
  </si>
  <si>
    <t>1V2RR2CA9KC592169</t>
  </si>
  <si>
    <t>240991A</t>
  </si>
  <si>
    <t>3VV4B7AX0MM118795</t>
  </si>
  <si>
    <t>250099A</t>
  </si>
  <si>
    <t>3VW6T7AU1MM012122</t>
  </si>
  <si>
    <t>241113A</t>
  </si>
  <si>
    <t>23 VOLKSWAGEN JETTA</t>
  </si>
  <si>
    <t>3VWNM7BU2PM021715</t>
  </si>
  <si>
    <t>5715P</t>
  </si>
  <si>
    <t>3VV4B7AX9LM079431</t>
  </si>
  <si>
    <t>240982A</t>
  </si>
  <si>
    <t>1V2TR2CA6MC542578</t>
  </si>
  <si>
    <t>241087A</t>
  </si>
  <si>
    <t>3VV0B7AX2NM030881</t>
  </si>
  <si>
    <t>5712P</t>
  </si>
  <si>
    <t>3VV2B7AX4KM193293</t>
  </si>
  <si>
    <t>240577A</t>
  </si>
  <si>
    <t>3VV4B7AX1MM154947</t>
  </si>
  <si>
    <t>250074A</t>
  </si>
  <si>
    <t>19 VOLKSWAGEN GOLF SPORTWAGEN</t>
  </si>
  <si>
    <t>3VW117AU7KM514047</t>
  </si>
  <si>
    <t>241079A</t>
  </si>
  <si>
    <t>3VV4B7AX9KM095532</t>
  </si>
  <si>
    <t>240798A</t>
  </si>
  <si>
    <t>3VV2B7AX6MM049151</t>
  </si>
  <si>
    <t>250014A</t>
  </si>
  <si>
    <t>3VWEB7BU8LM071082</t>
  </si>
  <si>
    <t>240861A</t>
  </si>
  <si>
    <t>3VV4B7AX7JM082003</t>
  </si>
  <si>
    <t>250061A</t>
  </si>
  <si>
    <t>3VWC57BU7KM150613</t>
  </si>
  <si>
    <t>250073A</t>
  </si>
  <si>
    <t>3VWC57BU4KM150665</t>
  </si>
  <si>
    <t>250093A</t>
  </si>
  <si>
    <t>16 AUDI Q5</t>
  </si>
  <si>
    <t>WA1L2AFP5GA144417</t>
  </si>
  <si>
    <t>240961A</t>
  </si>
  <si>
    <t>16 HONDA ACCORD SEDAN</t>
  </si>
  <si>
    <t>1HGCR2F59GA806152</t>
  </si>
  <si>
    <t>5717P</t>
  </si>
  <si>
    <t>3VWW57BU2KM168255</t>
  </si>
  <si>
    <t>5714PA</t>
  </si>
  <si>
    <t>3VWD67AJ0GM278627</t>
  </si>
  <si>
    <t>240901A</t>
  </si>
  <si>
    <t>3VW267AJ1GM273220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</si>
</sst>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,###.00;\-#,###.00;.00;@"/>
    <numFmt numFmtId="166" formatCode="#;#;0;@"/>
    <numFmt numFmtId="167" formatCode="_ * #,##0_)\ &quot;$&quot;_ ;_ * \(#,##0\)\ &quot;$&quot;_ ;_ * &quot;-&quot;??_)\ &quot;$&quot;_ ;_ @_ "/>
    <numFmt numFmtId="168" formatCode="0.0%"/>
    <numFmt numFmtId="169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2">
    <xf numFmtId="0" fontId="0" fillId="0" borderId="0" xfId="0"/>
    <xf numFmtId="49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/>
    <xf numFmtId="0" fontId="3" fillId="0" borderId="4" xfId="0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167" fontId="4" fillId="0" borderId="0" xfId="0" applyNumberFormat="1" applyFont="1"/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8" fontId="2" fillId="0" borderId="8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right" vertical="center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167" fontId="2" fillId="2" borderId="9" xfId="0" applyNumberFormat="1" applyFont="1" applyFill="1" applyBorder="1"/>
    <xf numFmtId="167" fontId="2" fillId="3" borderId="9" xfId="0" applyNumberFormat="1" applyFont="1" applyFill="1" applyBorder="1"/>
    <xf numFmtId="167" fontId="2" fillId="4" borderId="9" xfId="0" applyNumberFormat="1" applyFont="1" applyFill="1" applyBorder="1"/>
    <xf numFmtId="167" fontId="2" fillId="5" borderId="9" xfId="0" applyNumberFormat="1" applyFont="1" applyFill="1" applyBorder="1"/>
    <xf numFmtId="164" fontId="0" fillId="0" borderId="0" xfId="1" applyFont="1"/>
    <xf numFmtId="167" fontId="2" fillId="0" borderId="9" xfId="0" applyNumberFormat="1" applyFont="1" applyBorder="1"/>
    <xf numFmtId="0" fontId="0" fillId="0" borderId="0" xfId="0" quotePrefix="1"/>
    <xf numFmtId="0" fontId="0" fillId="0" borderId="0" xfId="0" applyAlignment="1">
      <alignment horizontal="center"/>
    </xf>
    <xf numFmtId="0" fontId="7" fillId="0" borderId="0" xfId="0" applyFont="1"/>
    <xf numFmtId="0" fontId="7" fillId="0" borderId="9" xfId="0" applyFont="1" applyBorder="1" applyAlignment="1">
      <alignment horizontal="center"/>
    </xf>
    <xf numFmtId="0" fontId="7" fillId="6" borderId="9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9" fontId="0" fillId="0" borderId="9" xfId="2" applyFont="1" applyBorder="1" applyAlignment="1">
      <alignment horizontal="center"/>
    </xf>
    <xf numFmtId="169" fontId="0" fillId="0" borderId="9" xfId="1" applyNumberFormat="1" applyFont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17" fontId="0" fillId="0" borderId="0" xfId="0" applyNumberFormat="1"/>
    <xf numFmtId="164" fontId="0" fillId="0" borderId="0" xfId="0" applyNumberFormat="1"/>
    <xf numFmtId="1" fontId="0" fillId="0" borderId="9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8" fillId="0" borderId="0" xfId="0" pivotButton="1" applyFont="1"/>
    <xf numFmtId="0" fontId="8" fillId="0" borderId="0" xfId="0" applyFont="1"/>
    <xf numFmtId="0" fontId="0" fillId="0" borderId="9" xfId="0" applyBorder="1"/>
    <xf numFmtId="169" fontId="0" fillId="0" borderId="9" xfId="1" applyNumberFormat="1" applyFont="1" applyBorder="1"/>
    <xf numFmtId="164" fontId="8" fillId="0" borderId="0" xfId="1" applyFont="1"/>
    <xf numFmtId="164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 indent="1"/>
    </xf>
    <xf numFmtId="0" fontId="0" fillId="7" borderId="9" xfId="0" applyFill="1" applyBorder="1" applyAlignment="1">
      <alignment horizontal="center"/>
    </xf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1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1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</cellXfs>
  <cellStyles count="3">
    <cellStyle name="Milliers" xfId="1" builtinId="3"/>
    <cellStyle name="Normal" xfId="0" builtinId="0"/>
    <cellStyle name="Pourcentage" xfId="2" builtinId="5"/>
  </cellStyles>
  <dxfs count="8">
    <dxf>
      <numFmt numFmtId="164" formatCode="_-* #,##0.00_-;\-* #,##0.00_-;_-* &quot;-&quot;??_-;_-@_-"/>
    </dxf>
    <dxf>
      <numFmt numFmtId="164" formatCode="_-* #,##0.00_-;\-* #,##0.00_-;_-* &quot;-&quot;??_-;_-@_-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_-* #,##0.00_-;\-* #,##0.00_-;_-* &quot;-&quot;??_-;_-@_-"/>
    </dxf>
    <dxf>
      <font>
        <b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64.475537962964" createdVersion="8" refreshedVersion="8" minRefreshableVersion="3" recordCount="124" xr:uid="{8D586B0C-2710-4CCE-B239-DDFDDAEBA514}">
  <cacheSource type="worksheet">
    <worksheetSource ref="A1:G1048576" sheet="Neuf"/>
  </cacheSource>
  <cacheFields count="7">
    <cacheField name="#Contrôle" numFmtId="49">
      <sharedItems containsBlank="1"/>
    </cacheField>
    <cacheField name="Description" numFmtId="49">
      <sharedItems containsBlank="1" count="13">
        <s v="24 VOLKSWAGEN JETTA GLI"/>
        <s v="24 VOLKSWAGEN ATLAS CROSS SPT"/>
        <s v="24 VOLKSWAGEN TIGUAN"/>
        <s v="24 VOLKSWAGEN TAOS"/>
        <s v="24 VOLKSWAGEN GOLF GTI"/>
        <s v="24 VOLKSWAGEN ATLAS"/>
        <s v="24 VOLKSWAGEN JETTA SEDAN"/>
        <s v="24 VOLKSWAGEN GOLF R"/>
        <s v="23 VOLKSWAGEN JETTA SEDAN"/>
        <s v="23 VOLKSWAGEN TAOS"/>
        <s v="23 VOLKSWAGEN ID.4"/>
        <s v="24 VOLKSWAGEN ID.4"/>
        <m/>
      </sharedItems>
    </cacheField>
    <cacheField name="1402" numFmtId="165">
      <sharedItems containsString="0" containsBlank="1" containsNumber="1" minValue="24360" maxValue="64162.96"/>
    </cacheField>
    <cacheField name="2101" numFmtId="0">
      <sharedItems containsString="0" containsBlank="1" containsNumber="1" minValue="-63435.75" maxValue="-29734.95"/>
    </cacheField>
    <cacheField name="NIV" numFmtId="49">
      <sharedItems containsBlank="1"/>
    </cacheField>
    <cacheField name="Jours en stock" numFmtId="166">
      <sharedItems containsString="0" containsBlank="1" containsNumber="1" containsInteger="1" minValue="0" maxValue="176" count="53">
        <n v="112"/>
        <n v="111"/>
        <n v="105"/>
        <n v="94"/>
        <n v="93"/>
        <n v="90"/>
        <n v="85"/>
        <n v="76"/>
        <n v="73"/>
        <n v="72"/>
        <n v="63"/>
        <n v="62"/>
        <n v="56"/>
        <n v="55"/>
        <n v="52"/>
        <n v="51"/>
        <n v="49"/>
        <n v="48"/>
        <n v="44"/>
        <n v="36"/>
        <n v="35"/>
        <n v="34"/>
        <n v="31"/>
        <n v="176"/>
        <n v="171"/>
        <n v="140"/>
        <n v="133"/>
        <n v="168"/>
        <n v="150"/>
        <n v="146"/>
        <n v="157"/>
        <n v="153"/>
        <n v="142"/>
        <n v="134"/>
        <n v="128"/>
        <n v="122"/>
        <n v="30"/>
        <n v="29"/>
        <n v="27"/>
        <n v="24"/>
        <n v="23"/>
        <n v="16"/>
        <n v="15"/>
        <n v="10"/>
        <n v="9"/>
        <n v="8"/>
        <n v="7"/>
        <n v="6"/>
        <n v="3"/>
        <n v="2"/>
        <n v="1"/>
        <n v="0"/>
        <m/>
      </sharedItems>
    </cacheField>
    <cacheField name="Classement" numFmtId="0">
      <sharedItems containsBlank="1" count="6">
        <s v="91-120"/>
        <s v="61-90"/>
        <s v="31-60"/>
        <s v="121-180"/>
        <s v="0-3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64.483068981484" createdVersion="8" refreshedVersion="8" minRefreshableVersion="3" recordCount="109" xr:uid="{DA170B54-9BC6-4E81-9455-9555988900FC}">
  <cacheSource type="worksheet">
    <worksheetSource ref="A1:G1048576" sheet="Usages"/>
  </cacheSource>
  <cacheFields count="7">
    <cacheField name="#Contrôle" numFmtId="0">
      <sharedItems containsBlank="1"/>
    </cacheField>
    <cacheField name="Description" numFmtId="0">
      <sharedItems containsBlank="1" count="48">
        <s v="11 VOLKSWAGEN JETTA SEDAN"/>
        <s v="20 VOLKSWAGEN E-GOLF"/>
        <s v="19 GMC SAVANA CARGO VA"/>
        <s v="10 VOLKSWAGEN ROUTAN"/>
        <s v="21 VOLKSWAGEN TIGUAN"/>
        <s v="18 CHEVROLET VOLT"/>
        <s v="20 VOLKSWAGEN TIGUAN"/>
        <s v="17 AUDI A3 E-TRON"/>
        <s v="19 VOLKSWAGEN TIGUAN"/>
        <s v="20 VOLKSWAGEN JETTA"/>
        <s v="20 JEEP COMPASS"/>
        <s v="19 VOLKSWAGEN GOLF"/>
        <s v="18 VOLKSWAGEN GOLF"/>
        <s v="15 JEEP CHEROKEE"/>
        <s v="21 VOLKSWAGEN JETTA"/>
        <s v="20 VOLKSWAGEN PASSAT"/>
        <s v="19 VOLKSWAGEN GOLF ALLTRACK"/>
        <s v="24 VOLKSWAGEN GOLF R"/>
        <s v="23 VOLKSWAGEN TIGUAN"/>
        <s v="15 VOLKSWAGEN JETTA SEDAN"/>
        <s v="14 NISSAN TRUCK PATHFINDER"/>
        <s v="22 VOLKSWAGEN GOLF R"/>
        <s v="19 VOLKSWAGEN JETTA"/>
        <s v="20 HONDA PILOT"/>
        <s v="22 VOLKSWAGEN TIGUAN"/>
        <s v="12 VOLKSWAGEN JETTA SEDAN"/>
        <s v="18 VOLKSWAGEN ATLAS"/>
        <s v="21 VOLKSWAGEN GOLF GTI"/>
        <s v="19 VOLKSWAGEN ATLAS"/>
        <s v="21 VOLKSWAGEN GOLF"/>
        <s v="22 VOLKSWAGEN JETTA"/>
        <s v="20 VOLKSWAGEN GOLF GTI"/>
        <s v="20 AUDI Q3"/>
        <s v="19 AUDI Q7"/>
        <s v="20 TOYOTA SIENNA"/>
        <s v="19 VOLKSWAGEN ARTEON"/>
        <s v="19 VOLKSWAGEN GOLF R"/>
        <s v="21 AUDI SQ5"/>
        <s v="23 TESLA MODEL Y"/>
        <s v="19 VOLKSWAGEN GOLF GTI"/>
        <s v="17 VOLKSWAGEN TIGUAN"/>
        <s v="16 MAZDA CX-3"/>
        <s v="17 FORD TRUCK ESCAPE"/>
        <s v="23 LEXUS IS"/>
        <s v="17 SUBARU OUTBACK"/>
        <s v="22 LEXUS NX"/>
        <s v="15 TOYOTA RAV4"/>
        <m/>
      </sharedItems>
    </cacheField>
    <cacheField name="1416" numFmtId="0">
      <sharedItems containsString="0" containsBlank="1" containsNumber="1" minValue="4550" maxValue="57126.15"/>
    </cacheField>
    <cacheField name="2103" numFmtId="0">
      <sharedItems containsString="0" containsBlank="1" containsNumber="1" minValue="-53444.44" maxValue="-8941.48"/>
    </cacheField>
    <cacheField name="NIV" numFmtId="0">
      <sharedItems containsBlank="1"/>
    </cacheField>
    <cacheField name="Jours en stock" numFmtId="0">
      <sharedItems containsString="0" containsBlank="1" containsNumber="1" containsInteger="1" minValue="0" maxValue="645"/>
    </cacheField>
    <cacheField name="Classement" numFmtId="0">
      <sharedItems containsBlank="1" count="8">
        <s v="301 &amp; +"/>
        <s v="181-300"/>
        <s v="121-180"/>
        <s v="91-120"/>
        <s v="61-90"/>
        <s v="31-60"/>
        <s v="0-3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240125"/>
    <x v="0"/>
    <n v="31816.52"/>
    <m/>
    <s v="3VW8T7BU7RM014696"/>
    <x v="0"/>
    <x v="0"/>
  </r>
  <r>
    <s v="240129"/>
    <x v="0"/>
    <n v="31767"/>
    <n v="-31921.05"/>
    <s v="3VW8T7BU8RM016912"/>
    <x v="1"/>
    <x v="0"/>
  </r>
  <r>
    <s v="240156"/>
    <x v="1"/>
    <n v="53794.97"/>
    <n v="-56570.85"/>
    <s v="1V2BE2CA8RC216649"/>
    <x v="2"/>
    <x v="0"/>
  </r>
  <r>
    <s v="240203"/>
    <x v="2"/>
    <n v="44101"/>
    <n v="-46474.05"/>
    <s v="3VV4B7AX6RM025190"/>
    <x v="3"/>
    <x v="0"/>
  </r>
  <r>
    <s v="240206"/>
    <x v="3"/>
    <n v="38195"/>
    <n v="-40225.5"/>
    <s v="3VV4X7B25RM012063"/>
    <x v="4"/>
    <x v="0"/>
  </r>
  <r>
    <s v="240213"/>
    <x v="2"/>
    <n v="45762.95"/>
    <m/>
    <s v="3VV4B7AX1RM023721"/>
    <x v="5"/>
    <x v="1"/>
  </r>
  <r>
    <s v="240220"/>
    <x v="3"/>
    <n v="32705"/>
    <n v="-34423.199999999997"/>
    <s v="3VVEX7B2XRM013066"/>
    <x v="6"/>
    <x v="1"/>
  </r>
  <r>
    <s v="240219"/>
    <x v="3"/>
    <n v="32700"/>
    <n v="-34423.199999999997"/>
    <s v="3VVEX7B20RM012928"/>
    <x v="6"/>
    <x v="1"/>
  </r>
  <r>
    <s v="240238"/>
    <x v="3"/>
    <n v="37766.480000000003"/>
    <m/>
    <s v="3VV4X7B26RM014615"/>
    <x v="7"/>
    <x v="1"/>
  </r>
  <r>
    <s v="240243"/>
    <x v="3"/>
    <n v="37595"/>
    <n v="-39552.449999999997"/>
    <s v="3VV4X7B23RM025278"/>
    <x v="8"/>
    <x v="1"/>
  </r>
  <r>
    <s v="240253"/>
    <x v="2"/>
    <n v="46141.82"/>
    <n v="-45149.85"/>
    <s v="3VV4B7AX0RM043880"/>
    <x v="9"/>
    <x v="1"/>
  </r>
  <r>
    <s v="240259"/>
    <x v="4"/>
    <n v="39792.870000000003"/>
    <n v="-41836.199999999997"/>
    <s v="WVWWA7CD4RW139864"/>
    <x v="9"/>
    <x v="1"/>
  </r>
  <r>
    <s v="240255"/>
    <x v="3"/>
    <n v="35568"/>
    <n v="-37434.6"/>
    <s v="3VVVX7B24RM026699"/>
    <x v="9"/>
    <x v="1"/>
  </r>
  <r>
    <s v="240254"/>
    <x v="3"/>
    <n v="34265"/>
    <n v="-36066.449999999997"/>
    <s v="3VVUX7B25RM026254"/>
    <x v="9"/>
    <x v="1"/>
  </r>
  <r>
    <s v="240270"/>
    <x v="2"/>
    <n v="45292"/>
    <n v="-47718.3"/>
    <s v="3VV4B7AXXRM065708"/>
    <x v="10"/>
    <x v="1"/>
  </r>
  <r>
    <s v="240263"/>
    <x v="2"/>
    <n v="44560"/>
    <n v="-46949.7"/>
    <s v="3VV4B7AXXRM047399"/>
    <x v="10"/>
    <x v="1"/>
  </r>
  <r>
    <s v="240268"/>
    <x v="2"/>
    <n v="44560"/>
    <n v="-46949.7"/>
    <s v="3VV4B7AX3RM061712"/>
    <x v="10"/>
    <x v="1"/>
  </r>
  <r>
    <s v="240267"/>
    <x v="2"/>
    <n v="44107"/>
    <n v="-46474.05"/>
    <s v="3VV4B7AX9RM059415"/>
    <x v="10"/>
    <x v="1"/>
  </r>
  <r>
    <s v="240266"/>
    <x v="4"/>
    <n v="38930.21"/>
    <n v="-40179.300000000003"/>
    <s v="WVWRA7CD7RW142545"/>
    <x v="10"/>
    <x v="1"/>
  </r>
  <r>
    <s v="240273"/>
    <x v="2"/>
    <n v="44560"/>
    <n v="-46949.7"/>
    <s v="3VV4B7AX9RM059835"/>
    <x v="11"/>
    <x v="1"/>
  </r>
  <r>
    <s v="240289"/>
    <x v="5"/>
    <n v="54930.97"/>
    <n v="-57628.2"/>
    <s v="1V2BR2CA3RC544954"/>
    <x v="12"/>
    <x v="2"/>
  </r>
  <r>
    <s v="240284"/>
    <x v="2"/>
    <n v="45292"/>
    <n v="-47718.3"/>
    <s v="3VV4B7AX5RM043356"/>
    <x v="12"/>
    <x v="2"/>
  </r>
  <r>
    <s v="240286"/>
    <x v="2"/>
    <n v="44107"/>
    <n v="-46474.05"/>
    <s v="3VV4B7AX6RM049411"/>
    <x v="12"/>
    <x v="2"/>
  </r>
  <r>
    <s v="240281"/>
    <x v="4"/>
    <n v="40114.92"/>
    <n v="-41836.199999999997"/>
    <s v="WVWWA7CD2RW135456"/>
    <x v="12"/>
    <x v="2"/>
  </r>
  <r>
    <s v="240274"/>
    <x v="3"/>
    <n v="37783"/>
    <n v="-39749.85"/>
    <s v="3VV4X7B28RM025423"/>
    <x v="12"/>
    <x v="2"/>
  </r>
  <r>
    <s v="240288"/>
    <x v="3"/>
    <n v="37778"/>
    <n v="-39744.6"/>
    <s v="3VV4X7B27RM042990"/>
    <x v="12"/>
    <x v="2"/>
  </r>
  <r>
    <s v="240298"/>
    <x v="1"/>
    <n v="53806.97"/>
    <n v="-56570.85"/>
    <s v="1V2BE2CA3RC222066"/>
    <x v="13"/>
    <x v="2"/>
  </r>
  <r>
    <s v="240296"/>
    <x v="2"/>
    <n v="44107"/>
    <n v="-46474.05"/>
    <s v="3VV4B7AX9RM067885"/>
    <x v="13"/>
    <x v="2"/>
  </r>
  <r>
    <s v="240295"/>
    <x v="3"/>
    <n v="38236"/>
    <n v="-40225.5"/>
    <s v="3VV4X7B25RM042518"/>
    <x v="13"/>
    <x v="2"/>
  </r>
  <r>
    <s v="240300"/>
    <x v="3"/>
    <n v="37325"/>
    <n v="-39268.949999999997"/>
    <s v="3VV4X7B21RM043391"/>
    <x v="13"/>
    <x v="2"/>
  </r>
  <r>
    <s v="240293"/>
    <x v="4"/>
    <n v="36942.910000000003"/>
    <n v="-37052.400000000001"/>
    <s v="WVWJA7CD8RW148254"/>
    <x v="13"/>
    <x v="2"/>
  </r>
  <r>
    <s v="240301"/>
    <x v="3"/>
    <n v="37595"/>
    <n v="-39552.449999999997"/>
    <s v="3VV4X7B2XRM025259"/>
    <x v="14"/>
    <x v="2"/>
  </r>
  <r>
    <s v="240302"/>
    <x v="6"/>
    <n v="29647"/>
    <n v="-31102.05"/>
    <s v="3VWSM7BU9RM031325"/>
    <x v="14"/>
    <x v="2"/>
  </r>
  <r>
    <s v="240315"/>
    <x v="6"/>
    <n v="28345"/>
    <n v="-29734.95"/>
    <s v="3VWFM7BU9RM025641"/>
    <x v="15"/>
    <x v="2"/>
  </r>
  <r>
    <s v="240322"/>
    <x v="2"/>
    <n v="42509.8"/>
    <n v="-43358.7"/>
    <s v="3VV8B7AX8RM067751"/>
    <x v="16"/>
    <x v="2"/>
  </r>
  <r>
    <s v="240319"/>
    <x v="3"/>
    <n v="37778"/>
    <n v="-39744.6"/>
    <s v="3VV4X7B29RM042800"/>
    <x v="16"/>
    <x v="2"/>
  </r>
  <r>
    <s v="240323"/>
    <x v="0"/>
    <n v="34593"/>
    <n v="-36295.35"/>
    <s v="3VW2T7BU5RM036735"/>
    <x v="17"/>
    <x v="2"/>
  </r>
  <r>
    <s v="240325"/>
    <x v="6"/>
    <n v="28732"/>
    <n v="-29734.95"/>
    <s v="3VWFM7BU3RM038871"/>
    <x v="17"/>
    <x v="2"/>
  </r>
  <r>
    <s v="240334"/>
    <x v="2"/>
    <n v="44090"/>
    <n v="-46474.05"/>
    <s v="3VV4B7AX3RM048426"/>
    <x v="18"/>
    <x v="2"/>
  </r>
  <r>
    <s v="240332"/>
    <x v="3"/>
    <n v="37325"/>
    <n v="-39268.949999999997"/>
    <s v="3VV4X7B24RM044096"/>
    <x v="18"/>
    <x v="2"/>
  </r>
  <r>
    <s v="240335"/>
    <x v="0"/>
    <n v="34593"/>
    <n v="-36295.35"/>
    <s v="3VW2T7BU0RM031457"/>
    <x v="18"/>
    <x v="2"/>
  </r>
  <r>
    <s v="240336"/>
    <x v="6"/>
    <n v="31507"/>
    <n v="-32918.550000000003"/>
    <s v="3VWGM7BU6RM023740"/>
    <x v="18"/>
    <x v="2"/>
  </r>
  <r>
    <s v="240348"/>
    <x v="3"/>
    <n v="37778"/>
    <n v="-39744.6"/>
    <s v="3VV4X7B24RM043644"/>
    <x v="19"/>
    <x v="2"/>
  </r>
  <r>
    <s v="240352"/>
    <x v="7"/>
    <n v="49558.97"/>
    <n v="-51857.4"/>
    <s v="WVWFB7CD3RW160590"/>
    <x v="20"/>
    <x v="2"/>
  </r>
  <r>
    <s v="240350"/>
    <x v="4"/>
    <n v="41071"/>
    <n v="-43181.25"/>
    <s v="WVWVA7CD1RW153393"/>
    <x v="20"/>
    <x v="2"/>
  </r>
  <r>
    <s v="240354"/>
    <x v="6"/>
    <n v="24360"/>
    <m/>
    <s v="3VWNM7BU0RM031968"/>
    <x v="21"/>
    <x v="2"/>
  </r>
  <r>
    <s v="240358"/>
    <x v="3"/>
    <n v="37325"/>
    <n v="-39268.949999999997"/>
    <s v="3VV4X7B22RM033596"/>
    <x v="22"/>
    <x v="2"/>
  </r>
  <r>
    <s v="230574"/>
    <x v="8"/>
    <n v="30245.52"/>
    <n v="-30997.31"/>
    <s v="3VWGM7BU3PM060824"/>
    <x v="23"/>
    <x v="3"/>
  </r>
  <r>
    <s v="230581"/>
    <x v="9"/>
    <n v="36956.81"/>
    <n v="-39936.75"/>
    <s v="3VV4X7B27PM374246"/>
    <x v="24"/>
    <x v="3"/>
  </r>
  <r>
    <s v="230639"/>
    <x v="9"/>
    <n v="31179.89"/>
    <n v="-32332.959999999999"/>
    <s v="3VVEX7B23PM379190"/>
    <x v="25"/>
    <x v="3"/>
  </r>
  <r>
    <s v="230643"/>
    <x v="9"/>
    <n v="37610"/>
    <n v="-39461.1"/>
    <s v="3VV4X7B2XPM382549"/>
    <x v="26"/>
    <x v="3"/>
  </r>
  <r>
    <s v="240003"/>
    <x v="5"/>
    <n v="50511.98"/>
    <n v="-51427.95"/>
    <s v="1V2LR2CA2RC511786"/>
    <x v="27"/>
    <x v="3"/>
  </r>
  <r>
    <s v="240022"/>
    <x v="5"/>
    <n v="56851.13"/>
    <m/>
    <s v="1V2BR2CA4RC506228"/>
    <x v="28"/>
    <x v="3"/>
  </r>
  <r>
    <s v="240021"/>
    <x v="5"/>
    <n v="46709.05"/>
    <m/>
    <s v="1V2LR2CA8RC516197"/>
    <x v="28"/>
    <x v="3"/>
  </r>
  <r>
    <s v="240027"/>
    <x v="5"/>
    <n v="56871.69"/>
    <n v="-58869.3"/>
    <s v="1V2BR2CA1RC517137"/>
    <x v="29"/>
    <x v="3"/>
  </r>
  <r>
    <s v="240011"/>
    <x v="1"/>
    <n v="47606.05"/>
    <n v="-48579.25"/>
    <s v="1V2LE2CA3RC208611"/>
    <x v="30"/>
    <x v="3"/>
  </r>
  <r>
    <s v="240016"/>
    <x v="1"/>
    <n v="57229.1"/>
    <m/>
    <s v="1V2BE2CA1RC206996"/>
    <x v="31"/>
    <x v="3"/>
  </r>
  <r>
    <s v="240020"/>
    <x v="1"/>
    <n v="54847.55"/>
    <n v="-54199.17"/>
    <s v="1V2BE2CA5RC210341"/>
    <x v="28"/>
    <x v="3"/>
  </r>
  <r>
    <s v="240030"/>
    <x v="1"/>
    <n v="53144.45"/>
    <n v="-58834.65"/>
    <s v="1V2FE2CAXRC211373"/>
    <x v="32"/>
    <x v="3"/>
  </r>
  <r>
    <s v="240042"/>
    <x v="1"/>
    <n v="55950.97"/>
    <n v="-58834.65"/>
    <s v="1V2FE2CA4RC210672"/>
    <x v="33"/>
    <x v="3"/>
  </r>
  <r>
    <s v="240052"/>
    <x v="1"/>
    <n v="56138.27"/>
    <n v="-58834.65"/>
    <s v="1V2FE2CAXRC211504"/>
    <x v="26"/>
    <x v="3"/>
  </r>
  <r>
    <s v="240070"/>
    <x v="1"/>
    <n v="54250"/>
    <n v="-57051.75"/>
    <s v="1V2BE2CA9RC212335"/>
    <x v="34"/>
    <x v="3"/>
  </r>
  <r>
    <s v="240067"/>
    <x v="4"/>
    <n v="37506.9"/>
    <n v="-39440.1"/>
    <s v="WVWGA7CD1RW121181"/>
    <x v="34"/>
    <x v="3"/>
  </r>
  <r>
    <s v="240061"/>
    <x v="0"/>
    <n v="32637"/>
    <n v="-34363.35"/>
    <s v="3VW9T7BUXRM015328"/>
    <x v="34"/>
    <x v="3"/>
  </r>
  <r>
    <s v="240050"/>
    <x v="6"/>
    <n v="29531"/>
    <n v="-31102.05"/>
    <s v="3VWSM7BU4RM014707"/>
    <x v="26"/>
    <x v="3"/>
  </r>
  <r>
    <s v="240083"/>
    <x v="6"/>
    <n v="31082.97"/>
    <n v="-31543.95"/>
    <s v="3VWGM7BU7RM015582"/>
    <x v="35"/>
    <x v="3"/>
  </r>
  <r>
    <s v="230659"/>
    <x v="10"/>
    <n v="59118.92"/>
    <n v="-62155.8"/>
    <s v="1V29NPE8XPC057071"/>
    <x v="36"/>
    <x v="4"/>
  </r>
  <r>
    <s v="240370"/>
    <x v="1"/>
    <n v="57330.42"/>
    <m/>
    <s v="1V2FE2CA5RC224712"/>
    <x v="36"/>
    <x v="4"/>
  </r>
  <r>
    <s v="240365"/>
    <x v="7"/>
    <n v="50619.97"/>
    <n v="-53209.8"/>
    <s v="WVWEB7CD8RW151203"/>
    <x v="36"/>
    <x v="4"/>
  </r>
  <r>
    <s v="240366"/>
    <x v="7"/>
    <n v="49331.97"/>
    <n v="-51857.4"/>
    <s v="WVWFB7CD1RW157784"/>
    <x v="36"/>
    <x v="4"/>
  </r>
  <r>
    <s v="240360"/>
    <x v="2"/>
    <n v="44107"/>
    <n v="-46474.05"/>
    <s v="3VV4B7AX9RM058247"/>
    <x v="36"/>
    <x v="4"/>
  </r>
  <r>
    <s v="240368"/>
    <x v="2"/>
    <n v="44102"/>
    <n v="-46474.05"/>
    <s v="3VV4B7AX9RM058202"/>
    <x v="36"/>
    <x v="4"/>
  </r>
  <r>
    <s v="230674"/>
    <x v="10"/>
    <n v="63321.45"/>
    <n v="-62641.95"/>
    <s v="1V29NPE83PC058434"/>
    <x v="37"/>
    <x v="4"/>
  </r>
  <r>
    <s v="230670"/>
    <x v="10"/>
    <n v="58636"/>
    <n v="-62155.8"/>
    <s v="1V29NPE83PC058336"/>
    <x v="37"/>
    <x v="4"/>
  </r>
  <r>
    <s v="240372"/>
    <x v="3"/>
    <n v="35578"/>
    <n v="-37434.6"/>
    <s v="3VVVX7B24RM036195"/>
    <x v="37"/>
    <x v="4"/>
  </r>
  <r>
    <s v="240378"/>
    <x v="2"/>
    <n v="44610"/>
    <n v="-47002.2"/>
    <s v="3VV4B7AX7RM075418"/>
    <x v="38"/>
    <x v="4"/>
  </r>
  <r>
    <s v="240376"/>
    <x v="2"/>
    <n v="35355"/>
    <m/>
    <s v="3VVFB7AX4RM063283"/>
    <x v="38"/>
    <x v="4"/>
  </r>
  <r>
    <s v="240379"/>
    <x v="3"/>
    <n v="34489.199999999997"/>
    <n v="-34759.199999999997"/>
    <s v="3VVEX7B28RM046812"/>
    <x v="38"/>
    <x v="4"/>
  </r>
  <r>
    <s v="240382"/>
    <x v="7"/>
    <n v="50674.97"/>
    <n v="-53262.3"/>
    <s v="WVWEB7CD6RW147120"/>
    <x v="39"/>
    <x v="4"/>
  </r>
  <r>
    <s v="240385"/>
    <x v="4"/>
    <n v="36452"/>
    <n v="-38336.550000000003"/>
    <s v="WVWHA7CDXRW162185"/>
    <x v="39"/>
    <x v="4"/>
  </r>
  <r>
    <s v="230677"/>
    <x v="10"/>
    <n v="64162.96"/>
    <n v="-63435.75"/>
    <s v="1V26NPE84PC057523"/>
    <x v="40"/>
    <x v="4"/>
  </r>
  <r>
    <s v="240395"/>
    <x v="1"/>
    <n v="54359.97"/>
    <n v="-57156.75"/>
    <s v="1V2BE2CA7RC227674"/>
    <x v="41"/>
    <x v="4"/>
  </r>
  <r>
    <s v="240394"/>
    <x v="7"/>
    <n v="50669.97"/>
    <n v="-53262.3"/>
    <s v="WVWEB7CD3RW163257"/>
    <x v="41"/>
    <x v="4"/>
  </r>
  <r>
    <s v="240397"/>
    <x v="7"/>
    <n v="50266"/>
    <n v="-53552.1"/>
    <s v="WVWEB7CD1RW165475"/>
    <x v="42"/>
    <x v="4"/>
  </r>
  <r>
    <s v="240400"/>
    <x v="4"/>
    <n v="39887"/>
    <n v="-42364.35"/>
    <s v="WVWWA7CD8RW173130"/>
    <x v="43"/>
    <x v="4"/>
  </r>
  <r>
    <s v="240405"/>
    <x v="2"/>
    <n v="44282"/>
    <n v="-46526.55"/>
    <s v="3VV4B7AX2RM087802"/>
    <x v="44"/>
    <x v="4"/>
  </r>
  <r>
    <s v="240403"/>
    <x v="2"/>
    <n v="44152"/>
    <n v="-46526.55"/>
    <s v="3VV4B7AXXRM087661"/>
    <x v="44"/>
    <x v="4"/>
  </r>
  <r>
    <s v="240404"/>
    <x v="2"/>
    <n v="44152"/>
    <n v="-46526.55"/>
    <s v="3VV4B7AX7RM088735"/>
    <x v="44"/>
    <x v="4"/>
  </r>
  <r>
    <s v="240402"/>
    <x v="3"/>
    <n v="37370"/>
    <n v="-39321.449999999997"/>
    <s v="3VV4X7B24RM051484"/>
    <x v="44"/>
    <x v="4"/>
  </r>
  <r>
    <s v="240407"/>
    <x v="3"/>
    <n v="30749"/>
    <n v="-32369.4"/>
    <s v="3VVGX7B22RM052906"/>
    <x v="44"/>
    <x v="4"/>
  </r>
  <r>
    <s v="230681"/>
    <x v="10"/>
    <n v="60230"/>
    <m/>
    <s v="1V29NPE84PC058409"/>
    <x v="45"/>
    <x v="4"/>
  </r>
  <r>
    <s v="230680"/>
    <x v="10"/>
    <n v="59304"/>
    <m/>
    <s v="1V29NPE86PC058699"/>
    <x v="45"/>
    <x v="4"/>
  </r>
  <r>
    <s v="230682"/>
    <x v="10"/>
    <n v="59304"/>
    <m/>
    <s v="1V29NPE84PC057910"/>
    <x v="45"/>
    <x v="4"/>
  </r>
  <r>
    <s v="240415"/>
    <x v="1"/>
    <n v="56510.97"/>
    <n v="-59415.3"/>
    <s v="1V2FE2CAXRC229999"/>
    <x v="45"/>
    <x v="4"/>
  </r>
  <r>
    <s v="240412"/>
    <x v="2"/>
    <n v="44157"/>
    <n v="-46526.55"/>
    <s v="3VV4B7AX1RM086477"/>
    <x v="45"/>
    <x v="4"/>
  </r>
  <r>
    <s v="240410"/>
    <x v="2"/>
    <n v="44152"/>
    <n v="-46526.55"/>
    <s v="3VV4B7AX7RM086533"/>
    <x v="45"/>
    <x v="4"/>
  </r>
  <r>
    <s v="240411"/>
    <x v="2"/>
    <n v="44152"/>
    <n v="-46526.55"/>
    <s v="3VV4B7AX2RM087685"/>
    <x v="45"/>
    <x v="4"/>
  </r>
  <r>
    <s v="240413"/>
    <x v="2"/>
    <n v="44152"/>
    <n v="-46526.55"/>
    <s v="3VV4B7AX5RM087874"/>
    <x v="45"/>
    <x v="4"/>
  </r>
  <r>
    <s v="240414"/>
    <x v="2"/>
    <n v="44152"/>
    <n v="-46526.55"/>
    <s v="3VV4B7AX9RM088719"/>
    <x v="45"/>
    <x v="4"/>
  </r>
  <r>
    <s v="240418"/>
    <x v="5"/>
    <n v="57363.79"/>
    <n v="-61220.25"/>
    <s v="1V2FR2CA2RC555218"/>
    <x v="46"/>
    <x v="4"/>
  </r>
  <r>
    <s v="240416"/>
    <x v="2"/>
    <n v="38137"/>
    <n v="-40205.550000000003"/>
    <s v="3VV2B7AX2RM088021"/>
    <x v="46"/>
    <x v="4"/>
  </r>
  <r>
    <s v="240417"/>
    <x v="3"/>
    <n v="37375"/>
    <n v="-39321.449999999997"/>
    <s v="3VV4X7B29RM054848"/>
    <x v="46"/>
    <x v="4"/>
  </r>
  <r>
    <s v="230684"/>
    <x v="10"/>
    <n v="60990.6"/>
    <m/>
    <s v="1V26NPE84PC058848"/>
    <x v="47"/>
    <x v="4"/>
  </r>
  <r>
    <s v="230685"/>
    <x v="10"/>
    <n v="59871.7"/>
    <m/>
    <s v="1V26NPE86PC042182"/>
    <x v="47"/>
    <x v="4"/>
  </r>
  <r>
    <s v="240421"/>
    <x v="5"/>
    <n v="57510.97"/>
    <n v="-60460.05"/>
    <s v="1V2FR2CA9RC555054"/>
    <x v="47"/>
    <x v="4"/>
  </r>
  <r>
    <s v="240419"/>
    <x v="1"/>
    <n v="56515.97"/>
    <n v="-59415.3"/>
    <s v="1V2FE2CA8RC230407"/>
    <x v="47"/>
    <x v="4"/>
  </r>
  <r>
    <s v="240420"/>
    <x v="5"/>
    <n v="53998.97"/>
    <n v="-56772.45"/>
    <s v="1V2CR2CA6RC556147"/>
    <x v="47"/>
    <x v="4"/>
  </r>
  <r>
    <s v="240422"/>
    <x v="3"/>
    <n v="38286"/>
    <n v="-40278"/>
    <s v="3VV4X7B23RM053873"/>
    <x v="47"/>
    <x v="4"/>
  </r>
  <r>
    <s v="230686"/>
    <x v="10"/>
    <n v="60806.7"/>
    <m/>
    <s v="1V2JNPE83PC042361"/>
    <x v="48"/>
    <x v="4"/>
  </r>
  <r>
    <s v="230689"/>
    <x v="10"/>
    <n v="60334.7"/>
    <m/>
    <s v="1V26NPE81PC042414"/>
    <x v="48"/>
    <x v="4"/>
  </r>
  <r>
    <s v="230690"/>
    <x v="10"/>
    <n v="59871.7"/>
    <m/>
    <s v="1V26NPE88PC051272"/>
    <x v="48"/>
    <x v="4"/>
  </r>
  <r>
    <s v="230687"/>
    <x v="10"/>
    <n v="59628.7"/>
    <m/>
    <s v="1V29NPE82PC048512"/>
    <x v="48"/>
    <x v="4"/>
  </r>
  <r>
    <s v="230688"/>
    <x v="10"/>
    <n v="58702.7"/>
    <m/>
    <s v="1V29NPE80PC049111"/>
    <x v="48"/>
    <x v="4"/>
  </r>
  <r>
    <s v="240424"/>
    <x v="5"/>
    <n v="57021"/>
    <n v="-60460.05"/>
    <s v="1V2FR2CA8RC557345"/>
    <x v="48"/>
    <x v="4"/>
  </r>
  <r>
    <s v="240423"/>
    <x v="1"/>
    <n v="56026"/>
    <n v="-59415.3"/>
    <s v="1V2FE2CA5RC231028"/>
    <x v="48"/>
    <x v="4"/>
  </r>
  <r>
    <s v="240427"/>
    <x v="7"/>
    <n v="49254"/>
    <n v="-52199.7"/>
    <s v="WVWFB7CD8RW173206"/>
    <x v="48"/>
    <x v="4"/>
  </r>
  <r>
    <s v="240425"/>
    <x v="5"/>
    <n v="48981"/>
    <n v="-52018.05"/>
    <s v="1V2LR2CAXRC558208"/>
    <x v="48"/>
    <x v="4"/>
  </r>
  <r>
    <s v="240430"/>
    <x v="5"/>
    <n v="58200"/>
    <m/>
    <s v="1V2FR2CA7RC558227"/>
    <x v="49"/>
    <x v="4"/>
  </r>
  <r>
    <s v="240429"/>
    <x v="3"/>
    <n v="33118"/>
    <m/>
    <s v="3VVEX7B20RM011584"/>
    <x v="49"/>
    <x v="4"/>
  </r>
  <r>
    <s v="240431"/>
    <x v="2"/>
    <n v="35052"/>
    <m/>
    <s v="3VVFB7AX8RM057051"/>
    <x v="50"/>
    <x v="4"/>
  </r>
  <r>
    <s v="240433"/>
    <x v="11"/>
    <n v="56348"/>
    <n v="-59753.4"/>
    <s v="1V27SPE81RC001216"/>
    <x v="51"/>
    <x v="4"/>
  </r>
  <r>
    <s v="240432"/>
    <x v="5"/>
    <n v="48981"/>
    <n v="-52018.05"/>
    <s v="1V2LR2CA7RC556254"/>
    <x v="51"/>
    <x v="4"/>
  </r>
  <r>
    <m/>
    <x v="12"/>
    <m/>
    <m/>
    <m/>
    <x v="52"/>
    <x v="5"/>
  </r>
  <r>
    <m/>
    <x v="12"/>
    <m/>
    <m/>
    <m/>
    <x v="52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5188P"/>
    <x v="0"/>
    <n v="9140.85"/>
    <m/>
    <s v="3VWLL7AJ3BM097101"/>
    <n v="645"/>
    <x v="0"/>
  </r>
  <r>
    <s v="5291P"/>
    <x v="1"/>
    <n v="31516.26"/>
    <m/>
    <s v="WVWPR7AU2LW903993"/>
    <n v="483"/>
    <x v="0"/>
  </r>
  <r>
    <s v="230251A"/>
    <x v="1"/>
    <n v="23672.959999999999"/>
    <m/>
    <s v="WVWPR7AU0LW907198"/>
    <n v="366"/>
    <x v="0"/>
  </r>
  <r>
    <s v="5407P"/>
    <x v="2"/>
    <n v="35284.89"/>
    <m/>
    <s v="1GTW7BFP1K1340423"/>
    <n v="300"/>
    <x v="1"/>
  </r>
  <r>
    <s v="5488P"/>
    <x v="3"/>
    <n v="11646.62"/>
    <m/>
    <s v="2V4RW3DX0AR228009"/>
    <n v="185"/>
    <x v="1"/>
  </r>
  <r>
    <s v="230567A"/>
    <x v="4"/>
    <n v="28635.15"/>
    <n v="-31332.799999999999"/>
    <s v="3VV2B7AX6MM155874"/>
    <n v="164"/>
    <x v="2"/>
  </r>
  <r>
    <s v="230606A"/>
    <x v="5"/>
    <n v="17701.95"/>
    <m/>
    <s v="1G1RA6S50JU104989"/>
    <n v="153"/>
    <x v="2"/>
  </r>
  <r>
    <s v="230596A"/>
    <x v="6"/>
    <n v="27935.05"/>
    <m/>
    <s v="3VV2B7AX4LM005048"/>
    <n v="136"/>
    <x v="2"/>
  </r>
  <r>
    <s v="5509PA"/>
    <x v="7"/>
    <n v="20107"/>
    <m/>
    <s v="WAUSPBFF5HA099610"/>
    <n v="134"/>
    <x v="2"/>
  </r>
  <r>
    <s v="5518P"/>
    <x v="6"/>
    <n v="28075.78"/>
    <n v="-23850"/>
    <s v="3VV4B7AX0LM106225"/>
    <n v="129"/>
    <x v="2"/>
  </r>
  <r>
    <s v="230593A"/>
    <x v="8"/>
    <n v="26815.25"/>
    <m/>
    <s v="3VV4B7AX3KM183332"/>
    <n v="129"/>
    <x v="2"/>
  </r>
  <r>
    <s v="5519P"/>
    <x v="4"/>
    <n v="28447.25"/>
    <n v="-24418.799999999999"/>
    <s v="3VV2B7AX4MM068281"/>
    <n v="128"/>
    <x v="2"/>
  </r>
  <r>
    <s v="240056A"/>
    <x v="9"/>
    <n v="18043.82"/>
    <m/>
    <s v="3VWN57BU2LM040420"/>
    <n v="125"/>
    <x v="2"/>
  </r>
  <r>
    <s v="240079A"/>
    <x v="6"/>
    <n v="30620.3"/>
    <m/>
    <s v="3VV4B7AX5LM110786"/>
    <n v="122"/>
    <x v="2"/>
  </r>
  <r>
    <s v="230564B"/>
    <x v="10"/>
    <n v="28211.38"/>
    <m/>
    <s v="3C4NJDDBXLT155667"/>
    <n v="122"/>
    <x v="2"/>
  </r>
  <r>
    <s v="5521P"/>
    <x v="11"/>
    <n v="18530.25"/>
    <m/>
    <s v="3VWG57AU3KM018998"/>
    <n v="120"/>
    <x v="3"/>
  </r>
  <r>
    <s v="240059A"/>
    <x v="8"/>
    <n v="24896.26"/>
    <m/>
    <s v="3VV2B7AX7KM049091"/>
    <n v="113"/>
    <x v="3"/>
  </r>
  <r>
    <s v="240098A"/>
    <x v="11"/>
    <n v="18294.75"/>
    <m/>
    <s v="3VWG57AU0KM034477"/>
    <n v="108"/>
    <x v="3"/>
  </r>
  <r>
    <s v="240038B"/>
    <x v="12"/>
    <n v="16745.3"/>
    <m/>
    <s v="3VWG17AU9JM275867"/>
    <n v="108"/>
    <x v="3"/>
  </r>
  <r>
    <s v="5526P"/>
    <x v="6"/>
    <n v="24483.1"/>
    <n v="-18876"/>
    <s v="3VV2B7AX9LM002520"/>
    <n v="107"/>
    <x v="3"/>
  </r>
  <r>
    <s v="240121A"/>
    <x v="13"/>
    <n v="15353.9"/>
    <m/>
    <s v="1C4PJMBBXFW775848"/>
    <n v="104"/>
    <x v="3"/>
  </r>
  <r>
    <s v="240062A"/>
    <x v="9"/>
    <n v="21360.2"/>
    <m/>
    <s v="3VWEB7BU9LM051228"/>
    <n v="101"/>
    <x v="3"/>
  </r>
  <r>
    <s v="240127A"/>
    <x v="8"/>
    <n v="27870.3"/>
    <m/>
    <s v="3VV4B7AX2KM185248"/>
    <n v="100"/>
    <x v="3"/>
  </r>
  <r>
    <s v="240169A"/>
    <x v="14"/>
    <n v="24530.400000000001"/>
    <m/>
    <s v="3VWE57BU7MM077268"/>
    <n v="97"/>
    <x v="3"/>
  </r>
  <r>
    <s v="240183A"/>
    <x v="14"/>
    <n v="24459.3"/>
    <m/>
    <s v="3VWE57BU5MM022575"/>
    <n v="93"/>
    <x v="3"/>
  </r>
  <r>
    <s v="240151A"/>
    <x v="15"/>
    <n v="23571.5"/>
    <m/>
    <s v="1VWBA7A31LC005280"/>
    <n v="92"/>
    <x v="3"/>
  </r>
  <r>
    <s v="240198A"/>
    <x v="6"/>
    <n v="30753.25"/>
    <m/>
    <s v="3VV4B7AX7LM138623"/>
    <n v="91"/>
    <x v="3"/>
  </r>
  <r>
    <s v="240123A"/>
    <x v="4"/>
    <n v="29343.25"/>
    <m/>
    <s v="3VV2B7AX9MM038886"/>
    <n v="91"/>
    <x v="3"/>
  </r>
  <r>
    <s v="240195A"/>
    <x v="16"/>
    <n v="23760.2"/>
    <m/>
    <s v="3VWH17AU4KM517860"/>
    <n v="91"/>
    <x v="3"/>
  </r>
  <r>
    <s v="5531P"/>
    <x v="8"/>
    <n v="21769.89"/>
    <n v="-18000"/>
    <s v="3VV2B7AX5KM174266"/>
    <n v="91"/>
    <x v="3"/>
  </r>
  <r>
    <s v="240200A"/>
    <x v="4"/>
    <n v="28553.09"/>
    <m/>
    <s v="3VV2B7AX7MM017972"/>
    <n v="90"/>
    <x v="4"/>
  </r>
  <r>
    <s v="240120A"/>
    <x v="6"/>
    <n v="27580.05"/>
    <m/>
    <s v="3VV2B7AX5LM134416"/>
    <n v="90"/>
    <x v="4"/>
  </r>
  <r>
    <s v="5532P"/>
    <x v="8"/>
    <n v="23078.2"/>
    <n v="-14910"/>
    <s v="3VV2B7AXXKM175526"/>
    <n v="87"/>
    <x v="4"/>
  </r>
  <r>
    <s v="5536P"/>
    <x v="17"/>
    <n v="57126.15"/>
    <n v="-53444.44"/>
    <s v="WVWEB7CD1RW113067"/>
    <n v="86"/>
    <x v="4"/>
  </r>
  <r>
    <s v="5535P"/>
    <x v="18"/>
    <n v="37343.25"/>
    <n v="-31500"/>
    <s v="3VVMB7AX1PM006494"/>
    <n v="86"/>
    <x v="4"/>
  </r>
  <r>
    <s v="5534P"/>
    <x v="4"/>
    <n v="27555.439999999999"/>
    <n v="-26142.19"/>
    <s v="3VV2B7AX0MM070822"/>
    <n v="86"/>
    <x v="4"/>
  </r>
  <r>
    <s v="5539P"/>
    <x v="1"/>
    <n v="24725.279999999999"/>
    <n v="-13011"/>
    <s v="WVWPR7AUXLW900758"/>
    <n v="85"/>
    <x v="4"/>
  </r>
  <r>
    <s v="5540P"/>
    <x v="6"/>
    <n v="24825.89"/>
    <n v="-21121.07"/>
    <s v="3VV2B7AX5LM104042"/>
    <n v="84"/>
    <x v="4"/>
  </r>
  <r>
    <s v="5543P"/>
    <x v="4"/>
    <n v="29849.7"/>
    <n v="-25650"/>
    <s v="3VV4B7AX3MM043848"/>
    <n v="76"/>
    <x v="4"/>
  </r>
  <r>
    <s v="240226A"/>
    <x v="11"/>
    <n v="18947.330000000002"/>
    <n v="-10994"/>
    <s v="3VWG57AU7KM033052"/>
    <n v="76"/>
    <x v="4"/>
  </r>
  <r>
    <s v="240172A"/>
    <x v="19"/>
    <n v="9050"/>
    <m/>
    <s v="3VWG07AJ8FM218642"/>
    <n v="73"/>
    <x v="4"/>
  </r>
  <r>
    <s v="5529PA"/>
    <x v="20"/>
    <n v="10685"/>
    <m/>
    <s v="5N1AR2MM1EC693147"/>
    <n v="72"/>
    <x v="4"/>
  </r>
  <r>
    <s v="5545P"/>
    <x v="21"/>
    <n v="48472.800000000003"/>
    <n v="-42300"/>
    <s v="WVWEB7CD8NW157948"/>
    <n v="71"/>
    <x v="4"/>
  </r>
  <r>
    <s v="240231A"/>
    <x v="22"/>
    <n v="21402.85"/>
    <m/>
    <s v="3VWE57BU8KM269358"/>
    <n v="71"/>
    <x v="4"/>
  </r>
  <r>
    <s v="240191A"/>
    <x v="8"/>
    <n v="20650"/>
    <m/>
    <s v="3VV2B7AX1KM022551"/>
    <n v="70"/>
    <x v="4"/>
  </r>
  <r>
    <s v="240035A"/>
    <x v="23"/>
    <n v="28550"/>
    <m/>
    <s v="5FNYF6H72LB500902"/>
    <n v="69"/>
    <x v="4"/>
  </r>
  <r>
    <s v="240252A"/>
    <x v="6"/>
    <n v="29887.9"/>
    <m/>
    <s v="3VV4B7AX5LM169272"/>
    <n v="64"/>
    <x v="4"/>
  </r>
  <r>
    <s v="5549P"/>
    <x v="4"/>
    <n v="24300"/>
    <m/>
    <s v="3VV2B7AX2MM094183"/>
    <n v="63"/>
    <x v="4"/>
  </r>
  <r>
    <s v="240187A"/>
    <x v="24"/>
    <n v="34584.85"/>
    <m/>
    <s v="3VV4B7AX1NM053652"/>
    <n v="62"/>
    <x v="4"/>
  </r>
  <r>
    <s v="240234A"/>
    <x v="4"/>
    <n v="26837.9"/>
    <m/>
    <s v="3VV2B7AX1MM061112"/>
    <n v="62"/>
    <x v="4"/>
  </r>
  <r>
    <s v="5550P"/>
    <x v="8"/>
    <n v="21607.89"/>
    <m/>
    <s v="3VV2B7AX3KM165971"/>
    <n v="62"/>
    <x v="4"/>
  </r>
  <r>
    <s v="240265A"/>
    <x v="8"/>
    <n v="22662.65"/>
    <m/>
    <s v="3VV2B7AXXKM174943"/>
    <n v="56"/>
    <x v="5"/>
  </r>
  <r>
    <s v="240211A"/>
    <x v="9"/>
    <n v="19200.02"/>
    <m/>
    <s v="3VWCB7BU6LM036242"/>
    <n v="56"/>
    <x v="5"/>
  </r>
  <r>
    <s v="240045A"/>
    <x v="25"/>
    <n v="4550"/>
    <m/>
    <s v="3VWGX7AJ1CM355395"/>
    <n v="56"/>
    <x v="5"/>
  </r>
  <r>
    <s v="240223A"/>
    <x v="11"/>
    <n v="15666.49"/>
    <m/>
    <s v="3VWG57AU5KM026486"/>
    <n v="50"/>
    <x v="5"/>
  </r>
  <r>
    <s v="240278A"/>
    <x v="26"/>
    <n v="27398.68"/>
    <n v="-17092"/>
    <s v="1V2HR2CA3JC585678"/>
    <n v="49"/>
    <x v="5"/>
  </r>
  <r>
    <s v="5552P"/>
    <x v="6"/>
    <n v="20474.86"/>
    <n v="-17100"/>
    <s v="3VV0B7AX4LM103276"/>
    <n v="49"/>
    <x v="5"/>
  </r>
  <r>
    <s v="5556P"/>
    <x v="27"/>
    <n v="31478.25"/>
    <n v="-25488.23"/>
    <s v="3VW6T7AU7MM012478"/>
    <n v="48"/>
    <x v="5"/>
  </r>
  <r>
    <s v="240304A"/>
    <x v="6"/>
    <n v="22358.6"/>
    <m/>
    <s v="3VV0B7AX4LM132762"/>
    <n v="41"/>
    <x v="5"/>
  </r>
  <r>
    <s v="5559P"/>
    <x v="6"/>
    <n v="30050"/>
    <n v="-26550"/>
    <s v="3VV4B7AX4LM129099"/>
    <n v="38"/>
    <x v="5"/>
  </r>
  <r>
    <s v="240299A"/>
    <x v="22"/>
    <n v="19353.37"/>
    <m/>
    <s v="3VWE57BU5KM057162"/>
    <n v="36"/>
    <x v="5"/>
  </r>
  <r>
    <s v="240001A"/>
    <x v="28"/>
    <n v="31567.85"/>
    <n v="-24318.69"/>
    <s v="1V2MR2CA7KC586543"/>
    <n v="30"/>
    <x v="6"/>
  </r>
  <r>
    <s v="240330A"/>
    <x v="9"/>
    <n v="21013.22"/>
    <m/>
    <s v="3VWEB7BU6LM068164"/>
    <n v="30"/>
    <x v="6"/>
  </r>
  <r>
    <s v="5562P"/>
    <x v="8"/>
    <n v="18943.150000000001"/>
    <n v="-16735.07"/>
    <s v="3VV0B7AX8KM161793"/>
    <n v="30"/>
    <x v="6"/>
  </r>
  <r>
    <s v="5525PA"/>
    <x v="12"/>
    <n v="15183.2"/>
    <m/>
    <s v="3VWB17AU2JM269404"/>
    <n v="30"/>
    <x v="6"/>
  </r>
  <r>
    <s v="240318A"/>
    <x v="29"/>
    <n v="19550"/>
    <n v="-17494.490000000002"/>
    <s v="3VWG57AU2MM003122"/>
    <n v="29"/>
    <x v="6"/>
  </r>
  <r>
    <s v="240320A"/>
    <x v="8"/>
    <n v="26958.25"/>
    <n v="-16819.39"/>
    <s v="3VV4B7AX0KM054741"/>
    <n v="27"/>
    <x v="6"/>
  </r>
  <r>
    <s v="240036B"/>
    <x v="22"/>
    <n v="15870.35"/>
    <n v="-8941.48"/>
    <s v="3VWC57BU1KM227184"/>
    <n v="27"/>
    <x v="6"/>
  </r>
  <r>
    <s v="240297A"/>
    <x v="30"/>
    <n v="26208.25"/>
    <n v="-28178.720000000001"/>
    <s v="3VWFM7BU3NM006738"/>
    <n v="23"/>
    <x v="6"/>
  </r>
  <r>
    <s v="240356A"/>
    <x v="14"/>
    <n v="23858.25"/>
    <n v="-23265.919999999998"/>
    <s v="3VW5T7BU2MM063364"/>
    <n v="23"/>
    <x v="6"/>
  </r>
  <r>
    <s v="240357A"/>
    <x v="31"/>
    <n v="27358.25"/>
    <n v="-17728.48"/>
    <s v="3VW5T7AU4LM005546"/>
    <n v="22"/>
    <x v="6"/>
  </r>
  <r>
    <s v="240307A"/>
    <x v="32"/>
    <n v="27050"/>
    <m/>
    <s v="WA1FECF39L1121942"/>
    <n v="21"/>
    <x v="6"/>
  </r>
  <r>
    <s v="5558P"/>
    <x v="33"/>
    <n v="33348"/>
    <n v="-25349.4"/>
    <s v="WA1AAAF76KD019959"/>
    <n v="17"/>
    <x v="6"/>
  </r>
  <r>
    <s v="240346A"/>
    <x v="29"/>
    <n v="19838.25"/>
    <n v="-15088.51"/>
    <s v="3VWG57AU0MM001692"/>
    <n v="17"/>
    <x v="6"/>
  </r>
  <r>
    <s v="240375A"/>
    <x v="9"/>
    <n v="22191.25"/>
    <n v="-13722.48"/>
    <s v="3VWW57BU7LM049294"/>
    <n v="15"/>
    <x v="6"/>
  </r>
  <r>
    <s v="240331A"/>
    <x v="9"/>
    <n v="16800"/>
    <n v="-13922.08"/>
    <s v="3VWEB7BU7LM073180"/>
    <n v="15"/>
    <x v="6"/>
  </r>
  <r>
    <s v="240147A"/>
    <x v="34"/>
    <n v="37550"/>
    <m/>
    <s v="5TDJZ3DC5LS244583"/>
    <n v="14"/>
    <x v="6"/>
  </r>
  <r>
    <s v="5566P"/>
    <x v="35"/>
    <n v="23842.55"/>
    <n v="-22295"/>
    <s v="WVWSR7AN2KE019611"/>
    <n v="14"/>
    <x v="6"/>
  </r>
  <r>
    <s v="230662A"/>
    <x v="6"/>
    <n v="22812.05"/>
    <m/>
    <s v="3VV2B7AX9LM017339"/>
    <n v="14"/>
    <x v="6"/>
  </r>
  <r>
    <s v="5567P"/>
    <x v="36"/>
    <n v="32050"/>
    <m/>
    <s v="WVWVA7AU9KW174050"/>
    <n v="13"/>
    <x v="6"/>
  </r>
  <r>
    <s v="240294A"/>
    <x v="36"/>
    <n v="31843.25"/>
    <n v="-37395.019999999997"/>
    <s v="WVWVA7AU6KW131964"/>
    <n v="13"/>
    <x v="6"/>
  </r>
  <r>
    <s v="240393A"/>
    <x v="6"/>
    <n v="25050"/>
    <n v="-21567"/>
    <s v="3VV4B7AX8LM059655"/>
    <n v="9"/>
    <x v="6"/>
  </r>
  <r>
    <s v="240317A"/>
    <x v="22"/>
    <n v="16323.25"/>
    <n v="-10287.33"/>
    <s v="3VWC57BU5KM269955"/>
    <n v="9"/>
    <x v="6"/>
  </r>
  <r>
    <s v="5569P"/>
    <x v="35"/>
    <n v="27050"/>
    <n v="-23767"/>
    <s v="WVWSR7AN7KE008040"/>
    <n v="7"/>
    <x v="6"/>
  </r>
  <r>
    <s v="240026A"/>
    <x v="4"/>
    <n v="23550"/>
    <m/>
    <s v="3VV2B7AX2MM037837"/>
    <n v="7"/>
    <x v="6"/>
  </r>
  <r>
    <s v="240392A"/>
    <x v="37"/>
    <n v="42550"/>
    <n v="-40359.06"/>
    <s v="WA1A4AFY3M2069488"/>
    <n v="6"/>
    <x v="6"/>
  </r>
  <r>
    <s v="240242A"/>
    <x v="6"/>
    <n v="19050"/>
    <n v="-17813.349999999999"/>
    <s v="3VV1B7AX2LM097773"/>
    <n v="6"/>
    <x v="6"/>
  </r>
  <r>
    <s v="230667A"/>
    <x v="4"/>
    <n v="17850"/>
    <m/>
    <s v="3VV0B7AX8MM008513"/>
    <n v="6"/>
    <x v="6"/>
  </r>
  <r>
    <s v="240399A"/>
    <x v="11"/>
    <n v="17050"/>
    <m/>
    <s v="3VWG57AU4KM019514"/>
    <n v="6"/>
    <x v="6"/>
  </r>
  <r>
    <s v="240383A"/>
    <x v="4"/>
    <n v="25488.2"/>
    <m/>
    <s v="3VV2B7AX4MM037810"/>
    <n v="5"/>
    <x v="6"/>
  </r>
  <r>
    <s v="240380A"/>
    <x v="38"/>
    <n v="52550"/>
    <m/>
    <s v="LRWYGDEE8PC162720"/>
    <n v="4"/>
    <x v="6"/>
  </r>
  <r>
    <s v="240388A"/>
    <x v="6"/>
    <n v="19550"/>
    <m/>
    <s v="3VV0B7AX4LM134706"/>
    <n v="4"/>
    <x v="6"/>
  </r>
  <r>
    <s v="240386A"/>
    <x v="39"/>
    <n v="26550"/>
    <m/>
    <s v="3VW5T7AU9KM037746"/>
    <n v="2"/>
    <x v="6"/>
  </r>
  <r>
    <s v="230678A"/>
    <x v="6"/>
    <n v="22998"/>
    <m/>
    <s v="3VV4B7AX3LM110818"/>
    <n v="2"/>
    <x v="6"/>
  </r>
  <r>
    <s v="240277A"/>
    <x v="6"/>
    <n v="24550"/>
    <m/>
    <s v="3VV4B7AX0LM135367"/>
    <n v="1"/>
    <x v="6"/>
  </r>
  <r>
    <s v="240391A"/>
    <x v="11"/>
    <n v="15900"/>
    <m/>
    <s v="3VWW57AU2KM029759"/>
    <n v="1"/>
    <x v="6"/>
  </r>
  <r>
    <s v="240321A"/>
    <x v="40"/>
    <n v="12550"/>
    <m/>
    <s v="WVGLV7AX7HW508697"/>
    <n v="1"/>
    <x v="6"/>
  </r>
  <r>
    <s v="240343A"/>
    <x v="41"/>
    <n v="10550"/>
    <m/>
    <s v="JM1DKBC72G0120392"/>
    <n v="1"/>
    <x v="6"/>
  </r>
  <r>
    <s v="240306A"/>
    <x v="42"/>
    <n v="8550"/>
    <m/>
    <s v="1FMCU9G91HUD46486"/>
    <n v="1"/>
    <x v="6"/>
  </r>
  <r>
    <s v="240369A"/>
    <x v="43"/>
    <n v="55050"/>
    <m/>
    <s v="JTHGZ1E24P5030473"/>
    <n v="0"/>
    <x v="6"/>
  </r>
  <r>
    <s v="240406A"/>
    <x v="37"/>
    <n v="48050"/>
    <m/>
    <s v="WA1C4AFY6M2073799"/>
    <n v="0"/>
    <x v="6"/>
  </r>
  <r>
    <s v="240428A"/>
    <x v="22"/>
    <n v="20050"/>
    <m/>
    <s v="3VW6T7BU1KM170911"/>
    <n v="0"/>
    <x v="6"/>
  </r>
  <r>
    <s v="240408A"/>
    <x v="9"/>
    <n v="17550"/>
    <m/>
    <s v="3VWCB7BU8LM054547"/>
    <n v="0"/>
    <x v="6"/>
  </r>
  <r>
    <s v="240312A"/>
    <x v="22"/>
    <n v="14300"/>
    <m/>
    <s v="3VWN57BU2KM099546"/>
    <n v="0"/>
    <x v="6"/>
  </r>
  <r>
    <s v="230668A"/>
    <x v="44"/>
    <n v="10550"/>
    <m/>
    <s v="4S4BSCDC6H3384820"/>
    <n v="0"/>
    <x v="6"/>
  </r>
  <r>
    <s v="240190A"/>
    <x v="45"/>
    <n v="49050"/>
    <m/>
    <s v="2T2GGCEZ0NC005114"/>
    <n v="0"/>
    <x v="6"/>
  </r>
  <r>
    <s v="240318A"/>
    <x v="29"/>
    <n v="19550"/>
    <m/>
    <s v="3VWG57AU2MM003122"/>
    <n v="0"/>
    <x v="6"/>
  </r>
  <r>
    <s v="240044B"/>
    <x v="46"/>
    <n v="16050"/>
    <m/>
    <s v="2T3DFREV4FW268997"/>
    <n v="0"/>
    <x v="6"/>
  </r>
  <r>
    <m/>
    <x v="47"/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DF652-85D7-401D-8745-602372F90575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M12" firstHeaderRow="0" firstDataRow="1" firstDataCol="1" rowPageCount="1" colPageCount="1"/>
  <pivotFields count="7">
    <pivotField showAll="0"/>
    <pivotField axis="axisRow" showAll="0">
      <items count="14">
        <item x="10"/>
        <item x="8"/>
        <item x="9"/>
        <item x="5"/>
        <item x="1"/>
        <item x="4"/>
        <item x="7"/>
        <item x="11"/>
        <item x="0"/>
        <item x="6"/>
        <item x="3"/>
        <item x="2"/>
        <item x="12"/>
        <item t="default"/>
      </items>
    </pivotField>
    <pivotField dataField="1" showAll="0"/>
    <pivotField showAll="0"/>
    <pivotField dataField="1" showAll="0"/>
    <pivotField showAll="0">
      <items count="54"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5"/>
        <item x="34"/>
        <item x="26"/>
        <item x="33"/>
        <item x="25"/>
        <item x="32"/>
        <item x="29"/>
        <item x="28"/>
        <item x="31"/>
        <item x="30"/>
        <item x="27"/>
        <item x="24"/>
        <item x="23"/>
        <item x="52"/>
        <item t="default"/>
      </items>
    </pivotField>
    <pivotField axis="axisPage" multipleItemSelectionAllowed="1" showAll="0">
      <items count="7">
        <item h="1" x="4"/>
        <item x="3"/>
        <item h="1" x="2"/>
        <item h="1" x="1"/>
        <item h="1" x="0"/>
        <item h="1" x="5"/>
        <item t="default"/>
      </items>
    </pivotField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 of 1402" fld="2" baseField="0" baseItem="0" numFmtId="164"/>
    <dataField name="Count of NIV" fld="4" subtotal="count" baseField="0" baseItem="0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DBD7C-225C-46D7-8EFC-6DD848FC22FF}" name="PivotTable2" cacheId="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K23:N38" firstHeaderRow="0" firstDataRow="1" firstDataCol="1"/>
  <pivotFields count="7">
    <pivotField showAll="0"/>
    <pivotField axis="axisRow" showAll="0">
      <items count="49">
        <item x="3"/>
        <item x="0"/>
        <item x="25"/>
        <item x="20"/>
        <item x="13"/>
        <item x="46"/>
        <item x="19"/>
        <item x="41"/>
        <item x="7"/>
        <item x="42"/>
        <item x="44"/>
        <item x="40"/>
        <item x="5"/>
        <item x="26"/>
        <item x="12"/>
        <item x="33"/>
        <item x="2"/>
        <item x="35"/>
        <item x="28"/>
        <item x="11"/>
        <item x="16"/>
        <item x="39"/>
        <item x="36"/>
        <item x="22"/>
        <item x="8"/>
        <item x="32"/>
        <item x="23"/>
        <item x="10"/>
        <item x="34"/>
        <item x="1"/>
        <item x="31"/>
        <item x="9"/>
        <item x="15"/>
        <item x="6"/>
        <item x="37"/>
        <item x="29"/>
        <item x="27"/>
        <item x="14"/>
        <item x="4"/>
        <item x="45"/>
        <item x="21"/>
        <item x="30"/>
        <item x="24"/>
        <item x="43"/>
        <item x="38"/>
        <item x="18"/>
        <item x="17"/>
        <item x="47"/>
        <item t="default"/>
      </items>
    </pivotField>
    <pivotField dataField="1" showAll="0"/>
    <pivotField showAll="0"/>
    <pivotField dataField="1" showAll="0"/>
    <pivotField showAll="0"/>
    <pivotField axis="axisRow" dataField="1" multipleItemSelectionAllowed="1" showAll="0">
      <items count="9">
        <item h="1" x="6"/>
        <item x="2"/>
        <item x="1"/>
        <item x="0"/>
        <item h="1" x="5"/>
        <item h="1" x="4"/>
        <item h="1" x="3"/>
        <item h="1" x="7"/>
        <item t="default"/>
      </items>
    </pivotField>
  </pivotFields>
  <rowFields count="2">
    <field x="6"/>
    <field x="1"/>
  </rowFields>
  <rowItems count="15">
    <i>
      <x v="1"/>
    </i>
    <i r="1">
      <x v="8"/>
    </i>
    <i r="1">
      <x v="12"/>
    </i>
    <i r="1">
      <x v="24"/>
    </i>
    <i r="1">
      <x v="27"/>
    </i>
    <i r="1">
      <x v="31"/>
    </i>
    <i r="1">
      <x v="33"/>
    </i>
    <i r="1">
      <x v="38"/>
    </i>
    <i>
      <x v="2"/>
    </i>
    <i r="1">
      <x/>
    </i>
    <i r="1">
      <x v="16"/>
    </i>
    <i>
      <x v="3"/>
    </i>
    <i r="1">
      <x v="1"/>
    </i>
    <i r="1"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1416" fld="2" baseField="0" baseItem="0" numFmtId="164"/>
    <dataField name="Count of NIV" fld="4" subtotal="count" baseField="0" baseItem="0"/>
    <dataField name="Count of Classement" fld="6" subtotal="count" baseField="0" baseItem="0"/>
  </dataFields>
  <formats count="6">
    <format dxfId="7">
      <pivotArea field="6" type="button" dataOnly="0" labelOnly="1" outline="0" axis="axisRow" fieldPosition="0"/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collapsedLevelsAreSubtotals="1" fieldPosition="0">
        <references count="1">
          <reference field="1" count="1">
            <x v="0"/>
          </reference>
        </references>
      </pivotArea>
    </format>
    <format dxfId="4">
      <pivotArea dataOnly="0" labelOnly="1" fieldPosition="0">
        <references count="1">
          <reference field="1" count="1">
            <x v="0"/>
          </reference>
        </references>
      </pivotArea>
    </format>
    <format dxfId="3">
      <pivotArea collapsedLevelsAreSubtotals="1" fieldPosition="0">
        <references count="1">
          <reference field="1" count="1">
            <x v="16"/>
          </reference>
        </references>
      </pivotArea>
    </format>
    <format dxfId="2">
      <pivotArea dataOnly="0" labelOnly="1" fieldPosition="0">
        <references count="1">
          <reference field="1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30B8-A96B-4D7E-AE18-A651809AABEB}">
  <dimension ref="B2:O72"/>
  <sheetViews>
    <sheetView workbookViewId="0">
      <selection activeCell="K18" sqref="K18"/>
    </sheetView>
  </sheetViews>
  <sheetFormatPr baseColWidth="10" defaultColWidth="9.140625" defaultRowHeight="15" x14ac:dyDescent="0.25"/>
  <cols>
    <col min="2" max="2" width="15.28515625" customWidth="1"/>
    <col min="3" max="3" width="13.140625" customWidth="1"/>
    <col min="4" max="4" width="12.28515625" customWidth="1"/>
    <col min="5" max="5" width="15.140625" customWidth="1"/>
    <col min="6" max="6" width="14" customWidth="1"/>
    <col min="11" max="11" width="29.42578125" bestFit="1" customWidth="1"/>
    <col min="12" max="12" width="11.42578125" style="22" bestFit="1" customWidth="1"/>
    <col min="13" max="13" width="11.85546875" style="22" bestFit="1" customWidth="1"/>
    <col min="14" max="14" width="19" bestFit="1" customWidth="1"/>
  </cols>
  <sheetData>
    <row r="2" spans="2:13" x14ac:dyDescent="0.25">
      <c r="B2" s="26" t="s">
        <v>87</v>
      </c>
      <c r="K2" s="39" t="s">
        <v>53</v>
      </c>
      <c r="L2" s="43" t="s">
        <v>60</v>
      </c>
    </row>
    <row r="4" spans="2:13" x14ac:dyDescent="0.25">
      <c r="B4" s="27" t="s">
        <v>53</v>
      </c>
      <c r="C4" s="27" t="s">
        <v>54</v>
      </c>
      <c r="D4" s="27" t="s">
        <v>55</v>
      </c>
      <c r="E4" s="27" t="s">
        <v>56</v>
      </c>
      <c r="F4" s="27" t="s">
        <v>57</v>
      </c>
      <c r="K4" s="36" t="s">
        <v>81</v>
      </c>
      <c r="L4" s="22" t="s">
        <v>83</v>
      </c>
      <c r="M4" t="s">
        <v>84</v>
      </c>
    </row>
    <row r="5" spans="2:13" x14ac:dyDescent="0.25">
      <c r="B5" s="28" t="s">
        <v>58</v>
      </c>
      <c r="C5" s="29">
        <f>COUNTIF(Neuf!G:G,Sommaire!B5)</f>
        <v>5</v>
      </c>
      <c r="D5" s="30">
        <f>C5/$C$12</f>
        <v>4.9504950495049507E-2</v>
      </c>
      <c r="E5" s="31">
        <f>SUMIF(Neuf!G:G,Sommaire!B5,Neuf!C:C)</f>
        <v>203768.72</v>
      </c>
      <c r="F5" s="30">
        <f>E5/$E$12</f>
        <v>4.3257396457303761E-2</v>
      </c>
      <c r="K5" s="37" t="s">
        <v>19</v>
      </c>
      <c r="L5" s="22">
        <v>30245.52</v>
      </c>
      <c r="M5">
        <v>1</v>
      </c>
    </row>
    <row r="6" spans="2:13" x14ac:dyDescent="0.25">
      <c r="B6" s="28" t="s">
        <v>59</v>
      </c>
      <c r="C6" s="29">
        <f>COUNTIF(Neuf!G:G,Sommaire!B6)</f>
        <v>22</v>
      </c>
      <c r="D6" s="30">
        <f t="shared" ref="D6:D11" si="0">C6/$C$12</f>
        <v>0.21782178217821782</v>
      </c>
      <c r="E6" s="31">
        <f>SUMIF(Neuf!G:G,Sommaire!B6,Neuf!C:C)</f>
        <v>1151716.3600000001</v>
      </c>
      <c r="F6" s="30">
        <f t="shared" ref="F6:F11" si="1">E6/$E$12</f>
        <v>0.2444941068034524</v>
      </c>
      <c r="K6" s="37" t="s">
        <v>14</v>
      </c>
      <c r="L6" s="22">
        <v>105746.7</v>
      </c>
      <c r="M6">
        <v>3</v>
      </c>
    </row>
    <row r="7" spans="2:13" x14ac:dyDescent="0.25">
      <c r="B7" s="28" t="s">
        <v>60</v>
      </c>
      <c r="C7" s="29">
        <f>COUNTIF(Neuf!G:G,Sommaire!B7)</f>
        <v>11</v>
      </c>
      <c r="D7" s="30">
        <f t="shared" si="0"/>
        <v>0.10891089108910891</v>
      </c>
      <c r="E7" s="31">
        <f>SUMIF(Neuf!G:G,Sommaire!B7,Neuf!C:C)</f>
        <v>573885.46</v>
      </c>
      <c r="F7" s="30">
        <f t="shared" si="1"/>
        <v>0.1218282711119849</v>
      </c>
      <c r="K7" s="37" t="s">
        <v>13</v>
      </c>
      <c r="L7" s="22">
        <v>210943.85</v>
      </c>
      <c r="M7">
        <v>4</v>
      </c>
    </row>
    <row r="8" spans="2:13" x14ac:dyDescent="0.25">
      <c r="B8" s="28" t="s">
        <v>61</v>
      </c>
      <c r="C8" s="29">
        <f>COUNTIF(Neuf!G:G,Sommaire!B8)</f>
        <v>17</v>
      </c>
      <c r="D8" s="30">
        <f t="shared" si="0"/>
        <v>0.16831683168316833</v>
      </c>
      <c r="E8" s="31">
        <f>SUMIF(Neuf!G:G,Sommaire!B8,Neuf!C:C)</f>
        <v>705352.47</v>
      </c>
      <c r="F8" s="30">
        <f t="shared" si="1"/>
        <v>0.14973697354985818</v>
      </c>
      <c r="K8" s="37" t="s">
        <v>10</v>
      </c>
      <c r="L8" s="22">
        <v>379166.38999999996</v>
      </c>
      <c r="M8">
        <v>7</v>
      </c>
    </row>
    <row r="9" spans="2:13" x14ac:dyDescent="0.25">
      <c r="B9" s="28" t="s">
        <v>62</v>
      </c>
      <c r="C9" s="29">
        <f>COUNTIF(Neuf!G:G,Sommaire!B9)</f>
        <v>9</v>
      </c>
      <c r="D9" s="30">
        <f t="shared" si="0"/>
        <v>8.9108910891089105E-2</v>
      </c>
      <c r="E9" s="31">
        <f>SUMIF(Neuf!G:G,Sommaire!B9,Neuf!C:C)</f>
        <v>354272.05999999994</v>
      </c>
      <c r="F9" s="30">
        <f t="shared" si="1"/>
        <v>7.5207259255324871E-2</v>
      </c>
      <c r="K9" s="37" t="s">
        <v>6</v>
      </c>
      <c r="L9" s="22">
        <v>37506.9</v>
      </c>
      <c r="M9">
        <v>1</v>
      </c>
    </row>
    <row r="10" spans="2:13" x14ac:dyDescent="0.25">
      <c r="B10" s="28" t="s">
        <v>63</v>
      </c>
      <c r="C10" s="29">
        <f>COUNTIF(Neuf!G:G,Sommaire!B10)</f>
        <v>11</v>
      </c>
      <c r="D10" s="30">
        <f t="shared" si="0"/>
        <v>0.10891089108910891</v>
      </c>
      <c r="E10" s="31">
        <f>SUMIF(Neuf!G:G,Sommaire!B10,Neuf!C:C)</f>
        <v>539345.44999999995</v>
      </c>
      <c r="F10" s="30">
        <f t="shared" si="1"/>
        <v>0.1144958851294394</v>
      </c>
      <c r="K10" s="37" t="s">
        <v>12</v>
      </c>
      <c r="L10" s="22">
        <v>32637</v>
      </c>
      <c r="M10">
        <v>1</v>
      </c>
    </row>
    <row r="11" spans="2:13" x14ac:dyDescent="0.25">
      <c r="B11" s="28" t="s">
        <v>64</v>
      </c>
      <c r="C11" s="29">
        <f>COUNTIF(Neuf!G:G,Sommaire!B11)</f>
        <v>26</v>
      </c>
      <c r="D11" s="30">
        <f t="shared" si="0"/>
        <v>0.25742574257425743</v>
      </c>
      <c r="E11" s="31">
        <f>SUMIF(Neuf!G:G,Sommaire!B11,Neuf!C:C)</f>
        <v>1182269.3800000001</v>
      </c>
      <c r="F11" s="30">
        <f t="shared" si="1"/>
        <v>0.25098010769263662</v>
      </c>
      <c r="K11" s="37" t="s">
        <v>8</v>
      </c>
      <c r="L11" s="22">
        <v>60613.97</v>
      </c>
      <c r="M11">
        <v>2</v>
      </c>
    </row>
    <row r="12" spans="2:13" x14ac:dyDescent="0.25">
      <c r="B12" s="28" t="s">
        <v>65</v>
      </c>
      <c r="C12" s="29">
        <f>SUM(C5:C11)</f>
        <v>101</v>
      </c>
      <c r="D12" s="30">
        <f>SUM(D5:D11)</f>
        <v>1</v>
      </c>
      <c r="E12" s="31">
        <f>SUM(E5:E11)</f>
        <v>4710609.8999999994</v>
      </c>
      <c r="F12" s="30">
        <f>SUM(F5:F11)</f>
        <v>1.0000000000000002</v>
      </c>
      <c r="K12" s="37" t="s">
        <v>82</v>
      </c>
      <c r="L12" s="22">
        <v>856860.33000000007</v>
      </c>
      <c r="M12">
        <v>19</v>
      </c>
    </row>
    <row r="13" spans="2:13" x14ac:dyDescent="0.25">
      <c r="B13" s="47" t="s">
        <v>66</v>
      </c>
      <c r="C13" s="47"/>
      <c r="D13" s="47"/>
      <c r="E13" s="32">
        <f>E12/C12</f>
        <v>46639.701980198013</v>
      </c>
      <c r="F13" s="29"/>
      <c r="M13"/>
    </row>
    <row r="14" spans="2:13" x14ac:dyDescent="0.25">
      <c r="M14"/>
    </row>
    <row r="15" spans="2:13" x14ac:dyDescent="0.25">
      <c r="B15" s="27" t="s">
        <v>67</v>
      </c>
      <c r="C15" s="35">
        <f>'Unite budgete'!C7</f>
        <v>60.709999999999994</v>
      </c>
      <c r="D15" s="30">
        <f>C12/C15</f>
        <v>1.6636468456596938</v>
      </c>
      <c r="E15" s="42">
        <f>'Unite budgete'!C8</f>
        <v>2623173.5860199993</v>
      </c>
      <c r="F15" s="30">
        <f>E12/E15</f>
        <v>1.795767510432718</v>
      </c>
      <c r="M15"/>
    </row>
    <row r="16" spans="2:13" x14ac:dyDescent="0.25">
      <c r="B16" s="27" t="s">
        <v>85</v>
      </c>
      <c r="C16" s="35">
        <f>C12-C15</f>
        <v>40.290000000000006</v>
      </c>
      <c r="D16" s="41"/>
      <c r="E16" s="42">
        <f>E12-E15</f>
        <v>2087436.3139800001</v>
      </c>
      <c r="F16" s="41"/>
      <c r="M16"/>
    </row>
    <row r="17" spans="2:15" x14ac:dyDescent="0.25">
      <c r="B17" s="47" t="s">
        <v>86</v>
      </c>
      <c r="C17" s="47"/>
      <c r="D17" s="47"/>
      <c r="E17" s="32">
        <f>E15/C15</f>
        <v>43208.261999999995</v>
      </c>
      <c r="F17" s="29"/>
      <c r="M17"/>
    </row>
    <row r="18" spans="2:15" x14ac:dyDescent="0.25">
      <c r="M18"/>
    </row>
    <row r="19" spans="2:15" x14ac:dyDescent="0.25">
      <c r="M19"/>
    </row>
    <row r="20" spans="2:15" x14ac:dyDescent="0.25">
      <c r="M20"/>
    </row>
    <row r="21" spans="2:15" x14ac:dyDescent="0.25">
      <c r="B21" s="26" t="s">
        <v>88</v>
      </c>
      <c r="L21"/>
    </row>
    <row r="22" spans="2:15" x14ac:dyDescent="0.25">
      <c r="O22" s="26"/>
    </row>
    <row r="23" spans="2:15" x14ac:dyDescent="0.25">
      <c r="B23" s="27" t="s">
        <v>53</v>
      </c>
      <c r="C23" s="27" t="s">
        <v>54</v>
      </c>
      <c r="D23" s="27" t="s">
        <v>55</v>
      </c>
      <c r="E23" s="27" t="s">
        <v>56</v>
      </c>
      <c r="F23" s="27" t="s">
        <v>57</v>
      </c>
      <c r="L23" t="s">
        <v>89</v>
      </c>
      <c r="M23" t="s">
        <v>84</v>
      </c>
      <c r="N23" t="s">
        <v>91</v>
      </c>
    </row>
    <row r="24" spans="2:15" x14ac:dyDescent="0.25">
      <c r="B24" s="28" t="s">
        <v>58</v>
      </c>
      <c r="C24" s="29">
        <f>COUNTIF(Usages!G:G,Sommaire!B24)</f>
        <v>4</v>
      </c>
      <c r="D24" s="30">
        <f>C24/$C$31</f>
        <v>0.10256410256410256</v>
      </c>
      <c r="E24" s="31">
        <f>SUMIF(Usages!G:G,Sommaire!B24,Usages!C:C)</f>
        <v>85414.23</v>
      </c>
      <c r="F24" s="30">
        <f>E24/$E$31</f>
        <v>0.10828750792211748</v>
      </c>
      <c r="K24" s="37" t="s">
        <v>60</v>
      </c>
      <c r="L24" s="34">
        <v>254592.92999999996</v>
      </c>
      <c r="M24">
        <v>10</v>
      </c>
      <c r="N24">
        <v>10</v>
      </c>
      <c r="O24" s="40"/>
    </row>
    <row r="25" spans="2:15" x14ac:dyDescent="0.25">
      <c r="B25" s="28" t="s">
        <v>59</v>
      </c>
      <c r="C25" s="29">
        <f>COUNTIF(Usages!G:G,Sommaire!B25)</f>
        <v>0</v>
      </c>
      <c r="D25" s="30">
        <f t="shared" ref="D25:D30" si="2">C25/$C$31</f>
        <v>0</v>
      </c>
      <c r="E25" s="31">
        <f>SUMIF(Usages!G:G,Sommaire!B25,Usages!C:C)</f>
        <v>0</v>
      </c>
      <c r="F25" s="30">
        <f t="shared" ref="F25:F31" si="3">E25/$E$31</f>
        <v>0</v>
      </c>
      <c r="K25" s="38" t="s">
        <v>33</v>
      </c>
      <c r="L25" s="34">
        <v>20107</v>
      </c>
      <c r="M25">
        <v>1</v>
      </c>
      <c r="N25">
        <v>1</v>
      </c>
    </row>
    <row r="26" spans="2:15" x14ac:dyDescent="0.25">
      <c r="B26" s="28" t="s">
        <v>60</v>
      </c>
      <c r="C26" s="29">
        <f>COUNTIF(Usages!G:G,Sommaire!B26)</f>
        <v>0</v>
      </c>
      <c r="D26" s="30">
        <f t="shared" si="2"/>
        <v>0</v>
      </c>
      <c r="E26" s="31">
        <f>SUMIF(Usages!G:G,Sommaire!B26,Usages!C:C)</f>
        <v>0</v>
      </c>
      <c r="F26" s="30">
        <f t="shared" si="3"/>
        <v>0</v>
      </c>
      <c r="K26" s="38" t="s">
        <v>34</v>
      </c>
      <c r="L26" s="34">
        <v>17701.95</v>
      </c>
      <c r="M26">
        <v>1</v>
      </c>
      <c r="N26">
        <v>1</v>
      </c>
      <c r="O26" s="26"/>
    </row>
    <row r="27" spans="2:15" x14ac:dyDescent="0.25">
      <c r="B27" s="28" t="s">
        <v>61</v>
      </c>
      <c r="C27" s="29">
        <f>COUNTIF(Usages!G:G,Sommaire!B27)</f>
        <v>1</v>
      </c>
      <c r="D27" s="30">
        <f t="shared" si="2"/>
        <v>2.564102564102564E-2</v>
      </c>
      <c r="E27" s="31">
        <f>SUMIF(Usages!G:G,Sommaire!B27,Usages!C:C)</f>
        <v>1207.5</v>
      </c>
      <c r="F27" s="30">
        <f t="shared" si="3"/>
        <v>1.5308592703576075E-3</v>
      </c>
      <c r="K27" s="38" t="s">
        <v>31</v>
      </c>
      <c r="L27" s="34">
        <v>26815.25</v>
      </c>
      <c r="M27">
        <v>1</v>
      </c>
      <c r="N27">
        <v>1</v>
      </c>
    </row>
    <row r="28" spans="2:15" x14ac:dyDescent="0.25">
      <c r="B28" s="28" t="s">
        <v>62</v>
      </c>
      <c r="C28" s="29">
        <f>COUNTIF(Usages!G:G,Sommaire!B28)</f>
        <v>2</v>
      </c>
      <c r="D28" s="30">
        <f t="shared" si="2"/>
        <v>5.128205128205128E-2</v>
      </c>
      <c r="E28" s="31">
        <f>SUMIF(Usages!G:G,Sommaire!B28,Usages!C:C)</f>
        <v>39188.300000000003</v>
      </c>
      <c r="F28" s="30">
        <f t="shared" si="3"/>
        <v>4.9682627200459656E-2</v>
      </c>
      <c r="K28" s="38" t="s">
        <v>30</v>
      </c>
      <c r="L28" s="34">
        <v>28211.38</v>
      </c>
      <c r="M28">
        <v>1</v>
      </c>
      <c r="N28">
        <v>1</v>
      </c>
      <c r="O28" s="40"/>
    </row>
    <row r="29" spans="2:15" x14ac:dyDescent="0.25">
      <c r="B29" s="28" t="s">
        <v>63</v>
      </c>
      <c r="C29" s="29">
        <f>COUNTIF(Usages!G:G,Sommaire!B29)</f>
        <v>7</v>
      </c>
      <c r="D29" s="30">
        <f t="shared" si="2"/>
        <v>0.17948717948717949</v>
      </c>
      <c r="E29" s="31">
        <f>SUMIF(Usages!G:G,Sommaire!B29,Usages!C:C)</f>
        <v>183027.52999999997</v>
      </c>
      <c r="F29" s="30">
        <f t="shared" si="3"/>
        <v>0.23204090354547005</v>
      </c>
      <c r="K29" s="38" t="s">
        <v>32</v>
      </c>
      <c r="L29" s="34">
        <v>18043.82</v>
      </c>
      <c r="M29">
        <v>1</v>
      </c>
      <c r="N29">
        <v>1</v>
      </c>
    </row>
    <row r="30" spans="2:15" x14ac:dyDescent="0.25">
      <c r="B30" s="28" t="s">
        <v>64</v>
      </c>
      <c r="C30" s="29">
        <f>COUNTIF(Usages!G:G,Sommaire!B30)</f>
        <v>25</v>
      </c>
      <c r="D30" s="30">
        <f t="shared" si="2"/>
        <v>0.64102564102564108</v>
      </c>
      <c r="E30" s="31">
        <f>SUMIF(Usages!G:G,Sommaire!B30,Usages!C:C)</f>
        <v>479935.14</v>
      </c>
      <c r="F30" s="30">
        <f t="shared" si="3"/>
        <v>0.60845810206159523</v>
      </c>
      <c r="K30" s="38" t="s">
        <v>28</v>
      </c>
      <c r="L30" s="34">
        <v>86631.13</v>
      </c>
      <c r="M30">
        <v>3</v>
      </c>
      <c r="N30">
        <v>3</v>
      </c>
    </row>
    <row r="31" spans="2:15" x14ac:dyDescent="0.25">
      <c r="B31" s="28" t="s">
        <v>65</v>
      </c>
      <c r="C31" s="29">
        <f>SUM(C24:C30)</f>
        <v>39</v>
      </c>
      <c r="D31" s="30">
        <f>SUM(D24:D30)</f>
        <v>1</v>
      </c>
      <c r="E31" s="31">
        <f>SUM(E24:E30)</f>
        <v>788772.7</v>
      </c>
      <c r="F31" s="30">
        <f t="shared" si="3"/>
        <v>1</v>
      </c>
      <c r="K31" s="38" t="s">
        <v>29</v>
      </c>
      <c r="L31" s="34">
        <v>57082.400000000001</v>
      </c>
      <c r="M31">
        <v>2</v>
      </c>
      <c r="N31">
        <v>2</v>
      </c>
    </row>
    <row r="32" spans="2:15" x14ac:dyDescent="0.25">
      <c r="B32" s="47" t="s">
        <v>66</v>
      </c>
      <c r="C32" s="47"/>
      <c r="D32" s="47"/>
      <c r="E32" s="32">
        <f>E31/C31</f>
        <v>20224.941025641023</v>
      </c>
      <c r="F32" s="29"/>
      <c r="K32" s="37" t="s">
        <v>59</v>
      </c>
      <c r="L32" s="34">
        <v>46931.51</v>
      </c>
      <c r="M32">
        <v>2</v>
      </c>
      <c r="N32">
        <v>2</v>
      </c>
    </row>
    <row r="33" spans="2:15" x14ac:dyDescent="0.25">
      <c r="K33" s="46" t="s">
        <v>36</v>
      </c>
      <c r="L33" s="44">
        <v>11646.62</v>
      </c>
      <c r="M33" s="45">
        <v>1</v>
      </c>
      <c r="N33" s="45">
        <v>1</v>
      </c>
      <c r="O33" s="40" t="s">
        <v>90</v>
      </c>
    </row>
    <row r="34" spans="2:15" x14ac:dyDescent="0.25">
      <c r="B34" s="27" t="s">
        <v>67</v>
      </c>
      <c r="C34" s="35">
        <f>'Unite budgete'!C14</f>
        <v>90.446500000000015</v>
      </c>
      <c r="D34" s="30">
        <f>C31/C34</f>
        <v>0.43119413133730983</v>
      </c>
      <c r="E34" s="42">
        <f>'Unite budgete'!C15</f>
        <v>2101286.3319340986</v>
      </c>
      <c r="F34" s="30">
        <f>E31/E34</f>
        <v>0.37537611510278351</v>
      </c>
      <c r="K34" s="46" t="s">
        <v>23</v>
      </c>
      <c r="L34" s="44">
        <v>35284.89</v>
      </c>
      <c r="M34" s="45">
        <v>1</v>
      </c>
      <c r="N34" s="45">
        <v>1</v>
      </c>
      <c r="O34" s="40" t="s">
        <v>90</v>
      </c>
    </row>
    <row r="35" spans="2:15" x14ac:dyDescent="0.25">
      <c r="B35" s="27" t="s">
        <v>85</v>
      </c>
      <c r="C35" s="35">
        <f>C31-C34</f>
        <v>-51.446500000000015</v>
      </c>
      <c r="D35" s="41"/>
      <c r="E35" s="42">
        <f>E31-E34</f>
        <v>-1312513.6319340987</v>
      </c>
      <c r="F35" s="41"/>
      <c r="K35" s="37" t="s">
        <v>58</v>
      </c>
      <c r="L35" s="34">
        <v>64330.07</v>
      </c>
      <c r="M35">
        <v>3</v>
      </c>
      <c r="N35">
        <v>3</v>
      </c>
    </row>
    <row r="36" spans="2:15" x14ac:dyDescent="0.25">
      <c r="B36" s="47" t="s">
        <v>86</v>
      </c>
      <c r="C36" s="47"/>
      <c r="D36" s="47"/>
      <c r="E36" s="32">
        <f>E34/C34</f>
        <v>23232.367553571428</v>
      </c>
      <c r="F36" s="29"/>
      <c r="K36" s="38" t="s">
        <v>39</v>
      </c>
      <c r="L36" s="34">
        <v>9140.85</v>
      </c>
      <c r="M36">
        <v>1</v>
      </c>
      <c r="N36">
        <v>1</v>
      </c>
    </row>
    <row r="37" spans="2:15" x14ac:dyDescent="0.25">
      <c r="K37" s="38" t="s">
        <v>26</v>
      </c>
      <c r="L37" s="34">
        <v>55189.22</v>
      </c>
      <c r="M37">
        <v>2</v>
      </c>
      <c r="N37">
        <v>2</v>
      </c>
    </row>
    <row r="38" spans="2:15" x14ac:dyDescent="0.25">
      <c r="K38" s="37" t="s">
        <v>82</v>
      </c>
      <c r="L38" s="34">
        <v>365854.51</v>
      </c>
      <c r="M38">
        <v>15</v>
      </c>
      <c r="N38">
        <v>15</v>
      </c>
    </row>
    <row r="39" spans="2:15" x14ac:dyDescent="0.25">
      <c r="L39"/>
      <c r="M39"/>
    </row>
    <row r="40" spans="2:15" x14ac:dyDescent="0.25">
      <c r="L40"/>
      <c r="M40"/>
    </row>
    <row r="41" spans="2:15" x14ac:dyDescent="0.25">
      <c r="L41"/>
      <c r="M41"/>
    </row>
    <row r="42" spans="2:15" x14ac:dyDescent="0.25">
      <c r="L42"/>
      <c r="M42"/>
    </row>
    <row r="43" spans="2:15" x14ac:dyDescent="0.25">
      <c r="L43"/>
      <c r="M43"/>
    </row>
    <row r="44" spans="2:15" x14ac:dyDescent="0.25">
      <c r="L44"/>
      <c r="M44"/>
    </row>
    <row r="45" spans="2:15" x14ac:dyDescent="0.25">
      <c r="L45"/>
      <c r="M45"/>
    </row>
    <row r="46" spans="2:15" x14ac:dyDescent="0.25">
      <c r="L46"/>
      <c r="M46"/>
    </row>
    <row r="47" spans="2:15" x14ac:dyDescent="0.25">
      <c r="L47"/>
      <c r="M47"/>
    </row>
    <row r="48" spans="2:15" x14ac:dyDescent="0.25">
      <c r="L48"/>
      <c r="M48"/>
    </row>
    <row r="49" spans="12:13" x14ac:dyDescent="0.25">
      <c r="L49"/>
      <c r="M49"/>
    </row>
    <row r="50" spans="12:13" x14ac:dyDescent="0.25">
      <c r="L50"/>
      <c r="M50"/>
    </row>
    <row r="51" spans="12:13" x14ac:dyDescent="0.25">
      <c r="L51"/>
      <c r="M51"/>
    </row>
    <row r="52" spans="12:13" x14ac:dyDescent="0.25">
      <c r="L52"/>
      <c r="M52"/>
    </row>
    <row r="53" spans="12:13" x14ac:dyDescent="0.25">
      <c r="L53"/>
      <c r="M53"/>
    </row>
    <row r="54" spans="12:13" x14ac:dyDescent="0.25">
      <c r="L54"/>
      <c r="M54"/>
    </row>
    <row r="55" spans="12:13" x14ac:dyDescent="0.25">
      <c r="L55"/>
      <c r="M55"/>
    </row>
    <row r="56" spans="12:13" x14ac:dyDescent="0.25">
      <c r="L56"/>
      <c r="M56"/>
    </row>
    <row r="57" spans="12:13" x14ac:dyDescent="0.25">
      <c r="L57"/>
      <c r="M57"/>
    </row>
    <row r="58" spans="12:13" x14ac:dyDescent="0.25">
      <c r="L58"/>
      <c r="M58"/>
    </row>
    <row r="59" spans="12:13" x14ac:dyDescent="0.25">
      <c r="L59"/>
      <c r="M59"/>
    </row>
    <row r="60" spans="12:13" x14ac:dyDescent="0.25">
      <c r="L60"/>
      <c r="M60"/>
    </row>
    <row r="61" spans="12:13" x14ac:dyDescent="0.25">
      <c r="L61"/>
      <c r="M61"/>
    </row>
    <row r="62" spans="12:13" x14ac:dyDescent="0.25">
      <c r="L62"/>
      <c r="M62"/>
    </row>
    <row r="63" spans="12:13" x14ac:dyDescent="0.25">
      <c r="L63"/>
      <c r="M63"/>
    </row>
    <row r="64" spans="12:13" x14ac:dyDescent="0.25">
      <c r="L64"/>
      <c r="M64"/>
    </row>
    <row r="65" spans="12:13" x14ac:dyDescent="0.25">
      <c r="L65"/>
      <c r="M65"/>
    </row>
    <row r="66" spans="12:13" x14ac:dyDescent="0.25">
      <c r="L66"/>
      <c r="M66"/>
    </row>
    <row r="67" spans="12:13" x14ac:dyDescent="0.25">
      <c r="L67"/>
      <c r="M67"/>
    </row>
    <row r="68" spans="12:13" x14ac:dyDescent="0.25">
      <c r="L68"/>
      <c r="M68"/>
    </row>
    <row r="69" spans="12:13" x14ac:dyDescent="0.25">
      <c r="L69"/>
      <c r="M69"/>
    </row>
    <row r="70" spans="12:13" x14ac:dyDescent="0.25">
      <c r="L70"/>
      <c r="M70"/>
    </row>
    <row r="71" spans="12:13" x14ac:dyDescent="0.25">
      <c r="L71"/>
      <c r="M71"/>
    </row>
    <row r="72" spans="12:13" x14ac:dyDescent="0.25">
      <c r="L72"/>
      <c r="M72"/>
    </row>
  </sheetData>
  <mergeCells count="4">
    <mergeCell ref="B13:D13"/>
    <mergeCell ref="B17:D17"/>
    <mergeCell ref="B32:D32"/>
    <mergeCell ref="B36:D36"/>
  </mergeCells>
  <pageMargins left="0.7" right="0.7" top="0.75" bottom="0.75" header="0.3" footer="0.3"/>
  <pageSetup orientation="portrait" verticalDpi="0" r:id="rId3"/>
  <ignoredErrors>
    <ignoredError sqref="E15 E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zoomScaleNormal="100" workbookViewId="0">
      <selection activeCell="I27" sqref="I27"/>
    </sheetView>
  </sheetViews>
  <sheetFormatPr baseColWidth="10" defaultColWidth="9.140625" defaultRowHeight="15" x14ac:dyDescent="0.25"/>
  <cols>
    <col min="1" max="1" width="20.7109375" style="1" customWidth="1"/>
    <col min="2" max="2" width="38.7109375" style="1" customWidth="1"/>
    <col min="3" max="4" width="12.7109375" style="2" customWidth="1"/>
    <col min="5" max="5" width="14.7109375" style="1" customWidth="1"/>
    <col min="6" max="6" width="12.7109375" style="3" customWidth="1"/>
    <col min="7" max="7" width="13.140625" customWidth="1"/>
    <col min="9" max="9" width="21.28515625" bestFit="1" customWidth="1"/>
    <col min="10" max="10" width="13.42578125" bestFit="1" customWidth="1"/>
    <col min="11" max="11" width="14.140625" bestFit="1" customWidth="1"/>
    <col min="14" max="15" width="15.28515625" customWidth="1"/>
    <col min="16" max="16" width="15" customWidth="1"/>
  </cols>
  <sheetData>
    <row r="1" spans="1:16" x14ac:dyDescent="0.25">
      <c r="A1" s="49" t="s">
        <v>0</v>
      </c>
      <c r="B1" s="49" t="s">
        <v>1</v>
      </c>
      <c r="C1" s="51" t="s">
        <v>2</v>
      </c>
      <c r="D1" s="51" t="s">
        <v>3</v>
      </c>
      <c r="E1" s="49" t="s">
        <v>4</v>
      </c>
      <c r="F1" s="53" t="s">
        <v>5</v>
      </c>
      <c r="G1" s="15" t="s">
        <v>53</v>
      </c>
      <c r="I1" s="4"/>
      <c r="J1" s="5" t="s">
        <v>41</v>
      </c>
      <c r="K1" s="6" t="s">
        <v>42</v>
      </c>
      <c r="L1" s="7"/>
      <c r="M1" s="7"/>
      <c r="N1" s="7"/>
    </row>
    <row r="2" spans="1:16" x14ac:dyDescent="0.25">
      <c r="A2" s="50" t="s">
        <v>17</v>
      </c>
      <c r="B2" s="50" t="s">
        <v>14</v>
      </c>
      <c r="C2" s="52">
        <v>29553.74</v>
      </c>
      <c r="D2" s="52">
        <v>-32332.959999999999</v>
      </c>
      <c r="E2" s="50" t="s">
        <v>18</v>
      </c>
      <c r="F2" s="54">
        <v>477</v>
      </c>
      <c r="G2" s="25" t="str">
        <f>_xlfn.IFS(F2&lt;31,"0-30",F2&lt;61,"31-60",F2&lt;91,"61-90",F2&lt;121,"91-120",F2&lt;181,"121-180",F2&lt;301,"181-300",F2&gt;300,"301 &amp; +")</f>
        <v>301 &amp; +</v>
      </c>
      <c r="I2" s="8" t="s">
        <v>43</v>
      </c>
      <c r="J2" s="9">
        <f>SUM(C:C)</f>
        <v>4710609.8999999994</v>
      </c>
      <c r="K2" s="10">
        <f>SUM(D:D)</f>
        <v>-4701560.110000005</v>
      </c>
      <c r="L2" s="11"/>
      <c r="M2" s="11"/>
      <c r="N2" s="7"/>
    </row>
    <row r="3" spans="1:16" ht="15.75" thickBot="1" x14ac:dyDescent="0.3">
      <c r="A3" s="50" t="s">
        <v>15</v>
      </c>
      <c r="B3" s="50" t="s">
        <v>10</v>
      </c>
      <c r="C3" s="52">
        <v>55895.64</v>
      </c>
      <c r="D3" s="52">
        <v>-57051.75</v>
      </c>
      <c r="E3" s="50" t="s">
        <v>16</v>
      </c>
      <c r="F3" s="54">
        <v>465</v>
      </c>
      <c r="G3" s="25" t="str">
        <f>_xlfn.IFS(F3&lt;31,"0-30",F3&lt;61,"31-60",F3&lt;91,"61-90",F3&lt;121,"91-120",F3&lt;181,"121-180",F3&lt;301,"181-300",F3&gt;300,"301 &amp; +")</f>
        <v>301 &amp; +</v>
      </c>
      <c r="I3" s="12" t="s">
        <v>44</v>
      </c>
      <c r="J3" s="13">
        <f>COUNT(C:C)</f>
        <v>101</v>
      </c>
      <c r="K3" s="14">
        <f>-K2/J2</f>
        <v>0.99807884961987736</v>
      </c>
      <c r="L3" s="7"/>
      <c r="M3" s="7"/>
      <c r="N3" s="7"/>
    </row>
    <row r="4" spans="1:16" x14ac:dyDescent="0.25">
      <c r="A4" s="50" t="s">
        <v>92</v>
      </c>
      <c r="B4" s="50" t="s">
        <v>10</v>
      </c>
      <c r="C4" s="52">
        <v>57448.98</v>
      </c>
      <c r="D4" s="52">
        <v>-57916.95</v>
      </c>
      <c r="E4" s="50" t="s">
        <v>93</v>
      </c>
      <c r="F4" s="54">
        <v>323</v>
      </c>
      <c r="G4" s="25" t="str">
        <f>_xlfn.IFS(F4&lt;31,"0-30",F4&lt;61,"31-60",F4&lt;91,"61-90",F4&lt;121,"91-120",F4&lt;181,"121-180",F4&lt;301,"181-300",F4&gt;300,"301 &amp; +")</f>
        <v>301 &amp; +</v>
      </c>
      <c r="I4" s="7"/>
      <c r="J4" s="7"/>
      <c r="K4" s="7"/>
      <c r="L4" s="7"/>
      <c r="M4" s="7"/>
      <c r="N4" s="7"/>
    </row>
    <row r="5" spans="1:16" x14ac:dyDescent="0.25">
      <c r="A5" s="50" t="s">
        <v>94</v>
      </c>
      <c r="B5" s="50" t="s">
        <v>8</v>
      </c>
      <c r="C5" s="52">
        <v>31936.52</v>
      </c>
      <c r="D5" s="52">
        <v>-33502.35</v>
      </c>
      <c r="E5" s="50" t="s">
        <v>95</v>
      </c>
      <c r="F5" s="54">
        <v>309</v>
      </c>
      <c r="G5" s="25" t="str">
        <f>_xlfn.IFS(F5&lt;31,"0-30",F5&lt;61,"31-60",F5&lt;91,"61-90",F5&lt;121,"91-120",F5&lt;181,"121-180",F5&lt;301,"181-300",F5&gt;300,"301 &amp; +")</f>
        <v>301 &amp; +</v>
      </c>
      <c r="I5" s="7"/>
      <c r="J5" s="7"/>
      <c r="K5" s="7"/>
      <c r="L5" s="7"/>
      <c r="M5" s="7"/>
      <c r="N5" s="7"/>
    </row>
    <row r="6" spans="1:16" x14ac:dyDescent="0.25">
      <c r="A6" s="50" t="s">
        <v>97</v>
      </c>
      <c r="B6" s="50" t="s">
        <v>8</v>
      </c>
      <c r="C6" s="52">
        <v>28933.84</v>
      </c>
      <c r="D6" s="52">
        <v>-33309.15</v>
      </c>
      <c r="E6" s="50" t="s">
        <v>98</v>
      </c>
      <c r="F6" s="54">
        <v>304</v>
      </c>
      <c r="G6" s="25" t="str">
        <f>_xlfn.IFS(F6&lt;31,"0-30",F6&lt;61,"31-60",F6&lt;91,"61-90",F6&lt;121,"91-120",F6&lt;181,"121-180",F6&lt;301,"181-300",F6&gt;300,"301 &amp; +")</f>
        <v>301 &amp; +</v>
      </c>
      <c r="I6" s="7"/>
      <c r="J6" s="7"/>
      <c r="K6" s="7"/>
      <c r="L6" s="7"/>
      <c r="M6" s="7"/>
      <c r="N6" s="7" t="s">
        <v>50</v>
      </c>
      <c r="O6" t="s">
        <v>51</v>
      </c>
      <c r="P6" t="s">
        <v>52</v>
      </c>
    </row>
    <row r="7" spans="1:16" x14ac:dyDescent="0.25">
      <c r="A7" s="50" t="s">
        <v>99</v>
      </c>
      <c r="B7" s="50" t="s">
        <v>10</v>
      </c>
      <c r="C7" s="52">
        <v>55225.42</v>
      </c>
      <c r="D7" s="52">
        <v>-57637.65</v>
      </c>
      <c r="E7" s="50" t="s">
        <v>100</v>
      </c>
      <c r="F7" s="54">
        <v>296</v>
      </c>
      <c r="G7" s="25" t="str">
        <f>_xlfn.IFS(F7&lt;31,"0-30",F7&lt;61,"31-60",F7&lt;91,"61-90",F7&lt;121,"91-120",F7&lt;181,"121-180",F7&lt;301,"181-300",F7&gt;300,"301 &amp; +")</f>
        <v>181-300</v>
      </c>
      <c r="I7" s="16" t="s">
        <v>45</v>
      </c>
      <c r="J7" s="17">
        <f>COUNTIF(F:F,"&gt;=365")</f>
        <v>2</v>
      </c>
      <c r="K7" s="18">
        <f>SUMIF(F:F,"&gt;=365",C:C)</f>
        <v>85449.38</v>
      </c>
      <c r="M7" s="17">
        <f>COUNTIFS(F:F,"&gt;=365",D:D,"&lt;&gt;"&amp;"")</f>
        <v>2</v>
      </c>
      <c r="N7" s="18">
        <f>SUMIF(F:F,"&gt;=365",D:D)</f>
        <v>-89384.709999999992</v>
      </c>
      <c r="O7" s="23">
        <f>N7*0.07/12</f>
        <v>-521.41080833333331</v>
      </c>
      <c r="P7" s="23">
        <f>IF(J7=0,0,O7/J7)</f>
        <v>-260.70540416666665</v>
      </c>
    </row>
    <row r="8" spans="1:16" x14ac:dyDescent="0.25">
      <c r="A8" s="50" t="s">
        <v>101</v>
      </c>
      <c r="B8" s="50" t="s">
        <v>8</v>
      </c>
      <c r="C8" s="52">
        <v>27643.39</v>
      </c>
      <c r="D8" s="52">
        <v>-31492.65</v>
      </c>
      <c r="E8" s="50" t="s">
        <v>102</v>
      </c>
      <c r="F8" s="54">
        <v>287</v>
      </c>
      <c r="G8" s="25" t="str">
        <f>_xlfn.IFS(F8&lt;31,"0-30",F8&lt;61,"31-60",F8&lt;91,"61-90",F8&lt;121,"91-120",F8&lt;181,"121-180",F8&lt;301,"181-300",F8&gt;300,"301 &amp; +")</f>
        <v>181-300</v>
      </c>
      <c r="I8" s="16" t="s">
        <v>46</v>
      </c>
      <c r="J8" s="17">
        <f>COUNTIFS(F:F,"&lt;365",F:F,"&gt;=180")</f>
        <v>25</v>
      </c>
      <c r="K8" s="19">
        <f>SUMIFS(C:C,F:F,"&lt;365",F:F,"&gt;=180")</f>
        <v>1270035.7000000002</v>
      </c>
      <c r="M8" s="17">
        <f>COUNTIFS(F:F,"&lt;365",F:F,"&gt;=180",D:D,"&lt;&gt;"&amp;"")</f>
        <v>25</v>
      </c>
      <c r="N8" s="19">
        <f>SUMIFS(D:D,F:F,"&lt;365",F:F,"&gt;=180")</f>
        <v>-1338374.1000000003</v>
      </c>
      <c r="O8" s="23">
        <f t="shared" ref="O8:O10" si="0">N8*0.07/12</f>
        <v>-7807.1822500000026</v>
      </c>
      <c r="P8" s="23">
        <f>IF(J8=0,0,O8/J8)</f>
        <v>-312.2872900000001</v>
      </c>
    </row>
    <row r="9" spans="1:16" x14ac:dyDescent="0.25">
      <c r="A9" s="50" t="s">
        <v>103</v>
      </c>
      <c r="B9" s="50" t="s">
        <v>48</v>
      </c>
      <c r="C9" s="52">
        <v>56913.26</v>
      </c>
      <c r="D9" s="52">
        <v>-62208.3</v>
      </c>
      <c r="E9" s="50" t="s">
        <v>104</v>
      </c>
      <c r="F9" s="54">
        <v>273</v>
      </c>
      <c r="G9" s="25" t="str">
        <f>_xlfn.IFS(F9&lt;31,"0-30",F9&lt;61,"31-60",F9&lt;91,"61-90",F9&lt;121,"91-120",F9&lt;181,"121-180",F9&lt;301,"181-300",F9&gt;300,"301 &amp; +")</f>
        <v>181-300</v>
      </c>
      <c r="I9" s="16" t="s">
        <v>47</v>
      </c>
      <c r="J9" s="17">
        <f>COUNTIFS(F:F,"&lt;180",F:F,"&gt;=90")</f>
        <v>28</v>
      </c>
      <c r="K9" s="20">
        <f>SUMIFS(C:C,F:F,"&lt;180",F:F,"&gt;=90")</f>
        <v>1279237.9300000002</v>
      </c>
      <c r="M9" s="17">
        <f>COUNTIFS(F:F,"&lt;180",F:F,"&gt;=90",D:D,"&lt;&gt;"&amp;"")</f>
        <v>28</v>
      </c>
      <c r="N9" s="20">
        <f>SUMIFS(D:D,F:F,"&lt;180",F:F,"&gt;=90")</f>
        <v>-1336243.6499999997</v>
      </c>
      <c r="O9" s="23">
        <f t="shared" si="0"/>
        <v>-7794.7546249999987</v>
      </c>
      <c r="P9" s="23">
        <f>IF(M9=0,0,O9/M9)</f>
        <v>-278.38409374999998</v>
      </c>
    </row>
    <row r="10" spans="1:16" x14ac:dyDescent="0.25">
      <c r="A10" s="50" t="s">
        <v>105</v>
      </c>
      <c r="B10" s="50" t="s">
        <v>48</v>
      </c>
      <c r="C10" s="52">
        <v>55920</v>
      </c>
      <c r="D10" s="52">
        <v>-61717.95</v>
      </c>
      <c r="E10" s="50" t="s">
        <v>106</v>
      </c>
      <c r="F10" s="54">
        <v>247</v>
      </c>
      <c r="G10" s="25" t="str">
        <f>_xlfn.IFS(F10&lt;31,"0-30",F10&lt;61,"31-60",F10&lt;91,"61-90",F10&lt;121,"91-120",F10&lt;181,"121-180",F10&lt;301,"181-300",F10&gt;300,"301 &amp; +")</f>
        <v>181-300</v>
      </c>
      <c r="I10" s="16" t="s">
        <v>49</v>
      </c>
      <c r="J10" s="17">
        <f>COUNTIF(F:F,"&lt;90")</f>
        <v>46</v>
      </c>
      <c r="K10" s="21">
        <f>SUMIF(F:F,"&lt;90",C:C)</f>
        <v>2075886.8899999997</v>
      </c>
      <c r="M10" s="17">
        <f>COUNTIFS(F:F,"&lt;90",D:D,"&lt;&gt;"&amp;"")</f>
        <v>41</v>
      </c>
      <c r="N10" s="21">
        <f>SUMIF(F:F,"&lt;90",D:D)</f>
        <v>-1937557.649999999</v>
      </c>
      <c r="O10" s="23">
        <f t="shared" si="0"/>
        <v>-11302.419624999995</v>
      </c>
      <c r="P10" s="23">
        <f>IF(M10=0,0,O10/M10)</f>
        <v>-275.6687713414633</v>
      </c>
    </row>
    <row r="11" spans="1:16" x14ac:dyDescent="0.25">
      <c r="A11" s="50" t="s">
        <v>109</v>
      </c>
      <c r="B11" s="50" t="s">
        <v>11</v>
      </c>
      <c r="C11" s="52">
        <v>38470.519999999997</v>
      </c>
      <c r="D11" s="52">
        <v>-40085.85</v>
      </c>
      <c r="E11" s="50" t="s">
        <v>110</v>
      </c>
      <c r="F11" s="54">
        <v>247</v>
      </c>
      <c r="G11" s="25" t="str">
        <f>_xlfn.IFS(F11&lt;31,"0-30",F11&lt;61,"31-60",F11&lt;91,"61-90",F11&lt;121,"91-120",F11&lt;181,"121-180",F11&lt;301,"181-300",F11&gt;300,"301 &amp; +")</f>
        <v>181-300</v>
      </c>
    </row>
    <row r="12" spans="1:16" x14ac:dyDescent="0.25">
      <c r="A12" s="50" t="s">
        <v>111</v>
      </c>
      <c r="B12" s="50" t="s">
        <v>8</v>
      </c>
      <c r="C12" s="52">
        <v>30268.13</v>
      </c>
      <c r="D12" s="52">
        <v>-33502.35</v>
      </c>
      <c r="E12" s="50" t="s">
        <v>112</v>
      </c>
      <c r="F12" s="54">
        <v>247</v>
      </c>
      <c r="G12" s="25" t="str">
        <f>_xlfn.IFS(F12&lt;31,"0-30",F12&lt;61,"31-60",F12&lt;91,"61-90",F12&lt;121,"91-120",F12&lt;181,"121-180",F12&lt;301,"181-300",F12&gt;300,"301 &amp; +")</f>
        <v>181-300</v>
      </c>
    </row>
    <row r="13" spans="1:16" x14ac:dyDescent="0.25">
      <c r="A13" s="50" t="s">
        <v>107</v>
      </c>
      <c r="B13" s="50" t="s">
        <v>10</v>
      </c>
      <c r="C13" s="52">
        <v>55737.97</v>
      </c>
      <c r="D13" s="52">
        <v>-57156.75</v>
      </c>
      <c r="E13" s="50" t="s">
        <v>108</v>
      </c>
      <c r="F13" s="54">
        <v>245</v>
      </c>
      <c r="G13" s="25" t="str">
        <f>_xlfn.IFS(F13&lt;31,"0-30",F13&lt;61,"31-60",F13&lt;91,"61-90",F13&lt;121,"91-120",F13&lt;181,"121-180",F13&lt;301,"181-300",F13&gt;300,"301 &amp; +")</f>
        <v>181-300</v>
      </c>
      <c r="N13" s="22"/>
    </row>
    <row r="14" spans="1:16" x14ac:dyDescent="0.25">
      <c r="A14" s="50" t="s">
        <v>113</v>
      </c>
      <c r="B14" s="50" t="s">
        <v>48</v>
      </c>
      <c r="C14" s="52">
        <v>60499.92</v>
      </c>
      <c r="D14" s="52">
        <v>-63190.05</v>
      </c>
      <c r="E14" s="50" t="s">
        <v>114</v>
      </c>
      <c r="F14" s="54">
        <v>240</v>
      </c>
      <c r="G14" s="25" t="str">
        <f>_xlfn.IFS(F14&lt;31,"0-30",F14&lt;61,"31-60",F14&lt;91,"61-90",F14&lt;121,"91-120",F14&lt;181,"121-180",F14&lt;301,"181-300",F14&gt;300,"301 &amp; +")</f>
        <v>181-300</v>
      </c>
    </row>
    <row r="15" spans="1:16" x14ac:dyDescent="0.25">
      <c r="A15" s="50" t="s">
        <v>123</v>
      </c>
      <c r="B15" s="50" t="s">
        <v>48</v>
      </c>
      <c r="C15" s="52">
        <v>59092.92</v>
      </c>
      <c r="D15" s="52">
        <v>-62208.3</v>
      </c>
      <c r="E15" s="50" t="s">
        <v>124</v>
      </c>
      <c r="F15" s="54">
        <v>240</v>
      </c>
      <c r="G15" s="25" t="str">
        <f>_xlfn.IFS(F15&lt;31,"0-30",F15&lt;61,"31-60",F15&lt;91,"61-90",F15&lt;121,"91-120",F15&lt;181,"121-180",F15&lt;301,"181-300",F15&gt;300,"301 &amp; +")</f>
        <v>181-300</v>
      </c>
    </row>
    <row r="16" spans="1:16" x14ac:dyDescent="0.25">
      <c r="A16" s="50" t="s">
        <v>129</v>
      </c>
      <c r="B16" s="50" t="s">
        <v>12</v>
      </c>
      <c r="C16" s="52">
        <v>33471.57</v>
      </c>
      <c r="D16" s="52">
        <v>-34468.35</v>
      </c>
      <c r="E16" s="50" t="s">
        <v>130</v>
      </c>
      <c r="F16" s="54">
        <v>240</v>
      </c>
      <c r="G16" s="25" t="str">
        <f>_xlfn.IFS(F16&lt;31,"0-30",F16&lt;61,"31-60",F16&lt;91,"61-90",F16&lt;121,"91-120",F16&lt;181,"121-180",F16&lt;301,"181-300",F16&gt;300,"301 &amp; +")</f>
        <v>181-300</v>
      </c>
    </row>
    <row r="17" spans="1:10" x14ac:dyDescent="0.25">
      <c r="A17" s="50" t="s">
        <v>127</v>
      </c>
      <c r="B17" s="50" t="s">
        <v>12</v>
      </c>
      <c r="C17" s="52">
        <v>32912.519999999997</v>
      </c>
      <c r="D17" s="52">
        <v>-34468.35</v>
      </c>
      <c r="E17" s="50" t="s">
        <v>128</v>
      </c>
      <c r="F17" s="54">
        <v>240</v>
      </c>
      <c r="G17" s="25" t="str">
        <f>_xlfn.IFS(F17&lt;31,"0-30",F17&lt;61,"31-60",F17&lt;91,"61-90",F17&lt;121,"91-120",F17&lt;181,"121-180",F17&lt;301,"181-300",F17&gt;300,"301 &amp; +")</f>
        <v>181-300</v>
      </c>
    </row>
    <row r="18" spans="1:10" x14ac:dyDescent="0.25">
      <c r="A18" s="50" t="s">
        <v>117</v>
      </c>
      <c r="B18" s="50" t="s">
        <v>48</v>
      </c>
      <c r="C18" s="52">
        <v>61188.87</v>
      </c>
      <c r="D18" s="52">
        <v>-63190.05</v>
      </c>
      <c r="E18" s="50" t="s">
        <v>118</v>
      </c>
      <c r="F18" s="54">
        <v>225</v>
      </c>
      <c r="G18" s="25" t="str">
        <f>_xlfn.IFS(F18&lt;31,"0-30",F18&lt;61,"31-60",F18&lt;91,"61-90",F18&lt;121,"91-120",F18&lt;181,"121-180",F18&lt;301,"181-300",F18&gt;300,"301 &amp; +")</f>
        <v>181-300</v>
      </c>
    </row>
    <row r="19" spans="1:10" x14ac:dyDescent="0.25">
      <c r="A19" s="50" t="s">
        <v>115</v>
      </c>
      <c r="B19" s="50" t="s">
        <v>48</v>
      </c>
      <c r="C19" s="52">
        <v>60103.92</v>
      </c>
      <c r="D19" s="52">
        <v>-63190.05</v>
      </c>
      <c r="E19" s="50" t="s">
        <v>116</v>
      </c>
      <c r="F19" s="54">
        <v>225</v>
      </c>
      <c r="G19" s="25" t="str">
        <f>_xlfn.IFS(F19&lt;31,"0-30",F19&lt;61,"31-60",F19&lt;91,"61-90",F19&lt;121,"91-120",F19&lt;181,"121-180",F19&lt;301,"181-300",F19&gt;300,"301 &amp; +")</f>
        <v>181-300</v>
      </c>
    </row>
    <row r="20" spans="1:10" x14ac:dyDescent="0.25">
      <c r="A20" s="50" t="s">
        <v>119</v>
      </c>
      <c r="B20" s="50" t="s">
        <v>48</v>
      </c>
      <c r="C20" s="52">
        <v>60103.92</v>
      </c>
      <c r="D20" s="52">
        <v>-63190.05</v>
      </c>
      <c r="E20" s="50" t="s">
        <v>120</v>
      </c>
      <c r="F20" s="54">
        <v>217</v>
      </c>
      <c r="G20" s="25" t="str">
        <f>_xlfn.IFS(F20&lt;31,"0-30",F20&lt;61,"31-60",F20&lt;91,"61-90",F20&lt;121,"91-120",F20&lt;181,"121-180",F20&lt;301,"181-300",F20&gt;300,"301 &amp; +")</f>
        <v>181-300</v>
      </c>
    </row>
    <row r="21" spans="1:10" x14ac:dyDescent="0.25">
      <c r="A21" s="50" t="s">
        <v>121</v>
      </c>
      <c r="B21" s="50" t="s">
        <v>48</v>
      </c>
      <c r="C21" s="52">
        <v>60103.92</v>
      </c>
      <c r="D21" s="52">
        <v>-63190.05</v>
      </c>
      <c r="E21" s="50" t="s">
        <v>122</v>
      </c>
      <c r="F21" s="54">
        <v>213</v>
      </c>
      <c r="G21" s="25" t="str">
        <f>_xlfn.IFS(F21&lt;31,"0-30",F21&lt;61,"31-60",F21&lt;91,"61-90",F21&lt;121,"91-120",F21&lt;181,"121-180",F21&lt;301,"181-300",F21&gt;300,"301 &amp; +")</f>
        <v>181-300</v>
      </c>
    </row>
    <row r="22" spans="1:10" x14ac:dyDescent="0.25">
      <c r="A22" s="50" t="s">
        <v>125</v>
      </c>
      <c r="B22" s="50" t="s">
        <v>13</v>
      </c>
      <c r="C22" s="52">
        <v>55642.559999999998</v>
      </c>
      <c r="D22" s="52">
        <v>-56772.45</v>
      </c>
      <c r="E22" s="50" t="s">
        <v>126</v>
      </c>
      <c r="F22" s="54">
        <v>213</v>
      </c>
      <c r="G22" s="25" t="str">
        <f>_xlfn.IFS(F22&lt;31,"0-30",F22&lt;61,"31-60",F22&lt;91,"61-90",F22&lt;121,"91-120",F22&lt;181,"121-180",F22&lt;301,"181-300",F22&gt;300,"301 &amp; +")</f>
        <v>181-300</v>
      </c>
    </row>
    <row r="23" spans="1:10" x14ac:dyDescent="0.25">
      <c r="A23" s="50" t="s">
        <v>133</v>
      </c>
      <c r="B23" s="50" t="s">
        <v>48</v>
      </c>
      <c r="C23" s="52">
        <v>60103.92</v>
      </c>
      <c r="D23" s="52">
        <v>-63190.05</v>
      </c>
      <c r="E23" s="50" t="s">
        <v>134</v>
      </c>
      <c r="F23" s="54">
        <v>206</v>
      </c>
      <c r="G23" s="25" t="str">
        <f>_xlfn.IFS(F23&lt;31,"0-30",F23&lt;61,"31-60",F23&lt;91,"61-90",F23&lt;121,"91-120",F23&lt;181,"121-180",F23&lt;301,"181-300",F23&gt;300,"301 &amp; +")</f>
        <v>181-300</v>
      </c>
    </row>
    <row r="24" spans="1:10" x14ac:dyDescent="0.25">
      <c r="A24" s="50" t="s">
        <v>135</v>
      </c>
      <c r="B24" s="50" t="s">
        <v>48</v>
      </c>
      <c r="C24" s="52">
        <v>58686</v>
      </c>
      <c r="D24" s="52">
        <v>-62208.3</v>
      </c>
      <c r="E24" s="50" t="s">
        <v>136</v>
      </c>
      <c r="F24" s="54">
        <v>206</v>
      </c>
      <c r="G24" s="25" t="str">
        <f>_xlfn.IFS(F24&lt;31,"0-30",F24&lt;61,"31-60",F24&lt;91,"61-90",F24&lt;121,"91-120",F24&lt;181,"121-180",F24&lt;301,"181-300",F24&gt;300,"301 &amp; +")</f>
        <v>181-300</v>
      </c>
    </row>
    <row r="25" spans="1:10" x14ac:dyDescent="0.25">
      <c r="A25" s="50" t="s">
        <v>131</v>
      </c>
      <c r="B25" s="50" t="s">
        <v>48</v>
      </c>
      <c r="C25" s="52">
        <v>60103.92</v>
      </c>
      <c r="D25" s="52">
        <v>-63190.05</v>
      </c>
      <c r="E25" s="50" t="s">
        <v>132</v>
      </c>
      <c r="F25" s="54">
        <v>186</v>
      </c>
      <c r="G25" s="25" t="str">
        <f>_xlfn.IFS(F25&lt;31,"0-30",F25&lt;61,"31-60",F25&lt;91,"61-90",F25&lt;121,"91-120",F25&lt;181,"121-180",F25&lt;301,"181-300",F25&gt;300,"301 &amp; +")</f>
        <v>181-300</v>
      </c>
    </row>
    <row r="26" spans="1:10" x14ac:dyDescent="0.25">
      <c r="A26" s="50" t="s">
        <v>137</v>
      </c>
      <c r="B26" s="50" t="s">
        <v>9</v>
      </c>
      <c r="C26" s="52">
        <v>48032.97</v>
      </c>
      <c r="D26" s="52">
        <v>-50025.15</v>
      </c>
      <c r="E26" s="50" t="s">
        <v>138</v>
      </c>
      <c r="F26" s="54">
        <v>185</v>
      </c>
      <c r="G26" s="25" t="str">
        <f>_xlfn.IFS(F26&lt;31,"0-30",F26&lt;61,"31-60",F26&lt;91,"61-90",F26&lt;121,"91-120",F26&lt;181,"121-180",F26&lt;301,"181-300",F26&gt;300,"301 &amp; +")</f>
        <v>181-300</v>
      </c>
      <c r="J26" s="24"/>
    </row>
    <row r="27" spans="1:10" x14ac:dyDescent="0.25">
      <c r="A27" s="50" t="s">
        <v>139</v>
      </c>
      <c r="B27" s="50" t="s">
        <v>48</v>
      </c>
      <c r="C27" s="52">
        <v>61114.92</v>
      </c>
      <c r="D27" s="52">
        <v>-64172.85</v>
      </c>
      <c r="E27" s="50" t="s">
        <v>145</v>
      </c>
      <c r="F27" s="54">
        <v>182</v>
      </c>
      <c r="G27" s="25" t="str">
        <f>_xlfn.IFS(F27&lt;31,"0-30",F27&lt;61,"31-60",F27&lt;91,"61-90",F27&lt;121,"91-120",F27&lt;181,"121-180",F27&lt;301,"181-300",F27&gt;300,"301 &amp; +")</f>
        <v>181-300</v>
      </c>
    </row>
    <row r="28" spans="1:10" x14ac:dyDescent="0.25">
      <c r="A28" s="50" t="s">
        <v>143</v>
      </c>
      <c r="B28" s="50" t="s">
        <v>48</v>
      </c>
      <c r="C28" s="52">
        <v>60375.82</v>
      </c>
      <c r="D28" s="52">
        <v>-63190.05</v>
      </c>
      <c r="E28" s="50" t="s">
        <v>149</v>
      </c>
      <c r="F28" s="54">
        <v>182</v>
      </c>
      <c r="G28" s="25" t="str">
        <f>_xlfn.IFS(F28&lt;31,"0-30",F28&lt;61,"31-60",F28&lt;91,"61-90",F28&lt;121,"91-120",F28&lt;181,"121-180",F28&lt;301,"181-300",F28&gt;300,"301 &amp; +")</f>
        <v>181-300</v>
      </c>
    </row>
    <row r="29" spans="1:10" x14ac:dyDescent="0.25">
      <c r="A29" s="50" t="s">
        <v>142</v>
      </c>
      <c r="B29" s="50" t="s">
        <v>48</v>
      </c>
      <c r="C29" s="52">
        <v>60103.92</v>
      </c>
      <c r="D29" s="52">
        <v>-63190.05</v>
      </c>
      <c r="E29" s="50" t="s">
        <v>148</v>
      </c>
      <c r="F29" s="54">
        <v>178</v>
      </c>
      <c r="G29" s="25" t="str">
        <f>_xlfn.IFS(F29&lt;31,"0-30",F29&lt;61,"31-60",F29&lt;91,"61-90",F29&lt;121,"91-120",F29&lt;181,"121-180",F29&lt;301,"181-300",F29&gt;300,"301 &amp; +")</f>
        <v>121-180</v>
      </c>
    </row>
    <row r="30" spans="1:10" x14ac:dyDescent="0.25">
      <c r="A30" s="50" t="s">
        <v>140</v>
      </c>
      <c r="B30" s="50" t="s">
        <v>48</v>
      </c>
      <c r="C30" s="52">
        <v>60557</v>
      </c>
      <c r="D30" s="52">
        <v>-64172.85</v>
      </c>
      <c r="E30" s="50" t="s">
        <v>146</v>
      </c>
      <c r="F30" s="54">
        <v>172</v>
      </c>
      <c r="G30" s="25" t="str">
        <f>_xlfn.IFS(F30&lt;31,"0-30",F30&lt;61,"31-60",F30&lt;91,"61-90",F30&lt;121,"91-120",F30&lt;181,"121-180",F30&lt;301,"181-300",F30&gt;300,"301 &amp; +")</f>
        <v>121-180</v>
      </c>
    </row>
    <row r="31" spans="1:10" x14ac:dyDescent="0.25">
      <c r="A31" s="50" t="s">
        <v>144</v>
      </c>
      <c r="B31" s="50" t="s">
        <v>48</v>
      </c>
      <c r="C31" s="52">
        <v>59173.919999999998</v>
      </c>
      <c r="D31" s="52">
        <v>-62208.3</v>
      </c>
      <c r="E31" s="50" t="s">
        <v>150</v>
      </c>
      <c r="F31" s="54">
        <v>169</v>
      </c>
      <c r="G31" s="25" t="str">
        <f>_xlfn.IFS(F31&lt;31,"0-30",F31&lt;61,"31-60",F31&lt;91,"61-90",F31&lt;121,"91-120",F31&lt;181,"121-180",F31&lt;301,"181-300",F31&gt;300,"301 &amp; +")</f>
        <v>121-180</v>
      </c>
    </row>
    <row r="32" spans="1:10" x14ac:dyDescent="0.25">
      <c r="A32" s="50" t="s">
        <v>141</v>
      </c>
      <c r="B32" s="50" t="s">
        <v>48</v>
      </c>
      <c r="C32" s="52">
        <v>60193.919999999998</v>
      </c>
      <c r="D32" s="52">
        <v>-63190.05</v>
      </c>
      <c r="E32" s="50" t="s">
        <v>147</v>
      </c>
      <c r="F32" s="54">
        <v>163</v>
      </c>
      <c r="G32" s="25" t="str">
        <f>_xlfn.IFS(F32&lt;31,"0-30",F32&lt;61,"31-60",F32&lt;91,"61-90",F32&lt;121,"91-120",F32&lt;181,"121-180",F32&lt;301,"181-300",F32&gt;300,"301 &amp; +")</f>
        <v>121-180</v>
      </c>
    </row>
    <row r="33" spans="1:7" x14ac:dyDescent="0.25">
      <c r="A33" s="50" t="s">
        <v>153</v>
      </c>
      <c r="B33" s="50" t="s">
        <v>48</v>
      </c>
      <c r="C33" s="52">
        <v>62960.08</v>
      </c>
      <c r="D33" s="52">
        <v>-62218.8</v>
      </c>
      <c r="E33" s="50" t="s">
        <v>154</v>
      </c>
      <c r="F33" s="54">
        <v>150</v>
      </c>
      <c r="G33" s="25" t="str">
        <f>_xlfn.IFS(F33&lt;31,"0-30",F33&lt;61,"31-60",F33&lt;91,"61-90",F33&lt;121,"91-120",F33&lt;181,"121-180",F33&lt;301,"181-300",F33&gt;300,"301 &amp; +")</f>
        <v>121-180</v>
      </c>
    </row>
    <row r="34" spans="1:7" x14ac:dyDescent="0.25">
      <c r="A34" s="50" t="s">
        <v>151</v>
      </c>
      <c r="B34" s="50" t="s">
        <v>48</v>
      </c>
      <c r="C34" s="52">
        <v>60557</v>
      </c>
      <c r="D34" s="52">
        <v>-64172.85</v>
      </c>
      <c r="E34" s="50" t="s">
        <v>152</v>
      </c>
      <c r="F34" s="54">
        <v>150</v>
      </c>
      <c r="G34" s="25" t="str">
        <f>_xlfn.IFS(F34&lt;31,"0-30",F34&lt;61,"31-60",F34&lt;91,"61-90",F34&lt;121,"91-120",F34&lt;181,"121-180",F34&lt;301,"181-300",F34&gt;300,"301 &amp; +")</f>
        <v>121-180</v>
      </c>
    </row>
    <row r="35" spans="1:7" x14ac:dyDescent="0.25">
      <c r="A35" s="50" t="s">
        <v>157</v>
      </c>
      <c r="B35" s="50" t="s">
        <v>48</v>
      </c>
      <c r="C35" s="52">
        <v>56358</v>
      </c>
      <c r="D35" s="52">
        <v>-59763.9</v>
      </c>
      <c r="E35" s="50" t="s">
        <v>158</v>
      </c>
      <c r="F35" s="54">
        <v>150</v>
      </c>
      <c r="G35" s="25" t="str">
        <f>_xlfn.IFS(F35&lt;31,"0-30",F35&lt;61,"31-60",F35&lt;91,"61-90",F35&lt;121,"91-120",F35&lt;181,"121-180",F35&lt;301,"181-300",F35&gt;300,"301 &amp; +")</f>
        <v>121-180</v>
      </c>
    </row>
    <row r="36" spans="1:7" x14ac:dyDescent="0.25">
      <c r="A36" s="50" t="s">
        <v>155</v>
      </c>
      <c r="B36" s="50" t="s">
        <v>48</v>
      </c>
      <c r="C36" s="52">
        <v>60156.51</v>
      </c>
      <c r="D36" s="52">
        <v>-62760.6</v>
      </c>
      <c r="E36" s="50" t="s">
        <v>156</v>
      </c>
      <c r="F36" s="54">
        <v>148</v>
      </c>
      <c r="G36" s="25" t="str">
        <f>_xlfn.IFS(F36&lt;31,"0-30",F36&lt;61,"31-60",F36&lt;91,"61-90",F36&lt;121,"91-120",F36&lt;181,"121-180",F36&lt;301,"181-300",F36&gt;300,"301 &amp; +")</f>
        <v>121-180</v>
      </c>
    </row>
    <row r="37" spans="1:7" x14ac:dyDescent="0.25">
      <c r="A37" s="50" t="s">
        <v>164</v>
      </c>
      <c r="B37" s="50" t="s">
        <v>160</v>
      </c>
      <c r="C37" s="52">
        <v>30032.52</v>
      </c>
      <c r="D37" s="52">
        <v>-31597.65</v>
      </c>
      <c r="E37" s="50" t="s">
        <v>165</v>
      </c>
      <c r="F37" s="54">
        <v>141</v>
      </c>
      <c r="G37" s="25" t="str">
        <f>_xlfn.IFS(F37&lt;31,"0-30",F37&lt;61,"31-60",F37&lt;91,"61-90",F37&lt;121,"91-120",F37&lt;181,"121-180",F37&lt;301,"181-300",F37&gt;300,"301 &amp; +")</f>
        <v>121-180</v>
      </c>
    </row>
    <row r="38" spans="1:7" x14ac:dyDescent="0.25">
      <c r="A38" s="50" t="s">
        <v>162</v>
      </c>
      <c r="B38" s="50" t="s">
        <v>160</v>
      </c>
      <c r="C38" s="52">
        <v>29918.13</v>
      </c>
      <c r="D38" s="52">
        <v>-31597.65</v>
      </c>
      <c r="E38" s="50" t="s">
        <v>163</v>
      </c>
      <c r="F38" s="54">
        <v>140</v>
      </c>
      <c r="G38" s="25" t="str">
        <f>_xlfn.IFS(F38&lt;31,"0-30",F38&lt;61,"31-60",F38&lt;91,"61-90",F38&lt;121,"91-120",F38&lt;181,"121-180",F38&lt;301,"181-300",F38&gt;300,"301 &amp; +")</f>
        <v>121-180</v>
      </c>
    </row>
    <row r="39" spans="1:7" x14ac:dyDescent="0.25">
      <c r="A39" s="50" t="s">
        <v>159</v>
      </c>
      <c r="B39" s="50" t="s">
        <v>160</v>
      </c>
      <c r="C39" s="52">
        <v>33874.46</v>
      </c>
      <c r="D39" s="52">
        <v>-34081.949999999997</v>
      </c>
      <c r="E39" s="50" t="s">
        <v>161</v>
      </c>
      <c r="F39" s="54">
        <v>122</v>
      </c>
      <c r="G39" s="25" t="str">
        <f>_xlfn.IFS(F39&lt;31,"0-30",F39&lt;61,"31-60",F39&lt;91,"61-90",F39&lt;121,"91-120",F39&lt;181,"121-180",F39&lt;301,"181-300",F39&gt;300,"301 &amp; +")</f>
        <v>121-180</v>
      </c>
    </row>
    <row r="40" spans="1:7" x14ac:dyDescent="0.25">
      <c r="A40" s="50" t="s">
        <v>185</v>
      </c>
      <c r="B40" s="50" t="s">
        <v>6</v>
      </c>
      <c r="C40" s="52">
        <v>38070.519999999997</v>
      </c>
      <c r="D40" s="52">
        <v>-40027.050000000003</v>
      </c>
      <c r="E40" s="50" t="s">
        <v>186</v>
      </c>
      <c r="F40" s="54">
        <v>120</v>
      </c>
      <c r="G40" s="25" t="str">
        <f>_xlfn.IFS(F40&lt;31,"0-30",F40&lt;61,"31-60",F40&lt;91,"61-90",F40&lt;121,"91-120",F40&lt;181,"121-180",F40&lt;301,"181-300",F40&gt;300,"301 &amp; +")</f>
        <v>91-120</v>
      </c>
    </row>
    <row r="41" spans="1:7" x14ac:dyDescent="0.25">
      <c r="A41" s="50" t="s">
        <v>192</v>
      </c>
      <c r="B41" s="50" t="s">
        <v>160</v>
      </c>
      <c r="C41" s="52">
        <v>29026.28</v>
      </c>
      <c r="D41" s="52">
        <v>-30514.05</v>
      </c>
      <c r="E41" s="50" t="s">
        <v>193</v>
      </c>
      <c r="F41" s="54">
        <v>113</v>
      </c>
      <c r="G41" s="25" t="str">
        <f>_xlfn.IFS(F41&lt;31,"0-30",F41&lt;61,"31-60",F41&lt;91,"61-90",F41&lt;121,"91-120",F41&lt;181,"121-180",F41&lt;301,"181-300",F41&gt;300,"301 &amp; +")</f>
        <v>91-120</v>
      </c>
    </row>
    <row r="42" spans="1:7" x14ac:dyDescent="0.25">
      <c r="A42" s="50" t="s">
        <v>194</v>
      </c>
      <c r="B42" s="50" t="s">
        <v>160</v>
      </c>
      <c r="C42" s="52">
        <v>29000.92</v>
      </c>
      <c r="D42" s="52">
        <v>-30514.05</v>
      </c>
      <c r="E42" s="50" t="s">
        <v>195</v>
      </c>
      <c r="F42" s="54">
        <v>113</v>
      </c>
      <c r="G42" s="25" t="str">
        <f>_xlfn.IFS(F42&lt;31,"0-30",F42&lt;61,"31-60",F42&lt;91,"61-90",F42&lt;121,"91-120",F42&lt;181,"121-180",F42&lt;301,"181-300",F42&gt;300,"301 &amp; +")</f>
        <v>91-120</v>
      </c>
    </row>
    <row r="43" spans="1:7" x14ac:dyDescent="0.25">
      <c r="A43" s="50" t="s">
        <v>188</v>
      </c>
      <c r="B43" s="50" t="s">
        <v>187</v>
      </c>
      <c r="C43" s="52">
        <v>35068.519999999997</v>
      </c>
      <c r="D43" s="52">
        <v>-36790.949999999997</v>
      </c>
      <c r="E43" s="50" t="s">
        <v>189</v>
      </c>
      <c r="F43" s="54">
        <v>108</v>
      </c>
      <c r="G43" s="25" t="str">
        <f>_xlfn.IFS(F43&lt;31,"0-30",F43&lt;61,"31-60",F43&lt;91,"61-90",F43&lt;121,"91-120",F43&lt;181,"121-180",F43&lt;301,"181-300",F43&gt;300,"301 &amp; +")</f>
        <v>91-120</v>
      </c>
    </row>
    <row r="44" spans="1:7" x14ac:dyDescent="0.25">
      <c r="A44" s="50" t="s">
        <v>190</v>
      </c>
      <c r="B44" s="50" t="s">
        <v>160</v>
      </c>
      <c r="C44" s="52">
        <v>30122.52</v>
      </c>
      <c r="D44" s="52">
        <v>-31597.65</v>
      </c>
      <c r="E44" s="50" t="s">
        <v>191</v>
      </c>
      <c r="F44" s="54">
        <v>108</v>
      </c>
      <c r="G44" s="25" t="str">
        <f>_xlfn.IFS(F44&lt;31,"0-30",F44&lt;61,"31-60",F44&lt;91,"61-90",F44&lt;121,"91-120",F44&lt;181,"121-180",F44&lt;301,"181-300",F44&gt;300,"301 &amp; +")</f>
        <v>91-120</v>
      </c>
    </row>
    <row r="45" spans="1:7" x14ac:dyDescent="0.25">
      <c r="A45" s="50" t="s">
        <v>171</v>
      </c>
      <c r="B45" s="50" t="s">
        <v>166</v>
      </c>
      <c r="C45" s="52">
        <v>54660.02</v>
      </c>
      <c r="D45" s="52">
        <v>-57253.35</v>
      </c>
      <c r="E45" s="50" t="s">
        <v>172</v>
      </c>
      <c r="F45" s="54">
        <v>101</v>
      </c>
      <c r="G45" s="25" t="str">
        <f>_xlfn.IFS(F45&lt;31,"0-30",F45&lt;61,"31-60",F45&lt;91,"61-90",F45&lt;121,"91-120",F45&lt;181,"121-180",F45&lt;301,"181-300",F45&gt;300,"301 &amp; +")</f>
        <v>91-120</v>
      </c>
    </row>
    <row r="46" spans="1:7" x14ac:dyDescent="0.25">
      <c r="A46" s="50" t="s">
        <v>173</v>
      </c>
      <c r="B46" s="50" t="s">
        <v>7</v>
      </c>
      <c r="C46" s="52">
        <v>44986.92</v>
      </c>
      <c r="D46" s="52">
        <v>-46643.1</v>
      </c>
      <c r="E46" s="50" t="s">
        <v>174</v>
      </c>
      <c r="F46" s="54">
        <v>100</v>
      </c>
      <c r="G46" s="25" t="str">
        <f>_xlfn.IFS(F46&lt;31,"0-30",F46&lt;61,"31-60",F46&lt;91,"61-90",F46&lt;121,"91-120",F46&lt;181,"121-180",F46&lt;301,"181-300",F46&gt;300,"301 &amp; +")</f>
        <v>91-120</v>
      </c>
    </row>
    <row r="47" spans="1:7" x14ac:dyDescent="0.25">
      <c r="A47" s="50" t="s">
        <v>169</v>
      </c>
      <c r="B47" s="50" t="s">
        <v>166</v>
      </c>
      <c r="C47" s="52">
        <v>54452.37</v>
      </c>
      <c r="D47" s="52">
        <v>-57253.35</v>
      </c>
      <c r="E47" s="50" t="s">
        <v>170</v>
      </c>
      <c r="F47" s="54">
        <v>99</v>
      </c>
      <c r="G47" s="25" t="str">
        <f>_xlfn.IFS(F47&lt;31,"0-30",F47&lt;61,"31-60",F47&lt;91,"61-90",F47&lt;121,"91-120",F47&lt;181,"121-180",F47&lt;301,"181-300",F47&gt;300,"301 &amp; +")</f>
        <v>91-120</v>
      </c>
    </row>
    <row r="48" spans="1:7" x14ac:dyDescent="0.25">
      <c r="A48" s="50" t="s">
        <v>175</v>
      </c>
      <c r="B48" s="50" t="s">
        <v>7</v>
      </c>
      <c r="C48" s="52">
        <v>44296.52</v>
      </c>
      <c r="D48" s="52">
        <v>-46526.55</v>
      </c>
      <c r="E48" s="50" t="s">
        <v>176</v>
      </c>
      <c r="F48" s="54">
        <v>99</v>
      </c>
      <c r="G48" s="25" t="str">
        <f>_xlfn.IFS(F48&lt;31,"0-30",F48&lt;61,"31-60",F48&lt;91,"61-90",F48&lt;121,"91-120",F48&lt;181,"121-180",F48&lt;301,"181-300",F48&gt;300,"301 &amp; +")</f>
        <v>91-120</v>
      </c>
    </row>
    <row r="49" spans="1:7" x14ac:dyDescent="0.25">
      <c r="A49" s="50" t="s">
        <v>167</v>
      </c>
      <c r="B49" s="50" t="s">
        <v>166</v>
      </c>
      <c r="C49" s="52">
        <v>61905.21</v>
      </c>
      <c r="D49" s="52">
        <v>-61695.9</v>
      </c>
      <c r="E49" s="50" t="s">
        <v>168</v>
      </c>
      <c r="F49" s="54">
        <v>94</v>
      </c>
      <c r="G49" s="25" t="str">
        <f>_xlfn.IFS(F49&lt;31,"0-30",F49&lt;61,"31-60",F49&lt;91,"61-90",F49&lt;121,"91-120",F49&lt;181,"121-180",F49&lt;301,"181-300",F49&gt;300,"301 &amp; +")</f>
        <v>91-120</v>
      </c>
    </row>
    <row r="50" spans="1:7" x14ac:dyDescent="0.25">
      <c r="A50" s="50" t="s">
        <v>177</v>
      </c>
      <c r="B50" s="50" t="s">
        <v>6</v>
      </c>
      <c r="C50" s="52">
        <v>40206.519999999997</v>
      </c>
      <c r="D50" s="52">
        <v>-42364.35</v>
      </c>
      <c r="E50" s="50" t="s">
        <v>178</v>
      </c>
      <c r="F50" s="54">
        <v>94</v>
      </c>
      <c r="G50" s="25" t="str">
        <f>_xlfn.IFS(F50&lt;31,"0-30",F50&lt;61,"31-60",F50&lt;91,"61-90",F50&lt;121,"91-120",F50&lt;181,"121-180",F50&lt;301,"181-300",F50&gt;300,"301 &amp; +")</f>
        <v>91-120</v>
      </c>
    </row>
    <row r="51" spans="1:7" x14ac:dyDescent="0.25">
      <c r="A51" s="50" t="s">
        <v>181</v>
      </c>
      <c r="B51" s="50" t="s">
        <v>6</v>
      </c>
      <c r="C51" s="52">
        <v>39843.919999999998</v>
      </c>
      <c r="D51" s="52">
        <v>-41888.699999999997</v>
      </c>
      <c r="E51" s="50" t="s">
        <v>182</v>
      </c>
      <c r="F51" s="54">
        <v>94</v>
      </c>
      <c r="G51" s="25" t="str">
        <f>_xlfn.IFS(F51&lt;31,"0-30",F51&lt;61,"31-60",F51&lt;91,"61-90",F51&lt;121,"91-120",F51&lt;181,"121-180",F51&lt;301,"181-300",F51&gt;300,"301 &amp; +")</f>
        <v>91-120</v>
      </c>
    </row>
    <row r="52" spans="1:7" x14ac:dyDescent="0.25">
      <c r="A52" s="50" t="s">
        <v>183</v>
      </c>
      <c r="B52" s="50" t="s">
        <v>6</v>
      </c>
      <c r="C52" s="52">
        <v>39843.82</v>
      </c>
      <c r="D52" s="52">
        <v>-41888.699999999997</v>
      </c>
      <c r="E52" s="50" t="s">
        <v>184</v>
      </c>
      <c r="F52" s="54">
        <v>94</v>
      </c>
      <c r="G52" s="25" t="str">
        <f>_xlfn.IFS(F52&lt;31,"0-30",F52&lt;61,"31-60",F52&lt;91,"61-90",F52&lt;121,"91-120",F52&lt;181,"121-180",F52&lt;301,"181-300",F52&gt;300,"301 &amp; +")</f>
        <v>91-120</v>
      </c>
    </row>
    <row r="53" spans="1:7" x14ac:dyDescent="0.25">
      <c r="A53" s="50" t="s">
        <v>179</v>
      </c>
      <c r="B53" s="50" t="s">
        <v>6</v>
      </c>
      <c r="C53" s="52">
        <v>39823</v>
      </c>
      <c r="D53" s="52">
        <v>-41888.699999999997</v>
      </c>
      <c r="E53" s="50" t="s">
        <v>180</v>
      </c>
      <c r="F53" s="54">
        <v>93</v>
      </c>
      <c r="G53" s="25" t="str">
        <f>_xlfn.IFS(F53&lt;31,"0-30",F53&lt;61,"31-60",F53&lt;91,"61-90",F53&lt;121,"91-120",F53&lt;181,"121-180",F53&lt;301,"181-300",F53&gt;300,"301 &amp; +")</f>
        <v>91-120</v>
      </c>
    </row>
    <row r="54" spans="1:7" x14ac:dyDescent="0.25">
      <c r="A54" s="50" t="s">
        <v>199</v>
      </c>
      <c r="B54" s="50" t="s">
        <v>200</v>
      </c>
      <c r="C54" s="52">
        <v>54083.97</v>
      </c>
      <c r="D54" s="52">
        <v>-56956.2</v>
      </c>
      <c r="E54" s="50" t="s">
        <v>201</v>
      </c>
      <c r="F54" s="54">
        <v>92</v>
      </c>
      <c r="G54" s="25" t="str">
        <f>_xlfn.IFS(F54&lt;31,"0-30",F54&lt;61,"31-60",F54&lt;91,"61-90",F54&lt;121,"91-120",F54&lt;181,"121-180",F54&lt;301,"181-300",F54&gt;300,"301 &amp; +")</f>
        <v>91-120</v>
      </c>
    </row>
    <row r="55" spans="1:7" x14ac:dyDescent="0.25">
      <c r="A55" s="50" t="s">
        <v>202</v>
      </c>
      <c r="B55" s="50" t="s">
        <v>6</v>
      </c>
      <c r="C55" s="52">
        <v>39838.519999999997</v>
      </c>
      <c r="D55" s="52">
        <v>-41888.699999999997</v>
      </c>
      <c r="E55" s="50" t="s">
        <v>203</v>
      </c>
      <c r="F55" s="54">
        <v>92</v>
      </c>
      <c r="G55" s="25" t="str">
        <f>_xlfn.IFS(F55&lt;31,"0-30",F55&lt;61,"31-60",F55&lt;91,"61-90",F55&lt;121,"91-120",F55&lt;181,"121-180",F55&lt;301,"181-300",F55&gt;300,"301 &amp; +")</f>
        <v>91-120</v>
      </c>
    </row>
    <row r="56" spans="1:7" x14ac:dyDescent="0.25">
      <c r="A56" s="50" t="s">
        <v>204</v>
      </c>
      <c r="B56" s="50" t="s">
        <v>160</v>
      </c>
      <c r="C56" s="52">
        <v>30122.92</v>
      </c>
      <c r="D56" s="52">
        <v>-31597.65</v>
      </c>
      <c r="E56" s="50" t="s">
        <v>205</v>
      </c>
      <c r="F56" s="54">
        <v>92</v>
      </c>
      <c r="G56" s="25" t="str">
        <f>_xlfn.IFS(F56&lt;31,"0-30",F56&lt;61,"31-60",F56&lt;91,"61-90",F56&lt;121,"91-120",F56&lt;181,"121-180",F56&lt;301,"181-300",F56&gt;300,"301 &amp; +")</f>
        <v>91-120</v>
      </c>
    </row>
    <row r="57" spans="1:7" x14ac:dyDescent="0.25">
      <c r="A57" s="50" t="s">
        <v>206</v>
      </c>
      <c r="B57" s="50" t="s">
        <v>9</v>
      </c>
      <c r="C57" s="52">
        <v>48643.97</v>
      </c>
      <c r="D57" s="52">
        <v>-50991.15</v>
      </c>
      <c r="E57" s="50" t="s">
        <v>207</v>
      </c>
      <c r="F57" s="54">
        <v>86</v>
      </c>
      <c r="G57" s="25" t="str">
        <f>_xlfn.IFS(F57&lt;31,"0-30",F57&lt;61,"31-60",F57&lt;91,"61-90",F57&lt;121,"91-120",F57&lt;181,"121-180",F57&lt;301,"181-300",F57&gt;300,"301 &amp; +")</f>
        <v>61-90</v>
      </c>
    </row>
    <row r="58" spans="1:7" x14ac:dyDescent="0.25">
      <c r="A58" s="50" t="s">
        <v>208</v>
      </c>
      <c r="B58" s="50" t="s">
        <v>9</v>
      </c>
      <c r="C58" s="52">
        <v>48421.97</v>
      </c>
      <c r="D58" s="52">
        <v>-50991.15</v>
      </c>
      <c r="E58" s="50" t="s">
        <v>209</v>
      </c>
      <c r="F58" s="54">
        <v>86</v>
      </c>
      <c r="G58" s="25" t="str">
        <f>_xlfn.IFS(F58&lt;31,"0-30",F58&lt;61,"31-60",F58&lt;91,"61-90",F58&lt;121,"91-120",F58&lt;181,"121-180",F58&lt;301,"181-300",F58&gt;300,"301 &amp; +")</f>
        <v>61-90</v>
      </c>
    </row>
    <row r="59" spans="1:7" x14ac:dyDescent="0.25">
      <c r="A59" s="50" t="s">
        <v>210</v>
      </c>
      <c r="B59" s="50" t="s">
        <v>187</v>
      </c>
      <c r="C59" s="52">
        <v>35245</v>
      </c>
      <c r="D59" s="52">
        <v>-37076.550000000003</v>
      </c>
      <c r="E59" s="50" t="s">
        <v>211</v>
      </c>
      <c r="F59" s="54">
        <v>84</v>
      </c>
      <c r="G59" s="25" t="str">
        <f>_xlfn.IFS(F59&lt;31,"0-30",F59&lt;61,"31-60",F59&lt;91,"61-90",F59&lt;121,"91-120",F59&lt;181,"121-180",F59&lt;301,"181-300",F59&gt;300,"301 &amp; +")</f>
        <v>61-90</v>
      </c>
    </row>
    <row r="60" spans="1:7" x14ac:dyDescent="0.25">
      <c r="A60" s="50" t="s">
        <v>212</v>
      </c>
      <c r="B60" s="50" t="s">
        <v>187</v>
      </c>
      <c r="C60" s="52">
        <v>34608.519999999997</v>
      </c>
      <c r="D60" s="52">
        <v>-36307.949999999997</v>
      </c>
      <c r="E60" s="50" t="s">
        <v>213</v>
      </c>
      <c r="F60" s="54">
        <v>84</v>
      </c>
      <c r="G60" s="25" t="str">
        <f>_xlfn.IFS(F60&lt;31,"0-30",F60&lt;61,"31-60",F60&lt;91,"61-90",F60&lt;121,"91-120",F60&lt;181,"121-180",F60&lt;301,"181-300",F60&gt;300,"301 &amp; +")</f>
        <v>61-90</v>
      </c>
    </row>
    <row r="61" spans="1:7" x14ac:dyDescent="0.25">
      <c r="A61" s="50" t="s">
        <v>214</v>
      </c>
      <c r="B61" s="50" t="s">
        <v>187</v>
      </c>
      <c r="C61" s="52">
        <v>34608.92</v>
      </c>
      <c r="D61" s="52">
        <v>-36307.949999999997</v>
      </c>
      <c r="E61" s="50" t="s">
        <v>215</v>
      </c>
      <c r="F61" s="54">
        <v>80</v>
      </c>
      <c r="G61" s="25" t="str">
        <f>_xlfn.IFS(F61&lt;31,"0-30",F61&lt;61,"31-60",F61&lt;91,"61-90",F61&lt;121,"91-120",F61&lt;181,"121-180",F61&lt;301,"181-300",F61&gt;300,"301 &amp; +")</f>
        <v>61-90</v>
      </c>
    </row>
    <row r="62" spans="1:7" x14ac:dyDescent="0.25">
      <c r="A62" s="50" t="s">
        <v>216</v>
      </c>
      <c r="B62" s="50" t="s">
        <v>7</v>
      </c>
      <c r="C62" s="52">
        <v>39528.92</v>
      </c>
      <c r="D62" s="52">
        <v>-41662.949999999997</v>
      </c>
      <c r="E62" s="50" t="s">
        <v>217</v>
      </c>
      <c r="F62" s="54">
        <v>79</v>
      </c>
      <c r="G62" s="25" t="str">
        <f>_xlfn.IFS(F62&lt;31,"0-30",F62&lt;61,"31-60",F62&lt;91,"61-90",F62&lt;121,"91-120",F62&lt;181,"121-180",F62&lt;301,"181-300",F62&gt;300,"301 &amp; +")</f>
        <v>61-90</v>
      </c>
    </row>
    <row r="63" spans="1:7" x14ac:dyDescent="0.25">
      <c r="A63" s="50" t="s">
        <v>218</v>
      </c>
      <c r="B63" s="50" t="s">
        <v>7</v>
      </c>
      <c r="C63" s="52">
        <v>39528.92</v>
      </c>
      <c r="D63" s="52">
        <v>-41662.949999999997</v>
      </c>
      <c r="E63" s="50" t="s">
        <v>219</v>
      </c>
      <c r="F63" s="54">
        <v>72</v>
      </c>
      <c r="G63" s="25" t="str">
        <f>_xlfn.IFS(F63&lt;31,"0-30",F63&lt;61,"31-60",F63&lt;91,"61-90",F63&lt;121,"91-120",F63&lt;181,"121-180",F63&lt;301,"181-300",F63&gt;300,"301 &amp; +")</f>
        <v>61-90</v>
      </c>
    </row>
    <row r="64" spans="1:7" x14ac:dyDescent="0.25">
      <c r="A64" s="50" t="s">
        <v>220</v>
      </c>
      <c r="B64" s="50" t="s">
        <v>6</v>
      </c>
      <c r="C64" s="52">
        <v>38070.92</v>
      </c>
      <c r="D64" s="52">
        <v>-40027.050000000003</v>
      </c>
      <c r="E64" s="50" t="s">
        <v>221</v>
      </c>
      <c r="F64" s="54">
        <v>65</v>
      </c>
      <c r="G64" s="25" t="str">
        <f>_xlfn.IFS(F64&lt;31,"0-30",F64&lt;61,"31-60",F64&lt;91,"61-90",F64&lt;121,"91-120",F64&lt;181,"121-180",F64&lt;301,"181-300",F64&gt;300,"301 &amp; +")</f>
        <v>61-90</v>
      </c>
    </row>
    <row r="65" spans="1:7" x14ac:dyDescent="0.25">
      <c r="A65" s="50" t="s">
        <v>222</v>
      </c>
      <c r="B65" s="50" t="s">
        <v>187</v>
      </c>
      <c r="C65" s="52">
        <v>35614.92</v>
      </c>
      <c r="D65" s="52">
        <v>-37269.75</v>
      </c>
      <c r="E65" s="50" t="s">
        <v>223</v>
      </c>
      <c r="F65" s="54">
        <v>65</v>
      </c>
      <c r="G65" s="25" t="str">
        <f>_xlfn.IFS(F65&lt;31,"0-30",F65&lt;61,"31-60",F65&lt;91,"61-90",F65&lt;121,"91-120",F65&lt;181,"121-180",F65&lt;301,"181-300",F65&gt;300,"301 &amp; +")</f>
        <v>61-90</v>
      </c>
    </row>
    <row r="66" spans="1:7" x14ac:dyDescent="0.25">
      <c r="A66" s="50" t="s">
        <v>231</v>
      </c>
      <c r="B66" s="50" t="s">
        <v>200</v>
      </c>
      <c r="C66" s="52">
        <v>57692.37</v>
      </c>
      <c r="D66" s="52">
        <v>-60650.1</v>
      </c>
      <c r="E66" s="50" t="s">
        <v>232</v>
      </c>
      <c r="F66" s="54">
        <v>53</v>
      </c>
      <c r="G66" s="25" t="str">
        <f>_xlfn.IFS(F66&lt;31,"0-30",F66&lt;61,"31-60",F66&lt;91,"61-90",F66&lt;121,"91-120",F66&lt;181,"121-180",F66&lt;301,"181-300",F66&gt;300,"301 &amp; +")</f>
        <v>31-60</v>
      </c>
    </row>
    <row r="67" spans="1:7" x14ac:dyDescent="0.25">
      <c r="A67" s="50" t="s">
        <v>233</v>
      </c>
      <c r="B67" s="50" t="s">
        <v>9</v>
      </c>
      <c r="C67" s="52">
        <v>52012.11</v>
      </c>
      <c r="D67" s="52">
        <v>-52199.7</v>
      </c>
      <c r="E67" s="50" t="s">
        <v>234</v>
      </c>
      <c r="F67" s="54">
        <v>53</v>
      </c>
      <c r="G67" s="25" t="str">
        <f>_xlfn.IFS(F67&lt;31,"0-30",F67&lt;61,"31-60",F67&lt;91,"61-90",F67&lt;121,"91-120",F67&lt;181,"121-180",F67&lt;301,"181-300",F67&gt;300,"301 &amp; +")</f>
        <v>31-60</v>
      </c>
    </row>
    <row r="68" spans="1:7" x14ac:dyDescent="0.25">
      <c r="A68" s="50" t="s">
        <v>237</v>
      </c>
      <c r="B68" s="50" t="s">
        <v>9</v>
      </c>
      <c r="C68" s="52">
        <v>49663.37</v>
      </c>
      <c r="D68" s="52">
        <v>-52199.7</v>
      </c>
      <c r="E68" s="50" t="s">
        <v>238</v>
      </c>
      <c r="F68" s="54">
        <v>53</v>
      </c>
      <c r="G68" s="25" t="str">
        <f>_xlfn.IFS(F68&lt;31,"0-30",F68&lt;61,"31-60",F68&lt;91,"61-90",F68&lt;121,"91-120",F68&lt;181,"121-180",F68&lt;301,"181-300",F68&gt;300,"301 &amp; +")</f>
        <v>31-60</v>
      </c>
    </row>
    <row r="69" spans="1:7" x14ac:dyDescent="0.25">
      <c r="A69" s="50" t="s">
        <v>239</v>
      </c>
      <c r="B69" s="50" t="s">
        <v>9</v>
      </c>
      <c r="C69" s="52">
        <v>49663.37</v>
      </c>
      <c r="D69" s="52">
        <v>-52199.7</v>
      </c>
      <c r="E69" s="50" t="s">
        <v>240</v>
      </c>
      <c r="F69" s="54">
        <v>53</v>
      </c>
      <c r="G69" s="25" t="str">
        <f>_xlfn.IFS(F69&lt;31,"0-30",F69&lt;61,"31-60",F69&lt;91,"61-90",F69&lt;121,"91-120",F69&lt;181,"121-180",F69&lt;301,"181-300",F69&gt;300,"301 &amp; +")</f>
        <v>31-60</v>
      </c>
    </row>
    <row r="70" spans="1:7" x14ac:dyDescent="0.25">
      <c r="A70" s="50" t="s">
        <v>249</v>
      </c>
      <c r="B70" s="50" t="s">
        <v>6</v>
      </c>
      <c r="C70" s="52">
        <v>39843.919999999998</v>
      </c>
      <c r="D70" s="52">
        <v>-41888.699999999997</v>
      </c>
      <c r="E70" s="50" t="s">
        <v>250</v>
      </c>
      <c r="F70" s="54">
        <v>53</v>
      </c>
      <c r="G70" s="25" t="str">
        <f>_xlfn.IFS(F70&lt;31,"0-30",F70&lt;61,"31-60",F70&lt;91,"61-90",F70&lt;121,"91-120",F70&lt;181,"121-180",F70&lt;301,"181-300",F70&gt;300,"301 &amp; +")</f>
        <v>31-60</v>
      </c>
    </row>
    <row r="71" spans="1:7" x14ac:dyDescent="0.25">
      <c r="A71" s="50" t="s">
        <v>245</v>
      </c>
      <c r="B71" s="50" t="s">
        <v>7</v>
      </c>
      <c r="C71" s="52">
        <v>42146.47</v>
      </c>
      <c r="D71" s="52">
        <v>-43411.199999999997</v>
      </c>
      <c r="E71" s="50" t="s">
        <v>246</v>
      </c>
      <c r="F71" s="54">
        <v>51</v>
      </c>
      <c r="G71" s="25" t="str">
        <f>_xlfn.IFS(F71&lt;31,"0-30",F71&lt;61,"31-60",F71&lt;91,"61-90",F71&lt;121,"91-120",F71&lt;181,"121-180",F71&lt;301,"181-300",F71&gt;300,"301 &amp; +")</f>
        <v>31-60</v>
      </c>
    </row>
    <row r="72" spans="1:7" x14ac:dyDescent="0.25">
      <c r="A72" s="50" t="s">
        <v>251</v>
      </c>
      <c r="B72" s="50" t="s">
        <v>187</v>
      </c>
      <c r="C72" s="52">
        <v>34608.92</v>
      </c>
      <c r="D72" s="52">
        <v>-36307.949999999997</v>
      </c>
      <c r="E72" s="50" t="s">
        <v>252</v>
      </c>
      <c r="F72" s="54">
        <v>51</v>
      </c>
      <c r="G72" s="25" t="str">
        <f>_xlfn.IFS(F72&lt;31,"0-30",F72&lt;61,"31-60",F72&lt;91,"61-90",F72&lt;121,"91-120",F72&lt;181,"121-180",F72&lt;301,"181-300",F72&gt;300,"301 &amp; +")</f>
        <v>31-60</v>
      </c>
    </row>
    <row r="73" spans="1:7" x14ac:dyDescent="0.25">
      <c r="A73" s="50" t="s">
        <v>228</v>
      </c>
      <c r="B73" s="50" t="s">
        <v>229</v>
      </c>
      <c r="C73" s="52">
        <v>82048</v>
      </c>
      <c r="D73" s="52">
        <v>-86738.4</v>
      </c>
      <c r="E73" s="50" t="s">
        <v>230</v>
      </c>
      <c r="F73" s="54">
        <v>44</v>
      </c>
      <c r="G73" s="25" t="str">
        <f>_xlfn.IFS(F73&lt;31,"0-30",F73&lt;61,"31-60",F73&lt;91,"61-90",F73&lt;121,"91-120",F73&lt;181,"121-180",F73&lt;301,"181-300",F73&gt;300,"301 &amp; +")</f>
        <v>31-60</v>
      </c>
    </row>
    <row r="74" spans="1:7" x14ac:dyDescent="0.25">
      <c r="A74" s="50" t="s">
        <v>243</v>
      </c>
      <c r="B74" s="50" t="s">
        <v>7</v>
      </c>
      <c r="C74" s="52">
        <v>41237</v>
      </c>
      <c r="D74" s="52">
        <v>-43886.85</v>
      </c>
      <c r="E74" s="50" t="s">
        <v>244</v>
      </c>
      <c r="F74" s="54">
        <v>44</v>
      </c>
      <c r="G74" s="25" t="str">
        <f>_xlfn.IFS(F74&lt;31,"0-30",F74&lt;61,"31-60",F74&lt;91,"61-90",F74&lt;121,"91-120",F74&lt;181,"121-180",F74&lt;301,"181-300",F74&gt;300,"301 &amp; +")</f>
        <v>31-60</v>
      </c>
    </row>
    <row r="75" spans="1:7" x14ac:dyDescent="0.25">
      <c r="A75" s="50" t="s">
        <v>247</v>
      </c>
      <c r="B75" s="50" t="s">
        <v>11</v>
      </c>
      <c r="C75" s="52">
        <v>39908.6</v>
      </c>
      <c r="D75" s="48"/>
      <c r="E75" s="50" t="s">
        <v>248</v>
      </c>
      <c r="F75" s="54">
        <v>43</v>
      </c>
      <c r="G75" s="25" t="str">
        <f>_xlfn.IFS(F75&lt;31,"0-30",F75&lt;61,"31-60",F75&lt;91,"61-90",F75&lt;121,"91-120",F75&lt;181,"121-180",F75&lt;301,"181-300",F75&gt;300,"301 &amp; +")</f>
        <v>31-60</v>
      </c>
    </row>
    <row r="76" spans="1:7" x14ac:dyDescent="0.25">
      <c r="A76" s="50" t="s">
        <v>235</v>
      </c>
      <c r="B76" s="50" t="s">
        <v>9</v>
      </c>
      <c r="C76" s="52">
        <v>50521.32</v>
      </c>
      <c r="D76" s="48"/>
      <c r="E76" s="50" t="s">
        <v>236</v>
      </c>
      <c r="F76" s="54">
        <v>39</v>
      </c>
      <c r="G76" s="25" t="str">
        <f>_xlfn.IFS(F76&lt;31,"0-30",F76&lt;61,"31-60",F76&lt;91,"61-90",F76&lt;121,"91-120",F76&lt;181,"121-180",F76&lt;301,"181-300",F76&gt;300,"301 &amp; +")</f>
        <v>31-60</v>
      </c>
    </row>
    <row r="77" spans="1:7" x14ac:dyDescent="0.25">
      <c r="A77" s="50" t="s">
        <v>241</v>
      </c>
      <c r="B77" s="50" t="s">
        <v>9</v>
      </c>
      <c r="C77" s="52">
        <v>49169.32</v>
      </c>
      <c r="D77" s="48"/>
      <c r="E77" s="50" t="s">
        <v>242</v>
      </c>
      <c r="F77" s="54">
        <v>24</v>
      </c>
      <c r="G77" s="25" t="str">
        <f>_xlfn.IFS(F77&lt;31,"0-30",F77&lt;61,"31-60",F77&lt;91,"61-90",F77&lt;121,"91-120",F77&lt;181,"121-180",F77&lt;301,"181-300",F77&gt;300,"301 &amp; +")</f>
        <v>0-30</v>
      </c>
    </row>
    <row r="78" spans="1:7" x14ac:dyDescent="0.25">
      <c r="A78" s="50" t="s">
        <v>298</v>
      </c>
      <c r="B78" s="50" t="s">
        <v>6</v>
      </c>
      <c r="C78" s="52">
        <v>40306.92</v>
      </c>
      <c r="D78" s="52">
        <v>-42374.85</v>
      </c>
      <c r="E78" s="50" t="s">
        <v>299</v>
      </c>
      <c r="F78" s="54">
        <v>18</v>
      </c>
      <c r="G78" s="25" t="str">
        <f>_xlfn.IFS(F78&lt;31,"0-30",F78&lt;61,"31-60",F78&lt;91,"61-90",F78&lt;121,"91-120",F78&lt;181,"121-180",F78&lt;301,"181-300",F78&gt;300,"301 &amp; +")</f>
        <v>0-30</v>
      </c>
    </row>
    <row r="79" spans="1:7" x14ac:dyDescent="0.25">
      <c r="A79" s="50" t="s">
        <v>272</v>
      </c>
      <c r="B79" s="50" t="s">
        <v>229</v>
      </c>
      <c r="C79" s="52">
        <v>84629.46</v>
      </c>
      <c r="D79" s="52">
        <v>-87242.4</v>
      </c>
      <c r="E79" s="50" t="s">
        <v>273</v>
      </c>
      <c r="F79" s="54">
        <v>17</v>
      </c>
      <c r="G79" s="25" t="str">
        <f>_xlfn.IFS(F79&lt;31,"0-30",F79&lt;61,"31-60",F79&lt;91,"61-90",F79&lt;121,"91-120",F79&lt;181,"121-180",F79&lt;301,"181-300",F79&gt;300,"301 &amp; +")</f>
        <v>0-30</v>
      </c>
    </row>
    <row r="80" spans="1:7" x14ac:dyDescent="0.25">
      <c r="A80" s="50" t="s">
        <v>278</v>
      </c>
      <c r="B80" s="50" t="s">
        <v>48</v>
      </c>
      <c r="C80" s="52">
        <v>60657</v>
      </c>
      <c r="D80" s="52">
        <v>-64183.35</v>
      </c>
      <c r="E80" s="50" t="s">
        <v>279</v>
      </c>
      <c r="F80" s="54">
        <v>17</v>
      </c>
      <c r="G80" s="25" t="str">
        <f>_xlfn.IFS(F80&lt;31,"0-30",F80&lt;61,"31-60",F80&lt;91,"61-90",F80&lt;121,"91-120",F80&lt;181,"121-180",F80&lt;301,"181-300",F80&gt;300,"301 &amp; +")</f>
        <v>0-30</v>
      </c>
    </row>
    <row r="81" spans="1:7" x14ac:dyDescent="0.25">
      <c r="A81" s="50" t="s">
        <v>280</v>
      </c>
      <c r="B81" s="50" t="s">
        <v>48</v>
      </c>
      <c r="C81" s="52">
        <v>60652</v>
      </c>
      <c r="D81" s="52">
        <v>-64183.35</v>
      </c>
      <c r="E81" s="50" t="s">
        <v>281</v>
      </c>
      <c r="F81" s="54">
        <v>17</v>
      </c>
      <c r="G81" s="25" t="str">
        <f>_xlfn.IFS(F81&lt;31,"0-30",F81&lt;61,"31-60",F81&lt;91,"61-90",F81&lt;121,"91-120",F81&lt;181,"121-180",F81&lt;301,"181-300",F81&gt;300,"301 &amp; +")</f>
        <v>0-30</v>
      </c>
    </row>
    <row r="82" spans="1:7" x14ac:dyDescent="0.25">
      <c r="A82" s="50" t="s">
        <v>284</v>
      </c>
      <c r="B82" s="50" t="s">
        <v>48</v>
      </c>
      <c r="C82" s="52">
        <v>59249</v>
      </c>
      <c r="D82" s="52">
        <v>-62710.2</v>
      </c>
      <c r="E82" s="50" t="s">
        <v>285</v>
      </c>
      <c r="F82" s="54">
        <v>17</v>
      </c>
      <c r="G82" s="25" t="str">
        <f>_xlfn.IFS(F82&lt;31,"0-30",F82&lt;61,"31-60",F82&lt;91,"61-90",F82&lt;121,"91-120",F82&lt;181,"121-180",F82&lt;301,"181-300",F82&gt;300,"301 &amp; +")</f>
        <v>0-30</v>
      </c>
    </row>
    <row r="83" spans="1:7" x14ac:dyDescent="0.25">
      <c r="A83" s="50" t="s">
        <v>288</v>
      </c>
      <c r="B83" s="50" t="s">
        <v>48</v>
      </c>
      <c r="C83" s="52">
        <v>59164</v>
      </c>
      <c r="D83" s="52">
        <v>-62710.2</v>
      </c>
      <c r="E83" s="50" t="s">
        <v>289</v>
      </c>
      <c r="F83" s="54">
        <v>17</v>
      </c>
      <c r="G83" s="25" t="str">
        <f>_xlfn.IFS(F83&lt;31,"0-30",F83&lt;61,"31-60",F83&lt;91,"61-90",F83&lt;121,"91-120",F83&lt;181,"121-180",F83&lt;301,"181-300",F83&gt;300,"301 &amp; +")</f>
        <v>0-30</v>
      </c>
    </row>
    <row r="84" spans="1:7" x14ac:dyDescent="0.25">
      <c r="A84" s="50" t="s">
        <v>309</v>
      </c>
      <c r="B84" s="50" t="s">
        <v>160</v>
      </c>
      <c r="C84" s="52">
        <v>29099.919999999998</v>
      </c>
      <c r="D84" s="52">
        <v>-30524.55</v>
      </c>
      <c r="E84" s="50" t="s">
        <v>310</v>
      </c>
      <c r="F84" s="54">
        <v>17</v>
      </c>
      <c r="G84" s="25" t="str">
        <f>_xlfn.IFS(F84&lt;31,"0-30",F84&lt;61,"31-60",F84&lt;91,"61-90",F84&lt;121,"91-120",F84&lt;181,"121-180",F84&lt;301,"181-300",F84&gt;300,"301 &amp; +")</f>
        <v>0-30</v>
      </c>
    </row>
    <row r="85" spans="1:7" x14ac:dyDescent="0.25">
      <c r="A85" s="50" t="s">
        <v>321</v>
      </c>
      <c r="B85" s="50" t="s">
        <v>160</v>
      </c>
      <c r="C85" s="52">
        <v>26338</v>
      </c>
      <c r="D85" s="52">
        <v>-28137.9</v>
      </c>
      <c r="E85" s="50" t="s">
        <v>322</v>
      </c>
      <c r="F85" s="54">
        <v>17</v>
      </c>
      <c r="G85" s="25" t="str">
        <f>_xlfn.IFS(F85&lt;31,"0-30",F85&lt;61,"31-60",F85&lt;91,"61-90",F85&lt;121,"91-120",F85&lt;181,"121-180",F85&lt;301,"181-300",F85&gt;300,"301 &amp; +")</f>
        <v>0-30</v>
      </c>
    </row>
    <row r="86" spans="1:7" x14ac:dyDescent="0.25">
      <c r="A86" s="50" t="s">
        <v>286</v>
      </c>
      <c r="B86" s="50" t="s">
        <v>48</v>
      </c>
      <c r="C86" s="52">
        <v>59164</v>
      </c>
      <c r="D86" s="52">
        <v>-62710.2</v>
      </c>
      <c r="E86" s="50" t="s">
        <v>287</v>
      </c>
      <c r="F86" s="54">
        <v>15</v>
      </c>
      <c r="G86" s="25" t="str">
        <f>_xlfn.IFS(F86&lt;31,"0-30",F86&lt;61,"31-60",F86&lt;91,"61-90",F86&lt;121,"91-120",F86&lt;181,"121-180",F86&lt;301,"181-300",F86&gt;300,"301 &amp; +")</f>
        <v>0-30</v>
      </c>
    </row>
    <row r="87" spans="1:7" x14ac:dyDescent="0.25">
      <c r="A87" s="50" t="s">
        <v>276</v>
      </c>
      <c r="B87" s="50" t="s">
        <v>48</v>
      </c>
      <c r="C87" s="52">
        <v>61034</v>
      </c>
      <c r="D87" s="52">
        <v>-64673.7</v>
      </c>
      <c r="E87" s="50" t="s">
        <v>277</v>
      </c>
      <c r="F87" s="54">
        <v>14</v>
      </c>
      <c r="G87" s="25" t="str">
        <f>_xlfn.IFS(F87&lt;31,"0-30",F87&lt;61,"31-60",F87&lt;91,"61-90",F87&lt;121,"91-120",F87&lt;181,"121-180",F87&lt;301,"181-300",F87&gt;300,"301 &amp; +")</f>
        <v>0-30</v>
      </c>
    </row>
    <row r="88" spans="1:7" x14ac:dyDescent="0.25">
      <c r="A88" s="50" t="s">
        <v>300</v>
      </c>
      <c r="B88" s="50" t="s">
        <v>301</v>
      </c>
      <c r="C88" s="52">
        <v>32482.92</v>
      </c>
      <c r="D88" s="52">
        <v>-34165.949999999997</v>
      </c>
      <c r="E88" s="50" t="s">
        <v>302</v>
      </c>
      <c r="F88" s="54">
        <v>14</v>
      </c>
      <c r="G88" s="25" t="str">
        <f>_xlfn.IFS(F88&lt;31,"0-30",F88&lt;61,"31-60",F88&lt;91,"61-90",F88&lt;121,"91-120",F88&lt;181,"121-180",F88&lt;301,"181-300",F88&gt;300,"301 &amp; +")</f>
        <v>0-30</v>
      </c>
    </row>
    <row r="89" spans="1:7" x14ac:dyDescent="0.25">
      <c r="A89" s="50" t="s">
        <v>303</v>
      </c>
      <c r="B89" s="50" t="s">
        <v>301</v>
      </c>
      <c r="C89" s="52">
        <v>32377.919999999998</v>
      </c>
      <c r="D89" s="52">
        <v>-34165.949999999997</v>
      </c>
      <c r="E89" s="50" t="s">
        <v>304</v>
      </c>
      <c r="F89" s="54">
        <v>14</v>
      </c>
      <c r="G89" s="25" t="str">
        <f>_xlfn.IFS(F89&lt;31,"0-30",F89&lt;61,"31-60",F89&lt;91,"61-90",F89&lt;121,"91-120",F89&lt;181,"121-180",F89&lt;301,"181-300",F89&gt;300,"301 &amp; +")</f>
        <v>0-30</v>
      </c>
    </row>
    <row r="90" spans="1:7" x14ac:dyDescent="0.25">
      <c r="A90" s="50" t="s">
        <v>305</v>
      </c>
      <c r="B90" s="50" t="s">
        <v>160</v>
      </c>
      <c r="C90" s="52">
        <v>30131.919999999998</v>
      </c>
      <c r="D90" s="52">
        <v>-31608.15</v>
      </c>
      <c r="E90" s="50" t="s">
        <v>306</v>
      </c>
      <c r="F90" s="54">
        <v>14</v>
      </c>
      <c r="G90" s="25" t="str">
        <f>_xlfn.IFS(F90&lt;31,"0-30",F90&lt;61,"31-60",F90&lt;91,"61-90",F90&lt;121,"91-120",F90&lt;181,"121-180",F90&lt;301,"181-300",F90&gt;300,"301 &amp; +")</f>
        <v>0-30</v>
      </c>
    </row>
    <row r="91" spans="1:7" x14ac:dyDescent="0.25">
      <c r="A91" s="50" t="s">
        <v>307</v>
      </c>
      <c r="B91" s="50" t="s">
        <v>160</v>
      </c>
      <c r="C91" s="52">
        <v>30099</v>
      </c>
      <c r="D91" s="52">
        <v>-32086.95</v>
      </c>
      <c r="E91" s="50" t="s">
        <v>308</v>
      </c>
      <c r="F91" s="54">
        <v>14</v>
      </c>
      <c r="G91" s="25" t="str">
        <f>_xlfn.IFS(F91&lt;31,"0-30",F91&lt;61,"31-60",F91&lt;91,"61-90",F91&lt;121,"91-120",F91&lt;181,"121-180",F91&lt;301,"181-300",F91&gt;300,"301 &amp; +")</f>
        <v>0-30</v>
      </c>
    </row>
    <row r="92" spans="1:7" x14ac:dyDescent="0.25">
      <c r="A92" s="50" t="s">
        <v>317</v>
      </c>
      <c r="B92" s="50" t="s">
        <v>160</v>
      </c>
      <c r="C92" s="52">
        <v>26338</v>
      </c>
      <c r="D92" s="52">
        <v>-28137.9</v>
      </c>
      <c r="E92" s="50" t="s">
        <v>318</v>
      </c>
      <c r="F92" s="54">
        <v>14</v>
      </c>
      <c r="G92" s="25" t="str">
        <f>_xlfn.IFS(F92&lt;31,"0-30",F92&lt;61,"31-60",F92&lt;91,"61-90",F92&lt;121,"91-120",F92&lt;181,"121-180",F92&lt;301,"181-300",F92&gt;300,"301 &amp; +")</f>
        <v>0-30</v>
      </c>
    </row>
    <row r="93" spans="1:7" x14ac:dyDescent="0.25">
      <c r="A93" s="50" t="s">
        <v>319</v>
      </c>
      <c r="B93" s="50" t="s">
        <v>160</v>
      </c>
      <c r="C93" s="52">
        <v>26338</v>
      </c>
      <c r="D93" s="52">
        <v>-28137.9</v>
      </c>
      <c r="E93" s="50" t="s">
        <v>320</v>
      </c>
      <c r="F93" s="54">
        <v>14</v>
      </c>
      <c r="G93" s="25" t="str">
        <f>_xlfn.IFS(F93&lt;31,"0-30",F93&lt;61,"31-60",F93&lt;91,"61-90",F93&lt;121,"91-120",F93&lt;181,"121-180",F93&lt;301,"181-300",F93&gt;300,"301 &amp; +")</f>
        <v>0-30</v>
      </c>
    </row>
    <row r="94" spans="1:7" x14ac:dyDescent="0.25">
      <c r="A94" s="50" t="s">
        <v>282</v>
      </c>
      <c r="B94" s="50" t="s">
        <v>48</v>
      </c>
      <c r="C94" s="52">
        <v>60567</v>
      </c>
      <c r="D94" s="52">
        <v>-64183.35</v>
      </c>
      <c r="E94" s="50" t="s">
        <v>283</v>
      </c>
      <c r="F94" s="54">
        <v>9</v>
      </c>
      <c r="G94" s="25" t="str">
        <f>_xlfn.IFS(F94&lt;31,"0-30",F94&lt;61,"31-60",F94&lt;91,"61-90",F94&lt;121,"91-120",F94&lt;181,"121-180",F94&lt;301,"181-300",F94&gt;300,"301 &amp; +")</f>
        <v>0-30</v>
      </c>
    </row>
    <row r="95" spans="1:7" x14ac:dyDescent="0.25">
      <c r="A95" s="50" t="s">
        <v>290</v>
      </c>
      <c r="B95" s="50" t="s">
        <v>166</v>
      </c>
      <c r="C95" s="52">
        <v>58208</v>
      </c>
      <c r="D95" s="52">
        <v>-61706.400000000001</v>
      </c>
      <c r="E95" s="50" t="s">
        <v>291</v>
      </c>
      <c r="F95" s="54">
        <v>7</v>
      </c>
      <c r="G95" s="25" t="str">
        <f>_xlfn.IFS(F95&lt;31,"0-30",F95&lt;61,"31-60",F95&lt;91,"61-90",F95&lt;121,"91-120",F95&lt;181,"121-180",F95&lt;301,"181-300",F95&gt;300,"301 &amp; +")</f>
        <v>0-30</v>
      </c>
    </row>
    <row r="96" spans="1:7" x14ac:dyDescent="0.25">
      <c r="A96" s="50" t="s">
        <v>292</v>
      </c>
      <c r="B96" s="50" t="s">
        <v>200</v>
      </c>
      <c r="C96" s="52">
        <v>57212</v>
      </c>
      <c r="D96" s="52">
        <v>-60660.6</v>
      </c>
      <c r="E96" s="50" t="s">
        <v>293</v>
      </c>
      <c r="F96" s="54">
        <v>7</v>
      </c>
      <c r="G96" s="25" t="str">
        <f>_xlfn.IFS(F96&lt;31,"0-30",F96&lt;61,"31-60",F96&lt;91,"61-90",F96&lt;121,"91-120",F96&lt;181,"121-180",F96&lt;301,"181-300",F96&gt;300,"301 &amp; +")</f>
        <v>0-30</v>
      </c>
    </row>
    <row r="97" spans="1:7" x14ac:dyDescent="0.25">
      <c r="A97" s="50" t="s">
        <v>311</v>
      </c>
      <c r="B97" s="50" t="s">
        <v>160</v>
      </c>
      <c r="C97" s="52">
        <v>28611</v>
      </c>
      <c r="D97" s="52">
        <v>-30524.55</v>
      </c>
      <c r="E97" s="50" t="s">
        <v>312</v>
      </c>
      <c r="F97" s="54">
        <v>7</v>
      </c>
      <c r="G97" s="25" t="str">
        <f>_xlfn.IFS(F97&lt;31,"0-30",F97&lt;61,"31-60",F97&lt;91,"61-90",F97&lt;121,"91-120",F97&lt;181,"121-180",F97&lt;301,"181-300",F97&gt;300,"301 &amp; +")</f>
        <v>0-30</v>
      </c>
    </row>
    <row r="98" spans="1:7" x14ac:dyDescent="0.25">
      <c r="A98" s="50" t="s">
        <v>313</v>
      </c>
      <c r="B98" s="50" t="s">
        <v>160</v>
      </c>
      <c r="C98" s="52">
        <v>26338</v>
      </c>
      <c r="D98" s="52">
        <v>-28137.9</v>
      </c>
      <c r="E98" s="50" t="s">
        <v>314</v>
      </c>
      <c r="F98" s="54">
        <v>7</v>
      </c>
      <c r="G98" s="25" t="str">
        <f>_xlfn.IFS(F98&lt;31,"0-30",F98&lt;61,"31-60",F98&lt;91,"61-90",F98&lt;121,"91-120",F98&lt;181,"121-180",F98&lt;301,"181-300",F98&gt;300,"301 &amp; +")</f>
        <v>0-30</v>
      </c>
    </row>
    <row r="99" spans="1:7" x14ac:dyDescent="0.25">
      <c r="A99" s="50" t="s">
        <v>315</v>
      </c>
      <c r="B99" s="50" t="s">
        <v>160</v>
      </c>
      <c r="C99" s="52">
        <v>26338</v>
      </c>
      <c r="D99" s="52">
        <v>-28137.9</v>
      </c>
      <c r="E99" s="50" t="s">
        <v>316</v>
      </c>
      <c r="F99" s="54">
        <v>7</v>
      </c>
      <c r="G99" s="25" t="str">
        <f>_xlfn.IFS(F99&lt;31,"0-30",F99&lt;61,"31-60",F99&lt;91,"61-90",F99&lt;121,"91-120",F99&lt;181,"121-180",F99&lt;301,"181-300",F99&gt;300,"301 &amp; +")</f>
        <v>0-30</v>
      </c>
    </row>
    <row r="100" spans="1:7" x14ac:dyDescent="0.25">
      <c r="A100" s="50" t="s">
        <v>296</v>
      </c>
      <c r="B100" s="50" t="s">
        <v>7</v>
      </c>
      <c r="C100" s="52">
        <v>41463</v>
      </c>
      <c r="D100" s="48"/>
      <c r="E100" s="50" t="s">
        <v>297</v>
      </c>
      <c r="F100" s="54">
        <v>4</v>
      </c>
      <c r="G100" s="25" t="str">
        <f>_xlfn.IFS(F100&lt;31,"0-30",F100&lt;61,"31-60",F100&lt;91,"61-90",F100&lt;121,"91-120",F100&lt;181,"121-180",F100&lt;301,"181-300",F100&gt;300,"301 &amp; +")</f>
        <v>0-30</v>
      </c>
    </row>
    <row r="101" spans="1:7" x14ac:dyDescent="0.25">
      <c r="A101" s="50" t="s">
        <v>294</v>
      </c>
      <c r="B101" s="50" t="s">
        <v>200</v>
      </c>
      <c r="C101" s="52">
        <v>55267</v>
      </c>
      <c r="D101" s="48"/>
      <c r="E101" s="50" t="s">
        <v>295</v>
      </c>
      <c r="F101" s="54">
        <v>3</v>
      </c>
      <c r="G101" s="25" t="str">
        <f>_xlfn.IFS(F101&lt;31,"0-30",F101&lt;61,"31-60",F101&lt;91,"61-90",F101&lt;121,"91-120",F101&lt;181,"121-180",F101&lt;301,"181-300",F101&gt;300,"301 &amp; +")</f>
        <v>0-30</v>
      </c>
    </row>
    <row r="102" spans="1:7" x14ac:dyDescent="0.25">
      <c r="A102" s="50" t="s">
        <v>274</v>
      </c>
      <c r="B102" s="50" t="s">
        <v>48</v>
      </c>
      <c r="C102" s="52">
        <v>61034</v>
      </c>
      <c r="D102" s="52">
        <v>-64673.7</v>
      </c>
      <c r="E102" s="50" t="s">
        <v>275</v>
      </c>
      <c r="F102" s="54">
        <v>2</v>
      </c>
      <c r="G102" s="25" t="str">
        <f>_xlfn.IFS(F102&lt;31,"0-30",F102&lt;61,"31-60",F102&lt;91,"61-90",F102&lt;121,"91-120",F102&lt;181,"121-180",F102&lt;301,"181-300",F102&gt;300,"301 &amp; +")</f>
        <v>0-30</v>
      </c>
    </row>
  </sheetData>
  <autoFilter ref="A1:G102" xr:uid="{00000000-0001-0000-0000-000000000000}">
    <sortState xmlns:xlrd2="http://schemas.microsoft.com/office/spreadsheetml/2017/richdata2" ref="A2:G102">
      <sortCondition descending="1" ref="F1:F102"/>
    </sortState>
  </autoFilter>
  <sortState xmlns:xlrd2="http://schemas.microsoft.com/office/spreadsheetml/2017/richdata2" ref="A22:F102">
    <sortCondition descending="1" ref="C1:C1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tabSelected="1" workbookViewId="0">
      <selection activeCell="H15" sqref="H15"/>
    </sheetView>
  </sheetViews>
  <sheetFormatPr baseColWidth="10" defaultColWidth="9.140625" defaultRowHeight="15" x14ac:dyDescent="0.25"/>
  <cols>
    <col min="1" max="1" width="9.42578125" bestFit="1" customWidth="1"/>
    <col min="2" max="2" width="33.85546875" bestFit="1" customWidth="1"/>
    <col min="3" max="3" width="9" bestFit="1" customWidth="1"/>
    <col min="4" max="4" width="9.7109375" bestFit="1" customWidth="1"/>
    <col min="5" max="5" width="21.7109375" bestFit="1" customWidth="1"/>
    <col min="6" max="6" width="13" bestFit="1" customWidth="1"/>
    <col min="7" max="7" width="13.140625" customWidth="1"/>
    <col min="9" max="9" width="21.28515625" bestFit="1" customWidth="1"/>
    <col min="10" max="10" width="13.42578125" bestFit="1" customWidth="1"/>
    <col min="11" max="11" width="14.42578125" bestFit="1" customWidth="1"/>
    <col min="13" max="13" width="12.28515625" bestFit="1" customWidth="1"/>
    <col min="14" max="14" width="14.28515625" customWidth="1"/>
    <col min="15" max="15" width="14.42578125" customWidth="1"/>
    <col min="16" max="16" width="12.7109375" customWidth="1"/>
  </cols>
  <sheetData>
    <row r="1" spans="1:16" x14ac:dyDescent="0.25">
      <c r="A1" s="56" t="s">
        <v>0</v>
      </c>
      <c r="B1" s="56" t="s">
        <v>1</v>
      </c>
      <c r="C1" s="58" t="s">
        <v>20</v>
      </c>
      <c r="D1" s="58" t="s">
        <v>21</v>
      </c>
      <c r="E1" s="56" t="s">
        <v>4</v>
      </c>
      <c r="F1" s="60" t="s">
        <v>5</v>
      </c>
      <c r="G1" s="15" t="s">
        <v>53</v>
      </c>
      <c r="I1" s="4"/>
      <c r="J1" s="5" t="s">
        <v>41</v>
      </c>
      <c r="K1" s="6" t="s">
        <v>42</v>
      </c>
    </row>
    <row r="2" spans="1:16" x14ac:dyDescent="0.25">
      <c r="A2" s="57" t="s">
        <v>38</v>
      </c>
      <c r="B2" s="57" t="s">
        <v>39</v>
      </c>
      <c r="C2" s="59">
        <v>9085.68</v>
      </c>
      <c r="D2" s="55"/>
      <c r="E2" s="57" t="s">
        <v>40</v>
      </c>
      <c r="F2" s="61">
        <v>982</v>
      </c>
      <c r="G2" s="25" t="str">
        <f>_xlfn.IFS(F2&lt;31,"0-30",F2&lt;61,"31-60",F2&lt;91,"61-90",F2&lt;121,"91-120",F2&lt;181,"121-180",F2&lt;301,"181-300",F2&gt;300,"301 &amp; +")</f>
        <v>301 &amp; +</v>
      </c>
      <c r="I2" s="8" t="s">
        <v>43</v>
      </c>
      <c r="J2" s="9">
        <f>SUM(C:C)</f>
        <v>788772.70000000007</v>
      </c>
      <c r="K2" s="10">
        <f>SUM(D:D)</f>
        <v>-252348.4</v>
      </c>
    </row>
    <row r="3" spans="1:16" ht="15.75" thickBot="1" x14ac:dyDescent="0.3">
      <c r="A3" s="57" t="s">
        <v>25</v>
      </c>
      <c r="B3" s="57" t="s">
        <v>26</v>
      </c>
      <c r="C3" s="59">
        <v>28977.22</v>
      </c>
      <c r="D3" s="55"/>
      <c r="E3" s="57" t="s">
        <v>27</v>
      </c>
      <c r="F3" s="61">
        <v>820</v>
      </c>
      <c r="G3" s="25" t="str">
        <f>_xlfn.IFS(F3&lt;31,"0-30",F3&lt;61,"31-60",F3&lt;91,"61-90",F3&lt;121,"91-120",F3&lt;181,"121-180",F3&lt;301,"181-300",F3&gt;300,"301 &amp; +")</f>
        <v>301 &amp; +</v>
      </c>
      <c r="I3" s="12" t="s">
        <v>44</v>
      </c>
      <c r="J3" s="13">
        <f>COUNT(C:C)</f>
        <v>39</v>
      </c>
      <c r="K3" s="14">
        <f>-K2/J2</f>
        <v>0.31992537267073262</v>
      </c>
    </row>
    <row r="4" spans="1:16" x14ac:dyDescent="0.25">
      <c r="A4" s="57" t="s">
        <v>22</v>
      </c>
      <c r="B4" s="57" t="s">
        <v>23</v>
      </c>
      <c r="C4" s="59">
        <v>33488.49</v>
      </c>
      <c r="D4" s="55"/>
      <c r="E4" s="57" t="s">
        <v>24</v>
      </c>
      <c r="F4" s="61">
        <v>637</v>
      </c>
      <c r="G4" s="25" t="str">
        <f>_xlfn.IFS(F4&lt;31,"0-30",F4&lt;61,"31-60",F4&lt;91,"61-90",F4&lt;121,"91-120",F4&lt;181,"121-180",F4&lt;301,"181-300",F4&gt;300,"301 &amp; +")</f>
        <v>301 &amp; +</v>
      </c>
      <c r="I4" s="7"/>
      <c r="J4" s="7"/>
      <c r="K4" s="7"/>
    </row>
    <row r="5" spans="1:16" x14ac:dyDescent="0.25">
      <c r="A5" s="57" t="s">
        <v>35</v>
      </c>
      <c r="B5" s="57" t="s">
        <v>36</v>
      </c>
      <c r="C5" s="59">
        <v>13862.84</v>
      </c>
      <c r="D5" s="55"/>
      <c r="E5" s="57" t="s">
        <v>37</v>
      </c>
      <c r="F5" s="61">
        <v>522</v>
      </c>
      <c r="G5" s="25" t="str">
        <f>_xlfn.IFS(F5&lt;31,"0-30",F5&lt;61,"31-60",F5&lt;91,"61-90",F5&lt;121,"91-120",F5&lt;181,"121-180",F5&lt;301,"181-300",F5&gt;300,"301 &amp; +")</f>
        <v>301 &amp; +</v>
      </c>
      <c r="I5" s="7"/>
      <c r="J5" s="7"/>
      <c r="K5" s="7"/>
    </row>
    <row r="6" spans="1:16" x14ac:dyDescent="0.25">
      <c r="A6" s="57" t="s">
        <v>381</v>
      </c>
      <c r="B6" s="57" t="s">
        <v>198</v>
      </c>
      <c r="C6" s="59">
        <v>1207.5</v>
      </c>
      <c r="D6" s="55"/>
      <c r="E6" s="57" t="s">
        <v>382</v>
      </c>
      <c r="F6" s="61">
        <v>108</v>
      </c>
      <c r="G6" s="25" t="str">
        <f>_xlfn.IFS(F6&lt;31,"0-30",F6&lt;61,"31-60",F6&lt;91,"61-90",F6&lt;121,"91-120",F6&lt;181,"121-180",F6&lt;301,"181-300",F6&gt;300,"301 &amp; +")</f>
        <v>91-120</v>
      </c>
      <c r="I6" s="7"/>
      <c r="J6" s="7"/>
      <c r="K6" s="7"/>
      <c r="L6" s="7"/>
      <c r="M6" s="7"/>
      <c r="N6" s="7" t="s">
        <v>50</v>
      </c>
      <c r="O6" t="s">
        <v>51</v>
      </c>
      <c r="P6" t="s">
        <v>52</v>
      </c>
    </row>
    <row r="7" spans="1:16" x14ac:dyDescent="0.25">
      <c r="A7" s="57" t="s">
        <v>225</v>
      </c>
      <c r="B7" s="57" t="s">
        <v>226</v>
      </c>
      <c r="C7" s="59">
        <v>10539.83</v>
      </c>
      <c r="D7" s="55"/>
      <c r="E7" s="57" t="s">
        <v>227</v>
      </c>
      <c r="F7" s="61">
        <v>66</v>
      </c>
      <c r="G7" s="25" t="str">
        <f>_xlfn.IFS(F7&lt;31,"0-30",F7&lt;61,"31-60",F7&lt;91,"61-90",F7&lt;121,"91-120",F7&lt;181,"121-180",F7&lt;301,"181-300",F7&gt;300,"301 &amp; +")</f>
        <v>61-90</v>
      </c>
      <c r="I7" s="16" t="s">
        <v>45</v>
      </c>
      <c r="J7" s="17">
        <f>COUNTIF(F:F,"&gt;=365")</f>
        <v>4</v>
      </c>
      <c r="K7" s="18">
        <f>SUMIF(F:F,"&gt;=365",C:C)</f>
        <v>85414.23</v>
      </c>
      <c r="M7" s="17">
        <f>COUNTIFS(F:F,"&gt;=365",D:D,"&lt;&gt;"&amp;"")</f>
        <v>0</v>
      </c>
      <c r="N7" s="18">
        <f>SUMIF(F:F,"&gt;=365",D:D)</f>
        <v>0</v>
      </c>
      <c r="O7" s="23">
        <f>N7*0.07/12</f>
        <v>0</v>
      </c>
      <c r="P7" s="23">
        <f>IF(J7=0,0,O7/J7)</f>
        <v>0</v>
      </c>
    </row>
    <row r="8" spans="1:16" x14ac:dyDescent="0.25">
      <c r="A8" s="57" t="s">
        <v>260</v>
      </c>
      <c r="B8" s="57" t="s">
        <v>261</v>
      </c>
      <c r="C8" s="59">
        <v>28648.47</v>
      </c>
      <c r="D8" s="59">
        <v>-27069</v>
      </c>
      <c r="E8" s="57" t="s">
        <v>262</v>
      </c>
      <c r="F8" s="61">
        <v>63</v>
      </c>
      <c r="G8" s="25" t="str">
        <f>_xlfn.IFS(F8&lt;31,"0-30",F8&lt;61,"31-60",F8&lt;91,"61-90",F8&lt;121,"91-120",F8&lt;181,"121-180",F8&lt;301,"181-300",F8&gt;300,"301 &amp; +")</f>
        <v>61-90</v>
      </c>
      <c r="I8" s="16" t="s">
        <v>46</v>
      </c>
      <c r="J8" s="17">
        <f>COUNTIFS(F:F,"&lt;365",F:F,"&gt;=180")</f>
        <v>0</v>
      </c>
      <c r="K8" s="19">
        <f>SUMIFS(C:C,F:F,"&lt;365",F:F,"&gt;=180")</f>
        <v>0</v>
      </c>
      <c r="M8" s="17">
        <f>COUNTIFS(F:F,"&lt;365",F:F,"&gt;=180",D:D,"&lt;&gt;"&amp;"")</f>
        <v>0</v>
      </c>
      <c r="N8" s="19">
        <f>SUMIFS(D:D,F:F,"&lt;365",F:F,"&gt;=180")</f>
        <v>0</v>
      </c>
      <c r="O8" s="23">
        <f t="shared" ref="O8:O10" si="0">N8*0.07/12</f>
        <v>0</v>
      </c>
      <c r="P8" s="23">
        <f>IF(J8=0,0,O8/J8)</f>
        <v>0</v>
      </c>
    </row>
    <row r="9" spans="1:16" x14ac:dyDescent="0.25">
      <c r="A9" s="57" t="s">
        <v>253</v>
      </c>
      <c r="B9" s="57" t="s">
        <v>13</v>
      </c>
      <c r="C9" s="59">
        <v>55699.47</v>
      </c>
      <c r="D9" s="59">
        <v>-48960</v>
      </c>
      <c r="E9" s="57" t="s">
        <v>254</v>
      </c>
      <c r="F9" s="61">
        <v>60</v>
      </c>
      <c r="G9" s="25" t="str">
        <f>_xlfn.IFS(F9&lt;31,"0-30",F9&lt;61,"31-60",F9&lt;91,"61-90",F9&lt;121,"91-120",F9&lt;181,"121-180",F9&lt;301,"181-300",F9&gt;300,"301 &amp; +")</f>
        <v>31-60</v>
      </c>
      <c r="I9" s="16" t="s">
        <v>47</v>
      </c>
      <c r="J9" s="17">
        <f>COUNTIFS(F:F,"&lt;180",F:F,"&gt;=90")</f>
        <v>1</v>
      </c>
      <c r="K9" s="20">
        <f>SUMIFS(C:C,F:F,"&lt;180",F:F,"&gt;=90")</f>
        <v>1207.5</v>
      </c>
      <c r="M9" s="17">
        <f>COUNTIFS(F:F,"&lt;180",F:F,"&gt;=90",D:D,"&lt;&gt;"&amp;"")</f>
        <v>0</v>
      </c>
      <c r="N9" s="20">
        <f>SUMIFS(D:D,F:F,"&lt;180",F:F,"&gt;=90")</f>
        <v>0</v>
      </c>
      <c r="O9" s="23">
        <f t="shared" si="0"/>
        <v>0</v>
      </c>
      <c r="P9" s="23">
        <f>IF(M9=0,0,O9/M9)</f>
        <v>0</v>
      </c>
    </row>
    <row r="10" spans="1:16" x14ac:dyDescent="0.25">
      <c r="A10" s="57" t="s">
        <v>263</v>
      </c>
      <c r="B10" s="57" t="s">
        <v>14</v>
      </c>
      <c r="C10" s="59">
        <v>26612.45</v>
      </c>
      <c r="D10" s="59">
        <v>-30995.42</v>
      </c>
      <c r="E10" s="57" t="s">
        <v>264</v>
      </c>
      <c r="F10" s="61">
        <v>53</v>
      </c>
      <c r="G10" s="25" t="str">
        <f>_xlfn.IFS(F10&lt;31,"0-30",F10&lt;61,"31-60",F10&lt;91,"61-90",F10&lt;121,"91-120",F10&lt;181,"121-180",F10&lt;301,"181-300",F10&gt;300,"301 &amp; +")</f>
        <v>31-60</v>
      </c>
      <c r="I10" s="16" t="s">
        <v>49</v>
      </c>
      <c r="J10" s="17">
        <f>COUNTIF(F:F,"&lt;90")</f>
        <v>34</v>
      </c>
      <c r="K10" s="21">
        <f>SUMIF(F:F,"&lt;90",C:C)</f>
        <v>702150.97</v>
      </c>
      <c r="M10" s="17">
        <f>COUNTIFS(F:F,"&lt;90",D:D,"&lt;&gt;"&amp;"")</f>
        <v>10</v>
      </c>
      <c r="N10" s="21">
        <f>SUMIF(F:F,"&lt;90",D:D)</f>
        <v>-252348.4</v>
      </c>
      <c r="O10" s="23">
        <f t="shared" si="0"/>
        <v>-1472.0323333333336</v>
      </c>
      <c r="P10" s="23">
        <f>IF(M10=0,0,O10/M10)</f>
        <v>-147.20323333333334</v>
      </c>
    </row>
    <row r="11" spans="1:16" x14ac:dyDescent="0.25">
      <c r="A11" s="57" t="s">
        <v>337</v>
      </c>
      <c r="B11" s="57" t="s">
        <v>196</v>
      </c>
      <c r="C11" s="59">
        <v>22661.53</v>
      </c>
      <c r="D11" s="59">
        <v>-19203</v>
      </c>
      <c r="E11" s="57" t="s">
        <v>338</v>
      </c>
      <c r="F11" s="61">
        <v>42</v>
      </c>
      <c r="G11" s="25" t="str">
        <f>_xlfn.IFS(F11&lt;31,"0-30",F11&lt;61,"31-60",F11&lt;91,"61-90",F11&lt;121,"91-120",F11&lt;181,"121-180",F11&lt;301,"181-300",F11&gt;300,"301 &amp; +")</f>
        <v>31-60</v>
      </c>
    </row>
    <row r="12" spans="1:16" x14ac:dyDescent="0.25">
      <c r="A12" s="57" t="s">
        <v>257</v>
      </c>
      <c r="B12" s="57" t="s">
        <v>258</v>
      </c>
      <c r="C12" s="59">
        <v>30101.38</v>
      </c>
      <c r="D12" s="55"/>
      <c r="E12" s="57" t="s">
        <v>259</v>
      </c>
      <c r="F12" s="61">
        <v>39</v>
      </c>
      <c r="G12" s="25" t="str">
        <f>_xlfn.IFS(F12&lt;31,"0-30",F12&lt;61,"31-60",F12&lt;91,"61-90",F12&lt;121,"91-120",F12&lt;181,"121-180",F12&lt;301,"181-300",F12&gt;300,"301 &amp; +")</f>
        <v>31-60</v>
      </c>
    </row>
    <row r="13" spans="1:16" x14ac:dyDescent="0.25">
      <c r="A13" s="57" t="s">
        <v>269</v>
      </c>
      <c r="B13" s="57" t="s">
        <v>270</v>
      </c>
      <c r="C13" s="59">
        <v>6041.43</v>
      </c>
      <c r="D13" s="55"/>
      <c r="E13" s="57" t="s">
        <v>271</v>
      </c>
      <c r="F13" s="61">
        <v>35</v>
      </c>
      <c r="G13" s="25" t="str">
        <f>_xlfn.IFS(F13&lt;31,"0-30",F13&lt;61,"31-60",F13&lt;91,"61-90",F13&lt;121,"91-120",F13&lt;181,"121-180",F13&lt;301,"181-300",F13&gt;300,"301 &amp; +")</f>
        <v>31-60</v>
      </c>
    </row>
    <row r="14" spans="1:16" x14ac:dyDescent="0.25">
      <c r="A14" s="57" t="s">
        <v>255</v>
      </c>
      <c r="B14" s="57" t="s">
        <v>12</v>
      </c>
      <c r="C14" s="59">
        <v>31361.27</v>
      </c>
      <c r="D14" s="59">
        <v>-27000</v>
      </c>
      <c r="E14" s="57" t="s">
        <v>256</v>
      </c>
      <c r="F14" s="61">
        <v>32</v>
      </c>
      <c r="G14" s="25" t="str">
        <f>_xlfn.IFS(F14&lt;31,"0-30",F14&lt;61,"31-60",F14&lt;91,"61-90",F14&lt;121,"91-120",F14&lt;181,"121-180",F14&lt;301,"181-300",F14&gt;300,"301 &amp; +")</f>
        <v>31-60</v>
      </c>
    </row>
    <row r="15" spans="1:16" x14ac:dyDescent="0.25">
      <c r="A15" s="57" t="s">
        <v>266</v>
      </c>
      <c r="B15" s="57" t="s">
        <v>267</v>
      </c>
      <c r="C15" s="59">
        <v>10550</v>
      </c>
      <c r="D15" s="55"/>
      <c r="E15" s="57" t="s">
        <v>268</v>
      </c>
      <c r="F15" s="61">
        <v>32</v>
      </c>
      <c r="G15" s="25" t="str">
        <f>_xlfn.IFS(F15&lt;31,"0-30",F15&lt;61,"31-60",F15&lt;91,"61-90",F15&lt;121,"91-120",F15&lt;181,"121-180",F15&lt;301,"181-300",F15&gt;300,"301 &amp; +")</f>
        <v>31-60</v>
      </c>
    </row>
    <row r="16" spans="1:16" x14ac:dyDescent="0.25">
      <c r="A16" s="57" t="s">
        <v>367</v>
      </c>
      <c r="B16" s="57" t="s">
        <v>224</v>
      </c>
      <c r="C16" s="59">
        <v>11591.68</v>
      </c>
      <c r="D16" s="59">
        <v>-7896</v>
      </c>
      <c r="E16" s="57" t="s">
        <v>368</v>
      </c>
      <c r="F16" s="61">
        <v>18</v>
      </c>
      <c r="G16" s="25" t="str">
        <f>_xlfn.IFS(F16&lt;31,"0-30",F16&lt;61,"31-60",F16&lt;91,"61-90",F16&lt;121,"91-120",F16&lt;181,"121-180",F16&lt;301,"181-300",F16&gt;300,"301 &amp; +")</f>
        <v>0-30</v>
      </c>
    </row>
    <row r="17" spans="1:7" x14ac:dyDescent="0.25">
      <c r="A17" s="57" t="s">
        <v>352</v>
      </c>
      <c r="B17" s="57" t="s">
        <v>31</v>
      </c>
      <c r="C17" s="59">
        <v>19021.43</v>
      </c>
      <c r="D17" s="59">
        <v>-16200</v>
      </c>
      <c r="E17" s="57" t="s">
        <v>353</v>
      </c>
      <c r="F17" s="61">
        <v>17</v>
      </c>
      <c r="G17" s="25" t="str">
        <f>_xlfn.IFS(F17&lt;31,"0-30",F17&lt;61,"31-60",F17&lt;91,"61-90",F17&lt;121,"91-120",F17&lt;181,"121-180",F17&lt;301,"181-300",F17&gt;300,"301 &amp; +")</f>
        <v>0-30</v>
      </c>
    </row>
    <row r="18" spans="1:7" x14ac:dyDescent="0.25">
      <c r="A18" s="57" t="s">
        <v>354</v>
      </c>
      <c r="B18" s="57" t="s">
        <v>29</v>
      </c>
      <c r="C18" s="59">
        <v>18346.32</v>
      </c>
      <c r="D18" s="59">
        <v>-20440</v>
      </c>
      <c r="E18" s="57" t="s">
        <v>355</v>
      </c>
      <c r="F18" s="61">
        <v>15</v>
      </c>
      <c r="G18" s="25" t="str">
        <f>_xlfn.IFS(F18&lt;31,"0-30",F18&lt;61,"31-60",F18&lt;91,"61-90",F18&lt;121,"91-120",F18&lt;181,"121-180",F18&lt;301,"181-300",F18&gt;300,"301 &amp; +")</f>
        <v>0-30</v>
      </c>
    </row>
    <row r="19" spans="1:7" x14ac:dyDescent="0.25">
      <c r="A19" s="57" t="s">
        <v>325</v>
      </c>
      <c r="B19" s="57" t="s">
        <v>326</v>
      </c>
      <c r="C19" s="59">
        <v>36203.269999999997</v>
      </c>
      <c r="D19" s="59">
        <v>-31275</v>
      </c>
      <c r="E19" s="57" t="s">
        <v>327</v>
      </c>
      <c r="F19" s="61">
        <v>14</v>
      </c>
      <c r="G19" s="25" t="str">
        <f>_xlfn.IFS(F19&lt;31,"0-30",F19&lt;61,"31-60",F19&lt;91,"61-90",F19&lt;121,"91-120",F19&lt;181,"121-180",F19&lt;301,"181-300",F19&gt;300,"301 &amp; +")</f>
        <v>0-30</v>
      </c>
    </row>
    <row r="20" spans="1:7" x14ac:dyDescent="0.25">
      <c r="A20" s="57" t="s">
        <v>361</v>
      </c>
      <c r="B20" s="57" t="s">
        <v>29</v>
      </c>
      <c r="C20" s="59">
        <v>17311.27</v>
      </c>
      <c r="D20" s="59">
        <v>-23309.98</v>
      </c>
      <c r="E20" s="57" t="s">
        <v>362</v>
      </c>
      <c r="F20" s="61">
        <v>14</v>
      </c>
      <c r="G20" s="25" t="str">
        <f>_xlfn.IFS(F20&lt;31,"0-30",F20&lt;61,"31-60",F20&lt;91,"61-90",F20&lt;121,"91-120",F20&lt;181,"121-180",F20&lt;301,"181-300",F20&gt;300,"301 &amp; +")</f>
        <v>0-30</v>
      </c>
    </row>
    <row r="21" spans="1:7" x14ac:dyDescent="0.25">
      <c r="A21" s="57" t="s">
        <v>332</v>
      </c>
      <c r="B21" s="57" t="s">
        <v>29</v>
      </c>
      <c r="C21" s="59">
        <v>23456.720000000001</v>
      </c>
      <c r="D21" s="55"/>
      <c r="E21" s="57" t="s">
        <v>333</v>
      </c>
      <c r="F21" s="61">
        <v>9</v>
      </c>
      <c r="G21" s="25" t="str">
        <f>_xlfn.IFS(F21&lt;31,"0-30",F21&lt;61,"31-60",F21&lt;91,"61-90",F21&lt;121,"91-120",F21&lt;181,"121-180",F21&lt;301,"181-300",F21&gt;300,"301 &amp; +")</f>
        <v>0-30</v>
      </c>
    </row>
    <row r="22" spans="1:7" x14ac:dyDescent="0.25">
      <c r="A22" s="57" t="s">
        <v>346</v>
      </c>
      <c r="B22" s="57" t="s">
        <v>28</v>
      </c>
      <c r="C22" s="59">
        <v>20861.27</v>
      </c>
      <c r="D22" s="55"/>
      <c r="E22" s="57" t="s">
        <v>347</v>
      </c>
      <c r="F22" s="61">
        <v>9</v>
      </c>
      <c r="G22" s="25" t="str">
        <f>_xlfn.IFS(F22&lt;31,"0-30",F22&lt;61,"31-60",F22&lt;91,"61-90",F22&lt;121,"91-120",F22&lt;181,"121-180",F22&lt;301,"181-300",F22&gt;300,"301 &amp; +")</f>
        <v>0-30</v>
      </c>
    </row>
    <row r="23" spans="1:7" x14ac:dyDescent="0.25">
      <c r="A23" s="57" t="s">
        <v>339</v>
      </c>
      <c r="B23" s="57" t="s">
        <v>29</v>
      </c>
      <c r="C23" s="59">
        <v>22550</v>
      </c>
      <c r="D23" s="55"/>
      <c r="E23" s="57" t="s">
        <v>340</v>
      </c>
      <c r="F23" s="61">
        <v>8</v>
      </c>
      <c r="G23" s="25" t="str">
        <f>_xlfn.IFS(F23&lt;31,"0-30",F23&lt;61,"31-60",F23&lt;91,"61-90",F23&lt;121,"91-120",F23&lt;181,"121-180",F23&lt;301,"181-300",F23&gt;300,"301 &amp; +")</f>
        <v>0-30</v>
      </c>
    </row>
    <row r="24" spans="1:7" x14ac:dyDescent="0.25">
      <c r="A24" s="57" t="s">
        <v>356</v>
      </c>
      <c r="B24" s="57" t="s">
        <v>357</v>
      </c>
      <c r="C24" s="59">
        <v>18050</v>
      </c>
      <c r="D24" s="55"/>
      <c r="E24" s="57" t="s">
        <v>358</v>
      </c>
      <c r="F24" s="61">
        <v>8</v>
      </c>
      <c r="G24" s="25" t="str">
        <f>_xlfn.IFS(F24&lt;31,"0-30",F24&lt;61,"31-60",F24&lt;91,"61-90",F24&lt;121,"91-120",F24&lt;181,"121-180",F24&lt;301,"181-300",F24&gt;300,"301 &amp; +")</f>
        <v>0-30</v>
      </c>
    </row>
    <row r="25" spans="1:7" x14ac:dyDescent="0.25">
      <c r="A25" s="57" t="s">
        <v>328</v>
      </c>
      <c r="B25" s="57" t="s">
        <v>265</v>
      </c>
      <c r="C25" s="59">
        <v>26450</v>
      </c>
      <c r="D25" s="55"/>
      <c r="E25" s="57" t="s">
        <v>329</v>
      </c>
      <c r="F25" s="61">
        <v>4</v>
      </c>
      <c r="G25" s="25" t="str">
        <f>_xlfn.IFS(F25&lt;31,"0-30",F25&lt;61,"31-60",F25&lt;91,"61-90",F25&lt;121,"91-120",F25&lt;181,"121-180",F25&lt;301,"181-300",F25&gt;300,"301 &amp; +")</f>
        <v>0-30</v>
      </c>
    </row>
    <row r="26" spans="1:7" x14ac:dyDescent="0.25">
      <c r="A26" s="57" t="s">
        <v>350</v>
      </c>
      <c r="B26" s="57" t="s">
        <v>265</v>
      </c>
      <c r="C26" s="59">
        <v>19550</v>
      </c>
      <c r="D26" s="55"/>
      <c r="E26" s="57" t="s">
        <v>351</v>
      </c>
      <c r="F26" s="61">
        <v>4</v>
      </c>
      <c r="G26" s="25" t="str">
        <f>_xlfn.IFS(F26&lt;31,"0-30",F26&lt;61,"31-60",F26&lt;91,"61-90",F26&lt;121,"91-120",F26&lt;181,"121-180",F26&lt;301,"181-300",F26&gt;300,"301 &amp; +")</f>
        <v>0-30</v>
      </c>
    </row>
    <row r="27" spans="1:7" x14ac:dyDescent="0.25">
      <c r="A27" s="57" t="s">
        <v>363</v>
      </c>
      <c r="B27" s="57" t="s">
        <v>32</v>
      </c>
      <c r="C27" s="59">
        <v>16841.32</v>
      </c>
      <c r="D27" s="55"/>
      <c r="E27" s="57" t="s">
        <v>364</v>
      </c>
      <c r="F27" s="61">
        <v>4</v>
      </c>
      <c r="G27" s="25" t="str">
        <f>_xlfn.IFS(F27&lt;31,"0-30",F27&lt;61,"31-60",F27&lt;91,"61-90",F27&lt;121,"91-120",F27&lt;181,"121-180",F27&lt;301,"181-300",F27&gt;300,"301 &amp; +")</f>
        <v>0-30</v>
      </c>
    </row>
    <row r="28" spans="1:7" x14ac:dyDescent="0.25">
      <c r="A28" s="57" t="s">
        <v>348</v>
      </c>
      <c r="B28" s="57" t="s">
        <v>96</v>
      </c>
      <c r="C28" s="59">
        <v>20550</v>
      </c>
      <c r="D28" s="55"/>
      <c r="E28" s="57" t="s">
        <v>349</v>
      </c>
      <c r="F28" s="61">
        <v>3</v>
      </c>
      <c r="G28" s="25" t="str">
        <f>_xlfn.IFS(F28&lt;31,"0-30",F28&lt;61,"31-60",F28&lt;91,"61-90",F28&lt;121,"91-120",F28&lt;181,"121-180",F28&lt;301,"181-300",F28&gt;300,"301 &amp; +")</f>
        <v>0-30</v>
      </c>
    </row>
    <row r="29" spans="1:7" x14ac:dyDescent="0.25">
      <c r="A29" s="57" t="s">
        <v>371</v>
      </c>
      <c r="B29" s="57" t="s">
        <v>372</v>
      </c>
      <c r="C29" s="59">
        <v>9801.86</v>
      </c>
      <c r="D29" s="55"/>
      <c r="E29" s="57" t="s">
        <v>373</v>
      </c>
      <c r="F29" s="61">
        <v>2</v>
      </c>
      <c r="G29" s="25" t="str">
        <f>_xlfn.IFS(F29&lt;31,"0-30",F29&lt;61,"31-60",F29&lt;91,"61-90",F29&lt;121,"91-120",F29&lt;181,"121-180",F29&lt;301,"181-300",F29&gt;300,"301 &amp; +")</f>
        <v>0-30</v>
      </c>
    </row>
    <row r="30" spans="1:7" x14ac:dyDescent="0.25">
      <c r="A30" s="57" t="s">
        <v>377</v>
      </c>
      <c r="B30" s="57" t="s">
        <v>224</v>
      </c>
      <c r="C30" s="59">
        <v>9450</v>
      </c>
      <c r="D30" s="55"/>
      <c r="E30" s="57" t="s">
        <v>378</v>
      </c>
      <c r="F30" s="61">
        <v>2</v>
      </c>
      <c r="G30" s="25" t="str">
        <f>_xlfn.IFS(F30&lt;31,"0-30",F30&lt;61,"31-60",F30&lt;91,"61-90",F30&lt;121,"91-120",F30&lt;181,"121-180",F30&lt;301,"181-300",F30&gt;300,"301 &amp; +")</f>
        <v>0-30</v>
      </c>
    </row>
    <row r="31" spans="1:7" x14ac:dyDescent="0.25">
      <c r="A31" s="57" t="s">
        <v>334</v>
      </c>
      <c r="B31" s="57" t="s">
        <v>335</v>
      </c>
      <c r="C31" s="59">
        <v>23050</v>
      </c>
      <c r="D31" s="55"/>
      <c r="E31" s="57" t="s">
        <v>336</v>
      </c>
      <c r="F31" s="61">
        <v>1</v>
      </c>
      <c r="G31" s="25" t="str">
        <f>_xlfn.IFS(F31&lt;31,"0-30",F31&lt;61,"31-60",F31&lt;91,"61-90",F31&lt;121,"91-120",F31&lt;181,"121-180",F31&lt;301,"181-300",F31&gt;300,"301 &amp; +")</f>
        <v>0-30</v>
      </c>
    </row>
    <row r="32" spans="1:7" x14ac:dyDescent="0.25">
      <c r="A32" s="57" t="s">
        <v>343</v>
      </c>
      <c r="B32" s="57" t="s">
        <v>344</v>
      </c>
      <c r="C32" s="59">
        <v>21350</v>
      </c>
      <c r="D32" s="55"/>
      <c r="E32" s="57" t="s">
        <v>345</v>
      </c>
      <c r="F32" s="61">
        <v>1</v>
      </c>
      <c r="G32" s="25" t="str">
        <f>_xlfn.IFS(F32&lt;31,"0-30",F32&lt;61,"31-60",F32&lt;91,"61-90",F32&lt;121,"91-120",F32&lt;181,"121-180",F32&lt;301,"181-300",F32&gt;300,"301 &amp; +")</f>
        <v>0-30</v>
      </c>
    </row>
    <row r="33" spans="1:7" x14ac:dyDescent="0.25">
      <c r="A33" s="57" t="s">
        <v>374</v>
      </c>
      <c r="B33" s="57" t="s">
        <v>375</v>
      </c>
      <c r="C33" s="59">
        <v>9550</v>
      </c>
      <c r="D33" s="55"/>
      <c r="E33" s="57" t="s">
        <v>376</v>
      </c>
      <c r="F33" s="61">
        <v>1</v>
      </c>
      <c r="G33" s="25" t="str">
        <f>_xlfn.IFS(F33&lt;31,"0-30",F33&lt;61,"31-60",F33&lt;91,"61-90",F33&lt;121,"91-120",F33&lt;181,"121-180",F33&lt;301,"181-300",F33&gt;300,"301 &amp; +")</f>
        <v>0-30</v>
      </c>
    </row>
    <row r="34" spans="1:7" x14ac:dyDescent="0.25">
      <c r="A34" s="57" t="s">
        <v>379</v>
      </c>
      <c r="B34" s="57" t="s">
        <v>198</v>
      </c>
      <c r="C34" s="59">
        <v>5050</v>
      </c>
      <c r="D34" s="55"/>
      <c r="E34" s="57" t="s">
        <v>380</v>
      </c>
      <c r="F34" s="61">
        <v>1</v>
      </c>
      <c r="G34" s="25" t="str">
        <f>_xlfn.IFS(F34&lt;31,"0-30",F34&lt;61,"31-60",F34&lt;91,"61-90",F34&lt;121,"91-120",F34&lt;181,"121-180",F34&lt;301,"181-300",F34&gt;300,"301 &amp; +")</f>
        <v>0-30</v>
      </c>
    </row>
    <row r="35" spans="1:7" x14ac:dyDescent="0.25">
      <c r="A35" s="57" t="s">
        <v>323</v>
      </c>
      <c r="B35" s="57" t="s">
        <v>7</v>
      </c>
      <c r="C35" s="59">
        <v>39050</v>
      </c>
      <c r="D35" s="55"/>
      <c r="E35" s="57" t="s">
        <v>324</v>
      </c>
      <c r="F35" s="61">
        <v>0</v>
      </c>
      <c r="G35" s="25" t="str">
        <f>_xlfn.IFS(F35&lt;31,"0-30",F35&lt;61,"31-60",F35&lt;91,"61-90",F35&lt;121,"91-120",F35&lt;181,"121-180",F35&lt;301,"181-300",F35&gt;300,"301 &amp; +")</f>
        <v>0-30</v>
      </c>
    </row>
    <row r="36" spans="1:7" x14ac:dyDescent="0.25">
      <c r="A36" s="57" t="s">
        <v>330</v>
      </c>
      <c r="B36" s="57" t="s">
        <v>265</v>
      </c>
      <c r="C36" s="59">
        <v>26150</v>
      </c>
      <c r="D36" s="55"/>
      <c r="E36" s="57" t="s">
        <v>331</v>
      </c>
      <c r="F36" s="61">
        <v>0</v>
      </c>
      <c r="G36" s="25" t="str">
        <f>_xlfn.IFS(F36&lt;31,"0-30",F36&lt;61,"31-60",F36&lt;91,"61-90",F36&lt;121,"91-120",F36&lt;181,"121-180",F36&lt;301,"181-300",F36&gt;300,"301 &amp; +")</f>
        <v>0-30</v>
      </c>
    </row>
    <row r="37" spans="1:7" x14ac:dyDescent="0.25">
      <c r="A37" s="57" t="s">
        <v>341</v>
      </c>
      <c r="B37" s="57" t="s">
        <v>335</v>
      </c>
      <c r="C37" s="59">
        <v>22050</v>
      </c>
      <c r="D37" s="55"/>
      <c r="E37" s="57" t="s">
        <v>342</v>
      </c>
      <c r="F37" s="61">
        <v>0</v>
      </c>
      <c r="G37" s="25" t="str">
        <f>_xlfn.IFS(F37&lt;31,"0-30",F37&lt;61,"31-60",F37&lt;91,"61-90",F37&lt;121,"91-120",F37&lt;181,"121-180",F37&lt;301,"181-300",F37&gt;300,"301 &amp; +")</f>
        <v>0-30</v>
      </c>
    </row>
    <row r="38" spans="1:7" x14ac:dyDescent="0.25">
      <c r="A38" s="57" t="s">
        <v>359</v>
      </c>
      <c r="B38" s="57" t="s">
        <v>31</v>
      </c>
      <c r="C38" s="59">
        <v>17550</v>
      </c>
      <c r="D38" s="55"/>
      <c r="E38" s="57" t="s">
        <v>360</v>
      </c>
      <c r="F38" s="61">
        <v>0</v>
      </c>
      <c r="G38" s="25" t="str">
        <f>_xlfn.IFS(F38&lt;31,"0-30",F38&lt;61,"31-60",F38&lt;91,"61-90",F38&lt;121,"91-120",F38&lt;181,"121-180",F38&lt;301,"181-300",F38&gt;300,"301 &amp; +")</f>
        <v>0-30</v>
      </c>
    </row>
    <row r="39" spans="1:7" x14ac:dyDescent="0.25">
      <c r="A39" s="57" t="s">
        <v>365</v>
      </c>
      <c r="B39" s="57" t="s">
        <v>197</v>
      </c>
      <c r="C39" s="59">
        <v>16050</v>
      </c>
      <c r="D39" s="55"/>
      <c r="E39" s="57" t="s">
        <v>366</v>
      </c>
      <c r="F39" s="61">
        <v>0</v>
      </c>
      <c r="G39" s="25" t="str">
        <f>_xlfn.IFS(F39&lt;31,"0-30",F39&lt;61,"31-60",F39&lt;91,"61-90",F39&lt;121,"91-120",F39&lt;181,"121-180",F39&lt;301,"181-300",F39&gt;300,"301 &amp; +")</f>
        <v>0-30</v>
      </c>
    </row>
    <row r="40" spans="1:7" x14ac:dyDescent="0.25">
      <c r="A40" s="57" t="s">
        <v>369</v>
      </c>
      <c r="B40" s="57" t="s">
        <v>224</v>
      </c>
      <c r="C40" s="59">
        <v>10050</v>
      </c>
      <c r="D40" s="55"/>
      <c r="E40" s="57" t="s">
        <v>370</v>
      </c>
      <c r="F40" s="61">
        <v>0</v>
      </c>
      <c r="G40" s="25" t="str">
        <f>_xlfn.IFS(F40&lt;31,"0-30",F40&lt;61,"31-60",F40&lt;91,"61-90",F40&lt;121,"91-120",F40&lt;181,"121-180",F40&lt;301,"181-300",F40&gt;300,"301 &amp; +")</f>
        <v>0-30</v>
      </c>
    </row>
  </sheetData>
  <autoFilter ref="A1:G39" xr:uid="{00000000-0001-0000-0100-000000000000}">
    <sortState xmlns:xlrd2="http://schemas.microsoft.com/office/spreadsheetml/2017/richdata2" ref="A2:G40">
      <sortCondition descending="1" ref="F1:F3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FA72-053E-4CAA-A163-D91912B9C4E8}">
  <dimension ref="B5:M15"/>
  <sheetViews>
    <sheetView workbookViewId="0">
      <selection activeCell="D34" sqref="D34"/>
    </sheetView>
  </sheetViews>
  <sheetFormatPr baseColWidth="10" defaultColWidth="9.140625" defaultRowHeight="15" x14ac:dyDescent="0.25"/>
  <cols>
    <col min="2" max="13" width="12.85546875" bestFit="1" customWidth="1"/>
  </cols>
  <sheetData>
    <row r="5" spans="2:13" x14ac:dyDescent="0.25">
      <c r="B5" t="s">
        <v>80</v>
      </c>
    </row>
    <row r="6" spans="2:13" x14ac:dyDescent="0.25">
      <c r="B6" s="33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</row>
    <row r="7" spans="2:13" x14ac:dyDescent="0.25">
      <c r="B7" s="22">
        <v>50</v>
      </c>
      <c r="C7" s="22">
        <v>60.709999999999994</v>
      </c>
      <c r="D7" s="22">
        <v>76.849999999999994</v>
      </c>
      <c r="E7" s="22">
        <v>84.612499999999983</v>
      </c>
      <c r="F7" s="22">
        <v>71.299999999999983</v>
      </c>
      <c r="G7" s="22">
        <v>66.064999999999998</v>
      </c>
      <c r="H7" s="22">
        <v>71.569999999999993</v>
      </c>
      <c r="I7" s="22">
        <v>66.124999999999986</v>
      </c>
      <c r="J7" s="22">
        <v>87.124999999999986</v>
      </c>
      <c r="K7" s="22">
        <v>76.670000000000016</v>
      </c>
      <c r="L7" s="22">
        <v>50.000000000000014</v>
      </c>
      <c r="M7" s="22">
        <v>48.215000000000018</v>
      </c>
    </row>
    <row r="8" spans="2:13" x14ac:dyDescent="0.25">
      <c r="B8" s="22">
        <v>2160413.0999999996</v>
      </c>
      <c r="C8" s="22">
        <v>2623173.5860199993</v>
      </c>
      <c r="D8" s="22">
        <v>3320554.9346999992</v>
      </c>
      <c r="E8" s="22">
        <v>3655959.0684749987</v>
      </c>
      <c r="F8" s="22">
        <v>3080749.0805999991</v>
      </c>
      <c r="G8" s="22">
        <v>2854553.8290299997</v>
      </c>
      <c r="H8" s="22">
        <v>3092415.3113399995</v>
      </c>
      <c r="I8" s="22">
        <v>2857146.3247499992</v>
      </c>
      <c r="J8" s="22">
        <v>3764519.8267499991</v>
      </c>
      <c r="K8" s="22">
        <v>3312777.4475400005</v>
      </c>
      <c r="L8" s="22">
        <v>2160413.1000000006</v>
      </c>
      <c r="M8" s="22">
        <v>2083286.3523300006</v>
      </c>
    </row>
    <row r="13" spans="2:13" x14ac:dyDescent="0.25"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75</v>
      </c>
      <c r="J13" t="s">
        <v>76</v>
      </c>
      <c r="K13" t="s">
        <v>77</v>
      </c>
      <c r="L13" t="s">
        <v>78</v>
      </c>
      <c r="M13" t="s">
        <v>79</v>
      </c>
    </row>
    <row r="14" spans="2:13" x14ac:dyDescent="0.25">
      <c r="B14">
        <v>71.225499999999997</v>
      </c>
      <c r="C14">
        <v>90.446500000000015</v>
      </c>
      <c r="D14">
        <v>97.218999999999994</v>
      </c>
      <c r="E14">
        <v>98.379999999999967</v>
      </c>
      <c r="F14">
        <v>92.123499999999979</v>
      </c>
      <c r="G14">
        <v>88.059999999999974</v>
      </c>
      <c r="H14">
        <v>91.671999999999969</v>
      </c>
      <c r="I14">
        <v>90.962499999999977</v>
      </c>
      <c r="J14">
        <v>90.252999999999986</v>
      </c>
      <c r="K14">
        <v>88.769499999999994</v>
      </c>
      <c r="L14">
        <v>73.095999999999975</v>
      </c>
      <c r="M14">
        <v>69.999999999999972</v>
      </c>
    </row>
    <row r="15" spans="2:13" x14ac:dyDescent="0.25">
      <c r="B15" s="22">
        <v>1654736.9951869017</v>
      </c>
      <c r="C15" s="22">
        <v>2101286.3319340986</v>
      </c>
      <c r="D15" s="22">
        <v>2258627.5411906606</v>
      </c>
      <c r="E15" s="22">
        <v>2285600.3199203564</v>
      </c>
      <c r="F15" s="22">
        <v>2140247.0123214368</v>
      </c>
      <c r="G15" s="22">
        <v>2045842.2867674993</v>
      </c>
      <c r="H15" s="22">
        <v>2129757.5983709991</v>
      </c>
      <c r="I15" s="22">
        <v>2113274.2335917405</v>
      </c>
      <c r="J15" s="22">
        <v>2096790.8688124819</v>
      </c>
      <c r="K15" s="22">
        <v>2062325.6515467588</v>
      </c>
      <c r="L15" s="22">
        <v>1698193.1386958566</v>
      </c>
      <c r="M15" s="22">
        <v>1626265.7287499993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Sommaire</vt:lpstr>
      <vt:lpstr>Neuf</vt:lpstr>
      <vt:lpstr>Usages</vt:lpstr>
      <vt:lpstr>Unite budgete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2024-02-13T15:14:10Z</dcterms:created>
  <dcterms:modified xsi:type="dcterms:W3CDTF">2025-02-11T16:51:01Z</dcterms:modified>
</cp:coreProperties>
</file>