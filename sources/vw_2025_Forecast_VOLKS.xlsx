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AMn1Fs9iB29LUAeesGSCScPMn4NXj8Wc\1.19 VW\"/>
    </mc:Choice>
  </mc:AlternateContent>
  <xr:revisionPtr revIDLastSave="0" documentId="13_ncr:1_{2F4BE742-6C47-40B1-85E3-91E591119C47}" xr6:coauthVersionLast="47" xr6:coauthVersionMax="47" xr10:uidLastSave="{00000000-0000-0000-0000-000000000000}"/>
  <bookViews>
    <workbookView xWindow="-120" yWindow="-120" windowWidth="29040" windowHeight="15720" xr2:uid="{B3DF2137-7E65-43CB-ACD3-D9BF3D58DE19}"/>
  </bookViews>
  <sheets>
    <sheet name="VOLKS" sheetId="1" r:id="rId1"/>
  </sheets>
  <externalReferences>
    <externalReference r:id="rId2"/>
    <externalReference r:id="rId3"/>
  </externalReference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ASDFFADSF" hidden="1">{"Page1",#N/A,FALSE,"CompCo";"Page2",#N/A,FALSE,"CompCo"}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hidden="1">OFFSET(#REF!,5,0,COUNTA(#REF!)-COUNTA(#REF!),1)</definedName>
    <definedName name="DateRangePrice" hidden="1">OFFSET(#REF!,5,0,COUNTA(#REF!)-COUNTA(#REF!),1)</definedName>
    <definedName name="DateRangePrice1" hidden="1">OFFSET(#REF!,5,0,COUNTA(#REF!)-COUNTA(#REF!),1)</definedName>
    <definedName name="DateRangePrice2" hidden="1">OFFSET(#REF!,5,0,COUNTA(#REF!)-COUNTA(#REF!),1)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NamedRange1">#REF!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OFFSET(#REF!,5,0,COUNTA(#REF!)-COUNTA(#REF!),1)</definedName>
    <definedName name="Ticker" hidden="1">#N/A</definedName>
    <definedName name="Titre">#REF!</definedName>
    <definedName name="value" hidden="1">OFFSET(#REF!,5,0,COUNTA(#REF!)-COUNTA(#REF!),1)</definedName>
    <definedName name="value2" hidden="1">OFFSET(#REF!,5,0,COUNTA(#REF!)-COUNTA(#REF!),1)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0">VOLKS!$B$1:$AO$501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501" i="1" l="1"/>
  <c r="AN501" i="1" s="1"/>
  <c r="AL501" i="1"/>
  <c r="AK501" i="1" s="1"/>
  <c r="AI501" i="1"/>
  <c r="AH501" i="1" s="1"/>
  <c r="AF501" i="1"/>
  <c r="AE501" i="1"/>
  <c r="AO492" i="1"/>
  <c r="AN492" i="1"/>
  <c r="AL492" i="1"/>
  <c r="AL491" i="1" s="1"/>
  <c r="AK491" i="1" s="1"/>
  <c r="AK492" i="1"/>
  <c r="AI492" i="1"/>
  <c r="AI491" i="1" s="1"/>
  <c r="AH491" i="1" s="1"/>
  <c r="AH492" i="1"/>
  <c r="AF492" i="1"/>
  <c r="AE492" i="1"/>
  <c r="AO491" i="1"/>
  <c r="AN491" i="1" s="1"/>
  <c r="AF491" i="1"/>
  <c r="AE491" i="1" s="1"/>
  <c r="AI486" i="1"/>
  <c r="AH486" i="1" s="1"/>
  <c r="AF486" i="1"/>
  <c r="AE486" i="1" s="1"/>
  <c r="AO484" i="1"/>
  <c r="AO486" i="1" s="1"/>
  <c r="AN486" i="1" s="1"/>
  <c r="AM484" i="1"/>
  <c r="AL484" i="1"/>
  <c r="AL486" i="1" s="1"/>
  <c r="AK486" i="1" s="1"/>
  <c r="AI484" i="1"/>
  <c r="AG484" i="1" s="1"/>
  <c r="AF484" i="1"/>
  <c r="AD484" i="1"/>
  <c r="AO469" i="1"/>
  <c r="AO471" i="1" s="1"/>
  <c r="AM471" i="1" s="1"/>
  <c r="AM469" i="1"/>
  <c r="AL469" i="1"/>
  <c r="AL471" i="1" s="1"/>
  <c r="AJ471" i="1" s="1"/>
  <c r="AI469" i="1"/>
  <c r="AI471" i="1" s="1"/>
  <c r="AG471" i="1" s="1"/>
  <c r="AG469" i="1"/>
  <c r="AF469" i="1"/>
  <c r="AF471" i="1" s="1"/>
  <c r="AD471" i="1" s="1"/>
  <c r="AD469" i="1"/>
  <c r="AL461" i="1"/>
  <c r="AI461" i="1"/>
  <c r="AF461" i="1"/>
  <c r="AO434" i="1"/>
  <c r="AN434" i="1" s="1"/>
  <c r="AL434" i="1"/>
  <c r="AK434" i="1" s="1"/>
  <c r="AI434" i="1"/>
  <c r="AH434" i="1" s="1"/>
  <c r="AF434" i="1"/>
  <c r="AE434" i="1" s="1"/>
  <c r="AO433" i="1"/>
  <c r="AN433" i="1" s="1"/>
  <c r="AL433" i="1"/>
  <c r="AK433" i="1" s="1"/>
  <c r="AI433" i="1"/>
  <c r="AH433" i="1" s="1"/>
  <c r="AF433" i="1"/>
  <c r="AE433" i="1" s="1"/>
  <c r="AO432" i="1"/>
  <c r="AN432" i="1" s="1"/>
  <c r="AL432" i="1"/>
  <c r="AK432" i="1" s="1"/>
  <c r="AI432" i="1"/>
  <c r="AH432" i="1" s="1"/>
  <c r="AF432" i="1"/>
  <c r="AE432" i="1" s="1"/>
  <c r="AO431" i="1"/>
  <c r="AN431" i="1" s="1"/>
  <c r="AL431" i="1"/>
  <c r="AK431" i="1" s="1"/>
  <c r="AI431" i="1"/>
  <c r="AH431" i="1" s="1"/>
  <c r="AF431" i="1"/>
  <c r="AE431" i="1" s="1"/>
  <c r="AO430" i="1"/>
  <c r="AL430" i="1"/>
  <c r="AI430" i="1"/>
  <c r="AF430" i="1"/>
  <c r="AO429" i="1"/>
  <c r="AL429" i="1"/>
  <c r="AI429" i="1"/>
  <c r="AF429" i="1"/>
  <c r="AO428" i="1"/>
  <c r="AL428" i="1"/>
  <c r="AI428" i="1"/>
  <c r="AF428" i="1"/>
  <c r="AO427" i="1"/>
  <c r="AL427" i="1"/>
  <c r="AI427" i="1"/>
  <c r="AF427" i="1"/>
  <c r="AO426" i="1"/>
  <c r="AL426" i="1"/>
  <c r="AI426" i="1"/>
  <c r="AF426" i="1"/>
  <c r="AO425" i="1"/>
  <c r="AL425" i="1"/>
  <c r="AI425" i="1"/>
  <c r="AF425" i="1"/>
  <c r="AO424" i="1"/>
  <c r="AO436" i="1" s="1"/>
  <c r="AM436" i="1" s="1"/>
  <c r="AL424" i="1"/>
  <c r="AL436" i="1" s="1"/>
  <c r="AJ436" i="1" s="1"/>
  <c r="AI424" i="1"/>
  <c r="AI436" i="1" s="1"/>
  <c r="AG436" i="1" s="1"/>
  <c r="AF424" i="1"/>
  <c r="AF436" i="1" s="1"/>
  <c r="AD436" i="1" s="1"/>
  <c r="AO451" i="1"/>
  <c r="AL451" i="1"/>
  <c r="AI451" i="1"/>
  <c r="AF451" i="1"/>
  <c r="AO450" i="1"/>
  <c r="AL450" i="1"/>
  <c r="AI450" i="1"/>
  <c r="AF450" i="1"/>
  <c r="AO449" i="1"/>
  <c r="AL449" i="1"/>
  <c r="AI449" i="1"/>
  <c r="AF449" i="1"/>
  <c r="AO448" i="1"/>
  <c r="AL448" i="1"/>
  <c r="AI448" i="1"/>
  <c r="AF448" i="1"/>
  <c r="AO447" i="1"/>
  <c r="AL447" i="1"/>
  <c r="AI447" i="1"/>
  <c r="AF447" i="1"/>
  <c r="AO446" i="1"/>
  <c r="AL446" i="1"/>
  <c r="AI446" i="1"/>
  <c r="AF446" i="1"/>
  <c r="AO445" i="1"/>
  <c r="AL445" i="1"/>
  <c r="AI445" i="1"/>
  <c r="AF445" i="1"/>
  <c r="AO444" i="1"/>
  <c r="AL444" i="1"/>
  <c r="AI444" i="1"/>
  <c r="AF444" i="1"/>
  <c r="AO443" i="1"/>
  <c r="AL443" i="1"/>
  <c r="AI443" i="1"/>
  <c r="AF443" i="1"/>
  <c r="AO442" i="1"/>
  <c r="AL442" i="1"/>
  <c r="AI442" i="1"/>
  <c r="AF442" i="1"/>
  <c r="AO441" i="1"/>
  <c r="AL441" i="1"/>
  <c r="AI441" i="1"/>
  <c r="AF441" i="1"/>
  <c r="AO440" i="1"/>
  <c r="AL440" i="1"/>
  <c r="AI440" i="1"/>
  <c r="AF440" i="1"/>
  <c r="AO439" i="1"/>
  <c r="AL439" i="1"/>
  <c r="AI439" i="1"/>
  <c r="AF439" i="1"/>
  <c r="AO438" i="1"/>
  <c r="AL438" i="1"/>
  <c r="AI438" i="1"/>
  <c r="AF438" i="1"/>
  <c r="AO437" i="1"/>
  <c r="AO455" i="1" s="1"/>
  <c r="AM455" i="1" s="1"/>
  <c r="AL437" i="1"/>
  <c r="AL455" i="1" s="1"/>
  <c r="AJ455" i="1" s="1"/>
  <c r="AI437" i="1"/>
  <c r="AI455" i="1" s="1"/>
  <c r="AG455" i="1" s="1"/>
  <c r="AF437" i="1"/>
  <c r="AF455" i="1" s="1"/>
  <c r="AD455" i="1" s="1"/>
  <c r="AJ484" i="1" l="1"/>
  <c r="AJ469" i="1"/>
  <c r="AO422" i="1" l="1"/>
  <c r="AL422" i="1"/>
  <c r="AI422" i="1"/>
  <c r="AF422" i="1"/>
  <c r="AL418" i="1"/>
  <c r="AL417" i="1"/>
  <c r="AK417" i="1" s="1"/>
  <c r="AL416" i="1"/>
  <c r="AK416" i="1" s="1"/>
  <c r="AL415" i="1"/>
  <c r="AK415" i="1" s="1"/>
  <c r="AL414" i="1"/>
  <c r="AK414" i="1" s="1"/>
  <c r="AL413" i="1"/>
  <c r="AK413" i="1" s="1"/>
  <c r="AL412" i="1"/>
  <c r="AK412" i="1" s="1"/>
  <c r="AK411" i="1"/>
  <c r="AI418" i="1"/>
  <c r="AI417" i="1"/>
  <c r="AH417" i="1" s="1"/>
  <c r="AI416" i="1"/>
  <c r="AH416" i="1"/>
  <c r="AI415" i="1"/>
  <c r="AH415" i="1" s="1"/>
  <c r="AI414" i="1"/>
  <c r="AH414" i="1"/>
  <c r="AI413" i="1"/>
  <c r="AH413" i="1" s="1"/>
  <c r="AI412" i="1"/>
  <c r="AH412" i="1"/>
  <c r="AH411" i="1"/>
  <c r="AF418" i="1"/>
  <c r="AF417" i="1"/>
  <c r="AE417" i="1" s="1"/>
  <c r="AF416" i="1"/>
  <c r="AE416" i="1" s="1"/>
  <c r="AF415" i="1"/>
  <c r="AE415" i="1" s="1"/>
  <c r="AF414" i="1"/>
  <c r="AE414" i="1" s="1"/>
  <c r="AF413" i="1"/>
  <c r="AE413" i="1" s="1"/>
  <c r="AF412" i="1"/>
  <c r="AE412" i="1" s="1"/>
  <c r="AE411" i="1"/>
  <c r="AO410" i="1"/>
  <c r="AL410" i="1"/>
  <c r="AI410" i="1"/>
  <c r="AF410" i="1"/>
  <c r="AO409" i="1"/>
  <c r="AL409" i="1"/>
  <c r="AI409" i="1"/>
  <c r="AF409" i="1"/>
  <c r="AO339" i="1"/>
  <c r="AL339" i="1"/>
  <c r="AI339" i="1"/>
  <c r="AF339" i="1"/>
  <c r="AO337" i="1"/>
  <c r="AL337" i="1"/>
  <c r="AI337" i="1"/>
  <c r="AF337" i="1"/>
  <c r="AO334" i="1"/>
  <c r="AL334" i="1"/>
  <c r="AI334" i="1"/>
  <c r="AF334" i="1"/>
  <c r="AO352" i="1"/>
  <c r="AN352" i="1" s="1"/>
  <c r="AL352" i="1"/>
  <c r="AK352" i="1" s="1"/>
  <c r="AI352" i="1"/>
  <c r="AH352" i="1" s="1"/>
  <c r="AF352" i="1"/>
  <c r="AF354" i="1" s="1"/>
  <c r="AF356" i="1" s="1"/>
  <c r="AO333" i="1"/>
  <c r="AL333" i="1"/>
  <c r="AI333" i="1"/>
  <c r="AF333" i="1"/>
  <c r="AO317" i="1"/>
  <c r="AM317" i="1"/>
  <c r="AN317" i="1" s="1"/>
  <c r="AL317" i="1"/>
  <c r="AJ317" i="1"/>
  <c r="AK317" i="1" s="1"/>
  <c r="AG317" i="1"/>
  <c r="AF317" i="1"/>
  <c r="AD317" i="1"/>
  <c r="AE317" i="1" s="1"/>
  <c r="AO312" i="1"/>
  <c r="AM312" i="1"/>
  <c r="AN312" i="1" s="1"/>
  <c r="AL312" i="1"/>
  <c r="AJ312" i="1"/>
  <c r="AK312" i="1" s="1"/>
  <c r="AG312" i="1"/>
  <c r="AF312" i="1"/>
  <c r="AD312" i="1"/>
  <c r="AE312" i="1" s="1"/>
  <c r="AO307" i="1"/>
  <c r="AM307" i="1"/>
  <c r="AN307" i="1" s="1"/>
  <c r="AL307" i="1"/>
  <c r="AJ307" i="1"/>
  <c r="AK307" i="1" s="1"/>
  <c r="AI307" i="1"/>
  <c r="AI312" i="1" s="1"/>
  <c r="AI317" i="1" s="1"/>
  <c r="AG307" i="1"/>
  <c r="AF307" i="1"/>
  <c r="AD307" i="1"/>
  <c r="AE307" i="1" s="1"/>
  <c r="AO300" i="1"/>
  <c r="AL300" i="1"/>
  <c r="AI300" i="1"/>
  <c r="AM300" i="1"/>
  <c r="AJ300" i="1"/>
  <c r="AG300" i="1"/>
  <c r="AF219" i="1"/>
  <c r="AI219" i="1"/>
  <c r="AL219" i="1"/>
  <c r="AO219" i="1"/>
  <c r="AO214" i="1"/>
  <c r="AL214" i="1"/>
  <c r="AI214" i="1"/>
  <c r="AF214" i="1"/>
  <c r="AO354" i="1" l="1"/>
  <c r="AO356" i="1" s="1"/>
  <c r="AL354" i="1"/>
  <c r="AK354" i="1" s="1"/>
  <c r="AI354" i="1"/>
  <c r="AE352" i="1"/>
  <c r="AE354" i="1"/>
  <c r="AN354" i="1"/>
  <c r="AL356" i="1"/>
  <c r="AH307" i="1"/>
  <c r="AH317" i="1"/>
  <c r="AH312" i="1"/>
  <c r="AI356" i="1" l="1"/>
  <c r="AH354" i="1"/>
  <c r="AO232" i="1" l="1"/>
  <c r="AN232" i="1" s="1"/>
  <c r="AL232" i="1"/>
  <c r="AL234" i="1" s="1"/>
  <c r="AI232" i="1"/>
  <c r="AH232" i="1" s="1"/>
  <c r="AF232" i="1"/>
  <c r="AE232" i="1" s="1"/>
  <c r="AO213" i="1"/>
  <c r="AN213" i="1"/>
  <c r="AL213" i="1"/>
  <c r="AK213" i="1" s="1"/>
  <c r="AI213" i="1"/>
  <c r="AH213" i="1"/>
  <c r="AF213" i="1"/>
  <c r="AE213" i="1"/>
  <c r="AO197" i="1"/>
  <c r="AO198" i="1" s="1"/>
  <c r="AN197" i="1"/>
  <c r="AL197" i="1"/>
  <c r="AL198" i="1" s="1"/>
  <c r="AK197" i="1"/>
  <c r="AI197" i="1"/>
  <c r="AI198" i="1" s="1"/>
  <c r="AH197" i="1"/>
  <c r="AF197" i="1"/>
  <c r="AF198" i="1" s="1"/>
  <c r="AE197" i="1"/>
  <c r="AO188" i="1"/>
  <c r="AO189" i="1" s="1"/>
  <c r="AN188" i="1"/>
  <c r="AN189" i="1" s="1"/>
  <c r="AM188" i="1"/>
  <c r="AL188" i="1"/>
  <c r="AL189" i="1" s="1"/>
  <c r="AK188" i="1"/>
  <c r="AJ188" i="1"/>
  <c r="AK189" i="1" s="1"/>
  <c r="AI188" i="1"/>
  <c r="AI189" i="1" s="1"/>
  <c r="AH188" i="1"/>
  <c r="AH189" i="1" s="1"/>
  <c r="AG188" i="1"/>
  <c r="AF188" i="1"/>
  <c r="AF189" i="1" s="1"/>
  <c r="AE188" i="1"/>
  <c r="AE189" i="1" s="1"/>
  <c r="AD188" i="1"/>
  <c r="AM178" i="1"/>
  <c r="AJ178" i="1"/>
  <c r="AG178" i="1"/>
  <c r="AN178" i="1"/>
  <c r="AK178" i="1"/>
  <c r="AH178" i="1"/>
  <c r="AI178" i="1" s="1"/>
  <c r="AO541" i="1"/>
  <c r="AI541" i="1"/>
  <c r="AF541" i="1"/>
  <c r="Z541" i="1"/>
  <c r="W541" i="1"/>
  <c r="T541" i="1"/>
  <c r="Q541" i="1"/>
  <c r="N541" i="1"/>
  <c r="K541" i="1"/>
  <c r="H541" i="1"/>
  <c r="AO540" i="1"/>
  <c r="AI540" i="1"/>
  <c r="AF540" i="1"/>
  <c r="BE539" i="1"/>
  <c r="BA539" i="1"/>
  <c r="AW539" i="1"/>
  <c r="AS539" i="1"/>
  <c r="AO539" i="1"/>
  <c r="AI539" i="1"/>
  <c r="AF539" i="1"/>
  <c r="AC539" i="1"/>
  <c r="Z539" i="1"/>
  <c r="W539" i="1"/>
  <c r="T539" i="1"/>
  <c r="Q539" i="1"/>
  <c r="N539" i="1"/>
  <c r="K539" i="1"/>
  <c r="H539" i="1"/>
  <c r="E539" i="1"/>
  <c r="BE538" i="1"/>
  <c r="BA538" i="1"/>
  <c r="AW538" i="1"/>
  <c r="AS538" i="1"/>
  <c r="AO538" i="1"/>
  <c r="AI538" i="1"/>
  <c r="AF538" i="1"/>
  <c r="AC538" i="1"/>
  <c r="Z538" i="1"/>
  <c r="W538" i="1"/>
  <c r="T538" i="1"/>
  <c r="Q538" i="1"/>
  <c r="N538" i="1"/>
  <c r="K538" i="1"/>
  <c r="H538" i="1"/>
  <c r="E538" i="1"/>
  <c r="AO537" i="1"/>
  <c r="AI537" i="1"/>
  <c r="AF537" i="1"/>
  <c r="Z537" i="1"/>
  <c r="W537" i="1"/>
  <c r="T537" i="1"/>
  <c r="Q537" i="1"/>
  <c r="N537" i="1"/>
  <c r="K537" i="1"/>
  <c r="H537" i="1"/>
  <c r="AO536" i="1"/>
  <c r="AI536" i="1"/>
  <c r="AF536" i="1"/>
  <c r="Z536" i="1"/>
  <c r="W536" i="1"/>
  <c r="T536" i="1"/>
  <c r="Q536" i="1"/>
  <c r="N536" i="1"/>
  <c r="K536" i="1"/>
  <c r="H536" i="1"/>
  <c r="AO533" i="1"/>
  <c r="AI533" i="1"/>
  <c r="AF533" i="1"/>
  <c r="Z533" i="1"/>
  <c r="W533" i="1"/>
  <c r="T533" i="1"/>
  <c r="Q533" i="1"/>
  <c r="N533" i="1"/>
  <c r="K533" i="1"/>
  <c r="H533" i="1"/>
  <c r="AO531" i="1"/>
  <c r="AI531" i="1"/>
  <c r="AF531" i="1"/>
  <c r="Z531" i="1"/>
  <c r="W531" i="1"/>
  <c r="T531" i="1"/>
  <c r="Q531" i="1"/>
  <c r="N531" i="1"/>
  <c r="K531" i="1"/>
  <c r="H531" i="1"/>
  <c r="AO530" i="1"/>
  <c r="AI530" i="1"/>
  <c r="AF530" i="1"/>
  <c r="Z530" i="1"/>
  <c r="W530" i="1"/>
  <c r="T530" i="1"/>
  <c r="Q530" i="1"/>
  <c r="N530" i="1"/>
  <c r="K530" i="1"/>
  <c r="H530" i="1"/>
  <c r="AO529" i="1"/>
  <c r="AI529" i="1"/>
  <c r="AF529" i="1"/>
  <c r="Z529" i="1"/>
  <c r="W529" i="1"/>
  <c r="T529" i="1"/>
  <c r="Q529" i="1"/>
  <c r="N529" i="1"/>
  <c r="K529" i="1"/>
  <c r="H529" i="1"/>
  <c r="AO528" i="1"/>
  <c r="AI528" i="1"/>
  <c r="AF528" i="1"/>
  <c r="Z528" i="1"/>
  <c r="W528" i="1"/>
  <c r="T528" i="1"/>
  <c r="Q528" i="1"/>
  <c r="N528" i="1"/>
  <c r="K528" i="1"/>
  <c r="H528" i="1"/>
  <c r="AO527" i="1"/>
  <c r="AI527" i="1"/>
  <c r="AF527" i="1"/>
  <c r="Z527" i="1"/>
  <c r="W527" i="1"/>
  <c r="T527" i="1"/>
  <c r="Q527" i="1"/>
  <c r="N527" i="1"/>
  <c r="K527" i="1"/>
  <c r="H527" i="1"/>
  <c r="AO526" i="1"/>
  <c r="AI526" i="1"/>
  <c r="AF526" i="1"/>
  <c r="AO525" i="1"/>
  <c r="AI525" i="1"/>
  <c r="AF525" i="1"/>
  <c r="Z525" i="1"/>
  <c r="W525" i="1"/>
  <c r="T525" i="1"/>
  <c r="Q525" i="1"/>
  <c r="N525" i="1"/>
  <c r="K525" i="1"/>
  <c r="H525" i="1"/>
  <c r="AO524" i="1"/>
  <c r="AI524" i="1"/>
  <c r="AF524" i="1"/>
  <c r="Z524" i="1"/>
  <c r="W524" i="1"/>
  <c r="T524" i="1"/>
  <c r="Q524" i="1"/>
  <c r="N524" i="1"/>
  <c r="K524" i="1"/>
  <c r="H524" i="1"/>
  <c r="AO523" i="1"/>
  <c r="AI523" i="1"/>
  <c r="AF523" i="1"/>
  <c r="Z523" i="1"/>
  <c r="W523" i="1"/>
  <c r="T523" i="1"/>
  <c r="Q523" i="1"/>
  <c r="N523" i="1"/>
  <c r="K523" i="1"/>
  <c r="H523" i="1"/>
  <c r="AO522" i="1"/>
  <c r="AI522" i="1"/>
  <c r="AF522" i="1"/>
  <c r="Z522" i="1"/>
  <c r="W522" i="1"/>
  <c r="T522" i="1"/>
  <c r="Q522" i="1"/>
  <c r="N522" i="1"/>
  <c r="K522" i="1"/>
  <c r="H522" i="1"/>
  <c r="AO521" i="1"/>
  <c r="AI521" i="1"/>
  <c r="AF521" i="1"/>
  <c r="Z521" i="1"/>
  <c r="W521" i="1"/>
  <c r="T521" i="1"/>
  <c r="Q521" i="1"/>
  <c r="N521" i="1"/>
  <c r="K521" i="1"/>
  <c r="H521" i="1"/>
  <c r="AO520" i="1"/>
  <c r="AI520" i="1"/>
  <c r="AF520" i="1"/>
  <c r="Z520" i="1"/>
  <c r="W520" i="1"/>
  <c r="T520" i="1"/>
  <c r="Q520" i="1"/>
  <c r="N520" i="1"/>
  <c r="K520" i="1"/>
  <c r="H520" i="1"/>
  <c r="AO517" i="1"/>
  <c r="AI517" i="1"/>
  <c r="AF517" i="1"/>
  <c r="Z517" i="1"/>
  <c r="W517" i="1"/>
  <c r="T517" i="1"/>
  <c r="Q517" i="1"/>
  <c r="N517" i="1"/>
  <c r="K517" i="1"/>
  <c r="H517" i="1"/>
  <c r="AO516" i="1"/>
  <c r="AI516" i="1"/>
  <c r="AF516" i="1"/>
  <c r="AO515" i="1"/>
  <c r="AI515" i="1"/>
  <c r="AF515" i="1"/>
  <c r="AO514" i="1"/>
  <c r="AI514" i="1"/>
  <c r="AF514" i="1"/>
  <c r="AO513" i="1"/>
  <c r="AI513" i="1"/>
  <c r="AF513" i="1"/>
  <c r="AO512" i="1"/>
  <c r="AI512" i="1"/>
  <c r="AF512" i="1"/>
  <c r="BE506" i="1"/>
  <c r="AO505" i="1"/>
  <c r="AI505" i="1"/>
  <c r="AF505" i="1"/>
  <c r="BG503" i="1"/>
  <c r="BA499" i="1"/>
  <c r="AC499" i="1"/>
  <c r="E499" i="1" s="1"/>
  <c r="BA498" i="1"/>
  <c r="AC498" i="1"/>
  <c r="E498" i="1" s="1"/>
  <c r="BA497" i="1"/>
  <c r="BA541" i="1" s="1"/>
  <c r="AC497" i="1"/>
  <c r="AC541" i="1" s="1"/>
  <c r="BA496" i="1"/>
  <c r="BA537" i="1" s="1"/>
  <c r="AC496" i="1"/>
  <c r="E496" i="1" s="1"/>
  <c r="BA495" i="1"/>
  <c r="BA536" i="1" s="1"/>
  <c r="AC495" i="1"/>
  <c r="E495" i="1" s="1"/>
  <c r="E536" i="1" s="1"/>
  <c r="BA494" i="1"/>
  <c r="BA533" i="1" s="1"/>
  <c r="AC494" i="1"/>
  <c r="E494" i="1" s="1"/>
  <c r="E533" i="1" s="1"/>
  <c r="B488" i="1"/>
  <c r="Z484" i="1"/>
  <c r="W484" i="1"/>
  <c r="T484" i="1"/>
  <c r="Q484" i="1"/>
  <c r="N484" i="1"/>
  <c r="K484" i="1"/>
  <c r="H484" i="1"/>
  <c r="BA483" i="1"/>
  <c r="AC483" i="1"/>
  <c r="E483" i="1" s="1"/>
  <c r="BA480" i="1"/>
  <c r="AC480" i="1"/>
  <c r="E480" i="1" s="1"/>
  <c r="BA479" i="1"/>
  <c r="AC479" i="1"/>
  <c r="E479" i="1"/>
  <c r="BA478" i="1"/>
  <c r="AC478" i="1"/>
  <c r="E478" i="1" s="1"/>
  <c r="BA477" i="1"/>
  <c r="AC477" i="1"/>
  <c r="E477" i="1" s="1"/>
  <c r="BA476" i="1"/>
  <c r="AC476" i="1"/>
  <c r="E476" i="1"/>
  <c r="BA475" i="1"/>
  <c r="AC475" i="1"/>
  <c r="E475" i="1" s="1"/>
  <c r="BA474" i="1"/>
  <c r="AC474" i="1"/>
  <c r="E474" i="1" s="1"/>
  <c r="BA473" i="1"/>
  <c r="AC473" i="1"/>
  <c r="E473" i="1" s="1"/>
  <c r="BA472" i="1"/>
  <c r="AC472" i="1"/>
  <c r="E472" i="1" s="1"/>
  <c r="BA471" i="1"/>
  <c r="AC471" i="1"/>
  <c r="Z469" i="1"/>
  <c r="W469" i="1"/>
  <c r="T469" i="1"/>
  <c r="Q469" i="1"/>
  <c r="N469" i="1"/>
  <c r="K469" i="1"/>
  <c r="H469" i="1"/>
  <c r="AC465" i="1"/>
  <c r="E465" i="1" s="1"/>
  <c r="BA464" i="1"/>
  <c r="AC464" i="1"/>
  <c r="E464" i="1" s="1"/>
  <c r="BA463" i="1"/>
  <c r="AC463" i="1"/>
  <c r="E463" i="1" s="1"/>
  <c r="BA462" i="1"/>
  <c r="AC462" i="1"/>
  <c r="E462" i="1" s="1"/>
  <c r="BA461" i="1"/>
  <c r="AC461" i="1"/>
  <c r="E461" i="1" s="1"/>
  <c r="BA460" i="1"/>
  <c r="AC460" i="1"/>
  <c r="E460" i="1" s="1"/>
  <c r="BA459" i="1"/>
  <c r="AC459" i="1"/>
  <c r="E459" i="1" s="1"/>
  <c r="BA458" i="1"/>
  <c r="AC458" i="1"/>
  <c r="E458" i="1" s="1"/>
  <c r="BA457" i="1"/>
  <c r="AC457" i="1"/>
  <c r="BA456" i="1"/>
  <c r="AC456" i="1"/>
  <c r="E456" i="1" s="1"/>
  <c r="E528" i="1" s="1"/>
  <c r="BA455" i="1"/>
  <c r="AC455" i="1"/>
  <c r="BE453" i="1"/>
  <c r="E453" i="1"/>
  <c r="BE452" i="1"/>
  <c r="E452" i="1"/>
  <c r="BA451" i="1"/>
  <c r="AC451" i="1"/>
  <c r="E451" i="1" s="1"/>
  <c r="BA450" i="1"/>
  <c r="AC450" i="1"/>
  <c r="E450" i="1" s="1"/>
  <c r="BA449" i="1"/>
  <c r="AC449" i="1"/>
  <c r="E449" i="1" s="1"/>
  <c r="BA448" i="1"/>
  <c r="AC448" i="1"/>
  <c r="E448" i="1" s="1"/>
  <c r="BA447" i="1"/>
  <c r="AC447" i="1"/>
  <c r="E447" i="1" s="1"/>
  <c r="BA446" i="1"/>
  <c r="AC446" i="1"/>
  <c r="E446" i="1" s="1"/>
  <c r="BA445" i="1"/>
  <c r="AC445" i="1"/>
  <c r="E445" i="1" s="1"/>
  <c r="BA444" i="1"/>
  <c r="AC444" i="1"/>
  <c r="E444" i="1" s="1"/>
  <c r="BA443" i="1"/>
  <c r="AC443" i="1"/>
  <c r="E443" i="1" s="1"/>
  <c r="BA442" i="1"/>
  <c r="BA530" i="1" s="1"/>
  <c r="AC442" i="1"/>
  <c r="AC530" i="1" s="1"/>
  <c r="BA441" i="1"/>
  <c r="AC441" i="1"/>
  <c r="E441" i="1"/>
  <c r="BA440" i="1"/>
  <c r="BA529" i="1" s="1"/>
  <c r="AC440" i="1"/>
  <c r="AC529" i="1" s="1"/>
  <c r="E440" i="1"/>
  <c r="E529" i="1" s="1"/>
  <c r="BA439" i="1"/>
  <c r="BA517" i="1" s="1"/>
  <c r="AC439" i="1"/>
  <c r="AC517" i="1" s="1"/>
  <c r="BA438" i="1"/>
  <c r="AC438" i="1"/>
  <c r="E438" i="1" s="1"/>
  <c r="BA437" i="1"/>
  <c r="AC437" i="1"/>
  <c r="E437" i="1" s="1"/>
  <c r="BA436" i="1"/>
  <c r="AC436" i="1"/>
  <c r="BA433" i="1"/>
  <c r="AC433" i="1"/>
  <c r="AC524" i="1" s="1"/>
  <c r="BA432" i="1"/>
  <c r="AC432" i="1"/>
  <c r="E432" i="1" s="1"/>
  <c r="BA431" i="1"/>
  <c r="BA523" i="1" s="1"/>
  <c r="AC431" i="1"/>
  <c r="AC523" i="1" s="1"/>
  <c r="BA427" i="1"/>
  <c r="AC427" i="1"/>
  <c r="E427" i="1" s="1"/>
  <c r="BA426" i="1"/>
  <c r="AC426" i="1"/>
  <c r="E426" i="1" s="1"/>
  <c r="BA425" i="1"/>
  <c r="AC425" i="1"/>
  <c r="E425" i="1" s="1"/>
  <c r="BA424" i="1"/>
  <c r="AC424" i="1"/>
  <c r="AC521" i="1" s="1"/>
  <c r="BA423" i="1"/>
  <c r="BA520" i="1" s="1"/>
  <c r="AC423" i="1"/>
  <c r="AC520" i="1" s="1"/>
  <c r="BA422" i="1"/>
  <c r="AC422" i="1"/>
  <c r="AZ411" i="1"/>
  <c r="AB411" i="1"/>
  <c r="Y411" i="1"/>
  <c r="V411" i="1"/>
  <c r="S411" i="1"/>
  <c r="P411" i="1"/>
  <c r="M411" i="1"/>
  <c r="J411" i="1"/>
  <c r="G411" i="1"/>
  <c r="B405" i="1"/>
  <c r="Q400" i="1"/>
  <c r="P400" i="1" s="1"/>
  <c r="N400" i="1"/>
  <c r="M400" i="1"/>
  <c r="J400" i="1"/>
  <c r="H400" i="1"/>
  <c r="G400" i="1"/>
  <c r="Z398" i="1"/>
  <c r="Z400" i="1" s="1"/>
  <c r="Y398" i="1"/>
  <c r="W398" i="1"/>
  <c r="T398" i="1"/>
  <c r="Q398" i="1"/>
  <c r="P398" i="1" s="1"/>
  <c r="N398" i="1"/>
  <c r="M398" i="1" s="1"/>
  <c r="K398" i="1"/>
  <c r="K400" i="1" s="1"/>
  <c r="H398" i="1"/>
  <c r="G398" i="1" s="1"/>
  <c r="E394" i="1"/>
  <c r="BA393" i="1"/>
  <c r="AC393" i="1"/>
  <c r="E393" i="1" s="1"/>
  <c r="BA392" i="1"/>
  <c r="AC392" i="1"/>
  <c r="E392" i="1" s="1"/>
  <c r="BA391" i="1"/>
  <c r="AC391" i="1"/>
  <c r="E391" i="1" s="1"/>
  <c r="BA390" i="1"/>
  <c r="AC390" i="1"/>
  <c r="E390" i="1" s="1"/>
  <c r="BA389" i="1"/>
  <c r="AC389" i="1"/>
  <c r="E389" i="1" s="1"/>
  <c r="BA388" i="1"/>
  <c r="AC388" i="1"/>
  <c r="E388" i="1" s="1"/>
  <c r="BA387" i="1"/>
  <c r="AC387" i="1"/>
  <c r="E387" i="1" s="1"/>
  <c r="BA386" i="1"/>
  <c r="AC386" i="1"/>
  <c r="E386" i="1" s="1"/>
  <c r="BA385" i="1"/>
  <c r="AC385" i="1"/>
  <c r="E385" i="1" s="1"/>
  <c r="BA384" i="1"/>
  <c r="AC384" i="1"/>
  <c r="E384" i="1" s="1"/>
  <c r="BA383" i="1"/>
  <c r="AC383" i="1"/>
  <c r="E383" i="1" s="1"/>
  <c r="BA382" i="1"/>
  <c r="AC382" i="1"/>
  <c r="E382" i="1" s="1"/>
  <c r="BA381" i="1"/>
  <c r="AC381" i="1"/>
  <c r="BA380" i="1"/>
  <c r="AC380" i="1"/>
  <c r="BA378" i="1"/>
  <c r="AC378" i="1"/>
  <c r="E378" i="1" s="1"/>
  <c r="BA377" i="1"/>
  <c r="AC377" i="1"/>
  <c r="E377" i="1"/>
  <c r="BA376" i="1"/>
  <c r="AC376" i="1"/>
  <c r="E376" i="1" s="1"/>
  <c r="BA375" i="1"/>
  <c r="AC375" i="1"/>
  <c r="E375" i="1" s="1"/>
  <c r="BA371" i="1"/>
  <c r="AC371" i="1"/>
  <c r="E371" i="1"/>
  <c r="BA370" i="1"/>
  <c r="AC370" i="1"/>
  <c r="E370" i="1" s="1"/>
  <c r="BA369" i="1"/>
  <c r="AC369" i="1"/>
  <c r="E369" i="1"/>
  <c r="BA368" i="1"/>
  <c r="AC368" i="1"/>
  <c r="E368" i="1" s="1"/>
  <c r="Z365" i="1"/>
  <c r="X365" i="1"/>
  <c r="Y365" i="1" s="1"/>
  <c r="W365" i="1"/>
  <c r="U365" i="1"/>
  <c r="V365" i="1" s="1"/>
  <c r="T365" i="1"/>
  <c r="R365" i="1"/>
  <c r="S365" i="1" s="1"/>
  <c r="Q365" i="1"/>
  <c r="Q402" i="1" s="1"/>
  <c r="P365" i="1"/>
  <c r="O365" i="1"/>
  <c r="N365" i="1"/>
  <c r="N402" i="1" s="1"/>
  <c r="L365" i="1"/>
  <c r="M365" i="1" s="1"/>
  <c r="K365" i="1"/>
  <c r="K402" i="1" s="1"/>
  <c r="I365" i="1"/>
  <c r="J365" i="1" s="1"/>
  <c r="H365" i="1"/>
  <c r="F365" i="1"/>
  <c r="G365" i="1" s="1"/>
  <c r="BA363" i="1"/>
  <c r="BA365" i="1" s="1"/>
  <c r="AY363" i="1"/>
  <c r="AC363" i="1"/>
  <c r="E363" i="1" s="1"/>
  <c r="E365" i="1" s="1"/>
  <c r="AA363" i="1"/>
  <c r="AB363" i="1" s="1"/>
  <c r="Y363" i="1"/>
  <c r="V363" i="1"/>
  <c r="S363" i="1"/>
  <c r="P363" i="1"/>
  <c r="M363" i="1"/>
  <c r="J363" i="1"/>
  <c r="G363" i="1"/>
  <c r="A361" i="1"/>
  <c r="W354" i="1"/>
  <c r="T354" i="1"/>
  <c r="Z352" i="1"/>
  <c r="Y352" i="1" s="1"/>
  <c r="W352" i="1"/>
  <c r="V352" i="1" s="1"/>
  <c r="T352" i="1"/>
  <c r="Q352" i="1"/>
  <c r="Q354" i="1" s="1"/>
  <c r="N352" i="1"/>
  <c r="N354" i="1" s="1"/>
  <c r="K352" i="1"/>
  <c r="K354" i="1" s="1"/>
  <c r="H352" i="1"/>
  <c r="H354" i="1" s="1"/>
  <c r="BA348" i="1"/>
  <c r="AC348" i="1"/>
  <c r="E348" i="1" s="1"/>
  <c r="BA347" i="1"/>
  <c r="AC347" i="1"/>
  <c r="E347" i="1" s="1"/>
  <c r="BA346" i="1"/>
  <c r="AC346" i="1"/>
  <c r="E346" i="1" s="1"/>
  <c r="BA345" i="1"/>
  <c r="AC345" i="1"/>
  <c r="E345" i="1" s="1"/>
  <c r="BA344" i="1"/>
  <c r="AC344" i="1"/>
  <c r="E344" i="1" s="1"/>
  <c r="BA343" i="1"/>
  <c r="AC343" i="1"/>
  <c r="E343" i="1" s="1"/>
  <c r="BA342" i="1"/>
  <c r="AC342" i="1"/>
  <c r="E342" i="1" s="1"/>
  <c r="BA341" i="1"/>
  <c r="AC341" i="1"/>
  <c r="E341" i="1" s="1"/>
  <c r="BA340" i="1"/>
  <c r="AC340" i="1"/>
  <c r="E340" i="1" s="1"/>
  <c r="BA339" i="1"/>
  <c r="AC339" i="1"/>
  <c r="E339" i="1" s="1"/>
  <c r="BA338" i="1"/>
  <c r="AC338" i="1"/>
  <c r="E338" i="1" s="1"/>
  <c r="BA337" i="1"/>
  <c r="AC337" i="1"/>
  <c r="E337" i="1" s="1"/>
  <c r="BA336" i="1"/>
  <c r="AC336" i="1"/>
  <c r="E336" i="1" s="1"/>
  <c r="BA335" i="1"/>
  <c r="AC335" i="1"/>
  <c r="E335" i="1" s="1"/>
  <c r="BA334" i="1"/>
  <c r="AC334" i="1"/>
  <c r="E334" i="1" s="1"/>
  <c r="BA333" i="1"/>
  <c r="AC333" i="1"/>
  <c r="BA331" i="1"/>
  <c r="AC331" i="1"/>
  <c r="E331" i="1" s="1"/>
  <c r="BA330" i="1"/>
  <c r="AC330" i="1"/>
  <c r="E330" i="1" s="1"/>
  <c r="BA329" i="1"/>
  <c r="AC329" i="1"/>
  <c r="E329" i="1"/>
  <c r="BA328" i="1"/>
  <c r="AC328" i="1"/>
  <c r="E328" i="1" s="1"/>
  <c r="BA324" i="1"/>
  <c r="AC324" i="1"/>
  <c r="E324" i="1" s="1"/>
  <c r="BA323" i="1"/>
  <c r="AC323" i="1"/>
  <c r="E323" i="1" s="1"/>
  <c r="BA322" i="1"/>
  <c r="AC322" i="1"/>
  <c r="E322" i="1"/>
  <c r="BA321" i="1"/>
  <c r="AC321" i="1"/>
  <c r="E321" i="1" s="1"/>
  <c r="BA315" i="1"/>
  <c r="AY315" i="1"/>
  <c r="AZ315" i="1" s="1"/>
  <c r="AC315" i="1"/>
  <c r="E315" i="1" s="1"/>
  <c r="AA315" i="1"/>
  <c r="C315" i="1" s="1"/>
  <c r="D315" i="1" s="1"/>
  <c r="Y315" i="1"/>
  <c r="V315" i="1"/>
  <c r="S315" i="1"/>
  <c r="P315" i="1"/>
  <c r="M315" i="1"/>
  <c r="J315" i="1"/>
  <c r="G315" i="1"/>
  <c r="E314" i="1"/>
  <c r="C314" i="1"/>
  <c r="D314" i="1" s="1"/>
  <c r="Q312" i="1"/>
  <c r="Q317" i="1" s="1"/>
  <c r="Q356" i="1" s="1"/>
  <c r="P312" i="1"/>
  <c r="O312" i="1"/>
  <c r="O317" i="1" s="1"/>
  <c r="BA311" i="1"/>
  <c r="AY311" i="1"/>
  <c r="AC311" i="1"/>
  <c r="AA311" i="1"/>
  <c r="C311" i="1" s="1"/>
  <c r="Y311" i="1"/>
  <c r="V311" i="1"/>
  <c r="S311" i="1"/>
  <c r="P311" i="1"/>
  <c r="M311" i="1"/>
  <c r="J311" i="1"/>
  <c r="G311" i="1"/>
  <c r="BA310" i="1"/>
  <c r="AY310" i="1"/>
  <c r="AC310" i="1"/>
  <c r="E310" i="1" s="1"/>
  <c r="AA310" i="1"/>
  <c r="C310" i="1" s="1"/>
  <c r="D310" i="1" s="1"/>
  <c r="Y310" i="1"/>
  <c r="V310" i="1"/>
  <c r="S310" i="1"/>
  <c r="P310" i="1"/>
  <c r="M310" i="1"/>
  <c r="J310" i="1"/>
  <c r="G310" i="1"/>
  <c r="BA309" i="1"/>
  <c r="AZ309" i="1"/>
  <c r="AY309" i="1"/>
  <c r="AC309" i="1"/>
  <c r="AB309" i="1"/>
  <c r="AA309" i="1"/>
  <c r="Y309" i="1"/>
  <c r="V309" i="1"/>
  <c r="S309" i="1"/>
  <c r="P309" i="1"/>
  <c r="M309" i="1"/>
  <c r="J309" i="1"/>
  <c r="G309" i="1"/>
  <c r="Z307" i="1"/>
  <c r="Z312" i="1" s="1"/>
  <c r="Z317" i="1" s="1"/>
  <c r="Y307" i="1"/>
  <c r="X307" i="1"/>
  <c r="X312" i="1" s="1"/>
  <c r="W307" i="1"/>
  <c r="W312" i="1" s="1"/>
  <c r="W317" i="1" s="1"/>
  <c r="U307" i="1"/>
  <c r="U312" i="1" s="1"/>
  <c r="T307" i="1"/>
  <c r="T312" i="1" s="1"/>
  <c r="T317" i="1" s="1"/>
  <c r="S307" i="1"/>
  <c r="R307" i="1"/>
  <c r="R312" i="1" s="1"/>
  <c r="Q307" i="1"/>
  <c r="P307" i="1" s="1"/>
  <c r="O307" i="1"/>
  <c r="N307" i="1"/>
  <c r="N312" i="1" s="1"/>
  <c r="N317" i="1" s="1"/>
  <c r="N356" i="1" s="1"/>
  <c r="M307" i="1"/>
  <c r="L307" i="1"/>
  <c r="L312" i="1" s="1"/>
  <c r="K307" i="1"/>
  <c r="K312" i="1" s="1"/>
  <c r="K317" i="1" s="1"/>
  <c r="J354" i="1" s="1"/>
  <c r="I307" i="1"/>
  <c r="I312" i="1" s="1"/>
  <c r="H307" i="1"/>
  <c r="H312" i="1" s="1"/>
  <c r="H317" i="1" s="1"/>
  <c r="F307" i="1"/>
  <c r="BA306" i="1"/>
  <c r="AZ306" i="1"/>
  <c r="AY306" i="1"/>
  <c r="AC306" i="1"/>
  <c r="AA306" i="1"/>
  <c r="C306" i="1" s="1"/>
  <c r="D306" i="1" s="1"/>
  <c r="Y306" i="1"/>
  <c r="V306" i="1"/>
  <c r="S306" i="1"/>
  <c r="P306" i="1"/>
  <c r="M306" i="1"/>
  <c r="J306" i="1"/>
  <c r="G306" i="1"/>
  <c r="E306" i="1"/>
  <c r="BA305" i="1"/>
  <c r="AY305" i="1"/>
  <c r="AZ305" i="1" s="1"/>
  <c r="AC305" i="1"/>
  <c r="E305" i="1" s="1"/>
  <c r="AA305" i="1"/>
  <c r="C305" i="1" s="1"/>
  <c r="D305" i="1" s="1"/>
  <c r="Y305" i="1"/>
  <c r="V305" i="1"/>
  <c r="S305" i="1"/>
  <c r="P305" i="1"/>
  <c r="M305" i="1"/>
  <c r="J305" i="1"/>
  <c r="G305" i="1"/>
  <c r="BA303" i="1"/>
  <c r="AY303" i="1"/>
  <c r="AZ303" i="1" s="1"/>
  <c r="AC303" i="1"/>
  <c r="E303" i="1" s="1"/>
  <c r="AA303" i="1"/>
  <c r="C303" i="1" s="1"/>
  <c r="Y303" i="1"/>
  <c r="V303" i="1"/>
  <c r="S303" i="1"/>
  <c r="P303" i="1"/>
  <c r="M303" i="1"/>
  <c r="J303" i="1"/>
  <c r="G303" i="1"/>
  <c r="BA302" i="1"/>
  <c r="AY302" i="1"/>
  <c r="AZ302" i="1" s="1"/>
  <c r="AC302" i="1"/>
  <c r="E302" i="1" s="1"/>
  <c r="AA302" i="1"/>
  <c r="C302" i="1" s="1"/>
  <c r="Y302" i="1"/>
  <c r="V302" i="1"/>
  <c r="S302" i="1"/>
  <c r="P302" i="1"/>
  <c r="M302" i="1"/>
  <c r="J302" i="1"/>
  <c r="G302" i="1"/>
  <c r="BA301" i="1"/>
  <c r="AY301" i="1"/>
  <c r="AC301" i="1"/>
  <c r="E301" i="1" s="1"/>
  <c r="AA301" i="1"/>
  <c r="C301" i="1" s="1"/>
  <c r="Y301" i="1"/>
  <c r="V301" i="1"/>
  <c r="S301" i="1"/>
  <c r="P301" i="1"/>
  <c r="M301" i="1"/>
  <c r="J301" i="1"/>
  <c r="G301" i="1"/>
  <c r="BA300" i="1"/>
  <c r="AY300" i="1"/>
  <c r="AC300" i="1"/>
  <c r="E300" i="1" s="1"/>
  <c r="AA300" i="1"/>
  <c r="C300" i="1" s="1"/>
  <c r="Y300" i="1"/>
  <c r="V300" i="1"/>
  <c r="S300" i="1"/>
  <c r="P300" i="1"/>
  <c r="M300" i="1"/>
  <c r="J300" i="1"/>
  <c r="G300" i="1"/>
  <c r="BA299" i="1"/>
  <c r="AY299" i="1"/>
  <c r="AC299" i="1"/>
  <c r="E299" i="1" s="1"/>
  <c r="AA299" i="1"/>
  <c r="C299" i="1" s="1"/>
  <c r="Y299" i="1"/>
  <c r="V299" i="1"/>
  <c r="S299" i="1"/>
  <c r="P299" i="1"/>
  <c r="M299" i="1"/>
  <c r="J299" i="1"/>
  <c r="G299" i="1"/>
  <c r="BA298" i="1"/>
  <c r="AY298" i="1"/>
  <c r="AZ298" i="1" s="1"/>
  <c r="AC298" i="1"/>
  <c r="AA298" i="1"/>
  <c r="Y298" i="1"/>
  <c r="V298" i="1"/>
  <c r="S298" i="1"/>
  <c r="P298" i="1"/>
  <c r="M298" i="1"/>
  <c r="J298" i="1"/>
  <c r="G298" i="1"/>
  <c r="BA297" i="1"/>
  <c r="AY297" i="1"/>
  <c r="AC297" i="1"/>
  <c r="AA297" i="1"/>
  <c r="A296" i="1"/>
  <c r="B294" i="1"/>
  <c r="B359" i="1" s="1"/>
  <c r="K292" i="1"/>
  <c r="K290" i="1"/>
  <c r="J290" i="1" s="1"/>
  <c r="Z288" i="1"/>
  <c r="Y288" i="1"/>
  <c r="W288" i="1"/>
  <c r="V288" i="1" s="1"/>
  <c r="T288" i="1"/>
  <c r="S288" i="1" s="1"/>
  <c r="Q288" i="1"/>
  <c r="P288" i="1"/>
  <c r="N288" i="1"/>
  <c r="M288" i="1"/>
  <c r="K288" i="1"/>
  <c r="J288" i="1"/>
  <c r="H288" i="1"/>
  <c r="H290" i="1" s="1"/>
  <c r="G290" i="1" s="1"/>
  <c r="G288" i="1"/>
  <c r="BA284" i="1"/>
  <c r="AC284" i="1"/>
  <c r="E284" i="1" s="1"/>
  <c r="BA283" i="1"/>
  <c r="AC283" i="1"/>
  <c r="E283" i="1" s="1"/>
  <c r="BA282" i="1"/>
  <c r="AC282" i="1"/>
  <c r="E282" i="1"/>
  <c r="BA281" i="1"/>
  <c r="AC281" i="1"/>
  <c r="E281" i="1" s="1"/>
  <c r="BA280" i="1"/>
  <c r="AC280" i="1"/>
  <c r="E280" i="1" s="1"/>
  <c r="BA279" i="1"/>
  <c r="AC279" i="1"/>
  <c r="E279" i="1" s="1"/>
  <c r="BA278" i="1"/>
  <c r="AC278" i="1"/>
  <c r="E278" i="1" s="1"/>
  <c r="BA277" i="1"/>
  <c r="AC277" i="1"/>
  <c r="E277" i="1" s="1"/>
  <c r="BA276" i="1"/>
  <c r="AC276" i="1"/>
  <c r="E276" i="1" s="1"/>
  <c r="BA275" i="1"/>
  <c r="AC275" i="1"/>
  <c r="E275" i="1" s="1"/>
  <c r="BA274" i="1"/>
  <c r="AC274" i="1"/>
  <c r="E274" i="1" s="1"/>
  <c r="BA273" i="1"/>
  <c r="AC273" i="1"/>
  <c r="E273" i="1"/>
  <c r="BA272" i="1"/>
  <c r="AC272" i="1"/>
  <c r="E272" i="1"/>
  <c r="BA271" i="1"/>
  <c r="AC271" i="1"/>
  <c r="E271" i="1" s="1"/>
  <c r="BA270" i="1"/>
  <c r="AC270" i="1"/>
  <c r="E270" i="1" s="1"/>
  <c r="Z269" i="1"/>
  <c r="Y269" i="1" s="1"/>
  <c r="W269" i="1"/>
  <c r="V269" i="1" s="1"/>
  <c r="T269" i="1"/>
  <c r="T290" i="1" s="1"/>
  <c r="S290" i="1" s="1"/>
  <c r="S269" i="1"/>
  <c r="Q269" i="1"/>
  <c r="Q290" i="1" s="1"/>
  <c r="P290" i="1" s="1"/>
  <c r="P269" i="1"/>
  <c r="N269" i="1"/>
  <c r="N290" i="1" s="1"/>
  <c r="M290" i="1" s="1"/>
  <c r="M269" i="1"/>
  <c r="K269" i="1"/>
  <c r="J269" i="1"/>
  <c r="H269" i="1"/>
  <c r="G269" i="1" s="1"/>
  <c r="E268" i="1"/>
  <c r="BA267" i="1"/>
  <c r="AC267" i="1"/>
  <c r="E267" i="1" s="1"/>
  <c r="BA266" i="1"/>
  <c r="AC266" i="1"/>
  <c r="E266" i="1"/>
  <c r="BA265" i="1"/>
  <c r="AC265" i="1"/>
  <c r="E265" i="1" s="1"/>
  <c r="BA264" i="1"/>
  <c r="AC264" i="1"/>
  <c r="E264" i="1"/>
  <c r="BA260" i="1"/>
  <c r="AC260" i="1"/>
  <c r="E260" i="1" s="1"/>
  <c r="BA259" i="1"/>
  <c r="AC259" i="1"/>
  <c r="E259" i="1" s="1"/>
  <c r="BA258" i="1"/>
  <c r="AC258" i="1"/>
  <c r="E258" i="1" s="1"/>
  <c r="BA257" i="1"/>
  <c r="AC257" i="1"/>
  <c r="E257" i="1"/>
  <c r="Z254" i="1"/>
  <c r="K254" i="1"/>
  <c r="Z253" i="1"/>
  <c r="Y253" i="1"/>
  <c r="W253" i="1"/>
  <c r="V253" i="1"/>
  <c r="T253" i="1"/>
  <c r="T292" i="1" s="1"/>
  <c r="S253" i="1"/>
  <c r="Q253" i="1"/>
  <c r="P253" i="1"/>
  <c r="N253" i="1"/>
  <c r="M253" i="1"/>
  <c r="K253" i="1"/>
  <c r="J253" i="1"/>
  <c r="H253" i="1"/>
  <c r="H254" i="1" s="1"/>
  <c r="G253" i="1"/>
  <c r="AW251" i="1"/>
  <c r="AS251" i="1"/>
  <c r="Z251" i="1"/>
  <c r="W251" i="1"/>
  <c r="T251" i="1"/>
  <c r="Q251" i="1"/>
  <c r="N251" i="1"/>
  <c r="K251" i="1"/>
  <c r="H251" i="1"/>
  <c r="BA250" i="1"/>
  <c r="BE250" i="1" s="1"/>
  <c r="AZ250" i="1"/>
  <c r="AY250" i="1"/>
  <c r="BC250" i="1" s="1"/>
  <c r="AC250" i="1"/>
  <c r="E250" i="1" s="1"/>
  <c r="AB250" i="1"/>
  <c r="D250" i="1" s="1"/>
  <c r="AA250" i="1"/>
  <c r="C250" i="1" s="1"/>
  <c r="AW248" i="1"/>
  <c r="AS248" i="1"/>
  <c r="Z248" i="1"/>
  <c r="W248" i="1"/>
  <c r="T248" i="1"/>
  <c r="Q248" i="1"/>
  <c r="N248" i="1"/>
  <c r="K248" i="1"/>
  <c r="H248" i="1"/>
  <c r="BA247" i="1"/>
  <c r="BE247" i="1" s="1"/>
  <c r="AZ247" i="1"/>
  <c r="AY247" i="1"/>
  <c r="BC247" i="1" s="1"/>
  <c r="AC247" i="1"/>
  <c r="E247" i="1" s="1"/>
  <c r="AB247" i="1"/>
  <c r="AA247" i="1"/>
  <c r="C247" i="1" s="1"/>
  <c r="Z245" i="1"/>
  <c r="W245" i="1"/>
  <c r="T245" i="1"/>
  <c r="Q245" i="1"/>
  <c r="N245" i="1"/>
  <c r="K245" i="1"/>
  <c r="H245" i="1"/>
  <c r="BA244" i="1"/>
  <c r="AZ244" i="1"/>
  <c r="AY244" i="1"/>
  <c r="AC244" i="1"/>
  <c r="AB244" i="1"/>
  <c r="D244" i="1" s="1"/>
  <c r="AA244" i="1"/>
  <c r="C244" i="1" s="1"/>
  <c r="A241" i="1"/>
  <c r="B239" i="1"/>
  <c r="Q234" i="1"/>
  <c r="P234" i="1" s="1"/>
  <c r="K234" i="1"/>
  <c r="J234" i="1" s="1"/>
  <c r="Z232" i="1"/>
  <c r="Y232" i="1" s="1"/>
  <c r="W232" i="1"/>
  <c r="V232" i="1"/>
  <c r="T232" i="1"/>
  <c r="S232" i="1"/>
  <c r="Q232" i="1"/>
  <c r="P232" i="1"/>
  <c r="N232" i="1"/>
  <c r="M232" i="1"/>
  <c r="K232" i="1"/>
  <c r="J232" i="1" s="1"/>
  <c r="H232" i="1"/>
  <c r="G232" i="1" s="1"/>
  <c r="BA228" i="1"/>
  <c r="AC228" i="1"/>
  <c r="E228" i="1" s="1"/>
  <c r="BA227" i="1"/>
  <c r="AC227" i="1"/>
  <c r="E227" i="1" s="1"/>
  <c r="BA226" i="1"/>
  <c r="AC226" i="1"/>
  <c r="E226" i="1"/>
  <c r="BA225" i="1"/>
  <c r="AC225" i="1"/>
  <c r="E225" i="1" s="1"/>
  <c r="BA224" i="1"/>
  <c r="AC224" i="1"/>
  <c r="E224" i="1" s="1"/>
  <c r="BA223" i="1"/>
  <c r="AC223" i="1"/>
  <c r="E223" i="1" s="1"/>
  <c r="BA222" i="1"/>
  <c r="AC222" i="1"/>
  <c r="E222" i="1"/>
  <c r="BA221" i="1"/>
  <c r="AC221" i="1"/>
  <c r="E221" i="1" s="1"/>
  <c r="BA220" i="1"/>
  <c r="AC220" i="1"/>
  <c r="E220" i="1"/>
  <c r="BA219" i="1"/>
  <c r="AC219" i="1"/>
  <c r="E219" i="1" s="1"/>
  <c r="BA218" i="1"/>
  <c r="AC218" i="1"/>
  <c r="E218" i="1" s="1"/>
  <c r="BA217" i="1"/>
  <c r="AC217" i="1"/>
  <c r="E217" i="1" s="1"/>
  <c r="BA216" i="1"/>
  <c r="AC216" i="1"/>
  <c r="E216" i="1" s="1"/>
  <c r="BA215" i="1"/>
  <c r="AC215" i="1"/>
  <c r="E215" i="1" s="1"/>
  <c r="BA214" i="1"/>
  <c r="AC214" i="1"/>
  <c r="E214" i="1"/>
  <c r="Z213" i="1"/>
  <c r="W213" i="1"/>
  <c r="W234" i="1" s="1"/>
  <c r="V234" i="1" s="1"/>
  <c r="T213" i="1"/>
  <c r="T234" i="1" s="1"/>
  <c r="S234" i="1" s="1"/>
  <c r="S213" i="1"/>
  <c r="Q213" i="1"/>
  <c r="P213" i="1" s="1"/>
  <c r="N213" i="1"/>
  <c r="N234" i="1" s="1"/>
  <c r="M234" i="1" s="1"/>
  <c r="K213" i="1"/>
  <c r="J213" i="1" s="1"/>
  <c r="H213" i="1"/>
  <c r="H234" i="1" s="1"/>
  <c r="G234" i="1" s="1"/>
  <c r="BA211" i="1"/>
  <c r="AC211" i="1"/>
  <c r="E211" i="1" s="1"/>
  <c r="BA210" i="1"/>
  <c r="AC210" i="1"/>
  <c r="E210" i="1" s="1"/>
  <c r="BA209" i="1"/>
  <c r="AC209" i="1"/>
  <c r="E209" i="1" s="1"/>
  <c r="BA208" i="1"/>
  <c r="AC208" i="1"/>
  <c r="E208" i="1" s="1"/>
  <c r="BA204" i="1"/>
  <c r="AC204" i="1"/>
  <c r="E204" i="1" s="1"/>
  <c r="BA203" i="1"/>
  <c r="AC203" i="1"/>
  <c r="E203" i="1" s="1"/>
  <c r="BA202" i="1"/>
  <c r="AC202" i="1"/>
  <c r="E202" i="1" s="1"/>
  <c r="BA201" i="1"/>
  <c r="AC201" i="1"/>
  <c r="E201" i="1" s="1"/>
  <c r="Y197" i="1"/>
  <c r="V197" i="1"/>
  <c r="N197" i="1"/>
  <c r="M197" i="1"/>
  <c r="K197" i="1"/>
  <c r="K198" i="1" s="1"/>
  <c r="Z195" i="1"/>
  <c r="W195" i="1"/>
  <c r="T195" i="1"/>
  <c r="Q195" i="1"/>
  <c r="N195" i="1"/>
  <c r="K195" i="1"/>
  <c r="H195" i="1"/>
  <c r="BA194" i="1"/>
  <c r="AZ194" i="1"/>
  <c r="AY194" i="1"/>
  <c r="AC194" i="1"/>
  <c r="AC195" i="1" s="1"/>
  <c r="AB194" i="1"/>
  <c r="D194" i="1" s="1"/>
  <c r="C194" i="1"/>
  <c r="BD192" i="1"/>
  <c r="BC192" i="1"/>
  <c r="Z192" i="1"/>
  <c r="W192" i="1"/>
  <c r="T192" i="1"/>
  <c r="Q192" i="1"/>
  <c r="N192" i="1"/>
  <c r="K192" i="1"/>
  <c r="H192" i="1"/>
  <c r="BA191" i="1"/>
  <c r="AZ191" i="1"/>
  <c r="AY191" i="1"/>
  <c r="AC191" i="1"/>
  <c r="AB191" i="1"/>
  <c r="D191" i="1" s="1"/>
  <c r="AA191" i="1"/>
  <c r="C191" i="1"/>
  <c r="Y189" i="1"/>
  <c r="W189" i="1"/>
  <c r="V189" i="1"/>
  <c r="T189" i="1"/>
  <c r="S189" i="1"/>
  <c r="G189" i="1"/>
  <c r="Z188" i="1"/>
  <c r="Z197" i="1" s="1"/>
  <c r="Y188" i="1"/>
  <c r="X188" i="1"/>
  <c r="W188" i="1"/>
  <c r="W197" i="1" s="1"/>
  <c r="V188" i="1"/>
  <c r="U188" i="1"/>
  <c r="T188" i="1"/>
  <c r="T197" i="1" s="1"/>
  <c r="S188" i="1"/>
  <c r="S197" i="1" s="1"/>
  <c r="R188" i="1"/>
  <c r="Q188" i="1"/>
  <c r="P188" i="1"/>
  <c r="P189" i="1" s="1"/>
  <c r="O188" i="1"/>
  <c r="N188" i="1"/>
  <c r="N189" i="1" s="1"/>
  <c r="M188" i="1"/>
  <c r="L188" i="1"/>
  <c r="M189" i="1" s="1"/>
  <c r="K188" i="1"/>
  <c r="K189" i="1" s="1"/>
  <c r="J188" i="1"/>
  <c r="J197" i="1" s="1"/>
  <c r="I188" i="1"/>
  <c r="H188" i="1"/>
  <c r="G188" i="1"/>
  <c r="G197" i="1" s="1"/>
  <c r="F188" i="1"/>
  <c r="BA187" i="1"/>
  <c r="AC187" i="1"/>
  <c r="E187" i="1" s="1"/>
  <c r="Y186" i="1"/>
  <c r="V186" i="1"/>
  <c r="S186" i="1"/>
  <c r="P186" i="1"/>
  <c r="M186" i="1"/>
  <c r="J186" i="1"/>
  <c r="G186" i="1"/>
  <c r="BD185" i="1"/>
  <c r="AZ185" i="1"/>
  <c r="AV185" i="1"/>
  <c r="AR185" i="1"/>
  <c r="AB185" i="1"/>
  <c r="Z185" i="1"/>
  <c r="Y185" i="1"/>
  <c r="W185" i="1"/>
  <c r="V185" i="1"/>
  <c r="T185" i="1"/>
  <c r="S185" i="1"/>
  <c r="Q185" i="1"/>
  <c r="P185" i="1"/>
  <c r="N185" i="1"/>
  <c r="M185" i="1"/>
  <c r="K185" i="1"/>
  <c r="J185" i="1"/>
  <c r="H185" i="1"/>
  <c r="G185" i="1"/>
  <c r="D185" i="1"/>
  <c r="BA184" i="1"/>
  <c r="BB184" i="1" s="1"/>
  <c r="AZ184" i="1"/>
  <c r="AZ186" i="1" s="1"/>
  <c r="AY184" i="1"/>
  <c r="AC184" i="1"/>
  <c r="AB184" i="1"/>
  <c r="AA184" i="1"/>
  <c r="C184" i="1" s="1"/>
  <c r="Y183" i="1"/>
  <c r="V183" i="1"/>
  <c r="S183" i="1"/>
  <c r="P183" i="1"/>
  <c r="M183" i="1"/>
  <c r="J183" i="1"/>
  <c r="G183" i="1"/>
  <c r="Z182" i="1"/>
  <c r="W182" i="1"/>
  <c r="T182" i="1"/>
  <c r="Q182" i="1"/>
  <c r="N182" i="1"/>
  <c r="K182" i="1"/>
  <c r="H182" i="1"/>
  <c r="BA181" i="1"/>
  <c r="BB181" i="1" s="1"/>
  <c r="AZ181" i="1"/>
  <c r="AY181" i="1"/>
  <c r="AC181" i="1"/>
  <c r="AC182" i="1" s="1"/>
  <c r="AB181" i="1"/>
  <c r="AA181" i="1"/>
  <c r="C181" i="1"/>
  <c r="Y180" i="1"/>
  <c r="V180" i="1"/>
  <c r="S180" i="1"/>
  <c r="P180" i="1"/>
  <c r="M180" i="1"/>
  <c r="J180" i="1"/>
  <c r="G180" i="1"/>
  <c r="Z179" i="1"/>
  <c r="W179" i="1"/>
  <c r="T179" i="1"/>
  <c r="Q179" i="1"/>
  <c r="N179" i="1"/>
  <c r="K179" i="1"/>
  <c r="H179" i="1"/>
  <c r="BA178" i="1"/>
  <c r="BA179" i="1" s="1"/>
  <c r="AZ178" i="1"/>
  <c r="AY178" i="1"/>
  <c r="AC178" i="1"/>
  <c r="AC179" i="1" s="1"/>
  <c r="AB178" i="1"/>
  <c r="AA178" i="1"/>
  <c r="AB180" i="1" s="1"/>
  <c r="D178" i="1"/>
  <c r="Y177" i="1"/>
  <c r="V177" i="1"/>
  <c r="S177" i="1"/>
  <c r="P177" i="1"/>
  <c r="M177" i="1"/>
  <c r="J177" i="1"/>
  <c r="G177" i="1"/>
  <c r="Z176" i="1"/>
  <c r="W176" i="1"/>
  <c r="T176" i="1"/>
  <c r="Q176" i="1"/>
  <c r="N176" i="1"/>
  <c r="K176" i="1"/>
  <c r="H176" i="1"/>
  <c r="BA175" i="1"/>
  <c r="AZ175" i="1"/>
  <c r="BA176" i="1" s="1"/>
  <c r="AY175" i="1"/>
  <c r="AC175" i="1"/>
  <c r="AC176" i="1" s="1"/>
  <c r="AB175" i="1"/>
  <c r="D175" i="1" s="1"/>
  <c r="AA175" i="1"/>
  <c r="A173" i="1"/>
  <c r="B171" i="1"/>
  <c r="Z166" i="1"/>
  <c r="W166" i="1"/>
  <c r="T166" i="1"/>
  <c r="Q166" i="1"/>
  <c r="N166" i="1"/>
  <c r="K166" i="1"/>
  <c r="H166" i="1"/>
  <c r="BA165" i="1"/>
  <c r="AC165" i="1"/>
  <c r="E165" i="1" s="1"/>
  <c r="E161" i="1"/>
  <c r="BA160" i="1"/>
  <c r="AC160" i="1"/>
  <c r="E160" i="1"/>
  <c r="BA159" i="1"/>
  <c r="AC159" i="1"/>
  <c r="E159" i="1"/>
  <c r="Z158" i="1"/>
  <c r="W158" i="1"/>
  <c r="T158" i="1"/>
  <c r="Q158" i="1"/>
  <c r="N158" i="1"/>
  <c r="K158" i="1"/>
  <c r="H158" i="1"/>
  <c r="AZ157" i="1"/>
  <c r="AB157" i="1"/>
  <c r="Y157" i="1"/>
  <c r="V157" i="1"/>
  <c r="S157" i="1"/>
  <c r="P157" i="1"/>
  <c r="M157" i="1"/>
  <c r="J157" i="1"/>
  <c r="G157" i="1"/>
  <c r="BA156" i="1"/>
  <c r="AC156" i="1"/>
  <c r="BA152" i="1"/>
  <c r="AC152" i="1"/>
  <c r="E152" i="1" s="1"/>
  <c r="BA151" i="1"/>
  <c r="AW151" i="1"/>
  <c r="AC151" i="1"/>
  <c r="E151" i="1"/>
  <c r="BA150" i="1"/>
  <c r="AC150" i="1"/>
  <c r="E150" i="1" s="1"/>
  <c r="BA149" i="1"/>
  <c r="AC149" i="1"/>
  <c r="E149" i="1" s="1"/>
  <c r="BA148" i="1"/>
  <c r="AC148" i="1"/>
  <c r="E148" i="1" s="1"/>
  <c r="BA147" i="1"/>
  <c r="AC147" i="1"/>
  <c r="E147" i="1" s="1"/>
  <c r="BA146" i="1"/>
  <c r="AC146" i="1"/>
  <c r="E146" i="1" s="1"/>
  <c r="BA145" i="1"/>
  <c r="AC145" i="1"/>
  <c r="E145" i="1"/>
  <c r="BA144" i="1"/>
  <c r="AC144" i="1"/>
  <c r="E144" i="1" s="1"/>
  <c r="BA143" i="1"/>
  <c r="AC143" i="1"/>
  <c r="E143" i="1" s="1"/>
  <c r="BA142" i="1"/>
  <c r="AC142" i="1"/>
  <c r="E142" i="1" s="1"/>
  <c r="BA141" i="1"/>
  <c r="AS141" i="1"/>
  <c r="BE141" i="1" s="1"/>
  <c r="AC141" i="1"/>
  <c r="E141" i="1"/>
  <c r="BA140" i="1"/>
  <c r="AC140" i="1"/>
  <c r="E140" i="1" s="1"/>
  <c r="BA139" i="1"/>
  <c r="AC139" i="1"/>
  <c r="E139" i="1"/>
  <c r="BA138" i="1"/>
  <c r="AC138" i="1"/>
  <c r="BA136" i="1"/>
  <c r="AC136" i="1"/>
  <c r="E136" i="1" s="1"/>
  <c r="BA135" i="1"/>
  <c r="AC135" i="1"/>
  <c r="E135" i="1" s="1"/>
  <c r="BA134" i="1"/>
  <c r="AC134" i="1"/>
  <c r="E134" i="1" s="1"/>
  <c r="BA133" i="1"/>
  <c r="AC133" i="1"/>
  <c r="E133" i="1" s="1"/>
  <c r="BA129" i="1"/>
  <c r="AC129" i="1"/>
  <c r="E129" i="1" s="1"/>
  <c r="BA128" i="1"/>
  <c r="AC128" i="1"/>
  <c r="E128" i="1" s="1"/>
  <c r="BA127" i="1"/>
  <c r="AC127" i="1"/>
  <c r="E127" i="1" s="1"/>
  <c r="BA126" i="1"/>
  <c r="AC126" i="1"/>
  <c r="E126" i="1" s="1"/>
  <c r="BA125" i="1"/>
  <c r="AC125" i="1"/>
  <c r="AC158" i="1" s="1"/>
  <c r="BA121" i="1"/>
  <c r="AC121" i="1"/>
  <c r="E121" i="1" s="1"/>
  <c r="Y121" i="1"/>
  <c r="V121" i="1"/>
  <c r="S121" i="1"/>
  <c r="P121" i="1"/>
  <c r="M121" i="1"/>
  <c r="J121" i="1"/>
  <c r="G121" i="1"/>
  <c r="BA120" i="1"/>
  <c r="AC120" i="1"/>
  <c r="E120" i="1" s="1"/>
  <c r="Y120" i="1"/>
  <c r="V120" i="1"/>
  <c r="S120" i="1"/>
  <c r="P120" i="1"/>
  <c r="M120" i="1"/>
  <c r="J120" i="1"/>
  <c r="G120" i="1"/>
  <c r="BA119" i="1"/>
  <c r="AC119" i="1"/>
  <c r="E119" i="1" s="1"/>
  <c r="Y119" i="1"/>
  <c r="V119" i="1"/>
  <c r="S119" i="1"/>
  <c r="P119" i="1"/>
  <c r="M119" i="1"/>
  <c r="J119" i="1"/>
  <c r="G119" i="1"/>
  <c r="BA118" i="1"/>
  <c r="AC118" i="1"/>
  <c r="E118" i="1" s="1"/>
  <c r="Y118" i="1"/>
  <c r="V118" i="1"/>
  <c r="S118" i="1"/>
  <c r="P118" i="1"/>
  <c r="M118" i="1"/>
  <c r="J118" i="1"/>
  <c r="G118" i="1"/>
  <c r="BA117" i="1"/>
  <c r="AC117" i="1"/>
  <c r="E117" i="1" s="1"/>
  <c r="Y117" i="1"/>
  <c r="V117" i="1"/>
  <c r="S117" i="1"/>
  <c r="P117" i="1"/>
  <c r="M117" i="1"/>
  <c r="J117" i="1"/>
  <c r="G117" i="1"/>
  <c r="BA116" i="1"/>
  <c r="AC116" i="1"/>
  <c r="E116" i="1" s="1"/>
  <c r="Y116" i="1"/>
  <c r="V116" i="1"/>
  <c r="S116" i="1"/>
  <c r="P116" i="1"/>
  <c r="M116" i="1"/>
  <c r="J116" i="1"/>
  <c r="G116" i="1"/>
  <c r="BA115" i="1"/>
  <c r="AC115" i="1"/>
  <c r="E115" i="1" s="1"/>
  <c r="Y115" i="1"/>
  <c r="X115" i="1"/>
  <c r="V115" i="1"/>
  <c r="U115" i="1"/>
  <c r="S115" i="1"/>
  <c r="P115" i="1"/>
  <c r="M115" i="1"/>
  <c r="J115" i="1"/>
  <c r="I115" i="1"/>
  <c r="G115" i="1"/>
  <c r="BA114" i="1"/>
  <c r="Z111" i="1"/>
  <c r="Z168" i="1" s="1"/>
  <c r="Y111" i="1"/>
  <c r="X111" i="1"/>
  <c r="O111" i="1"/>
  <c r="N111" i="1"/>
  <c r="N168" i="1" s="1"/>
  <c r="L111" i="1"/>
  <c r="M111" i="1" s="1"/>
  <c r="K111" i="1"/>
  <c r="K168" i="1" s="1"/>
  <c r="I111" i="1"/>
  <c r="J111" i="1" s="1"/>
  <c r="Z108" i="1"/>
  <c r="X108" i="1"/>
  <c r="Y108" i="1" s="1"/>
  <c r="W108" i="1"/>
  <c r="U108" i="1"/>
  <c r="V108" i="1" s="1"/>
  <c r="T108" i="1"/>
  <c r="R115" i="1" s="1"/>
  <c r="R108" i="1"/>
  <c r="S108" i="1" s="1"/>
  <c r="Q108" i="1"/>
  <c r="O115" i="1" s="1"/>
  <c r="P108" i="1"/>
  <c r="O108" i="1"/>
  <c r="N108" i="1"/>
  <c r="L115" i="1" s="1"/>
  <c r="L108" i="1"/>
  <c r="M108" i="1" s="1"/>
  <c r="K108" i="1"/>
  <c r="J108" i="1"/>
  <c r="I108" i="1"/>
  <c r="H108" i="1"/>
  <c r="F115" i="1" s="1"/>
  <c r="BA107" i="1"/>
  <c r="AC107" i="1"/>
  <c r="E107" i="1" s="1"/>
  <c r="Y107" i="1"/>
  <c r="X107" i="1"/>
  <c r="U107" i="1"/>
  <c r="R107" i="1"/>
  <c r="P107" i="1"/>
  <c r="O107" i="1"/>
  <c r="M107" i="1"/>
  <c r="L107" i="1"/>
  <c r="J107" i="1"/>
  <c r="I107" i="1"/>
  <c r="F107" i="1"/>
  <c r="BA106" i="1"/>
  <c r="AC106" i="1"/>
  <c r="E106" i="1" s="1"/>
  <c r="Y106" i="1"/>
  <c r="S106" i="1"/>
  <c r="P106" i="1"/>
  <c r="M106" i="1"/>
  <c r="BA105" i="1"/>
  <c r="AC105" i="1"/>
  <c r="Y105" i="1"/>
  <c r="V105" i="1"/>
  <c r="P105" i="1"/>
  <c r="M105" i="1"/>
  <c r="J105" i="1"/>
  <c r="BA103" i="1"/>
  <c r="AY103" i="1"/>
  <c r="AC103" i="1"/>
  <c r="E103" i="1" s="1"/>
  <c r="AA103" i="1"/>
  <c r="C103" i="1" s="1"/>
  <c r="Y103" i="1"/>
  <c r="V103" i="1"/>
  <c r="S103" i="1"/>
  <c r="P103" i="1"/>
  <c r="M103" i="1"/>
  <c r="J103" i="1"/>
  <c r="G103" i="1"/>
  <c r="BE102" i="1"/>
  <c r="BD102" i="1"/>
  <c r="BC102" i="1"/>
  <c r="Z100" i="1"/>
  <c r="Y100" i="1"/>
  <c r="X100" i="1"/>
  <c r="W100" i="1"/>
  <c r="W111" i="1" s="1"/>
  <c r="W168" i="1" s="1"/>
  <c r="U100" i="1"/>
  <c r="V106" i="1" s="1"/>
  <c r="T100" i="1"/>
  <c r="T111" i="1" s="1"/>
  <c r="T168" i="1" s="1"/>
  <c r="R100" i="1"/>
  <c r="Q100" i="1"/>
  <c r="O100" i="1"/>
  <c r="N100" i="1"/>
  <c r="M100" i="1"/>
  <c r="L100" i="1"/>
  <c r="K100" i="1"/>
  <c r="J100" i="1" s="1"/>
  <c r="I100" i="1"/>
  <c r="J106" i="1" s="1"/>
  <c r="H100" i="1"/>
  <c r="H111" i="1" s="1"/>
  <c r="H168" i="1" s="1"/>
  <c r="F100" i="1"/>
  <c r="F108" i="1" s="1"/>
  <c r="G108" i="1" s="1"/>
  <c r="BA99" i="1"/>
  <c r="AY99" i="1"/>
  <c r="AC99" i="1"/>
  <c r="E99" i="1" s="1"/>
  <c r="AA99" i="1"/>
  <c r="AB116" i="1" s="1"/>
  <c r="Y99" i="1"/>
  <c r="V99" i="1"/>
  <c r="S99" i="1"/>
  <c r="P99" i="1"/>
  <c r="M99" i="1"/>
  <c r="J99" i="1"/>
  <c r="G99" i="1"/>
  <c r="BA98" i="1"/>
  <c r="AY98" i="1"/>
  <c r="AC98" i="1"/>
  <c r="E98" i="1" s="1"/>
  <c r="AA98" i="1"/>
  <c r="C98" i="1" s="1"/>
  <c r="Y98" i="1"/>
  <c r="V98" i="1"/>
  <c r="S98" i="1"/>
  <c r="P98" i="1"/>
  <c r="M98" i="1"/>
  <c r="J98" i="1"/>
  <c r="G98" i="1"/>
  <c r="BA97" i="1"/>
  <c r="AY97" i="1"/>
  <c r="AC97" i="1"/>
  <c r="E97" i="1" s="1"/>
  <c r="AA97" i="1"/>
  <c r="C97" i="1" s="1"/>
  <c r="Y97" i="1"/>
  <c r="V97" i="1"/>
  <c r="S97" i="1"/>
  <c r="P97" i="1"/>
  <c r="M97" i="1"/>
  <c r="J97" i="1"/>
  <c r="G97" i="1"/>
  <c r="BA96" i="1"/>
  <c r="AC96" i="1"/>
  <c r="E96" i="1" s="1"/>
  <c r="A94" i="1"/>
  <c r="B92" i="1"/>
  <c r="Z86" i="1"/>
  <c r="W86" i="1"/>
  <c r="T86" i="1"/>
  <c r="Q86" i="1"/>
  <c r="N86" i="1"/>
  <c r="K86" i="1"/>
  <c r="H86" i="1"/>
  <c r="BA85" i="1"/>
  <c r="AC85" i="1"/>
  <c r="E85" i="1" s="1"/>
  <c r="BA81" i="1"/>
  <c r="AC81" i="1"/>
  <c r="E81" i="1" s="1"/>
  <c r="BA80" i="1"/>
  <c r="AW80" i="1"/>
  <c r="AC80" i="1"/>
  <c r="E80" i="1" s="1"/>
  <c r="BA79" i="1"/>
  <c r="AC79" i="1"/>
  <c r="E79" i="1" s="1"/>
  <c r="BA78" i="1"/>
  <c r="AC78" i="1"/>
  <c r="E78" i="1" s="1"/>
  <c r="Z75" i="1"/>
  <c r="W75" i="1"/>
  <c r="T75" i="1"/>
  <c r="Q75" i="1"/>
  <c r="N75" i="1"/>
  <c r="K75" i="1"/>
  <c r="H75" i="1"/>
  <c r="BA71" i="1"/>
  <c r="AC71" i="1"/>
  <c r="E71" i="1" s="1"/>
  <c r="BA70" i="1"/>
  <c r="AC70" i="1"/>
  <c r="E70" i="1" s="1"/>
  <c r="BA69" i="1"/>
  <c r="AC69" i="1"/>
  <c r="E69" i="1" s="1"/>
  <c r="BA68" i="1"/>
  <c r="AC68" i="1"/>
  <c r="E68" i="1" s="1"/>
  <c r="BA67" i="1"/>
  <c r="AC67" i="1"/>
  <c r="E67" i="1" s="1"/>
  <c r="BA66" i="1"/>
  <c r="AC66" i="1"/>
  <c r="E66" i="1" s="1"/>
  <c r="BA65" i="1"/>
  <c r="AC65" i="1"/>
  <c r="E65" i="1"/>
  <c r="BA64" i="1"/>
  <c r="AC64" i="1"/>
  <c r="E64" i="1" s="1"/>
  <c r="BA63" i="1"/>
  <c r="AC63" i="1"/>
  <c r="E63" i="1" s="1"/>
  <c r="BA62" i="1"/>
  <c r="AC62" i="1"/>
  <c r="E62" i="1" s="1"/>
  <c r="BA61" i="1"/>
  <c r="AC61" i="1"/>
  <c r="E61" i="1" s="1"/>
  <c r="BA60" i="1"/>
  <c r="AC60" i="1"/>
  <c r="E60" i="1" s="1"/>
  <c r="BA59" i="1"/>
  <c r="AC59" i="1"/>
  <c r="E59" i="1"/>
  <c r="BA58" i="1"/>
  <c r="AC58" i="1"/>
  <c r="E58" i="1" s="1"/>
  <c r="Z57" i="1"/>
  <c r="W57" i="1"/>
  <c r="T57" i="1"/>
  <c r="Q57" i="1"/>
  <c r="N57" i="1"/>
  <c r="N77" i="1" s="1"/>
  <c r="M77" i="1" s="1"/>
  <c r="K57" i="1"/>
  <c r="H57" i="1"/>
  <c r="BA55" i="1"/>
  <c r="AC55" i="1"/>
  <c r="E55" i="1" s="1"/>
  <c r="BA54" i="1"/>
  <c r="AC54" i="1"/>
  <c r="E54" i="1" s="1"/>
  <c r="BA53" i="1"/>
  <c r="AC53" i="1"/>
  <c r="E53" i="1" s="1"/>
  <c r="BA52" i="1"/>
  <c r="AC52" i="1"/>
  <c r="E52" i="1" s="1"/>
  <c r="BA48" i="1"/>
  <c r="AC48" i="1"/>
  <c r="E48" i="1" s="1"/>
  <c r="BA47" i="1"/>
  <c r="AC47" i="1"/>
  <c r="E47" i="1" s="1"/>
  <c r="BA46" i="1"/>
  <c r="AC46" i="1"/>
  <c r="E46" i="1" s="1"/>
  <c r="BA45" i="1"/>
  <c r="AC45" i="1"/>
  <c r="E45" i="1" s="1"/>
  <c r="Z44" i="1"/>
  <c r="Z77" i="1" s="1"/>
  <c r="Y77" i="1" s="1"/>
  <c r="W44" i="1"/>
  <c r="W77" i="1" s="1"/>
  <c r="V77" i="1" s="1"/>
  <c r="T44" i="1"/>
  <c r="Q44" i="1"/>
  <c r="N44" i="1"/>
  <c r="K44" i="1"/>
  <c r="H44" i="1"/>
  <c r="BA40" i="1"/>
  <c r="BA418" i="1" s="1"/>
  <c r="AC40" i="1"/>
  <c r="BA39" i="1"/>
  <c r="AW39" i="1"/>
  <c r="AC39" i="1"/>
  <c r="E39" i="1" s="1"/>
  <c r="BA38" i="1"/>
  <c r="AC38" i="1"/>
  <c r="M38" i="1"/>
  <c r="BA37" i="1"/>
  <c r="BA415" i="1" s="1"/>
  <c r="AC37" i="1"/>
  <c r="E37" i="1" s="1"/>
  <c r="Y37" i="1"/>
  <c r="M37" i="1"/>
  <c r="G37" i="1"/>
  <c r="BA36" i="1"/>
  <c r="AC36" i="1"/>
  <c r="AC414" i="1" s="1"/>
  <c r="Y36" i="1"/>
  <c r="BA35" i="1"/>
  <c r="AC35" i="1"/>
  <c r="Y35" i="1"/>
  <c r="X35" i="1"/>
  <c r="L35" i="1"/>
  <c r="G35" i="1"/>
  <c r="F35" i="1"/>
  <c r="BA34" i="1"/>
  <c r="AC34" i="1"/>
  <c r="E34" i="1" s="1"/>
  <c r="Y34" i="1"/>
  <c r="X34" i="1"/>
  <c r="U34" i="1"/>
  <c r="M34" i="1"/>
  <c r="F34" i="1"/>
  <c r="Z30" i="1"/>
  <c r="N30" i="1"/>
  <c r="I30" i="1"/>
  <c r="Z27" i="1"/>
  <c r="Y27" i="1"/>
  <c r="X27" i="1"/>
  <c r="Y39" i="1" s="1"/>
  <c r="W27" i="1"/>
  <c r="U35" i="1" s="1"/>
  <c r="U27" i="1"/>
  <c r="V35" i="1" s="1"/>
  <c r="T27" i="1"/>
  <c r="R35" i="1" s="1"/>
  <c r="Q27" i="1"/>
  <c r="O35" i="1" s="1"/>
  <c r="N27" i="1"/>
  <c r="L27" i="1"/>
  <c r="M36" i="1" s="1"/>
  <c r="K27" i="1"/>
  <c r="I35" i="1" s="1"/>
  <c r="H27" i="1"/>
  <c r="G27" i="1"/>
  <c r="F27" i="1"/>
  <c r="BA26" i="1"/>
  <c r="AC26" i="1"/>
  <c r="E26" i="1" s="1"/>
  <c r="M26" i="1"/>
  <c r="J26" i="1"/>
  <c r="G26" i="1"/>
  <c r="BA25" i="1"/>
  <c r="AC25" i="1"/>
  <c r="E25" i="1" s="1"/>
  <c r="Y25" i="1"/>
  <c r="V25" i="1"/>
  <c r="BA24" i="1"/>
  <c r="AS24" i="1"/>
  <c r="AC24" i="1"/>
  <c r="E24" i="1" s="1"/>
  <c r="M24" i="1"/>
  <c r="J24" i="1"/>
  <c r="BA22" i="1"/>
  <c r="AC22" i="1"/>
  <c r="E22" i="1" s="1"/>
  <c r="BA20" i="1"/>
  <c r="AY20" i="1"/>
  <c r="AC20" i="1"/>
  <c r="AA20" i="1"/>
  <c r="C20" i="1" s="1"/>
  <c r="Y20" i="1"/>
  <c r="V20" i="1"/>
  <c r="S20" i="1"/>
  <c r="P20" i="1"/>
  <c r="M20" i="1"/>
  <c r="J20" i="1"/>
  <c r="G20" i="1"/>
  <c r="BA18" i="1"/>
  <c r="AY18" i="1"/>
  <c r="AC18" i="1"/>
  <c r="E18" i="1" s="1"/>
  <c r="AA18" i="1"/>
  <c r="C18" i="1" s="1"/>
  <c r="Y18" i="1"/>
  <c r="V18" i="1"/>
  <c r="S18" i="1"/>
  <c r="P18" i="1"/>
  <c r="M18" i="1"/>
  <c r="J18" i="1"/>
  <c r="G18" i="1"/>
  <c r="Z16" i="1"/>
  <c r="X16" i="1"/>
  <c r="W16" i="1"/>
  <c r="W30" i="1" s="1"/>
  <c r="U16" i="1"/>
  <c r="T16" i="1"/>
  <c r="R34" i="1" s="1"/>
  <c r="R16" i="1"/>
  <c r="S26" i="1" s="1"/>
  <c r="Q16" i="1"/>
  <c r="O34" i="1" s="1"/>
  <c r="O16" i="1"/>
  <c r="O27" i="1" s="1"/>
  <c r="P40" i="1" s="1"/>
  <c r="N16" i="1"/>
  <c r="L34" i="1" s="1"/>
  <c r="L16" i="1"/>
  <c r="L30" i="1" s="1"/>
  <c r="K16" i="1"/>
  <c r="I34" i="1" s="1"/>
  <c r="I16" i="1"/>
  <c r="J16" i="1" s="1"/>
  <c r="H16" i="1"/>
  <c r="G16" i="1" s="1"/>
  <c r="F16" i="1"/>
  <c r="G25" i="1" s="1"/>
  <c r="BA12" i="1"/>
  <c r="AY12" i="1"/>
  <c r="AZ12" i="1" s="1"/>
  <c r="AC12" i="1"/>
  <c r="AB12" i="1"/>
  <c r="AA12" i="1"/>
  <c r="C12" i="1" s="1"/>
  <c r="D12" i="1" s="1"/>
  <c r="Y12" i="1"/>
  <c r="V12" i="1"/>
  <c r="S12" i="1"/>
  <c r="P12" i="1"/>
  <c r="M12" i="1"/>
  <c r="J12" i="1"/>
  <c r="G12" i="1"/>
  <c r="E12" i="1"/>
  <c r="BA11" i="1"/>
  <c r="AY11" i="1"/>
  <c r="AC11" i="1"/>
  <c r="E11" i="1" s="1"/>
  <c r="AA11" i="1"/>
  <c r="C11" i="1" s="1"/>
  <c r="D11" i="1" s="1"/>
  <c r="Y11" i="1"/>
  <c r="V11" i="1"/>
  <c r="S11" i="1"/>
  <c r="P11" i="1"/>
  <c r="M11" i="1"/>
  <c r="J11" i="1"/>
  <c r="G11" i="1"/>
  <c r="BA10" i="1"/>
  <c r="AZ10" i="1" s="1"/>
  <c r="AY10" i="1"/>
  <c r="AC10" i="1"/>
  <c r="E10" i="1" s="1"/>
  <c r="AA10" i="1"/>
  <c r="C10" i="1" s="1"/>
  <c r="Y10" i="1"/>
  <c r="V10" i="1"/>
  <c r="S10" i="1"/>
  <c r="P10" i="1"/>
  <c r="M10" i="1"/>
  <c r="J10" i="1"/>
  <c r="G10" i="1"/>
  <c r="BA9" i="1"/>
  <c r="AY9" i="1"/>
  <c r="AY16" i="1" s="1"/>
  <c r="AC9" i="1"/>
  <c r="AA9" i="1"/>
  <c r="AA16" i="1" s="1"/>
  <c r="Y9" i="1"/>
  <c r="V9" i="1"/>
  <c r="S9" i="1"/>
  <c r="P9" i="1"/>
  <c r="M9" i="1"/>
  <c r="J9" i="1"/>
  <c r="G9" i="1"/>
  <c r="E9" i="1"/>
  <c r="BA8" i="1"/>
  <c r="AC8" i="1"/>
  <c r="E8" i="1" s="1"/>
  <c r="A6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AS119" i="1" s="1"/>
  <c r="BE119" i="1" s="1"/>
  <c r="G3" i="1"/>
  <c r="F3" i="1"/>
  <c r="AQ99" i="1" s="1"/>
  <c r="BA245" i="1" l="1"/>
  <c r="AC365" i="1"/>
  <c r="AA307" i="1"/>
  <c r="AZ301" i="1"/>
  <c r="C99" i="1"/>
  <c r="AZ180" i="1"/>
  <c r="BA195" i="1"/>
  <c r="E423" i="1"/>
  <c r="E520" i="1" s="1"/>
  <c r="AO519" i="1"/>
  <c r="AB97" i="1"/>
  <c r="BA108" i="1"/>
  <c r="AC166" i="1"/>
  <c r="BA454" i="1"/>
  <c r="BA253" i="1"/>
  <c r="D97" i="1"/>
  <c r="D98" i="1"/>
  <c r="AB119" i="1"/>
  <c r="E194" i="1"/>
  <c r="E333" i="1"/>
  <c r="AB11" i="1"/>
  <c r="E86" i="1"/>
  <c r="AC108" i="1"/>
  <c r="AA115" i="1" s="1"/>
  <c r="E470" i="1"/>
  <c r="BA86" i="1"/>
  <c r="E439" i="1"/>
  <c r="E517" i="1" s="1"/>
  <c r="AB117" i="1"/>
  <c r="AC307" i="1"/>
  <c r="AZ297" i="1"/>
  <c r="AZ299" i="1"/>
  <c r="AZ300" i="1"/>
  <c r="AZ18" i="1"/>
  <c r="D103" i="1"/>
  <c r="E181" i="1"/>
  <c r="BA307" i="1"/>
  <c r="BA312" i="1" s="1"/>
  <c r="BA317" i="1" s="1"/>
  <c r="E298" i="1"/>
  <c r="AY27" i="1"/>
  <c r="AZ36" i="1" s="1"/>
  <c r="AZ24" i="1"/>
  <c r="E100" i="1"/>
  <c r="AZ9" i="1"/>
  <c r="E36" i="1"/>
  <c r="AZ177" i="1"/>
  <c r="AZ116" i="1"/>
  <c r="BA185" i="1"/>
  <c r="BA527" i="1"/>
  <c r="AB20" i="1"/>
  <c r="AZ118" i="1"/>
  <c r="E27" i="1"/>
  <c r="AC27" i="1"/>
  <c r="AA35" i="1" s="1"/>
  <c r="AA100" i="1"/>
  <c r="E105" i="1"/>
  <c r="E108" i="1" s="1"/>
  <c r="E431" i="1"/>
  <c r="E523" i="1" s="1"/>
  <c r="BE24" i="1"/>
  <c r="BA57" i="1"/>
  <c r="C100" i="1"/>
  <c r="BA100" i="1"/>
  <c r="AY114" i="1" s="1"/>
  <c r="AB99" i="1"/>
  <c r="AA107" i="1"/>
  <c r="E251" i="1"/>
  <c r="AC528" i="1"/>
  <c r="BA398" i="1"/>
  <c r="AZ398" i="1" s="1"/>
  <c r="AB307" i="1"/>
  <c r="AA312" i="1"/>
  <c r="AA317" i="1" s="1"/>
  <c r="D299" i="1"/>
  <c r="AB315" i="1"/>
  <c r="BA158" i="1"/>
  <c r="AC75" i="1"/>
  <c r="AS54" i="1"/>
  <c r="BE54" i="1" s="1"/>
  <c r="AY307" i="1"/>
  <c r="AZ307" i="1" s="1"/>
  <c r="E433" i="1"/>
  <c r="E524" i="1" s="1"/>
  <c r="AC537" i="1"/>
  <c r="D301" i="1"/>
  <c r="AC533" i="1"/>
  <c r="AC536" i="1"/>
  <c r="AZ119" i="1"/>
  <c r="AC44" i="1"/>
  <c r="AZ114" i="1"/>
  <c r="AC192" i="1"/>
  <c r="BA213" i="1"/>
  <c r="D302" i="1"/>
  <c r="E16" i="1"/>
  <c r="C34" i="1" s="1"/>
  <c r="AB115" i="1"/>
  <c r="BA166" i="1"/>
  <c r="AO511" i="1"/>
  <c r="AO535" i="1"/>
  <c r="AI519" i="1"/>
  <c r="AI511" i="1"/>
  <c r="AI535" i="1"/>
  <c r="AF519" i="1"/>
  <c r="D303" i="1"/>
  <c r="D300" i="1"/>
  <c r="E307" i="1"/>
  <c r="AF234" i="1"/>
  <c r="AI234" i="1"/>
  <c r="AI236" i="1" s="1"/>
  <c r="AO234" i="1"/>
  <c r="AL236" i="1"/>
  <c r="AK234" i="1"/>
  <c r="AK232" i="1"/>
  <c r="AH234" i="1"/>
  <c r="D10" i="1"/>
  <c r="AB414" i="1"/>
  <c r="E111" i="1"/>
  <c r="C115" i="1"/>
  <c r="D99" i="1"/>
  <c r="E75" i="1"/>
  <c r="AB24" i="1"/>
  <c r="AB26" i="1"/>
  <c r="AA30" i="1"/>
  <c r="AB25" i="1"/>
  <c r="D18" i="1"/>
  <c r="AQ12" i="1"/>
  <c r="AR12" i="1" s="1"/>
  <c r="BD12" i="1" s="1"/>
  <c r="N410" i="1"/>
  <c r="N486" i="1" s="1"/>
  <c r="M44" i="1"/>
  <c r="N88" i="1"/>
  <c r="BA417" i="1"/>
  <c r="AS26" i="1"/>
  <c r="AB18" i="1"/>
  <c r="S25" i="1"/>
  <c r="R27" i="1"/>
  <c r="H30" i="1"/>
  <c r="Z88" i="1"/>
  <c r="Z410" i="1"/>
  <c r="Z486" i="1" s="1"/>
  <c r="V34" i="1"/>
  <c r="BA416" i="1"/>
  <c r="V44" i="1"/>
  <c r="AQ98" i="1"/>
  <c r="S100" i="1"/>
  <c r="AB103" i="1"/>
  <c r="AS116" i="1"/>
  <c r="BE116" i="1" s="1"/>
  <c r="E138" i="1"/>
  <c r="AW178" i="1"/>
  <c r="D184" i="1"/>
  <c r="D186" i="1" s="1"/>
  <c r="AB186" i="1"/>
  <c r="H292" i="1"/>
  <c r="AU301" i="1"/>
  <c r="AC213" i="1"/>
  <c r="AR191" i="1"/>
  <c r="AV181" i="1"/>
  <c r="AV194" i="1"/>
  <c r="AV175" i="1"/>
  <c r="AR181" i="1"/>
  <c r="BD181" i="1" s="1"/>
  <c r="AR194" i="1"/>
  <c r="BD194" i="1" s="1"/>
  <c r="AV184" i="1"/>
  <c r="AR175" i="1"/>
  <c r="AV244" i="1"/>
  <c r="AV253" i="1" s="1"/>
  <c r="AV178" i="1"/>
  <c r="AR178" i="1"/>
  <c r="AR184" i="1"/>
  <c r="AR244" i="1"/>
  <c r="AV191" i="1"/>
  <c r="AB10" i="1"/>
  <c r="P16" i="1"/>
  <c r="AC16" i="1"/>
  <c r="AQ18" i="1"/>
  <c r="BC18" i="1" s="1"/>
  <c r="E20" i="1"/>
  <c r="D20" i="1" s="1"/>
  <c r="G40" i="1"/>
  <c r="G38" i="1"/>
  <c r="G36" i="1"/>
  <c r="E35" i="1"/>
  <c r="V36" i="1"/>
  <c r="Y44" i="1"/>
  <c r="AW54" i="1"/>
  <c r="AW64" i="1"/>
  <c r="AS98" i="1"/>
  <c r="BE98" i="1" s="1"/>
  <c r="G100" i="1"/>
  <c r="AQ103" i="1"/>
  <c r="AS105" i="1"/>
  <c r="G107" i="1"/>
  <c r="AW141" i="1"/>
  <c r="AZ183" i="1"/>
  <c r="Z198" i="1"/>
  <c r="AW328" i="1"/>
  <c r="AW383" i="1"/>
  <c r="W418" i="1"/>
  <c r="W540" i="1" s="1"/>
  <c r="W535" i="1" s="1"/>
  <c r="Q418" i="1"/>
  <c r="Q540" i="1" s="1"/>
  <c r="N417" i="1"/>
  <c r="Q416" i="1"/>
  <c r="P416" i="1" s="1"/>
  <c r="T415" i="1"/>
  <c r="N418" i="1"/>
  <c r="N540" i="1" s="1"/>
  <c r="N535" i="1" s="1"/>
  <c r="K412" i="1"/>
  <c r="H434" i="1"/>
  <c r="K418" i="1"/>
  <c r="K540" i="1" s="1"/>
  <c r="Z417" i="1"/>
  <c r="W416" i="1"/>
  <c r="V416" i="1" s="1"/>
  <c r="H418" i="1"/>
  <c r="N414" i="1"/>
  <c r="N413" i="1"/>
  <c r="W417" i="1"/>
  <c r="T416" i="1"/>
  <c r="S416" i="1" s="1"/>
  <c r="N415" i="1"/>
  <c r="N412" i="1"/>
  <c r="K414" i="1"/>
  <c r="K413" i="1"/>
  <c r="T417" i="1"/>
  <c r="H414" i="1"/>
  <c r="AS414" i="1" s="1"/>
  <c r="Z434" i="1"/>
  <c r="Z526" i="1" s="1"/>
  <c r="Q417" i="1"/>
  <c r="W434" i="1"/>
  <c r="W526" i="1" s="1"/>
  <c r="W413" i="1"/>
  <c r="Q434" i="1"/>
  <c r="Q526" i="1" s="1"/>
  <c r="T418" i="1"/>
  <c r="T540" i="1" s="1"/>
  <c r="W415" i="1"/>
  <c r="W414" i="1"/>
  <c r="Q412" i="1"/>
  <c r="N434" i="1"/>
  <c r="N526" i="1" s="1"/>
  <c r="N416" i="1"/>
  <c r="M416" i="1" s="1"/>
  <c r="T414" i="1"/>
  <c r="K434" i="1"/>
  <c r="K526" i="1" s="1"/>
  <c r="K519" i="1" s="1"/>
  <c r="K416" i="1"/>
  <c r="J416" i="1" s="1"/>
  <c r="Q415" i="1"/>
  <c r="Z413" i="1"/>
  <c r="H416" i="1"/>
  <c r="K415" i="1"/>
  <c r="Q414" i="1"/>
  <c r="H415" i="1"/>
  <c r="T413" i="1"/>
  <c r="H412" i="1"/>
  <c r="K417" i="1"/>
  <c r="Q413" i="1"/>
  <c r="H417" i="1"/>
  <c r="Z412" i="1"/>
  <c r="W412" i="1"/>
  <c r="Z418" i="1"/>
  <c r="Z540" i="1" s="1"/>
  <c r="H413" i="1"/>
  <c r="Z416" i="1"/>
  <c r="Y416" i="1" s="1"/>
  <c r="Z415" i="1"/>
  <c r="T412" i="1"/>
  <c r="Z414" i="1"/>
  <c r="T434" i="1"/>
  <c r="T526" i="1" s="1"/>
  <c r="AS18" i="1"/>
  <c r="BE18" i="1" s="1"/>
  <c r="V27" i="1"/>
  <c r="O30" i="1"/>
  <c r="P30" i="1" s="1"/>
  <c r="BC98" i="1"/>
  <c r="AW127" i="1"/>
  <c r="AW223" i="1"/>
  <c r="AW8" i="1"/>
  <c r="AS11" i="1"/>
  <c r="BE11" i="1" s="1"/>
  <c r="AS12" i="1"/>
  <c r="BE12" i="1" s="1"/>
  <c r="S16" i="1"/>
  <c r="AW18" i="1"/>
  <c r="G24" i="1"/>
  <c r="BA27" i="1"/>
  <c r="AY35" i="1" s="1"/>
  <c r="I27" i="1"/>
  <c r="G34" i="1"/>
  <c r="AW35" i="1"/>
  <c r="P38" i="1"/>
  <c r="G39" i="1"/>
  <c r="M40" i="1"/>
  <c r="AS52" i="1"/>
  <c r="BE52" i="1" s="1"/>
  <c r="AW62" i="1"/>
  <c r="AW70" i="1"/>
  <c r="E156" i="1"/>
  <c r="D156" i="1" s="1"/>
  <c r="AS149" i="1"/>
  <c r="BE149" i="1" s="1"/>
  <c r="AC232" i="1"/>
  <c r="AB232" i="1" s="1"/>
  <c r="P317" i="1"/>
  <c r="AQ11" i="1"/>
  <c r="AR11" i="1" s="1"/>
  <c r="AQ10" i="1"/>
  <c r="BC10" i="1" s="1"/>
  <c r="M75" i="1"/>
  <c r="E232" i="1"/>
  <c r="AQ9" i="1"/>
  <c r="AS10" i="1"/>
  <c r="BE10" i="1" s="1"/>
  <c r="AU11" i="1"/>
  <c r="AV11" i="1" s="1"/>
  <c r="AU12" i="1"/>
  <c r="AV12" i="1" s="1"/>
  <c r="AZ20" i="1"/>
  <c r="AS25" i="1"/>
  <c r="BE25" i="1" s="1"/>
  <c r="Q30" i="1"/>
  <c r="AS34" i="1"/>
  <c r="H77" i="1"/>
  <c r="G77" i="1" s="1"/>
  <c r="BA44" i="1"/>
  <c r="AW52" i="1"/>
  <c r="AC434" i="1"/>
  <c r="AC526" i="1" s="1"/>
  <c r="AC86" i="1"/>
  <c r="D115" i="1"/>
  <c r="D121" i="1"/>
  <c r="D107" i="1"/>
  <c r="D117" i="1"/>
  <c r="D118" i="1"/>
  <c r="D100" i="1"/>
  <c r="C111" i="1"/>
  <c r="D111" i="1" s="1"/>
  <c r="D120" i="1"/>
  <c r="D106" i="1"/>
  <c r="AQ97" i="1"/>
  <c r="BC97" i="1" s="1"/>
  <c r="D105" i="1"/>
  <c r="AW149" i="1"/>
  <c r="AS204" i="1"/>
  <c r="BE204" i="1" s="1"/>
  <c r="AS36" i="1"/>
  <c r="V38" i="1"/>
  <c r="M39" i="1"/>
  <c r="AS55" i="1"/>
  <c r="AS60" i="1"/>
  <c r="BE60" i="1" s="1"/>
  <c r="S75" i="1"/>
  <c r="K77" i="1"/>
  <c r="J77" i="1" s="1"/>
  <c r="AW78" i="1"/>
  <c r="AW85" i="1"/>
  <c r="AC100" i="1"/>
  <c r="AC111" i="1" s="1"/>
  <c r="AC168" i="1" s="1"/>
  <c r="AS274" i="1"/>
  <c r="BE274" i="1" s="1"/>
  <c r="T356" i="1"/>
  <c r="S352" i="1"/>
  <c r="P36" i="1"/>
  <c r="P27" i="1"/>
  <c r="P35" i="1"/>
  <c r="P39" i="1"/>
  <c r="BA75" i="1"/>
  <c r="AS9" i="1"/>
  <c r="BE9" i="1" s="1"/>
  <c r="BE16" i="1" s="1"/>
  <c r="AW11" i="1"/>
  <c r="AW12" i="1"/>
  <c r="W410" i="1"/>
  <c r="W486" i="1" s="1"/>
  <c r="W88" i="1"/>
  <c r="P24" i="1"/>
  <c r="P34" i="1"/>
  <c r="M35" i="1"/>
  <c r="BA413" i="1"/>
  <c r="Y38" i="1"/>
  <c r="V40" i="1"/>
  <c r="E57" i="1"/>
  <c r="AS47" i="1"/>
  <c r="BE47" i="1" s="1"/>
  <c r="AW60" i="1"/>
  <c r="AW68" i="1"/>
  <c r="V75" i="1"/>
  <c r="AS97" i="1"/>
  <c r="E125" i="1"/>
  <c r="AS135" i="1"/>
  <c r="BE135" i="1" s="1"/>
  <c r="AS160" i="1"/>
  <c r="BE160" i="1" s="1"/>
  <c r="T236" i="1"/>
  <c r="T198" i="1"/>
  <c r="BA248" i="1"/>
  <c r="BD247" i="1"/>
  <c r="AZ253" i="1"/>
  <c r="BA254" i="1" s="1"/>
  <c r="AQ306" i="1"/>
  <c r="AQ305" i="1"/>
  <c r="AQ303" i="1"/>
  <c r="AQ302" i="1"/>
  <c r="AQ301" i="1"/>
  <c r="AQ300" i="1"/>
  <c r="AQ299" i="1"/>
  <c r="AQ298" i="1"/>
  <c r="AU314" i="1"/>
  <c r="AV314" i="1" s="1"/>
  <c r="AU363" i="1"/>
  <c r="AU315" i="1"/>
  <c r="AV315" i="1" s="1"/>
  <c r="AQ314" i="1"/>
  <c r="AU311" i="1"/>
  <c r="AU310" i="1"/>
  <c r="AU244" i="1"/>
  <c r="AU365" i="1"/>
  <c r="AV365" i="1" s="1"/>
  <c r="AQ315" i="1"/>
  <c r="AU303" i="1"/>
  <c r="AQ244" i="1"/>
  <c r="AQ178" i="1"/>
  <c r="BC178" i="1" s="1"/>
  <c r="AU298" i="1"/>
  <c r="AQ191" i="1"/>
  <c r="BC191" i="1" s="1"/>
  <c r="AU181" i="1"/>
  <c r="AU306" i="1"/>
  <c r="AV306" i="1" s="1"/>
  <c r="AU300" i="1"/>
  <c r="AU194" i="1"/>
  <c r="AU175" i="1"/>
  <c r="AU302" i="1"/>
  <c r="AQ181" i="1"/>
  <c r="BC181" i="1" s="1"/>
  <c r="AQ311" i="1"/>
  <c r="AQ194" i="1"/>
  <c r="BC194" i="1" s="1"/>
  <c r="AU184" i="1"/>
  <c r="AQ310" i="1"/>
  <c r="AU305" i="1"/>
  <c r="AV305" i="1" s="1"/>
  <c r="AU299" i="1"/>
  <c r="AU178" i="1"/>
  <c r="AU20" i="1"/>
  <c r="AU18" i="1"/>
  <c r="AQ175" i="1"/>
  <c r="AQ363" i="1"/>
  <c r="AQ184" i="1"/>
  <c r="BC184" i="1" s="1"/>
  <c r="AU103" i="1"/>
  <c r="AU99" i="1"/>
  <c r="AQ20" i="1"/>
  <c r="G105" i="1"/>
  <c r="F111" i="1"/>
  <c r="G111" i="1" s="1"/>
  <c r="G106" i="1"/>
  <c r="AC413" i="1"/>
  <c r="AU98" i="1"/>
  <c r="AU191" i="1"/>
  <c r="BA232" i="1"/>
  <c r="AZ232" i="1" s="1"/>
  <c r="AW20" i="1"/>
  <c r="AU10" i="1"/>
  <c r="AZ25" i="1"/>
  <c r="AY30" i="1"/>
  <c r="AU9" i="1"/>
  <c r="AW10" i="1"/>
  <c r="BC11" i="1"/>
  <c r="Y26" i="1"/>
  <c r="X30" i="1"/>
  <c r="Y30" i="1" s="1"/>
  <c r="Y24" i="1"/>
  <c r="BA16" i="1"/>
  <c r="AZ16" i="1" s="1"/>
  <c r="S24" i="1"/>
  <c r="J25" i="1"/>
  <c r="AW26" i="1"/>
  <c r="M27" i="1"/>
  <c r="T30" i="1"/>
  <c r="AW34" i="1"/>
  <c r="AS37" i="1"/>
  <c r="BE37" i="1" s="1"/>
  <c r="BD37" i="1" s="1"/>
  <c r="AC417" i="1"/>
  <c r="Y40" i="1"/>
  <c r="AC57" i="1"/>
  <c r="AC77" i="1" s="1"/>
  <c r="AW47" i="1"/>
  <c r="AS58" i="1"/>
  <c r="AU97" i="1"/>
  <c r="AS99" i="1"/>
  <c r="AR99" i="1" s="1"/>
  <c r="AY115" i="1"/>
  <c r="AW135" i="1"/>
  <c r="AW143" i="1"/>
  <c r="AZ415" i="1"/>
  <c r="BA515" i="1"/>
  <c r="P26" i="1"/>
  <c r="BC310" i="1"/>
  <c r="C9" i="1"/>
  <c r="AB9" i="1"/>
  <c r="P37" i="1"/>
  <c r="V26" i="1"/>
  <c r="V16" i="1"/>
  <c r="AZ11" i="1"/>
  <c r="BD11" i="1" s="1"/>
  <c r="M30" i="1"/>
  <c r="Y16" i="1"/>
  <c r="V24" i="1"/>
  <c r="M25" i="1"/>
  <c r="AZ26" i="1"/>
  <c r="F30" i="1"/>
  <c r="G30" i="1" s="1"/>
  <c r="U30" i="1"/>
  <c r="V30" i="1" s="1"/>
  <c r="AC416" i="1"/>
  <c r="AB416" i="1" s="1"/>
  <c r="E38" i="1"/>
  <c r="P44" i="1"/>
  <c r="Q77" i="1"/>
  <c r="P77" i="1" s="1"/>
  <c r="AS45" i="1"/>
  <c r="AW58" i="1"/>
  <c r="Y75" i="1"/>
  <c r="AS79" i="1"/>
  <c r="BE79" i="1" s="1"/>
  <c r="AB106" i="1"/>
  <c r="AA108" i="1"/>
  <c r="AB108" i="1" s="1"/>
  <c r="AB105" i="1"/>
  <c r="Q111" i="1"/>
  <c r="Q168" i="1" s="1"/>
  <c r="P100" i="1"/>
  <c r="AZ213" i="1"/>
  <c r="BA540" i="1"/>
  <c r="AS499" i="1"/>
  <c r="BE499" i="1" s="1"/>
  <c r="AS497" i="1"/>
  <c r="AS495" i="1"/>
  <c r="AS536" i="1" s="1"/>
  <c r="AS464" i="1"/>
  <c r="AS462" i="1"/>
  <c r="BE462" i="1" s="1"/>
  <c r="AS460" i="1"/>
  <c r="BE460" i="1" s="1"/>
  <c r="AS458" i="1"/>
  <c r="BE458" i="1" s="1"/>
  <c r="AS456" i="1"/>
  <c r="AW434" i="1"/>
  <c r="AW483" i="1"/>
  <c r="AW479" i="1"/>
  <c r="AW477" i="1"/>
  <c r="AW475" i="1"/>
  <c r="AW473" i="1"/>
  <c r="AW432" i="1"/>
  <c r="AW427" i="1"/>
  <c r="AS483" i="1"/>
  <c r="BE483" i="1" s="1"/>
  <c r="AS479" i="1"/>
  <c r="BE479" i="1" s="1"/>
  <c r="AS477" i="1"/>
  <c r="BE477" i="1" s="1"/>
  <c r="AS475" i="1"/>
  <c r="BE475" i="1" s="1"/>
  <c r="AS473" i="1"/>
  <c r="BE473" i="1" s="1"/>
  <c r="AW450" i="1"/>
  <c r="AW448" i="1"/>
  <c r="AW446" i="1"/>
  <c r="AW444" i="1"/>
  <c r="AW442" i="1"/>
  <c r="AW440" i="1"/>
  <c r="AW529" i="1" s="1"/>
  <c r="AW438" i="1"/>
  <c r="AS427" i="1"/>
  <c r="BE427" i="1" s="1"/>
  <c r="AS425" i="1"/>
  <c r="AS423" i="1"/>
  <c r="AW416" i="1"/>
  <c r="AS450" i="1"/>
  <c r="BE450" i="1" s="1"/>
  <c r="AS448" i="1"/>
  <c r="BE448" i="1" s="1"/>
  <c r="AS446" i="1"/>
  <c r="BE446" i="1" s="1"/>
  <c r="AS444" i="1"/>
  <c r="BE444" i="1" s="1"/>
  <c r="AS442" i="1"/>
  <c r="AS440" i="1"/>
  <c r="AS438" i="1"/>
  <c r="AS432" i="1"/>
  <c r="AW480" i="1"/>
  <c r="AW478" i="1"/>
  <c r="AS480" i="1"/>
  <c r="BE480" i="1" s="1"/>
  <c r="AS478" i="1"/>
  <c r="BE478" i="1" s="1"/>
  <c r="AS476" i="1"/>
  <c r="BE476" i="1" s="1"/>
  <c r="AS474" i="1"/>
  <c r="AS472" i="1"/>
  <c r="AW451" i="1"/>
  <c r="AW449" i="1"/>
  <c r="AW447" i="1"/>
  <c r="AW499" i="1"/>
  <c r="AS496" i="1"/>
  <c r="AW465" i="1"/>
  <c r="AW459" i="1"/>
  <c r="AS449" i="1"/>
  <c r="BE449" i="1" s="1"/>
  <c r="AS426" i="1"/>
  <c r="AW472" i="1"/>
  <c r="AS465" i="1"/>
  <c r="AW462" i="1"/>
  <c r="AS459" i="1"/>
  <c r="AW456" i="1"/>
  <c r="AW443" i="1"/>
  <c r="AW412" i="1"/>
  <c r="AS443" i="1"/>
  <c r="BE443" i="1" s="1"/>
  <c r="AW415" i="1"/>
  <c r="AW392" i="1"/>
  <c r="AW390" i="1"/>
  <c r="AW388" i="1"/>
  <c r="AW386" i="1"/>
  <c r="AW384" i="1"/>
  <c r="AW382" i="1"/>
  <c r="AW377" i="1"/>
  <c r="AW375" i="1"/>
  <c r="AW370" i="1"/>
  <c r="AW368" i="1"/>
  <c r="AS330" i="1"/>
  <c r="BE330" i="1" s="1"/>
  <c r="AS328" i="1"/>
  <c r="BE328" i="1" s="1"/>
  <c r="AS323" i="1"/>
  <c r="BE323" i="1" s="1"/>
  <c r="AS321" i="1"/>
  <c r="AW498" i="1"/>
  <c r="AW433" i="1"/>
  <c r="AS498" i="1"/>
  <c r="AW495" i="1"/>
  <c r="AW536" i="1" s="1"/>
  <c r="AW474" i="1"/>
  <c r="AW461" i="1"/>
  <c r="AS451" i="1"/>
  <c r="BE451" i="1" s="1"/>
  <c r="AW445" i="1"/>
  <c r="AW437" i="1"/>
  <c r="AW423" i="1"/>
  <c r="AW464" i="1"/>
  <c r="AS461" i="1"/>
  <c r="BE461" i="1" s="1"/>
  <c r="AW458" i="1"/>
  <c r="AS445" i="1"/>
  <c r="AS437" i="1"/>
  <c r="AS433" i="1"/>
  <c r="BE433" i="1" s="1"/>
  <c r="AW431" i="1"/>
  <c r="AW425" i="1"/>
  <c r="AW418" i="1"/>
  <c r="AS416" i="1"/>
  <c r="AW494" i="1"/>
  <c r="AW533" i="1" s="1"/>
  <c r="AW476" i="1"/>
  <c r="AW439" i="1"/>
  <c r="AW517" i="1" s="1"/>
  <c r="AS431" i="1"/>
  <c r="AW331" i="1"/>
  <c r="AW329" i="1"/>
  <c r="AW324" i="1"/>
  <c r="AW322" i="1"/>
  <c r="AW387" i="1"/>
  <c r="AS385" i="1"/>
  <c r="BE385" i="1" s="1"/>
  <c r="AS370" i="1"/>
  <c r="BE370" i="1" s="1"/>
  <c r="AS345" i="1"/>
  <c r="AW340" i="1"/>
  <c r="AS494" i="1"/>
  <c r="AS533" i="1" s="1"/>
  <c r="AW417" i="1"/>
  <c r="AW389" i="1"/>
  <c r="AS387" i="1"/>
  <c r="BE387" i="1" s="1"/>
  <c r="AS375" i="1"/>
  <c r="BE375" i="1" s="1"/>
  <c r="AW347" i="1"/>
  <c r="AS340" i="1"/>
  <c r="AW335" i="1"/>
  <c r="AW330" i="1"/>
  <c r="AW314" i="1"/>
  <c r="AW463" i="1"/>
  <c r="AW391" i="1"/>
  <c r="AS389" i="1"/>
  <c r="BE389" i="1" s="1"/>
  <c r="AS377" i="1"/>
  <c r="BE377" i="1" s="1"/>
  <c r="AS347" i="1"/>
  <c r="BE347" i="1" s="1"/>
  <c r="AW342" i="1"/>
  <c r="AS335" i="1"/>
  <c r="BE335" i="1" s="1"/>
  <c r="AS322" i="1"/>
  <c r="BE322" i="1" s="1"/>
  <c r="AS463" i="1"/>
  <c r="AW441" i="1"/>
  <c r="AW426" i="1"/>
  <c r="AW393" i="1"/>
  <c r="AS391" i="1"/>
  <c r="BE391" i="1" s="1"/>
  <c r="AS342" i="1"/>
  <c r="BE342" i="1" s="1"/>
  <c r="AW337" i="1"/>
  <c r="AW284" i="1"/>
  <c r="AW282" i="1"/>
  <c r="AW280" i="1"/>
  <c r="AW278" i="1"/>
  <c r="AS441" i="1"/>
  <c r="AW409" i="1"/>
  <c r="AS393" i="1"/>
  <c r="BE393" i="1" s="1"/>
  <c r="AS382" i="1"/>
  <c r="AW344" i="1"/>
  <c r="AS337" i="1"/>
  <c r="BE337" i="1" s="1"/>
  <c r="AS324" i="1"/>
  <c r="BE324" i="1" s="1"/>
  <c r="AW315" i="1"/>
  <c r="AS314" i="1"/>
  <c r="BE314" i="1" s="1"/>
  <c r="AS284" i="1"/>
  <c r="BE284" i="1" s="1"/>
  <c r="AW497" i="1"/>
  <c r="AW541" i="1" s="1"/>
  <c r="AS384" i="1"/>
  <c r="AW369" i="1"/>
  <c r="AW363" i="1"/>
  <c r="AS344" i="1"/>
  <c r="BE344" i="1" s="1"/>
  <c r="AW339" i="1"/>
  <c r="AW311" i="1"/>
  <c r="AW310" i="1"/>
  <c r="AW266" i="1"/>
  <c r="AW264" i="1"/>
  <c r="AW259" i="1"/>
  <c r="AW257" i="1"/>
  <c r="AW457" i="1"/>
  <c r="AS386" i="1"/>
  <c r="BE386" i="1" s="1"/>
  <c r="AW371" i="1"/>
  <c r="AS369" i="1"/>
  <c r="BE369" i="1" s="1"/>
  <c r="AW346" i="1"/>
  <c r="AS339" i="1"/>
  <c r="BE339" i="1" s="1"/>
  <c r="AW334" i="1"/>
  <c r="AS329" i="1"/>
  <c r="BE329" i="1" s="1"/>
  <c r="AS457" i="1"/>
  <c r="BE457" i="1" s="1"/>
  <c r="AS388" i="1"/>
  <c r="BE388" i="1" s="1"/>
  <c r="AW376" i="1"/>
  <c r="AS371" i="1"/>
  <c r="BE371" i="1" s="1"/>
  <c r="AS363" i="1"/>
  <c r="AS346" i="1"/>
  <c r="AW341" i="1"/>
  <c r="AS334" i="1"/>
  <c r="AW321" i="1"/>
  <c r="AS315" i="1"/>
  <c r="BE315" i="1" s="1"/>
  <c r="AS227" i="1"/>
  <c r="BE227" i="1" s="1"/>
  <c r="AS225" i="1"/>
  <c r="BE225" i="1" s="1"/>
  <c r="AS223" i="1"/>
  <c r="BE223" i="1" s="1"/>
  <c r="AW496" i="1"/>
  <c r="AW537" i="1" s="1"/>
  <c r="AS447" i="1"/>
  <c r="BE447" i="1" s="1"/>
  <c r="AS390" i="1"/>
  <c r="BE390" i="1" s="1"/>
  <c r="AW378" i="1"/>
  <c r="AS376" i="1"/>
  <c r="BE376" i="1" s="1"/>
  <c r="AW348" i="1"/>
  <c r="AS341" i="1"/>
  <c r="BE341" i="1" s="1"/>
  <c r="AW336" i="1"/>
  <c r="AS331" i="1"/>
  <c r="BE331" i="1" s="1"/>
  <c r="AS311" i="1"/>
  <c r="BE311" i="1" s="1"/>
  <c r="AS310" i="1"/>
  <c r="BE310" i="1" s="1"/>
  <c r="AW306" i="1"/>
  <c r="AW305" i="1"/>
  <c r="AW413" i="1"/>
  <c r="AS343" i="1"/>
  <c r="AS276" i="1"/>
  <c r="BE276" i="1" s="1"/>
  <c r="AW271" i="1"/>
  <c r="AW258" i="1"/>
  <c r="AW222" i="1"/>
  <c r="AW220" i="1"/>
  <c r="AW218" i="1"/>
  <c r="AW216" i="1"/>
  <c r="AW214" i="1"/>
  <c r="AS191" i="1"/>
  <c r="AW181" i="1"/>
  <c r="AW182" i="1" s="1"/>
  <c r="AW159" i="1"/>
  <c r="AW121" i="1"/>
  <c r="AW116" i="1"/>
  <c r="AW115" i="1"/>
  <c r="AW338" i="1"/>
  <c r="AS303" i="1"/>
  <c r="BE303" i="1" s="1"/>
  <c r="AW300" i="1"/>
  <c r="AW281" i="1"/>
  <c r="AS271" i="1"/>
  <c r="BE271" i="1" s="1"/>
  <c r="AS258" i="1"/>
  <c r="BE258" i="1" s="1"/>
  <c r="AW224" i="1"/>
  <c r="AS222" i="1"/>
  <c r="BE222" i="1" s="1"/>
  <c r="AS220" i="1"/>
  <c r="BE220" i="1" s="1"/>
  <c r="AS218" i="1"/>
  <c r="BE218" i="1" s="1"/>
  <c r="AS216" i="1"/>
  <c r="BE216" i="1" s="1"/>
  <c r="AS214" i="1"/>
  <c r="AW210" i="1"/>
  <c r="AW208" i="1"/>
  <c r="AW203" i="1"/>
  <c r="AW201" i="1"/>
  <c r="AW194" i="1"/>
  <c r="AW161" i="1"/>
  <c r="AS159" i="1"/>
  <c r="AW136" i="1"/>
  <c r="AW134" i="1"/>
  <c r="AW424" i="1"/>
  <c r="AW521" i="1" s="1"/>
  <c r="AS338" i="1"/>
  <c r="AW323" i="1"/>
  <c r="AS298" i="1"/>
  <c r="AS281" i="1"/>
  <c r="BE281" i="1" s="1"/>
  <c r="AS278" i="1"/>
  <c r="BE278" i="1" s="1"/>
  <c r="AW273" i="1"/>
  <c r="AW260" i="1"/>
  <c r="AW226" i="1"/>
  <c r="AS224" i="1"/>
  <c r="BE224" i="1" s="1"/>
  <c r="AS210" i="1"/>
  <c r="BE210" i="1" s="1"/>
  <c r="AS208" i="1"/>
  <c r="BE208" i="1" s="1"/>
  <c r="AS203" i="1"/>
  <c r="BE203" i="1" s="1"/>
  <c r="AS201" i="1"/>
  <c r="AW175" i="1"/>
  <c r="AS161" i="1"/>
  <c r="BE161" i="1" s="1"/>
  <c r="AS136" i="1"/>
  <c r="BE136" i="1" s="1"/>
  <c r="AS134" i="1"/>
  <c r="BE134" i="1" s="1"/>
  <c r="AS129" i="1"/>
  <c r="BE129" i="1" s="1"/>
  <c r="AS127" i="1"/>
  <c r="BE127" i="1" s="1"/>
  <c r="AS121" i="1"/>
  <c r="BE121" i="1" s="1"/>
  <c r="AW119" i="1"/>
  <c r="AW105" i="1"/>
  <c r="AS103" i="1"/>
  <c r="BE103" i="1" s="1"/>
  <c r="AS85" i="1"/>
  <c r="BE85" i="1" s="1"/>
  <c r="AS80" i="1"/>
  <c r="BE80" i="1" s="1"/>
  <c r="AS78" i="1"/>
  <c r="AW55" i="1"/>
  <c r="AW53" i="1"/>
  <c r="AW48" i="1"/>
  <c r="AW46" i="1"/>
  <c r="AS424" i="1"/>
  <c r="AS521" i="1" s="1"/>
  <c r="AS392" i="1"/>
  <c r="AW385" i="1"/>
  <c r="AW381" i="1"/>
  <c r="AW302" i="1"/>
  <c r="AS273" i="1"/>
  <c r="AS260" i="1"/>
  <c r="BE260" i="1" s="1"/>
  <c r="AW228" i="1"/>
  <c r="AS226" i="1"/>
  <c r="BE226" i="1" s="1"/>
  <c r="AW187" i="1"/>
  <c r="AS181" i="1"/>
  <c r="AS381" i="1"/>
  <c r="AS306" i="1"/>
  <c r="BE306" i="1" s="1"/>
  <c r="AS300" i="1"/>
  <c r="BE300" i="1" s="1"/>
  <c r="AW275" i="1"/>
  <c r="AW265" i="1"/>
  <c r="AS228" i="1"/>
  <c r="BE228" i="1" s="1"/>
  <c r="AS194" i="1"/>
  <c r="AS195" i="1" s="1"/>
  <c r="AS187" i="1"/>
  <c r="BE187" i="1" s="1"/>
  <c r="AW184" i="1"/>
  <c r="AW185" i="1" s="1"/>
  <c r="AW152" i="1"/>
  <c r="AW150" i="1"/>
  <c r="AW148" i="1"/>
  <c r="AW146" i="1"/>
  <c r="AW144" i="1"/>
  <c r="AW142" i="1"/>
  <c r="AW283" i="1"/>
  <c r="AS280" i="1"/>
  <c r="BE280" i="1" s="1"/>
  <c r="AS275" i="1"/>
  <c r="BE275" i="1" s="1"/>
  <c r="AW270" i="1"/>
  <c r="AS265" i="1"/>
  <c r="AS257" i="1"/>
  <c r="AS175" i="1"/>
  <c r="AS152" i="1"/>
  <c r="BE152" i="1" s="1"/>
  <c r="AS150" i="1"/>
  <c r="AS148" i="1"/>
  <c r="AS146" i="1"/>
  <c r="BE146" i="1" s="1"/>
  <c r="AS144" i="1"/>
  <c r="AS142" i="1"/>
  <c r="BE142" i="1" s="1"/>
  <c r="AS140" i="1"/>
  <c r="BE140" i="1" s="1"/>
  <c r="AW345" i="1"/>
  <c r="AS302" i="1"/>
  <c r="BE302" i="1" s="1"/>
  <c r="AW299" i="1"/>
  <c r="AS283" i="1"/>
  <c r="AW277" i="1"/>
  <c r="AS270" i="1"/>
  <c r="AW267" i="1"/>
  <c r="AW221" i="1"/>
  <c r="AW219" i="1"/>
  <c r="AW217" i="1"/>
  <c r="AW215" i="1"/>
  <c r="AW160" i="1"/>
  <c r="AS117" i="1"/>
  <c r="BE117" i="1" s="1"/>
  <c r="AS439" i="1"/>
  <c r="AS394" i="1"/>
  <c r="BE394" i="1" s="1"/>
  <c r="AS383" i="1"/>
  <c r="BE383" i="1" s="1"/>
  <c r="AS378" i="1"/>
  <c r="BE378" i="1" s="1"/>
  <c r="AS368" i="1"/>
  <c r="BE368" i="1" s="1"/>
  <c r="AS299" i="1"/>
  <c r="BE299" i="1" s="1"/>
  <c r="AS282" i="1"/>
  <c r="BE282" i="1" s="1"/>
  <c r="AW279" i="1"/>
  <c r="AW274" i="1"/>
  <c r="AS264" i="1"/>
  <c r="BE264" i="1" s="1"/>
  <c r="AW227" i="1"/>
  <c r="AS336" i="1"/>
  <c r="BE336" i="1" s="1"/>
  <c r="AS151" i="1"/>
  <c r="BE151" i="1" s="1"/>
  <c r="AS143" i="1"/>
  <c r="BE143" i="1" s="1"/>
  <c r="AW129" i="1"/>
  <c r="AW118" i="1"/>
  <c r="AW71" i="1"/>
  <c r="AW69" i="1"/>
  <c r="AW67" i="1"/>
  <c r="AW65" i="1"/>
  <c r="AW63" i="1"/>
  <c r="AW61" i="1"/>
  <c r="AW59" i="1"/>
  <c r="AW40" i="1"/>
  <c r="AS305" i="1"/>
  <c r="BE305" i="1" s="1"/>
  <c r="AS277" i="1"/>
  <c r="AW140" i="1"/>
  <c r="AS71" i="1"/>
  <c r="BE71" i="1" s="1"/>
  <c r="AS69" i="1"/>
  <c r="BE69" i="1" s="1"/>
  <c r="AS67" i="1"/>
  <c r="BE67" i="1" s="1"/>
  <c r="AS65" i="1"/>
  <c r="BE65" i="1" s="1"/>
  <c r="AS63" i="1"/>
  <c r="BE63" i="1" s="1"/>
  <c r="AS61" i="1"/>
  <c r="BE61" i="1" s="1"/>
  <c r="AS59" i="1"/>
  <c r="BE59" i="1" s="1"/>
  <c r="AS46" i="1"/>
  <c r="BE46" i="1" s="1"/>
  <c r="AW38" i="1"/>
  <c r="AW25" i="1"/>
  <c r="AW22" i="1"/>
  <c r="AW209" i="1"/>
  <c r="AS178" i="1"/>
  <c r="AW165" i="1"/>
  <c r="AW145" i="1"/>
  <c r="AW126" i="1"/>
  <c r="AS118" i="1"/>
  <c r="BE118" i="1" s="1"/>
  <c r="AS48" i="1"/>
  <c r="BE48" i="1" s="1"/>
  <c r="AS40" i="1"/>
  <c r="AS35" i="1"/>
  <c r="AS22" i="1"/>
  <c r="BE22" i="1" s="1"/>
  <c r="AS20" i="1"/>
  <c r="BE20" i="1" s="1"/>
  <c r="AW303" i="1"/>
  <c r="AW298" i="1"/>
  <c r="AW225" i="1"/>
  <c r="AS219" i="1"/>
  <c r="BE219" i="1" s="1"/>
  <c r="AS209" i="1"/>
  <c r="AS165" i="1"/>
  <c r="AS145" i="1"/>
  <c r="BE145" i="1" s="1"/>
  <c r="AS126" i="1"/>
  <c r="AW117" i="1"/>
  <c r="AS115" i="1"/>
  <c r="AW107" i="1"/>
  <c r="AW96" i="1"/>
  <c r="AW79" i="1"/>
  <c r="AS53" i="1"/>
  <c r="BE53" i="1" s="1"/>
  <c r="AS38" i="1"/>
  <c r="AW36" i="1"/>
  <c r="AW394" i="1"/>
  <c r="AW276" i="1"/>
  <c r="AS184" i="1"/>
  <c r="AW128" i="1"/>
  <c r="AW120" i="1"/>
  <c r="AS96" i="1"/>
  <c r="BE96" i="1" s="1"/>
  <c r="AW81" i="1"/>
  <c r="AW244" i="1"/>
  <c r="AW147" i="1"/>
  <c r="AS128" i="1"/>
  <c r="BE128" i="1" s="1"/>
  <c r="AS107" i="1"/>
  <c r="BE107" i="1" s="1"/>
  <c r="AW106" i="1"/>
  <c r="AW103" i="1"/>
  <c r="AW99" i="1"/>
  <c r="AS81" i="1"/>
  <c r="BE81" i="1" s="1"/>
  <c r="AS348" i="1"/>
  <c r="AW272" i="1"/>
  <c r="AS244" i="1"/>
  <c r="AW211" i="1"/>
  <c r="AW202" i="1"/>
  <c r="AW191" i="1"/>
  <c r="AW192" i="1" s="1"/>
  <c r="AS147" i="1"/>
  <c r="BE147" i="1" s="1"/>
  <c r="AW139" i="1"/>
  <c r="AW133" i="1"/>
  <c r="AS120" i="1"/>
  <c r="BE120" i="1" s="1"/>
  <c r="AW98" i="1"/>
  <c r="AW97" i="1"/>
  <c r="AW343" i="1"/>
  <c r="AW301" i="1"/>
  <c r="AS279" i="1"/>
  <c r="BE279" i="1" s="1"/>
  <c r="AS272" i="1"/>
  <c r="BE272" i="1" s="1"/>
  <c r="AS267" i="1"/>
  <c r="BE267" i="1" s="1"/>
  <c r="AS221" i="1"/>
  <c r="BE221" i="1" s="1"/>
  <c r="AS215" i="1"/>
  <c r="BE215" i="1" s="1"/>
  <c r="AS211" i="1"/>
  <c r="BE211" i="1" s="1"/>
  <c r="AS202" i="1"/>
  <c r="BE202" i="1" s="1"/>
  <c r="AS139" i="1"/>
  <c r="AS133" i="1"/>
  <c r="BE133" i="1" s="1"/>
  <c r="AS106" i="1"/>
  <c r="BE106" i="1" s="1"/>
  <c r="AS70" i="1"/>
  <c r="BE70" i="1" s="1"/>
  <c r="AS68" i="1"/>
  <c r="BE68" i="1" s="1"/>
  <c r="AS66" i="1"/>
  <c r="BE66" i="1" s="1"/>
  <c r="AS64" i="1"/>
  <c r="BE64" i="1" s="1"/>
  <c r="AS62" i="1"/>
  <c r="BE62" i="1" s="1"/>
  <c r="AW460" i="1"/>
  <c r="AS266" i="1"/>
  <c r="BE266" i="1" s="1"/>
  <c r="AS259" i="1"/>
  <c r="BE259" i="1" s="1"/>
  <c r="AW204" i="1"/>
  <c r="AW24" i="1"/>
  <c r="AW27" i="1" s="1"/>
  <c r="V39" i="1"/>
  <c r="V37" i="1"/>
  <c r="AS8" i="1"/>
  <c r="BE8" i="1" s="1"/>
  <c r="R30" i="1"/>
  <c r="S30" i="1" s="1"/>
  <c r="AW9" i="1"/>
  <c r="BC12" i="1"/>
  <c r="M16" i="1"/>
  <c r="AA27" i="1"/>
  <c r="AB35" i="1" s="1"/>
  <c r="P25" i="1"/>
  <c r="BE26" i="1"/>
  <c r="AZ34" i="1"/>
  <c r="AW37" i="1"/>
  <c r="AS39" i="1"/>
  <c r="BE39" i="1" s="1"/>
  <c r="E40" i="1"/>
  <c r="AC418" i="1"/>
  <c r="AC540" i="1" s="1"/>
  <c r="S44" i="1"/>
  <c r="T77" i="1"/>
  <c r="S77" i="1" s="1"/>
  <c r="AW45" i="1"/>
  <c r="AW66" i="1"/>
  <c r="BE99" i="1"/>
  <c r="S107" i="1"/>
  <c r="R111" i="1"/>
  <c r="S111" i="1" s="1"/>
  <c r="S105" i="1"/>
  <c r="D119" i="1"/>
  <c r="AB183" i="1"/>
  <c r="D181" i="1"/>
  <c r="D183" i="1" s="1"/>
  <c r="W236" i="1"/>
  <c r="W198" i="1"/>
  <c r="BE194" i="1"/>
  <c r="AS217" i="1"/>
  <c r="BE217" i="1" s="1"/>
  <c r="AS301" i="1"/>
  <c r="BE301" i="1" s="1"/>
  <c r="AW414" i="1"/>
  <c r="Q292" i="1"/>
  <c r="Q254" i="1"/>
  <c r="BA288" i="1"/>
  <c r="AZ288" i="1" s="1"/>
  <c r="C116" i="1"/>
  <c r="E175" i="1"/>
  <c r="BA182" i="1"/>
  <c r="BE181" i="1"/>
  <c r="E184" i="1"/>
  <c r="E185" i="1" s="1"/>
  <c r="AC185" i="1"/>
  <c r="AB188" i="1"/>
  <c r="Z234" i="1"/>
  <c r="Y234" i="1" s="1"/>
  <c r="AC251" i="1"/>
  <c r="F312" i="1"/>
  <c r="G307" i="1"/>
  <c r="Z402" i="1"/>
  <c r="Y400" i="1"/>
  <c r="V100" i="1"/>
  <c r="BE144" i="1"/>
  <c r="AA188" i="1"/>
  <c r="C175" i="1"/>
  <c r="AC188" i="1"/>
  <c r="E269" i="1"/>
  <c r="G352" i="1"/>
  <c r="H356" i="1"/>
  <c r="W356" i="1"/>
  <c r="V354" i="1"/>
  <c r="BE343" i="1"/>
  <c r="E380" i="1"/>
  <c r="BE426" i="1"/>
  <c r="AY100" i="1"/>
  <c r="P111" i="1"/>
  <c r="Q189" i="1"/>
  <c r="N198" i="1"/>
  <c r="N236" i="1"/>
  <c r="BA251" i="1"/>
  <c r="BD250" i="1"/>
  <c r="I317" i="1"/>
  <c r="J312" i="1"/>
  <c r="Y312" i="1"/>
  <c r="X317" i="1"/>
  <c r="AZ97" i="1"/>
  <c r="AZ98" i="1"/>
  <c r="AZ99" i="1"/>
  <c r="AZ117" i="1"/>
  <c r="AZ120" i="1"/>
  <c r="BA192" i="1"/>
  <c r="BD191" i="1"/>
  <c r="P197" i="1"/>
  <c r="Q409" i="1" s="1"/>
  <c r="BC244" i="1"/>
  <c r="BA412" i="1"/>
  <c r="AZ432" i="1" s="1"/>
  <c r="BA434" i="1"/>
  <c r="AZ103" i="1"/>
  <c r="AZ121" i="1"/>
  <c r="BE150" i="1"/>
  <c r="E195" i="1"/>
  <c r="Q197" i="1"/>
  <c r="E288" i="1"/>
  <c r="D288" i="1" s="1"/>
  <c r="K30" i="1"/>
  <c r="BE55" i="1"/>
  <c r="AY107" i="1"/>
  <c r="U111" i="1"/>
  <c r="V111" i="1" s="1"/>
  <c r="BA111" i="1"/>
  <c r="E166" i="1"/>
  <c r="AY188" i="1"/>
  <c r="H197" i="1"/>
  <c r="H189" i="1"/>
  <c r="M213" i="1"/>
  <c r="AB253" i="1"/>
  <c r="D247" i="1"/>
  <c r="D253" i="1" s="1"/>
  <c r="BA269" i="1"/>
  <c r="AC288" i="1"/>
  <c r="AB288" i="1" s="1"/>
  <c r="BE345" i="1"/>
  <c r="BE34" i="1"/>
  <c r="BA414" i="1"/>
  <c r="BE97" i="1"/>
  <c r="AB98" i="1"/>
  <c r="AB120" i="1"/>
  <c r="AB118" i="1"/>
  <c r="AB121" i="1"/>
  <c r="BE165" i="1"/>
  <c r="AZ188" i="1"/>
  <c r="BE209" i="1"/>
  <c r="BE265" i="1"/>
  <c r="AB310" i="1"/>
  <c r="AC312" i="1"/>
  <c r="BE340" i="1"/>
  <c r="AC412" i="1"/>
  <c r="AB431" i="1" s="1"/>
  <c r="AC415" i="1"/>
  <c r="AS415" i="1" s="1"/>
  <c r="V107" i="1"/>
  <c r="AZ115" i="1"/>
  <c r="BE148" i="1"/>
  <c r="BA188" i="1"/>
  <c r="AB177" i="1"/>
  <c r="E213" i="1"/>
  <c r="AB311" i="1"/>
  <c r="E311" i="1"/>
  <c r="D311" i="1" s="1"/>
  <c r="AC248" i="1"/>
  <c r="N254" i="1"/>
  <c r="N292" i="1"/>
  <c r="V312" i="1"/>
  <c r="U317" i="1"/>
  <c r="AF511" i="1"/>
  <c r="C178" i="1"/>
  <c r="D180" i="1" s="1"/>
  <c r="Z189" i="1"/>
  <c r="E191" i="1"/>
  <c r="E192" i="1" s="1"/>
  <c r="AC269" i="1"/>
  <c r="G354" i="1"/>
  <c r="S354" i="1"/>
  <c r="J189" i="1"/>
  <c r="BE277" i="1"/>
  <c r="L317" i="1"/>
  <c r="M312" i="1"/>
  <c r="W402" i="1"/>
  <c r="E381" i="1"/>
  <c r="E398" i="1" s="1"/>
  <c r="D398" i="1" s="1"/>
  <c r="AC398" i="1"/>
  <c r="AB398" i="1" s="1"/>
  <c r="BE384" i="1"/>
  <c r="E178" i="1"/>
  <c r="E179" i="1" s="1"/>
  <c r="V213" i="1"/>
  <c r="K236" i="1"/>
  <c r="BE283" i="1"/>
  <c r="W290" i="1"/>
  <c r="V290" i="1" s="1"/>
  <c r="M354" i="1"/>
  <c r="W254" i="1"/>
  <c r="E352" i="1"/>
  <c r="E354" i="1" s="1"/>
  <c r="P352" i="1"/>
  <c r="G213" i="1"/>
  <c r="Y213" i="1"/>
  <c r="Z290" i="1"/>
  <c r="P354" i="1"/>
  <c r="BE392" i="1"/>
  <c r="S398" i="1"/>
  <c r="T400" i="1"/>
  <c r="BE474" i="1"/>
  <c r="AC245" i="1"/>
  <c r="E244" i="1"/>
  <c r="T254" i="1"/>
  <c r="BE273" i="1"/>
  <c r="K356" i="1"/>
  <c r="W400" i="1"/>
  <c r="V400" i="1" s="1"/>
  <c r="V398" i="1"/>
  <c r="BA521" i="1"/>
  <c r="R317" i="1"/>
  <c r="S312" i="1"/>
  <c r="BE338" i="1"/>
  <c r="E457" i="1"/>
  <c r="E531" i="1" s="1"/>
  <c r="AC469" i="1"/>
  <c r="AC531" i="1"/>
  <c r="Q519" i="1"/>
  <c r="J307" i="1"/>
  <c r="V307" i="1"/>
  <c r="BE348" i="1"/>
  <c r="Z354" i="1"/>
  <c r="Y354" i="1" s="1"/>
  <c r="H402" i="1"/>
  <c r="E522" i="1"/>
  <c r="E484" i="1"/>
  <c r="T519" i="1"/>
  <c r="E527" i="1"/>
  <c r="W519" i="1"/>
  <c r="Q535" i="1"/>
  <c r="AC253" i="1"/>
  <c r="BA352" i="1"/>
  <c r="AZ352" i="1" s="1"/>
  <c r="BE346" i="1"/>
  <c r="AY365" i="1"/>
  <c r="AZ365" i="1" s="1"/>
  <c r="J398" i="1"/>
  <c r="BE437" i="1"/>
  <c r="Z519" i="1"/>
  <c r="AB298" i="1"/>
  <c r="AB299" i="1"/>
  <c r="AB300" i="1"/>
  <c r="AB301" i="1"/>
  <c r="AB302" i="1"/>
  <c r="AB303" i="1"/>
  <c r="AB305" i="1"/>
  <c r="AB306" i="1"/>
  <c r="AZ310" i="1"/>
  <c r="AZ311" i="1"/>
  <c r="AZ363" i="1"/>
  <c r="C298" i="1"/>
  <c r="J352" i="1"/>
  <c r="AC352" i="1"/>
  <c r="BE382" i="1"/>
  <c r="BE438" i="1"/>
  <c r="BE445" i="1"/>
  <c r="BC363" i="1"/>
  <c r="BE441" i="1"/>
  <c r="BE459" i="1"/>
  <c r="M352" i="1"/>
  <c r="AA365" i="1"/>
  <c r="AB365" i="1" s="1"/>
  <c r="C363" i="1"/>
  <c r="E442" i="1"/>
  <c r="E530" i="1" s="1"/>
  <c r="BA531" i="1"/>
  <c r="BE463" i="1"/>
  <c r="AI542" i="1"/>
  <c r="AI543" i="1" s="1"/>
  <c r="K535" i="1"/>
  <c r="AC522" i="1"/>
  <c r="BA522" i="1"/>
  <c r="BA525" i="1"/>
  <c r="AC525" i="1"/>
  <c r="T535" i="1"/>
  <c r="BA535" i="1"/>
  <c r="BE432" i="1"/>
  <c r="AC484" i="1"/>
  <c r="BE495" i="1"/>
  <c r="BE536" i="1" s="1"/>
  <c r="BE498" i="1"/>
  <c r="AO542" i="1"/>
  <c r="AO543" i="1" s="1"/>
  <c r="Z535" i="1"/>
  <c r="E424" i="1"/>
  <c r="E521" i="1" s="1"/>
  <c r="BA524" i="1"/>
  <c r="E537" i="1"/>
  <c r="AC527" i="1"/>
  <c r="BA469" i="1"/>
  <c r="BA528" i="1"/>
  <c r="BA484" i="1"/>
  <c r="N519" i="1"/>
  <c r="E525" i="1"/>
  <c r="AF535" i="1"/>
  <c r="E497" i="1"/>
  <c r="E541" i="1" s="1"/>
  <c r="AC30" i="1" l="1"/>
  <c r="AB77" i="1"/>
  <c r="AA34" i="1"/>
  <c r="AZ39" i="1"/>
  <c r="AB432" i="1"/>
  <c r="AB100" i="1"/>
  <c r="AZ40" i="1"/>
  <c r="BA400" i="1"/>
  <c r="E469" i="1"/>
  <c r="AZ38" i="1"/>
  <c r="AZ37" i="1"/>
  <c r="AZ35" i="1"/>
  <c r="AS182" i="1"/>
  <c r="AW470" i="1"/>
  <c r="E30" i="1"/>
  <c r="E182" i="1"/>
  <c r="AY312" i="1"/>
  <c r="D138" i="1"/>
  <c r="AV98" i="1"/>
  <c r="BC100" i="1"/>
  <c r="BD119" i="1" s="1"/>
  <c r="AC535" i="1"/>
  <c r="AS537" i="1"/>
  <c r="AR103" i="1"/>
  <c r="BD103" i="1"/>
  <c r="AW86" i="1"/>
  <c r="AW100" i="1"/>
  <c r="C108" i="1"/>
  <c r="D108" i="1" s="1"/>
  <c r="D116" i="1"/>
  <c r="BA168" i="1"/>
  <c r="AB34" i="1"/>
  <c r="BE494" i="1"/>
  <c r="BE533" i="1" s="1"/>
  <c r="AZ433" i="1"/>
  <c r="AS27" i="1"/>
  <c r="AQ35" i="1" s="1"/>
  <c r="AB30" i="1"/>
  <c r="AC519" i="1"/>
  <c r="AC400" i="1"/>
  <c r="AB400" i="1" s="1"/>
  <c r="AZ431" i="1"/>
  <c r="BA234" i="1"/>
  <c r="AZ234" i="1" s="1"/>
  <c r="AB16" i="1"/>
  <c r="BE27" i="1"/>
  <c r="AW156" i="1"/>
  <c r="AS86" i="1"/>
  <c r="AV103" i="1"/>
  <c r="AR311" i="1"/>
  <c r="AB107" i="1"/>
  <c r="AA111" i="1"/>
  <c r="AB111" i="1" s="1"/>
  <c r="AS333" i="1"/>
  <c r="AV302" i="1"/>
  <c r="AS352" i="1"/>
  <c r="AV303" i="1"/>
  <c r="AW307" i="1"/>
  <c r="AW312" i="1" s="1"/>
  <c r="AF236" i="1"/>
  <c r="AE234" i="1"/>
  <c r="AO236" i="1"/>
  <c r="AN234" i="1"/>
  <c r="BD118" i="1"/>
  <c r="BD121" i="1"/>
  <c r="BD117" i="1"/>
  <c r="BD120" i="1"/>
  <c r="BD100" i="1"/>
  <c r="AS515" i="1"/>
  <c r="BE415" i="1"/>
  <c r="AS514" i="1"/>
  <c r="AW515" i="1"/>
  <c r="AW188" i="1"/>
  <c r="AW176" i="1"/>
  <c r="BE525" i="1"/>
  <c r="BE100" i="1"/>
  <c r="BE496" i="1"/>
  <c r="BE537" i="1" s="1"/>
  <c r="Z292" i="1"/>
  <c r="Y290" i="1"/>
  <c r="BC311" i="1"/>
  <c r="E312" i="1"/>
  <c r="E317" i="1" s="1"/>
  <c r="H198" i="1"/>
  <c r="H236" i="1"/>
  <c r="BE524" i="1"/>
  <c r="AF542" i="1"/>
  <c r="AF543" i="1" s="1"/>
  <c r="AW514" i="1"/>
  <c r="BE270" i="1"/>
  <c r="BE288" i="1" s="1"/>
  <c r="AS288" i="1"/>
  <c r="AR288" i="1" s="1"/>
  <c r="AW333" i="1"/>
  <c r="AW455" i="1"/>
  <c r="AS520" i="1"/>
  <c r="BE423" i="1"/>
  <c r="AS469" i="1"/>
  <c r="AS528" i="1"/>
  <c r="BE456" i="1"/>
  <c r="AW75" i="1"/>
  <c r="AV99" i="1"/>
  <c r="AR299" i="1"/>
  <c r="BC299" i="1"/>
  <c r="AZ27" i="1"/>
  <c r="W512" i="1"/>
  <c r="V433" i="1"/>
  <c r="V431" i="1"/>
  <c r="V432" i="1"/>
  <c r="V412" i="1"/>
  <c r="Q515" i="1"/>
  <c r="P415" i="1"/>
  <c r="N514" i="1"/>
  <c r="M414" i="1"/>
  <c r="BE38" i="1"/>
  <c r="BD38" i="1" s="1"/>
  <c r="AV188" i="1"/>
  <c r="AV177" i="1"/>
  <c r="Z492" i="1"/>
  <c r="H516" i="1"/>
  <c r="E417" i="1"/>
  <c r="G417" i="1"/>
  <c r="BE105" i="1"/>
  <c r="BE108" i="1" s="1"/>
  <c r="BC116" i="1" s="1"/>
  <c r="AS108" i="1"/>
  <c r="AQ116" i="1" s="1"/>
  <c r="AV183" i="1"/>
  <c r="H410" i="1"/>
  <c r="H88" i="1"/>
  <c r="AS188" i="1"/>
  <c r="BE175" i="1"/>
  <c r="AS176" i="1"/>
  <c r="N492" i="1"/>
  <c r="AW540" i="1"/>
  <c r="AW535" i="1" s="1"/>
  <c r="BE334" i="1"/>
  <c r="BE352" i="1" s="1"/>
  <c r="E245" i="1"/>
  <c r="E253" i="1"/>
  <c r="V317" i="1"/>
  <c r="W409" i="1"/>
  <c r="AZ189" i="1"/>
  <c r="AZ197" i="1"/>
  <c r="AW512" i="1"/>
  <c r="AW422" i="1"/>
  <c r="AS434" i="1"/>
  <c r="BE434" i="1" s="1"/>
  <c r="AR363" i="1"/>
  <c r="AQ365" i="1"/>
  <c r="AR365" i="1" s="1"/>
  <c r="Q513" i="1"/>
  <c r="P413" i="1"/>
  <c r="E414" i="1"/>
  <c r="H514" i="1"/>
  <c r="G414" i="1"/>
  <c r="BD244" i="1"/>
  <c r="BD253" i="1" s="1"/>
  <c r="AR253" i="1"/>
  <c r="C365" i="1"/>
  <c r="D365" i="1" s="1"/>
  <c r="D363" i="1"/>
  <c r="D298" i="1"/>
  <c r="C307" i="1"/>
  <c r="AZ400" i="1"/>
  <c r="BA402" i="1"/>
  <c r="BA290" i="1"/>
  <c r="AZ269" i="1"/>
  <c r="BA512" i="1"/>
  <c r="AZ412" i="1"/>
  <c r="D269" i="1"/>
  <c r="E290" i="1"/>
  <c r="D290" i="1" s="1"/>
  <c r="BE321" i="1"/>
  <c r="BE333" i="1" s="1"/>
  <c r="E188" i="1"/>
  <c r="E176" i="1"/>
  <c r="AW245" i="1"/>
  <c r="AW253" i="1"/>
  <c r="BE439" i="1"/>
  <c r="BE517" i="1" s="1"/>
  <c r="AS517" i="1"/>
  <c r="AW288" i="1"/>
  <c r="AV288" i="1" s="1"/>
  <c r="AR380" i="1"/>
  <c r="AS365" i="1"/>
  <c r="BE363" i="1"/>
  <c r="BE365" i="1" s="1"/>
  <c r="AS412" i="1"/>
  <c r="AW523" i="1"/>
  <c r="BE440" i="1"/>
  <c r="BE529" i="1" s="1"/>
  <c r="AS529" i="1"/>
  <c r="BE464" i="1"/>
  <c r="BE485" i="1" s="1"/>
  <c r="AS485" i="1"/>
  <c r="AC513" i="1"/>
  <c r="AB413" i="1"/>
  <c r="AQ188" i="1"/>
  <c r="BC175" i="1"/>
  <c r="BC188" i="1" s="1"/>
  <c r="AU188" i="1"/>
  <c r="AR303" i="1"/>
  <c r="BC303" i="1"/>
  <c r="E158" i="1"/>
  <c r="D158" i="1" s="1"/>
  <c r="D125" i="1"/>
  <c r="BA77" i="1"/>
  <c r="K516" i="1"/>
  <c r="J417" i="1"/>
  <c r="T516" i="1"/>
  <c r="S417" i="1"/>
  <c r="AR186" i="1"/>
  <c r="BD184" i="1"/>
  <c r="BD186" i="1" s="1"/>
  <c r="S35" i="1"/>
  <c r="S39" i="1"/>
  <c r="S34" i="1"/>
  <c r="S40" i="1"/>
  <c r="S38" i="1"/>
  <c r="S37" i="1"/>
  <c r="S36" i="1"/>
  <c r="S27" i="1"/>
  <c r="G44" i="1"/>
  <c r="H540" i="1"/>
  <c r="H535" i="1" s="1"/>
  <c r="E418" i="1"/>
  <c r="AV380" i="1"/>
  <c r="AW365" i="1"/>
  <c r="BC315" i="1"/>
  <c r="AR315" i="1"/>
  <c r="AR301" i="1"/>
  <c r="BC301" i="1"/>
  <c r="BA526" i="1"/>
  <c r="BA519" i="1" s="1"/>
  <c r="AB27" i="1"/>
  <c r="AB40" i="1"/>
  <c r="AB38" i="1"/>
  <c r="AB36" i="1"/>
  <c r="AB39" i="1"/>
  <c r="AW527" i="1"/>
  <c r="AC516" i="1"/>
  <c r="AB417" i="1"/>
  <c r="AQ100" i="1"/>
  <c r="AR97" i="1"/>
  <c r="BD97" i="1" s="1"/>
  <c r="Z516" i="1"/>
  <c r="Y417" i="1"/>
  <c r="D354" i="1"/>
  <c r="C35" i="1"/>
  <c r="E248" i="1"/>
  <c r="AZ107" i="1"/>
  <c r="AY111" i="1"/>
  <c r="AZ111" i="1" s="1"/>
  <c r="AZ106" i="1"/>
  <c r="AZ100" i="1"/>
  <c r="AY108" i="1"/>
  <c r="AZ108" i="1" s="1"/>
  <c r="AZ105" i="1"/>
  <c r="AW166" i="1"/>
  <c r="AW513" i="1"/>
  <c r="AW531" i="1"/>
  <c r="AS527" i="1"/>
  <c r="AS524" i="1"/>
  <c r="AW469" i="1"/>
  <c r="AW528" i="1"/>
  <c r="BE442" i="1"/>
  <c r="BE530" i="1" s="1"/>
  <c r="AS530" i="1"/>
  <c r="AW525" i="1"/>
  <c r="AW44" i="1"/>
  <c r="AV9" i="1"/>
  <c r="AU16" i="1"/>
  <c r="AV18" i="1"/>
  <c r="AU27" i="1"/>
  <c r="AV36" i="1" s="1"/>
  <c r="AV310" i="1"/>
  <c r="AR305" i="1"/>
  <c r="BC305" i="1"/>
  <c r="AS100" i="1"/>
  <c r="AQ115" i="1" s="1"/>
  <c r="AR10" i="1"/>
  <c r="BD10" i="1" s="1"/>
  <c r="G432" i="1"/>
  <c r="G431" i="1"/>
  <c r="E412" i="1"/>
  <c r="H512" i="1"/>
  <c r="G412" i="1"/>
  <c r="G433" i="1"/>
  <c r="K513" i="1"/>
  <c r="J413" i="1"/>
  <c r="E434" i="1"/>
  <c r="H526" i="1"/>
  <c r="H519" i="1" s="1"/>
  <c r="AR180" i="1"/>
  <c r="AC234" i="1"/>
  <c r="AB234" i="1" s="1"/>
  <c r="AB213" i="1"/>
  <c r="AR98" i="1"/>
  <c r="BE178" i="1"/>
  <c r="AS179" i="1"/>
  <c r="Q516" i="1"/>
  <c r="P417" i="1"/>
  <c r="AZ312" i="1"/>
  <c r="AY317" i="1"/>
  <c r="AW317" i="1"/>
  <c r="AS269" i="1"/>
  <c r="BE257" i="1"/>
  <c r="BE269" i="1" s="1"/>
  <c r="AW125" i="1"/>
  <c r="AS525" i="1"/>
  <c r="BA513" i="1"/>
  <c r="AZ413" i="1"/>
  <c r="T409" i="1"/>
  <c r="S317" i="1"/>
  <c r="Y317" i="1"/>
  <c r="Z409" i="1"/>
  <c r="Y486" i="1" s="1"/>
  <c r="AS213" i="1"/>
  <c r="BE201" i="1"/>
  <c r="BE213" i="1" s="1"/>
  <c r="AR302" i="1"/>
  <c r="BC302" i="1"/>
  <c r="T514" i="1"/>
  <c r="S414" i="1"/>
  <c r="AC254" i="1"/>
  <c r="AW57" i="1"/>
  <c r="BE424" i="1"/>
  <c r="BE521" i="1" s="1"/>
  <c r="E485" i="1"/>
  <c r="W292" i="1"/>
  <c r="AB415" i="1"/>
  <c r="AC515" i="1"/>
  <c r="J317" i="1"/>
  <c r="K409" i="1"/>
  <c r="F317" i="1"/>
  <c r="G312" i="1"/>
  <c r="AW16" i="1"/>
  <c r="AW30" i="1" s="1"/>
  <c r="BE244" i="1"/>
  <c r="BE253" i="1" s="1"/>
  <c r="AS245" i="1"/>
  <c r="AS253" i="1"/>
  <c r="AS125" i="1"/>
  <c r="AW398" i="1"/>
  <c r="AW108" i="1"/>
  <c r="AU116" i="1" s="1"/>
  <c r="AW269" i="1"/>
  <c r="AS455" i="1"/>
  <c r="AW530" i="1"/>
  <c r="BE497" i="1"/>
  <c r="BE541" i="1" s="1"/>
  <c r="AS541" i="1"/>
  <c r="BE35" i="1"/>
  <c r="BD35" i="1" s="1"/>
  <c r="T410" i="1"/>
  <c r="T486" i="1" s="1"/>
  <c r="T88" i="1"/>
  <c r="D188" i="1"/>
  <c r="AV20" i="1"/>
  <c r="AV300" i="1"/>
  <c r="AV311" i="1"/>
  <c r="AR306" i="1"/>
  <c r="BC306" i="1"/>
  <c r="BE78" i="1"/>
  <c r="BE86" i="1" s="1"/>
  <c r="AS44" i="1"/>
  <c r="BC103" i="1"/>
  <c r="BC111" i="1" s="1"/>
  <c r="BD111" i="1" s="1"/>
  <c r="Z514" i="1"/>
  <c r="Y414" i="1"/>
  <c r="T513" i="1"/>
  <c r="S413" i="1"/>
  <c r="Q512" i="1"/>
  <c r="P433" i="1"/>
  <c r="P412" i="1"/>
  <c r="P432" i="1"/>
  <c r="P431" i="1"/>
  <c r="K514" i="1"/>
  <c r="J414" i="1"/>
  <c r="J432" i="1"/>
  <c r="K512" i="1"/>
  <c r="J431" i="1"/>
  <c r="J412" i="1"/>
  <c r="J433" i="1"/>
  <c r="G75" i="1"/>
  <c r="AV180" i="1"/>
  <c r="AR9" i="1"/>
  <c r="BD9" i="1" s="1"/>
  <c r="BC9" i="1"/>
  <c r="BC16" i="1" s="1"/>
  <c r="AQ16" i="1"/>
  <c r="AW522" i="1"/>
  <c r="T402" i="1"/>
  <c r="S400" i="1"/>
  <c r="AB433" i="1"/>
  <c r="AB412" i="1"/>
  <c r="AC512" i="1"/>
  <c r="K410" i="1"/>
  <c r="K486" i="1" s="1"/>
  <c r="K88" i="1"/>
  <c r="J44" i="1"/>
  <c r="E400" i="1"/>
  <c r="D380" i="1"/>
  <c r="AC197" i="1"/>
  <c r="AC189" i="1"/>
  <c r="AS166" i="1"/>
  <c r="BE159" i="1"/>
  <c r="BE166" i="1" s="1"/>
  <c r="BE191" i="1"/>
  <c r="AS192" i="1"/>
  <c r="BE192" i="1" s="1"/>
  <c r="AW524" i="1"/>
  <c r="AS484" i="1"/>
  <c r="BE472" i="1"/>
  <c r="BE484" i="1" s="1"/>
  <c r="BC314" i="1"/>
  <c r="AR314" i="1"/>
  <c r="V486" i="1"/>
  <c r="W492" i="1"/>
  <c r="Q410" i="1"/>
  <c r="Q486" i="1" s="1"/>
  <c r="P75" i="1"/>
  <c r="Q88" i="1"/>
  <c r="T512" i="1"/>
  <c r="S433" i="1"/>
  <c r="S432" i="1"/>
  <c r="S431" i="1"/>
  <c r="S412" i="1"/>
  <c r="G415" i="1"/>
  <c r="E415" i="1"/>
  <c r="H515" i="1"/>
  <c r="V414" i="1"/>
  <c r="W514" i="1"/>
  <c r="N512" i="1"/>
  <c r="M432" i="1"/>
  <c r="M431" i="1"/>
  <c r="M412" i="1"/>
  <c r="M433" i="1"/>
  <c r="AV301" i="1"/>
  <c r="J30" i="1"/>
  <c r="E168" i="1"/>
  <c r="BA189" i="1"/>
  <c r="BA197" i="1"/>
  <c r="BE298" i="1"/>
  <c r="BE307" i="1" s="1"/>
  <c r="BE312" i="1" s="1"/>
  <c r="BE317" i="1" s="1"/>
  <c r="AS307" i="1"/>
  <c r="AS312" i="1" s="1"/>
  <c r="AS317" i="1" s="1"/>
  <c r="Z512" i="1"/>
  <c r="Y433" i="1"/>
  <c r="Y431" i="1"/>
  <c r="Y412" i="1"/>
  <c r="Y432" i="1"/>
  <c r="AC290" i="1"/>
  <c r="AB290" i="1" s="1"/>
  <c r="AB269" i="1"/>
  <c r="C188" i="1"/>
  <c r="D177" i="1"/>
  <c r="BE126" i="1"/>
  <c r="BE138" i="1" s="1"/>
  <c r="AS138" i="1"/>
  <c r="AW232" i="1"/>
  <c r="AS418" i="1"/>
  <c r="AS470" i="1"/>
  <c r="BE470" i="1" s="1"/>
  <c r="BE465" i="1"/>
  <c r="BE527" i="1" s="1"/>
  <c r="D9" i="1"/>
  <c r="C16" i="1"/>
  <c r="BE115" i="1"/>
  <c r="AV10" i="1"/>
  <c r="AV299" i="1"/>
  <c r="AB37" i="1"/>
  <c r="Z515" i="1"/>
  <c r="Y415" i="1"/>
  <c r="Q514" i="1"/>
  <c r="P414" i="1"/>
  <c r="W515" i="1"/>
  <c r="V415" i="1"/>
  <c r="N515" i="1"/>
  <c r="M415" i="1"/>
  <c r="T515" i="1"/>
  <c r="S415" i="1"/>
  <c r="Z236" i="1"/>
  <c r="AR188" i="1"/>
  <c r="BD175" i="1"/>
  <c r="AR177" i="1"/>
  <c r="J75" i="1"/>
  <c r="AR300" i="1"/>
  <c r="BC300" i="1"/>
  <c r="AS232" i="1"/>
  <c r="BE36" i="1"/>
  <c r="BD36" i="1" s="1"/>
  <c r="K515" i="1"/>
  <c r="J415" i="1"/>
  <c r="BD183" i="1"/>
  <c r="AR18" i="1"/>
  <c r="BD18" i="1" s="1"/>
  <c r="AV186" i="1"/>
  <c r="BE416" i="1"/>
  <c r="BD416" i="1" s="1"/>
  <c r="AZ416" i="1"/>
  <c r="BD98" i="1"/>
  <c r="AS57" i="1"/>
  <c r="BE45" i="1"/>
  <c r="BE57" i="1" s="1"/>
  <c r="BC365" i="1"/>
  <c r="AC317" i="1"/>
  <c r="AB352" i="1" s="1"/>
  <c r="AB312" i="1"/>
  <c r="Q198" i="1"/>
  <c r="Q236" i="1"/>
  <c r="AW195" i="1"/>
  <c r="AS531" i="1"/>
  <c r="AW516" i="1"/>
  <c r="AS523" i="1"/>
  <c r="BE431" i="1"/>
  <c r="AW484" i="1"/>
  <c r="AV363" i="1"/>
  <c r="AC354" i="1"/>
  <c r="BA354" i="1"/>
  <c r="BE414" i="1"/>
  <c r="BA514" i="1"/>
  <c r="AZ414" i="1"/>
  <c r="AB197" i="1"/>
  <c r="AC409" i="1" s="1"/>
  <c r="AB189" i="1"/>
  <c r="AW138" i="1"/>
  <c r="AS398" i="1"/>
  <c r="BE381" i="1"/>
  <c r="BE398" i="1" s="1"/>
  <c r="BE400" i="1" s="1"/>
  <c r="AW213" i="1"/>
  <c r="AW485" i="1"/>
  <c r="AU100" i="1"/>
  <c r="AV97" i="1"/>
  <c r="BC20" i="1"/>
  <c r="AR20" i="1"/>
  <c r="BD20" i="1" s="1"/>
  <c r="AR310" i="1"/>
  <c r="AU307" i="1"/>
  <c r="AV298" i="1"/>
  <c r="AS16" i="1"/>
  <c r="AU35" i="1"/>
  <c r="H513" i="1"/>
  <c r="G413" i="1"/>
  <c r="E413" i="1"/>
  <c r="G416" i="1"/>
  <c r="E416" i="1"/>
  <c r="W516" i="1"/>
  <c r="V417" i="1"/>
  <c r="N516" i="1"/>
  <c r="M417" i="1"/>
  <c r="BE40" i="1"/>
  <c r="AC88" i="1"/>
  <c r="BA516" i="1"/>
  <c r="AZ417" i="1"/>
  <c r="E44" i="1"/>
  <c r="M317" i="1"/>
  <c r="N409" i="1"/>
  <c r="M486" i="1" s="1"/>
  <c r="AS522" i="1"/>
  <c r="BE425" i="1"/>
  <c r="BE522" i="1" s="1"/>
  <c r="J38" i="1"/>
  <c r="J34" i="1"/>
  <c r="J36" i="1"/>
  <c r="J39" i="1"/>
  <c r="J35" i="1"/>
  <c r="J27" i="1"/>
  <c r="J40" i="1"/>
  <c r="J37" i="1"/>
  <c r="BE30" i="1"/>
  <c r="E455" i="1"/>
  <c r="AS185" i="1"/>
  <c r="BE184" i="1"/>
  <c r="Z356" i="1"/>
  <c r="E234" i="1"/>
  <c r="BD34" i="1"/>
  <c r="AS156" i="1"/>
  <c r="BE139" i="1"/>
  <c r="BE156" i="1" s="1"/>
  <c r="AW352" i="1"/>
  <c r="AW520" i="1"/>
  <c r="AW436" i="1"/>
  <c r="AS413" i="1"/>
  <c r="BE413" i="1" s="1"/>
  <c r="AS417" i="1"/>
  <c r="AW526" i="1"/>
  <c r="AS75" i="1"/>
  <c r="BE58" i="1"/>
  <c r="BE75" i="1" s="1"/>
  <c r="AY34" i="1"/>
  <c r="BA30" i="1"/>
  <c r="AZ75" i="1" s="1"/>
  <c r="BE214" i="1"/>
  <c r="BE232" i="1" s="1"/>
  <c r="AR298" i="1"/>
  <c r="BC298" i="1"/>
  <c r="AQ307" i="1"/>
  <c r="D57" i="1"/>
  <c r="Y413" i="1"/>
  <c r="Z513" i="1"/>
  <c r="W513" i="1"/>
  <c r="V413" i="1"/>
  <c r="N513" i="1"/>
  <c r="M413" i="1"/>
  <c r="BD178" i="1"/>
  <c r="BD180" i="1" s="1"/>
  <c r="AR183" i="1"/>
  <c r="AW179" i="1"/>
  <c r="D75" i="1"/>
  <c r="AC514" i="1"/>
  <c r="BC108" i="1" l="1"/>
  <c r="BD108" i="1" s="1"/>
  <c r="AW111" i="1"/>
  <c r="AV156" i="1" s="1"/>
  <c r="BD116" i="1"/>
  <c r="AS354" i="1"/>
  <c r="AB44" i="1"/>
  <c r="AB75" i="1"/>
  <c r="H511" i="1"/>
  <c r="AV415" i="1"/>
  <c r="AR352" i="1"/>
  <c r="AC402" i="1"/>
  <c r="E403" i="1" s="1"/>
  <c r="AU115" i="1"/>
  <c r="AV138" i="1"/>
  <c r="BE455" i="1"/>
  <c r="BE290" i="1"/>
  <c r="AR414" i="1"/>
  <c r="BD115" i="1"/>
  <c r="AV37" i="1"/>
  <c r="AV413" i="1"/>
  <c r="AS30" i="1"/>
  <c r="AR75" i="1" s="1"/>
  <c r="AV418" i="1"/>
  <c r="AV40" i="1"/>
  <c r="AV38" i="1"/>
  <c r="AV35" i="1"/>
  <c r="AV414" i="1"/>
  <c r="AC410" i="1"/>
  <c r="AC486" i="1" s="1"/>
  <c r="AC492" i="1" s="1"/>
  <c r="AV412" i="1"/>
  <c r="AV75" i="1"/>
  <c r="BE354" i="1"/>
  <c r="BE356" i="1" s="1"/>
  <c r="AR333" i="1"/>
  <c r="AR354" i="1"/>
  <c r="BE513" i="1"/>
  <c r="BD413" i="1"/>
  <c r="AW234" i="1"/>
  <c r="AB354" i="1"/>
  <c r="E515" i="1"/>
  <c r="D415" i="1"/>
  <c r="BE234" i="1"/>
  <c r="AV44" i="1"/>
  <c r="AW77" i="1"/>
  <c r="AV77" i="1" s="1"/>
  <c r="E540" i="1"/>
  <c r="E535" i="1" s="1"/>
  <c r="D418" i="1"/>
  <c r="E197" i="1"/>
  <c r="D234" i="1" s="1"/>
  <c r="E189" i="1"/>
  <c r="D307" i="1"/>
  <c r="C312" i="1"/>
  <c r="E292" i="1"/>
  <c r="E254" i="1"/>
  <c r="AS516" i="1"/>
  <c r="AR417" i="1"/>
  <c r="AR398" i="1"/>
  <c r="AS400" i="1"/>
  <c r="AR400" i="1" s="1"/>
  <c r="AQ34" i="1"/>
  <c r="AS254" i="1"/>
  <c r="AR269" i="1"/>
  <c r="AS290" i="1"/>
  <c r="AR290" i="1" s="1"/>
  <c r="AS111" i="1"/>
  <c r="AS512" i="1"/>
  <c r="AR412" i="1"/>
  <c r="AS422" i="1"/>
  <c r="AS526" i="1"/>
  <c r="AS519" i="1" s="1"/>
  <c r="BE469" i="1"/>
  <c r="BE528" i="1"/>
  <c r="S486" i="1"/>
  <c r="T492" i="1"/>
  <c r="D400" i="1"/>
  <c r="E402" i="1"/>
  <c r="BE402" i="1"/>
  <c r="D26" i="1"/>
  <c r="C30" i="1"/>
  <c r="D30" i="1" s="1"/>
  <c r="D25" i="1"/>
  <c r="D16" i="1"/>
  <c r="D24" i="1"/>
  <c r="C27" i="1"/>
  <c r="BD16" i="1"/>
  <c r="BC30" i="1"/>
  <c r="BD30" i="1" s="1"/>
  <c r="BE292" i="1"/>
  <c r="AV57" i="1"/>
  <c r="AZ317" i="1"/>
  <c r="BA409" i="1"/>
  <c r="BA406" i="1"/>
  <c r="E526" i="1"/>
  <c r="E519" i="1" s="1"/>
  <c r="BE526" i="1"/>
  <c r="AW511" i="1"/>
  <c r="E516" i="1"/>
  <c r="D417" i="1"/>
  <c r="BE111" i="1"/>
  <c r="AR16" i="1"/>
  <c r="AR26" i="1"/>
  <c r="BD26" i="1" s="1"/>
  <c r="AQ30" i="1"/>
  <c r="AR25" i="1"/>
  <c r="BD25" i="1" s="1"/>
  <c r="AR24" i="1"/>
  <c r="BD24" i="1" s="1"/>
  <c r="BE412" i="1"/>
  <c r="AS436" i="1"/>
  <c r="AR416" i="1"/>
  <c r="T511" i="1"/>
  <c r="T542" i="1" s="1"/>
  <c r="T543" i="1" s="1"/>
  <c r="K492" i="1"/>
  <c r="J486" i="1"/>
  <c r="AC292" i="1"/>
  <c r="AV27" i="1"/>
  <c r="AV39" i="1"/>
  <c r="BA511" i="1"/>
  <c r="BA542" i="1" s="1"/>
  <c r="BA543" i="1" s="1"/>
  <c r="M492" i="1"/>
  <c r="N491" i="1"/>
  <c r="M491" i="1" s="1"/>
  <c r="N501" i="1"/>
  <c r="N505" i="1" s="1"/>
  <c r="Z501" i="1"/>
  <c r="Z505" i="1" s="1"/>
  <c r="Y492" i="1"/>
  <c r="Z491" i="1"/>
  <c r="Y491" i="1" s="1"/>
  <c r="BE520" i="1"/>
  <c r="BE436" i="1"/>
  <c r="BE515" i="1"/>
  <c r="BD415" i="1"/>
  <c r="AQ312" i="1"/>
  <c r="AR307" i="1"/>
  <c r="AU312" i="1"/>
  <c r="AV307" i="1"/>
  <c r="BC307" i="1"/>
  <c r="BC312" i="1" s="1"/>
  <c r="BC317" i="1" s="1"/>
  <c r="AC511" i="1"/>
  <c r="AC542" i="1" s="1"/>
  <c r="AC543" i="1" s="1"/>
  <c r="Q511" i="1"/>
  <c r="Q542" i="1" s="1"/>
  <c r="Q543" i="1" s="1"/>
  <c r="AW290" i="1"/>
  <c r="AV290" i="1" s="1"/>
  <c r="AV269" i="1"/>
  <c r="G317" i="1"/>
  <c r="H409" i="1"/>
  <c r="AR118" i="1"/>
  <c r="AR121" i="1"/>
  <c r="AR119" i="1"/>
  <c r="AR105" i="1"/>
  <c r="BD105" i="1" s="1"/>
  <c r="AR117" i="1"/>
  <c r="AR115" i="1"/>
  <c r="AR107" i="1"/>
  <c r="BD107" i="1" s="1"/>
  <c r="AR120" i="1"/>
  <c r="AR116" i="1"/>
  <c r="AR106" i="1"/>
  <c r="BD106" i="1" s="1"/>
  <c r="AR100" i="1"/>
  <c r="AQ111" i="1"/>
  <c r="AR111" i="1" s="1"/>
  <c r="AQ108" i="1"/>
  <c r="AR108" i="1" s="1"/>
  <c r="AZ77" i="1"/>
  <c r="W511" i="1"/>
  <c r="W542" i="1" s="1"/>
  <c r="W543" i="1" s="1"/>
  <c r="AS234" i="1"/>
  <c r="AW471" i="1"/>
  <c r="AS540" i="1"/>
  <c r="AS535" i="1" s="1"/>
  <c r="AR418" i="1"/>
  <c r="BE418" i="1"/>
  <c r="Z511" i="1"/>
  <c r="Z542" i="1" s="1"/>
  <c r="Z543" i="1" s="1"/>
  <c r="N511" i="1"/>
  <c r="N542" i="1" s="1"/>
  <c r="N543" i="1" s="1"/>
  <c r="AV25" i="1"/>
  <c r="AV16" i="1"/>
  <c r="AU30" i="1"/>
  <c r="AV30" i="1" s="1"/>
  <c r="AV26" i="1"/>
  <c r="AV24" i="1"/>
  <c r="AZ44" i="1"/>
  <c r="AZ290" i="1"/>
  <c r="BA292" i="1"/>
  <c r="D414" i="1"/>
  <c r="E514" i="1"/>
  <c r="BE188" i="1"/>
  <c r="BE197" i="1" s="1"/>
  <c r="AR415" i="1"/>
  <c r="AC198" i="1"/>
  <c r="AC236" i="1"/>
  <c r="AW519" i="1"/>
  <c r="AR156" i="1"/>
  <c r="D44" i="1"/>
  <c r="E77" i="1"/>
  <c r="AV119" i="1"/>
  <c r="AV117" i="1"/>
  <c r="AV118" i="1"/>
  <c r="AV115" i="1"/>
  <c r="AV121" i="1"/>
  <c r="AV107" i="1"/>
  <c r="AV120" i="1"/>
  <c r="AU111" i="1"/>
  <c r="AV111" i="1" s="1"/>
  <c r="AV106" i="1"/>
  <c r="AV100" i="1"/>
  <c r="AV116" i="1"/>
  <c r="AV105" i="1"/>
  <c r="AU108" i="1"/>
  <c r="AV108" i="1" s="1"/>
  <c r="AS356" i="1"/>
  <c r="BG317" i="1"/>
  <c r="AW400" i="1"/>
  <c r="AV400" i="1" s="1"/>
  <c r="AV398" i="1"/>
  <c r="H542" i="1"/>
  <c r="H543" i="1" s="1"/>
  <c r="AW254" i="1"/>
  <c r="AS189" i="1"/>
  <c r="AS197" i="1"/>
  <c r="AR232" i="1" s="1"/>
  <c r="AV189" i="1"/>
  <c r="AV197" i="1"/>
  <c r="AV333" i="1"/>
  <c r="AW354" i="1"/>
  <c r="AV354" i="1" s="1"/>
  <c r="E356" i="1"/>
  <c r="D333" i="1"/>
  <c r="AW189" i="1"/>
  <c r="AW197" i="1"/>
  <c r="AV232" i="1" s="1"/>
  <c r="BE531" i="1"/>
  <c r="AS513" i="1"/>
  <c r="AR413" i="1"/>
  <c r="AS77" i="1"/>
  <c r="AV352" i="1"/>
  <c r="AC356" i="1"/>
  <c r="E357" i="1" s="1"/>
  <c r="AB317" i="1"/>
  <c r="D416" i="1"/>
  <c r="BE523" i="1"/>
  <c r="AQ27" i="1"/>
  <c r="Q492" i="1"/>
  <c r="P486" i="1"/>
  <c r="BE44" i="1"/>
  <c r="BE77" i="1" s="1"/>
  <c r="BE88" i="1" s="1"/>
  <c r="BE417" i="1"/>
  <c r="AV416" i="1"/>
  <c r="AZ354" i="1"/>
  <c r="BA356" i="1"/>
  <c r="AV417" i="1"/>
  <c r="E436" i="1"/>
  <c r="BD188" i="1"/>
  <c r="BD177" i="1"/>
  <c r="AR138" i="1"/>
  <c r="W501" i="1"/>
  <c r="W505" i="1" s="1"/>
  <c r="W491" i="1"/>
  <c r="V491" i="1" s="1"/>
  <c r="V492" i="1"/>
  <c r="D197" i="1"/>
  <c r="D189" i="1"/>
  <c r="E422" i="1"/>
  <c r="E512" i="1"/>
  <c r="D412" i="1"/>
  <c r="C412" i="1"/>
  <c r="AU34" i="1"/>
  <c r="BC27" i="1"/>
  <c r="BD27" i="1" s="1"/>
  <c r="AS158" i="1"/>
  <c r="AR158" i="1" s="1"/>
  <c r="AR125" i="1"/>
  <c r="BE125" i="1"/>
  <c r="BE158" i="1" s="1"/>
  <c r="BC115" i="1"/>
  <c r="BA410" i="1"/>
  <c r="BA486" i="1" s="1"/>
  <c r="BA88" i="1"/>
  <c r="AZ57" i="1"/>
  <c r="E513" i="1"/>
  <c r="D413" i="1"/>
  <c r="C413" i="1"/>
  <c r="BD414" i="1"/>
  <c r="BE514" i="1"/>
  <c r="AR197" i="1"/>
  <c r="AR189" i="1"/>
  <c r="BA198" i="1"/>
  <c r="BA236" i="1"/>
  <c r="K511" i="1"/>
  <c r="K542" i="1" s="1"/>
  <c r="K543" i="1" s="1"/>
  <c r="AZ30" i="1"/>
  <c r="AV125" i="1"/>
  <c r="AW158" i="1"/>
  <c r="AV158" i="1" s="1"/>
  <c r="AV34" i="1"/>
  <c r="D352" i="1"/>
  <c r="H486" i="1"/>
  <c r="AS410" i="1"/>
  <c r="AQ484" i="1" s="1"/>
  <c r="AW292" i="1" l="1"/>
  <c r="AR30" i="1"/>
  <c r="AR44" i="1"/>
  <c r="BE168" i="1"/>
  <c r="AR57" i="1"/>
  <c r="AR77" i="1"/>
  <c r="AS402" i="1"/>
  <c r="AW88" i="1"/>
  <c r="AB486" i="1"/>
  <c r="AW402" i="1"/>
  <c r="BE236" i="1"/>
  <c r="AS511" i="1"/>
  <c r="AS542" i="1" s="1"/>
  <c r="AS543" i="1" s="1"/>
  <c r="AR234" i="1"/>
  <c r="AR27" i="1"/>
  <c r="AR35" i="1"/>
  <c r="AR40" i="1"/>
  <c r="AR39" i="1"/>
  <c r="AR37" i="1"/>
  <c r="AR38" i="1"/>
  <c r="AR34" i="1"/>
  <c r="AR36" i="1"/>
  <c r="AW198" i="1"/>
  <c r="AW236" i="1"/>
  <c r="BD197" i="1"/>
  <c r="BD189" i="1"/>
  <c r="AV312" i="1"/>
  <c r="AU317" i="1"/>
  <c r="AQ469" i="1"/>
  <c r="AS168" i="1"/>
  <c r="AQ436" i="1"/>
  <c r="AZ486" i="1"/>
  <c r="BA492" i="1"/>
  <c r="AR312" i="1"/>
  <c r="AQ317" i="1"/>
  <c r="BE512" i="1"/>
  <c r="BE422" i="1"/>
  <c r="BE471" i="1" s="1"/>
  <c r="BD412" i="1"/>
  <c r="BA404" i="1"/>
  <c r="AY454" i="1"/>
  <c r="BE540" i="1"/>
  <c r="BE535" i="1" s="1"/>
  <c r="BD418" i="1"/>
  <c r="E409" i="1"/>
  <c r="AS409" i="1"/>
  <c r="AW542" i="1"/>
  <c r="AW543" i="1" s="1"/>
  <c r="T501" i="1"/>
  <c r="T505" i="1" s="1"/>
  <c r="T491" i="1"/>
  <c r="S491" i="1" s="1"/>
  <c r="S492" i="1"/>
  <c r="D312" i="1"/>
  <c r="C317" i="1"/>
  <c r="D317" i="1" s="1"/>
  <c r="AV213" i="1"/>
  <c r="BE410" i="1"/>
  <c r="AB492" i="1"/>
  <c r="AC501" i="1"/>
  <c r="AC505" i="1" s="1"/>
  <c r="AC491" i="1"/>
  <c r="AB491" i="1" s="1"/>
  <c r="AW410" i="1"/>
  <c r="AS292" i="1"/>
  <c r="AV234" i="1"/>
  <c r="D422" i="1"/>
  <c r="AR431" i="1"/>
  <c r="AR433" i="1"/>
  <c r="AR432" i="1"/>
  <c r="D433" i="1"/>
  <c r="D431" i="1"/>
  <c r="D432" i="1"/>
  <c r="AV432" i="1"/>
  <c r="AV433" i="1"/>
  <c r="AV431" i="1"/>
  <c r="AV434" i="1"/>
  <c r="D27" i="1"/>
  <c r="D39" i="1"/>
  <c r="D36" i="1"/>
  <c r="D34" i="1"/>
  <c r="D37" i="1"/>
  <c r="D38" i="1"/>
  <c r="D40" i="1"/>
  <c r="D35" i="1"/>
  <c r="K491" i="1"/>
  <c r="J491" i="1" s="1"/>
  <c r="J492" i="1"/>
  <c r="K501" i="1"/>
  <c r="K505" i="1" s="1"/>
  <c r="E511" i="1"/>
  <c r="E542" i="1" s="1"/>
  <c r="E543" i="1" s="1"/>
  <c r="E471" i="1"/>
  <c r="E487" i="1"/>
  <c r="G486" i="1"/>
  <c r="H492" i="1"/>
  <c r="BE516" i="1"/>
  <c r="BD417" i="1"/>
  <c r="D77" i="1"/>
  <c r="E88" i="1"/>
  <c r="AW168" i="1"/>
  <c r="E236" i="1"/>
  <c r="E198" i="1"/>
  <c r="D232" i="1"/>
  <c r="E410" i="1"/>
  <c r="C436" i="1" s="1"/>
  <c r="D213" i="1"/>
  <c r="AW356" i="1"/>
  <c r="AS198" i="1"/>
  <c r="AS236" i="1"/>
  <c r="AR434" i="1"/>
  <c r="BE519" i="1"/>
  <c r="AQ455" i="1"/>
  <c r="D434" i="1"/>
  <c r="P492" i="1"/>
  <c r="Q491" i="1"/>
  <c r="P491" i="1" s="1"/>
  <c r="Q501" i="1"/>
  <c r="Q505" i="1" s="1"/>
  <c r="AR213" i="1"/>
  <c r="AS471" i="1"/>
  <c r="AQ471" i="1" s="1"/>
  <c r="AQ422" i="1"/>
  <c r="AS88" i="1"/>
  <c r="BE486" i="1" l="1"/>
  <c r="BE492" i="1" s="1"/>
  <c r="BE501" i="1" s="1"/>
  <c r="BE505" i="1" s="1"/>
  <c r="AZ492" i="1"/>
  <c r="BA501" i="1"/>
  <c r="BA505" i="1" s="1"/>
  <c r="BA491" i="1"/>
  <c r="AR317" i="1"/>
  <c r="AS406" i="1"/>
  <c r="AS404" i="1" s="1"/>
  <c r="AW486" i="1"/>
  <c r="AU422" i="1"/>
  <c r="AU484" i="1"/>
  <c r="AU455" i="1"/>
  <c r="AU469" i="1"/>
  <c r="AU436" i="1"/>
  <c r="AU471" i="1"/>
  <c r="BE409" i="1"/>
  <c r="G492" i="1"/>
  <c r="H491" i="1"/>
  <c r="G491" i="1" s="1"/>
  <c r="H501" i="1"/>
  <c r="H505" i="1" s="1"/>
  <c r="AV317" i="1"/>
  <c r="AW406" i="1"/>
  <c r="AW404" i="1" s="1"/>
  <c r="C471" i="1"/>
  <c r="E486" i="1"/>
  <c r="C484" i="1"/>
  <c r="C469" i="1"/>
  <c r="C455" i="1"/>
  <c r="C422" i="1"/>
  <c r="AS486" i="1"/>
  <c r="BE511" i="1"/>
  <c r="BE542" i="1" s="1"/>
  <c r="BE543" i="1" s="1"/>
  <c r="BD433" i="1"/>
  <c r="BD432" i="1"/>
  <c r="BD434" i="1"/>
  <c r="BD431" i="1"/>
  <c r="BE406" i="1"/>
  <c r="AW492" i="1" l="1"/>
  <c r="AV486" i="1"/>
  <c r="AZ491" i="1"/>
  <c r="D486" i="1"/>
  <c r="E492" i="1"/>
  <c r="BE404" i="1"/>
  <c r="AS492" i="1"/>
  <c r="AR486" i="1"/>
  <c r="BG486" i="1"/>
  <c r="E501" i="1" l="1"/>
  <c r="E491" i="1"/>
  <c r="D491" i="1" s="1"/>
  <c r="D492" i="1"/>
  <c r="AR492" i="1"/>
  <c r="AS491" i="1"/>
  <c r="AS501" i="1"/>
  <c r="AV492" i="1"/>
  <c r="AW491" i="1"/>
  <c r="AV491" i="1" s="1"/>
  <c r="AW501" i="1"/>
  <c r="AW505" i="1" l="1"/>
  <c r="AV501" i="1"/>
  <c r="AS505" i="1"/>
  <c r="AR501" i="1"/>
  <c r="AR491" i="1"/>
  <c r="BE491" i="1"/>
  <c r="E505" i="1"/>
  <c r="D501" i="1"/>
</calcChain>
</file>

<file path=xl/sharedStrings.xml><?xml version="1.0" encoding="utf-8"?>
<sst xmlns="http://schemas.openxmlformats.org/spreadsheetml/2006/main" count="1641" uniqueCount="195">
  <si>
    <t>Budget 2025 Mensuel Volks</t>
  </si>
  <si>
    <t>Légende dépenses</t>
  </si>
  <si>
    <t>Budget 2025</t>
  </si>
  <si>
    <t>Véhicules neufs</t>
  </si>
  <si>
    <t>RÉEL</t>
  </si>
  <si>
    <t>BUDGET</t>
  </si>
  <si>
    <t>YTD</t>
  </si>
  <si>
    <t>ROY</t>
  </si>
  <si>
    <t>YTD réel</t>
  </si>
  <si>
    <t>Écart YTD réel vs mois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</si>
  <si>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</si>
  <si>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</si>
  <si>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</si>
  <si>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</si>
  <si>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</si>
  <si>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</si>
  <si>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</si>
  <si>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</si>
  <si>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</si>
  <si>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</si>
  <si>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</si>
  <si>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</si>
  <si>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</si>
  <si>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Écart YTD</t>
  </si>
  <si>
    <t>UNITE</t>
  </si>
  <si>
    <t>$P/UNITE</t>
  </si>
  <si>
    <t>$PROFITS</t>
  </si>
  <si>
    <t/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</si>
  <si>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</si>
  <si>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</si>
  <si>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</si>
  <si>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</si>
  <si>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</si>
  <si>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</si>
  <si>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</si>
  <si>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</si>
  <si>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</si>
  <si>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</si>
  <si>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</si>
  <si>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</si>
  <si>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</si>
  <si>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</si>
  <si>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</si>
  <si>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Vehicles Sales Salaries &amp; Commissions</t>
  </si>
  <si>
    <t>Comm. vendeurs</t>
  </si>
  <si>
    <t>F&amp;I commissions</t>
  </si>
  <si>
    <t>Comm. F&amp;I</t>
  </si>
  <si>
    <t>Delivery expense</t>
  </si>
  <si>
    <t>Frais de livraison</t>
  </si>
  <si>
    <t>Goodwill</t>
  </si>
  <si>
    <t>Service gratuit 1</t>
  </si>
  <si>
    <t>Entretien stock</t>
  </si>
  <si>
    <t>Advertising</t>
  </si>
  <si>
    <t>Publicité 1</t>
  </si>
  <si>
    <t>Floor plan interest</t>
  </si>
  <si>
    <t>Intérêt de gros</t>
  </si>
  <si>
    <t>TOTAL VARIABLES</t>
  </si>
  <si>
    <t>% brut</t>
  </si>
  <si>
    <t>Manager salaries</t>
  </si>
  <si>
    <t>Salaires cadres</t>
  </si>
  <si>
    <t>Other Salaries</t>
  </si>
  <si>
    <t>Salaires commis</t>
  </si>
  <si>
    <t>Salaires autres</t>
  </si>
  <si>
    <t>Salaires spécialistes</t>
  </si>
  <si>
    <t>Absentee wages</t>
  </si>
  <si>
    <t>Salaires en absences</t>
  </si>
  <si>
    <t>Payroll taxes</t>
  </si>
  <si>
    <t>Déduction à la source</t>
  </si>
  <si>
    <t>Fringe benefits</t>
  </si>
  <si>
    <t>Bénéfices marginaux</t>
  </si>
  <si>
    <t>CNESST</t>
  </si>
  <si>
    <t>Csst</t>
  </si>
  <si>
    <t>TOTAL PERSONNEL</t>
  </si>
  <si>
    <t>Publicité 2</t>
  </si>
  <si>
    <t>Service gratuit 2</t>
  </si>
  <si>
    <t>Demonstration</t>
  </si>
  <si>
    <t>Frais véhicules de cie</t>
  </si>
  <si>
    <t>IT Expense</t>
  </si>
  <si>
    <t>Informatique</t>
  </si>
  <si>
    <t>Office expense</t>
  </si>
  <si>
    <t>Frais de déplacement</t>
  </si>
  <si>
    <t>Outside Services and professional fees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</si>
  <si>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</si>
  <si>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</si>
  <si>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</si>
  <si>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</si>
  <si>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</si>
  <si>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</si>
  <si>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</si>
  <si>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</si>
  <si>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</si>
  <si>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</si>
  <si>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</si>
  <si>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</si>
  <si>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</si>
  <si>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</si>
  <si>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</si>
  <si>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</si>
  <si>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</si>
  <si>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</si>
  <si>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</si>
  <si>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</si>
  <si>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</si>
  <si>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</si>
  <si>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</si>
  <si>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</si>
  <si>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</si>
  <si>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</si>
  <si>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</si>
  <si>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</si>
  <si>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</si>
  <si>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</si>
  <si>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</si>
  <si>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</si>
  <si>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</si>
  <si>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</si>
  <si>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</si>
  <si>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</si>
  <si>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</si>
  <si>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</si>
  <si>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</si>
  <si>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</si>
  <si>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</si>
  <si>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</si>
  <si>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</si>
  <si>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</si>
  <si>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</si>
  <si>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</si>
  <si>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</si>
  <si>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[...]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</si>
  <si>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</si>
  <si>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</si>
  <si>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</si>
  <si>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</si>
  <si>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</si>
  <si>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</si>
  <si>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</si>
  <si>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</si>
  <si>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</si>
  <si>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</si>
  <si>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</si>
  <si>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</si>
  <si>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</si>
  <si>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</si>
  <si>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Pièces recond. MCPA</t>
  </si>
  <si>
    <t>Autostock</t>
  </si>
  <si>
    <t>Total Dépt. Pièces</t>
  </si>
  <si>
    <t>Boutique</t>
  </si>
  <si>
    <t>Total Dépt. Boutique</t>
  </si>
  <si>
    <t>TOTAL  DES  REVENUS  ET  DÉPENSES</t>
  </si>
  <si>
    <t>%P.Brut</t>
  </si>
  <si>
    <t>$/Unite</t>
  </si>
  <si>
    <t>$TOTAL</t>
  </si>
  <si>
    <t>Profit brut</t>
  </si>
  <si>
    <t>DÉPENSES</t>
  </si>
  <si>
    <t>Executive salaries</t>
  </si>
  <si>
    <t>Salaires propriétaire</t>
  </si>
  <si>
    <t>Rent</t>
  </si>
  <si>
    <t>Loyer</t>
  </si>
  <si>
    <t>Building expenses</t>
  </si>
  <si>
    <t>Taxes foncières</t>
  </si>
  <si>
    <t>Taxes d`affaires</t>
  </si>
  <si>
    <t>Taxe sur le capital</t>
  </si>
  <si>
    <t>Assurances</t>
  </si>
  <si>
    <t>Chauffage, éclairage</t>
  </si>
  <si>
    <t>Honoraires</t>
  </si>
  <si>
    <t>Réparation équipement</t>
  </si>
  <si>
    <t>Location équipement</t>
  </si>
  <si>
    <t>Dons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</si>
  <si>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</si>
  <si>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</si>
  <si>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</si>
  <si>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</si>
  <si>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</si>
  <si>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</si>
  <si>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BAIIA Corpo</t>
  </si>
  <si>
    <t>Depreciation &amp; Amortization</t>
  </si>
  <si>
    <t>Amortissement</t>
  </si>
  <si>
    <t>Interest on short term debt</t>
  </si>
  <si>
    <t>Intérêts sur marge</t>
  </si>
  <si>
    <t>Interest on long term debt</t>
  </si>
  <si>
    <t>Intérêts sur prêt</t>
  </si>
  <si>
    <t>Interest on advance</t>
  </si>
  <si>
    <t>Intérêts sur avance</t>
  </si>
  <si>
    <t>Intérêts sur hypothèque</t>
  </si>
  <si>
    <t>Revenus d'intérêts</t>
  </si>
  <si>
    <t>Revenus d'intérêts Floorplan</t>
  </si>
  <si>
    <t>Profit Net</t>
  </si>
  <si>
    <t>Selling and marketing expenses</t>
  </si>
  <si>
    <t>General and administrative expenses</t>
  </si>
  <si>
    <t>Total - Financial Expenses (Income)</t>
  </si>
  <si>
    <t>Interest income</t>
  </si>
  <si>
    <t>Bank fees</t>
  </si>
  <si>
    <t>Grand Total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</si>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</sst>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_)"/>
    <numFmt numFmtId="165" formatCode="0_)"/>
    <numFmt numFmtId="166" formatCode="0.0%"/>
    <numFmt numFmtId="167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Arial MT"/>
    </font>
    <font>
      <sz val="11"/>
      <name val="Arial MT"/>
    </font>
    <font>
      <b/>
      <sz val="22"/>
      <name val="Arial MT"/>
    </font>
    <font>
      <sz val="12"/>
      <name val="Arial"/>
      <family val="2"/>
    </font>
    <font>
      <sz val="16"/>
      <name val="Arial mt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18"/>
      <name val="Arial MT"/>
    </font>
    <font>
      <b/>
      <sz val="28"/>
      <name val="Arial"/>
      <family val="2"/>
    </font>
    <font>
      <b/>
      <sz val="14"/>
      <name val="Arial"/>
      <family val="2"/>
    </font>
    <font>
      <sz val="16"/>
      <color theme="0" tint="-4.9989318521683403E-2"/>
      <name val="Arial mt"/>
    </font>
    <font>
      <sz val="14"/>
      <color theme="0" tint="-4.9989318521683403E-2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14"/>
      <color theme="0" tint="-4.9989318521683403E-2"/>
      <name val="Arial"/>
      <family val="2"/>
    </font>
    <font>
      <sz val="12"/>
      <name val="Arial MT"/>
    </font>
    <font>
      <b/>
      <sz val="11"/>
      <name val="Sergoe UI"/>
    </font>
    <font>
      <b/>
      <sz val="11"/>
      <color indexed="8"/>
      <name val="Sergoe UI"/>
    </font>
    <font>
      <sz val="11"/>
      <name val="Sergoe UI"/>
    </font>
    <font>
      <sz val="11"/>
      <color indexed="8"/>
      <name val="Sergoe UI"/>
    </font>
    <font>
      <i/>
      <sz val="14"/>
      <name val="Arial"/>
      <family val="2"/>
    </font>
    <font>
      <b/>
      <sz val="12"/>
      <name val="Arial MT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</fills>
  <borders count="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/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2">
    <xf numFmtId="0" fontId="0" fillId="0" borderId="0" xfId="0"/>
    <xf numFmtId="0" fontId="0" fillId="2" borderId="0" xfId="0" applyFill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horizontal="center"/>
    </xf>
    <xf numFmtId="39" fontId="5" fillId="2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39" fontId="4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0" fillId="2" borderId="0" xfId="0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39" fontId="8" fillId="2" borderId="0" xfId="0" applyNumberFormat="1" applyFont="1" applyFill="1" applyAlignment="1">
      <alignment horizontal="center"/>
    </xf>
    <xf numFmtId="0" fontId="9" fillId="2" borderId="0" xfId="0" applyFont="1" applyFill="1"/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4" xfId="0" applyFont="1" applyFill="1" applyBorder="1"/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39" fontId="10" fillId="2" borderId="4" xfId="0" applyNumberFormat="1" applyFont="1" applyFill="1" applyBorder="1" applyAlignment="1">
      <alignment horizontal="center"/>
    </xf>
    <xf numFmtId="0" fontId="11" fillId="2" borderId="5" xfId="0" applyFont="1" applyFill="1" applyBorder="1"/>
    <xf numFmtId="3" fontId="11" fillId="2" borderId="6" xfId="0" applyNumberFormat="1" applyFont="1" applyFill="1" applyBorder="1" applyAlignment="1">
      <alignment horizontal="center"/>
    </xf>
    <xf numFmtId="3" fontId="11" fillId="2" borderId="0" xfId="0" applyNumberFormat="1" applyFont="1" applyFill="1" applyAlignment="1">
      <alignment horizontal="center"/>
    </xf>
    <xf numFmtId="3" fontId="11" fillId="2" borderId="7" xfId="0" applyNumberFormat="1" applyFont="1" applyFill="1" applyBorder="1" applyAlignment="1">
      <alignment horizontal="center"/>
    </xf>
    <xf numFmtId="39" fontId="11" fillId="2" borderId="7" xfId="0" applyNumberFormat="1" applyFont="1" applyFill="1" applyBorder="1" applyAlignment="1">
      <alignment horizontal="center"/>
    </xf>
    <xf numFmtId="0" fontId="11" fillId="2" borderId="8" xfId="0" applyFont="1" applyFill="1" applyBorder="1"/>
    <xf numFmtId="3" fontId="11" fillId="2" borderId="8" xfId="0" applyNumberFormat="1" applyFont="1" applyFill="1" applyBorder="1" applyAlignment="1">
      <alignment horizontal="center"/>
    </xf>
    <xf numFmtId="3" fontId="11" fillId="2" borderId="9" xfId="0" applyNumberFormat="1" applyFont="1" applyFill="1" applyBorder="1" applyAlignment="1">
      <alignment horizontal="center"/>
    </xf>
    <xf numFmtId="3" fontId="11" fillId="2" borderId="10" xfId="0" applyNumberFormat="1" applyFont="1" applyFill="1" applyBorder="1" applyAlignment="1" applyProtection="1">
      <alignment horizontal="right"/>
      <protection locked="0"/>
    </xf>
    <xf numFmtId="3" fontId="11" fillId="2" borderId="10" xfId="0" applyNumberFormat="1" applyFont="1" applyFill="1" applyBorder="1" applyAlignment="1" applyProtection="1">
      <alignment horizontal="center"/>
      <protection locked="0"/>
    </xf>
    <xf numFmtId="39" fontId="11" fillId="2" borderId="10" xfId="0" applyNumberFormat="1" applyFont="1" applyFill="1" applyBorder="1" applyAlignment="1" applyProtection="1">
      <alignment horizontal="center"/>
      <protection locked="0"/>
    </xf>
    <xf numFmtId="0" fontId="11" fillId="2" borderId="6" xfId="0" applyFont="1" applyFill="1" applyBorder="1"/>
    <xf numFmtId="3" fontId="11" fillId="2" borderId="6" xfId="0" applyNumberFormat="1" applyFont="1" applyFill="1" applyBorder="1" applyProtection="1">
      <protection locked="0"/>
    </xf>
    <xf numFmtId="3" fontId="11" fillId="2" borderId="0" xfId="0" applyNumberFormat="1" applyFont="1" applyFill="1"/>
    <xf numFmtId="3" fontId="11" fillId="2" borderId="7" xfId="0" applyNumberFormat="1" applyFont="1" applyFill="1" applyBorder="1" applyProtection="1">
      <protection locked="0"/>
    </xf>
    <xf numFmtId="3" fontId="11" fillId="2" borderId="6" xfId="0" applyNumberFormat="1" applyFont="1" applyFill="1" applyBorder="1" applyAlignment="1" applyProtection="1">
      <alignment horizontal="center"/>
      <protection locked="0"/>
    </xf>
    <xf numFmtId="3" fontId="11" fillId="2" borderId="11" xfId="0" applyNumberFormat="1" applyFont="1" applyFill="1" applyBorder="1" applyAlignment="1">
      <alignment horizontal="center"/>
    </xf>
    <xf numFmtId="3" fontId="11" fillId="2" borderId="7" xfId="0" applyNumberFormat="1" applyFont="1" applyFill="1" applyBorder="1" applyAlignment="1" applyProtection="1">
      <alignment horizontal="center"/>
      <protection locked="0"/>
    </xf>
    <xf numFmtId="39" fontId="11" fillId="2" borderId="7" xfId="0" applyNumberFormat="1" applyFont="1" applyFill="1" applyBorder="1" applyAlignment="1" applyProtection="1">
      <alignment horizontal="center"/>
      <protection locked="0"/>
    </xf>
    <xf numFmtId="3" fontId="11" fillId="2" borderId="6" xfId="0" applyNumberFormat="1" applyFont="1" applyFill="1" applyBorder="1"/>
    <xf numFmtId="3" fontId="11" fillId="2" borderId="7" xfId="0" applyNumberFormat="1" applyFont="1" applyFill="1" applyBorder="1"/>
    <xf numFmtId="0" fontId="10" fillId="2" borderId="5" xfId="0" applyFont="1" applyFill="1" applyBorder="1"/>
    <xf numFmtId="3" fontId="10" fillId="2" borderId="5" xfId="0" applyNumberFormat="1" applyFont="1" applyFill="1" applyBorder="1"/>
    <xf numFmtId="3" fontId="10" fillId="2" borderId="12" xfId="0" applyNumberFormat="1" applyFont="1" applyFill="1" applyBorder="1"/>
    <xf numFmtId="3" fontId="10" fillId="2" borderId="13" xfId="0" applyNumberFormat="1" applyFont="1" applyFill="1" applyBorder="1"/>
    <xf numFmtId="3" fontId="10" fillId="2" borderId="5" xfId="0" applyNumberFormat="1" applyFont="1" applyFill="1" applyBorder="1" applyAlignment="1">
      <alignment horizontal="center"/>
    </xf>
    <xf numFmtId="3" fontId="10" fillId="2" borderId="12" xfId="0" applyNumberFormat="1" applyFont="1" applyFill="1" applyBorder="1" applyAlignment="1">
      <alignment horizontal="center"/>
    </xf>
    <xf numFmtId="3" fontId="10" fillId="2" borderId="13" xfId="0" applyNumberFormat="1" applyFont="1" applyFill="1" applyBorder="1" applyAlignment="1">
      <alignment horizontal="center"/>
    </xf>
    <xf numFmtId="39" fontId="10" fillId="2" borderId="13" xfId="0" applyNumberFormat="1" applyFont="1" applyFill="1" applyBorder="1" applyAlignment="1">
      <alignment horizontal="center"/>
    </xf>
    <xf numFmtId="0" fontId="11" fillId="2" borderId="7" xfId="0" applyFont="1" applyFill="1" applyBorder="1"/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0" fillId="2" borderId="14" xfId="0" applyFont="1" applyFill="1" applyBorder="1"/>
    <xf numFmtId="3" fontId="11" fillId="2" borderId="14" xfId="0" applyNumberFormat="1" applyFont="1" applyFill="1" applyBorder="1" applyProtection="1">
      <protection locked="0"/>
    </xf>
    <xf numFmtId="3" fontId="11" fillId="2" borderId="1" xfId="0" applyNumberFormat="1" applyFont="1" applyFill="1" applyBorder="1"/>
    <xf numFmtId="3" fontId="11" fillId="2" borderId="15" xfId="0" applyNumberFormat="1" applyFont="1" applyFill="1" applyBorder="1" applyProtection="1">
      <protection locked="0"/>
    </xf>
    <xf numFmtId="3" fontId="11" fillId="2" borderId="14" xfId="0" applyNumberFormat="1" applyFont="1" applyFill="1" applyBorder="1" applyAlignment="1" applyProtection="1">
      <alignment horizontal="center"/>
      <protection locked="0"/>
    </xf>
    <xf numFmtId="3" fontId="11" fillId="2" borderId="1" xfId="0" applyNumberFormat="1" applyFont="1" applyFill="1" applyBorder="1" applyAlignment="1">
      <alignment horizontal="center"/>
    </xf>
    <xf numFmtId="3" fontId="11" fillId="2" borderId="15" xfId="0" applyNumberFormat="1" applyFont="1" applyFill="1" applyBorder="1" applyAlignment="1" applyProtection="1">
      <alignment horizontal="center"/>
      <protection locked="0"/>
    </xf>
    <xf numFmtId="39" fontId="11" fillId="2" borderId="15" xfId="0" applyNumberFormat="1" applyFont="1" applyFill="1" applyBorder="1" applyAlignment="1" applyProtection="1">
      <alignment horizontal="center"/>
      <protection locked="0"/>
    </xf>
    <xf numFmtId="0" fontId="10" fillId="2" borderId="6" xfId="0" applyFont="1" applyFill="1" applyBorder="1"/>
    <xf numFmtId="3" fontId="11" fillId="2" borderId="5" xfId="0" applyNumberFormat="1" applyFont="1" applyFill="1" applyBorder="1"/>
    <xf numFmtId="3" fontId="11" fillId="2" borderId="12" xfId="0" applyNumberFormat="1" applyFont="1" applyFill="1" applyBorder="1"/>
    <xf numFmtId="3" fontId="11" fillId="2" borderId="13" xfId="0" applyNumberFormat="1" applyFont="1" applyFill="1" applyBorder="1"/>
    <xf numFmtId="3" fontId="11" fillId="2" borderId="5" xfId="0" applyNumberFormat="1" applyFont="1" applyFill="1" applyBorder="1" applyAlignment="1">
      <alignment horizontal="center"/>
    </xf>
    <xf numFmtId="3" fontId="11" fillId="2" borderId="12" xfId="0" applyNumberFormat="1" applyFont="1" applyFill="1" applyBorder="1" applyAlignment="1">
      <alignment horizontal="center"/>
    </xf>
    <xf numFmtId="3" fontId="11" fillId="2" borderId="13" xfId="0" applyNumberFormat="1" applyFont="1" applyFill="1" applyBorder="1" applyAlignment="1">
      <alignment horizontal="center"/>
    </xf>
    <xf numFmtId="39" fontId="11" fillId="2" borderId="13" xfId="0" applyNumberFormat="1" applyFont="1" applyFill="1" applyBorder="1" applyAlignment="1">
      <alignment horizontal="center"/>
    </xf>
    <xf numFmtId="0" fontId="10" fillId="2" borderId="8" xfId="0" applyFont="1" applyFill="1" applyBorder="1"/>
    <xf numFmtId="0" fontId="11" fillId="2" borderId="0" xfId="0" applyFont="1" applyFill="1"/>
    <xf numFmtId="37" fontId="11" fillId="2" borderId="7" xfId="0" applyNumberFormat="1" applyFont="1" applyFill="1" applyBorder="1"/>
    <xf numFmtId="0" fontId="11" fillId="2" borderId="0" xfId="0" applyFont="1" applyFill="1" applyAlignment="1">
      <alignment horizontal="center"/>
    </xf>
    <xf numFmtId="37" fontId="11" fillId="2" borderId="7" xfId="0" applyNumberFormat="1" applyFont="1" applyFill="1" applyBorder="1" applyAlignment="1">
      <alignment horizontal="center"/>
    </xf>
    <xf numFmtId="0" fontId="10" fillId="3" borderId="16" xfId="0" applyFont="1" applyFill="1" applyBorder="1"/>
    <xf numFmtId="37" fontId="10" fillId="3" borderId="16" xfId="0" applyNumberFormat="1" applyFont="1" applyFill="1" applyBorder="1"/>
    <xf numFmtId="165" fontId="10" fillId="3" borderId="17" xfId="0" applyNumberFormat="1" applyFont="1" applyFill="1" applyBorder="1"/>
    <xf numFmtId="37" fontId="10" fillId="3" borderId="18" xfId="0" applyNumberFormat="1" applyFont="1" applyFill="1" applyBorder="1"/>
    <xf numFmtId="37" fontId="10" fillId="2" borderId="18" xfId="0" applyNumberFormat="1" applyFont="1" applyFill="1" applyBorder="1"/>
    <xf numFmtId="37" fontId="10" fillId="3" borderId="16" xfId="0" applyNumberFormat="1" applyFont="1" applyFill="1" applyBorder="1" applyAlignment="1">
      <alignment horizontal="center"/>
    </xf>
    <xf numFmtId="165" fontId="10" fillId="3" borderId="17" xfId="0" applyNumberFormat="1" applyFont="1" applyFill="1" applyBorder="1" applyAlignment="1">
      <alignment horizontal="center"/>
    </xf>
    <xf numFmtId="37" fontId="10" fillId="3" borderId="18" xfId="0" applyNumberFormat="1" applyFont="1" applyFill="1" applyBorder="1" applyAlignment="1">
      <alignment horizontal="center"/>
    </xf>
    <xf numFmtId="39" fontId="10" fillId="3" borderId="18" xfId="0" applyNumberFormat="1" applyFont="1" applyFill="1" applyBorder="1" applyAlignment="1">
      <alignment horizontal="center"/>
    </xf>
    <xf numFmtId="0" fontId="10" fillId="3" borderId="19" xfId="0" applyFont="1" applyFill="1" applyBorder="1"/>
    <xf numFmtId="0" fontId="10" fillId="3" borderId="20" xfId="0" applyFont="1" applyFill="1" applyBorder="1"/>
    <xf numFmtId="0" fontId="10" fillId="3" borderId="21" xfId="0" applyFont="1" applyFill="1" applyBorder="1"/>
    <xf numFmtId="0" fontId="10" fillId="2" borderId="21" xfId="0" applyFont="1" applyFill="1" applyBorder="1"/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39" fontId="10" fillId="3" borderId="21" xfId="0" applyNumberFormat="1" applyFont="1" applyFill="1" applyBorder="1" applyAlignment="1">
      <alignment horizontal="center"/>
    </xf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2" borderId="7" xfId="0" applyFont="1" applyFill="1" applyBorder="1"/>
    <xf numFmtId="0" fontId="10" fillId="4" borderId="6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7" xfId="0" applyFont="1" applyFill="1" applyBorder="1" applyAlignment="1">
      <alignment horizontal="center"/>
    </xf>
    <xf numFmtId="39" fontId="10" fillId="4" borderId="7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left"/>
    </xf>
    <xf numFmtId="9" fontId="11" fillId="2" borderId="6" xfId="1" applyFont="1" applyFill="1" applyBorder="1"/>
    <xf numFmtId="37" fontId="11" fillId="2" borderId="0" xfId="0" applyNumberFormat="1" applyFont="1" applyFill="1"/>
    <xf numFmtId="37" fontId="11" fillId="2" borderId="7" xfId="0" applyNumberFormat="1" applyFont="1" applyFill="1" applyBorder="1" applyProtection="1">
      <protection locked="0"/>
    </xf>
    <xf numFmtId="37" fontId="11" fillId="5" borderId="7" xfId="0" applyNumberFormat="1" applyFont="1" applyFill="1" applyBorder="1" applyProtection="1">
      <protection locked="0"/>
    </xf>
    <xf numFmtId="9" fontId="11" fillId="2" borderId="6" xfId="1" applyFont="1" applyFill="1" applyBorder="1" applyAlignment="1">
      <alignment horizontal="center"/>
    </xf>
    <xf numFmtId="37" fontId="11" fillId="2" borderId="0" xfId="0" applyNumberFormat="1" applyFont="1" applyFill="1" applyAlignment="1">
      <alignment horizontal="center"/>
    </xf>
    <xf numFmtId="37" fontId="11" fillId="5" borderId="7" xfId="0" applyNumberFormat="1" applyFont="1" applyFill="1" applyBorder="1" applyAlignment="1" applyProtection="1">
      <alignment horizontal="center"/>
      <protection locked="0"/>
    </xf>
    <xf numFmtId="39" fontId="11" fillId="5" borderId="7" xfId="0" applyNumberFormat="1" applyFont="1" applyFill="1" applyBorder="1" applyAlignment="1" applyProtection="1">
      <alignment horizontal="center"/>
      <protection locked="0"/>
    </xf>
    <xf numFmtId="9" fontId="11" fillId="2" borderId="8" xfId="1" applyFont="1" applyFill="1" applyBorder="1"/>
    <xf numFmtId="37" fontId="11" fillId="2" borderId="9" xfId="0" applyNumberFormat="1" applyFont="1" applyFill="1" applyBorder="1"/>
    <xf numFmtId="37" fontId="11" fillId="2" borderId="10" xfId="0" applyNumberFormat="1" applyFont="1" applyFill="1" applyBorder="1" applyProtection="1">
      <protection locked="0"/>
    </xf>
    <xf numFmtId="37" fontId="11" fillId="5" borderId="10" xfId="0" applyNumberFormat="1" applyFont="1" applyFill="1" applyBorder="1" applyProtection="1">
      <protection locked="0"/>
    </xf>
    <xf numFmtId="9" fontId="11" fillId="2" borderId="8" xfId="1" applyFont="1" applyFill="1" applyBorder="1" applyAlignment="1">
      <alignment horizontal="center"/>
    </xf>
    <xf numFmtId="37" fontId="11" fillId="2" borderId="9" xfId="0" applyNumberFormat="1" applyFont="1" applyFill="1" applyBorder="1" applyAlignment="1">
      <alignment horizontal="center"/>
    </xf>
    <xf numFmtId="37" fontId="11" fillId="5" borderId="15" xfId="0" applyNumberFormat="1" applyFont="1" applyFill="1" applyBorder="1" applyAlignment="1" applyProtection="1">
      <alignment horizontal="center"/>
      <protection locked="0"/>
    </xf>
    <xf numFmtId="37" fontId="11" fillId="5" borderId="10" xfId="0" applyNumberFormat="1" applyFont="1" applyFill="1" applyBorder="1" applyAlignment="1" applyProtection="1">
      <alignment horizontal="center"/>
      <protection locked="0"/>
    </xf>
    <xf numFmtId="39" fontId="11" fillId="5" borderId="10" xfId="0" applyNumberFormat="1" applyFont="1" applyFill="1" applyBorder="1" applyAlignment="1" applyProtection="1">
      <alignment horizontal="center"/>
      <protection locked="0"/>
    </xf>
    <xf numFmtId="0" fontId="11" fillId="2" borderId="8" xfId="0" applyFont="1" applyFill="1" applyBorder="1" applyAlignment="1">
      <alignment horizontal="center"/>
    </xf>
    <xf numFmtId="0" fontId="10" fillId="3" borderId="22" xfId="0" applyFont="1" applyFill="1" applyBorder="1"/>
    <xf numFmtId="0" fontId="10" fillId="3" borderId="22" xfId="0" applyFont="1" applyFill="1" applyBorder="1" applyAlignment="1">
      <alignment horizontal="center"/>
    </xf>
    <xf numFmtId="166" fontId="10" fillId="3" borderId="23" xfId="0" applyNumberFormat="1" applyFont="1" applyFill="1" applyBorder="1"/>
    <xf numFmtId="37" fontId="10" fillId="3" borderId="24" xfId="0" applyNumberFormat="1" applyFont="1" applyFill="1" applyBorder="1"/>
    <xf numFmtId="37" fontId="10" fillId="2" borderId="24" xfId="0" applyNumberFormat="1" applyFont="1" applyFill="1" applyBorder="1"/>
    <xf numFmtId="166" fontId="10" fillId="3" borderId="23" xfId="0" applyNumberFormat="1" applyFont="1" applyFill="1" applyBorder="1" applyAlignment="1">
      <alignment horizontal="center"/>
    </xf>
    <xf numFmtId="37" fontId="10" fillId="3" borderId="24" xfId="0" applyNumberFormat="1" applyFont="1" applyFill="1" applyBorder="1" applyAlignment="1">
      <alignment horizontal="center"/>
    </xf>
    <xf numFmtId="39" fontId="10" fillId="3" borderId="24" xfId="0" applyNumberFormat="1" applyFont="1" applyFill="1" applyBorder="1" applyAlignment="1">
      <alignment horizontal="center"/>
    </xf>
    <xf numFmtId="0" fontId="12" fillId="2" borderId="6" xfId="0" applyFont="1" applyFill="1" applyBorder="1"/>
    <xf numFmtId="0" fontId="12" fillId="2" borderId="8" xfId="0" applyFont="1" applyFill="1" applyBorder="1"/>
    <xf numFmtId="0" fontId="11" fillId="2" borderId="12" xfId="0" applyFont="1" applyFill="1" applyBorder="1"/>
    <xf numFmtId="37" fontId="11" fillId="2" borderId="13" xfId="0" applyNumberFormat="1" applyFont="1" applyFill="1" applyBorder="1" applyProtection="1">
      <protection locked="0"/>
    </xf>
    <xf numFmtId="37" fontId="11" fillId="5" borderId="13" xfId="0" applyNumberFormat="1" applyFont="1" applyFill="1" applyBorder="1" applyProtection="1">
      <protection locked="0"/>
    </xf>
    <xf numFmtId="0" fontId="11" fillId="2" borderId="5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37" fontId="11" fillId="5" borderId="13" xfId="0" applyNumberFormat="1" applyFont="1" applyFill="1" applyBorder="1" applyAlignment="1" applyProtection="1">
      <alignment horizontal="center"/>
      <protection locked="0"/>
    </xf>
    <xf numFmtId="39" fontId="11" fillId="5" borderId="13" xfId="0" applyNumberFormat="1" applyFont="1" applyFill="1" applyBorder="1" applyAlignment="1" applyProtection="1">
      <alignment horizontal="center"/>
      <protection locked="0"/>
    </xf>
    <xf numFmtId="0" fontId="12" fillId="4" borderId="6" xfId="0" applyFont="1" applyFill="1" applyBorder="1"/>
    <xf numFmtId="0" fontId="11" fillId="2" borderId="9" xfId="0" applyFont="1" applyFill="1" applyBorder="1"/>
    <xf numFmtId="37" fontId="11" fillId="2" borderId="10" xfId="0" applyNumberFormat="1" applyFont="1" applyFill="1" applyBorder="1"/>
    <xf numFmtId="0" fontId="11" fillId="2" borderId="9" xfId="0" applyFont="1" applyFill="1" applyBorder="1" applyAlignment="1">
      <alignment horizontal="center"/>
    </xf>
    <xf numFmtId="37" fontId="11" fillId="2" borderId="10" xfId="0" applyNumberFormat="1" applyFont="1" applyFill="1" applyBorder="1" applyAlignment="1">
      <alignment horizontal="center"/>
    </xf>
    <xf numFmtId="39" fontId="11" fillId="2" borderId="10" xfId="0" applyNumberFormat="1" applyFont="1" applyFill="1" applyBorder="1" applyAlignment="1">
      <alignment horizontal="center"/>
    </xf>
    <xf numFmtId="0" fontId="11" fillId="2" borderId="14" xfId="0" applyFont="1" applyFill="1" applyBorder="1"/>
    <xf numFmtId="0" fontId="11" fillId="2" borderId="1" xfId="0" applyFont="1" applyFill="1" applyBorder="1"/>
    <xf numFmtId="37" fontId="11" fillId="2" borderId="15" xfId="0" applyNumberFormat="1" applyFont="1" applyFill="1" applyBorder="1" applyProtection="1">
      <protection locked="0"/>
    </xf>
    <xf numFmtId="37" fontId="11" fillId="5" borderId="15" xfId="0" applyNumberFormat="1" applyFont="1" applyFill="1" applyBorder="1" applyProtection="1">
      <protection locked="0"/>
    </xf>
    <xf numFmtId="0" fontId="11" fillId="2" borderId="1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39" fontId="11" fillId="5" borderId="15" xfId="0" applyNumberFormat="1" applyFont="1" applyFill="1" applyBorder="1" applyAlignment="1" applyProtection="1">
      <alignment horizontal="center"/>
      <protection locked="0"/>
    </xf>
    <xf numFmtId="0" fontId="10" fillId="3" borderId="25" xfId="0" applyFont="1" applyFill="1" applyBorder="1"/>
    <xf numFmtId="37" fontId="10" fillId="3" borderId="26" xfId="0" applyNumberFormat="1" applyFont="1" applyFill="1" applyBorder="1"/>
    <xf numFmtId="37" fontId="10" fillId="2" borderId="26" xfId="0" applyNumberFormat="1" applyFont="1" applyFill="1" applyBorder="1"/>
    <xf numFmtId="37" fontId="10" fillId="3" borderId="26" xfId="0" applyNumberFormat="1" applyFont="1" applyFill="1" applyBorder="1" applyAlignment="1">
      <alignment horizontal="center"/>
    </xf>
    <xf numFmtId="39" fontId="10" fillId="3" borderId="26" xfId="0" applyNumberFormat="1" applyFont="1" applyFill="1" applyBorder="1" applyAlignment="1">
      <alignment horizontal="center"/>
    </xf>
    <xf numFmtId="37" fontId="11" fillId="2" borderId="7" xfId="0" applyNumberFormat="1" applyFont="1" applyFill="1" applyBorder="1" applyAlignment="1" applyProtection="1">
      <alignment horizontal="center"/>
      <protection locked="0"/>
    </xf>
    <xf numFmtId="0" fontId="10" fillId="3" borderId="27" xfId="0" applyFont="1" applyFill="1" applyBorder="1"/>
    <xf numFmtId="0" fontId="10" fillId="3" borderId="28" xfId="0" applyFont="1" applyFill="1" applyBorder="1" applyAlignment="1">
      <alignment horizontal="center"/>
    </xf>
    <xf numFmtId="166" fontId="10" fillId="3" borderId="29" xfId="0" applyNumberFormat="1" applyFont="1" applyFill="1" applyBorder="1"/>
    <xf numFmtId="37" fontId="10" fillId="3" borderId="30" xfId="0" applyNumberFormat="1" applyFont="1" applyFill="1" applyBorder="1"/>
    <xf numFmtId="37" fontId="10" fillId="2" borderId="30" xfId="0" applyNumberFormat="1" applyFont="1" applyFill="1" applyBorder="1"/>
    <xf numFmtId="166" fontId="10" fillId="3" borderId="29" xfId="0" applyNumberFormat="1" applyFont="1" applyFill="1" applyBorder="1" applyAlignment="1">
      <alignment horizontal="center"/>
    </xf>
    <xf numFmtId="37" fontId="10" fillId="3" borderId="30" xfId="0" applyNumberFormat="1" applyFont="1" applyFill="1" applyBorder="1" applyAlignment="1">
      <alignment horizontal="center"/>
    </xf>
    <xf numFmtId="39" fontId="10" fillId="3" borderId="30" xfId="0" applyNumberFormat="1" applyFont="1" applyFill="1" applyBorder="1" applyAlignment="1">
      <alignment horizontal="center"/>
    </xf>
    <xf numFmtId="0" fontId="11" fillId="4" borderId="8" xfId="0" applyFont="1" applyFill="1" applyBorder="1"/>
    <xf numFmtId="0" fontId="11" fillId="4" borderId="9" xfId="0" applyFont="1" applyFill="1" applyBorder="1"/>
    <xf numFmtId="37" fontId="10" fillId="4" borderId="7" xfId="0" applyNumberFormat="1" applyFont="1" applyFill="1" applyBorder="1"/>
    <xf numFmtId="37" fontId="10" fillId="2" borderId="7" xfId="0" applyNumberFormat="1" applyFont="1" applyFill="1" applyBorder="1"/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37" fontId="10" fillId="4" borderId="7" xfId="0" applyNumberFormat="1" applyFont="1" applyFill="1" applyBorder="1" applyAlignment="1">
      <alignment horizontal="center"/>
    </xf>
    <xf numFmtId="0" fontId="10" fillId="3" borderId="31" xfId="0" applyFont="1" applyFill="1" applyBorder="1"/>
    <xf numFmtId="0" fontId="11" fillId="3" borderId="31" xfId="0" applyFont="1" applyFill="1" applyBorder="1"/>
    <xf numFmtId="0" fontId="11" fillId="3" borderId="32" xfId="0" applyFont="1" applyFill="1" applyBorder="1"/>
    <xf numFmtId="37" fontId="10" fillId="3" borderId="33" xfId="0" applyNumberFormat="1" applyFont="1" applyFill="1" applyBorder="1"/>
    <xf numFmtId="37" fontId="10" fillId="2" borderId="33" xfId="0" applyNumberFormat="1" applyFont="1" applyFill="1" applyBorder="1"/>
    <xf numFmtId="0" fontId="11" fillId="3" borderId="31" xfId="0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37" fontId="10" fillId="3" borderId="33" xfId="0" applyNumberFormat="1" applyFont="1" applyFill="1" applyBorder="1" applyAlignment="1">
      <alignment horizontal="center"/>
    </xf>
    <xf numFmtId="39" fontId="10" fillId="3" borderId="33" xfId="0" applyNumberFormat="1" applyFont="1" applyFill="1" applyBorder="1" applyAlignment="1">
      <alignment horizontal="center"/>
    </xf>
    <xf numFmtId="0" fontId="13" fillId="2" borderId="0" xfId="0" applyFont="1" applyFill="1"/>
    <xf numFmtId="37" fontId="13" fillId="2" borderId="0" xfId="0" applyNumberFormat="1" applyFont="1" applyFill="1"/>
    <xf numFmtId="0" fontId="14" fillId="2" borderId="0" xfId="0" applyFont="1" applyFill="1"/>
    <xf numFmtId="0" fontId="13" fillId="2" borderId="0" xfId="0" applyFont="1" applyFill="1" applyAlignment="1">
      <alignment horizontal="center"/>
    </xf>
    <xf numFmtId="37" fontId="13" fillId="2" borderId="0" xfId="0" applyNumberFormat="1" applyFont="1" applyFill="1" applyAlignment="1">
      <alignment horizontal="center"/>
    </xf>
    <xf numFmtId="39" fontId="13" fillId="2" borderId="0" xfId="0" applyNumberFormat="1" applyFont="1" applyFill="1" applyAlignment="1">
      <alignment horizontal="center"/>
    </xf>
    <xf numFmtId="0" fontId="8" fillId="2" borderId="0" xfId="0" applyFont="1" applyFill="1"/>
    <xf numFmtId="0" fontId="15" fillId="2" borderId="0" xfId="0" applyFont="1" applyFill="1"/>
    <xf numFmtId="39" fontId="5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left"/>
    </xf>
    <xf numFmtId="3" fontId="10" fillId="2" borderId="6" xfId="0" applyNumberFormat="1" applyFont="1" applyFill="1" applyBorder="1"/>
    <xf numFmtId="3" fontId="10" fillId="2" borderId="0" xfId="0" applyNumberFormat="1" applyFont="1" applyFill="1"/>
    <xf numFmtId="3" fontId="10" fillId="2" borderId="7" xfId="0" applyNumberFormat="1" applyFont="1" applyFill="1" applyBorder="1"/>
    <xf numFmtId="3" fontId="10" fillId="2" borderId="6" xfId="0" applyNumberFormat="1" applyFont="1" applyFill="1" applyBorder="1" applyAlignment="1">
      <alignment horizontal="center"/>
    </xf>
    <xf numFmtId="3" fontId="10" fillId="2" borderId="0" xfId="0" applyNumberFormat="1" applyFont="1" applyFill="1" applyAlignment="1">
      <alignment horizontal="center"/>
    </xf>
    <xf numFmtId="3" fontId="10" fillId="2" borderId="7" xfId="0" applyNumberFormat="1" applyFont="1" applyFill="1" applyBorder="1" applyAlignment="1">
      <alignment horizontal="center"/>
    </xf>
    <xf numFmtId="39" fontId="10" fillId="2" borderId="7" xfId="0" applyNumberFormat="1" applyFont="1" applyFill="1" applyBorder="1" applyAlignment="1">
      <alignment horizontal="center"/>
    </xf>
    <xf numFmtId="3" fontId="11" fillId="2" borderId="8" xfId="0" applyNumberFormat="1" applyFont="1" applyFill="1" applyBorder="1"/>
    <xf numFmtId="3" fontId="11" fillId="2" borderId="9" xfId="0" applyNumberFormat="1" applyFont="1" applyFill="1" applyBorder="1"/>
    <xf numFmtId="3" fontId="11" fillId="2" borderId="10" xfId="0" applyNumberFormat="1" applyFont="1" applyFill="1" applyBorder="1"/>
    <xf numFmtId="3" fontId="11" fillId="2" borderId="10" xfId="0" applyNumberFormat="1" applyFont="1" applyFill="1" applyBorder="1" applyAlignment="1">
      <alignment horizontal="center"/>
    </xf>
    <xf numFmtId="0" fontId="10" fillId="2" borderId="0" xfId="0" applyFont="1" applyFill="1"/>
    <xf numFmtId="0" fontId="10" fillId="2" borderId="6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/>
    </xf>
    <xf numFmtId="9" fontId="11" fillId="2" borderId="6" xfId="0" applyNumberFormat="1" applyFont="1" applyFill="1" applyBorder="1"/>
    <xf numFmtId="9" fontId="11" fillId="2" borderId="6" xfId="0" applyNumberFormat="1" applyFont="1" applyFill="1" applyBorder="1" applyAlignment="1">
      <alignment horizontal="center"/>
    </xf>
    <xf numFmtId="9" fontId="11" fillId="2" borderId="14" xfId="0" applyNumberFormat="1" applyFont="1" applyFill="1" applyBorder="1"/>
    <xf numFmtId="0" fontId="11" fillId="2" borderId="6" xfId="0" applyFont="1" applyFill="1" applyBorder="1" applyAlignment="1">
      <alignment horizontal="right"/>
    </xf>
    <xf numFmtId="0" fontId="11" fillId="2" borderId="28" xfId="0" applyFont="1" applyFill="1" applyBorder="1" applyAlignment="1">
      <alignment horizontal="right"/>
    </xf>
    <xf numFmtId="166" fontId="11" fillId="2" borderId="0" xfId="0" applyNumberFormat="1" applyFont="1" applyFill="1"/>
    <xf numFmtId="166" fontId="11" fillId="2" borderId="0" xfId="0" applyNumberFormat="1" applyFont="1" applyFill="1" applyAlignment="1">
      <alignment horizontal="center"/>
    </xf>
    <xf numFmtId="0" fontId="10" fillId="3" borderId="25" xfId="0" applyFont="1" applyFill="1" applyBorder="1" applyAlignment="1">
      <alignment horizontal="center"/>
    </xf>
    <xf numFmtId="166" fontId="10" fillId="3" borderId="34" xfId="0" applyNumberFormat="1" applyFont="1" applyFill="1" applyBorder="1"/>
    <xf numFmtId="166" fontId="10" fillId="3" borderId="34" xfId="0" applyNumberFormat="1" applyFont="1" applyFill="1" applyBorder="1" applyAlignment="1">
      <alignment horizontal="center"/>
    </xf>
    <xf numFmtId="0" fontId="10" fillId="3" borderId="32" xfId="0" applyFont="1" applyFill="1" applyBorder="1"/>
    <xf numFmtId="0" fontId="10" fillId="3" borderId="31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37" fontId="8" fillId="2" borderId="0" xfId="0" applyNumberFormat="1" applyFont="1" applyFill="1"/>
    <xf numFmtId="37" fontId="8" fillId="2" borderId="0" xfId="0" applyNumberFormat="1" applyFont="1" applyFill="1" applyAlignment="1">
      <alignment horizontal="center"/>
    </xf>
    <xf numFmtId="37" fontId="11" fillId="2" borderId="6" xfId="0" applyNumberFormat="1" applyFont="1" applyFill="1" applyBorder="1" applyProtection="1">
      <protection locked="0"/>
    </xf>
    <xf numFmtId="37" fontId="11" fillId="2" borderId="0" xfId="0" applyNumberFormat="1" applyFont="1" applyFill="1" applyProtection="1">
      <protection locked="0"/>
    </xf>
    <xf numFmtId="37" fontId="11" fillId="2" borderId="0" xfId="0" applyNumberFormat="1" applyFont="1" applyFill="1" applyAlignment="1" applyProtection="1">
      <alignment horizontal="center"/>
      <protection locked="0"/>
    </xf>
    <xf numFmtId="3" fontId="11" fillId="2" borderId="0" xfId="0" applyNumberFormat="1" applyFont="1" applyFill="1" applyAlignment="1" applyProtection="1">
      <alignment horizontal="center"/>
      <protection locked="0"/>
    </xf>
    <xf numFmtId="37" fontId="11" fillId="2" borderId="6" xfId="0" applyNumberFormat="1" applyFont="1" applyFill="1" applyBorder="1" applyAlignment="1" applyProtection="1">
      <alignment horizontal="center"/>
      <protection locked="0"/>
    </xf>
    <xf numFmtId="37" fontId="11" fillId="2" borderId="6" xfId="0" applyNumberFormat="1" applyFont="1" applyFill="1" applyBorder="1"/>
    <xf numFmtId="166" fontId="11" fillId="2" borderId="7" xfId="0" applyNumberFormat="1" applyFont="1" applyFill="1" applyBorder="1"/>
    <xf numFmtId="37" fontId="11" fillId="2" borderId="6" xfId="0" applyNumberFormat="1" applyFont="1" applyFill="1" applyBorder="1" applyAlignment="1">
      <alignment horizontal="center"/>
    </xf>
    <xf numFmtId="166" fontId="11" fillId="2" borderId="7" xfId="0" applyNumberFormat="1" applyFont="1" applyFill="1" applyBorder="1" applyAlignment="1">
      <alignment horizontal="center"/>
    </xf>
    <xf numFmtId="37" fontId="11" fillId="2" borderId="8" xfId="0" applyNumberFormat="1" applyFont="1" applyFill="1" applyBorder="1"/>
    <xf numFmtId="2" fontId="11" fillId="2" borderId="9" xfId="0" applyNumberFormat="1" applyFont="1" applyFill="1" applyBorder="1"/>
    <xf numFmtId="166" fontId="11" fillId="2" borderId="10" xfId="0" applyNumberFormat="1" applyFont="1" applyFill="1" applyBorder="1"/>
    <xf numFmtId="37" fontId="11" fillId="2" borderId="8" xfId="0" applyNumberFormat="1" applyFont="1" applyFill="1" applyBorder="1" applyAlignment="1">
      <alignment horizontal="center"/>
    </xf>
    <xf numFmtId="2" fontId="11" fillId="2" borderId="9" xfId="0" applyNumberFormat="1" applyFont="1" applyFill="1" applyBorder="1" applyAlignment="1">
      <alignment horizontal="center"/>
    </xf>
    <xf numFmtId="166" fontId="11" fillId="2" borderId="10" xfId="0" applyNumberFormat="1" applyFont="1" applyFill="1" applyBorder="1" applyAlignment="1">
      <alignment horizontal="center"/>
    </xf>
    <xf numFmtId="37" fontId="11" fillId="2" borderId="5" xfId="0" applyNumberFormat="1" applyFont="1" applyFill="1" applyBorder="1" applyProtection="1">
      <protection locked="0"/>
    </xf>
    <xf numFmtId="37" fontId="11" fillId="2" borderId="12" xfId="0" applyNumberFormat="1" applyFont="1" applyFill="1" applyBorder="1" applyProtection="1">
      <protection locked="0"/>
    </xf>
    <xf numFmtId="37" fontId="11" fillId="2" borderId="13" xfId="0" applyNumberFormat="1" applyFont="1" applyFill="1" applyBorder="1" applyAlignment="1" applyProtection="1">
      <alignment horizontal="center"/>
      <protection locked="0"/>
    </xf>
    <xf numFmtId="37" fontId="11" fillId="2" borderId="5" xfId="0" applyNumberFormat="1" applyFont="1" applyFill="1" applyBorder="1" applyAlignment="1" applyProtection="1">
      <alignment horizontal="center"/>
      <protection locked="0"/>
    </xf>
    <xf numFmtId="37" fontId="11" fillId="2" borderId="12" xfId="0" applyNumberFormat="1" applyFont="1" applyFill="1" applyBorder="1" applyAlignment="1" applyProtection="1">
      <alignment horizontal="center"/>
      <protection locked="0"/>
    </xf>
    <xf numFmtId="39" fontId="11" fillId="2" borderId="13" xfId="0" applyNumberFormat="1" applyFont="1" applyFill="1" applyBorder="1" applyAlignment="1" applyProtection="1">
      <alignment horizontal="center"/>
      <protection locked="0"/>
    </xf>
    <xf numFmtId="37" fontId="11" fillId="6" borderId="0" xfId="0" applyNumberFormat="1" applyFont="1" applyFill="1" applyProtection="1">
      <protection locked="0"/>
    </xf>
    <xf numFmtId="37" fontId="11" fillId="6" borderId="7" xfId="0" applyNumberFormat="1" applyFont="1" applyFill="1" applyBorder="1" applyProtection="1">
      <protection locked="0"/>
    </xf>
    <xf numFmtId="37" fontId="9" fillId="2" borderId="0" xfId="0" applyNumberFormat="1" applyFont="1" applyFill="1"/>
    <xf numFmtId="39" fontId="11" fillId="2" borderId="12" xfId="0" applyNumberFormat="1" applyFont="1" applyFill="1" applyBorder="1" applyAlignment="1" applyProtection="1">
      <alignment horizontal="center"/>
      <protection locked="0"/>
    </xf>
    <xf numFmtId="165" fontId="11" fillId="2" borderId="0" xfId="0" applyNumberFormat="1" applyFont="1" applyFill="1"/>
    <xf numFmtId="165" fontId="11" fillId="2" borderId="0" xfId="0" applyNumberFormat="1" applyFont="1" applyFill="1" applyAlignment="1">
      <alignment horizontal="center"/>
    </xf>
    <xf numFmtId="167" fontId="11" fillId="2" borderId="0" xfId="0" applyNumberFormat="1" applyFont="1" applyFill="1"/>
    <xf numFmtId="167" fontId="11" fillId="2" borderId="0" xfId="0" applyNumberFormat="1" applyFont="1" applyFill="1" applyAlignment="1">
      <alignment horizontal="center"/>
    </xf>
    <xf numFmtId="3" fontId="11" fillId="2" borderId="35" xfId="0" applyNumberFormat="1" applyFont="1" applyFill="1" applyBorder="1" applyAlignment="1" applyProtection="1">
      <alignment horizontal="center"/>
      <protection locked="0"/>
    </xf>
    <xf numFmtId="37" fontId="11" fillId="2" borderId="11" xfId="0" applyNumberFormat="1" applyFont="1" applyFill="1" applyBorder="1" applyAlignment="1" applyProtection="1">
      <alignment horizontal="center"/>
      <protection locked="0"/>
    </xf>
    <xf numFmtId="37" fontId="11" fillId="2" borderId="36" xfId="0" applyNumberFormat="1" applyFont="1" applyFill="1" applyBorder="1" applyAlignment="1" applyProtection="1">
      <alignment horizontal="center"/>
      <protection locked="0"/>
    </xf>
    <xf numFmtId="37" fontId="10" fillId="2" borderId="6" xfId="0" applyNumberFormat="1" applyFont="1" applyFill="1" applyBorder="1"/>
    <xf numFmtId="165" fontId="10" fillId="2" borderId="0" xfId="0" applyNumberFormat="1" applyFont="1" applyFill="1"/>
    <xf numFmtId="37" fontId="10" fillId="2" borderId="6" xfId="0" applyNumberFormat="1" applyFont="1" applyFill="1" applyBorder="1" applyAlignment="1">
      <alignment horizontal="center"/>
    </xf>
    <xf numFmtId="165" fontId="10" fillId="2" borderId="0" xfId="0" applyNumberFormat="1" applyFont="1" applyFill="1" applyAlignment="1">
      <alignment horizontal="center"/>
    </xf>
    <xf numFmtId="37" fontId="10" fillId="2" borderId="8" xfId="0" applyNumberFormat="1" applyFont="1" applyFill="1" applyBorder="1"/>
    <xf numFmtId="167" fontId="11" fillId="2" borderId="9" xfId="0" applyNumberFormat="1" applyFont="1" applyFill="1" applyBorder="1"/>
    <xf numFmtId="37" fontId="10" fillId="2" borderId="8" xfId="0" applyNumberFormat="1" applyFont="1" applyFill="1" applyBorder="1" applyAlignment="1">
      <alignment horizontal="center"/>
    </xf>
    <xf numFmtId="167" fontId="11" fillId="2" borderId="9" xfId="0" applyNumberFormat="1" applyFont="1" applyFill="1" applyBorder="1" applyAlignment="1">
      <alignment horizontal="center"/>
    </xf>
    <xf numFmtId="0" fontId="10" fillId="4" borderId="16" xfId="0" applyFont="1" applyFill="1" applyBorder="1"/>
    <xf numFmtId="37" fontId="10" fillId="4" borderId="16" xfId="0" applyNumberFormat="1" applyFont="1" applyFill="1" applyBorder="1"/>
    <xf numFmtId="37" fontId="10" fillId="4" borderId="17" xfId="0" applyNumberFormat="1" applyFont="1" applyFill="1" applyBorder="1"/>
    <xf numFmtId="37" fontId="10" fillId="4" borderId="18" xfId="0" applyNumberFormat="1" applyFont="1" applyFill="1" applyBorder="1"/>
    <xf numFmtId="37" fontId="10" fillId="4" borderId="16" xfId="0" applyNumberFormat="1" applyFont="1" applyFill="1" applyBorder="1" applyAlignment="1">
      <alignment horizontal="center"/>
    </xf>
    <xf numFmtId="37" fontId="10" fillId="4" borderId="17" xfId="0" applyNumberFormat="1" applyFont="1" applyFill="1" applyBorder="1" applyAlignment="1">
      <alignment horizontal="center"/>
    </xf>
    <xf numFmtId="37" fontId="10" fillId="4" borderId="18" xfId="0" applyNumberFormat="1" applyFont="1" applyFill="1" applyBorder="1" applyAlignment="1">
      <alignment horizontal="center"/>
    </xf>
    <xf numFmtId="39" fontId="10" fillId="4" borderId="18" xfId="0" applyNumberFormat="1" applyFont="1" applyFill="1" applyBorder="1" applyAlignment="1">
      <alignment horizontal="center"/>
    </xf>
    <xf numFmtId="0" fontId="10" fillId="4" borderId="8" xfId="0" applyFont="1" applyFill="1" applyBorder="1"/>
    <xf numFmtId="37" fontId="10" fillId="4" borderId="8" xfId="0" applyNumberFormat="1" applyFont="1" applyFill="1" applyBorder="1"/>
    <xf numFmtId="39" fontId="10" fillId="4" borderId="9" xfId="0" applyNumberFormat="1" applyFont="1" applyFill="1" applyBorder="1"/>
    <xf numFmtId="166" fontId="10" fillId="2" borderId="7" xfId="0" applyNumberFormat="1" applyFont="1" applyFill="1" applyBorder="1"/>
    <xf numFmtId="37" fontId="10" fillId="4" borderId="8" xfId="0" applyNumberFormat="1" applyFont="1" applyFill="1" applyBorder="1" applyAlignment="1">
      <alignment horizontal="center"/>
    </xf>
    <xf numFmtId="39" fontId="10" fillId="4" borderId="9" xfId="0" applyNumberFormat="1" applyFont="1" applyFill="1" applyBorder="1" applyAlignment="1">
      <alignment horizontal="center"/>
    </xf>
    <xf numFmtId="166" fontId="10" fillId="2" borderId="7" xfId="0" applyNumberFormat="1" applyFont="1" applyFill="1" applyBorder="1" applyAlignment="1">
      <alignment horizontal="center"/>
    </xf>
    <xf numFmtId="0" fontId="10" fillId="4" borderId="5" xfId="0" applyFont="1" applyFill="1" applyBorder="1"/>
    <xf numFmtId="37" fontId="11" fillId="2" borderId="36" xfId="0" applyNumberFormat="1" applyFont="1" applyFill="1" applyBorder="1"/>
    <xf numFmtId="37" fontId="11" fillId="2" borderId="36" xfId="0" applyNumberFormat="1" applyFont="1" applyFill="1" applyBorder="1" applyAlignment="1">
      <alignment horizontal="center"/>
    </xf>
    <xf numFmtId="39" fontId="11" fillId="2" borderId="36" xfId="0" applyNumberFormat="1" applyFont="1" applyFill="1" applyBorder="1" applyAlignment="1">
      <alignment horizontal="center"/>
    </xf>
    <xf numFmtId="0" fontId="11" fillId="4" borderId="6" xfId="0" applyFont="1" applyFill="1" applyBorder="1"/>
    <xf numFmtId="165" fontId="11" fillId="2" borderId="0" xfId="0" applyNumberFormat="1" applyFont="1" applyFill="1" applyProtection="1">
      <protection locked="0"/>
    </xf>
    <xf numFmtId="165" fontId="11" fillId="2" borderId="0" xfId="0" applyNumberFormat="1" applyFont="1" applyFill="1" applyAlignment="1" applyProtection="1">
      <alignment horizontal="center"/>
      <protection locked="0"/>
    </xf>
    <xf numFmtId="0" fontId="11" fillId="4" borderId="35" xfId="0" applyFont="1" applyFill="1" applyBorder="1"/>
    <xf numFmtId="165" fontId="11" fillId="2" borderId="12" xfId="0" applyNumberFormat="1" applyFont="1" applyFill="1" applyBorder="1" applyProtection="1">
      <protection locked="0"/>
    </xf>
    <xf numFmtId="37" fontId="11" fillId="0" borderId="5" xfId="0" applyNumberFormat="1" applyFont="1" applyBorder="1" applyProtection="1">
      <protection locked="0"/>
    </xf>
    <xf numFmtId="165" fontId="11" fillId="2" borderId="12" xfId="0" applyNumberFormat="1" applyFont="1" applyFill="1" applyBorder="1" applyAlignment="1" applyProtection="1">
      <alignment horizontal="center"/>
      <protection locked="0"/>
    </xf>
    <xf numFmtId="165" fontId="11" fillId="2" borderId="9" xfId="0" applyNumberFormat="1" applyFont="1" applyFill="1" applyBorder="1"/>
    <xf numFmtId="165" fontId="11" fillId="2" borderId="9" xfId="0" applyNumberFormat="1" applyFont="1" applyFill="1" applyBorder="1" applyAlignment="1">
      <alignment horizontal="center"/>
    </xf>
    <xf numFmtId="37" fontId="10" fillId="4" borderId="5" xfId="0" applyNumberFormat="1" applyFont="1" applyFill="1" applyBorder="1"/>
    <xf numFmtId="165" fontId="10" fillId="4" borderId="12" xfId="0" applyNumberFormat="1" applyFont="1" applyFill="1" applyBorder="1"/>
    <xf numFmtId="37" fontId="10" fillId="4" borderId="13" xfId="0" applyNumberFormat="1" applyFont="1" applyFill="1" applyBorder="1"/>
    <xf numFmtId="37" fontId="10" fillId="2" borderId="13" xfId="0" applyNumberFormat="1" applyFont="1" applyFill="1" applyBorder="1"/>
    <xf numFmtId="37" fontId="10" fillId="4" borderId="5" xfId="0" applyNumberFormat="1" applyFont="1" applyFill="1" applyBorder="1" applyAlignment="1">
      <alignment horizontal="center"/>
    </xf>
    <xf numFmtId="165" fontId="10" fillId="4" borderId="12" xfId="0" applyNumberFormat="1" applyFont="1" applyFill="1" applyBorder="1" applyAlignment="1">
      <alignment horizontal="center"/>
    </xf>
    <xf numFmtId="37" fontId="10" fillId="4" borderId="13" xfId="0" applyNumberFormat="1" applyFont="1" applyFill="1" applyBorder="1" applyAlignment="1">
      <alignment horizontal="center"/>
    </xf>
    <xf numFmtId="39" fontId="10" fillId="4" borderId="13" xfId="0" applyNumberFormat="1" applyFont="1" applyFill="1" applyBorder="1" applyAlignment="1">
      <alignment horizontal="center"/>
    </xf>
    <xf numFmtId="37" fontId="10" fillId="3" borderId="17" xfId="0" applyNumberFormat="1" applyFont="1" applyFill="1" applyBorder="1"/>
    <xf numFmtId="37" fontId="10" fillId="3" borderId="17" xfId="0" applyNumberFormat="1" applyFont="1" applyFill="1" applyBorder="1" applyAlignment="1">
      <alignment horizontal="center"/>
    </xf>
    <xf numFmtId="166" fontId="10" fillId="3" borderId="21" xfId="0" applyNumberFormat="1" applyFont="1" applyFill="1" applyBorder="1"/>
    <xf numFmtId="166" fontId="10" fillId="2" borderId="21" xfId="0" applyNumberFormat="1" applyFont="1" applyFill="1" applyBorder="1"/>
    <xf numFmtId="166" fontId="10" fillId="3" borderId="21" xfId="0" applyNumberFormat="1" applyFont="1" applyFill="1" applyBorder="1" applyAlignment="1">
      <alignment horizontal="center"/>
    </xf>
    <xf numFmtId="166" fontId="10" fillId="4" borderId="7" xfId="0" applyNumberFormat="1" applyFont="1" applyFill="1" applyBorder="1"/>
    <xf numFmtId="166" fontId="10" fillId="4" borderId="7" xfId="0" applyNumberFormat="1" applyFont="1" applyFill="1" applyBorder="1" applyAlignment="1">
      <alignment horizontal="center"/>
    </xf>
    <xf numFmtId="39" fontId="11" fillId="2" borderId="0" xfId="0" applyNumberFormat="1" applyFont="1" applyFill="1" applyAlignment="1">
      <alignment horizontal="center"/>
    </xf>
    <xf numFmtId="0" fontId="12" fillId="2" borderId="5" xfId="0" applyFont="1" applyFill="1" applyBorder="1"/>
    <xf numFmtId="0" fontId="12" fillId="2" borderId="37" xfId="0" applyFont="1" applyFill="1" applyBorder="1"/>
    <xf numFmtId="0" fontId="10" fillId="3" borderId="38" xfId="0" applyFont="1" applyFill="1" applyBorder="1"/>
    <xf numFmtId="37" fontId="10" fillId="2" borderId="5" xfId="0" applyNumberFormat="1" applyFont="1" applyFill="1" applyBorder="1"/>
    <xf numFmtId="166" fontId="10" fillId="2" borderId="12" xfId="0" applyNumberFormat="1" applyFont="1" applyFill="1" applyBorder="1"/>
    <xf numFmtId="37" fontId="10" fillId="2" borderId="5" xfId="0" applyNumberFormat="1" applyFont="1" applyFill="1" applyBorder="1" applyAlignment="1">
      <alignment horizontal="center"/>
    </xf>
    <xf numFmtId="166" fontId="10" fillId="2" borderId="12" xfId="0" applyNumberFormat="1" applyFont="1" applyFill="1" applyBorder="1" applyAlignment="1">
      <alignment horizontal="center"/>
    </xf>
    <xf numFmtId="37" fontId="10" fillId="2" borderId="13" xfId="0" applyNumberFormat="1" applyFont="1" applyFill="1" applyBorder="1" applyAlignment="1">
      <alignment horizontal="center"/>
    </xf>
    <xf numFmtId="0" fontId="11" fillId="2" borderId="10" xfId="0" applyFont="1" applyFill="1" applyBorder="1"/>
    <xf numFmtId="0" fontId="11" fillId="2" borderId="10" xfId="0" applyFont="1" applyFill="1" applyBorder="1" applyAlignment="1">
      <alignment horizontal="center"/>
    </xf>
    <xf numFmtId="166" fontId="11" fillId="2" borderId="0" xfId="1" applyNumberFormat="1" applyFont="1" applyFill="1"/>
    <xf numFmtId="166" fontId="11" fillId="2" borderId="0" xfId="1" applyNumberFormat="1" applyFont="1" applyFill="1" applyAlignment="1">
      <alignment horizontal="center"/>
    </xf>
    <xf numFmtId="37" fontId="11" fillId="2" borderId="14" xfId="0" applyNumberFormat="1" applyFont="1" applyFill="1" applyBorder="1" applyProtection="1">
      <protection locked="0"/>
    </xf>
    <xf numFmtId="166" fontId="11" fillId="2" borderId="1" xfId="0" applyNumberFormat="1" applyFont="1" applyFill="1" applyBorder="1"/>
    <xf numFmtId="166" fontId="11" fillId="2" borderId="1" xfId="0" applyNumberFormat="1" applyFont="1" applyFill="1" applyBorder="1" applyAlignment="1">
      <alignment horizontal="center"/>
    </xf>
    <xf numFmtId="37" fontId="11" fillId="2" borderId="15" xfId="0" applyNumberFormat="1" applyFont="1" applyFill="1" applyBorder="1" applyAlignment="1" applyProtection="1">
      <alignment horizontal="center"/>
      <protection locked="0"/>
    </xf>
    <xf numFmtId="37" fontId="11" fillId="2" borderId="14" xfId="0" applyNumberFormat="1" applyFont="1" applyFill="1" applyBorder="1" applyAlignment="1" applyProtection="1">
      <alignment horizontal="center"/>
      <protection locked="0"/>
    </xf>
    <xf numFmtId="166" fontId="10" fillId="3" borderId="17" xfId="0" applyNumberFormat="1" applyFont="1" applyFill="1" applyBorder="1"/>
    <xf numFmtId="166" fontId="10" fillId="3" borderId="17" xfId="0" applyNumberFormat="1" applyFont="1" applyFill="1" applyBorder="1" applyAlignment="1">
      <alignment horizontal="center"/>
    </xf>
    <xf numFmtId="0" fontId="10" fillId="3" borderId="39" xfId="0" applyFont="1" applyFill="1" applyBorder="1"/>
    <xf numFmtId="37" fontId="10" fillId="3" borderId="39" xfId="0" applyNumberFormat="1" applyFont="1" applyFill="1" applyBorder="1"/>
    <xf numFmtId="165" fontId="10" fillId="3" borderId="40" xfId="0" applyNumberFormat="1" applyFont="1" applyFill="1" applyBorder="1"/>
    <xf numFmtId="37" fontId="10" fillId="3" borderId="41" xfId="0" applyNumberFormat="1" applyFont="1" applyFill="1" applyBorder="1"/>
    <xf numFmtId="37" fontId="10" fillId="2" borderId="41" xfId="0" applyNumberFormat="1" applyFont="1" applyFill="1" applyBorder="1"/>
    <xf numFmtId="37" fontId="10" fillId="3" borderId="39" xfId="0" applyNumberFormat="1" applyFont="1" applyFill="1" applyBorder="1" applyAlignment="1">
      <alignment horizontal="center"/>
    </xf>
    <xf numFmtId="165" fontId="10" fillId="3" borderId="40" xfId="0" applyNumberFormat="1" applyFont="1" applyFill="1" applyBorder="1" applyAlignment="1">
      <alignment horizontal="center"/>
    </xf>
    <xf numFmtId="37" fontId="10" fillId="3" borderId="41" xfId="0" applyNumberFormat="1" applyFont="1" applyFill="1" applyBorder="1" applyAlignment="1">
      <alignment horizontal="center"/>
    </xf>
    <xf numFmtId="39" fontId="10" fillId="3" borderId="41" xfId="0" applyNumberFormat="1" applyFont="1" applyFill="1" applyBorder="1" applyAlignment="1">
      <alignment horizontal="center"/>
    </xf>
    <xf numFmtId="37" fontId="10" fillId="4" borderId="6" xfId="0" applyNumberFormat="1" applyFont="1" applyFill="1" applyBorder="1"/>
    <xf numFmtId="165" fontId="10" fillId="4" borderId="0" xfId="0" applyNumberFormat="1" applyFont="1" applyFill="1"/>
    <xf numFmtId="37" fontId="10" fillId="4" borderId="6" xfId="0" applyNumberFormat="1" applyFont="1" applyFill="1" applyBorder="1" applyAlignment="1">
      <alignment horizontal="center"/>
    </xf>
    <xf numFmtId="165" fontId="10" fillId="4" borderId="0" xfId="0" applyNumberFormat="1" applyFont="1" applyFill="1" applyAlignment="1">
      <alignment horizontal="center"/>
    </xf>
    <xf numFmtId="37" fontId="11" fillId="6" borderId="13" xfId="0" applyNumberFormat="1" applyFont="1" applyFill="1" applyBorder="1" applyProtection="1">
      <protection locked="0"/>
    </xf>
    <xf numFmtId="37" fontId="11" fillId="5" borderId="10" xfId="0" applyNumberFormat="1" applyFont="1" applyFill="1" applyBorder="1"/>
    <xf numFmtId="37" fontId="11" fillId="5" borderId="10" xfId="0" applyNumberFormat="1" applyFont="1" applyFill="1" applyBorder="1" applyAlignment="1">
      <alignment horizontal="center"/>
    </xf>
    <xf numFmtId="39" fontId="11" fillId="5" borderId="10" xfId="0" applyNumberFormat="1" applyFont="1" applyFill="1" applyBorder="1" applyAlignment="1">
      <alignment horizontal="center"/>
    </xf>
    <xf numFmtId="37" fontId="10" fillId="2" borderId="0" xfId="0" applyNumberFormat="1" applyFont="1" applyFill="1"/>
    <xf numFmtId="37" fontId="10" fillId="2" borderId="0" xfId="0" applyNumberFormat="1" applyFont="1" applyFill="1" applyAlignment="1">
      <alignment horizontal="center"/>
    </xf>
    <xf numFmtId="39" fontId="10" fillId="2" borderId="0" xfId="0" applyNumberFormat="1" applyFont="1" applyFill="1" applyAlignment="1">
      <alignment horizontal="center"/>
    </xf>
    <xf numFmtId="0" fontId="12" fillId="2" borderId="35" xfId="0" applyFont="1" applyFill="1" applyBorder="1"/>
    <xf numFmtId="0" fontId="10" fillId="3" borderId="42" xfId="0" applyFont="1" applyFill="1" applyBorder="1"/>
    <xf numFmtId="0" fontId="11" fillId="3" borderId="42" xfId="0" applyFont="1" applyFill="1" applyBorder="1"/>
    <xf numFmtId="0" fontId="11" fillId="3" borderId="43" xfId="0" applyFont="1" applyFill="1" applyBorder="1"/>
    <xf numFmtId="37" fontId="10" fillId="3" borderId="44" xfId="0" applyNumberFormat="1" applyFont="1" applyFill="1" applyBorder="1"/>
    <xf numFmtId="37" fontId="10" fillId="2" borderId="44" xfId="0" applyNumberFormat="1" applyFont="1" applyFill="1" applyBorder="1"/>
    <xf numFmtId="0" fontId="11" fillId="3" borderId="42" xfId="0" applyFont="1" applyFill="1" applyBorder="1" applyAlignment="1">
      <alignment horizontal="center"/>
    </xf>
    <xf numFmtId="0" fontId="11" fillId="3" borderId="43" xfId="0" applyFont="1" applyFill="1" applyBorder="1" applyAlignment="1">
      <alignment horizontal="center"/>
    </xf>
    <xf numFmtId="37" fontId="10" fillId="3" borderId="44" xfId="0" applyNumberFormat="1" applyFont="1" applyFill="1" applyBorder="1" applyAlignment="1">
      <alignment horizontal="center"/>
    </xf>
    <xf numFmtId="39" fontId="10" fillId="3" borderId="44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8" fillId="2" borderId="20" xfId="0" applyFont="1" applyFill="1" applyBorder="1" applyAlignment="1">
      <alignment horizontal="center"/>
    </xf>
    <xf numFmtId="37" fontId="8" fillId="2" borderId="20" xfId="0" applyNumberFormat="1" applyFont="1" applyFill="1" applyBorder="1" applyAlignment="1">
      <alignment horizontal="center"/>
    </xf>
    <xf numFmtId="39" fontId="8" fillId="2" borderId="20" xfId="0" applyNumberFormat="1" applyFont="1" applyFill="1" applyBorder="1" applyAlignment="1">
      <alignment horizontal="center"/>
    </xf>
    <xf numFmtId="0" fontId="10" fillId="2" borderId="45" xfId="0" applyFont="1" applyFill="1" applyBorder="1" applyAlignment="1">
      <alignment horizontal="center"/>
    </xf>
    <xf numFmtId="0" fontId="11" fillId="2" borderId="46" xfId="0" applyFont="1" applyFill="1" applyBorder="1"/>
    <xf numFmtId="0" fontId="11" fillId="2" borderId="46" xfId="0" applyFont="1" applyFill="1" applyBorder="1" applyAlignment="1">
      <alignment horizontal="center"/>
    </xf>
    <xf numFmtId="0" fontId="11" fillId="2" borderId="47" xfId="0" applyFont="1" applyFill="1" applyBorder="1" applyAlignment="1">
      <alignment horizontal="center"/>
    </xf>
    <xf numFmtId="39" fontId="11" fillId="2" borderId="47" xfId="0" applyNumberFormat="1" applyFont="1" applyFill="1" applyBorder="1" applyAlignment="1">
      <alignment horizontal="center"/>
    </xf>
    <xf numFmtId="0" fontId="12" fillId="2" borderId="46" xfId="0" applyFont="1" applyFill="1" applyBorder="1"/>
    <xf numFmtId="37" fontId="12" fillId="2" borderId="46" xfId="0" applyNumberFormat="1" applyFont="1" applyFill="1" applyBorder="1"/>
    <xf numFmtId="37" fontId="12" fillId="2" borderId="9" xfId="0" applyNumberFormat="1" applyFont="1" applyFill="1" applyBorder="1"/>
    <xf numFmtId="37" fontId="12" fillId="2" borderId="47" xfId="0" applyNumberFormat="1" applyFont="1" applyFill="1" applyBorder="1"/>
    <xf numFmtId="37" fontId="12" fillId="2" borderId="46" xfId="0" applyNumberFormat="1" applyFont="1" applyFill="1" applyBorder="1" applyAlignment="1">
      <alignment horizontal="center"/>
    </xf>
    <xf numFmtId="37" fontId="12" fillId="2" borderId="9" xfId="0" applyNumberFormat="1" applyFont="1" applyFill="1" applyBorder="1" applyAlignment="1">
      <alignment horizontal="center"/>
    </xf>
    <xf numFmtId="37" fontId="12" fillId="2" borderId="47" xfId="0" applyNumberFormat="1" applyFont="1" applyFill="1" applyBorder="1" applyAlignment="1">
      <alignment horizontal="center"/>
    </xf>
    <xf numFmtId="39" fontId="12" fillId="2" borderId="47" xfId="0" applyNumberFormat="1" applyFont="1" applyFill="1" applyBorder="1" applyAlignment="1">
      <alignment horizontal="center"/>
    </xf>
    <xf numFmtId="0" fontId="16" fillId="3" borderId="46" xfId="0" applyFont="1" applyFill="1" applyBorder="1"/>
    <xf numFmtId="37" fontId="16" fillId="3" borderId="46" xfId="0" applyNumberFormat="1" applyFont="1" applyFill="1" applyBorder="1"/>
    <xf numFmtId="37" fontId="16" fillId="3" borderId="9" xfId="0" applyNumberFormat="1" applyFont="1" applyFill="1" applyBorder="1"/>
    <xf numFmtId="37" fontId="16" fillId="3" borderId="47" xfId="0" applyNumberFormat="1" applyFont="1" applyFill="1" applyBorder="1"/>
    <xf numFmtId="37" fontId="16" fillId="2" borderId="47" xfId="0" applyNumberFormat="1" applyFont="1" applyFill="1" applyBorder="1"/>
    <xf numFmtId="37" fontId="16" fillId="3" borderId="46" xfId="0" applyNumberFormat="1" applyFont="1" applyFill="1" applyBorder="1" applyAlignment="1">
      <alignment horizontal="center"/>
    </xf>
    <xf numFmtId="37" fontId="16" fillId="3" borderId="9" xfId="0" applyNumberFormat="1" applyFont="1" applyFill="1" applyBorder="1" applyAlignment="1">
      <alignment horizontal="center"/>
    </xf>
    <xf numFmtId="37" fontId="16" fillId="3" borderId="47" xfId="0" applyNumberFormat="1" applyFont="1" applyFill="1" applyBorder="1" applyAlignment="1">
      <alignment horizontal="center"/>
    </xf>
    <xf numFmtId="39" fontId="16" fillId="3" borderId="47" xfId="0" applyNumberFormat="1" applyFont="1" applyFill="1" applyBorder="1" applyAlignment="1">
      <alignment horizontal="center"/>
    </xf>
    <xf numFmtId="0" fontId="16" fillId="2" borderId="48" xfId="0" applyFont="1" applyFill="1" applyBorder="1"/>
    <xf numFmtId="37" fontId="12" fillId="2" borderId="48" xfId="0" applyNumberFormat="1" applyFont="1" applyFill="1" applyBorder="1"/>
    <xf numFmtId="0" fontId="12" fillId="2" borderId="0" xfId="0" applyFont="1" applyFill="1"/>
    <xf numFmtId="37" fontId="12" fillId="2" borderId="49" xfId="0" applyNumberFormat="1" applyFont="1" applyFill="1" applyBorder="1"/>
    <xf numFmtId="37" fontId="12" fillId="2" borderId="48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37" fontId="12" fillId="2" borderId="49" xfId="0" applyNumberFormat="1" applyFont="1" applyFill="1" applyBorder="1" applyAlignment="1">
      <alignment horizontal="center"/>
    </xf>
    <xf numFmtId="39" fontId="12" fillId="2" borderId="49" xfId="0" applyNumberFormat="1" applyFont="1" applyFill="1" applyBorder="1" applyAlignment="1">
      <alignment horizontal="center"/>
    </xf>
    <xf numFmtId="0" fontId="12" fillId="2" borderId="48" xfId="0" applyFont="1" applyFill="1" applyBorder="1"/>
    <xf numFmtId="165" fontId="12" fillId="2" borderId="0" xfId="0" applyNumberFormat="1" applyFont="1" applyFill="1"/>
    <xf numFmtId="0" fontId="12" fillId="2" borderId="48" xfId="0" applyFont="1" applyFill="1" applyBorder="1" applyAlignment="1">
      <alignment horizontal="center"/>
    </xf>
    <xf numFmtId="165" fontId="12" fillId="2" borderId="0" xfId="0" applyNumberFormat="1" applyFont="1" applyFill="1" applyAlignment="1">
      <alignment horizontal="center"/>
    </xf>
    <xf numFmtId="165" fontId="12" fillId="2" borderId="9" xfId="0" applyNumberFormat="1" applyFont="1" applyFill="1" applyBorder="1"/>
    <xf numFmtId="0" fontId="12" fillId="2" borderId="46" xfId="0" applyFont="1" applyFill="1" applyBorder="1" applyAlignment="1">
      <alignment horizontal="center"/>
    </xf>
    <xf numFmtId="165" fontId="12" fillId="2" borderId="9" xfId="0" applyNumberFormat="1" applyFont="1" applyFill="1" applyBorder="1" applyAlignment="1">
      <alignment horizontal="center"/>
    </xf>
    <xf numFmtId="0" fontId="11" fillId="2" borderId="48" xfId="0" applyFont="1" applyFill="1" applyBorder="1"/>
    <xf numFmtId="0" fontId="16" fillId="3" borderId="50" xfId="0" applyFont="1" applyFill="1" applyBorder="1"/>
    <xf numFmtId="166" fontId="16" fillId="3" borderId="50" xfId="0" applyNumberFormat="1" applyFont="1" applyFill="1" applyBorder="1"/>
    <xf numFmtId="0" fontId="16" fillId="3" borderId="23" xfId="0" applyFont="1" applyFill="1" applyBorder="1"/>
    <xf numFmtId="37" fontId="16" fillId="3" borderId="51" xfId="0" applyNumberFormat="1" applyFont="1" applyFill="1" applyBorder="1"/>
    <xf numFmtId="37" fontId="16" fillId="2" borderId="51" xfId="0" applyNumberFormat="1" applyFont="1" applyFill="1" applyBorder="1"/>
    <xf numFmtId="166" fontId="16" fillId="3" borderId="50" xfId="0" applyNumberFormat="1" applyFont="1" applyFill="1" applyBorder="1" applyAlignment="1">
      <alignment horizontal="center"/>
    </xf>
    <xf numFmtId="0" fontId="16" fillId="3" borderId="23" xfId="0" applyFont="1" applyFill="1" applyBorder="1" applyAlignment="1">
      <alignment horizontal="center"/>
    </xf>
    <xf numFmtId="37" fontId="16" fillId="3" borderId="51" xfId="0" applyNumberFormat="1" applyFont="1" applyFill="1" applyBorder="1" applyAlignment="1">
      <alignment horizontal="center"/>
    </xf>
    <xf numFmtId="39" fontId="16" fillId="3" borderId="51" xfId="0" applyNumberFormat="1" applyFont="1" applyFill="1" applyBorder="1" applyAlignment="1">
      <alignment horizontal="center"/>
    </xf>
    <xf numFmtId="37" fontId="12" fillId="2" borderId="49" xfId="0" applyNumberFormat="1" applyFont="1" applyFill="1" applyBorder="1" applyProtection="1">
      <protection locked="0"/>
    </xf>
    <xf numFmtId="37" fontId="12" fillId="5" borderId="49" xfId="0" applyNumberFormat="1" applyFont="1" applyFill="1" applyBorder="1" applyProtection="1">
      <protection locked="0"/>
    </xf>
    <xf numFmtId="37" fontId="12" fillId="5" borderId="49" xfId="0" applyNumberFormat="1" applyFont="1" applyFill="1" applyBorder="1" applyAlignment="1" applyProtection="1">
      <alignment horizontal="center"/>
      <protection locked="0"/>
    </xf>
    <xf numFmtId="39" fontId="12" fillId="5" borderId="49" xfId="0" applyNumberFormat="1" applyFont="1" applyFill="1" applyBorder="1" applyAlignment="1" applyProtection="1">
      <alignment horizontal="center"/>
      <protection locked="0"/>
    </xf>
    <xf numFmtId="166" fontId="12" fillId="2" borderId="9" xfId="1" applyNumberFormat="1" applyFont="1" applyFill="1" applyBorder="1"/>
    <xf numFmtId="166" fontId="12" fillId="2" borderId="9" xfId="1" applyNumberFormat="1" applyFont="1" applyFill="1" applyBorder="1" applyAlignment="1">
      <alignment horizontal="center"/>
    </xf>
    <xf numFmtId="166" fontId="12" fillId="2" borderId="0" xfId="1" applyNumberFormat="1" applyFont="1" applyFill="1"/>
    <xf numFmtId="37" fontId="12" fillId="6" borderId="49" xfId="0" applyNumberFormat="1" applyFont="1" applyFill="1" applyBorder="1"/>
    <xf numFmtId="166" fontId="12" fillId="2" borderId="0" xfId="1" applyNumberFormat="1" applyFont="1" applyFill="1" applyAlignment="1">
      <alignment horizontal="center"/>
    </xf>
    <xf numFmtId="0" fontId="12" fillId="4" borderId="48" xfId="0" applyFont="1" applyFill="1" applyBorder="1"/>
    <xf numFmtId="165" fontId="16" fillId="3" borderId="23" xfId="0" applyNumberFormat="1" applyFont="1" applyFill="1" applyBorder="1"/>
    <xf numFmtId="165" fontId="16" fillId="3" borderId="23" xfId="0" applyNumberFormat="1" applyFont="1" applyFill="1" applyBorder="1" applyAlignment="1">
      <alignment horizontal="center"/>
    </xf>
    <xf numFmtId="0" fontId="12" fillId="2" borderId="52" xfId="0" applyFont="1" applyFill="1" applyBorder="1"/>
    <xf numFmtId="165" fontId="12" fillId="2" borderId="12" xfId="0" applyNumberFormat="1" applyFont="1" applyFill="1" applyBorder="1"/>
    <xf numFmtId="37" fontId="12" fillId="2" borderId="53" xfId="0" applyNumberFormat="1" applyFont="1" applyFill="1" applyBorder="1"/>
    <xf numFmtId="0" fontId="12" fillId="2" borderId="52" xfId="0" applyFont="1" applyFill="1" applyBorder="1" applyAlignment="1">
      <alignment horizontal="center"/>
    </xf>
    <xf numFmtId="165" fontId="12" fillId="2" borderId="12" xfId="0" applyNumberFormat="1" applyFont="1" applyFill="1" applyBorder="1" applyAlignment="1">
      <alignment horizontal="center"/>
    </xf>
    <xf numFmtId="37" fontId="12" fillId="2" borderId="53" xfId="0" applyNumberFormat="1" applyFont="1" applyFill="1" applyBorder="1" applyAlignment="1">
      <alignment horizontal="center"/>
    </xf>
    <xf numFmtId="39" fontId="12" fillId="2" borderId="53" xfId="0" applyNumberFormat="1" applyFont="1" applyFill="1" applyBorder="1" applyAlignment="1">
      <alignment horizontal="center"/>
    </xf>
    <xf numFmtId="0" fontId="12" fillId="2" borderId="54" xfId="0" applyFont="1" applyFill="1" applyBorder="1"/>
    <xf numFmtId="165" fontId="12" fillId="2" borderId="1" xfId="0" applyNumberFormat="1" applyFont="1" applyFill="1" applyBorder="1"/>
    <xf numFmtId="37" fontId="12" fillId="2" borderId="55" xfId="0" applyNumberFormat="1" applyFont="1" applyFill="1" applyBorder="1"/>
    <xf numFmtId="0" fontId="12" fillId="2" borderId="54" xfId="0" applyFont="1" applyFill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37" fontId="12" fillId="2" borderId="55" xfId="0" applyNumberFormat="1" applyFont="1" applyFill="1" applyBorder="1" applyAlignment="1">
      <alignment horizontal="center"/>
    </xf>
    <xf numFmtId="39" fontId="12" fillId="2" borderId="55" xfId="0" applyNumberFormat="1" applyFont="1" applyFill="1" applyBorder="1" applyAlignment="1">
      <alignment horizontal="center"/>
    </xf>
    <xf numFmtId="0" fontId="12" fillId="2" borderId="56" xfId="0" applyFont="1" applyFill="1" applyBorder="1"/>
    <xf numFmtId="37" fontId="12" fillId="6" borderId="49" xfId="0" applyNumberFormat="1" applyFont="1" applyFill="1" applyBorder="1" applyProtection="1">
      <protection locked="0"/>
    </xf>
    <xf numFmtId="37" fontId="12" fillId="2" borderId="47" xfId="0" applyNumberFormat="1" applyFont="1" applyFill="1" applyBorder="1" applyProtection="1">
      <protection locked="0"/>
    </xf>
    <xf numFmtId="37" fontId="12" fillId="6" borderId="47" xfId="0" applyNumberFormat="1" applyFont="1" applyFill="1" applyBorder="1" applyProtection="1">
      <protection locked="0"/>
    </xf>
    <xf numFmtId="37" fontId="12" fillId="5" borderId="47" xfId="0" applyNumberFormat="1" applyFont="1" applyFill="1" applyBorder="1" applyAlignment="1" applyProtection="1">
      <alignment horizontal="center"/>
      <protection locked="0"/>
    </xf>
    <xf numFmtId="39" fontId="12" fillId="5" borderId="47" xfId="0" applyNumberFormat="1" applyFont="1" applyFill="1" applyBorder="1" applyAlignment="1" applyProtection="1">
      <alignment horizontal="center"/>
      <protection locked="0"/>
    </xf>
    <xf numFmtId="0" fontId="17" fillId="2" borderId="0" xfId="0" applyFont="1" applyFill="1"/>
    <xf numFmtId="0" fontId="18" fillId="2" borderId="48" xfId="0" applyFont="1" applyFill="1" applyBorder="1"/>
    <xf numFmtId="0" fontId="18" fillId="2" borderId="0" xfId="0" applyFont="1" applyFill="1"/>
    <xf numFmtId="37" fontId="18" fillId="2" borderId="49" xfId="0" applyNumberFormat="1" applyFont="1" applyFill="1" applyBorder="1"/>
    <xf numFmtId="0" fontId="19" fillId="2" borderId="0" xfId="0" applyFont="1" applyFill="1"/>
    <xf numFmtId="0" fontId="18" fillId="2" borderId="48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37" fontId="18" fillId="2" borderId="49" xfId="0" applyNumberFormat="1" applyFont="1" applyFill="1" applyBorder="1" applyAlignment="1">
      <alignment horizontal="center"/>
    </xf>
    <xf numFmtId="39" fontId="18" fillId="2" borderId="49" xfId="0" applyNumberFormat="1" applyFont="1" applyFill="1" applyBorder="1" applyAlignment="1">
      <alignment horizontal="center"/>
    </xf>
    <xf numFmtId="166" fontId="16" fillId="2" borderId="52" xfId="0" applyNumberFormat="1" applyFont="1" applyFill="1" applyBorder="1"/>
    <xf numFmtId="0" fontId="16" fillId="2" borderId="12" xfId="0" applyFont="1" applyFill="1" applyBorder="1"/>
    <xf numFmtId="37" fontId="12" fillId="4" borderId="53" xfId="0" applyNumberFormat="1" applyFont="1" applyFill="1" applyBorder="1"/>
    <xf numFmtId="37" fontId="12" fillId="7" borderId="53" xfId="0" applyNumberFormat="1" applyFont="1" applyFill="1" applyBorder="1"/>
    <xf numFmtId="166" fontId="16" fillId="2" borderId="52" xfId="0" applyNumberFormat="1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37" fontId="12" fillId="4" borderId="53" xfId="0" applyNumberFormat="1" applyFont="1" applyFill="1" applyBorder="1" applyAlignment="1">
      <alignment horizontal="center"/>
    </xf>
    <xf numFmtId="39" fontId="12" fillId="4" borderId="53" xfId="0" applyNumberFormat="1" applyFont="1" applyFill="1" applyBorder="1" applyAlignment="1">
      <alignment horizontal="center"/>
    </xf>
    <xf numFmtId="166" fontId="16" fillId="2" borderId="48" xfId="0" applyNumberFormat="1" applyFont="1" applyFill="1" applyBorder="1"/>
    <xf numFmtId="0" fontId="16" fillId="2" borderId="0" xfId="0" applyFont="1" applyFill="1"/>
    <xf numFmtId="166" fontId="16" fillId="2" borderId="48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66" fontId="16" fillId="2" borderId="46" xfId="0" applyNumberFormat="1" applyFont="1" applyFill="1" applyBorder="1"/>
    <xf numFmtId="166" fontId="16" fillId="2" borderId="46" xfId="0" applyNumberFormat="1" applyFont="1" applyFill="1" applyBorder="1" applyAlignment="1">
      <alignment horizontal="center"/>
    </xf>
    <xf numFmtId="0" fontId="12" fillId="3" borderId="23" xfId="0" applyFont="1" applyFill="1" applyBorder="1"/>
    <xf numFmtId="0" fontId="12" fillId="3" borderId="23" xfId="0" applyFont="1" applyFill="1" applyBorder="1" applyAlignment="1">
      <alignment horizontal="center"/>
    </xf>
    <xf numFmtId="0" fontId="20" fillId="4" borderId="52" xfId="0" applyFont="1" applyFill="1" applyBorder="1"/>
    <xf numFmtId="0" fontId="18" fillId="4" borderId="12" xfId="0" applyFont="1" applyFill="1" applyBorder="1"/>
    <xf numFmtId="37" fontId="18" fillId="4" borderId="53" xfId="0" applyNumberFormat="1" applyFont="1" applyFill="1" applyBorder="1"/>
    <xf numFmtId="37" fontId="18" fillId="2" borderId="53" xfId="0" applyNumberFormat="1" applyFont="1" applyFill="1" applyBorder="1"/>
    <xf numFmtId="0" fontId="20" fillId="4" borderId="52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7" fontId="18" fillId="4" borderId="53" xfId="0" applyNumberFormat="1" applyFont="1" applyFill="1" applyBorder="1" applyAlignment="1">
      <alignment horizontal="center"/>
    </xf>
    <xf numFmtId="39" fontId="18" fillId="4" borderId="53" xfId="0" applyNumberFormat="1" applyFont="1" applyFill="1" applyBorder="1" applyAlignment="1">
      <alignment horizontal="center"/>
    </xf>
    <xf numFmtId="0" fontId="16" fillId="3" borderId="57" xfId="0" applyFont="1" applyFill="1" applyBorder="1"/>
    <xf numFmtId="0" fontId="16" fillId="3" borderId="58" xfId="0" applyFont="1" applyFill="1" applyBorder="1" applyAlignment="1">
      <alignment horizontal="center"/>
    </xf>
    <xf numFmtId="166" fontId="16" fillId="3" borderId="43" xfId="0" applyNumberFormat="1" applyFont="1" applyFill="1" applyBorder="1"/>
    <xf numFmtId="37" fontId="16" fillId="3" borderId="59" xfId="0" applyNumberFormat="1" applyFont="1" applyFill="1" applyBorder="1"/>
    <xf numFmtId="37" fontId="16" fillId="2" borderId="59" xfId="0" applyNumberFormat="1" applyFont="1" applyFill="1" applyBorder="1"/>
    <xf numFmtId="166" fontId="16" fillId="3" borderId="43" xfId="0" applyNumberFormat="1" applyFont="1" applyFill="1" applyBorder="1" applyAlignment="1">
      <alignment horizontal="center"/>
    </xf>
    <xf numFmtId="37" fontId="16" fillId="3" borderId="59" xfId="0" applyNumberFormat="1" applyFont="1" applyFill="1" applyBorder="1" applyAlignment="1">
      <alignment horizontal="center"/>
    </xf>
    <xf numFmtId="39" fontId="16" fillId="3" borderId="59" xfId="0" applyNumberFormat="1" applyFont="1" applyFill="1" applyBorder="1" applyAlignment="1">
      <alignment horizontal="center"/>
    </xf>
    <xf numFmtId="37" fontId="0" fillId="2" borderId="0" xfId="0" applyNumberFormat="1" applyFill="1"/>
    <xf numFmtId="39" fontId="12" fillId="2" borderId="0" xfId="0" applyNumberFormat="1" applyFont="1" applyFill="1"/>
    <xf numFmtId="39" fontId="12" fillId="2" borderId="0" xfId="0" applyNumberFormat="1" applyFont="1" applyFill="1" applyAlignment="1">
      <alignment horizontal="center"/>
    </xf>
    <xf numFmtId="0" fontId="16" fillId="3" borderId="60" xfId="0" applyFont="1" applyFill="1" applyBorder="1"/>
    <xf numFmtId="0" fontId="16" fillId="3" borderId="61" xfId="0" applyFont="1" applyFill="1" applyBorder="1" applyAlignment="1">
      <alignment horizontal="center"/>
    </xf>
    <xf numFmtId="166" fontId="16" fillId="3" borderId="62" xfId="0" applyNumberFormat="1" applyFont="1" applyFill="1" applyBorder="1"/>
    <xf numFmtId="37" fontId="16" fillId="3" borderId="63" xfId="0" applyNumberFormat="1" applyFont="1" applyFill="1" applyBorder="1"/>
    <xf numFmtId="37" fontId="16" fillId="2" borderId="63" xfId="0" applyNumberFormat="1" applyFont="1" applyFill="1" applyBorder="1"/>
    <xf numFmtId="166" fontId="16" fillId="3" borderId="62" xfId="0" applyNumberFormat="1" applyFont="1" applyFill="1" applyBorder="1" applyAlignment="1">
      <alignment horizontal="center"/>
    </xf>
    <xf numFmtId="4" fontId="16" fillId="3" borderId="63" xfId="0" applyNumberFormat="1" applyFont="1" applyFill="1" applyBorder="1" applyAlignment="1">
      <alignment horizontal="center"/>
    </xf>
    <xf numFmtId="37" fontId="16" fillId="3" borderId="63" xfId="0" applyNumberFormat="1" applyFont="1" applyFill="1" applyBorder="1" applyAlignment="1">
      <alignment horizontal="center"/>
    </xf>
    <xf numFmtId="39" fontId="16" fillId="3" borderId="63" xfId="0" applyNumberFormat="1" applyFont="1" applyFill="1" applyBorder="1" applyAlignment="1">
      <alignment horizontal="center"/>
    </xf>
    <xf numFmtId="0" fontId="21" fillId="2" borderId="64" xfId="0" applyFont="1" applyFill="1" applyBorder="1"/>
    <xf numFmtId="0" fontId="21" fillId="2" borderId="48" xfId="0" applyFont="1" applyFill="1" applyBorder="1"/>
    <xf numFmtId="0" fontId="21" fillId="2" borderId="0" xfId="0" applyFont="1" applyFill="1"/>
    <xf numFmtId="0" fontId="21" fillId="2" borderId="49" xfId="0" applyFont="1" applyFill="1" applyBorder="1"/>
    <xf numFmtId="0" fontId="21" fillId="2" borderId="48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49" xfId="0" applyFont="1" applyFill="1" applyBorder="1" applyAlignment="1">
      <alignment horizontal="center"/>
    </xf>
    <xf numFmtId="39" fontId="21" fillId="2" borderId="49" xfId="0" applyNumberFormat="1" applyFont="1" applyFill="1" applyBorder="1" applyAlignment="1">
      <alignment horizontal="center"/>
    </xf>
    <xf numFmtId="0" fontId="12" fillId="2" borderId="64" xfId="0" applyFont="1" applyFill="1" applyBorder="1"/>
    <xf numFmtId="0" fontId="8" fillId="2" borderId="48" xfId="0" applyFont="1" applyFill="1" applyBorder="1"/>
    <xf numFmtId="0" fontId="8" fillId="2" borderId="48" xfId="0" applyFont="1" applyFill="1" applyBorder="1" applyAlignment="1">
      <alignment horizontal="center"/>
    </xf>
    <xf numFmtId="0" fontId="11" fillId="2" borderId="48" xfId="0" applyFont="1" applyFill="1" applyBorder="1" applyAlignment="1">
      <alignment horizontal="center"/>
    </xf>
    <xf numFmtId="0" fontId="10" fillId="2" borderId="48" xfId="0" applyFont="1" applyFill="1" applyBorder="1"/>
    <xf numFmtId="0" fontId="10" fillId="2" borderId="48" xfId="0" applyFont="1" applyFill="1" applyBorder="1" applyAlignment="1">
      <alignment horizontal="center"/>
    </xf>
    <xf numFmtId="0" fontId="11" fillId="2" borderId="64" xfId="0" applyFont="1" applyFill="1" applyBorder="1"/>
    <xf numFmtId="39" fontId="12" fillId="2" borderId="49" xfId="0" applyNumberFormat="1" applyFont="1" applyFill="1" applyBorder="1" applyAlignment="1" applyProtection="1">
      <alignment horizontal="center"/>
      <protection locked="0"/>
    </xf>
    <xf numFmtId="0" fontId="11" fillId="2" borderId="65" xfId="0" applyFont="1" applyFill="1" applyBorder="1"/>
    <xf numFmtId="0" fontId="16" fillId="3" borderId="66" xfId="0" applyFont="1" applyFill="1" applyBorder="1"/>
    <xf numFmtId="0" fontId="16" fillId="3" borderId="67" xfId="0" applyFont="1" applyFill="1" applyBorder="1" applyAlignment="1">
      <alignment horizontal="center"/>
    </xf>
    <xf numFmtId="166" fontId="16" fillId="3" borderId="68" xfId="0" applyNumberFormat="1" applyFont="1" applyFill="1" applyBorder="1"/>
    <xf numFmtId="37" fontId="16" fillId="3" borderId="69" xfId="0" applyNumberFormat="1" applyFont="1" applyFill="1" applyBorder="1"/>
    <xf numFmtId="37" fontId="16" fillId="2" borderId="69" xfId="0" applyNumberFormat="1" applyFont="1" applyFill="1" applyBorder="1"/>
    <xf numFmtId="166" fontId="16" fillId="3" borderId="68" xfId="0" applyNumberFormat="1" applyFont="1" applyFill="1" applyBorder="1" applyAlignment="1">
      <alignment horizontal="center"/>
    </xf>
    <xf numFmtId="37" fontId="16" fillId="3" borderId="69" xfId="0" applyNumberFormat="1" applyFont="1" applyFill="1" applyBorder="1" applyAlignment="1">
      <alignment horizontal="center"/>
    </xf>
    <xf numFmtId="39" fontId="16" fillId="3" borderId="69" xfId="0" applyNumberFormat="1" applyFont="1" applyFill="1" applyBorder="1" applyAlignment="1">
      <alignment horizontal="center"/>
    </xf>
    <xf numFmtId="39" fontId="21" fillId="2" borderId="0" xfId="0" applyNumberFormat="1" applyFont="1" applyFill="1" applyAlignment="1">
      <alignment horizontal="center"/>
    </xf>
    <xf numFmtId="37" fontId="21" fillId="2" borderId="0" xfId="0" applyNumberFormat="1" applyFont="1" applyFill="1"/>
    <xf numFmtId="37" fontId="21" fillId="2" borderId="0" xfId="0" applyNumberFormat="1" applyFont="1" applyFill="1" applyAlignment="1">
      <alignment horizontal="center"/>
    </xf>
    <xf numFmtId="0" fontId="22" fillId="0" borderId="0" xfId="0" applyFont="1"/>
    <xf numFmtId="0" fontId="23" fillId="2" borderId="70" xfId="0" applyFont="1" applyFill="1" applyBorder="1"/>
    <xf numFmtId="0" fontId="0" fillId="2" borderId="71" xfId="0" applyFill="1" applyBorder="1"/>
    <xf numFmtId="0" fontId="21" fillId="2" borderId="72" xfId="0" applyFont="1" applyFill="1" applyBorder="1"/>
    <xf numFmtId="37" fontId="16" fillId="2" borderId="73" xfId="0" applyNumberFormat="1" applyFont="1" applyFill="1" applyBorder="1"/>
    <xf numFmtId="0" fontId="21" fillId="2" borderId="71" xfId="0" applyFont="1" applyFill="1" applyBorder="1"/>
    <xf numFmtId="0" fontId="21" fillId="2" borderId="71" xfId="0" applyFont="1" applyFill="1" applyBorder="1" applyAlignment="1">
      <alignment horizontal="center"/>
    </xf>
    <xf numFmtId="0" fontId="21" fillId="2" borderId="72" xfId="0" applyFont="1" applyFill="1" applyBorder="1" applyAlignment="1">
      <alignment horizontal="center"/>
    </xf>
    <xf numFmtId="37" fontId="16" fillId="2" borderId="73" xfId="0" applyNumberFormat="1" applyFont="1" applyFill="1" applyBorder="1" applyAlignment="1">
      <alignment horizontal="center"/>
    </xf>
    <xf numFmtId="39" fontId="16" fillId="2" borderId="73" xfId="0" applyNumberFormat="1" applyFont="1" applyFill="1" applyBorder="1" applyAlignment="1">
      <alignment horizontal="center"/>
    </xf>
    <xf numFmtId="0" fontId="24" fillId="0" borderId="0" xfId="0" applyFont="1"/>
    <xf numFmtId="0" fontId="25" fillId="2" borderId="74" xfId="0" applyFont="1" applyFill="1" applyBorder="1"/>
    <xf numFmtId="0" fontId="0" fillId="2" borderId="75" xfId="0" applyFill="1" applyBorder="1"/>
    <xf numFmtId="37" fontId="26" fillId="2" borderId="76" xfId="0" applyNumberFormat="1" applyFont="1" applyFill="1" applyBorder="1"/>
    <xf numFmtId="0" fontId="21" fillId="2" borderId="75" xfId="0" applyFont="1" applyFill="1" applyBorder="1"/>
    <xf numFmtId="0" fontId="21" fillId="2" borderId="75" xfId="0" applyFont="1" applyFill="1" applyBorder="1" applyAlignment="1">
      <alignment horizontal="center"/>
    </xf>
    <xf numFmtId="37" fontId="26" fillId="2" borderId="76" xfId="0" applyNumberFormat="1" applyFont="1" applyFill="1" applyBorder="1" applyAlignment="1">
      <alignment horizontal="center"/>
    </xf>
    <xf numFmtId="39" fontId="26" fillId="2" borderId="76" xfId="0" applyNumberFormat="1" applyFont="1" applyFill="1" applyBorder="1" applyAlignment="1">
      <alignment horizontal="center"/>
    </xf>
    <xf numFmtId="0" fontId="21" fillId="4" borderId="0" xfId="0" applyFont="1" applyFill="1"/>
    <xf numFmtId="0" fontId="21" fillId="4" borderId="75" xfId="0" applyFont="1" applyFill="1" applyBorder="1"/>
    <xf numFmtId="0" fontId="21" fillId="4" borderId="75" xfId="0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37" fontId="21" fillId="4" borderId="0" xfId="0" applyNumberFormat="1" applyFont="1" applyFill="1"/>
    <xf numFmtId="166" fontId="21" fillId="4" borderId="75" xfId="0" applyNumberFormat="1" applyFont="1" applyFill="1" applyBorder="1"/>
    <xf numFmtId="166" fontId="21" fillId="4" borderId="75" xfId="0" applyNumberFormat="1" applyFont="1" applyFill="1" applyBorder="1" applyAlignment="1">
      <alignment horizontal="center"/>
    </xf>
    <xf numFmtId="37" fontId="21" fillId="4" borderId="0" xfId="0" applyNumberFormat="1" applyFont="1" applyFill="1" applyAlignment="1">
      <alignment horizontal="center"/>
    </xf>
    <xf numFmtId="0" fontId="23" fillId="2" borderId="74" xfId="0" applyFont="1" applyFill="1" applyBorder="1"/>
    <xf numFmtId="37" fontId="16" fillId="2" borderId="76" xfId="0" applyNumberFormat="1" applyFont="1" applyFill="1" applyBorder="1"/>
    <xf numFmtId="37" fontId="16" fillId="2" borderId="76" xfId="0" applyNumberFormat="1" applyFont="1" applyFill="1" applyBorder="1" applyAlignment="1">
      <alignment horizontal="center"/>
    </xf>
    <xf numFmtId="39" fontId="16" fillId="2" borderId="76" xfId="0" applyNumberFormat="1" applyFont="1" applyFill="1" applyBorder="1" applyAlignment="1">
      <alignment horizontal="center"/>
    </xf>
    <xf numFmtId="0" fontId="27" fillId="4" borderId="74" xfId="0" applyFont="1" applyFill="1" applyBorder="1"/>
    <xf numFmtId="0" fontId="21" fillId="4" borderId="76" xfId="0" applyFont="1" applyFill="1" applyBorder="1"/>
    <xf numFmtId="0" fontId="21" fillId="2" borderId="76" xfId="0" applyFont="1" applyFill="1" applyBorder="1"/>
    <xf numFmtId="0" fontId="21" fillId="4" borderId="76" xfId="0" applyFont="1" applyFill="1" applyBorder="1" applyAlignment="1">
      <alignment horizontal="center"/>
    </xf>
    <xf numFmtId="39" fontId="21" fillId="4" borderId="76" xfId="0" applyNumberFormat="1" applyFont="1" applyFill="1" applyBorder="1" applyAlignment="1">
      <alignment horizontal="center"/>
    </xf>
    <xf numFmtId="0" fontId="3" fillId="2" borderId="0" xfId="0" applyFont="1" applyFill="1"/>
    <xf numFmtId="0" fontId="21" fillId="4" borderId="74" xfId="0" applyFont="1" applyFill="1" applyBorder="1"/>
    <xf numFmtId="166" fontId="27" fillId="4" borderId="75" xfId="0" applyNumberFormat="1" applyFont="1" applyFill="1" applyBorder="1"/>
    <xf numFmtId="37" fontId="27" fillId="4" borderId="0" xfId="0" applyNumberFormat="1" applyFont="1" applyFill="1"/>
    <xf numFmtId="166" fontId="27" fillId="4" borderId="75" xfId="0" applyNumberFormat="1" applyFont="1" applyFill="1" applyBorder="1" applyAlignment="1">
      <alignment horizontal="center"/>
    </xf>
    <xf numFmtId="37" fontId="27" fillId="4" borderId="0" xfId="0" applyNumberFormat="1" applyFont="1" applyFill="1" applyAlignment="1">
      <alignment horizontal="center"/>
    </xf>
    <xf numFmtId="37" fontId="21" fillId="4" borderId="77" xfId="0" applyNumberFormat="1" applyFont="1" applyFill="1" applyBorder="1"/>
    <xf numFmtId="166" fontId="21" fillId="4" borderId="78" xfId="0" applyNumberFormat="1" applyFont="1" applyFill="1" applyBorder="1"/>
    <xf numFmtId="37" fontId="26" fillId="2" borderId="79" xfId="0" applyNumberFormat="1" applyFont="1" applyFill="1" applyBorder="1"/>
    <xf numFmtId="37" fontId="21" fillId="4" borderId="75" xfId="0" applyNumberFormat="1" applyFont="1" applyFill="1" applyBorder="1"/>
    <xf numFmtId="166" fontId="21" fillId="4" borderId="0" xfId="0" applyNumberFormat="1" applyFont="1" applyFill="1"/>
    <xf numFmtId="37" fontId="21" fillId="4" borderId="77" xfId="0" applyNumberFormat="1" applyFont="1" applyFill="1" applyBorder="1" applyAlignment="1">
      <alignment horizontal="center"/>
    </xf>
    <xf numFmtId="166" fontId="21" fillId="4" borderId="78" xfId="0" applyNumberFormat="1" applyFont="1" applyFill="1" applyBorder="1" applyAlignment="1">
      <alignment horizontal="center"/>
    </xf>
    <xf numFmtId="37" fontId="26" fillId="2" borderId="79" xfId="0" applyNumberFormat="1" applyFont="1" applyFill="1" applyBorder="1" applyAlignment="1">
      <alignment horizontal="center"/>
    </xf>
    <xf numFmtId="39" fontId="26" fillId="2" borderId="79" xfId="0" applyNumberFormat="1" applyFont="1" applyFill="1" applyBorder="1" applyAlignment="1">
      <alignment horizontal="center"/>
    </xf>
    <xf numFmtId="0" fontId="28" fillId="2" borderId="70" xfId="0" applyFont="1" applyFill="1" applyBorder="1"/>
    <xf numFmtId="0" fontId="0" fillId="2" borderId="72" xfId="0" applyFill="1" applyBorder="1"/>
    <xf numFmtId="37" fontId="0" fillId="2" borderId="73" xfId="0" applyNumberFormat="1" applyFill="1" applyBorder="1"/>
    <xf numFmtId="0" fontId="29" fillId="2" borderId="80" xfId="0" applyFont="1" applyFill="1" applyBorder="1"/>
    <xf numFmtId="0" fontId="2" fillId="2" borderId="77" xfId="0" applyFont="1" applyFill="1" applyBorder="1"/>
    <xf numFmtId="0" fontId="2" fillId="2" borderId="78" xfId="0" applyFont="1" applyFill="1" applyBorder="1"/>
    <xf numFmtId="37" fontId="2" fillId="2" borderId="79" xfId="0" applyNumberFormat="1" applyFont="1" applyFill="1" applyBorder="1"/>
    <xf numFmtId="0" fontId="2" fillId="2" borderId="0" xfId="0" applyFont="1" applyFill="1"/>
    <xf numFmtId="39" fontId="0" fillId="2" borderId="0" xfId="0" applyNumberForma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11" fillId="6" borderId="7" xfId="0" applyNumberFormat="1" applyFont="1" applyFill="1" applyBorder="1"/>
    <xf numFmtId="37" fontId="11" fillId="6" borderId="5" xfId="0" applyNumberFormat="1" applyFont="1" applyFill="1" applyBorder="1" applyProtection="1">
      <protection locked="0"/>
    </xf>
    <xf numFmtId="2" fontId="11" fillId="6" borderId="9" xfId="0" applyNumberFormat="1" applyFont="1" applyFill="1" applyBorder="1"/>
    <xf numFmtId="37" fontId="11" fillId="6" borderId="10" xfId="0" applyNumberFormat="1" applyFont="1" applyFill="1" applyBorder="1" applyProtection="1">
      <protection locked="0"/>
    </xf>
    <xf numFmtId="37" fontId="11" fillId="6" borderId="6" xfId="0" applyNumberFormat="1" applyFont="1" applyFill="1" applyBorder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isques%20partag&#233;s\2-%20QG%20FP&amp;A\2.1-%20Analyses%20r&#233;currentes\2.1.1%20Forecast%20&amp;%20r&#233;alis&#233;s\2025\08-Ao&#251;t\2025-08_Conso.xlsx" TargetMode="External"/><Relationship Id="rId1" Type="http://schemas.openxmlformats.org/officeDocument/2006/relationships/externalLinkPath" Target="/Disques%20partag&#233;s/2-%20QG%20FP&amp;A/2.1-%20Analyses%20r&#233;currentes/2.1.1%20Forecast%20&amp;%20r&#233;alis&#233;s/2025/08-Ao&#251;t/2025-08_Cons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isques%20partag&#233;s\2-%20QG%20FP&amp;A\2.1-%20Analyses%20r&#233;currentes\2.1.1%20Forecast%20&amp;%20r&#233;alis&#233;s\2025\08-Ao&#251;t\2025-08_Conso%20AAD.xlsx" TargetMode="External"/><Relationship Id="rId1" Type="http://schemas.openxmlformats.org/officeDocument/2006/relationships/externalLinkPath" Target="/Disques%20partag&#233;s/2-%20QG%20FP&amp;A/2.1-%20Analyses%20r&#233;currentes/2.1.1%20Forecast%20&amp;%20r&#233;alis&#233;s/2025/08-Ao&#251;t/2025-08_Conso%20A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ètres"/>
      <sheetName val="Actual vs Pacing"/>
      <sheetName val="Date livrable fin de mois"/>
      <sheetName val="Actual vs Budget AAD"/>
      <sheetName val="Actual vs Pacing AAD"/>
      <sheetName val="Budget &amp; Pacing"/>
      <sheetName val="CTRL"/>
      <sheetName val="Choix du chef"/>
      <sheetName val="DATA BASE"/>
      <sheetName val="Conso"/>
      <sheetName val="AUDI"/>
      <sheetName val="INFINITI"/>
      <sheetName val="MCPA cons."/>
      <sheetName val="HONDA"/>
      <sheetName val="TOYOTA"/>
      <sheetName val="VOLKS"/>
      <sheetName val="BMW PA"/>
      <sheetName val="MINI"/>
      <sheetName val="BMW STJ"/>
      <sheetName val="LEXUS"/>
      <sheetName val="BMW SHER"/>
      <sheetName val="SSMB"/>
      <sheetName val="MBQ"/>
      <sheetName val="VOLVO"/>
      <sheetName val="JLR"/>
      <sheetName val="LHD"/>
      <sheetName val="GPAC"/>
      <sheetName val="COMPLEXE"/>
      <sheetName val="GPA"/>
      <sheetName val="MCPA new"/>
      <sheetName val="Side by side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L5">
            <v>6936234.7999999998</v>
          </cell>
        </row>
      </sheetData>
      <sheetData sheetId="11"/>
      <sheetData sheetId="12"/>
      <sheetData sheetId="13"/>
      <sheetData sheetId="14"/>
      <sheetData sheetId="15">
        <row r="5">
          <cell r="L5">
            <v>3610810.15</v>
          </cell>
        </row>
        <row r="6">
          <cell r="J6">
            <v>15</v>
          </cell>
          <cell r="L6">
            <v>36638.479999999901</v>
          </cell>
        </row>
        <row r="7">
          <cell r="J7">
            <v>49</v>
          </cell>
          <cell r="L7">
            <v>110464.98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5">
          <cell r="J15">
            <v>3</v>
          </cell>
          <cell r="L15">
            <v>2828.48000000001</v>
          </cell>
        </row>
        <row r="17">
          <cell r="J17">
            <v>2</v>
          </cell>
          <cell r="L17">
            <v>1811.83</v>
          </cell>
        </row>
        <row r="19">
          <cell r="L19">
            <v>9461.7300000000396</v>
          </cell>
        </row>
        <row r="21">
          <cell r="L21">
            <v>1693.41</v>
          </cell>
        </row>
        <row r="22">
          <cell r="L22">
            <v>62996.88</v>
          </cell>
        </row>
        <row r="23">
          <cell r="L23">
            <v>399.11</v>
          </cell>
        </row>
        <row r="31">
          <cell r="L31">
            <v>47758.64</v>
          </cell>
        </row>
        <row r="32">
          <cell r="L32">
            <v>16272.01</v>
          </cell>
        </row>
        <row r="33">
          <cell r="L33">
            <v>5254.47</v>
          </cell>
        </row>
        <row r="34">
          <cell r="L34">
            <v>572.64</v>
          </cell>
        </row>
        <row r="35">
          <cell r="L35">
            <v>3361.54</v>
          </cell>
        </row>
        <row r="36">
          <cell r="L36">
            <v>5828.4</v>
          </cell>
        </row>
        <row r="37">
          <cell r="L37">
            <v>1498.61</v>
          </cell>
        </row>
        <row r="42">
          <cell r="L42">
            <v>18122.89</v>
          </cell>
        </row>
        <row r="43">
          <cell r="L43">
            <v>15664.78</v>
          </cell>
        </row>
        <row r="44">
          <cell r="L44">
            <v>1579.5</v>
          </cell>
        </row>
        <row r="45">
          <cell r="L45">
            <v>0</v>
          </cell>
        </row>
        <row r="49">
          <cell r="L49">
            <v>11090.84</v>
          </cell>
        </row>
        <row r="50">
          <cell r="L50">
            <v>13852.73</v>
          </cell>
        </row>
        <row r="51">
          <cell r="L51">
            <v>7016.94</v>
          </cell>
        </row>
        <row r="52">
          <cell r="L52">
            <v>2868.85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9933.1299999999992</v>
          </cell>
        </row>
        <row r="58">
          <cell r="L58">
            <v>6190.88</v>
          </cell>
        </row>
        <row r="59">
          <cell r="L59">
            <v>765.11</v>
          </cell>
        </row>
        <row r="60">
          <cell r="L60">
            <v>6440.06</v>
          </cell>
        </row>
        <row r="61">
          <cell r="L61">
            <v>131.91</v>
          </cell>
        </row>
        <row r="62">
          <cell r="L62">
            <v>0</v>
          </cell>
        </row>
        <row r="63">
          <cell r="L63">
            <v>821.13</v>
          </cell>
        </row>
        <row r="64">
          <cell r="L64">
            <v>467.29</v>
          </cell>
        </row>
        <row r="65">
          <cell r="L65">
            <v>204.13</v>
          </cell>
        </row>
        <row r="66">
          <cell r="L66">
            <v>62.72</v>
          </cell>
        </row>
        <row r="67">
          <cell r="L67">
            <v>620.33000000000004</v>
          </cell>
        </row>
        <row r="68">
          <cell r="L68">
            <v>3804.86</v>
          </cell>
        </row>
        <row r="75">
          <cell r="L75">
            <v>19414.2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80559</v>
          </cell>
        </row>
        <row r="82">
          <cell r="L82">
            <v>33150</v>
          </cell>
        </row>
        <row r="93">
          <cell r="L93">
            <v>1633303.65</v>
          </cell>
        </row>
        <row r="94">
          <cell r="J94">
            <v>27</v>
          </cell>
          <cell r="L94">
            <v>15027.56</v>
          </cell>
        </row>
        <row r="95">
          <cell r="J95">
            <v>0</v>
          </cell>
          <cell r="L95">
            <v>0</v>
          </cell>
        </row>
        <row r="96">
          <cell r="J96">
            <v>0</v>
          </cell>
          <cell r="L96">
            <v>0</v>
          </cell>
        </row>
        <row r="100">
          <cell r="J100">
            <v>50</v>
          </cell>
          <cell r="L100">
            <v>31850.43</v>
          </cell>
        </row>
        <row r="102">
          <cell r="L102">
            <v>12008.24</v>
          </cell>
        </row>
        <row r="103">
          <cell r="L103">
            <v>44994.13</v>
          </cell>
        </row>
        <row r="104">
          <cell r="L104">
            <v>1843.81</v>
          </cell>
        </row>
        <row r="112">
          <cell r="L112">
            <v>12829.19</v>
          </cell>
        </row>
        <row r="113">
          <cell r="L113">
            <v>17527.689999999999</v>
          </cell>
        </row>
        <row r="114">
          <cell r="L114">
            <v>-332.59</v>
          </cell>
        </row>
        <row r="115">
          <cell r="L115">
            <v>577</v>
          </cell>
        </row>
        <row r="116">
          <cell r="L116">
            <v>3613.13</v>
          </cell>
        </row>
        <row r="117">
          <cell r="L117">
            <v>10992.3</v>
          </cell>
        </row>
        <row r="118">
          <cell r="L118">
            <v>2127.79</v>
          </cell>
        </row>
        <row r="122">
          <cell r="L122">
            <v>47334.51</v>
          </cell>
        </row>
        <row r="123">
          <cell r="L123">
            <v>12758.11</v>
          </cell>
        </row>
        <row r="124">
          <cell r="L124">
            <v>2021.62</v>
          </cell>
        </row>
        <row r="125">
          <cell r="L125">
            <v>5127.5</v>
          </cell>
        </row>
        <row r="126">
          <cell r="L126">
            <v>0</v>
          </cell>
        </row>
        <row r="130">
          <cell r="L130">
            <v>7565.74</v>
          </cell>
        </row>
        <row r="131">
          <cell r="L131">
            <v>8319.08</v>
          </cell>
        </row>
        <row r="132">
          <cell r="L132">
            <v>4530.37</v>
          </cell>
        </row>
        <row r="133">
          <cell r="L133">
            <v>668.49</v>
          </cell>
        </row>
        <row r="135">
          <cell r="L135">
            <v>40990.910000000003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3713.41</v>
          </cell>
        </row>
        <row r="139">
          <cell r="L139">
            <v>2511.3200000000002</v>
          </cell>
        </row>
        <row r="140">
          <cell r="L140">
            <v>368.72</v>
          </cell>
        </row>
        <row r="141">
          <cell r="L141">
            <v>2495.13</v>
          </cell>
        </row>
        <row r="142">
          <cell r="L142">
            <v>118.81</v>
          </cell>
        </row>
        <row r="143">
          <cell r="L143">
            <v>0</v>
          </cell>
        </row>
        <row r="144">
          <cell r="L144">
            <v>295.08999999999997</v>
          </cell>
        </row>
        <row r="145">
          <cell r="L145">
            <v>107.71</v>
          </cell>
        </row>
        <row r="146">
          <cell r="L146">
            <v>76.55</v>
          </cell>
        </row>
        <row r="147">
          <cell r="L147">
            <v>23.52</v>
          </cell>
        </row>
        <row r="148">
          <cell r="L148">
            <v>157.62</v>
          </cell>
        </row>
        <row r="149">
          <cell r="L149">
            <v>842.24</v>
          </cell>
        </row>
        <row r="153">
          <cell r="L153">
            <v>10710.119999999901</v>
          </cell>
        </row>
        <row r="156">
          <cell r="L156">
            <v>0</v>
          </cell>
        </row>
        <row r="157">
          <cell r="L157">
            <v>0</v>
          </cell>
        </row>
        <row r="159">
          <cell r="L159">
            <v>13008</v>
          </cell>
        </row>
        <row r="172">
          <cell r="J172">
            <v>352</v>
          </cell>
          <cell r="K172">
            <v>135526.82</v>
          </cell>
          <cell r="L172">
            <v>108766.59</v>
          </cell>
        </row>
        <row r="175">
          <cell r="J175">
            <v>170</v>
          </cell>
          <cell r="K175">
            <v>70265.14</v>
          </cell>
          <cell r="L175">
            <v>43801.95</v>
          </cell>
        </row>
        <row r="178">
          <cell r="J178">
            <v>324</v>
          </cell>
          <cell r="K178">
            <v>96307.43</v>
          </cell>
          <cell r="L178">
            <v>76952.459999999905</v>
          </cell>
        </row>
        <row r="181">
          <cell r="J181">
            <v>0</v>
          </cell>
          <cell r="K181">
            <v>5277.1</v>
          </cell>
          <cell r="L181">
            <v>4045.75</v>
          </cell>
        </row>
        <row r="184">
          <cell r="L184">
            <v>-2042.11</v>
          </cell>
        </row>
        <row r="188">
          <cell r="K188">
            <v>17632.02</v>
          </cell>
          <cell r="L188">
            <v>3914.47999999999</v>
          </cell>
        </row>
        <row r="191">
          <cell r="K191">
            <v>8876.7999999999993</v>
          </cell>
          <cell r="L191">
            <v>3659.7999999999902</v>
          </cell>
        </row>
        <row r="198">
          <cell r="L198">
            <v>15957.95</v>
          </cell>
        </row>
        <row r="199">
          <cell r="L199">
            <v>8950.11</v>
          </cell>
        </row>
        <row r="200">
          <cell r="L200">
            <v>16216.28</v>
          </cell>
        </row>
        <row r="201">
          <cell r="L201">
            <v>27254.48</v>
          </cell>
        </row>
        <row r="205">
          <cell r="L205">
            <v>15814.18</v>
          </cell>
        </row>
        <row r="206">
          <cell r="L206">
            <v>19763.599999999999</v>
          </cell>
        </row>
        <row r="207">
          <cell r="L207">
            <v>11229.07</v>
          </cell>
        </row>
        <row r="208">
          <cell r="L208">
            <v>4409.13</v>
          </cell>
        </row>
        <row r="211">
          <cell r="L211">
            <v>11626.62</v>
          </cell>
        </row>
        <row r="212">
          <cell r="L212">
            <v>4457.92</v>
          </cell>
        </row>
        <row r="213">
          <cell r="L213">
            <v>7819.27</v>
          </cell>
        </row>
        <row r="214">
          <cell r="L214">
            <v>5210.01</v>
          </cell>
        </row>
        <row r="215">
          <cell r="L215">
            <v>844.56</v>
          </cell>
        </row>
        <row r="216">
          <cell r="L216">
            <v>13899.75</v>
          </cell>
        </row>
        <row r="217">
          <cell r="L217">
            <v>0</v>
          </cell>
        </row>
        <row r="218">
          <cell r="L218">
            <v>7129.03</v>
          </cell>
        </row>
        <row r="219">
          <cell r="L219">
            <v>1109.3</v>
          </cell>
        </row>
        <row r="220">
          <cell r="L220">
            <v>1223.07</v>
          </cell>
        </row>
        <row r="221">
          <cell r="L221">
            <v>252.33</v>
          </cell>
        </row>
        <row r="222">
          <cell r="L222">
            <v>153.1</v>
          </cell>
        </row>
        <row r="223">
          <cell r="L223">
            <v>47.04</v>
          </cell>
        </row>
        <row r="224">
          <cell r="L224">
            <v>1431.75</v>
          </cell>
        </row>
        <row r="225">
          <cell r="L225">
            <v>1895.04</v>
          </cell>
        </row>
        <row r="241">
          <cell r="J241">
            <v>10</v>
          </cell>
          <cell r="K241">
            <v>43848.6</v>
          </cell>
          <cell r="L241">
            <v>9486.8299999999908</v>
          </cell>
        </row>
        <row r="244">
          <cell r="J244">
            <v>0</v>
          </cell>
          <cell r="K244">
            <v>0</v>
          </cell>
          <cell r="L244">
            <v>0</v>
          </cell>
        </row>
        <row r="247">
          <cell r="J247">
            <v>0</v>
          </cell>
          <cell r="K247">
            <v>0</v>
          </cell>
          <cell r="L247">
            <v>0</v>
          </cell>
        </row>
        <row r="254">
          <cell r="L254">
            <v>901.88</v>
          </cell>
        </row>
        <row r="255">
          <cell r="L255">
            <v>4910.42</v>
          </cell>
        </row>
        <row r="256">
          <cell r="L256">
            <v>0.08</v>
          </cell>
        </row>
        <row r="257">
          <cell r="L257">
            <v>0</v>
          </cell>
        </row>
        <row r="261">
          <cell r="L261">
            <v>295.61</v>
          </cell>
        </row>
        <row r="262">
          <cell r="L262">
            <v>1352.19</v>
          </cell>
        </row>
        <row r="263">
          <cell r="L263">
            <v>113.64</v>
          </cell>
        </row>
        <row r="264">
          <cell r="L264">
            <v>123.68</v>
          </cell>
        </row>
        <row r="267">
          <cell r="L267">
            <v>38.08</v>
          </cell>
        </row>
        <row r="268">
          <cell r="L268">
            <v>0</v>
          </cell>
        </row>
        <row r="269">
          <cell r="L269">
            <v>177.91</v>
          </cell>
        </row>
        <row r="270">
          <cell r="L270">
            <v>1592.18</v>
          </cell>
        </row>
        <row r="271">
          <cell r="L271">
            <v>167.36</v>
          </cell>
        </row>
        <row r="272">
          <cell r="L272">
            <v>531.78</v>
          </cell>
        </row>
        <row r="273">
          <cell r="L273">
            <v>0</v>
          </cell>
        </row>
        <row r="274">
          <cell r="L274">
            <v>4.59</v>
          </cell>
        </row>
        <row r="275">
          <cell r="L275">
            <v>0</v>
          </cell>
        </row>
        <row r="276">
          <cell r="L276">
            <v>172.13</v>
          </cell>
        </row>
        <row r="277">
          <cell r="L277">
            <v>35.9</v>
          </cell>
        </row>
        <row r="278">
          <cell r="L278">
            <v>44.65</v>
          </cell>
        </row>
        <row r="279">
          <cell r="L279">
            <v>13.72</v>
          </cell>
        </row>
        <row r="280">
          <cell r="L280">
            <v>91.95</v>
          </cell>
        </row>
        <row r="281">
          <cell r="L281">
            <v>210.56</v>
          </cell>
        </row>
        <row r="294">
          <cell r="J294" t="str">
            <v>$VENTES</v>
          </cell>
          <cell r="L294" t="str">
            <v>$PROFITS</v>
          </cell>
        </row>
        <row r="295">
          <cell r="J295">
            <v>86794.299999999901</v>
          </cell>
          <cell r="L295">
            <v>32598.469999999899</v>
          </cell>
        </row>
        <row r="296">
          <cell r="J296">
            <v>7894.69</v>
          </cell>
          <cell r="L296">
            <v>1821.95</v>
          </cell>
        </row>
        <row r="297">
          <cell r="J297">
            <v>101671.38</v>
          </cell>
          <cell r="L297">
            <v>23497.059999999899</v>
          </cell>
        </row>
        <row r="298">
          <cell r="J298">
            <v>70514.59</v>
          </cell>
          <cell r="L298">
            <v>20629.969999999899</v>
          </cell>
        </row>
        <row r="299">
          <cell r="J299">
            <v>14854.09</v>
          </cell>
          <cell r="L299">
            <v>4715.74</v>
          </cell>
        </row>
        <row r="300">
          <cell r="J300">
            <v>199492.56</v>
          </cell>
          <cell r="L300">
            <v>29876.859999999899</v>
          </cell>
        </row>
        <row r="302">
          <cell r="J302">
            <v>0</v>
          </cell>
          <cell r="L302">
            <v>75917.240000000005</v>
          </cell>
        </row>
        <row r="303">
          <cell r="L303">
            <v>0</v>
          </cell>
        </row>
        <row r="307">
          <cell r="J307">
            <v>24174.58</v>
          </cell>
          <cell r="L307">
            <v>4646.74</v>
          </cell>
        </row>
        <row r="308">
          <cell r="J308">
            <v>22150.16</v>
          </cell>
          <cell r="L308">
            <v>6327.43</v>
          </cell>
        </row>
        <row r="312">
          <cell r="J312">
            <v>0</v>
          </cell>
          <cell r="L312">
            <v>0</v>
          </cell>
        </row>
        <row r="318">
          <cell r="L318">
            <v>8454.76</v>
          </cell>
        </row>
        <row r="319">
          <cell r="L319">
            <v>24603.3</v>
          </cell>
        </row>
        <row r="320">
          <cell r="L320">
            <v>113.92</v>
          </cell>
        </row>
        <row r="321">
          <cell r="L321">
            <v>0</v>
          </cell>
        </row>
        <row r="325">
          <cell r="L325">
            <v>3562.92</v>
          </cell>
        </row>
        <row r="326">
          <cell r="L326">
            <v>4964.9399999999996</v>
          </cell>
        </row>
        <row r="327">
          <cell r="L327">
            <v>1812.95</v>
          </cell>
        </row>
        <row r="328">
          <cell r="L328">
            <v>833.81</v>
          </cell>
        </row>
        <row r="330">
          <cell r="L330">
            <v>44346.599999999897</v>
          </cell>
        </row>
        <row r="331">
          <cell r="L331">
            <v>5154.0600000000004</v>
          </cell>
        </row>
        <row r="332">
          <cell r="L332">
            <v>-54.59</v>
          </cell>
        </row>
        <row r="333">
          <cell r="L333">
            <v>1271.48</v>
          </cell>
        </row>
        <row r="334">
          <cell r="L334">
            <v>6163.09</v>
          </cell>
        </row>
        <row r="335">
          <cell r="L335">
            <v>597.73</v>
          </cell>
        </row>
        <row r="336">
          <cell r="L336">
            <v>13928.11</v>
          </cell>
        </row>
        <row r="337">
          <cell r="L337">
            <v>0</v>
          </cell>
        </row>
        <row r="338">
          <cell r="L338">
            <v>16.38</v>
          </cell>
        </row>
        <row r="339">
          <cell r="L339">
            <v>0</v>
          </cell>
        </row>
        <row r="340">
          <cell r="L340">
            <v>614.75</v>
          </cell>
        </row>
        <row r="341">
          <cell r="L341">
            <v>128.25</v>
          </cell>
        </row>
        <row r="342">
          <cell r="L342">
            <v>108.91</v>
          </cell>
        </row>
        <row r="343">
          <cell r="L343">
            <v>49</v>
          </cell>
        </row>
        <row r="344">
          <cell r="L344">
            <v>328.38</v>
          </cell>
        </row>
        <row r="345">
          <cell r="L345">
            <v>1687.46</v>
          </cell>
        </row>
        <row r="360">
          <cell r="J360">
            <v>0</v>
          </cell>
          <cell r="L360">
            <v>0</v>
          </cell>
        </row>
        <row r="365">
          <cell r="L365">
            <v>0</v>
          </cell>
        </row>
        <row r="366">
          <cell r="L366">
            <v>0</v>
          </cell>
        </row>
        <row r="367">
          <cell r="L367">
            <v>0</v>
          </cell>
        </row>
        <row r="368">
          <cell r="L368">
            <v>0</v>
          </cell>
        </row>
        <row r="372">
          <cell r="L372">
            <v>0</v>
          </cell>
        </row>
        <row r="373">
          <cell r="L373">
            <v>0</v>
          </cell>
        </row>
        <row r="374">
          <cell r="L374">
            <v>0</v>
          </cell>
        </row>
        <row r="375">
          <cell r="L375">
            <v>0</v>
          </cell>
        </row>
        <row r="377">
          <cell r="L377">
            <v>0</v>
          </cell>
        </row>
        <row r="378">
          <cell r="L378">
            <v>0</v>
          </cell>
        </row>
        <row r="379">
          <cell r="L379">
            <v>0</v>
          </cell>
        </row>
        <row r="380">
          <cell r="L380">
            <v>0</v>
          </cell>
        </row>
        <row r="381">
          <cell r="L381">
            <v>0</v>
          </cell>
        </row>
        <row r="382">
          <cell r="L382">
            <v>0</v>
          </cell>
        </row>
        <row r="383">
          <cell r="L383">
            <v>0</v>
          </cell>
        </row>
        <row r="384">
          <cell r="L384">
            <v>0</v>
          </cell>
        </row>
        <row r="385">
          <cell r="L385">
            <v>0</v>
          </cell>
        </row>
        <row r="386">
          <cell r="L386">
            <v>0</v>
          </cell>
        </row>
        <row r="387">
          <cell r="L387">
            <v>0</v>
          </cell>
        </row>
        <row r="388">
          <cell r="L388">
            <v>0</v>
          </cell>
        </row>
        <row r="389">
          <cell r="L389">
            <v>0</v>
          </cell>
        </row>
        <row r="390">
          <cell r="L390">
            <v>0</v>
          </cell>
        </row>
        <row r="419">
          <cell r="AF419">
            <v>127880.819999999</v>
          </cell>
        </row>
        <row r="420">
          <cell r="AF420">
            <v>15146.95</v>
          </cell>
        </row>
        <row r="421">
          <cell r="AF421">
            <v>56195.59</v>
          </cell>
        </row>
        <row r="422">
          <cell r="AF422">
            <v>56150.229999999901</v>
          </cell>
        </row>
        <row r="423">
          <cell r="AF423">
            <v>23037.279999999999</v>
          </cell>
        </row>
        <row r="424">
          <cell r="AF424">
            <v>27254.48</v>
          </cell>
        </row>
        <row r="428">
          <cell r="AF428">
            <v>38329.29</v>
          </cell>
        </row>
        <row r="429">
          <cell r="AF429">
            <v>48252.54</v>
          </cell>
        </row>
        <row r="430">
          <cell r="AF430">
            <v>24702.97</v>
          </cell>
        </row>
        <row r="433">
          <cell r="AF433">
            <v>297973.28999999998</v>
          </cell>
        </row>
        <row r="434">
          <cell r="AF434">
            <v>16818.759999999998</v>
          </cell>
        </row>
        <row r="435">
          <cell r="AF435">
            <v>4403.33</v>
          </cell>
        </row>
        <row r="436">
          <cell r="AF436">
            <v>22915.199999999899</v>
          </cell>
        </row>
        <row r="437">
          <cell r="AF437">
            <v>21667.48</v>
          </cell>
        </row>
        <row r="438">
          <cell r="AF438">
            <v>2743.48</v>
          </cell>
        </row>
        <row r="439">
          <cell r="AF439">
            <v>37294.83</v>
          </cell>
        </row>
        <row r="440">
          <cell r="AF440">
            <v>0</v>
          </cell>
        </row>
        <row r="441">
          <cell r="AF441">
            <v>7400.72</v>
          </cell>
        </row>
        <row r="442">
          <cell r="AF442">
            <v>1109.3</v>
          </cell>
        </row>
        <row r="443">
          <cell r="AF443">
            <v>3126.17</v>
          </cell>
        </row>
        <row r="444">
          <cell r="AF444">
            <v>991.48</v>
          </cell>
        </row>
        <row r="445">
          <cell r="AF445">
            <v>587.33999999999901</v>
          </cell>
        </row>
        <row r="446">
          <cell r="AF446">
            <v>196</v>
          </cell>
        </row>
        <row r="447">
          <cell r="AF447">
            <v>2630.0299999999902</v>
          </cell>
        </row>
        <row r="448">
          <cell r="AF448">
            <v>8440.16</v>
          </cell>
        </row>
        <row r="452">
          <cell r="AF452">
            <v>130324.28</v>
          </cell>
        </row>
        <row r="453">
          <cell r="AF453">
            <v>36000</v>
          </cell>
        </row>
        <row r="454">
          <cell r="AF454">
            <v>115111.63</v>
          </cell>
        </row>
        <row r="455">
          <cell r="AF455">
            <v>3609</v>
          </cell>
        </row>
        <row r="456">
          <cell r="AF456">
            <v>0</v>
          </cell>
        </row>
        <row r="457">
          <cell r="AF457">
            <v>4344.25</v>
          </cell>
        </row>
        <row r="458">
          <cell r="AF458">
            <v>4884.34</v>
          </cell>
        </row>
        <row r="459">
          <cell r="AF459">
            <v>6642.33</v>
          </cell>
        </row>
        <row r="460">
          <cell r="AF460">
            <v>27.4</v>
          </cell>
        </row>
        <row r="461">
          <cell r="AF461">
            <v>1276</v>
          </cell>
        </row>
        <row r="462">
          <cell r="AF462">
            <v>0</v>
          </cell>
        </row>
        <row r="468">
          <cell r="AF468">
            <v>728073.34</v>
          </cell>
        </row>
        <row r="469">
          <cell r="AF469">
            <v>16998.62</v>
          </cell>
        </row>
        <row r="470">
          <cell r="AF470">
            <v>80559</v>
          </cell>
        </row>
        <row r="471">
          <cell r="AF471">
            <v>19414.2</v>
          </cell>
        </row>
        <row r="472">
          <cell r="AF472">
            <v>0</v>
          </cell>
        </row>
        <row r="473">
          <cell r="AF473">
            <v>0</v>
          </cell>
        </row>
        <row r="474">
          <cell r="AF474">
            <v>0</v>
          </cell>
        </row>
        <row r="475">
          <cell r="AF475">
            <v>0</v>
          </cell>
        </row>
        <row r="476">
          <cell r="AF476">
            <v>0</v>
          </cell>
        </row>
        <row r="477">
          <cell r="AF477">
            <v>0</v>
          </cell>
        </row>
        <row r="480">
          <cell r="AF480">
            <v>46158</v>
          </cell>
        </row>
        <row r="491">
          <cell r="AF491">
            <v>42648</v>
          </cell>
        </row>
        <row r="492">
          <cell r="AF492">
            <v>0</v>
          </cell>
        </row>
        <row r="493">
          <cell r="AF493">
            <v>0</v>
          </cell>
        </row>
        <row r="494">
          <cell r="AF494">
            <v>0</v>
          </cell>
        </row>
        <row r="495">
          <cell r="AF495">
            <v>0</v>
          </cell>
        </row>
        <row r="496">
          <cell r="AF496">
            <v>-1079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ual vs Pacing AAD"/>
      <sheetName val="Actual vs Budget AAD"/>
      <sheetName val="Paramètres"/>
      <sheetName val="DATA BASE"/>
      <sheetName val="CTRL"/>
      <sheetName val="MCPA new"/>
      <sheetName val="Conso"/>
      <sheetName val="AUDI"/>
      <sheetName val="INFINITI"/>
      <sheetName val="MCPA cons."/>
      <sheetName val="HONDA"/>
      <sheetName val="TOYOTA"/>
      <sheetName val="VOLKS"/>
      <sheetName val="BMW PA"/>
      <sheetName val="MINI"/>
      <sheetName val="BMW STJ"/>
      <sheetName val="LEXUS"/>
      <sheetName val="BMW SHER"/>
      <sheetName val="SSMB"/>
      <sheetName val="MBQ"/>
      <sheetName val="VOLVO"/>
      <sheetName val="JLR"/>
      <sheetName val="LHD"/>
      <sheetName val="GPAC"/>
      <sheetName val="COMPLEXE"/>
      <sheetName val="GPA"/>
      <sheetName val="side by side Mois A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L5">
            <v>59215280.899999999</v>
          </cell>
        </row>
      </sheetData>
      <sheetData sheetId="8"/>
      <sheetData sheetId="9"/>
      <sheetData sheetId="10"/>
      <sheetData sheetId="11"/>
      <sheetData sheetId="12">
        <row r="5">
          <cell r="L5">
            <v>23856180.690000001</v>
          </cell>
        </row>
        <row r="6">
          <cell r="J6">
            <v>97</v>
          </cell>
          <cell r="L6">
            <v>200278.959999999</v>
          </cell>
        </row>
        <row r="7">
          <cell r="J7">
            <v>321</v>
          </cell>
          <cell r="L7">
            <v>742139.87999999896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5">
          <cell r="J15">
            <v>29</v>
          </cell>
          <cell r="L15">
            <v>37996.529999999701</v>
          </cell>
        </row>
        <row r="17">
          <cell r="J17">
            <v>14</v>
          </cell>
          <cell r="L17">
            <v>31370.46</v>
          </cell>
        </row>
        <row r="19">
          <cell r="L19">
            <v>70581.140000000101</v>
          </cell>
        </row>
        <row r="21">
          <cell r="L21">
            <v>4227.6000000000004</v>
          </cell>
        </row>
        <row r="22">
          <cell r="L22">
            <v>430891.08</v>
          </cell>
        </row>
        <row r="23">
          <cell r="L23">
            <v>1612.29</v>
          </cell>
        </row>
        <row r="31">
          <cell r="L31">
            <v>317539.59999999998</v>
          </cell>
        </row>
        <row r="32">
          <cell r="L32">
            <v>116902.03</v>
          </cell>
        </row>
        <row r="33">
          <cell r="L33">
            <v>46675.59</v>
          </cell>
        </row>
        <row r="34">
          <cell r="L34">
            <v>2809.98</v>
          </cell>
        </row>
        <row r="35">
          <cell r="L35">
            <v>53068.36</v>
          </cell>
        </row>
        <row r="36">
          <cell r="L36">
            <v>67829.2</v>
          </cell>
        </row>
        <row r="37">
          <cell r="L37">
            <v>84456.55</v>
          </cell>
        </row>
        <row r="42">
          <cell r="L42">
            <v>165732.04</v>
          </cell>
        </row>
        <row r="43">
          <cell r="L43">
            <v>105310.27</v>
          </cell>
        </row>
        <row r="44">
          <cell r="L44">
            <v>13226.6</v>
          </cell>
        </row>
        <row r="45">
          <cell r="L45">
            <v>0</v>
          </cell>
        </row>
        <row r="49">
          <cell r="L49">
            <v>92549.69</v>
          </cell>
        </row>
        <row r="50">
          <cell r="L50">
            <v>116498.46</v>
          </cell>
        </row>
        <row r="51">
          <cell r="L51">
            <v>57197.869999999901</v>
          </cell>
        </row>
        <row r="52">
          <cell r="L52">
            <v>22759.24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77935.94</v>
          </cell>
        </row>
        <row r="58">
          <cell r="L58">
            <v>56092.79</v>
          </cell>
        </row>
        <row r="59">
          <cell r="L59">
            <v>11431.24</v>
          </cell>
        </row>
        <row r="60">
          <cell r="L60">
            <v>61639.65</v>
          </cell>
        </row>
        <row r="61">
          <cell r="L61">
            <v>438.3</v>
          </cell>
        </row>
        <row r="62">
          <cell r="L62">
            <v>623</v>
          </cell>
        </row>
        <row r="63">
          <cell r="L63">
            <v>4300.38</v>
          </cell>
        </row>
        <row r="64">
          <cell r="L64">
            <v>3377.1</v>
          </cell>
        </row>
        <row r="65">
          <cell r="L65">
            <v>2269.0500000000002</v>
          </cell>
        </row>
        <row r="66">
          <cell r="L66">
            <v>652.76</v>
          </cell>
        </row>
        <row r="67">
          <cell r="L67">
            <v>16125.57</v>
          </cell>
        </row>
        <row r="68">
          <cell r="L68">
            <v>29077.13</v>
          </cell>
        </row>
        <row r="75">
          <cell r="L75">
            <v>31414.2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583679.4</v>
          </cell>
        </row>
        <row r="82">
          <cell r="L82">
            <v>211215</v>
          </cell>
        </row>
        <row r="93">
          <cell r="L93">
            <v>9601977.5299999993</v>
          </cell>
        </row>
        <row r="94">
          <cell r="J94">
            <v>201</v>
          </cell>
          <cell r="L94">
            <v>253396.27999999901</v>
          </cell>
        </row>
        <row r="95">
          <cell r="J95">
            <v>8</v>
          </cell>
          <cell r="L95">
            <v>4597.8999999999896</v>
          </cell>
        </row>
        <row r="96">
          <cell r="J96">
            <v>7</v>
          </cell>
          <cell r="L96">
            <v>16473.0999999999</v>
          </cell>
        </row>
        <row r="100">
          <cell r="J100">
            <v>229</v>
          </cell>
          <cell r="L100">
            <v>181460.52999999901</v>
          </cell>
        </row>
        <row r="102">
          <cell r="L102">
            <v>80038.14</v>
          </cell>
        </row>
        <row r="103">
          <cell r="L103">
            <v>343991.2</v>
          </cell>
        </row>
        <row r="104">
          <cell r="L104">
            <v>8890.7199999999993</v>
          </cell>
        </row>
        <row r="112">
          <cell r="L112">
            <v>104976.58</v>
          </cell>
        </row>
        <row r="113">
          <cell r="L113">
            <v>127150.63</v>
          </cell>
        </row>
        <row r="114">
          <cell r="L114">
            <v>-10993.14</v>
          </cell>
        </row>
        <row r="115">
          <cell r="L115">
            <v>13985.24</v>
          </cell>
        </row>
        <row r="116">
          <cell r="L116">
            <v>36595.279999999999</v>
          </cell>
        </row>
        <row r="117">
          <cell r="L117">
            <v>82161.149999999994</v>
          </cell>
        </row>
        <row r="118">
          <cell r="L118">
            <v>25009.87</v>
          </cell>
        </row>
        <row r="122">
          <cell r="L122">
            <v>378885.61</v>
          </cell>
        </row>
        <row r="123">
          <cell r="L123">
            <v>78660.36</v>
          </cell>
        </row>
        <row r="124">
          <cell r="L124">
            <v>26805.040000000001</v>
          </cell>
        </row>
        <row r="125">
          <cell r="L125">
            <v>40746.6</v>
          </cell>
        </row>
        <row r="126">
          <cell r="L126">
            <v>0</v>
          </cell>
        </row>
        <row r="130">
          <cell r="L130">
            <v>63268.14</v>
          </cell>
        </row>
        <row r="131">
          <cell r="L131">
            <v>73094.47</v>
          </cell>
        </row>
        <row r="132">
          <cell r="L132">
            <v>36309.67</v>
          </cell>
        </row>
        <row r="133">
          <cell r="L133">
            <v>9338.0300000000007</v>
          </cell>
        </row>
        <row r="135">
          <cell r="L135">
            <v>328222.31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18473.349999999999</v>
          </cell>
        </row>
        <row r="139">
          <cell r="L139">
            <v>26434.47</v>
          </cell>
        </row>
        <row r="140">
          <cell r="L140">
            <v>4048.08</v>
          </cell>
        </row>
        <row r="141">
          <cell r="L141">
            <v>23737.73</v>
          </cell>
        </row>
        <row r="142">
          <cell r="L142">
            <v>425.2</v>
          </cell>
        </row>
        <row r="143">
          <cell r="L143">
            <v>0</v>
          </cell>
        </row>
        <row r="144">
          <cell r="L144">
            <v>2349.21</v>
          </cell>
        </row>
        <row r="145">
          <cell r="L145">
            <v>676.57</v>
          </cell>
        </row>
        <row r="146">
          <cell r="L146">
            <v>977.83</v>
          </cell>
        </row>
        <row r="147">
          <cell r="L147">
            <v>244.78</v>
          </cell>
        </row>
        <row r="148">
          <cell r="L148">
            <v>4089.95</v>
          </cell>
        </row>
        <row r="149">
          <cell r="L149">
            <v>6517.52</v>
          </cell>
        </row>
        <row r="153">
          <cell r="L153">
            <v>87974.69</v>
          </cell>
        </row>
        <row r="156">
          <cell r="L156">
            <v>0</v>
          </cell>
        </row>
        <row r="157">
          <cell r="L157">
            <v>0</v>
          </cell>
        </row>
        <row r="159">
          <cell r="L159">
            <v>101535</v>
          </cell>
        </row>
        <row r="172">
          <cell r="J172">
            <v>3474</v>
          </cell>
          <cell r="K172">
            <v>1149536.92</v>
          </cell>
          <cell r="L172">
            <v>904702.28</v>
          </cell>
        </row>
        <row r="175">
          <cell r="J175">
            <v>1757</v>
          </cell>
          <cell r="K175">
            <v>509194.59</v>
          </cell>
          <cell r="L175">
            <v>325951.73</v>
          </cell>
        </row>
        <row r="178">
          <cell r="J178">
            <v>1933</v>
          </cell>
          <cell r="K178">
            <v>616730.26</v>
          </cell>
          <cell r="L178">
            <v>478012.62</v>
          </cell>
        </row>
        <row r="181">
          <cell r="J181">
            <v>0</v>
          </cell>
          <cell r="K181">
            <v>87741.65</v>
          </cell>
          <cell r="L181">
            <v>69606.509999999995</v>
          </cell>
        </row>
        <row r="184">
          <cell r="L184">
            <v>-14859.55</v>
          </cell>
        </row>
        <row r="188">
          <cell r="K188">
            <v>149705.51</v>
          </cell>
          <cell r="L188">
            <v>29597.929999999898</v>
          </cell>
        </row>
        <row r="191">
          <cell r="K191">
            <v>76396.149999999994</v>
          </cell>
          <cell r="L191">
            <v>53242.0799999999</v>
          </cell>
        </row>
        <row r="198">
          <cell r="L198">
            <v>122446.95</v>
          </cell>
        </row>
        <row r="199">
          <cell r="L199">
            <v>66283.199999999997</v>
          </cell>
        </row>
        <row r="200">
          <cell r="L200">
            <v>140509.09</v>
          </cell>
        </row>
        <row r="201">
          <cell r="L201">
            <v>176592.61</v>
          </cell>
        </row>
        <row r="205">
          <cell r="L205">
            <v>127712.49</v>
          </cell>
        </row>
        <row r="206">
          <cell r="L206">
            <v>157000.51</v>
          </cell>
        </row>
        <row r="207">
          <cell r="L207">
            <v>81018.36</v>
          </cell>
        </row>
        <row r="208">
          <cell r="L208">
            <v>33867.379999999997</v>
          </cell>
        </row>
        <row r="211">
          <cell r="L211">
            <v>109195.17</v>
          </cell>
        </row>
        <row r="212">
          <cell r="L212">
            <v>28371.63</v>
          </cell>
        </row>
        <row r="213">
          <cell r="L213">
            <v>81059.12</v>
          </cell>
        </row>
        <row r="214">
          <cell r="L214">
            <v>41705.71</v>
          </cell>
        </row>
        <row r="215">
          <cell r="L215">
            <v>9590.23</v>
          </cell>
        </row>
        <row r="216">
          <cell r="L216">
            <v>123724.8</v>
          </cell>
        </row>
        <row r="217">
          <cell r="L217">
            <v>0</v>
          </cell>
        </row>
        <row r="218">
          <cell r="L218">
            <v>40159.980000000003</v>
          </cell>
        </row>
        <row r="219">
          <cell r="L219">
            <v>6512.51</v>
          </cell>
        </row>
        <row r="220">
          <cell r="L220">
            <v>7780.23</v>
          </cell>
        </row>
        <row r="221">
          <cell r="L221">
            <v>1713.14</v>
          </cell>
        </row>
        <row r="222">
          <cell r="L222">
            <v>2342.3000000000002</v>
          </cell>
        </row>
        <row r="223">
          <cell r="L223">
            <v>489.57</v>
          </cell>
        </row>
        <row r="224">
          <cell r="L224">
            <v>7873.88</v>
          </cell>
        </row>
        <row r="225">
          <cell r="L225">
            <v>14531.21</v>
          </cell>
        </row>
        <row r="241">
          <cell r="J241">
            <v>73</v>
          </cell>
          <cell r="K241">
            <v>185429.58</v>
          </cell>
          <cell r="L241">
            <v>38993.29</v>
          </cell>
        </row>
        <row r="244">
          <cell r="J244">
            <v>0</v>
          </cell>
          <cell r="K244">
            <v>0</v>
          </cell>
          <cell r="L244">
            <v>0</v>
          </cell>
        </row>
        <row r="247">
          <cell r="J247">
            <v>0</v>
          </cell>
          <cell r="K247">
            <v>0</v>
          </cell>
          <cell r="L247">
            <v>0</v>
          </cell>
        </row>
        <row r="254">
          <cell r="L254">
            <v>7215.04</v>
          </cell>
        </row>
        <row r="255">
          <cell r="L255">
            <v>30656.16</v>
          </cell>
        </row>
        <row r="256">
          <cell r="L256">
            <v>0.64</v>
          </cell>
        </row>
        <row r="257">
          <cell r="L257">
            <v>0</v>
          </cell>
        </row>
        <row r="261">
          <cell r="L261">
            <v>3797.58</v>
          </cell>
        </row>
        <row r="262">
          <cell r="L262">
            <v>10957.75</v>
          </cell>
        </row>
        <row r="263">
          <cell r="L263">
            <v>1951.06</v>
          </cell>
        </row>
        <row r="264">
          <cell r="L264">
            <v>1774.46</v>
          </cell>
        </row>
        <row r="267">
          <cell r="L267">
            <v>264.67</v>
          </cell>
        </row>
        <row r="268">
          <cell r="L268">
            <v>12326.72</v>
          </cell>
        </row>
        <row r="269">
          <cell r="L269">
            <v>1322.58</v>
          </cell>
        </row>
        <row r="270">
          <cell r="L270">
            <v>13524.38</v>
          </cell>
        </row>
        <row r="271">
          <cell r="L271">
            <v>2021.4</v>
          </cell>
        </row>
        <row r="272">
          <cell r="L272">
            <v>6560.23</v>
          </cell>
        </row>
        <row r="273">
          <cell r="L273">
            <v>0</v>
          </cell>
        </row>
        <row r="274">
          <cell r="L274">
            <v>4.59</v>
          </cell>
        </row>
        <row r="275">
          <cell r="L275">
            <v>0</v>
          </cell>
        </row>
        <row r="276">
          <cell r="L276">
            <v>933.24</v>
          </cell>
        </row>
        <row r="277">
          <cell r="L277">
            <v>222.37</v>
          </cell>
        </row>
        <row r="278">
          <cell r="L278">
            <v>496.34</v>
          </cell>
        </row>
        <row r="279">
          <cell r="L279">
            <v>142.81</v>
          </cell>
        </row>
        <row r="280">
          <cell r="L280">
            <v>496.68</v>
          </cell>
        </row>
        <row r="281">
          <cell r="L281">
            <v>1614.62</v>
          </cell>
        </row>
        <row r="294">
          <cell r="J294" t="str">
            <v>$VENTES</v>
          </cell>
          <cell r="L294" t="str">
            <v>$PROFITS</v>
          </cell>
        </row>
        <row r="295">
          <cell r="J295">
            <v>661980.49</v>
          </cell>
          <cell r="L295">
            <v>218221.16999999899</v>
          </cell>
        </row>
        <row r="296">
          <cell r="J296">
            <v>57920.22</v>
          </cell>
          <cell r="L296">
            <v>13586.11</v>
          </cell>
        </row>
        <row r="297">
          <cell r="J297">
            <v>716753.79</v>
          </cell>
          <cell r="L297">
            <v>167193.39000000001</v>
          </cell>
        </row>
        <row r="298">
          <cell r="J298">
            <v>510344.21</v>
          </cell>
          <cell r="L298">
            <v>145105.92000000001</v>
          </cell>
        </row>
        <row r="299">
          <cell r="J299">
            <v>134246.82999999999</v>
          </cell>
          <cell r="L299">
            <v>39064.609999999899</v>
          </cell>
        </row>
        <row r="300">
          <cell r="J300">
            <v>1548086.78</v>
          </cell>
          <cell r="L300">
            <v>212252.299999999</v>
          </cell>
        </row>
        <row r="302">
          <cell r="J302">
            <v>0</v>
          </cell>
          <cell r="L302">
            <v>134401.72</v>
          </cell>
        </row>
        <row r="303">
          <cell r="L303">
            <v>0</v>
          </cell>
        </row>
        <row r="307">
          <cell r="J307">
            <v>299955.38</v>
          </cell>
          <cell r="L307">
            <v>49519.519999999997</v>
          </cell>
        </row>
        <row r="308">
          <cell r="J308">
            <v>175830.92</v>
          </cell>
          <cell r="L308">
            <v>47458.61</v>
          </cell>
        </row>
        <row r="312">
          <cell r="J312">
            <v>0</v>
          </cell>
          <cell r="L312">
            <v>0</v>
          </cell>
        </row>
        <row r="318">
          <cell r="L318">
            <v>72823.28</v>
          </cell>
        </row>
        <row r="319">
          <cell r="L319">
            <v>204939.64</v>
          </cell>
        </row>
        <row r="320">
          <cell r="L320">
            <v>911.36</v>
          </cell>
        </row>
        <row r="321">
          <cell r="L321">
            <v>0</v>
          </cell>
        </row>
        <row r="325">
          <cell r="L325">
            <v>32076.83</v>
          </cell>
        </row>
        <row r="326">
          <cell r="L326">
            <v>53251.08</v>
          </cell>
        </row>
        <row r="327">
          <cell r="L327">
            <v>9913.6299999999992</v>
          </cell>
        </row>
        <row r="328">
          <cell r="L328">
            <v>9774.74</v>
          </cell>
        </row>
        <row r="330">
          <cell r="L330">
            <v>383690.56</v>
          </cell>
        </row>
        <row r="331">
          <cell r="L331">
            <v>45104</v>
          </cell>
        </row>
        <row r="332">
          <cell r="L332">
            <v>12427.71</v>
          </cell>
        </row>
        <row r="333">
          <cell r="L333">
            <v>9722.48</v>
          </cell>
        </row>
        <row r="334">
          <cell r="L334">
            <v>51379.71</v>
          </cell>
        </row>
        <row r="335">
          <cell r="L335">
            <v>7219.53</v>
          </cell>
        </row>
        <row r="336">
          <cell r="L336">
            <v>112861.31</v>
          </cell>
        </row>
        <row r="337">
          <cell r="L337">
            <v>0</v>
          </cell>
        </row>
        <row r="338">
          <cell r="L338">
            <v>131.32</v>
          </cell>
        </row>
        <row r="339">
          <cell r="L339">
            <v>361.45</v>
          </cell>
        </row>
        <row r="340">
          <cell r="L340">
            <v>3961.75</v>
          </cell>
        </row>
        <row r="341">
          <cell r="L341">
            <v>794.25</v>
          </cell>
        </row>
        <row r="342">
          <cell r="L342">
            <v>-2339.98</v>
          </cell>
        </row>
        <row r="343">
          <cell r="L343">
            <v>509.96</v>
          </cell>
        </row>
        <row r="344">
          <cell r="L344">
            <v>1773.83</v>
          </cell>
        </row>
        <row r="345">
          <cell r="L345">
            <v>12936.57</v>
          </cell>
        </row>
        <row r="360">
          <cell r="J360">
            <v>0</v>
          </cell>
          <cell r="L360">
            <v>0</v>
          </cell>
        </row>
        <row r="365">
          <cell r="L365">
            <v>0</v>
          </cell>
        </row>
        <row r="366">
          <cell r="L366">
            <v>0</v>
          </cell>
        </row>
        <row r="367">
          <cell r="L367">
            <v>0</v>
          </cell>
        </row>
        <row r="368">
          <cell r="L368">
            <v>0</v>
          </cell>
        </row>
        <row r="372">
          <cell r="L372">
            <v>0</v>
          </cell>
        </row>
        <row r="373">
          <cell r="L373">
            <v>0</v>
          </cell>
        </row>
        <row r="374">
          <cell r="L374">
            <v>0</v>
          </cell>
        </row>
        <row r="375">
          <cell r="L375">
            <v>0</v>
          </cell>
        </row>
        <row r="377">
          <cell r="L377">
            <v>0</v>
          </cell>
        </row>
        <row r="378">
          <cell r="L378">
            <v>0</v>
          </cell>
        </row>
        <row r="379">
          <cell r="L379">
            <v>0</v>
          </cell>
        </row>
        <row r="380">
          <cell r="L380">
            <v>0</v>
          </cell>
        </row>
        <row r="381">
          <cell r="L381">
            <v>0</v>
          </cell>
        </row>
        <row r="382">
          <cell r="L382">
            <v>0</v>
          </cell>
        </row>
        <row r="383">
          <cell r="L383">
            <v>0</v>
          </cell>
        </row>
        <row r="384">
          <cell r="L384">
            <v>0</v>
          </cell>
        </row>
        <row r="385">
          <cell r="L385">
            <v>0</v>
          </cell>
        </row>
        <row r="386">
          <cell r="L386">
            <v>0</v>
          </cell>
        </row>
        <row r="387">
          <cell r="L387">
            <v>0</v>
          </cell>
        </row>
        <row r="388">
          <cell r="L388">
            <v>0</v>
          </cell>
        </row>
        <row r="389">
          <cell r="L389">
            <v>0</v>
          </cell>
        </row>
        <row r="390">
          <cell r="L390">
            <v>0</v>
          </cell>
        </row>
        <row r="419">
          <cell r="AF419">
            <v>1068166.92</v>
          </cell>
        </row>
        <row r="420">
          <cell r="AF420">
            <v>117546.92</v>
          </cell>
        </row>
        <row r="421">
          <cell r="AF421">
            <v>446877.67</v>
          </cell>
        </row>
        <row r="422">
          <cell r="AF422">
            <v>433994.31</v>
          </cell>
        </row>
        <row r="423">
          <cell r="AF423">
            <v>195394.28999999899</v>
          </cell>
        </row>
        <row r="424">
          <cell r="AF424">
            <v>176592.61</v>
          </cell>
        </row>
        <row r="428">
          <cell r="AF428">
            <v>319404.73</v>
          </cell>
        </row>
        <row r="429">
          <cell r="AF429">
            <v>410802.27</v>
          </cell>
        </row>
        <row r="430">
          <cell r="AF430">
            <v>186390.59</v>
          </cell>
        </row>
        <row r="433">
          <cell r="AF433">
            <v>2364517.2400000002</v>
          </cell>
        </row>
        <row r="434">
          <cell r="AF434">
            <v>154563.84</v>
          </cell>
        </row>
        <row r="435">
          <cell r="AF435">
            <v>53126.06</v>
          </cell>
        </row>
        <row r="436">
          <cell r="AF436">
            <v>188513.47</v>
          </cell>
        </row>
        <row r="437">
          <cell r="AF437">
            <v>189137.06</v>
          </cell>
        </row>
        <row r="438">
          <cell r="AF438">
            <v>34310.480000000003</v>
          </cell>
        </row>
        <row r="439">
          <cell r="AF439">
            <v>328523.71999999997</v>
          </cell>
        </row>
        <row r="440">
          <cell r="AF440">
            <v>0</v>
          </cell>
        </row>
        <row r="441">
          <cell r="AF441">
            <v>41159.39</v>
          </cell>
        </row>
        <row r="442">
          <cell r="AF442">
            <v>7496.96</v>
          </cell>
        </row>
        <row r="443">
          <cell r="AF443">
            <v>19324.809999999899</v>
          </cell>
        </row>
        <row r="444">
          <cell r="AF444">
            <v>6783.43</v>
          </cell>
        </row>
        <row r="445">
          <cell r="AF445">
            <v>3745.54</v>
          </cell>
        </row>
        <row r="446">
          <cell r="AF446">
            <v>2039.8799999999901</v>
          </cell>
        </row>
        <row r="447">
          <cell r="AF447">
            <v>30359.91</v>
          </cell>
        </row>
        <row r="448">
          <cell r="AF448">
            <v>64677.05</v>
          </cell>
        </row>
        <row r="452">
          <cell r="AF452">
            <v>1123761.5999999901</v>
          </cell>
        </row>
        <row r="453">
          <cell r="AF453">
            <v>288000</v>
          </cell>
        </row>
        <row r="454">
          <cell r="AF454">
            <v>153072.63</v>
          </cell>
        </row>
        <row r="455">
          <cell r="AF455">
            <v>31472</v>
          </cell>
        </row>
        <row r="456">
          <cell r="AF456">
            <v>0</v>
          </cell>
        </row>
        <row r="457">
          <cell r="AF457">
            <v>34754</v>
          </cell>
        </row>
        <row r="458">
          <cell r="AF458">
            <v>52436.95</v>
          </cell>
        </row>
        <row r="459">
          <cell r="AF459">
            <v>58811.67</v>
          </cell>
        </row>
        <row r="460">
          <cell r="AF460">
            <v>5661.29</v>
          </cell>
        </row>
        <row r="461">
          <cell r="AF461">
            <v>8861.1299999999992</v>
          </cell>
        </row>
        <row r="468">
          <cell r="AF468">
            <v>5189515.43</v>
          </cell>
        </row>
        <row r="469">
          <cell r="AF469">
            <v>119409.18</v>
          </cell>
        </row>
        <row r="470">
          <cell r="AF470">
            <v>583679.4</v>
          </cell>
        </row>
        <row r="471">
          <cell r="AF471">
            <v>31414.2</v>
          </cell>
        </row>
        <row r="472">
          <cell r="AF472">
            <v>0</v>
          </cell>
        </row>
        <row r="473">
          <cell r="AF473">
            <v>0</v>
          </cell>
        </row>
        <row r="474">
          <cell r="AF474">
            <v>0</v>
          </cell>
        </row>
        <row r="475">
          <cell r="AF475">
            <v>0</v>
          </cell>
        </row>
        <row r="476">
          <cell r="AF476">
            <v>0</v>
          </cell>
        </row>
        <row r="477">
          <cell r="AF477">
            <v>0</v>
          </cell>
        </row>
        <row r="480">
          <cell r="AF480">
            <v>312750</v>
          </cell>
        </row>
        <row r="491">
          <cell r="AF491">
            <v>341184</v>
          </cell>
        </row>
        <row r="492">
          <cell r="AF492">
            <v>0</v>
          </cell>
        </row>
        <row r="493">
          <cell r="AF493">
            <v>0</v>
          </cell>
        </row>
        <row r="494">
          <cell r="AF494">
            <v>0</v>
          </cell>
        </row>
        <row r="495">
          <cell r="AF495">
            <v>0</v>
          </cell>
        </row>
        <row r="496">
          <cell r="AF496">
            <v>-8632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922A-3AA7-4485-8925-02F9CC16CBBC}">
  <sheetPr codeName="Feuil7">
    <tabColor rgb="FF92D050"/>
  </sheetPr>
  <dimension ref="A2:BG543"/>
  <sheetViews>
    <sheetView tabSelected="1" zoomScale="60" zoomScaleNormal="60" workbookViewId="0">
      <pane xSplit="2" ySplit="6" topLeftCell="C7" activePane="bottomRight" state="frozen"/>
      <selection activeCell="D506" sqref="D506"/>
      <selection pane="topRight" activeCell="D506" sqref="D506"/>
      <selection pane="bottomLeft" activeCell="D506" sqref="D506"/>
      <selection pane="bottomRight" activeCell="AQ497" sqref="AQ497"/>
    </sheetView>
  </sheetViews>
  <sheetFormatPr baseColWidth="10" defaultColWidth="12.5703125" defaultRowHeight="15" outlineLevelRow="1" outlineLevelCol="1"/>
  <cols>
    <col min="1" max="1" width="25.42578125" style="1" customWidth="1"/>
    <col min="2" max="2" width="39.5703125" style="1" customWidth="1"/>
    <col min="3" max="3" width="22" style="1" customWidth="1"/>
    <col min="4" max="5" width="22" style="1" bestFit="1" customWidth="1"/>
    <col min="6" max="6" width="19.140625" style="1" customWidth="1" outlineLevel="1"/>
    <col min="7" max="7" width="16.5703125" style="1" customWidth="1" outlineLevel="1"/>
    <col min="8" max="8" width="18.140625" style="1" customWidth="1" outlineLevel="1"/>
    <col min="9" max="9" width="19.140625" style="1" customWidth="1" outlineLevel="1"/>
    <col min="10" max="10" width="16.5703125" style="1" customWidth="1" outlineLevel="1"/>
    <col min="11" max="11" width="18.140625" style="1" customWidth="1" outlineLevel="1"/>
    <col min="12" max="12" width="19.140625" style="1" customWidth="1" outlineLevel="1"/>
    <col min="13" max="13" width="16.5703125" style="1" customWidth="1" outlineLevel="1"/>
    <col min="14" max="14" width="18.140625" style="1" customWidth="1" outlineLevel="1"/>
    <col min="15" max="15" width="19.140625" style="1" customWidth="1" outlineLevel="1"/>
    <col min="16" max="16" width="16.5703125" style="1" customWidth="1" outlineLevel="1"/>
    <col min="17" max="17" width="18.140625" style="1" customWidth="1" outlineLevel="1"/>
    <col min="18" max="18" width="19.140625" style="1" customWidth="1" outlineLevel="1"/>
    <col min="19" max="19" width="16.5703125" style="1" customWidth="1" outlineLevel="1"/>
    <col min="20" max="20" width="18.140625" style="1" customWidth="1" outlineLevel="1"/>
    <col min="21" max="21" width="19.140625" style="1" customWidth="1" outlineLevel="1"/>
    <col min="22" max="22" width="16.5703125" style="1" customWidth="1" outlineLevel="1"/>
    <col min="23" max="23" width="18.140625" style="1" customWidth="1" outlineLevel="1"/>
    <col min="24" max="24" width="19.140625" style="1" customWidth="1" outlineLevel="1"/>
    <col min="25" max="25" width="16.5703125" style="1" customWidth="1" outlineLevel="1"/>
    <col min="26" max="26" width="18.140625" style="1" customWidth="1" outlineLevel="1"/>
    <col min="27" max="27" width="19.140625" style="1" customWidth="1" outlineLevel="1"/>
    <col min="28" max="28" width="16.5703125" style="1" customWidth="1" outlineLevel="1"/>
    <col min="29" max="29" width="18.140625" style="1" customWidth="1" outlineLevel="1"/>
    <col min="30" max="30" width="19.140625" style="1" customWidth="1" outlineLevel="1"/>
    <col min="31" max="31" width="16.5703125" style="1" customWidth="1" outlineLevel="1"/>
    <col min="32" max="32" width="18.140625" style="1" customWidth="1" outlineLevel="1"/>
    <col min="33" max="33" width="19.140625" style="1" customWidth="1" outlineLevel="1"/>
    <col min="34" max="34" width="16.5703125" style="1" customWidth="1" outlineLevel="1"/>
    <col min="35" max="35" width="18.140625" style="1" customWidth="1" outlineLevel="1"/>
    <col min="36" max="36" width="19.140625" style="1" customWidth="1" outlineLevel="1"/>
    <col min="37" max="37" width="16.5703125" style="1" customWidth="1" outlineLevel="1"/>
    <col min="38" max="38" width="18.140625" style="1" customWidth="1" outlineLevel="1"/>
    <col min="39" max="39" width="19.140625" style="1" customWidth="1" outlineLevel="1"/>
    <col min="40" max="40" width="16.5703125" style="1" customWidth="1" outlineLevel="1"/>
    <col min="41" max="41" width="18.140625" style="1" customWidth="1" outlineLevel="1"/>
    <col min="42" max="42" width="3.42578125" style="1" customWidth="1"/>
    <col min="43" max="45" width="19" style="11" customWidth="1" outlineLevel="1"/>
    <col min="46" max="46" width="2.42578125" style="1" customWidth="1"/>
    <col min="47" max="49" width="19" style="11" customWidth="1" outlineLevel="1"/>
    <col min="50" max="50" width="3.5703125" style="1" customWidth="1"/>
    <col min="51" max="53" width="19" style="11" customWidth="1" outlineLevel="1"/>
    <col min="54" max="54" width="2.28515625" style="1" customWidth="1"/>
    <col min="55" max="56" width="20.140625" style="11" customWidth="1" outlineLevel="1"/>
    <col min="57" max="57" width="25.140625" style="575" customWidth="1" outlineLevel="1"/>
    <col min="58" max="16384" width="12.5703125" style="1"/>
  </cols>
  <sheetData>
    <row r="2" spans="1:57" ht="35.25">
      <c r="B2" s="2" t="s">
        <v>0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4"/>
      <c r="AR2" s="4"/>
      <c r="AS2" s="4"/>
      <c r="AU2" s="4"/>
      <c r="AV2" s="4"/>
      <c r="AW2" s="4"/>
      <c r="AY2" s="4"/>
      <c r="AZ2" s="4"/>
      <c r="BA2" s="4"/>
      <c r="BC2" s="4"/>
      <c r="BD2" s="4"/>
      <c r="BE2" s="5"/>
    </row>
    <row r="3" spans="1:57" s="6" customFormat="1">
      <c r="F3" s="6" t="str">
        <f>F4</f>
        <v>RÉEL</v>
      </c>
      <c r="G3" s="6" t="str">
        <f>F4</f>
        <v>RÉEL</v>
      </c>
      <c r="H3" s="6" t="str">
        <f>F4</f>
        <v>RÉEL</v>
      </c>
      <c r="I3" s="6" t="str">
        <f>I4</f>
        <v>RÉEL</v>
      </c>
      <c r="J3" s="6" t="str">
        <f>I4</f>
        <v>RÉEL</v>
      </c>
      <c r="K3" s="6" t="str">
        <f>I4</f>
        <v>RÉEL</v>
      </c>
      <c r="L3" s="6" t="str">
        <f>L4</f>
        <v>RÉEL</v>
      </c>
      <c r="M3" s="6" t="str">
        <f>L4</f>
        <v>RÉEL</v>
      </c>
      <c r="N3" s="6" t="str">
        <f>L4</f>
        <v>RÉEL</v>
      </c>
      <c r="O3" s="6" t="str">
        <f>O4</f>
        <v>RÉEL</v>
      </c>
      <c r="P3" s="6" t="str">
        <f>O4</f>
        <v>RÉEL</v>
      </c>
      <c r="Q3" s="6" t="str">
        <f>O4</f>
        <v>RÉEL</v>
      </c>
      <c r="R3" s="6" t="str">
        <f>R4</f>
        <v>RÉEL</v>
      </c>
      <c r="S3" s="6" t="str">
        <f>R4</f>
        <v>RÉEL</v>
      </c>
      <c r="T3" s="6" t="str">
        <f>R4</f>
        <v>RÉEL</v>
      </c>
      <c r="U3" s="6" t="str">
        <f>U4</f>
        <v>RÉEL</v>
      </c>
      <c r="V3" s="6" t="str">
        <f>U4</f>
        <v>RÉEL</v>
      </c>
      <c r="W3" s="6" t="str">
        <f>U4</f>
        <v>RÉEL</v>
      </c>
      <c r="X3" s="6" t="str">
        <f>X4</f>
        <v>RÉEL</v>
      </c>
      <c r="Y3" s="6" t="str">
        <f>X4</f>
        <v>RÉEL</v>
      </c>
      <c r="Z3" s="6" t="str">
        <f>X4</f>
        <v>RÉEL</v>
      </c>
      <c r="AA3" s="6" t="str">
        <f>AA4</f>
        <v>RÉEL</v>
      </c>
      <c r="AB3" s="6" t="str">
        <f>AA4</f>
        <v>RÉEL</v>
      </c>
      <c r="AC3" s="6" t="str">
        <f>AA4</f>
        <v>RÉEL</v>
      </c>
      <c r="AD3" s="6" t="str">
        <f>AD4</f>
        <v>BUDGET</v>
      </c>
      <c r="AE3" s="6" t="str">
        <f>AD4</f>
        <v>BUDGET</v>
      </c>
      <c r="AF3" s="6" t="str">
        <f>AD4</f>
        <v>BUDGET</v>
      </c>
      <c r="AG3" s="6" t="str">
        <f>AG4</f>
        <v>BUDGET</v>
      </c>
      <c r="AH3" s="6" t="str">
        <f>AG4</f>
        <v>BUDGET</v>
      </c>
      <c r="AI3" s="6" t="str">
        <f>AG4</f>
        <v>BUDGET</v>
      </c>
      <c r="AJ3" s="6" t="str">
        <f>AJ4</f>
        <v>BUDGET</v>
      </c>
      <c r="AK3" s="6" t="str">
        <f>AJ4</f>
        <v>BUDGET</v>
      </c>
      <c r="AL3" s="6" t="str">
        <f>AJ4</f>
        <v>BUDGET</v>
      </c>
      <c r="AM3" s="6" t="str">
        <f>AM4</f>
        <v>BUDGET</v>
      </c>
      <c r="AN3" s="6" t="str">
        <f>AM4</f>
        <v>BUDGET</v>
      </c>
      <c r="AO3" s="6" t="str">
        <f>AM4</f>
        <v>BUDGET</v>
      </c>
      <c r="AQ3" s="7"/>
      <c r="AR3" s="7"/>
      <c r="AS3" s="7"/>
      <c r="AU3" s="7"/>
      <c r="AV3" s="7"/>
      <c r="AW3" s="7"/>
      <c r="AY3" s="7"/>
      <c r="AZ3" s="7"/>
      <c r="BA3" s="7"/>
      <c r="BC3" s="7"/>
      <c r="BD3" s="7"/>
      <c r="BE3" s="8"/>
    </row>
    <row r="4" spans="1:57" s="10" customFormat="1" ht="35.25">
      <c r="A4" s="9" t="s">
        <v>1</v>
      </c>
      <c r="B4" s="10" t="s">
        <v>2</v>
      </c>
      <c r="C4" s="10" t="s">
        <v>3</v>
      </c>
      <c r="F4" s="576" t="s">
        <v>4</v>
      </c>
      <c r="G4" s="576"/>
      <c r="H4" s="576"/>
      <c r="I4" s="576" t="s">
        <v>4</v>
      </c>
      <c r="J4" s="576"/>
      <c r="K4" s="576"/>
      <c r="L4" s="576" t="s">
        <v>4</v>
      </c>
      <c r="M4" s="576"/>
      <c r="N4" s="576"/>
      <c r="O4" s="576" t="s">
        <v>4</v>
      </c>
      <c r="P4" s="576"/>
      <c r="Q4" s="576"/>
      <c r="R4" s="576" t="s">
        <v>4</v>
      </c>
      <c r="S4" s="576"/>
      <c r="T4" s="576"/>
      <c r="U4" s="576" t="s">
        <v>4</v>
      </c>
      <c r="V4" s="576"/>
      <c r="W4" s="576"/>
      <c r="X4" s="576" t="s">
        <v>4</v>
      </c>
      <c r="Y4" s="576"/>
      <c r="Z4" s="576"/>
      <c r="AA4" s="576" t="s">
        <v>4</v>
      </c>
      <c r="AB4" s="576"/>
      <c r="AC4" s="576"/>
      <c r="AD4" s="576" t="s">
        <v>5</v>
      </c>
      <c r="AE4" s="576"/>
      <c r="AF4" s="576"/>
      <c r="AG4" s="576" t="s">
        <v>5</v>
      </c>
      <c r="AH4" s="576"/>
      <c r="AI4" s="576"/>
      <c r="AJ4" s="576" t="s">
        <v>5</v>
      </c>
      <c r="AK4" s="576"/>
      <c r="AL4" s="576"/>
      <c r="AM4" s="576" t="s">
        <v>5</v>
      </c>
      <c r="AN4" s="576"/>
      <c r="AO4" s="576"/>
      <c r="AQ4" s="576" t="s">
        <v>6</v>
      </c>
      <c r="AR4" s="576"/>
      <c r="AS4" s="576"/>
      <c r="AU4" s="576" t="s">
        <v>7</v>
      </c>
      <c r="AV4" s="576"/>
      <c r="AW4" s="576"/>
      <c r="AY4" s="576" t="s">
        <v>8</v>
      </c>
      <c r="AZ4" s="576"/>
      <c r="BA4" s="576"/>
      <c r="BC4" s="576" t="s">
        <v>9</v>
      </c>
      <c r="BD4" s="576"/>
      <c r="BE4" s="576"/>
    </row>
    <row r="5" spans="1:57" s="11" customFormat="1" ht="16.5" thickBot="1">
      <c r="B5" s="12"/>
      <c r="C5" s="13"/>
      <c r="D5" s="13"/>
      <c r="E5" s="13"/>
      <c r="F5" s="13">
        <v>1.1000000000000001</v>
      </c>
      <c r="G5" s="13">
        <v>1.2</v>
      </c>
      <c r="H5" s="13">
        <v>1.3</v>
      </c>
      <c r="I5" s="13">
        <v>2.1</v>
      </c>
      <c r="J5" s="13">
        <v>2.2000000000000002</v>
      </c>
      <c r="K5" s="13">
        <v>2.2999999999999998</v>
      </c>
      <c r="L5" s="13">
        <v>3.1</v>
      </c>
      <c r="M5" s="13">
        <v>3.2</v>
      </c>
      <c r="N5" s="13">
        <v>3.3</v>
      </c>
      <c r="O5" s="13">
        <v>4.0999999999999996</v>
      </c>
      <c r="P5" s="13">
        <v>4.2</v>
      </c>
      <c r="Q5" s="13">
        <v>4.3</v>
      </c>
      <c r="R5" s="13">
        <v>5.0999999999999996</v>
      </c>
      <c r="S5" s="13">
        <v>5.2</v>
      </c>
      <c r="T5" s="13">
        <v>5.3</v>
      </c>
      <c r="U5" s="13">
        <v>5.0999999999999996</v>
      </c>
      <c r="V5" s="13">
        <v>5.2</v>
      </c>
      <c r="W5" s="13">
        <v>5.3</v>
      </c>
      <c r="X5" s="13">
        <v>5.0999999999999996</v>
      </c>
      <c r="Y5" s="13">
        <v>5.2</v>
      </c>
      <c r="Z5" s="13">
        <v>5.3</v>
      </c>
      <c r="AA5" s="13">
        <v>5.0999999999999996</v>
      </c>
      <c r="AB5" s="13">
        <v>5.2</v>
      </c>
      <c r="AC5" s="13">
        <v>5.3</v>
      </c>
      <c r="AD5" s="13">
        <v>8.1</v>
      </c>
      <c r="AE5" s="13">
        <v>8.1999999999999993</v>
      </c>
      <c r="AF5" s="13">
        <v>8.3000000000000007</v>
      </c>
      <c r="AG5" s="13">
        <v>8.1</v>
      </c>
      <c r="AH5" s="13">
        <v>8.1999999999999993</v>
      </c>
      <c r="AI5" s="13">
        <v>8.3000000000000007</v>
      </c>
      <c r="AJ5" s="13">
        <v>8.1</v>
      </c>
      <c r="AK5" s="13">
        <v>8.1999999999999993</v>
      </c>
      <c r="AL5" s="13">
        <v>8.3000000000000007</v>
      </c>
      <c r="AM5" s="13">
        <v>8.1</v>
      </c>
      <c r="AN5" s="13">
        <v>8.1999999999999993</v>
      </c>
      <c r="AO5" s="13">
        <v>8.3000000000000007</v>
      </c>
      <c r="AQ5" s="13"/>
      <c r="AR5" s="13"/>
      <c r="AS5" s="13"/>
      <c r="AU5" s="13"/>
      <c r="AV5" s="13"/>
      <c r="AW5" s="13"/>
      <c r="AY5" s="13"/>
      <c r="AZ5" s="13"/>
      <c r="BA5" s="13"/>
      <c r="BC5" s="13"/>
      <c r="BD5" s="13"/>
      <c r="BE5" s="14"/>
    </row>
    <row r="6" spans="1:57" s="15" customFormat="1" ht="21" thickTop="1">
      <c r="A6" s="15" t="str">
        <f>+C4</f>
        <v>Véhicules neufs</v>
      </c>
      <c r="B6" s="16" t="s">
        <v>10</v>
      </c>
      <c r="C6" s="17">
        <v>2025</v>
      </c>
      <c r="D6" s="18"/>
      <c r="E6" s="19"/>
      <c r="F6" s="17" t="s">
        <v>11</v>
      </c>
      <c r="G6" s="18"/>
      <c r="H6" s="19"/>
      <c r="I6" s="17" t="s">
        <v>12</v>
      </c>
      <c r="J6" s="18"/>
      <c r="K6" s="19"/>
      <c r="L6" s="17" t="s">
        <v>13</v>
      </c>
      <c r="M6" s="18"/>
      <c r="N6" s="19"/>
      <c r="O6" s="17" t="s">
        <v>14</v>
      </c>
      <c r="P6" s="18"/>
      <c r="Q6" s="19"/>
      <c r="R6" s="17" t="s">
        <v>15</v>
      </c>
      <c r="S6" s="18"/>
      <c r="T6" s="19"/>
      <c r="U6" s="17" t="s">
        <v>16</v>
      </c>
      <c r="V6" s="18"/>
      <c r="W6" s="19"/>
      <c r="X6" s="17" t="s">
        <v>17</v>
      </c>
      <c r="Y6" s="18"/>
      <c r="Z6" s="19"/>
      <c r="AA6" s="17" t="s">
        <v>18</v>
      </c>
      <c r="AB6" s="18"/>
      <c r="AC6" s="19"/>
      <c r="AD6" s="17" t="s">
        <v>19</v>
      </c>
      <c r="AE6" s="18"/>
      <c r="AF6" s="19"/>
      <c r="AG6" s="17" t="s">
        <v>20</v>
      </c>
      <c r="AH6" s="18"/>
      <c r="AI6" s="19"/>
      <c r="AJ6" s="17" t="s">
        <v>21</v>
      </c>
      <c r="AK6" s="18"/>
      <c r="AL6" s="19"/>
      <c r="AM6" s="17" t="s">
        <v>22</v>
      </c>
      <c r="AN6" s="18"/>
      <c r="AO6" s="19"/>
      <c r="AQ6" s="16" t="s">
        <v>6</v>
      </c>
      <c r="AR6" s="20"/>
      <c r="AS6" s="21"/>
      <c r="AU6" s="16" t="s">
        <v>7</v>
      </c>
      <c r="AV6" s="20"/>
      <c r="AW6" s="21"/>
      <c r="AY6" s="16" t="s">
        <v>8</v>
      </c>
      <c r="AZ6" s="20"/>
      <c r="BA6" s="21"/>
      <c r="BC6" s="16" t="s">
        <v>23</v>
      </c>
      <c r="BD6" s="20"/>
      <c r="BE6" s="22"/>
    </row>
    <row r="7" spans="1:57" s="15" customFormat="1" ht="20.25">
      <c r="B7" s="23"/>
      <c r="C7" s="24" t="s">
        <v>24</v>
      </c>
      <c r="D7" s="25" t="s">
        <v>25</v>
      </c>
      <c r="E7" s="26" t="s">
        <v>26</v>
      </c>
      <c r="F7" s="24" t="s">
        <v>24</v>
      </c>
      <c r="G7" s="25" t="s">
        <v>25</v>
      </c>
      <c r="H7" s="26" t="s">
        <v>26</v>
      </c>
      <c r="I7" s="24" t="s">
        <v>24</v>
      </c>
      <c r="J7" s="25" t="s">
        <v>25</v>
      </c>
      <c r="K7" s="26" t="s">
        <v>26</v>
      </c>
      <c r="L7" s="24" t="s">
        <v>24</v>
      </c>
      <c r="M7" s="25" t="s">
        <v>25</v>
      </c>
      <c r="N7" s="26" t="s">
        <v>26</v>
      </c>
      <c r="O7" s="24" t="s">
        <v>24</v>
      </c>
      <c r="P7" s="25" t="s">
        <v>25</v>
      </c>
      <c r="Q7" s="26" t="s">
        <v>26</v>
      </c>
      <c r="R7" s="24" t="s">
        <v>24</v>
      </c>
      <c r="S7" s="25" t="s">
        <v>25</v>
      </c>
      <c r="T7" s="26" t="s">
        <v>26</v>
      </c>
      <c r="U7" s="24" t="s">
        <v>24</v>
      </c>
      <c r="V7" s="25" t="s">
        <v>25</v>
      </c>
      <c r="W7" s="26" t="s">
        <v>26</v>
      </c>
      <c r="X7" s="24" t="s">
        <v>24</v>
      </c>
      <c r="Y7" s="25" t="s">
        <v>25</v>
      </c>
      <c r="Z7" s="26" t="s">
        <v>26</v>
      </c>
      <c r="AA7" s="24" t="s">
        <v>24</v>
      </c>
      <c r="AB7" s="25" t="s">
        <v>25</v>
      </c>
      <c r="AC7" s="26" t="s">
        <v>26</v>
      </c>
      <c r="AD7" s="24" t="s">
        <v>24</v>
      </c>
      <c r="AE7" s="25" t="s">
        <v>25</v>
      </c>
      <c r="AF7" s="26" t="s">
        <v>26</v>
      </c>
      <c r="AG7" s="24" t="s">
        <v>24</v>
      </c>
      <c r="AH7" s="25" t="s">
        <v>25</v>
      </c>
      <c r="AI7" s="26" t="s">
        <v>26</v>
      </c>
      <c r="AJ7" s="24" t="s">
        <v>24</v>
      </c>
      <c r="AK7" s="25" t="s">
        <v>25</v>
      </c>
      <c r="AL7" s="26" t="s">
        <v>26</v>
      </c>
      <c r="AM7" s="24" t="s">
        <v>24</v>
      </c>
      <c r="AN7" s="25" t="s">
        <v>25</v>
      </c>
      <c r="AO7" s="26" t="s">
        <v>26</v>
      </c>
      <c r="AQ7" s="24" t="s">
        <v>24</v>
      </c>
      <c r="AR7" s="25" t="s">
        <v>25</v>
      </c>
      <c r="AS7" s="26" t="s">
        <v>26</v>
      </c>
      <c r="AU7" s="24" t="s">
        <v>24</v>
      </c>
      <c r="AV7" s="25" t="s">
        <v>25</v>
      </c>
      <c r="AW7" s="26" t="s">
        <v>26</v>
      </c>
      <c r="AY7" s="24" t="s">
        <v>24</v>
      </c>
      <c r="AZ7" s="25" t="s">
        <v>25</v>
      </c>
      <c r="BA7" s="26" t="s">
        <v>26</v>
      </c>
      <c r="BC7" s="24" t="s">
        <v>24</v>
      </c>
      <c r="BD7" s="25" t="s">
        <v>25</v>
      </c>
      <c r="BE7" s="27" t="s">
        <v>26</v>
      </c>
    </row>
    <row r="8" spans="1:57" s="15" customFormat="1" ht="20.25" outlineLevel="1">
      <c r="A8" s="15" t="s">
        <v>27</v>
      </c>
      <c r="B8" s="28" t="s">
        <v>28</v>
      </c>
      <c r="C8" s="29"/>
      <c r="D8" s="30"/>
      <c r="E8" s="31">
        <f t="shared" ref="E8:E12" si="0">+SUM(H8,K8,N8,Q8,T8,W8,Z8,AC8,AF8,AI8,AL8,AO8)</f>
        <v>38558451.32058274</v>
      </c>
      <c r="F8" s="29"/>
      <c r="G8" s="30"/>
      <c r="H8" s="31">
        <v>2918214.9299999899</v>
      </c>
      <c r="I8" s="29"/>
      <c r="J8" s="30"/>
      <c r="K8" s="31">
        <v>2075892.06</v>
      </c>
      <c r="L8" s="29"/>
      <c r="M8" s="30"/>
      <c r="N8" s="31">
        <v>2855728.5699999901</v>
      </c>
      <c r="O8" s="29"/>
      <c r="P8" s="30"/>
      <c r="Q8" s="31">
        <v>2860821</v>
      </c>
      <c r="R8" s="29"/>
      <c r="S8" s="30"/>
      <c r="T8" s="31">
        <v>3181778.77</v>
      </c>
      <c r="U8" s="29"/>
      <c r="V8" s="30"/>
      <c r="W8" s="31">
        <v>2263466.9500000002</v>
      </c>
      <c r="X8" s="29"/>
      <c r="Y8" s="30"/>
      <c r="Z8" s="31">
        <v>4089468.26</v>
      </c>
      <c r="AA8" s="29"/>
      <c r="AB8" s="30"/>
      <c r="AC8" s="31">
        <f>+[1]VOLKS!$L$5</f>
        <v>3610810.15</v>
      </c>
      <c r="AD8" s="29"/>
      <c r="AE8" s="30"/>
      <c r="AF8" s="31">
        <v>3359976.1441332032</v>
      </c>
      <c r="AG8" s="29"/>
      <c r="AH8" s="30"/>
      <c r="AI8" s="31">
        <v>3781098.1621498531</v>
      </c>
      <c r="AJ8" s="29"/>
      <c r="AK8" s="30"/>
      <c r="AL8" s="31">
        <v>4620342.1981831538</v>
      </c>
      <c r="AM8" s="29"/>
      <c r="AN8" s="30"/>
      <c r="AO8" s="31">
        <v>2940854.1261165529</v>
      </c>
      <c r="AQ8" s="29"/>
      <c r="AR8" s="25"/>
      <c r="AS8" s="32">
        <f t="shared" ref="AS8:AS12" si="1">SUMIFS(F8:AO8,$F$7:$AO$7,"$PROFITS",$F$3:$AO$3,"RÉEL")</f>
        <v>23856180.689999975</v>
      </c>
      <c r="AU8" s="29"/>
      <c r="AV8" s="30"/>
      <c r="AW8" s="32">
        <f>SUMIFS(F8:AO8,$F$7:$AO$7,"$PROFITS",$F$3:$AO$3,"BUDGET")</f>
        <v>14702270.630582763</v>
      </c>
      <c r="AY8" s="29"/>
      <c r="AZ8" s="25"/>
      <c r="BA8" s="32">
        <f>+[2]VOLKS!$L$5</f>
        <v>23856180.690000001</v>
      </c>
      <c r="BC8" s="29"/>
      <c r="BD8" s="30"/>
      <c r="BE8" s="33">
        <f>+BA8-AS8</f>
        <v>0</v>
      </c>
    </row>
    <row r="9" spans="1:57" s="15" customFormat="1" ht="20.25" outlineLevel="1">
      <c r="A9" s="15" t="s">
        <v>27</v>
      </c>
      <c r="B9" s="34" t="s">
        <v>29</v>
      </c>
      <c r="C9" s="35">
        <f t="shared" ref="C9:C12" si="2">+SUM(F9,I9,L9,O9,R9,U9,X9,AA9,AD9,AG9,AJ9,AM9)</f>
        <v>169</v>
      </c>
      <c r="D9" s="36">
        <f>IF(C9=0,0,E9/C9)</f>
        <v>2017.4065096057982</v>
      </c>
      <c r="E9" s="37">
        <f t="shared" si="0"/>
        <v>340941.70012337988</v>
      </c>
      <c r="F9" s="35">
        <v>8</v>
      </c>
      <c r="G9" s="36">
        <f t="shared" ref="G9:G12" si="3">IF(F9=0,0,H9/F9)</f>
        <v>1716.8587499999876</v>
      </c>
      <c r="H9" s="37">
        <v>13734.869999999901</v>
      </c>
      <c r="I9" s="35">
        <v>4</v>
      </c>
      <c r="J9" s="36">
        <f t="shared" ref="J9:J12" si="4">IF(I9=0,0,K9/I9)</f>
        <v>1345.9624999999976</v>
      </c>
      <c r="K9" s="37">
        <v>5383.8499999999904</v>
      </c>
      <c r="L9" s="35">
        <v>11</v>
      </c>
      <c r="M9" s="36">
        <f t="shared" ref="M9:M12" si="5">IF(L9=0,0,N9/L9)</f>
        <v>1848.9036363636274</v>
      </c>
      <c r="N9" s="37">
        <v>20337.9399999999</v>
      </c>
      <c r="O9" s="35">
        <v>24</v>
      </c>
      <c r="P9" s="36">
        <f t="shared" ref="P9:P12" si="6">IF(O9=0,0,Q9/O9)</f>
        <v>1996.3658333333376</v>
      </c>
      <c r="Q9" s="37">
        <v>47912.780000000101</v>
      </c>
      <c r="R9" s="35">
        <v>10</v>
      </c>
      <c r="S9" s="36">
        <f t="shared" ref="S9:S12" si="7">IF(R9=0,0,T9/R9)</f>
        <v>2530.125</v>
      </c>
      <c r="T9" s="37">
        <v>25301.25</v>
      </c>
      <c r="U9" s="35">
        <v>12</v>
      </c>
      <c r="V9" s="36">
        <f t="shared" ref="V9:V12" si="8">IF(U9=0,0,W9/U9)</f>
        <v>2183.5041666666666</v>
      </c>
      <c r="W9" s="37">
        <v>26202.05</v>
      </c>
      <c r="X9" s="35">
        <v>13</v>
      </c>
      <c r="Y9" s="36">
        <f t="shared" ref="Y9:Y12" si="9">IF(X9=0,0,Z9/X9)</f>
        <v>1905.2107692307693</v>
      </c>
      <c r="Z9" s="37">
        <v>24767.74</v>
      </c>
      <c r="AA9" s="35">
        <f>+[1]VOLKS!$J$6</f>
        <v>15</v>
      </c>
      <c r="AB9" s="36">
        <f t="shared" ref="AB9:AB12" si="10">IF(AA9=0,0,AC9/AA9)</f>
        <v>2442.5653333333266</v>
      </c>
      <c r="AC9" s="37">
        <f>+[1]VOLKS!$L$6</f>
        <v>36638.479999999901</v>
      </c>
      <c r="AD9" s="35">
        <v>16</v>
      </c>
      <c r="AE9" s="36">
        <v>1953.6491683802797</v>
      </c>
      <c r="AF9" s="37">
        <v>31258.386694084475</v>
      </c>
      <c r="AG9" s="35">
        <v>19</v>
      </c>
      <c r="AH9" s="36">
        <v>1953.6491683802797</v>
      </c>
      <c r="AI9" s="37">
        <v>37119.334199225312</v>
      </c>
      <c r="AJ9" s="35">
        <v>23</v>
      </c>
      <c r="AK9" s="36">
        <v>1953.6491683802797</v>
      </c>
      <c r="AL9" s="37">
        <v>44933.93087274643</v>
      </c>
      <c r="AM9" s="35">
        <v>14</v>
      </c>
      <c r="AN9" s="36">
        <v>1953.6491683802797</v>
      </c>
      <c r="AO9" s="37">
        <v>27351.088357323915</v>
      </c>
      <c r="AQ9" s="38">
        <f t="shared" ref="AQ9:AQ12" si="11">SUMIFS(F9:AO9,$F$7:$AO$7,"UNITE",$F$3:$AO$3,"RÉEL")</f>
        <v>97</v>
      </c>
      <c r="AR9" s="39">
        <f>IF(AQ9=0,0,AS9/AQ9)</f>
        <v>2064.7315463917503</v>
      </c>
      <c r="AS9" s="40">
        <f t="shared" si="1"/>
        <v>200278.95999999976</v>
      </c>
      <c r="AU9" s="38">
        <f t="shared" ref="AU9:AU12" si="12">SUMIFS(F9:AO9,$F$7:$AO$7,"UNITE",$F$3:$AO$3,"BUDGET")</f>
        <v>72</v>
      </c>
      <c r="AV9" s="25">
        <f t="shared" ref="AV9:AV12" si="13">IF(AU9=0,0,AW9/AU9)</f>
        <v>1953.6491683802799</v>
      </c>
      <c r="AW9" s="40">
        <f>SUMIFS(F9:AO9,$F$7:$AO$7,"$PROFITS",$F$3:$AO$3,"BUDGET")</f>
        <v>140662.74012338015</v>
      </c>
      <c r="AY9" s="38">
        <f>+[2]VOLKS!$J$6</f>
        <v>97</v>
      </c>
      <c r="AZ9" s="39">
        <f>IF(AY9=0,0,BA9/AY9)</f>
        <v>2064.7315463917421</v>
      </c>
      <c r="BA9" s="40">
        <f>+[2]VOLKS!$L$6</f>
        <v>200278.959999999</v>
      </c>
      <c r="BC9" s="38">
        <f t="shared" ref="BC9:BE12" si="14">+AY9-AQ9</f>
        <v>0</v>
      </c>
      <c r="BD9" s="25">
        <f t="shared" si="14"/>
        <v>-8.1854523159563541E-12</v>
      </c>
      <c r="BE9" s="41">
        <f t="shared" si="14"/>
        <v>-7.5669959187507629E-10</v>
      </c>
    </row>
    <row r="10" spans="1:57" s="15" customFormat="1" ht="20.25" outlineLevel="1">
      <c r="A10" s="15" t="s">
        <v>27</v>
      </c>
      <c r="B10" s="34" t="s">
        <v>30</v>
      </c>
      <c r="C10" s="35">
        <f t="shared" si="2"/>
        <v>514</v>
      </c>
      <c r="D10" s="36">
        <f>IF(C10=0,0,E10/C10)</f>
        <v>2358.5009392531092</v>
      </c>
      <c r="E10" s="37">
        <f t="shared" si="0"/>
        <v>1212269.4827760982</v>
      </c>
      <c r="F10" s="35">
        <v>40</v>
      </c>
      <c r="G10" s="36">
        <f t="shared" si="3"/>
        <v>2500.5232499999752</v>
      </c>
      <c r="H10" s="37">
        <v>100020.929999999</v>
      </c>
      <c r="I10" s="35">
        <v>26</v>
      </c>
      <c r="J10" s="36">
        <f t="shared" si="4"/>
        <v>2574.7484615384578</v>
      </c>
      <c r="K10" s="37">
        <v>66943.459999999905</v>
      </c>
      <c r="L10" s="35">
        <v>40</v>
      </c>
      <c r="M10" s="36">
        <f t="shared" si="5"/>
        <v>2175.1205</v>
      </c>
      <c r="N10" s="37">
        <v>87004.82</v>
      </c>
      <c r="O10" s="35">
        <v>32</v>
      </c>
      <c r="P10" s="36">
        <f t="shared" si="6"/>
        <v>2603.3337499999998</v>
      </c>
      <c r="Q10" s="37">
        <v>83306.679999999993</v>
      </c>
      <c r="R10" s="35">
        <v>42</v>
      </c>
      <c r="S10" s="36">
        <f t="shared" si="7"/>
        <v>2234.1590476190499</v>
      </c>
      <c r="T10" s="37">
        <v>93834.680000000095</v>
      </c>
      <c r="U10" s="35">
        <v>29</v>
      </c>
      <c r="V10" s="36">
        <f t="shared" si="8"/>
        <v>1971.4127586206932</v>
      </c>
      <c r="W10" s="37">
        <v>57170.970000000103</v>
      </c>
      <c r="X10" s="35">
        <v>63</v>
      </c>
      <c r="Y10" s="36">
        <f t="shared" si="9"/>
        <v>2276.0850793650793</v>
      </c>
      <c r="Z10" s="37">
        <v>143393.35999999999</v>
      </c>
      <c r="AA10" s="35">
        <f>+[1]VOLKS!$J$7</f>
        <v>49</v>
      </c>
      <c r="AB10" s="36">
        <f t="shared" si="10"/>
        <v>2254.3873469387754</v>
      </c>
      <c r="AC10" s="37">
        <f>+[1]VOLKS!$L$7</f>
        <v>110464.98</v>
      </c>
      <c r="AD10" s="35">
        <v>44</v>
      </c>
      <c r="AE10" s="36">
        <v>2435.9046775963693</v>
      </c>
      <c r="AF10" s="37">
        <v>107179.80581424024</v>
      </c>
      <c r="AG10" s="35">
        <v>50</v>
      </c>
      <c r="AH10" s="36">
        <v>2435.9046775963693</v>
      </c>
      <c r="AI10" s="37">
        <v>121795.23387981846</v>
      </c>
      <c r="AJ10" s="35">
        <v>60</v>
      </c>
      <c r="AK10" s="36">
        <v>2435.9046775963693</v>
      </c>
      <c r="AL10" s="37">
        <v>146154.28065578215</v>
      </c>
      <c r="AM10" s="35">
        <v>39</v>
      </c>
      <c r="AN10" s="36">
        <v>2435.9046775963693</v>
      </c>
      <c r="AO10" s="37">
        <v>95000.282426258404</v>
      </c>
      <c r="AQ10" s="38">
        <f t="shared" si="11"/>
        <v>321</v>
      </c>
      <c r="AR10" s="25">
        <f>IF(AQ10=0,0,AS10/AQ10)</f>
        <v>2311.9622429906512</v>
      </c>
      <c r="AS10" s="40">
        <f t="shared" si="1"/>
        <v>742139.87999999907</v>
      </c>
      <c r="AU10" s="38">
        <f t="shared" si="12"/>
        <v>193</v>
      </c>
      <c r="AV10" s="25">
        <f t="shared" si="13"/>
        <v>2435.9046775963689</v>
      </c>
      <c r="AW10" s="40">
        <f>SUMIFS(F10:AO10,$F$7:$AO$7,"$PROFITS",$F$3:$AO$3,"BUDGET")</f>
        <v>470129.60277609923</v>
      </c>
      <c r="AY10" s="38">
        <f>+[2]VOLKS!$J$7</f>
        <v>321</v>
      </c>
      <c r="AZ10" s="25">
        <f>IF(AY10=0,0,BA10/AY10)</f>
        <v>2311.9622429906508</v>
      </c>
      <c r="BA10" s="40">
        <f>+[2]VOLKS!$L$7</f>
        <v>742139.87999999896</v>
      </c>
      <c r="BC10" s="38">
        <f t="shared" si="14"/>
        <v>0</v>
      </c>
      <c r="BD10" s="25">
        <f t="shared" si="14"/>
        <v>0</v>
      </c>
      <c r="BE10" s="41">
        <f t="shared" si="14"/>
        <v>0</v>
      </c>
    </row>
    <row r="11" spans="1:57" s="15" customFormat="1" ht="20.25" outlineLevel="1">
      <c r="A11" s="15" t="s">
        <v>27</v>
      </c>
      <c r="B11" s="34" t="s">
        <v>31</v>
      </c>
      <c r="C11" s="35">
        <f t="shared" si="2"/>
        <v>0</v>
      </c>
      <c r="D11" s="36">
        <f>IF(C11=0,0,E11/C11)</f>
        <v>0</v>
      </c>
      <c r="E11" s="37">
        <f t="shared" si="0"/>
        <v>0</v>
      </c>
      <c r="F11" s="35">
        <v>0</v>
      </c>
      <c r="G11" s="36">
        <f t="shared" si="3"/>
        <v>0</v>
      </c>
      <c r="H11" s="37">
        <v>0</v>
      </c>
      <c r="I11" s="35">
        <v>0</v>
      </c>
      <c r="J11" s="36">
        <f t="shared" si="4"/>
        <v>0</v>
      </c>
      <c r="K11" s="37">
        <v>0</v>
      </c>
      <c r="L11" s="35">
        <v>0</v>
      </c>
      <c r="M11" s="36">
        <f t="shared" si="5"/>
        <v>0</v>
      </c>
      <c r="N11" s="37">
        <v>0</v>
      </c>
      <c r="O11" s="35">
        <v>0</v>
      </c>
      <c r="P11" s="36">
        <f t="shared" si="6"/>
        <v>0</v>
      </c>
      <c r="Q11" s="37">
        <v>0</v>
      </c>
      <c r="R11" s="35">
        <v>0</v>
      </c>
      <c r="S11" s="36">
        <f t="shared" si="7"/>
        <v>0</v>
      </c>
      <c r="T11" s="37">
        <v>0</v>
      </c>
      <c r="U11" s="35">
        <v>0</v>
      </c>
      <c r="V11" s="36">
        <f t="shared" si="8"/>
        <v>0</v>
      </c>
      <c r="W11" s="37">
        <v>0</v>
      </c>
      <c r="X11" s="35">
        <v>0</v>
      </c>
      <c r="Y11" s="36">
        <f t="shared" si="9"/>
        <v>0</v>
      </c>
      <c r="Z11" s="37">
        <v>0</v>
      </c>
      <c r="AA11" s="35">
        <f>+[1]VOLKS!$J$8</f>
        <v>0</v>
      </c>
      <c r="AB11" s="36">
        <f t="shared" si="10"/>
        <v>0</v>
      </c>
      <c r="AC11" s="37">
        <f>+[1]VOLKS!$L$8</f>
        <v>0</v>
      </c>
      <c r="AD11" s="35">
        <v>0</v>
      </c>
      <c r="AE11" s="36">
        <v>0</v>
      </c>
      <c r="AF11" s="37">
        <v>0</v>
      </c>
      <c r="AG11" s="35">
        <v>0</v>
      </c>
      <c r="AH11" s="36">
        <v>0</v>
      </c>
      <c r="AI11" s="37">
        <v>0</v>
      </c>
      <c r="AJ11" s="35">
        <v>0</v>
      </c>
      <c r="AK11" s="36">
        <v>0</v>
      </c>
      <c r="AL11" s="37">
        <v>0</v>
      </c>
      <c r="AM11" s="35">
        <v>0</v>
      </c>
      <c r="AN11" s="36">
        <v>0</v>
      </c>
      <c r="AO11" s="37">
        <v>0</v>
      </c>
      <c r="AQ11" s="38">
        <f t="shared" si="11"/>
        <v>0</v>
      </c>
      <c r="AR11" s="25">
        <f t="shared" ref="AR11:AR12" si="15">IF(AQ11=0,0,AS11/AQ11)</f>
        <v>0</v>
      </c>
      <c r="AS11" s="40">
        <f t="shared" si="1"/>
        <v>0</v>
      </c>
      <c r="AU11" s="38">
        <f t="shared" si="12"/>
        <v>0</v>
      </c>
      <c r="AV11" s="25">
        <f t="shared" si="13"/>
        <v>0</v>
      </c>
      <c r="AW11" s="40">
        <f>SUMIFS(F11:AO11,$F$7:$AO$7,"$PROFITS",$F$3:$AO$3,"BUDGET")</f>
        <v>0</v>
      </c>
      <c r="AY11" s="38">
        <f>+[2]VOLKS!$J$8</f>
        <v>0</v>
      </c>
      <c r="AZ11" s="25">
        <f>IF(AY11=0,0,BA11/AY11)</f>
        <v>0</v>
      </c>
      <c r="BA11" s="40">
        <f>+[2]VOLKS!$L$8</f>
        <v>0</v>
      </c>
      <c r="BC11" s="38">
        <f t="shared" si="14"/>
        <v>0</v>
      </c>
      <c r="BD11" s="25">
        <f t="shared" si="14"/>
        <v>0</v>
      </c>
      <c r="BE11" s="41">
        <f t="shared" si="14"/>
        <v>0</v>
      </c>
    </row>
    <row r="12" spans="1:57" s="15" customFormat="1" ht="20.25" outlineLevel="1">
      <c r="A12" s="15" t="s">
        <v>27</v>
      </c>
      <c r="B12" s="34" t="s">
        <v>32</v>
      </c>
      <c r="C12" s="35">
        <f t="shared" si="2"/>
        <v>0</v>
      </c>
      <c r="D12" s="36">
        <f t="shared" ref="D12" si="16">IF(C12=0,0,E12/C12)</f>
        <v>0</v>
      </c>
      <c r="E12" s="37">
        <f t="shared" si="0"/>
        <v>0</v>
      </c>
      <c r="F12" s="35">
        <v>0</v>
      </c>
      <c r="G12" s="36">
        <f t="shared" si="3"/>
        <v>0</v>
      </c>
      <c r="H12" s="37">
        <v>0</v>
      </c>
      <c r="I12" s="35">
        <v>0</v>
      </c>
      <c r="J12" s="36">
        <f t="shared" si="4"/>
        <v>0</v>
      </c>
      <c r="K12" s="37">
        <v>0</v>
      </c>
      <c r="L12" s="35">
        <v>0</v>
      </c>
      <c r="M12" s="36">
        <f t="shared" si="5"/>
        <v>0</v>
      </c>
      <c r="N12" s="37">
        <v>0</v>
      </c>
      <c r="O12" s="35">
        <v>0</v>
      </c>
      <c r="P12" s="36">
        <f t="shared" si="6"/>
        <v>0</v>
      </c>
      <c r="Q12" s="37">
        <v>0</v>
      </c>
      <c r="R12" s="35">
        <v>0</v>
      </c>
      <c r="S12" s="36">
        <f t="shared" si="7"/>
        <v>0</v>
      </c>
      <c r="T12" s="37">
        <v>0</v>
      </c>
      <c r="U12" s="35">
        <v>0</v>
      </c>
      <c r="V12" s="36">
        <f t="shared" si="8"/>
        <v>0</v>
      </c>
      <c r="W12" s="37">
        <v>0</v>
      </c>
      <c r="X12" s="35">
        <v>0</v>
      </c>
      <c r="Y12" s="36">
        <f t="shared" si="9"/>
        <v>0</v>
      </c>
      <c r="Z12" s="37">
        <v>0</v>
      </c>
      <c r="AA12" s="35">
        <f>+[1]VOLKS!$J$9</f>
        <v>0</v>
      </c>
      <c r="AB12" s="36">
        <f t="shared" si="10"/>
        <v>0</v>
      </c>
      <c r="AC12" s="37">
        <f>+[1]VOLKS!$L$9</f>
        <v>0</v>
      </c>
      <c r="AD12" s="35">
        <v>0</v>
      </c>
      <c r="AE12" s="36">
        <v>0</v>
      </c>
      <c r="AF12" s="37">
        <v>0</v>
      </c>
      <c r="AG12" s="35">
        <v>0</v>
      </c>
      <c r="AH12" s="36">
        <v>0</v>
      </c>
      <c r="AI12" s="37">
        <v>0</v>
      </c>
      <c r="AJ12" s="35">
        <v>0</v>
      </c>
      <c r="AK12" s="36">
        <v>0</v>
      </c>
      <c r="AL12" s="37">
        <v>0</v>
      </c>
      <c r="AM12" s="35">
        <v>0</v>
      </c>
      <c r="AN12" s="36">
        <v>0</v>
      </c>
      <c r="AO12" s="37">
        <v>0</v>
      </c>
      <c r="AQ12" s="38">
        <f t="shared" si="11"/>
        <v>0</v>
      </c>
      <c r="AR12" s="25">
        <f t="shared" si="15"/>
        <v>0</v>
      </c>
      <c r="AS12" s="40">
        <f t="shared" si="1"/>
        <v>0</v>
      </c>
      <c r="AU12" s="38">
        <f t="shared" si="12"/>
        <v>0</v>
      </c>
      <c r="AV12" s="25">
        <f t="shared" si="13"/>
        <v>0</v>
      </c>
      <c r="AW12" s="40">
        <f>SUMIFS(F12:AO12,$F$7:$AO$7,"$PROFITS",$F$3:$AO$3,"BUDGET")</f>
        <v>0</v>
      </c>
      <c r="AY12" s="38">
        <f>+[2]VOLKS!$J$9</f>
        <v>0</v>
      </c>
      <c r="AZ12" s="25">
        <f t="shared" ref="AZ12" si="17">IF(AY12=0,0,BA12/AY12)</f>
        <v>0</v>
      </c>
      <c r="BA12" s="40">
        <f>+[2]VOLKS!$L$9</f>
        <v>0</v>
      </c>
      <c r="BC12" s="38">
        <f t="shared" si="14"/>
        <v>0</v>
      </c>
      <c r="BD12" s="25">
        <f t="shared" si="14"/>
        <v>0</v>
      </c>
      <c r="BE12" s="41">
        <f t="shared" si="14"/>
        <v>0</v>
      </c>
    </row>
    <row r="13" spans="1:57" s="15" customFormat="1" ht="20.25" outlineLevel="1">
      <c r="B13" s="34"/>
      <c r="C13" s="42"/>
      <c r="D13" s="36"/>
      <c r="E13" s="43"/>
      <c r="F13" s="42"/>
      <c r="G13" s="36"/>
      <c r="H13" s="43"/>
      <c r="I13" s="42"/>
      <c r="J13" s="36"/>
      <c r="K13" s="43"/>
      <c r="L13" s="42"/>
      <c r="M13" s="36"/>
      <c r="N13" s="43"/>
      <c r="O13" s="42"/>
      <c r="P13" s="36"/>
      <c r="Q13" s="43"/>
      <c r="R13" s="42"/>
      <c r="S13" s="36"/>
      <c r="T13" s="43"/>
      <c r="U13" s="42"/>
      <c r="V13" s="36"/>
      <c r="W13" s="43"/>
      <c r="X13" s="42"/>
      <c r="Y13" s="36"/>
      <c r="Z13" s="43"/>
      <c r="AA13" s="42"/>
      <c r="AB13" s="36"/>
      <c r="AC13" s="43"/>
      <c r="AD13" s="42"/>
      <c r="AE13" s="36"/>
      <c r="AF13" s="43"/>
      <c r="AG13" s="42"/>
      <c r="AH13" s="36"/>
      <c r="AI13" s="43"/>
      <c r="AJ13" s="42"/>
      <c r="AK13" s="36"/>
      <c r="AL13" s="43"/>
      <c r="AM13" s="42"/>
      <c r="AN13" s="36"/>
      <c r="AO13" s="43"/>
      <c r="AQ13" s="38"/>
      <c r="AR13" s="25"/>
      <c r="AS13" s="40"/>
      <c r="AU13" s="38"/>
      <c r="AV13" s="25"/>
      <c r="AW13" s="26"/>
      <c r="AY13" s="38"/>
      <c r="AZ13" s="25"/>
      <c r="BA13" s="40"/>
      <c r="BC13" s="38"/>
      <c r="BD13" s="25"/>
      <c r="BE13" s="27"/>
    </row>
    <row r="14" spans="1:57" s="15" customFormat="1" ht="20.25" outlineLevel="1">
      <c r="B14" s="34"/>
      <c r="C14" s="42"/>
      <c r="D14" s="36"/>
      <c r="E14" s="43"/>
      <c r="F14" s="42"/>
      <c r="G14" s="36"/>
      <c r="H14" s="43"/>
      <c r="I14" s="42"/>
      <c r="J14" s="36"/>
      <c r="K14" s="43"/>
      <c r="L14" s="42"/>
      <c r="M14" s="36"/>
      <c r="N14" s="43"/>
      <c r="O14" s="42"/>
      <c r="P14" s="36"/>
      <c r="Q14" s="43"/>
      <c r="R14" s="42"/>
      <c r="S14" s="36"/>
      <c r="T14" s="43"/>
      <c r="U14" s="42"/>
      <c r="V14" s="36"/>
      <c r="W14" s="43"/>
      <c r="X14" s="42"/>
      <c r="Y14" s="36"/>
      <c r="Z14" s="43"/>
      <c r="AA14" s="42"/>
      <c r="AB14" s="36"/>
      <c r="AC14" s="43"/>
      <c r="AD14" s="42"/>
      <c r="AE14" s="36"/>
      <c r="AF14" s="43"/>
      <c r="AG14" s="42"/>
      <c r="AH14" s="36"/>
      <c r="AI14" s="43"/>
      <c r="AJ14" s="42"/>
      <c r="AK14" s="36"/>
      <c r="AL14" s="43"/>
      <c r="AM14" s="42"/>
      <c r="AN14" s="36"/>
      <c r="AO14" s="43"/>
      <c r="AQ14" s="38"/>
      <c r="AR14" s="25"/>
      <c r="AS14" s="40"/>
      <c r="AU14" s="38"/>
      <c r="AV14" s="25"/>
      <c r="AW14" s="26"/>
      <c r="AY14" s="38"/>
      <c r="AZ14" s="25"/>
      <c r="BA14" s="40"/>
      <c r="BC14" s="38"/>
      <c r="BD14" s="25"/>
      <c r="BE14" s="27"/>
    </row>
    <row r="15" spans="1:57" s="15" customFormat="1" ht="20.25" outlineLevel="1">
      <c r="B15" s="34"/>
      <c r="C15" s="42"/>
      <c r="D15" s="36"/>
      <c r="E15" s="43"/>
      <c r="F15" s="42"/>
      <c r="G15" s="36"/>
      <c r="H15" s="43"/>
      <c r="I15" s="42"/>
      <c r="J15" s="36"/>
      <c r="K15" s="43"/>
      <c r="L15" s="42"/>
      <c r="M15" s="36"/>
      <c r="N15" s="43"/>
      <c r="O15" s="42"/>
      <c r="P15" s="36"/>
      <c r="Q15" s="43"/>
      <c r="R15" s="42"/>
      <c r="S15" s="36"/>
      <c r="T15" s="43"/>
      <c r="U15" s="42"/>
      <c r="V15" s="36"/>
      <c r="W15" s="43"/>
      <c r="X15" s="42"/>
      <c r="Y15" s="36"/>
      <c r="Z15" s="43"/>
      <c r="AA15" s="42"/>
      <c r="AB15" s="36"/>
      <c r="AC15" s="43"/>
      <c r="AD15" s="42"/>
      <c r="AE15" s="36"/>
      <c r="AF15" s="43"/>
      <c r="AG15" s="42"/>
      <c r="AH15" s="36"/>
      <c r="AI15" s="43"/>
      <c r="AJ15" s="42"/>
      <c r="AK15" s="36"/>
      <c r="AL15" s="43"/>
      <c r="AM15" s="42"/>
      <c r="AN15" s="36"/>
      <c r="AO15" s="43"/>
      <c r="AQ15" s="38"/>
      <c r="AR15" s="25"/>
      <c r="AS15" s="40"/>
      <c r="AU15" s="38"/>
      <c r="AV15" s="25"/>
      <c r="AW15" s="26"/>
      <c r="AY15" s="38"/>
      <c r="AZ15" s="25"/>
      <c r="BA15" s="40"/>
      <c r="BC15" s="38"/>
      <c r="BD15" s="25"/>
      <c r="BE15" s="27"/>
    </row>
    <row r="16" spans="1:57" s="15" customFormat="1" ht="20.25" outlineLevel="1">
      <c r="A16" s="15" t="s">
        <v>27</v>
      </c>
      <c r="B16" s="44" t="s">
        <v>33</v>
      </c>
      <c r="C16" s="45">
        <f>+SUM(C9:C15)</f>
        <v>683</v>
      </c>
      <c r="D16" s="46">
        <f>IF(C16&lt;=0,0,E16/C16)</f>
        <v>2274.1012926785916</v>
      </c>
      <c r="E16" s="47">
        <f>+SUM(E9:E15)</f>
        <v>1553211.1828994781</v>
      </c>
      <c r="F16" s="45">
        <f>+SUM(F9:F15)</f>
        <v>48</v>
      </c>
      <c r="G16" s="46">
        <f t="shared" ref="G16" si="18">IF(F16&lt;=0,0,H16/F16)</f>
        <v>2369.9124999999772</v>
      </c>
      <c r="H16" s="47">
        <f>+SUM(H9:H15)</f>
        <v>113755.79999999891</v>
      </c>
      <c r="I16" s="45">
        <f>+SUM(I9:I15)</f>
        <v>30</v>
      </c>
      <c r="J16" s="46">
        <f t="shared" ref="J16" si="19">IF(I16&lt;=0,0,K16/I16)</f>
        <v>2410.9103333333301</v>
      </c>
      <c r="K16" s="47">
        <f>+SUM(K9:K15)</f>
        <v>72327.309999999896</v>
      </c>
      <c r="L16" s="45">
        <f>+SUM(L9:L15)</f>
        <v>51</v>
      </c>
      <c r="M16" s="46">
        <f t="shared" ref="M16" si="20">IF(L16&lt;=0,0,N16/L16)</f>
        <v>2104.7599999999984</v>
      </c>
      <c r="N16" s="47">
        <f>+SUM(N9:N15)</f>
        <v>107342.75999999991</v>
      </c>
      <c r="O16" s="45">
        <f>+SUM(O9:O15)</f>
        <v>56</v>
      </c>
      <c r="P16" s="46">
        <f t="shared" ref="P16" si="21">IF(O16&lt;=0,0,Q16/O16)</f>
        <v>2343.2046428571443</v>
      </c>
      <c r="Q16" s="47">
        <f>+SUM(Q9:Q15)</f>
        <v>131219.46000000008</v>
      </c>
      <c r="R16" s="45">
        <f>+SUM(R9:R15)</f>
        <v>52</v>
      </c>
      <c r="S16" s="46">
        <f t="shared" ref="S16" si="22">IF(R16&lt;=0,0,T16/R16)</f>
        <v>2291.0755769230786</v>
      </c>
      <c r="T16" s="47">
        <f>+SUM(T9:T15)</f>
        <v>119135.93000000009</v>
      </c>
      <c r="U16" s="45">
        <f>+SUM(U9:U15)</f>
        <v>41</v>
      </c>
      <c r="V16" s="46">
        <f t="shared" ref="V16" si="23">IF(U16&lt;=0,0,W16/U16)</f>
        <v>2033.4882926829293</v>
      </c>
      <c r="W16" s="47">
        <f>+SUM(W9:W15)</f>
        <v>83373.020000000106</v>
      </c>
      <c r="X16" s="45">
        <f>+SUM(X9:X15)</f>
        <v>76</v>
      </c>
      <c r="Y16" s="46">
        <f t="shared" ref="Y16" si="24">IF(X16&lt;=0,0,Z16/X16)</f>
        <v>2212.6460526315786</v>
      </c>
      <c r="Z16" s="47">
        <f>+SUM(Z9:Z15)</f>
        <v>168161.09999999998</v>
      </c>
      <c r="AA16" s="45">
        <f>+SUM(AA9:AA15)</f>
        <v>64</v>
      </c>
      <c r="AB16" s="46">
        <f t="shared" ref="AB16" si="25">IF(AA16&lt;=0,0,AC16/AA16)</f>
        <v>2298.4915624999985</v>
      </c>
      <c r="AC16" s="47">
        <f>+SUM(AC9:AC15)</f>
        <v>147103.4599999999</v>
      </c>
      <c r="AD16" s="45">
        <v>60</v>
      </c>
      <c r="AE16" s="46">
        <v>2307.3032084720785</v>
      </c>
      <c r="AF16" s="47">
        <v>138438.19250832472</v>
      </c>
      <c r="AG16" s="45">
        <v>69</v>
      </c>
      <c r="AH16" s="46">
        <v>2303.109682304982</v>
      </c>
      <c r="AI16" s="47">
        <v>158914.56807904376</v>
      </c>
      <c r="AJ16" s="45">
        <v>83</v>
      </c>
      <c r="AK16" s="46">
        <v>2302.2676087774526</v>
      </c>
      <c r="AL16" s="47">
        <v>191088.21152852857</v>
      </c>
      <c r="AM16" s="45">
        <v>53</v>
      </c>
      <c r="AN16" s="46">
        <v>2308.5164298789118</v>
      </c>
      <c r="AO16" s="47">
        <v>122351.37078358232</v>
      </c>
      <c r="AQ16" s="48">
        <f>+SUM(AQ9:AQ15)</f>
        <v>418</v>
      </c>
      <c r="AR16" s="49">
        <f t="shared" ref="AR16" si="26">IF(AQ16&lt;=0,0,AS16/AQ16)</f>
        <v>2254.5905263157865</v>
      </c>
      <c r="AS16" s="50">
        <f t="shared" ref="AS16" si="27">+SUM(AS9:AS15)</f>
        <v>942418.8399999988</v>
      </c>
      <c r="AU16" s="48">
        <f>+SUM(AU9:AU15)</f>
        <v>265</v>
      </c>
      <c r="AV16" s="49">
        <f t="shared" ref="AV16" si="28">IF(AU16&lt;=0,0,AW16/AU16)</f>
        <v>2304.8767656584128</v>
      </c>
      <c r="AW16" s="50">
        <f t="shared" ref="AW16" si="29">+SUM(AW9:AW15)</f>
        <v>610792.34289947944</v>
      </c>
      <c r="AY16" s="48">
        <f>+SUM(AY9:AY15)</f>
        <v>418</v>
      </c>
      <c r="AZ16" s="49">
        <f>IF(AY16&lt;=0,0,BA16/AY16)</f>
        <v>2254.5905263157847</v>
      </c>
      <c r="BA16" s="50">
        <f>+SUM(BA9:BA15)</f>
        <v>942418.83999999799</v>
      </c>
      <c r="BC16" s="48">
        <f t="shared" ref="BC16" si="30">+SUM(BC9:BC15)</f>
        <v>0</v>
      </c>
      <c r="BD16" s="49">
        <f t="shared" ref="BD16" si="31">IF(BC16&lt;=0,0,BE16/BC16)</f>
        <v>0</v>
      </c>
      <c r="BE16" s="51">
        <f t="shared" ref="BE16" si="32">+SUM(BE9:BE15)</f>
        <v>-7.5669959187507629E-10</v>
      </c>
    </row>
    <row r="17" spans="1:57" s="15" customFormat="1" ht="20.25" outlineLevel="1">
      <c r="A17" s="15" t="s">
        <v>27</v>
      </c>
      <c r="B17" s="34"/>
      <c r="C17" s="34"/>
      <c r="D17" s="36"/>
      <c r="E17" s="52"/>
      <c r="F17" s="34"/>
      <c r="G17" s="36"/>
      <c r="H17" s="52"/>
      <c r="I17" s="34"/>
      <c r="J17" s="36"/>
      <c r="K17" s="52"/>
      <c r="L17" s="34"/>
      <c r="M17" s="36"/>
      <c r="N17" s="52"/>
      <c r="O17" s="34"/>
      <c r="P17" s="36"/>
      <c r="Q17" s="52"/>
      <c r="R17" s="34"/>
      <c r="S17" s="36"/>
      <c r="T17" s="52"/>
      <c r="U17" s="34"/>
      <c r="V17" s="36"/>
      <c r="W17" s="52"/>
      <c r="X17" s="34"/>
      <c r="Y17" s="36"/>
      <c r="Z17" s="52"/>
      <c r="AA17" s="34"/>
      <c r="AB17" s="36"/>
      <c r="AC17" s="52"/>
      <c r="AD17" s="34"/>
      <c r="AE17" s="36"/>
      <c r="AF17" s="52"/>
      <c r="AG17" s="34"/>
      <c r="AH17" s="36"/>
      <c r="AI17" s="52"/>
      <c r="AJ17" s="34"/>
      <c r="AK17" s="36"/>
      <c r="AL17" s="52"/>
      <c r="AM17" s="34"/>
      <c r="AN17" s="36"/>
      <c r="AO17" s="52"/>
      <c r="AQ17" s="53"/>
      <c r="AR17" s="25"/>
      <c r="AS17" s="54"/>
      <c r="AU17" s="53"/>
      <c r="AV17" s="25"/>
      <c r="AW17" s="54"/>
      <c r="AY17" s="53"/>
      <c r="AZ17" s="25"/>
      <c r="BA17" s="54"/>
      <c r="BC17" s="53"/>
      <c r="BD17" s="25"/>
      <c r="BE17" s="27"/>
    </row>
    <row r="18" spans="1:57" s="15" customFormat="1" ht="20.25" outlineLevel="1">
      <c r="A18" s="15" t="s">
        <v>27</v>
      </c>
      <c r="B18" s="55" t="s">
        <v>34</v>
      </c>
      <c r="C18" s="56">
        <f>+SUM(F18,I18,L18,O18,R18,U18,X18,AA18,AD18,AG18,AJ18,AM18)</f>
        <v>42</v>
      </c>
      <c r="D18" s="57">
        <f>IF(C18=0,0,E18/C18)</f>
        <v>1379.7216157961991</v>
      </c>
      <c r="E18" s="58">
        <f>+SUM(H18,K18,N18,Q18,T18,W18,Z18,AC18,AF18,AI18,AL18,AO18)</f>
        <v>57948.307863440365</v>
      </c>
      <c r="F18" s="56">
        <v>2</v>
      </c>
      <c r="G18" s="57">
        <f t="shared" ref="G18" si="33">IF(F18=0,0,H18/F18)</f>
        <v>2429.645</v>
      </c>
      <c r="H18" s="58">
        <v>4859.29</v>
      </c>
      <c r="I18" s="56">
        <v>2</v>
      </c>
      <c r="J18" s="57">
        <f t="shared" ref="J18" si="34">IF(I18=0,0,K18/I18)</f>
        <v>1540.699999999995</v>
      </c>
      <c r="K18" s="58">
        <v>3081.3999999999901</v>
      </c>
      <c r="L18" s="56">
        <v>4</v>
      </c>
      <c r="M18" s="57">
        <f t="shared" ref="M18" si="35">IF(L18=0,0,N18/L18)</f>
        <v>370.869999999995</v>
      </c>
      <c r="N18" s="58">
        <v>1483.47999999998</v>
      </c>
      <c r="O18" s="56">
        <v>2</v>
      </c>
      <c r="P18" s="57">
        <f t="shared" ref="P18" si="36">IF(O18=0,0,Q18/O18)</f>
        <v>495.50500000000102</v>
      </c>
      <c r="Q18" s="58">
        <v>991.01000000000204</v>
      </c>
      <c r="R18" s="56">
        <v>5</v>
      </c>
      <c r="S18" s="57">
        <f t="shared" ref="S18" si="37">IF(R18=0,0,T18/R18)</f>
        <v>2015.8520000000001</v>
      </c>
      <c r="T18" s="58">
        <v>10079.26</v>
      </c>
      <c r="U18" s="56">
        <v>6</v>
      </c>
      <c r="V18" s="57">
        <f t="shared" ref="V18" si="38">IF(U18=0,0,W18/U18)</f>
        <v>1300.1783333333333</v>
      </c>
      <c r="W18" s="58">
        <v>7801.07</v>
      </c>
      <c r="X18" s="56">
        <v>5</v>
      </c>
      <c r="Y18" s="57">
        <f t="shared" ref="Y18" si="39">IF(X18=0,0,Z18/X18)</f>
        <v>1374.508</v>
      </c>
      <c r="Z18" s="58">
        <v>6872.54</v>
      </c>
      <c r="AA18" s="56">
        <f>+[1]VOLKS!$J$15</f>
        <v>3</v>
      </c>
      <c r="AB18" s="57">
        <f t="shared" ref="AB18" si="40">IF(AA18=0,0,AC18/AA18)</f>
        <v>942.82666666667001</v>
      </c>
      <c r="AC18" s="58">
        <f>+[1]VOLKS!$L$15</f>
        <v>2828.48000000001</v>
      </c>
      <c r="AD18" s="56">
        <v>3</v>
      </c>
      <c r="AE18" s="57">
        <v>1534.7521433415677</v>
      </c>
      <c r="AF18" s="58">
        <v>4604.2564300247031</v>
      </c>
      <c r="AG18" s="56">
        <v>3</v>
      </c>
      <c r="AH18" s="57">
        <v>1534.7521433415677</v>
      </c>
      <c r="AI18" s="58">
        <v>4604.2564300247031</v>
      </c>
      <c r="AJ18" s="56">
        <v>4</v>
      </c>
      <c r="AK18" s="57">
        <v>1534.7521433415677</v>
      </c>
      <c r="AL18" s="58">
        <v>6139.0085733662709</v>
      </c>
      <c r="AM18" s="56">
        <v>3</v>
      </c>
      <c r="AN18" s="57">
        <v>1534.7521433415677</v>
      </c>
      <c r="AO18" s="58">
        <v>4604.2564300247031</v>
      </c>
      <c r="AQ18" s="59">
        <f>SUMIFS(F18:AO18,$F$7:$AO$7,"UNITE",$F$3:$AO$3,"RÉEL")</f>
        <v>29</v>
      </c>
      <c r="AR18" s="60">
        <f t="shared" ref="AR18" si="41">IF(AQ18=0,0,AS18/AQ18)</f>
        <v>1310.2251724137925</v>
      </c>
      <c r="AS18" s="61">
        <f>SUMIFS(F18:AO18,$F$7:$AO$7,"$PROFITS",$F$3:$AO$3,"RÉEL")</f>
        <v>37996.529999999984</v>
      </c>
      <c r="AU18" s="59">
        <f>SUMIFS(F18:AO18,$F$7:$AO$7,"UNITE",$F$3:$AO$3,"BUDGET")</f>
        <v>13</v>
      </c>
      <c r="AV18" s="60">
        <f t="shared" ref="AV18" si="42">IF(AU18=0,0,AW18/AU18)</f>
        <v>1534.7521433415677</v>
      </c>
      <c r="AW18" s="61">
        <f>SUMIFS(F18:AO18,$F$7:$AO$7,"$PROFITS",$F$3:$AO$3,"BUDGET")</f>
        <v>19951.77786344038</v>
      </c>
      <c r="AY18" s="59">
        <f>+[2]VOLKS!$J$15</f>
        <v>29</v>
      </c>
      <c r="AZ18" s="60">
        <f>IF(AY18=0,0,BA18/AY18)</f>
        <v>1310.2251724137827</v>
      </c>
      <c r="BA18" s="61">
        <f>+[2]VOLKS!$L$15</f>
        <v>37996.529999999701</v>
      </c>
      <c r="BC18" s="59">
        <f>+AY18-AQ18</f>
        <v>0</v>
      </c>
      <c r="BD18" s="60">
        <f>+AZ18-AR18</f>
        <v>-9.7770680440589786E-12</v>
      </c>
      <c r="BE18" s="62">
        <f>+BA18-AS18</f>
        <v>-2.8376234695315361E-10</v>
      </c>
    </row>
    <row r="19" spans="1:57" s="15" customFormat="1" ht="20.25" outlineLevel="1">
      <c r="A19" s="15" t="s">
        <v>27</v>
      </c>
      <c r="B19" s="34"/>
      <c r="C19" s="34"/>
      <c r="D19" s="36"/>
      <c r="E19" s="52"/>
      <c r="F19" s="34"/>
      <c r="G19" s="36"/>
      <c r="H19" s="52"/>
      <c r="I19" s="34"/>
      <c r="J19" s="36"/>
      <c r="K19" s="52"/>
      <c r="L19" s="34"/>
      <c r="M19" s="36"/>
      <c r="N19" s="52"/>
      <c r="O19" s="34"/>
      <c r="P19" s="36"/>
      <c r="Q19" s="52"/>
      <c r="R19" s="34"/>
      <c r="S19" s="36"/>
      <c r="T19" s="52"/>
      <c r="U19" s="34"/>
      <c r="V19" s="36"/>
      <c r="W19" s="52"/>
      <c r="X19" s="34"/>
      <c r="Y19" s="36"/>
      <c r="Z19" s="52"/>
      <c r="AA19" s="34"/>
      <c r="AB19" s="36"/>
      <c r="AC19" s="52"/>
      <c r="AD19" s="34"/>
      <c r="AE19" s="36"/>
      <c r="AF19" s="52"/>
      <c r="AG19" s="34"/>
      <c r="AH19" s="36"/>
      <c r="AI19" s="52"/>
      <c r="AJ19" s="34"/>
      <c r="AK19" s="36"/>
      <c r="AL19" s="52"/>
      <c r="AM19" s="34"/>
      <c r="AN19" s="36"/>
      <c r="AO19" s="52"/>
      <c r="AQ19" s="53"/>
      <c r="AR19" s="25"/>
      <c r="AS19" s="54"/>
      <c r="AU19" s="53"/>
      <c r="AV19" s="25"/>
      <c r="AW19" s="54"/>
      <c r="AY19" s="53"/>
      <c r="AZ19" s="25"/>
      <c r="BA19" s="54"/>
      <c r="BC19" s="53"/>
      <c r="BD19" s="25"/>
      <c r="BE19" s="27"/>
    </row>
    <row r="20" spans="1:57" s="15" customFormat="1" ht="20.25" outlineLevel="1">
      <c r="A20" s="15" t="s">
        <v>27</v>
      </c>
      <c r="B20" s="63" t="s">
        <v>35</v>
      </c>
      <c r="C20" s="35">
        <f>+SUM(F20,I20,L20,O20,R20,U20,X20,AA20,AD20,AG20,AJ20,AM20)</f>
        <v>21</v>
      </c>
      <c r="D20" s="36">
        <f>IF(C20=0,0,E20/C20)</f>
        <v>2291.7821349763567</v>
      </c>
      <c r="E20" s="37">
        <f>+SUM(H20,K20,N20,Q20,T20,W20,Z20,AC20,AF20,AI20,AL20,AO20)</f>
        <v>48127.424834503494</v>
      </c>
      <c r="F20" s="35">
        <v>4</v>
      </c>
      <c r="G20" s="36">
        <f t="shared" ref="G20" si="43">IF(F20=0,0,H20/F20)</f>
        <v>2065.4675000000052</v>
      </c>
      <c r="H20" s="37">
        <v>8261.8700000000208</v>
      </c>
      <c r="I20" s="35">
        <v>8</v>
      </c>
      <c r="J20" s="36">
        <f t="shared" ref="J20" si="44">IF(I20=0,0,K20/I20)</f>
        <v>2662.0949999999998</v>
      </c>
      <c r="K20" s="37">
        <v>21296.76</v>
      </c>
      <c r="L20" s="35">
        <v>0</v>
      </c>
      <c r="M20" s="36">
        <f t="shared" ref="M20" si="45">IF(L20=0,0,N20/L20)</f>
        <v>0</v>
      </c>
      <c r="N20" s="37">
        <v>0</v>
      </c>
      <c r="O20" s="35">
        <v>0</v>
      </c>
      <c r="P20" s="36">
        <f t="shared" ref="P20" si="46">IF(O20=0,0,Q20/O20)</f>
        <v>0</v>
      </c>
      <c r="Q20" s="37">
        <v>0</v>
      </c>
      <c r="R20" s="35">
        <v>0</v>
      </c>
      <c r="S20" s="36">
        <f t="shared" ref="S20" si="47">IF(R20=0,0,T20/R20)</f>
        <v>0</v>
      </c>
      <c r="T20" s="37">
        <v>0</v>
      </c>
      <c r="U20" s="35">
        <v>0</v>
      </c>
      <c r="V20" s="36">
        <f t="shared" ref="V20" si="48">IF(U20=0,0,W20/U20)</f>
        <v>0</v>
      </c>
      <c r="W20" s="37">
        <v>0</v>
      </c>
      <c r="X20" s="35">
        <v>0</v>
      </c>
      <c r="Y20" s="36">
        <f t="shared" ref="Y20" si="49">IF(X20=0,0,Z20/X20)</f>
        <v>0</v>
      </c>
      <c r="Z20" s="37">
        <v>0</v>
      </c>
      <c r="AA20" s="35">
        <f>+[1]VOLKS!$J$17</f>
        <v>2</v>
      </c>
      <c r="AB20" s="36">
        <f t="shared" ref="AB20" si="50">IF(AA20=0,0,AC20/AA20)</f>
        <v>905.91499999999996</v>
      </c>
      <c r="AC20" s="37">
        <f>+[1]VOLKS!$L$17</f>
        <v>1811.83</v>
      </c>
      <c r="AD20" s="35">
        <v>2</v>
      </c>
      <c r="AE20" s="57">
        <v>2393.8521192147828</v>
      </c>
      <c r="AF20" s="37">
        <v>4787.7042384295655</v>
      </c>
      <c r="AG20" s="35">
        <v>2</v>
      </c>
      <c r="AH20" s="57">
        <v>2393.8521192147828</v>
      </c>
      <c r="AI20" s="37">
        <v>4787.7042384295655</v>
      </c>
      <c r="AJ20" s="35">
        <v>2</v>
      </c>
      <c r="AK20" s="57">
        <v>2393.8521192147828</v>
      </c>
      <c r="AL20" s="37">
        <v>4787.7042384295655</v>
      </c>
      <c r="AM20" s="35">
        <v>1</v>
      </c>
      <c r="AN20" s="57">
        <v>2393.8521192147828</v>
      </c>
      <c r="AO20" s="37">
        <v>2393.8521192147828</v>
      </c>
      <c r="AQ20" s="59">
        <f>SUMIFS(F20:AO20,$F$7:$AO$7,"UNITE",$F$3:$AO$3,"RÉEL")</f>
        <v>14</v>
      </c>
      <c r="AR20" s="25">
        <f t="shared" ref="AR20" si="51">IF(AQ20=0,0,AS20/AQ20)</f>
        <v>2240.7471428571444</v>
      </c>
      <c r="AS20" s="40">
        <f>SUMIFS(F20:AO20,$F$7:$AO$7,"$PROFITS",$F$3:$AO$3,"RÉEL")</f>
        <v>31370.460000000021</v>
      </c>
      <c r="AU20" s="38">
        <f>SUMIFS(F20:AO20,$F$7:$AO$7,"UNITE",$F$3:$AO$3,"BUDGET")</f>
        <v>7</v>
      </c>
      <c r="AV20" s="25">
        <f t="shared" ref="AV20" si="52">IF(AU20=0,0,AW20/AU20)</f>
        <v>2393.8521192147828</v>
      </c>
      <c r="AW20" s="40">
        <f>SUMIFS(F20:AO20,$F$7:$AO$7,"$PROFITS",$F$3:$AO$3,"BUDGET")</f>
        <v>16756.96483450348</v>
      </c>
      <c r="AY20" s="59">
        <f>+[2]VOLKS!$J$17</f>
        <v>14</v>
      </c>
      <c r="AZ20" s="25">
        <f>IF(AY20=0,0,BA20/AY20)</f>
        <v>2240.747142857143</v>
      </c>
      <c r="BA20" s="40">
        <f>+[2]VOLKS!$L$17</f>
        <v>31370.46</v>
      </c>
      <c r="BC20" s="38">
        <f>+AY20-AQ20</f>
        <v>0</v>
      </c>
      <c r="BD20" s="25">
        <f>+AZ20-AR20</f>
        <v>0</v>
      </c>
      <c r="BE20" s="41">
        <f>+BA20-AS20</f>
        <v>0</v>
      </c>
    </row>
    <row r="21" spans="1:57" s="15" customFormat="1" ht="20.25" outlineLevel="1">
      <c r="A21" s="15" t="s">
        <v>27</v>
      </c>
      <c r="B21" s="44"/>
      <c r="C21" s="64"/>
      <c r="D21" s="65"/>
      <c r="E21" s="66"/>
      <c r="F21" s="64"/>
      <c r="G21" s="65"/>
      <c r="H21" s="66"/>
      <c r="I21" s="64"/>
      <c r="J21" s="65"/>
      <c r="K21" s="66"/>
      <c r="L21" s="64"/>
      <c r="M21" s="65"/>
      <c r="N21" s="66"/>
      <c r="O21" s="64"/>
      <c r="P21" s="65"/>
      <c r="Q21" s="66"/>
      <c r="R21" s="64"/>
      <c r="S21" s="65"/>
      <c r="T21" s="66"/>
      <c r="U21" s="64"/>
      <c r="V21" s="65"/>
      <c r="W21" s="66"/>
      <c r="X21" s="64"/>
      <c r="Y21" s="65"/>
      <c r="Z21" s="66"/>
      <c r="AA21" s="64"/>
      <c r="AB21" s="65"/>
      <c r="AC21" s="66"/>
      <c r="AD21" s="64"/>
      <c r="AE21" s="65"/>
      <c r="AF21" s="66"/>
      <c r="AG21" s="64"/>
      <c r="AH21" s="65"/>
      <c r="AI21" s="66"/>
      <c r="AJ21" s="64"/>
      <c r="AK21" s="65"/>
      <c r="AL21" s="66"/>
      <c r="AM21" s="64"/>
      <c r="AN21" s="65"/>
      <c r="AO21" s="66"/>
      <c r="AQ21" s="67"/>
      <c r="AR21" s="68"/>
      <c r="AS21" s="69"/>
      <c r="AU21" s="67"/>
      <c r="AV21" s="68"/>
      <c r="AW21" s="69"/>
      <c r="AY21" s="67"/>
      <c r="AZ21" s="68"/>
      <c r="BA21" s="69"/>
      <c r="BC21" s="67"/>
      <c r="BD21" s="68"/>
      <c r="BE21" s="70"/>
    </row>
    <row r="22" spans="1:57" s="15" customFormat="1" ht="20.25" outlineLevel="1">
      <c r="A22" s="15" t="s">
        <v>27</v>
      </c>
      <c r="B22" s="71" t="s">
        <v>36</v>
      </c>
      <c r="C22" s="42"/>
      <c r="D22" s="36"/>
      <c r="E22" s="37">
        <f>+SUM(H22,K22,N22,Q22,T22,W22,Z22,AC22,AF22,AI22,AL22,AO22)</f>
        <v>100331.13999999991</v>
      </c>
      <c r="F22" s="42"/>
      <c r="G22" s="36"/>
      <c r="H22" s="37">
        <v>4956</v>
      </c>
      <c r="I22" s="42"/>
      <c r="J22" s="36"/>
      <c r="K22" s="37">
        <v>6750.4500000000098</v>
      </c>
      <c r="L22" s="42"/>
      <c r="M22" s="36"/>
      <c r="N22" s="37">
        <v>13000.4</v>
      </c>
      <c r="O22" s="42"/>
      <c r="P22" s="36"/>
      <c r="Q22" s="37">
        <v>5903.28999999997</v>
      </c>
      <c r="R22" s="42"/>
      <c r="S22" s="36"/>
      <c r="T22" s="37">
        <v>11767.32</v>
      </c>
      <c r="U22" s="42"/>
      <c r="V22" s="36"/>
      <c r="W22" s="37">
        <v>6139.6</v>
      </c>
      <c r="X22" s="42"/>
      <c r="Y22" s="36"/>
      <c r="Z22" s="37">
        <v>12602.3499999999</v>
      </c>
      <c r="AA22" s="42"/>
      <c r="AB22" s="36"/>
      <c r="AC22" s="37">
        <f>+[1]VOLKS!$L$19</f>
        <v>9461.7300000000396</v>
      </c>
      <c r="AD22" s="42"/>
      <c r="AE22" s="36"/>
      <c r="AF22" s="37">
        <v>6800</v>
      </c>
      <c r="AG22" s="42"/>
      <c r="AH22" s="36"/>
      <c r="AI22" s="37">
        <v>7650</v>
      </c>
      <c r="AJ22" s="42"/>
      <c r="AK22" s="36"/>
      <c r="AL22" s="37">
        <v>9350</v>
      </c>
      <c r="AM22" s="42"/>
      <c r="AN22" s="36"/>
      <c r="AO22" s="37">
        <v>5950.0000000000009</v>
      </c>
      <c r="AQ22" s="24"/>
      <c r="AR22" s="25"/>
      <c r="AS22" s="40">
        <f>SUMIFS(F22:AO22,$F$7:$AO$7,"$PROFITS",$F$3:$AO$3,"RÉEL")</f>
        <v>70581.139999999912</v>
      </c>
      <c r="AU22" s="24"/>
      <c r="AV22" s="25"/>
      <c r="AW22" s="40">
        <f>SUMIFS(F22:AO22,$F$7:$AO$7,"$PROFITS",$F$3:$AO$3,"BUDGET")</f>
        <v>29750</v>
      </c>
      <c r="AY22" s="24"/>
      <c r="AZ22" s="25"/>
      <c r="BA22" s="40">
        <f>+[2]VOLKS!$L$19</f>
        <v>70581.140000000101</v>
      </c>
      <c r="BC22" s="24"/>
      <c r="BD22" s="25"/>
      <c r="BE22" s="41">
        <f>+BA22-AS22</f>
        <v>1.8917489796876907E-10</v>
      </c>
    </row>
    <row r="23" spans="1:57" s="15" customFormat="1" ht="20.25" outlineLevel="1">
      <c r="A23" s="15" t="s">
        <v>27</v>
      </c>
      <c r="B23" s="44"/>
      <c r="C23" s="64"/>
      <c r="D23" s="65"/>
      <c r="E23" s="66"/>
      <c r="F23" s="64"/>
      <c r="G23" s="65"/>
      <c r="H23" s="66"/>
      <c r="I23" s="64"/>
      <c r="J23" s="65"/>
      <c r="K23" s="66"/>
      <c r="L23" s="64"/>
      <c r="M23" s="65"/>
      <c r="N23" s="66"/>
      <c r="O23" s="64"/>
      <c r="P23" s="65"/>
      <c r="Q23" s="66"/>
      <c r="R23" s="64"/>
      <c r="S23" s="65"/>
      <c r="T23" s="66"/>
      <c r="U23" s="64"/>
      <c r="V23" s="65"/>
      <c r="W23" s="66"/>
      <c r="X23" s="64"/>
      <c r="Y23" s="65"/>
      <c r="Z23" s="66"/>
      <c r="AA23" s="64"/>
      <c r="AB23" s="65"/>
      <c r="AC23" s="66"/>
      <c r="AD23" s="64"/>
      <c r="AE23" s="65"/>
      <c r="AF23" s="66"/>
      <c r="AG23" s="64"/>
      <c r="AH23" s="65"/>
      <c r="AI23" s="66"/>
      <c r="AJ23" s="64"/>
      <c r="AK23" s="65"/>
      <c r="AL23" s="66"/>
      <c r="AM23" s="64"/>
      <c r="AN23" s="65"/>
      <c r="AO23" s="66"/>
      <c r="AQ23" s="67"/>
      <c r="AR23" s="68"/>
      <c r="AS23" s="69"/>
      <c r="AU23" s="67"/>
      <c r="AV23" s="68"/>
      <c r="AW23" s="69"/>
      <c r="AY23" s="67"/>
      <c r="AZ23" s="68"/>
      <c r="BA23" s="69"/>
      <c r="BC23" s="67"/>
      <c r="BD23" s="68"/>
      <c r="BE23" s="70"/>
    </row>
    <row r="24" spans="1:57" s="15" customFormat="1" ht="20.25" outlineLevel="1">
      <c r="A24" s="15" t="s">
        <v>27</v>
      </c>
      <c r="B24" s="34" t="s">
        <v>37</v>
      </c>
      <c r="C24" s="35"/>
      <c r="D24" s="36">
        <f>IF(C16=0,0,E24/(C16+C18))</f>
        <v>25.00358620689655</v>
      </c>
      <c r="E24" s="37">
        <f>+SUM(H24,K24,N24,Q24,T24,W24,Z24,AC24,AF24,AI24,AL24,AO24)</f>
        <v>18127.599999999999</v>
      </c>
      <c r="F24" s="35"/>
      <c r="G24" s="36">
        <f t="shared" ref="G24" si="53">IF(F16=0,0,H24/(F16+F18))</f>
        <v>0</v>
      </c>
      <c r="H24" s="37">
        <v>0</v>
      </c>
      <c r="I24" s="35"/>
      <c r="J24" s="36">
        <f t="shared" ref="J24" si="54">IF(I16=0,0,K24/(I16+I18))</f>
        <v>19.229687500000001</v>
      </c>
      <c r="K24" s="37">
        <v>615.35</v>
      </c>
      <c r="L24" s="35"/>
      <c r="M24" s="36">
        <f t="shared" ref="M24" si="55">IF(L16=0,0,N24/(L16+L18))</f>
        <v>0</v>
      </c>
      <c r="N24" s="37">
        <v>0</v>
      </c>
      <c r="O24" s="35"/>
      <c r="P24" s="36">
        <f t="shared" ref="P24" si="56">IF(O16=0,0,Q24/(O16+O18))</f>
        <v>0</v>
      </c>
      <c r="Q24" s="37">
        <v>0</v>
      </c>
      <c r="R24" s="35"/>
      <c r="S24" s="36">
        <f t="shared" ref="S24" si="57">IF(R16=0,0,T24/(R16+R18))</f>
        <v>11.182280701754387</v>
      </c>
      <c r="T24" s="37">
        <v>637.39</v>
      </c>
      <c r="U24" s="35"/>
      <c r="V24" s="36">
        <f t="shared" ref="V24" si="58">IF(U16=0,0,W24/(U16+U18))</f>
        <v>14.402127659574468</v>
      </c>
      <c r="W24" s="37">
        <v>676.9</v>
      </c>
      <c r="X24" s="35"/>
      <c r="Y24" s="36">
        <f t="shared" ref="Y24" si="59">IF(X16=0,0,Z24/(X16+X18))</f>
        <v>7.4635802469135797</v>
      </c>
      <c r="Z24" s="37">
        <v>604.54999999999995</v>
      </c>
      <c r="AA24" s="35"/>
      <c r="AB24" s="36">
        <f t="shared" ref="AB24" si="60">IF(AA16=0,0,AC24/(AA16+AA18))</f>
        <v>25.274776119402986</v>
      </c>
      <c r="AC24" s="37">
        <f>+[1]VOLKS!$L$21</f>
        <v>1693.41</v>
      </c>
      <c r="AD24" s="35"/>
      <c r="AE24" s="36">
        <v>50</v>
      </c>
      <c r="AF24" s="37">
        <v>3150</v>
      </c>
      <c r="AG24" s="35"/>
      <c r="AH24" s="36">
        <v>50</v>
      </c>
      <c r="AI24" s="37">
        <v>3600</v>
      </c>
      <c r="AJ24" s="35"/>
      <c r="AK24" s="36">
        <v>50</v>
      </c>
      <c r="AL24" s="37">
        <v>4350</v>
      </c>
      <c r="AM24" s="35"/>
      <c r="AN24" s="36">
        <v>50</v>
      </c>
      <c r="AO24" s="37">
        <v>2800</v>
      </c>
      <c r="AQ24" s="38"/>
      <c r="AR24" s="25">
        <f t="shared" ref="AR24" si="61">IF(AQ16=0,0,AS24/(AQ16+AQ18))</f>
        <v>9.4577181208053673</v>
      </c>
      <c r="AS24" s="40">
        <f>SUMIFS(F24:AO24,$F$7:$AO$7,"$PROFITS",$F$3:$AO$3,"RÉEL")</f>
        <v>4227.5999999999995</v>
      </c>
      <c r="AU24" s="38"/>
      <c r="AV24" s="25">
        <f t="shared" ref="AV24" si="62">IF(AU16=0,0,AW24/(AU16+AU18))</f>
        <v>50</v>
      </c>
      <c r="AW24" s="40">
        <f>SUMIFS(F24:AO24,$F$7:$AO$7,"$PROFITS",$F$3:$AO$3,"BUDGET")</f>
        <v>13900</v>
      </c>
      <c r="AY24" s="38"/>
      <c r="AZ24" s="25">
        <f>IF(AY16=0,0,BA24/(AY16+AY18))</f>
        <v>9.4577181208053691</v>
      </c>
      <c r="BA24" s="40">
        <f>+[2]VOLKS!$L$21</f>
        <v>4227.6000000000004</v>
      </c>
      <c r="BC24" s="38"/>
      <c r="BD24" s="25">
        <f t="shared" ref="BD24:BE26" si="63">+AZ24-AR24</f>
        <v>0</v>
      </c>
      <c r="BE24" s="41">
        <f t="shared" si="63"/>
        <v>0</v>
      </c>
    </row>
    <row r="25" spans="1:57" s="15" customFormat="1" ht="20.25" outlineLevel="1">
      <c r="A25" s="15" t="s">
        <v>27</v>
      </c>
      <c r="B25" s="34" t="s">
        <v>38</v>
      </c>
      <c r="C25" s="35"/>
      <c r="D25" s="36">
        <f>IF(C16=0,0,E25/(C16+C18))</f>
        <v>950.93942068965532</v>
      </c>
      <c r="E25" s="37">
        <f>+SUM(H25,K25,N25,Q25,T25,W25,Z25,AC25,AF25,AI25,AL25,AO25)</f>
        <v>689431.08000000007</v>
      </c>
      <c r="F25" s="35"/>
      <c r="G25" s="36">
        <f t="shared" ref="G25" si="64">IF(F16=0,0,H25/(F16+F18))</f>
        <v>1179.3872000000001</v>
      </c>
      <c r="H25" s="37">
        <v>58969.36</v>
      </c>
      <c r="I25" s="35"/>
      <c r="J25" s="36">
        <f t="shared" ref="J25" si="65">IF(I16=0,0,K25/(I16+I18))</f>
        <v>984.25156249999998</v>
      </c>
      <c r="K25" s="37">
        <v>31496.05</v>
      </c>
      <c r="L25" s="35"/>
      <c r="M25" s="36">
        <f t="shared" ref="M25" si="66">IF(L16=0,0,N25/(L16+L18))</f>
        <v>606.028909090909</v>
      </c>
      <c r="N25" s="37">
        <v>33331.589999999997</v>
      </c>
      <c r="O25" s="35"/>
      <c r="P25" s="36">
        <f t="shared" ref="P25" si="67">IF(O16=0,0,Q25/(O16+O18))</f>
        <v>931.86034482758623</v>
      </c>
      <c r="Q25" s="37">
        <v>54047.9</v>
      </c>
      <c r="R25" s="35"/>
      <c r="S25" s="36">
        <f t="shared" ref="S25" si="68">IF(R16=0,0,T25/(R16+R18))</f>
        <v>1090.3154385964913</v>
      </c>
      <c r="T25" s="37">
        <v>62147.98</v>
      </c>
      <c r="U25" s="35"/>
      <c r="V25" s="36">
        <f t="shared" ref="V25" si="69">IF(U16=0,0,W25/(U16+U18))</f>
        <v>1023.1253191489361</v>
      </c>
      <c r="W25" s="37">
        <v>48086.89</v>
      </c>
      <c r="X25" s="35"/>
      <c r="Y25" s="36">
        <f t="shared" ref="Y25" si="70">IF(X16=0,0,Z25/(X16+X18))</f>
        <v>985.36333333333323</v>
      </c>
      <c r="Z25" s="37">
        <v>79814.429999999993</v>
      </c>
      <c r="AA25" s="35"/>
      <c r="AB25" s="36">
        <f t="shared" ref="AB25" si="71">IF(AA16=0,0,AC25/(AA16+AA18))</f>
        <v>940.25194029850741</v>
      </c>
      <c r="AC25" s="37">
        <f>+[1]VOLKS!$L$22</f>
        <v>62996.88</v>
      </c>
      <c r="AD25" s="35"/>
      <c r="AE25" s="36">
        <v>930</v>
      </c>
      <c r="AF25" s="37">
        <v>58590</v>
      </c>
      <c r="AG25" s="35"/>
      <c r="AH25" s="36">
        <v>930</v>
      </c>
      <c r="AI25" s="37">
        <v>66960</v>
      </c>
      <c r="AJ25" s="35"/>
      <c r="AK25" s="36">
        <v>930</v>
      </c>
      <c r="AL25" s="37">
        <v>80910</v>
      </c>
      <c r="AM25" s="35"/>
      <c r="AN25" s="36">
        <v>930</v>
      </c>
      <c r="AO25" s="37">
        <v>52080</v>
      </c>
      <c r="AQ25" s="38"/>
      <c r="AR25" s="25">
        <f t="shared" ref="AR25" si="72">IF(AQ16=0,0,AS25/(AQ16+AQ18))</f>
        <v>963.96214765100672</v>
      </c>
      <c r="AS25" s="40">
        <f>SUMIFS(F25:AO25,$F$7:$AO$7,"$PROFITS",$F$3:$AO$3,"RÉEL")</f>
        <v>430891.08</v>
      </c>
      <c r="AU25" s="38"/>
      <c r="AV25" s="25">
        <f t="shared" ref="AV25" si="73">IF(AU16=0,0,AW25/(AU16+AU18))</f>
        <v>930</v>
      </c>
      <c r="AW25" s="40">
        <f>SUMIFS(F25:AO25,$F$7:$AO$7,"$PROFITS",$F$3:$AO$3,"BUDGET")</f>
        <v>258540</v>
      </c>
      <c r="AY25" s="38"/>
      <c r="AZ25" s="25">
        <f>IF(AY16=0,0,BA25/(AY16+AY18))</f>
        <v>963.96214765100672</v>
      </c>
      <c r="BA25" s="40">
        <f>+[2]VOLKS!$L$22</f>
        <v>430891.08</v>
      </c>
      <c r="BC25" s="38"/>
      <c r="BD25" s="25">
        <f t="shared" si="63"/>
        <v>0</v>
      </c>
      <c r="BE25" s="41">
        <f t="shared" si="63"/>
        <v>0</v>
      </c>
    </row>
    <row r="26" spans="1:57" s="15" customFormat="1" ht="20.25" outlineLevel="1">
      <c r="A26" s="15" t="s">
        <v>27</v>
      </c>
      <c r="B26" s="34" t="s">
        <v>39</v>
      </c>
      <c r="C26" s="35"/>
      <c r="D26" s="36">
        <f>IF(C16=0,0,E26/(C16+C18))</f>
        <v>9.8928137931034481</v>
      </c>
      <c r="E26" s="37">
        <f>+SUM(H26,K26,N26,Q26,T26,W26,Z26,AC26,AF26,AI26,AL26,AO26)</f>
        <v>7172.29</v>
      </c>
      <c r="F26" s="35"/>
      <c r="G26" s="36">
        <f t="shared" ref="G26" si="74">IF(F16=0,0,H26/(F16+F18))</f>
        <v>0</v>
      </c>
      <c r="H26" s="37">
        <v>0</v>
      </c>
      <c r="I26" s="35"/>
      <c r="J26" s="36">
        <f t="shared" ref="J26" si="75">IF(I16=0,0,K26/(I16+I18))</f>
        <v>13.862500000000001</v>
      </c>
      <c r="K26" s="37">
        <v>443.6</v>
      </c>
      <c r="L26" s="35"/>
      <c r="M26" s="36">
        <f t="shared" ref="M26" si="76">IF(L16=0,0,N26/(L16+L18))</f>
        <v>5.7529090909090916</v>
      </c>
      <c r="N26" s="37">
        <v>316.41000000000003</v>
      </c>
      <c r="O26" s="35"/>
      <c r="P26" s="36">
        <f t="shared" ref="P26" si="77">IF(O16=0,0,Q26/(O16+O18))</f>
        <v>0</v>
      </c>
      <c r="Q26" s="37">
        <v>0</v>
      </c>
      <c r="R26" s="35"/>
      <c r="S26" s="36">
        <f t="shared" ref="S26" si="78">IF(R16=0,0,T26/(R16+R18))</f>
        <v>4.6777192982456137</v>
      </c>
      <c r="T26" s="37">
        <v>266.63</v>
      </c>
      <c r="U26" s="35"/>
      <c r="V26" s="36">
        <f t="shared" ref="V26" si="79">IF(U16=0,0,W26/(U16+U18))</f>
        <v>0</v>
      </c>
      <c r="W26" s="37">
        <v>0</v>
      </c>
      <c r="X26" s="35"/>
      <c r="Y26" s="36">
        <f t="shared" ref="Y26" si="80">IF(X16=0,0,Z26/(X16+X18))</f>
        <v>2.3029629629629627</v>
      </c>
      <c r="Z26" s="37">
        <v>186.54</v>
      </c>
      <c r="AA26" s="35"/>
      <c r="AB26" s="36">
        <f t="shared" ref="AB26" si="81">IF(AA16=0,0,AC26/(AA16+AA18))</f>
        <v>5.9568656716417916</v>
      </c>
      <c r="AC26" s="37">
        <f>+[1]VOLKS!$L$23</f>
        <v>399.11</v>
      </c>
      <c r="AD26" s="35"/>
      <c r="AE26" s="36">
        <v>20</v>
      </c>
      <c r="AF26" s="37">
        <v>1260</v>
      </c>
      <c r="AG26" s="35"/>
      <c r="AH26" s="36">
        <v>20</v>
      </c>
      <c r="AI26" s="37">
        <v>1440</v>
      </c>
      <c r="AJ26" s="35"/>
      <c r="AK26" s="36">
        <v>20</v>
      </c>
      <c r="AL26" s="37">
        <v>1740</v>
      </c>
      <c r="AM26" s="35"/>
      <c r="AN26" s="36">
        <v>20</v>
      </c>
      <c r="AO26" s="37">
        <v>1120</v>
      </c>
      <c r="AQ26" s="38"/>
      <c r="AR26" s="25">
        <f t="shared" ref="AR26" si="82">IF(AQ16=0,0,AS26/(AQ16+AQ18))</f>
        <v>3.6069127516778523</v>
      </c>
      <c r="AS26" s="40">
        <f>SUMIFS(F26:AO26,$F$7:$AO$7,"$PROFITS",$F$3:$AO$3,"RÉEL")</f>
        <v>1612.29</v>
      </c>
      <c r="AU26" s="38"/>
      <c r="AV26" s="25">
        <f t="shared" ref="AV26" si="83">IF(AU16=0,0,AW26/(AU16+AU18))</f>
        <v>20</v>
      </c>
      <c r="AW26" s="40">
        <f>SUMIFS(F26:AO26,$F$7:$AO$7,"$PROFITS",$F$3:$AO$3,"BUDGET")</f>
        <v>5560</v>
      </c>
      <c r="AY26" s="38"/>
      <c r="AZ26" s="25">
        <f>IF(AY16=0,0,BA26/(AY16+AY18))</f>
        <v>3.6069127516778523</v>
      </c>
      <c r="BA26" s="40">
        <f>+[2]VOLKS!$L$23</f>
        <v>1612.29</v>
      </c>
      <c r="BC26" s="38"/>
      <c r="BD26" s="25">
        <f t="shared" si="63"/>
        <v>0</v>
      </c>
      <c r="BE26" s="41">
        <f t="shared" si="63"/>
        <v>0</v>
      </c>
    </row>
    <row r="27" spans="1:57" s="15" customFormat="1" ht="20.25" outlineLevel="1">
      <c r="A27" s="15" t="s">
        <v>27</v>
      </c>
      <c r="B27" s="44" t="s">
        <v>40</v>
      </c>
      <c r="C27" s="45">
        <f>+C18+C16</f>
        <v>725</v>
      </c>
      <c r="D27" s="46">
        <f>IF(C27&lt;=0,0,E27/C27)</f>
        <v>985.83582068965529</v>
      </c>
      <c r="E27" s="47">
        <f>E24+E25+E26</f>
        <v>714730.97000000009</v>
      </c>
      <c r="F27" s="45">
        <f>+F18+F16</f>
        <v>50</v>
      </c>
      <c r="G27" s="46">
        <f t="shared" ref="G27" si="84">IF(F27&lt;=0,0,H27/F27)</f>
        <v>1179.3872000000001</v>
      </c>
      <c r="H27" s="47">
        <f>H24+H25+H26</f>
        <v>58969.36</v>
      </c>
      <c r="I27" s="45">
        <f>+I18+I16</f>
        <v>32</v>
      </c>
      <c r="J27" s="46">
        <f t="shared" ref="J27" si="85">IF(I27&lt;=0,0,K27/I27)</f>
        <v>1017.3437499999999</v>
      </c>
      <c r="K27" s="47">
        <f>K24+K25+K26</f>
        <v>32554.999999999996</v>
      </c>
      <c r="L27" s="45">
        <f>+L18+L16</f>
        <v>55</v>
      </c>
      <c r="M27" s="46">
        <f t="shared" ref="M27" si="86">IF(L27&lt;=0,0,N27/L27)</f>
        <v>611.78181818181815</v>
      </c>
      <c r="N27" s="47">
        <f>N24+N25+N26</f>
        <v>33648</v>
      </c>
      <c r="O27" s="45">
        <f>+O18+O16</f>
        <v>58</v>
      </c>
      <c r="P27" s="46">
        <f t="shared" ref="P27" si="87">IF(O27&lt;=0,0,Q27/O27)</f>
        <v>931.86034482758623</v>
      </c>
      <c r="Q27" s="47">
        <f>Q24+Q25+Q26</f>
        <v>54047.9</v>
      </c>
      <c r="R27" s="45">
        <f>+R18+R16</f>
        <v>57</v>
      </c>
      <c r="S27" s="46">
        <f t="shared" ref="S27" si="88">IF(R27&lt;=0,0,T27/R27)</f>
        <v>1106.1754385964912</v>
      </c>
      <c r="T27" s="47">
        <f>T24+T25+T26</f>
        <v>63052</v>
      </c>
      <c r="U27" s="45">
        <f>+U18+U16</f>
        <v>47</v>
      </c>
      <c r="V27" s="46">
        <f t="shared" ref="V27" si="89">IF(U27&lt;=0,0,W27/U27)</f>
        <v>1037.5274468085106</v>
      </c>
      <c r="W27" s="47">
        <f>W24+W25+W26</f>
        <v>48763.79</v>
      </c>
      <c r="X27" s="45">
        <f>+X18+X16</f>
        <v>81</v>
      </c>
      <c r="Y27" s="46">
        <f t="shared" ref="Y27" si="90">IF(X27&lt;=0,0,Z27/X27)</f>
        <v>995.12987654320978</v>
      </c>
      <c r="Z27" s="47">
        <f>Z24+Z25+Z26</f>
        <v>80605.51999999999</v>
      </c>
      <c r="AA27" s="45">
        <f>+AA18+AA16</f>
        <v>67</v>
      </c>
      <c r="AB27" s="46">
        <f t="shared" ref="AB27" si="91">IF(AA27&lt;=0,0,AC27/AA27)</f>
        <v>971.48358208955221</v>
      </c>
      <c r="AC27" s="47">
        <f>AC24+AC25+AC26</f>
        <v>65089.4</v>
      </c>
      <c r="AD27" s="45">
        <v>63</v>
      </c>
      <c r="AE27" s="46">
        <v>1000</v>
      </c>
      <c r="AF27" s="47">
        <v>63000</v>
      </c>
      <c r="AG27" s="45">
        <v>72</v>
      </c>
      <c r="AH27" s="46">
        <v>1000</v>
      </c>
      <c r="AI27" s="47">
        <v>72000</v>
      </c>
      <c r="AJ27" s="45">
        <v>87</v>
      </c>
      <c r="AK27" s="46">
        <v>1000</v>
      </c>
      <c r="AL27" s="47">
        <v>87000</v>
      </c>
      <c r="AM27" s="45">
        <v>56</v>
      </c>
      <c r="AN27" s="46">
        <v>1000</v>
      </c>
      <c r="AO27" s="47">
        <v>56000</v>
      </c>
      <c r="AQ27" s="48">
        <f>+AQ18+AQ16</f>
        <v>447</v>
      </c>
      <c r="AR27" s="49">
        <f t="shared" ref="AR27" si="92">IF(AQ27&lt;=0,0,AS27/AQ27)</f>
        <v>977.02677852348984</v>
      </c>
      <c r="AS27" s="50">
        <f t="shared" ref="AS27" si="93">AS24+AS25+AS26</f>
        <v>436730.97</v>
      </c>
      <c r="AU27" s="48">
        <f>+AU18+AU16</f>
        <v>278</v>
      </c>
      <c r="AV27" s="49">
        <f t="shared" ref="AV27" si="94">IF(AU27&lt;=0,0,AW27/AU27)</f>
        <v>1000</v>
      </c>
      <c r="AW27" s="50">
        <f t="shared" ref="AW27" si="95">AW24+AW25+AW26</f>
        <v>278000</v>
      </c>
      <c r="AY27" s="48">
        <f>+AY18+AY16</f>
        <v>447</v>
      </c>
      <c r="AZ27" s="49">
        <f>IF(AY27&lt;=0,0,BA27/AY27)</f>
        <v>977.02677852348984</v>
      </c>
      <c r="BA27" s="50">
        <f>BA24+BA25+BA26</f>
        <v>436730.97</v>
      </c>
      <c r="BC27" s="48">
        <f t="shared" ref="BC27" si="96">+BC18+BC16</f>
        <v>0</v>
      </c>
      <c r="BD27" s="49">
        <f t="shared" ref="BD27" si="97">IF(BC27&lt;=0,0,BE27/BC27)</f>
        <v>0</v>
      </c>
      <c r="BE27" s="51">
        <f t="shared" ref="BE27" si="98">BE24+BE25+BE26</f>
        <v>0</v>
      </c>
    </row>
    <row r="28" spans="1:57" s="15" customFormat="1" ht="20.25" outlineLevel="1">
      <c r="A28" s="15" t="s">
        <v>27</v>
      </c>
      <c r="B28" s="34"/>
      <c r="C28" s="34"/>
      <c r="D28" s="72"/>
      <c r="E28" s="73"/>
      <c r="F28" s="34"/>
      <c r="G28" s="72"/>
      <c r="H28" s="73"/>
      <c r="I28" s="34"/>
      <c r="J28" s="72"/>
      <c r="K28" s="73"/>
      <c r="L28" s="34"/>
      <c r="M28" s="72"/>
      <c r="N28" s="73"/>
      <c r="O28" s="34"/>
      <c r="P28" s="72"/>
      <c r="Q28" s="73"/>
      <c r="R28" s="34"/>
      <c r="S28" s="72"/>
      <c r="T28" s="73"/>
      <c r="U28" s="34"/>
      <c r="V28" s="72"/>
      <c r="W28" s="73"/>
      <c r="X28" s="34"/>
      <c r="Y28" s="72"/>
      <c r="Z28" s="73"/>
      <c r="AA28" s="34"/>
      <c r="AB28" s="72"/>
      <c r="AC28" s="73"/>
      <c r="AD28" s="34"/>
      <c r="AE28" s="72"/>
      <c r="AF28" s="73"/>
      <c r="AG28" s="34"/>
      <c r="AH28" s="72"/>
      <c r="AI28" s="73"/>
      <c r="AJ28" s="34"/>
      <c r="AK28" s="72"/>
      <c r="AL28" s="73"/>
      <c r="AM28" s="34"/>
      <c r="AN28" s="72"/>
      <c r="AO28" s="73"/>
      <c r="AQ28" s="53"/>
      <c r="AR28" s="74"/>
      <c r="AS28" s="75"/>
      <c r="AU28" s="53"/>
      <c r="AV28" s="74"/>
      <c r="AW28" s="75"/>
      <c r="AY28" s="53"/>
      <c r="AZ28" s="74"/>
      <c r="BA28" s="75"/>
      <c r="BC28" s="53"/>
      <c r="BD28" s="74"/>
      <c r="BE28" s="27"/>
    </row>
    <row r="29" spans="1:57" s="15" customFormat="1" ht="21" outlineLevel="1" thickBot="1">
      <c r="A29" s="15" t="s">
        <v>27</v>
      </c>
      <c r="B29" s="34"/>
      <c r="C29" s="34"/>
      <c r="D29" s="72"/>
      <c r="E29" s="52"/>
      <c r="F29" s="34"/>
      <c r="G29" s="72"/>
      <c r="H29" s="52"/>
      <c r="I29" s="34"/>
      <c r="J29" s="72"/>
      <c r="K29" s="52"/>
      <c r="L29" s="34"/>
      <c r="M29" s="72"/>
      <c r="N29" s="52"/>
      <c r="O29" s="34"/>
      <c r="P29" s="72"/>
      <c r="Q29" s="52"/>
      <c r="R29" s="34"/>
      <c r="S29" s="72"/>
      <c r="T29" s="52"/>
      <c r="U29" s="34"/>
      <c r="V29" s="72"/>
      <c r="W29" s="52"/>
      <c r="X29" s="34"/>
      <c r="Y29" s="72"/>
      <c r="Z29" s="52"/>
      <c r="AA29" s="34"/>
      <c r="AB29" s="72"/>
      <c r="AC29" s="52"/>
      <c r="AD29" s="34"/>
      <c r="AE29" s="72"/>
      <c r="AF29" s="52"/>
      <c r="AG29" s="34"/>
      <c r="AH29" s="72"/>
      <c r="AI29" s="52"/>
      <c r="AJ29" s="34"/>
      <c r="AK29" s="72"/>
      <c r="AL29" s="52"/>
      <c r="AM29" s="34"/>
      <c r="AN29" s="72"/>
      <c r="AO29" s="52"/>
      <c r="AQ29" s="53"/>
      <c r="AR29" s="74"/>
      <c r="AS29" s="54"/>
      <c r="AU29" s="53"/>
      <c r="AV29" s="74"/>
      <c r="AW29" s="54"/>
      <c r="AY29" s="53"/>
      <c r="AZ29" s="74"/>
      <c r="BA29" s="54"/>
      <c r="BC29" s="53"/>
      <c r="BD29" s="74"/>
      <c r="BE29" s="27"/>
    </row>
    <row r="30" spans="1:57" s="15" customFormat="1" ht="21" outlineLevel="1" thickTop="1">
      <c r="A30" s="15" t="s">
        <v>27</v>
      </c>
      <c r="B30" s="76" t="s">
        <v>41</v>
      </c>
      <c r="C30" s="77">
        <f>+C16+C18+C20</f>
        <v>746</v>
      </c>
      <c r="D30" s="78">
        <f>IF(C30&lt;=0,0,E30/C30)</f>
        <v>3316.821750130593</v>
      </c>
      <c r="E30" s="79">
        <f>E16+E20+E27+E22+E18</f>
        <v>2474349.0255974224</v>
      </c>
      <c r="F30" s="77">
        <f>+F16+F18+F20</f>
        <v>54</v>
      </c>
      <c r="G30" s="78">
        <f t="shared" ref="G30" si="99">IF(F30&lt;=0,0,H30/F30)</f>
        <v>3533.3762962962765</v>
      </c>
      <c r="H30" s="79">
        <f>H16+H20+H27+H22+H18</f>
        <v>190802.31999999893</v>
      </c>
      <c r="I30" s="77">
        <f>+I16+I18+I20</f>
        <v>40</v>
      </c>
      <c r="J30" s="78">
        <f t="shared" ref="J30" si="100">IF(I30&lt;=0,0,K30/I30)</f>
        <v>3400.2729999999974</v>
      </c>
      <c r="K30" s="79">
        <f>K16+K20+K27+K22+K18</f>
        <v>136010.9199999999</v>
      </c>
      <c r="L30" s="77">
        <f>+L16+L18+L20</f>
        <v>55</v>
      </c>
      <c r="M30" s="78">
        <f t="shared" ref="M30" si="101">IF(L30&lt;=0,0,N30/L30)</f>
        <v>2826.8116363636341</v>
      </c>
      <c r="N30" s="79">
        <f>N16+N20+N27+N22+N18</f>
        <v>155474.63999999987</v>
      </c>
      <c r="O30" s="77">
        <f>+O16+O18+O20</f>
        <v>58</v>
      </c>
      <c r="P30" s="78">
        <f t="shared" ref="P30" si="102">IF(O30&lt;=0,0,Q30/O30)</f>
        <v>3313.1320689655181</v>
      </c>
      <c r="Q30" s="79">
        <f>Q16+Q20+Q27+Q22+Q18</f>
        <v>192161.66000000006</v>
      </c>
      <c r="R30" s="77">
        <f>+R16+R18+R20</f>
        <v>57</v>
      </c>
      <c r="S30" s="78">
        <f t="shared" ref="S30" si="103">IF(R30&lt;=0,0,T30/R30)</f>
        <v>3579.552807017546</v>
      </c>
      <c r="T30" s="79">
        <f>T16+T20+T27+T22+T18</f>
        <v>204034.51000000013</v>
      </c>
      <c r="U30" s="77">
        <f>+U16+U18+U20</f>
        <v>47</v>
      </c>
      <c r="V30" s="78">
        <f t="shared" ref="V30" si="104">IF(U30&lt;=0,0,W30/U30)</f>
        <v>3108.0314893617046</v>
      </c>
      <c r="W30" s="80">
        <f>W16+W20+W27+W22+W18</f>
        <v>146077.48000000013</v>
      </c>
      <c r="X30" s="77">
        <f>+X16+X18+X20</f>
        <v>81</v>
      </c>
      <c r="Y30" s="78">
        <f t="shared" ref="Y30" si="105">IF(X30&lt;=0,0,Z30/X30)</f>
        <v>3311.6235802469114</v>
      </c>
      <c r="Z30" s="80">
        <f>Z16+Z20+Z27+Z22+Z18</f>
        <v>268241.50999999983</v>
      </c>
      <c r="AA30" s="77">
        <f>+AA16+AA18+AA20</f>
        <v>69</v>
      </c>
      <c r="AB30" s="78">
        <f t="shared" ref="AB30" si="106">IF(AA30&lt;=0,0,AC30/AA30)</f>
        <v>3279.636231884057</v>
      </c>
      <c r="AC30" s="80">
        <f>AC16+AC20+AC27+AC22+AC18</f>
        <v>226294.89999999994</v>
      </c>
      <c r="AD30" s="77">
        <v>65</v>
      </c>
      <c r="AE30" s="78">
        <v>3348.1562027196769</v>
      </c>
      <c r="AF30" s="79">
        <v>217630.15317677899</v>
      </c>
      <c r="AG30" s="77">
        <v>74</v>
      </c>
      <c r="AH30" s="78">
        <v>3350.7639019932171</v>
      </c>
      <c r="AI30" s="79">
        <v>247956.52874749806</v>
      </c>
      <c r="AJ30" s="77">
        <v>89</v>
      </c>
      <c r="AK30" s="78">
        <v>3352.4148802283644</v>
      </c>
      <c r="AL30" s="79">
        <v>298364.92434032442</v>
      </c>
      <c r="AM30" s="77">
        <v>57</v>
      </c>
      <c r="AN30" s="78">
        <v>3356.1312163652947</v>
      </c>
      <c r="AO30" s="79">
        <v>191299.47933282179</v>
      </c>
      <c r="AQ30" s="81">
        <f>+AQ16+AQ18+AQ20</f>
        <v>461</v>
      </c>
      <c r="AR30" s="82">
        <f t="shared" ref="AR30" si="107">IF(AQ30&lt;=0,0,AS30/AQ30)</f>
        <v>3295.2232971800408</v>
      </c>
      <c r="AS30" s="83">
        <f t="shared" ref="AS30" si="108">AS16+AS20+AS27+AS22+AS18</f>
        <v>1519097.9399999988</v>
      </c>
      <c r="AU30" s="81">
        <f t="shared" ref="AU30" si="109">+AU16+AU18+AU20</f>
        <v>285</v>
      </c>
      <c r="AV30" s="82">
        <f t="shared" ref="AV30" si="110">IF(AU30&lt;=0,0,AW30/AU30)</f>
        <v>3351.758195078678</v>
      </c>
      <c r="AW30" s="83">
        <f t="shared" ref="AW30" si="111">AW16+AW20+AW27+AW22+AW18</f>
        <v>955251.08559742325</v>
      </c>
      <c r="AY30" s="81">
        <f>+AY16+AY18+AY20</f>
        <v>461</v>
      </c>
      <c r="AZ30" s="82">
        <f>IF(AY30&lt;=0,0,BA30/AY30)</f>
        <v>3295.2232971800386</v>
      </c>
      <c r="BA30" s="83">
        <f>BA16+BA20+BA27+BA22+BA18</f>
        <v>1519097.9399999978</v>
      </c>
      <c r="BC30" s="81">
        <f t="shared" ref="BC30" si="112">+BC16+BC18+BC20</f>
        <v>0</v>
      </c>
      <c r="BD30" s="82">
        <f t="shared" ref="BD30" si="113">IF(BC30&lt;=0,0,BE30/BC30)</f>
        <v>0</v>
      </c>
      <c r="BE30" s="84">
        <f>BE16+BE20+BE27+BE22+BE18</f>
        <v>-8.5128704085946083E-10</v>
      </c>
    </row>
    <row r="31" spans="1:57" s="15" customFormat="1" ht="21" outlineLevel="1" thickBot="1">
      <c r="A31" s="15" t="s">
        <v>27</v>
      </c>
      <c r="B31" s="85"/>
      <c r="C31" s="85"/>
      <c r="D31" s="86"/>
      <c r="E31" s="87"/>
      <c r="F31" s="85"/>
      <c r="G31" s="86"/>
      <c r="H31" s="87"/>
      <c r="I31" s="85"/>
      <c r="J31" s="86"/>
      <c r="K31" s="87"/>
      <c r="L31" s="85"/>
      <c r="M31" s="86"/>
      <c r="N31" s="87"/>
      <c r="O31" s="85"/>
      <c r="P31" s="86"/>
      <c r="Q31" s="87"/>
      <c r="R31" s="85"/>
      <c r="S31" s="86"/>
      <c r="T31" s="87"/>
      <c r="U31" s="85"/>
      <c r="V31" s="86"/>
      <c r="W31" s="88"/>
      <c r="X31" s="85"/>
      <c r="Y31" s="86"/>
      <c r="Z31" s="88"/>
      <c r="AA31" s="85"/>
      <c r="AB31" s="86"/>
      <c r="AC31" s="88"/>
      <c r="AD31" s="85"/>
      <c r="AE31" s="86"/>
      <c r="AF31" s="87"/>
      <c r="AG31" s="85"/>
      <c r="AH31" s="86"/>
      <c r="AI31" s="87"/>
      <c r="AJ31" s="85"/>
      <c r="AK31" s="86"/>
      <c r="AL31" s="87"/>
      <c r="AM31" s="85"/>
      <c r="AN31" s="86"/>
      <c r="AO31" s="87"/>
      <c r="AQ31" s="89"/>
      <c r="AR31" s="90"/>
      <c r="AS31" s="91"/>
      <c r="AU31" s="89"/>
      <c r="AV31" s="90"/>
      <c r="AW31" s="91"/>
      <c r="AY31" s="89"/>
      <c r="AZ31" s="90"/>
      <c r="BA31" s="91"/>
      <c r="BC31" s="89"/>
      <c r="BD31" s="90"/>
      <c r="BE31" s="92"/>
    </row>
    <row r="32" spans="1:57" s="15" customFormat="1" ht="21" thickTop="1">
      <c r="A32" s="15" t="s">
        <v>27</v>
      </c>
      <c r="B32" s="93"/>
      <c r="C32" s="93"/>
      <c r="D32" s="94"/>
      <c r="E32" s="95"/>
      <c r="F32" s="93"/>
      <c r="G32" s="94"/>
      <c r="H32" s="95"/>
      <c r="I32" s="93"/>
      <c r="J32" s="94"/>
      <c r="K32" s="95"/>
      <c r="L32" s="93"/>
      <c r="M32" s="94"/>
      <c r="N32" s="95"/>
      <c r="O32" s="93"/>
      <c r="P32" s="94"/>
      <c r="Q32" s="95"/>
      <c r="R32" s="93"/>
      <c r="S32" s="94"/>
      <c r="T32" s="95"/>
      <c r="U32" s="93"/>
      <c r="V32" s="94"/>
      <c r="W32" s="96"/>
      <c r="X32" s="93"/>
      <c r="Y32" s="94"/>
      <c r="Z32" s="96"/>
      <c r="AA32" s="93"/>
      <c r="AB32" s="94"/>
      <c r="AC32" s="96"/>
      <c r="AD32" s="93"/>
      <c r="AE32" s="94"/>
      <c r="AF32" s="95"/>
      <c r="AG32" s="93"/>
      <c r="AH32" s="94"/>
      <c r="AI32" s="95"/>
      <c r="AJ32" s="93"/>
      <c r="AK32" s="94"/>
      <c r="AL32" s="95"/>
      <c r="AM32" s="93"/>
      <c r="AN32" s="94"/>
      <c r="AO32" s="95"/>
      <c r="AQ32" s="97"/>
      <c r="AR32" s="98"/>
      <c r="AS32" s="99"/>
      <c r="AU32" s="97"/>
      <c r="AV32" s="98"/>
      <c r="AW32" s="99"/>
      <c r="AY32" s="97"/>
      <c r="AZ32" s="98"/>
      <c r="BA32" s="99"/>
      <c r="BC32" s="97"/>
      <c r="BD32" s="98"/>
      <c r="BE32" s="100"/>
    </row>
    <row r="33" spans="1:57" s="15" customFormat="1" ht="20.25">
      <c r="A33" s="15" t="s">
        <v>27</v>
      </c>
      <c r="B33" s="101" t="s">
        <v>42</v>
      </c>
      <c r="C33" s="34"/>
      <c r="D33" s="74"/>
      <c r="E33" s="52"/>
      <c r="F33" s="34"/>
      <c r="G33" s="74"/>
      <c r="H33" s="52"/>
      <c r="I33" s="34"/>
      <c r="J33" s="74"/>
      <c r="K33" s="52"/>
      <c r="L33" s="34"/>
      <c r="M33" s="74"/>
      <c r="N33" s="52"/>
      <c r="O33" s="34"/>
      <c r="P33" s="74"/>
      <c r="Q33" s="52"/>
      <c r="R33" s="34"/>
      <c r="S33" s="74"/>
      <c r="T33" s="52"/>
      <c r="U33" s="34"/>
      <c r="V33" s="74"/>
      <c r="W33" s="52"/>
      <c r="X33" s="34"/>
      <c r="Y33" s="74"/>
      <c r="Z33" s="52"/>
      <c r="AA33" s="34"/>
      <c r="AB33" s="74"/>
      <c r="AC33" s="52"/>
      <c r="AD33" s="34"/>
      <c r="AE33" s="74"/>
      <c r="AF33" s="52"/>
      <c r="AG33" s="34"/>
      <c r="AH33" s="74"/>
      <c r="AI33" s="52"/>
      <c r="AJ33" s="34"/>
      <c r="AK33" s="74"/>
      <c r="AL33" s="52"/>
      <c r="AM33" s="34"/>
      <c r="AN33" s="74"/>
      <c r="AO33" s="52"/>
      <c r="AQ33" s="53"/>
      <c r="AR33" s="74"/>
      <c r="AS33" s="54"/>
      <c r="AU33" s="53"/>
      <c r="AV33" s="74"/>
      <c r="AW33" s="54"/>
      <c r="AY33" s="53"/>
      <c r="AZ33" s="74"/>
      <c r="BA33" s="54"/>
      <c r="BC33" s="53"/>
      <c r="BD33" s="74"/>
      <c r="BE33" s="27"/>
    </row>
    <row r="34" spans="1:57" s="15" customFormat="1" ht="20.25">
      <c r="A34" s="15" t="s">
        <v>43</v>
      </c>
      <c r="B34" s="34" t="s">
        <v>44</v>
      </c>
      <c r="C34" s="102">
        <f>E34/(E16+E18)</f>
        <v>0.32527339067471517</v>
      </c>
      <c r="D34" s="103">
        <f t="shared" ref="D34:D40" si="114">IF(E34=0,0,E34/C$27)</f>
        <v>722.85146272855434</v>
      </c>
      <c r="E34" s="104">
        <f t="shared" ref="E34:E40" si="115">+SUM(H34,K34,N34,Q34,T34,W34,Z34,AC34,AF34,AI34,AL34,AO34)</f>
        <v>524067.31047820189</v>
      </c>
      <c r="F34" s="102">
        <f>H34/(H16+H18)</f>
        <v>0.36865267311267397</v>
      </c>
      <c r="G34" s="103">
        <f t="shared" ref="G34:G40" si="116">IF(H34=0,0,H34/F$27)</f>
        <v>874.55539999999996</v>
      </c>
      <c r="H34" s="104">
        <v>43727.77</v>
      </c>
      <c r="I34" s="102">
        <f>K34/(K16+K18)</f>
        <v>0.35924126006133822</v>
      </c>
      <c r="J34" s="103">
        <f t="shared" ref="J34:J40" si="117">IF(K34=0,0,K34/I$27)</f>
        <v>846.56</v>
      </c>
      <c r="K34" s="104">
        <v>27089.919999999998</v>
      </c>
      <c r="L34" s="102">
        <f>N34/(N16+N18)</f>
        <v>0.28209804914697073</v>
      </c>
      <c r="M34" s="103">
        <f t="shared" ref="M34:M40" si="118">IF(N34=0,0,N34/L$27)</f>
        <v>558.17581818181816</v>
      </c>
      <c r="N34" s="104">
        <v>30699.67</v>
      </c>
      <c r="O34" s="102">
        <f>Q34/(Q16+Q18)</f>
        <v>0.3081529775970086</v>
      </c>
      <c r="P34" s="103">
        <f t="shared" ref="P34:P40" si="119">IF(Q34=0,0,Q34/O$27)</f>
        <v>702.43189655172421</v>
      </c>
      <c r="Q34" s="104">
        <v>40741.050000000003</v>
      </c>
      <c r="R34" s="102">
        <f>T34/(T16+T18)</f>
        <v>0.33936869186974045</v>
      </c>
      <c r="S34" s="103">
        <f t="shared" ref="S34:S40" si="120">IF(T34=0,0,T34/R$27)</f>
        <v>769.32614035087715</v>
      </c>
      <c r="T34" s="104">
        <v>43851.59</v>
      </c>
      <c r="U34" s="102">
        <f>W34/(W16+W18)</f>
        <v>0.34423485882886201</v>
      </c>
      <c r="V34" s="103">
        <f t="shared" ref="V34:V40" si="121">IF(W34=0,0,W34/U$27)</f>
        <v>667.77234042553187</v>
      </c>
      <c r="W34" s="104">
        <v>31385.3</v>
      </c>
      <c r="X34" s="102">
        <f>Z34/(Z16+Z18)</f>
        <v>0.2987177779082924</v>
      </c>
      <c r="Y34" s="103">
        <f t="shared" ref="Y34:Y40" si="122">IF(Z34=0,0,Z34/X$27)</f>
        <v>645.50197530864205</v>
      </c>
      <c r="Z34" s="104">
        <v>52285.66</v>
      </c>
      <c r="AA34" s="102">
        <f>AC34/(AC16+AC18)</f>
        <v>0.31853546349096812</v>
      </c>
      <c r="AB34" s="103">
        <f t="shared" ref="AB34:AB40" si="123">IF(AC34=0,0,AC34/AA$27)</f>
        <v>712.81552238805966</v>
      </c>
      <c r="AC34" s="104">
        <f>+[1]VOLKS!$L$31</f>
        <v>47758.64</v>
      </c>
      <c r="AD34" s="102">
        <v>0.33053741520820579</v>
      </c>
      <c r="AE34" s="103">
        <v>750.49017995450447</v>
      </c>
      <c r="AF34" s="104">
        <v>47280.881337133782</v>
      </c>
      <c r="AG34" s="102">
        <v>0.33313832916400887</v>
      </c>
      <c r="AH34" s="103">
        <v>756.5887219974145</v>
      </c>
      <c r="AI34" s="104">
        <v>54474.387983813845</v>
      </c>
      <c r="AJ34" s="102">
        <v>0.31738468467625353</v>
      </c>
      <c r="AK34" s="103">
        <v>719.50458691510289</v>
      </c>
      <c r="AL34" s="105">
        <v>62596.899061613949</v>
      </c>
      <c r="AM34" s="102">
        <v>0.33220695310085518</v>
      </c>
      <c r="AN34" s="103">
        <v>753.13468027929287</v>
      </c>
      <c r="AO34" s="105">
        <v>42175.542095640398</v>
      </c>
      <c r="AQ34" s="106">
        <f>AS34/(AS16+AS18)</f>
        <v>0.3238827232992077</v>
      </c>
      <c r="AR34" s="107">
        <f t="shared" ref="AR34:AR40" si="124">IF(AS34=0,0,AS34/AQ$27)</f>
        <v>710.37941834451897</v>
      </c>
      <c r="AS34" s="108">
        <f t="shared" ref="AS34:AS40" si="125">SUMIFS(F34:AO34,$F$7:$AO$7,"$PROFITS",$F$3:$AO$3,"RÉEL")</f>
        <v>317539.59999999998</v>
      </c>
      <c r="AU34" s="106">
        <f t="shared" ref="AU34" si="126">AW34/(AW16+AW18)</f>
        <v>0.32743501473845738</v>
      </c>
      <c r="AV34" s="107">
        <f t="shared" ref="AV34:AV40" si="127">IF(AW34=0,0,AW34/AU$27)</f>
        <v>742.90543337482723</v>
      </c>
      <c r="AW34" s="108">
        <f t="shared" ref="AW34:AW40" si="128">SUMIFS(F34:AO34,$F$7:$AO$7,"$PROFITS",$F$3:$AO$3,"BUDGET")</f>
        <v>206527.71047820197</v>
      </c>
      <c r="AY34" s="106">
        <f>BA34/(BA16+BA18)</f>
        <v>0.32388272329920809</v>
      </c>
      <c r="AZ34" s="107">
        <f t="shared" ref="AZ34:AZ36" si="129">IF(BA34=0,0,BA34/AY$27)</f>
        <v>710.37941834451897</v>
      </c>
      <c r="BA34" s="108">
        <f>+[2]VOLKS!$L$31</f>
        <v>317539.59999999998</v>
      </c>
      <c r="BC34" s="106"/>
      <c r="BD34" s="107">
        <f t="shared" ref="BD34:BD38" si="130">IF(BE34=0,0,BE34/BC$27)</f>
        <v>0</v>
      </c>
      <c r="BE34" s="109">
        <f t="shared" ref="BE34:BE40" si="131">+BA34-AS34</f>
        <v>0</v>
      </c>
    </row>
    <row r="35" spans="1:57" s="15" customFormat="1" ht="20.25">
      <c r="A35" s="15" t="s">
        <v>45</v>
      </c>
      <c r="B35" s="28" t="s">
        <v>46</v>
      </c>
      <c r="C35" s="110">
        <f>E35/E27</f>
        <v>0.27246899627142218</v>
      </c>
      <c r="D35" s="111">
        <f t="shared" si="114"/>
        <v>268.60969655172408</v>
      </c>
      <c r="E35" s="112">
        <f t="shared" si="115"/>
        <v>194742.02999999997</v>
      </c>
      <c r="F35" s="110">
        <f>H35/H27</f>
        <v>0.30000105139346939</v>
      </c>
      <c r="G35" s="111">
        <f t="shared" si="116"/>
        <v>353.81739999999996</v>
      </c>
      <c r="H35" s="112">
        <v>17690.87</v>
      </c>
      <c r="I35" s="110">
        <f>K35/K27</f>
        <v>0.24998525572108743</v>
      </c>
      <c r="J35" s="111">
        <f t="shared" si="117"/>
        <v>254.32093750000001</v>
      </c>
      <c r="K35" s="112">
        <v>8138.27</v>
      </c>
      <c r="L35" s="110">
        <f>N35/N27</f>
        <v>0.30698941987636708</v>
      </c>
      <c r="M35" s="111">
        <f t="shared" si="118"/>
        <v>187.81054545454546</v>
      </c>
      <c r="N35" s="112">
        <v>10329.58</v>
      </c>
      <c r="O35" s="110">
        <f>Q35/Q27</f>
        <v>0.20000869599003845</v>
      </c>
      <c r="P35" s="111">
        <f t="shared" si="119"/>
        <v>186.3801724137931</v>
      </c>
      <c r="Q35" s="112">
        <v>10810.05</v>
      </c>
      <c r="R35" s="110">
        <f>T35/T27</f>
        <v>0.29999762101122884</v>
      </c>
      <c r="S35" s="111">
        <f t="shared" si="120"/>
        <v>331.85</v>
      </c>
      <c r="T35" s="112">
        <v>18915.45</v>
      </c>
      <c r="U35" s="110">
        <f>W35/W27</f>
        <v>0.29928477667547992</v>
      </c>
      <c r="V35" s="111">
        <f t="shared" si="121"/>
        <v>310.51617021276599</v>
      </c>
      <c r="W35" s="112">
        <v>14594.26</v>
      </c>
      <c r="X35" s="110">
        <f>Z35/Z27</f>
        <v>0.25000198497571885</v>
      </c>
      <c r="Y35" s="111">
        <f t="shared" si="122"/>
        <v>248.78444444444446</v>
      </c>
      <c r="Z35" s="112">
        <v>20151.54</v>
      </c>
      <c r="AA35" s="110">
        <f>AC35/AC27</f>
        <v>0.2499947764152074</v>
      </c>
      <c r="AB35" s="111">
        <f t="shared" si="123"/>
        <v>242.8658208955224</v>
      </c>
      <c r="AC35" s="112">
        <f>+[1]VOLKS!$L$32</f>
        <v>16272.01</v>
      </c>
      <c r="AD35" s="110">
        <v>0.28000000000000003</v>
      </c>
      <c r="AE35" s="111">
        <v>280</v>
      </c>
      <c r="AF35" s="112">
        <v>17640</v>
      </c>
      <c r="AG35" s="110">
        <v>0.28000000000000003</v>
      </c>
      <c r="AH35" s="111">
        <v>280.00000000000006</v>
      </c>
      <c r="AI35" s="112">
        <v>20160.000000000004</v>
      </c>
      <c r="AJ35" s="110">
        <v>0.28000000000000003</v>
      </c>
      <c r="AK35" s="111">
        <v>280.00000000000006</v>
      </c>
      <c r="AL35" s="113">
        <v>24360.000000000004</v>
      </c>
      <c r="AM35" s="110">
        <v>0.28000000000000003</v>
      </c>
      <c r="AN35" s="111">
        <v>280.00000000000006</v>
      </c>
      <c r="AO35" s="113">
        <v>15680.000000000002</v>
      </c>
      <c r="AQ35" s="114">
        <f>AS35/AS27</f>
        <v>0.26767515479838766</v>
      </c>
      <c r="AR35" s="115">
        <f t="shared" si="124"/>
        <v>261.52579418344516</v>
      </c>
      <c r="AS35" s="116">
        <f t="shared" si="125"/>
        <v>116902.02999999998</v>
      </c>
      <c r="AU35" s="114">
        <f t="shared" ref="AU35" si="132">AW35/AW27</f>
        <v>0.28000000000000003</v>
      </c>
      <c r="AV35" s="115">
        <f t="shared" si="127"/>
        <v>280</v>
      </c>
      <c r="AW35" s="117">
        <f t="shared" si="128"/>
        <v>77840</v>
      </c>
      <c r="AY35" s="114">
        <f>BA35/BA27</f>
        <v>0.26767515479838766</v>
      </c>
      <c r="AZ35" s="115">
        <f t="shared" si="129"/>
        <v>261.52579418344521</v>
      </c>
      <c r="BA35" s="116">
        <f>+[2]VOLKS!$L$32</f>
        <v>116902.03</v>
      </c>
      <c r="BC35" s="114"/>
      <c r="BD35" s="115">
        <f t="shared" si="130"/>
        <v>0</v>
      </c>
      <c r="BE35" s="118">
        <f t="shared" si="131"/>
        <v>0</v>
      </c>
    </row>
    <row r="36" spans="1:57" s="15" customFormat="1" ht="20.25">
      <c r="A36" s="15" t="s">
        <v>47</v>
      </c>
      <c r="B36" s="34" t="s">
        <v>48</v>
      </c>
      <c r="C36" s="34"/>
      <c r="D36" s="103">
        <f t="shared" si="114"/>
        <v>108.47667586206896</v>
      </c>
      <c r="E36" s="104">
        <f t="shared" si="115"/>
        <v>78645.59</v>
      </c>
      <c r="F36" s="34"/>
      <c r="G36" s="103">
        <f t="shared" si="116"/>
        <v>88.648399999999995</v>
      </c>
      <c r="H36" s="104">
        <v>4432.42</v>
      </c>
      <c r="I36" s="34"/>
      <c r="J36" s="103">
        <f t="shared" si="117"/>
        <v>98.328437500000007</v>
      </c>
      <c r="K36" s="104">
        <v>3146.51</v>
      </c>
      <c r="L36" s="34"/>
      <c r="M36" s="103">
        <f t="shared" si="118"/>
        <v>35.17581818181818</v>
      </c>
      <c r="N36" s="104">
        <v>1934.67</v>
      </c>
      <c r="O36" s="34"/>
      <c r="P36" s="103">
        <f t="shared" si="119"/>
        <v>166.21517241379308</v>
      </c>
      <c r="Q36" s="104">
        <v>9640.48</v>
      </c>
      <c r="R36" s="34"/>
      <c r="S36" s="103">
        <f t="shared" si="120"/>
        <v>138.49438596491228</v>
      </c>
      <c r="T36" s="104">
        <v>7894.18</v>
      </c>
      <c r="U36" s="34"/>
      <c r="V36" s="103">
        <f t="shared" si="121"/>
        <v>111.73617021276597</v>
      </c>
      <c r="W36" s="104">
        <v>5251.6</v>
      </c>
      <c r="X36" s="34"/>
      <c r="Y36" s="103">
        <f t="shared" si="122"/>
        <v>112.60814814814815</v>
      </c>
      <c r="Z36" s="104">
        <v>9121.26</v>
      </c>
      <c r="AA36" s="34"/>
      <c r="AB36" s="103">
        <f t="shared" si="123"/>
        <v>78.424925373134329</v>
      </c>
      <c r="AC36" s="104">
        <f>+[1]VOLKS!$L$33</f>
        <v>5254.47</v>
      </c>
      <c r="AD36" s="34"/>
      <c r="AE36" s="103">
        <v>115</v>
      </c>
      <c r="AF36" s="104">
        <v>7245</v>
      </c>
      <c r="AG36" s="34"/>
      <c r="AH36" s="103">
        <v>115</v>
      </c>
      <c r="AI36" s="104">
        <v>8280</v>
      </c>
      <c r="AJ36" s="34"/>
      <c r="AK36" s="103">
        <v>115</v>
      </c>
      <c r="AL36" s="105">
        <v>10005</v>
      </c>
      <c r="AM36" s="34"/>
      <c r="AN36" s="103">
        <v>115</v>
      </c>
      <c r="AO36" s="105">
        <v>6440</v>
      </c>
      <c r="AQ36" s="53"/>
      <c r="AR36" s="107">
        <f t="shared" si="124"/>
        <v>104.41966442953021</v>
      </c>
      <c r="AS36" s="108">
        <f t="shared" si="125"/>
        <v>46675.590000000004</v>
      </c>
      <c r="AU36" s="53"/>
      <c r="AV36" s="107">
        <f t="shared" si="127"/>
        <v>115</v>
      </c>
      <c r="AW36" s="108">
        <f t="shared" si="128"/>
        <v>31970</v>
      </c>
      <c r="AY36" s="53"/>
      <c r="AZ36" s="107">
        <f t="shared" si="129"/>
        <v>104.41966442953019</v>
      </c>
      <c r="BA36" s="108">
        <f>+[2]VOLKS!$L$33</f>
        <v>46675.59</v>
      </c>
      <c r="BC36" s="53"/>
      <c r="BD36" s="107">
        <f t="shared" si="130"/>
        <v>0</v>
      </c>
      <c r="BE36" s="109">
        <f t="shared" si="131"/>
        <v>0</v>
      </c>
    </row>
    <row r="37" spans="1:57" s="15" customFormat="1" ht="20.25">
      <c r="A37" s="15" t="s">
        <v>49</v>
      </c>
      <c r="B37" s="34" t="s">
        <v>50</v>
      </c>
      <c r="C37" s="34"/>
      <c r="D37" s="103">
        <f t="shared" si="114"/>
        <v>7.7103172413793102</v>
      </c>
      <c r="E37" s="104">
        <f t="shared" si="115"/>
        <v>5589.98</v>
      </c>
      <c r="F37" s="34"/>
      <c r="G37" s="103">
        <f t="shared" si="116"/>
        <v>1.8593999999999999</v>
      </c>
      <c r="H37" s="104">
        <v>92.97</v>
      </c>
      <c r="I37" s="34"/>
      <c r="J37" s="103">
        <f t="shared" si="117"/>
        <v>30.533124999999998</v>
      </c>
      <c r="K37" s="104">
        <v>977.06</v>
      </c>
      <c r="L37" s="34"/>
      <c r="M37" s="103">
        <f t="shared" si="118"/>
        <v>10.110181818181816</v>
      </c>
      <c r="N37" s="104">
        <v>556.05999999999995</v>
      </c>
      <c r="O37" s="34"/>
      <c r="P37" s="103">
        <f t="shared" si="119"/>
        <v>6.0170689655172414</v>
      </c>
      <c r="Q37" s="104">
        <v>348.99</v>
      </c>
      <c r="R37" s="34"/>
      <c r="S37" s="103">
        <f t="shared" si="120"/>
        <v>6.6315789473684203E-2</v>
      </c>
      <c r="T37" s="104">
        <v>3.78</v>
      </c>
      <c r="U37" s="34"/>
      <c r="V37" s="103">
        <f t="shared" si="121"/>
        <v>5.4995744680851066</v>
      </c>
      <c r="W37" s="104">
        <v>258.48</v>
      </c>
      <c r="X37" s="34"/>
      <c r="Y37" s="103">
        <f t="shared" si="122"/>
        <v>0</v>
      </c>
      <c r="Z37" s="104">
        <v>0</v>
      </c>
      <c r="AA37" s="34"/>
      <c r="AB37" s="103">
        <f t="shared" si="123"/>
        <v>8.5468656716417915</v>
      </c>
      <c r="AC37" s="104">
        <f>+[1]VOLKS!$L$34</f>
        <v>572.64</v>
      </c>
      <c r="AD37" s="34"/>
      <c r="AE37" s="103">
        <v>10</v>
      </c>
      <c r="AF37" s="104">
        <v>630</v>
      </c>
      <c r="AG37" s="34"/>
      <c r="AH37" s="103">
        <v>10</v>
      </c>
      <c r="AI37" s="104">
        <v>720</v>
      </c>
      <c r="AJ37" s="34"/>
      <c r="AK37" s="103">
        <v>10</v>
      </c>
      <c r="AL37" s="105">
        <v>870</v>
      </c>
      <c r="AM37" s="34"/>
      <c r="AN37" s="103">
        <v>10</v>
      </c>
      <c r="AO37" s="105">
        <v>560</v>
      </c>
      <c r="AQ37" s="53"/>
      <c r="AR37" s="107">
        <f t="shared" si="124"/>
        <v>6.2863087248322147</v>
      </c>
      <c r="AS37" s="108">
        <f t="shared" si="125"/>
        <v>2809.98</v>
      </c>
      <c r="AU37" s="53"/>
      <c r="AV37" s="107">
        <f t="shared" si="127"/>
        <v>10</v>
      </c>
      <c r="AW37" s="108">
        <f t="shared" si="128"/>
        <v>2780</v>
      </c>
      <c r="AY37" s="53"/>
      <c r="AZ37" s="107">
        <f>IF(BA37=0,0,BA37/AY$27)</f>
        <v>6.2863087248322147</v>
      </c>
      <c r="BA37" s="108">
        <f>+[2]VOLKS!$L$34</f>
        <v>2809.98</v>
      </c>
      <c r="BC37" s="53"/>
      <c r="BD37" s="107">
        <f t="shared" si="130"/>
        <v>0</v>
      </c>
      <c r="BE37" s="109">
        <f t="shared" si="131"/>
        <v>0</v>
      </c>
    </row>
    <row r="38" spans="1:57" s="15" customFormat="1" ht="20.25">
      <c r="A38" s="15" t="s">
        <v>47</v>
      </c>
      <c r="B38" s="28" t="s">
        <v>51</v>
      </c>
      <c r="C38" s="28"/>
      <c r="D38" s="111">
        <f t="shared" si="114"/>
        <v>119.49911724137934</v>
      </c>
      <c r="E38" s="112">
        <f t="shared" si="115"/>
        <v>86636.860000000015</v>
      </c>
      <c r="F38" s="28"/>
      <c r="G38" s="111">
        <f t="shared" si="116"/>
        <v>115.9442</v>
      </c>
      <c r="H38" s="112">
        <v>5797.21</v>
      </c>
      <c r="I38" s="28"/>
      <c r="J38" s="111">
        <f t="shared" si="117"/>
        <v>268.93781250000001</v>
      </c>
      <c r="K38" s="112">
        <v>8606.01</v>
      </c>
      <c r="L38" s="28"/>
      <c r="M38" s="111">
        <f t="shared" si="118"/>
        <v>117.53781818181818</v>
      </c>
      <c r="N38" s="112">
        <v>6464.58</v>
      </c>
      <c r="O38" s="28"/>
      <c r="P38" s="111">
        <f t="shared" si="119"/>
        <v>133.99603448275863</v>
      </c>
      <c r="Q38" s="112">
        <v>7771.77</v>
      </c>
      <c r="R38" s="28"/>
      <c r="S38" s="111">
        <f t="shared" si="120"/>
        <v>167.94543859649121</v>
      </c>
      <c r="T38" s="112">
        <v>9572.89</v>
      </c>
      <c r="U38" s="28"/>
      <c r="V38" s="111">
        <f t="shared" si="121"/>
        <v>168.73936170212767</v>
      </c>
      <c r="W38" s="112">
        <v>7930.75</v>
      </c>
      <c r="X38" s="28"/>
      <c r="Y38" s="111">
        <f t="shared" si="122"/>
        <v>43.995185185185186</v>
      </c>
      <c r="Z38" s="112">
        <v>3563.61</v>
      </c>
      <c r="AA38" s="28"/>
      <c r="AB38" s="111">
        <f t="shared" si="123"/>
        <v>50.172238805970146</v>
      </c>
      <c r="AC38" s="112">
        <f>+[1]VOLKS!$L$35</f>
        <v>3361.54</v>
      </c>
      <c r="AD38" s="28"/>
      <c r="AE38" s="111">
        <v>120.75</v>
      </c>
      <c r="AF38" s="112">
        <v>7607.25</v>
      </c>
      <c r="AG38" s="28"/>
      <c r="AH38" s="111">
        <v>120.75</v>
      </c>
      <c r="AI38" s="112">
        <v>8694</v>
      </c>
      <c r="AJ38" s="28"/>
      <c r="AK38" s="111">
        <v>120.75</v>
      </c>
      <c r="AL38" s="113">
        <v>10505.25</v>
      </c>
      <c r="AM38" s="28"/>
      <c r="AN38" s="111">
        <v>120.75</v>
      </c>
      <c r="AO38" s="113">
        <v>6762</v>
      </c>
      <c r="AQ38" s="119"/>
      <c r="AR38" s="115">
        <f t="shared" si="124"/>
        <v>118.72116331096198</v>
      </c>
      <c r="AS38" s="116">
        <f t="shared" si="125"/>
        <v>53068.360000000008</v>
      </c>
      <c r="AU38" s="119"/>
      <c r="AV38" s="115">
        <f t="shared" si="127"/>
        <v>120.75</v>
      </c>
      <c r="AW38" s="117">
        <f t="shared" si="128"/>
        <v>33568.5</v>
      </c>
      <c r="AY38" s="119"/>
      <c r="AZ38" s="115">
        <f t="shared" ref="AZ38:AZ40" si="133">IF(BA38=0,0,BA38/AY$27)</f>
        <v>118.72116331096197</v>
      </c>
      <c r="BA38" s="116">
        <f>+[2]VOLKS!$L$35</f>
        <v>53068.36</v>
      </c>
      <c r="BC38" s="119"/>
      <c r="BD38" s="115">
        <f t="shared" si="130"/>
        <v>0</v>
      </c>
      <c r="BE38" s="118">
        <f t="shared" si="131"/>
        <v>0</v>
      </c>
    </row>
    <row r="39" spans="1:57" s="15" customFormat="1" ht="20.25">
      <c r="A39" s="15" t="s">
        <v>52</v>
      </c>
      <c r="B39" s="34" t="s">
        <v>53</v>
      </c>
      <c r="C39" s="34"/>
      <c r="D39" s="103">
        <f t="shared" si="114"/>
        <v>135.00303448275861</v>
      </c>
      <c r="E39" s="104">
        <f t="shared" si="115"/>
        <v>97877.199999999983</v>
      </c>
      <c r="F39" s="34"/>
      <c r="G39" s="103">
        <f t="shared" si="116"/>
        <v>91.287399999999991</v>
      </c>
      <c r="H39" s="104">
        <v>4564.37</v>
      </c>
      <c r="I39" s="34"/>
      <c r="J39" s="103">
        <f t="shared" si="117"/>
        <v>137.4765625</v>
      </c>
      <c r="K39" s="104">
        <v>4399.25</v>
      </c>
      <c r="L39" s="34"/>
      <c r="M39" s="103">
        <f t="shared" si="118"/>
        <v>367.98563636363633</v>
      </c>
      <c r="N39" s="104">
        <v>20239.21</v>
      </c>
      <c r="O39" s="34"/>
      <c r="P39" s="103">
        <f t="shared" si="119"/>
        <v>245.72724137931036</v>
      </c>
      <c r="Q39" s="104">
        <v>14252.18</v>
      </c>
      <c r="R39" s="34"/>
      <c r="S39" s="103">
        <f t="shared" si="120"/>
        <v>171.58052631578948</v>
      </c>
      <c r="T39" s="104">
        <v>9780.09</v>
      </c>
      <c r="U39" s="34"/>
      <c r="V39" s="103">
        <f t="shared" si="121"/>
        <v>108.28021276595744</v>
      </c>
      <c r="W39" s="104">
        <v>5089.17</v>
      </c>
      <c r="X39" s="34"/>
      <c r="Y39" s="103">
        <f t="shared" si="122"/>
        <v>45.389259259259262</v>
      </c>
      <c r="Z39" s="104">
        <v>3676.53</v>
      </c>
      <c r="AA39" s="34"/>
      <c r="AB39" s="103">
        <f t="shared" si="123"/>
        <v>86.991044776119395</v>
      </c>
      <c r="AC39" s="104">
        <f>+[1]VOLKS!$L$36</f>
        <v>5828.4</v>
      </c>
      <c r="AD39" s="34"/>
      <c r="AE39" s="103">
        <v>81.936507936507937</v>
      </c>
      <c r="AF39" s="104">
        <v>5162</v>
      </c>
      <c r="AG39" s="34"/>
      <c r="AH39" s="103">
        <v>225.86111111111111</v>
      </c>
      <c r="AI39" s="104">
        <v>16262</v>
      </c>
      <c r="AJ39" s="34"/>
      <c r="AK39" s="103">
        <v>31.74712643678161</v>
      </c>
      <c r="AL39" s="105">
        <v>2762</v>
      </c>
      <c r="AM39" s="34"/>
      <c r="AN39" s="103">
        <v>104.67857142857143</v>
      </c>
      <c r="AO39" s="105">
        <v>5862</v>
      </c>
      <c r="AQ39" s="53"/>
      <c r="AR39" s="107">
        <f t="shared" si="124"/>
        <v>151.74317673378073</v>
      </c>
      <c r="AS39" s="108">
        <f t="shared" si="125"/>
        <v>67829.199999999983</v>
      </c>
      <c r="AU39" s="53"/>
      <c r="AV39" s="107">
        <f t="shared" si="127"/>
        <v>108.08633093525179</v>
      </c>
      <c r="AW39" s="108">
        <f t="shared" si="128"/>
        <v>30048</v>
      </c>
      <c r="AY39" s="53"/>
      <c r="AZ39" s="107">
        <f t="shared" si="133"/>
        <v>151.74317673378076</v>
      </c>
      <c r="BA39" s="108">
        <f>+[2]VOLKS!$L$36</f>
        <v>67829.2</v>
      </c>
      <c r="BC39" s="53"/>
      <c r="BD39" s="107"/>
      <c r="BE39" s="109">
        <f t="shared" si="131"/>
        <v>0</v>
      </c>
    </row>
    <row r="40" spans="1:57" s="15" customFormat="1" ht="20.25">
      <c r="A40" s="15" t="s">
        <v>54</v>
      </c>
      <c r="B40" s="34" t="s">
        <v>55</v>
      </c>
      <c r="C40" s="34"/>
      <c r="D40" s="103">
        <f t="shared" si="114"/>
        <v>321.59065406830655</v>
      </c>
      <c r="E40" s="104">
        <f t="shared" si="115"/>
        <v>233153.22419952226</v>
      </c>
      <c r="F40" s="34"/>
      <c r="G40" s="103">
        <f t="shared" si="116"/>
        <v>538.39339999999993</v>
      </c>
      <c r="H40" s="104">
        <v>26919.67</v>
      </c>
      <c r="I40" s="34"/>
      <c r="J40" s="103">
        <f t="shared" si="117"/>
        <v>-353.66</v>
      </c>
      <c r="K40" s="104">
        <v>-11317.12</v>
      </c>
      <c r="L40" s="34"/>
      <c r="M40" s="103">
        <f t="shared" si="118"/>
        <v>437.24599999999998</v>
      </c>
      <c r="N40" s="104">
        <v>24048.53</v>
      </c>
      <c r="O40" s="34"/>
      <c r="P40" s="103">
        <f t="shared" si="119"/>
        <v>-85.485517241379313</v>
      </c>
      <c r="Q40" s="104">
        <v>-4958.16</v>
      </c>
      <c r="R40" s="34"/>
      <c r="S40" s="103">
        <f t="shared" si="120"/>
        <v>227.21438596491228</v>
      </c>
      <c r="T40" s="104">
        <v>12951.22</v>
      </c>
      <c r="U40" s="34"/>
      <c r="V40" s="103">
        <f t="shared" si="121"/>
        <v>280.19212765957451</v>
      </c>
      <c r="W40" s="104">
        <v>13169.03</v>
      </c>
      <c r="X40" s="34"/>
      <c r="Y40" s="103">
        <f t="shared" si="122"/>
        <v>273.39222222222224</v>
      </c>
      <c r="Z40" s="104">
        <v>22144.77</v>
      </c>
      <c r="AA40" s="34"/>
      <c r="AB40" s="103">
        <f t="shared" si="123"/>
        <v>22.367313432835818</v>
      </c>
      <c r="AC40" s="104">
        <f>+[1]VOLKS!$L$37</f>
        <v>1498.61</v>
      </c>
      <c r="AD40" s="34"/>
      <c r="AE40" s="103">
        <v>603.57336482460619</v>
      </c>
      <c r="AF40" s="104">
        <v>38025.121983950186</v>
      </c>
      <c r="AG40" s="34"/>
      <c r="AH40" s="103">
        <v>565.31871494135646</v>
      </c>
      <c r="AI40" s="104">
        <v>40702.947475777662</v>
      </c>
      <c r="AJ40" s="34"/>
      <c r="AK40" s="103">
        <v>402.18681716336067</v>
      </c>
      <c r="AL40" s="105">
        <v>34990.253093212377</v>
      </c>
      <c r="AM40" s="34"/>
      <c r="AN40" s="103">
        <v>624.61342226039346</v>
      </c>
      <c r="AO40" s="105">
        <v>34978.351646582036</v>
      </c>
      <c r="AQ40" s="53"/>
      <c r="AR40" s="107">
        <f t="shared" si="124"/>
        <v>188.94082774049218</v>
      </c>
      <c r="AS40" s="108">
        <f t="shared" si="125"/>
        <v>84456.55</v>
      </c>
      <c r="AU40" s="53"/>
      <c r="AV40" s="107">
        <f t="shared" si="127"/>
        <v>534.8801230198643</v>
      </c>
      <c r="AW40" s="108">
        <f t="shared" si="128"/>
        <v>148696.67419952227</v>
      </c>
      <c r="AY40" s="53"/>
      <c r="AZ40" s="107">
        <f t="shared" si="133"/>
        <v>188.94082774049218</v>
      </c>
      <c r="BA40" s="108">
        <f>+[2]VOLKS!$L$37</f>
        <v>84456.55</v>
      </c>
      <c r="BC40" s="53"/>
      <c r="BD40" s="107"/>
      <c r="BE40" s="109">
        <f t="shared" si="131"/>
        <v>0</v>
      </c>
    </row>
    <row r="41" spans="1:57" s="15" customFormat="1" ht="20.25" hidden="1" customHeight="1">
      <c r="B41" s="34"/>
      <c r="C41" s="34"/>
      <c r="D41" s="103"/>
      <c r="E41" s="73"/>
      <c r="F41" s="34"/>
      <c r="G41" s="103"/>
      <c r="H41" s="73"/>
      <c r="I41" s="34"/>
      <c r="J41" s="103"/>
      <c r="K41" s="73"/>
      <c r="L41" s="34"/>
      <c r="M41" s="103"/>
      <c r="N41" s="73"/>
      <c r="O41" s="34"/>
      <c r="P41" s="103"/>
      <c r="Q41" s="73"/>
      <c r="R41" s="34"/>
      <c r="S41" s="103"/>
      <c r="T41" s="73"/>
      <c r="U41" s="34"/>
      <c r="V41" s="103"/>
      <c r="W41" s="73"/>
      <c r="X41" s="34"/>
      <c r="Y41" s="103"/>
      <c r="Z41" s="73"/>
      <c r="AA41" s="34"/>
      <c r="AB41" s="103"/>
      <c r="AC41" s="73"/>
      <c r="AD41" s="34"/>
      <c r="AE41" s="103"/>
      <c r="AF41" s="73"/>
      <c r="AG41" s="34"/>
      <c r="AH41" s="103"/>
      <c r="AI41" s="73"/>
      <c r="AJ41" s="34"/>
      <c r="AK41" s="103"/>
      <c r="AL41" s="73"/>
      <c r="AM41" s="34"/>
      <c r="AN41" s="103"/>
      <c r="AO41" s="73"/>
      <c r="AQ41" s="53"/>
      <c r="AR41" s="107"/>
      <c r="AS41" s="75"/>
      <c r="AU41" s="53"/>
      <c r="AV41" s="107"/>
      <c r="AW41" s="75"/>
      <c r="AY41" s="53"/>
      <c r="AZ41" s="107"/>
      <c r="BA41" s="75"/>
      <c r="BC41" s="53"/>
      <c r="BD41" s="107"/>
      <c r="BE41" s="27"/>
    </row>
    <row r="42" spans="1:57" s="15" customFormat="1" ht="20.25" hidden="1" customHeight="1">
      <c r="B42" s="34"/>
      <c r="C42" s="34"/>
      <c r="D42" s="103"/>
      <c r="E42" s="73"/>
      <c r="F42" s="34"/>
      <c r="G42" s="103"/>
      <c r="H42" s="73"/>
      <c r="I42" s="34"/>
      <c r="J42" s="103"/>
      <c r="K42" s="73"/>
      <c r="L42" s="34"/>
      <c r="M42" s="103"/>
      <c r="N42" s="73"/>
      <c r="O42" s="34"/>
      <c r="P42" s="103"/>
      <c r="Q42" s="73"/>
      <c r="R42" s="34"/>
      <c r="S42" s="103"/>
      <c r="T42" s="73"/>
      <c r="U42" s="34"/>
      <c r="V42" s="103"/>
      <c r="W42" s="73"/>
      <c r="X42" s="34"/>
      <c r="Y42" s="103"/>
      <c r="Z42" s="73"/>
      <c r="AA42" s="34"/>
      <c r="AB42" s="103"/>
      <c r="AC42" s="73"/>
      <c r="AD42" s="34"/>
      <c r="AE42" s="103"/>
      <c r="AF42" s="73"/>
      <c r="AG42" s="34"/>
      <c r="AH42" s="103"/>
      <c r="AI42" s="73"/>
      <c r="AJ42" s="34"/>
      <c r="AK42" s="103"/>
      <c r="AL42" s="73"/>
      <c r="AM42" s="34"/>
      <c r="AN42" s="103"/>
      <c r="AO42" s="73"/>
      <c r="AQ42" s="53"/>
      <c r="AR42" s="107"/>
      <c r="AS42" s="75"/>
      <c r="AU42" s="53"/>
      <c r="AV42" s="107"/>
      <c r="AW42" s="75"/>
      <c r="AY42" s="53"/>
      <c r="AZ42" s="107"/>
      <c r="BA42" s="75"/>
      <c r="BC42" s="53"/>
      <c r="BD42" s="107"/>
      <c r="BE42" s="27"/>
    </row>
    <row r="43" spans="1:57" s="15" customFormat="1" ht="20.25" hidden="1" customHeight="1">
      <c r="B43" s="34"/>
      <c r="C43" s="28"/>
      <c r="D43" s="103"/>
      <c r="E43" s="73"/>
      <c r="F43" s="28"/>
      <c r="G43" s="103"/>
      <c r="H43" s="73"/>
      <c r="I43" s="28"/>
      <c r="J43" s="103"/>
      <c r="K43" s="73"/>
      <c r="L43" s="28"/>
      <c r="M43" s="103"/>
      <c r="N43" s="73"/>
      <c r="O43" s="28"/>
      <c r="P43" s="103"/>
      <c r="Q43" s="73"/>
      <c r="R43" s="28"/>
      <c r="S43" s="103"/>
      <c r="T43" s="73"/>
      <c r="U43" s="28"/>
      <c r="V43" s="103"/>
      <c r="W43" s="73"/>
      <c r="X43" s="28"/>
      <c r="Y43" s="103"/>
      <c r="Z43" s="73"/>
      <c r="AA43" s="28"/>
      <c r="AB43" s="103"/>
      <c r="AC43" s="73"/>
      <c r="AD43" s="28"/>
      <c r="AE43" s="103"/>
      <c r="AF43" s="73"/>
      <c r="AG43" s="28"/>
      <c r="AH43" s="103"/>
      <c r="AI43" s="73"/>
      <c r="AJ43" s="28"/>
      <c r="AK43" s="103"/>
      <c r="AL43" s="73"/>
      <c r="AM43" s="28"/>
      <c r="AN43" s="103"/>
      <c r="AO43" s="73"/>
      <c r="AQ43" s="119"/>
      <c r="AR43" s="107"/>
      <c r="AS43" s="75"/>
      <c r="AU43" s="119"/>
      <c r="AV43" s="107"/>
      <c r="AW43" s="75"/>
      <c r="AY43" s="119"/>
      <c r="AZ43" s="107"/>
      <c r="BA43" s="75"/>
      <c r="BC43" s="119"/>
      <c r="BD43" s="107"/>
      <c r="BE43" s="27"/>
    </row>
    <row r="44" spans="1:57" s="15" customFormat="1" ht="20.25">
      <c r="A44" s="15" t="s">
        <v>27</v>
      </c>
      <c r="B44" s="120" t="s">
        <v>56</v>
      </c>
      <c r="C44" s="121" t="s">
        <v>57</v>
      </c>
      <c r="D44" s="122">
        <f>IFERROR(E44/E$30,0)</f>
        <v>0.49334680841276529</v>
      </c>
      <c r="E44" s="123">
        <f>SUM(E34:E43)</f>
        <v>1220712.194677724</v>
      </c>
      <c r="F44" s="121" t="s">
        <v>57</v>
      </c>
      <c r="G44" s="122">
        <f t="shared" ref="G44" si="134">IFERROR(H44/H$30,0)</f>
        <v>0.54100641962844365</v>
      </c>
      <c r="H44" s="123">
        <f>+SUM(H34:H40)</f>
        <v>103225.28</v>
      </c>
      <c r="I44" s="121" t="s">
        <v>57</v>
      </c>
      <c r="J44" s="122">
        <f t="shared" ref="J44" si="135">IFERROR(K44/K$30,0)</f>
        <v>0.30173974266183945</v>
      </c>
      <c r="K44" s="123">
        <f>+SUM(K34:K40)</f>
        <v>41039.9</v>
      </c>
      <c r="L44" s="121" t="s">
        <v>57</v>
      </c>
      <c r="M44" s="122">
        <f t="shared" ref="M44" si="136">IFERROR(N44/N$30,0)</f>
        <v>0.60635162107466578</v>
      </c>
      <c r="N44" s="123">
        <f>+SUM(N34:N40)</f>
        <v>94272.299999999988</v>
      </c>
      <c r="O44" s="121" t="s">
        <v>57</v>
      </c>
      <c r="P44" s="122">
        <f t="shared" ref="P44" si="137">IFERROR(Q44/Q$30,0)</f>
        <v>0.40906370188517294</v>
      </c>
      <c r="Q44" s="123">
        <f>+SUM(Q34:Q40)</f>
        <v>78606.359999999986</v>
      </c>
      <c r="R44" s="121" t="s">
        <v>57</v>
      </c>
      <c r="S44" s="122">
        <f t="shared" ref="S44" si="138">IFERROR(T44/T$30,0)</f>
        <v>0.50466560779350478</v>
      </c>
      <c r="T44" s="123">
        <f>+SUM(T34:T40)</f>
        <v>102969.2</v>
      </c>
      <c r="U44" s="121" t="s">
        <v>57</v>
      </c>
      <c r="V44" s="122">
        <f t="shared" ref="V44" si="139">IFERROR(W44/W$30,0)</f>
        <v>0.53176293840775413</v>
      </c>
      <c r="W44" s="124">
        <f>+SUM(W34:W40)</f>
        <v>77678.59</v>
      </c>
      <c r="X44" s="121" t="s">
        <v>57</v>
      </c>
      <c r="Y44" s="122">
        <f t="shared" ref="Y44" si="140">IFERROR(Z44/Z$30,0)</f>
        <v>0.4135950845191711</v>
      </c>
      <c r="Z44" s="124">
        <f>+SUM(Z34:Z40)</f>
        <v>110943.37000000001</v>
      </c>
      <c r="AA44" s="121" t="s">
        <v>57</v>
      </c>
      <c r="AB44" s="122">
        <f t="shared" ref="AB44" si="141">IFERROR(AC44/AC$30,0)</f>
        <v>0.35593515364243739</v>
      </c>
      <c r="AC44" s="124">
        <f>+SUM(AC34:AC40)</f>
        <v>80546.309999999983</v>
      </c>
      <c r="AD44" s="121" t="s">
        <v>57</v>
      </c>
      <c r="AE44" s="122">
        <v>0.56789122057315622</v>
      </c>
      <c r="AF44" s="123">
        <v>123590.25332108398</v>
      </c>
      <c r="AG44" s="121" t="s">
        <v>57</v>
      </c>
      <c r="AH44" s="122">
        <v>0.60209479546159328</v>
      </c>
      <c r="AI44" s="123">
        <v>149293.33545959153</v>
      </c>
      <c r="AJ44" s="121" t="s">
        <v>57</v>
      </c>
      <c r="AK44" s="122">
        <v>0.4896332988129401</v>
      </c>
      <c r="AL44" s="123">
        <v>146089.40215482633</v>
      </c>
      <c r="AM44" s="121" t="s">
        <v>57</v>
      </c>
      <c r="AN44" s="122">
        <v>0.58786304141773849</v>
      </c>
      <c r="AO44" s="123">
        <v>112457.89374222243</v>
      </c>
      <c r="AQ44" s="121" t="s">
        <v>57</v>
      </c>
      <c r="AR44" s="125">
        <f t="shared" ref="AR44" si="142">IFERROR(AS44/AS$30,0)</f>
        <v>0.45374382510188943</v>
      </c>
      <c r="AS44" s="126">
        <f t="shared" ref="AS44" si="143">SUM(AS34:AS43)</f>
        <v>689281.30999999994</v>
      </c>
      <c r="AU44" s="121" t="s">
        <v>57</v>
      </c>
      <c r="AV44" s="125">
        <f t="shared" ref="AV44" si="144">IFERROR(AW44/AW$30,0)</f>
        <v>0.55632586310578458</v>
      </c>
      <c r="AW44" s="126">
        <f t="shared" ref="AW44" si="145">SUM(AW34:AW43)</f>
        <v>531430.88467772421</v>
      </c>
      <c r="AY44" s="121" t="s">
        <v>57</v>
      </c>
      <c r="AZ44" s="125">
        <f>IFERROR(BA44/BA$30,0)</f>
        <v>0.45374382510188971</v>
      </c>
      <c r="BA44" s="126">
        <f>SUM(BA34:BA43)</f>
        <v>689281.30999999994</v>
      </c>
      <c r="BC44" s="121" t="s">
        <v>57</v>
      </c>
      <c r="BD44" s="125"/>
      <c r="BE44" s="127">
        <f t="shared" ref="BE44" si="146">SUM(BE34:BE43)</f>
        <v>0</v>
      </c>
    </row>
    <row r="45" spans="1:57" s="15" customFormat="1" ht="20.25">
      <c r="A45" s="15" t="s">
        <v>58</v>
      </c>
      <c r="B45" s="128" t="s">
        <v>59</v>
      </c>
      <c r="C45" s="34"/>
      <c r="D45" s="72"/>
      <c r="E45" s="104">
        <f t="shared" ref="E45:E55" si="147">+SUM(H45,K45,N45,Q45,T45,W45,Z45,AC45,AF45,AI45,AL45,AO45)</f>
        <v>267612.0178846154</v>
      </c>
      <c r="F45" s="34"/>
      <c r="G45" s="72"/>
      <c r="H45" s="104">
        <v>23989.06</v>
      </c>
      <c r="I45" s="34"/>
      <c r="J45" s="72"/>
      <c r="K45" s="104">
        <v>19757.52</v>
      </c>
      <c r="L45" s="34"/>
      <c r="M45" s="72"/>
      <c r="N45" s="104">
        <v>23707.52</v>
      </c>
      <c r="O45" s="34"/>
      <c r="P45" s="72"/>
      <c r="Q45" s="104">
        <v>22738.29</v>
      </c>
      <c r="R45" s="34"/>
      <c r="S45" s="72"/>
      <c r="T45" s="104">
        <v>18969.05</v>
      </c>
      <c r="U45" s="34"/>
      <c r="V45" s="72"/>
      <c r="W45" s="104">
        <v>17276.740000000002</v>
      </c>
      <c r="X45" s="34"/>
      <c r="Y45" s="72"/>
      <c r="Z45" s="104">
        <v>21170.97</v>
      </c>
      <c r="AA45" s="34"/>
      <c r="AB45" s="72"/>
      <c r="AC45" s="104">
        <f>+[1]VOLKS!$L$42</f>
        <v>18122.89</v>
      </c>
      <c r="AD45" s="34"/>
      <c r="AE45" s="72"/>
      <c r="AF45" s="104">
        <v>24486.465384615389</v>
      </c>
      <c r="AG45" s="34"/>
      <c r="AH45" s="72"/>
      <c r="AI45" s="104">
        <v>28420.581730769234</v>
      </c>
      <c r="AJ45" s="34"/>
      <c r="AK45" s="72"/>
      <c r="AL45" s="105">
        <v>24486.465384615389</v>
      </c>
      <c r="AM45" s="34"/>
      <c r="AN45" s="72"/>
      <c r="AO45" s="105">
        <v>24486.465384615389</v>
      </c>
      <c r="AQ45" s="53"/>
      <c r="AR45" s="74"/>
      <c r="AS45" s="108">
        <f t="shared" ref="AS45:AS55" si="148">SUMIFS(F45:AO45,$F$7:$AO$7,"$PROFITS",$F$3:$AO$3,"RÉEL")</f>
        <v>165732.04000000004</v>
      </c>
      <c r="AU45" s="53"/>
      <c r="AV45" s="74"/>
      <c r="AW45" s="108">
        <f t="shared" ref="AW45:AW55" si="149">SUMIFS(F45:AO45,$F$7:$AO$7,"$PROFITS",$F$3:$AO$3,"BUDGET")</f>
        <v>101879.97788461539</v>
      </c>
      <c r="AY45" s="53"/>
      <c r="AZ45" s="74"/>
      <c r="BA45" s="108">
        <f>+[2]VOLKS!$L$42</f>
        <v>165732.04</v>
      </c>
      <c r="BC45" s="53"/>
      <c r="BD45" s="74"/>
      <c r="BE45" s="109">
        <f t="shared" ref="BE45:BE55" si="150">+BA45-AS45</f>
        <v>0</v>
      </c>
    </row>
    <row r="46" spans="1:57" s="15" customFormat="1" ht="20.25">
      <c r="A46" s="15" t="s">
        <v>60</v>
      </c>
      <c r="B46" s="129" t="s">
        <v>61</v>
      </c>
      <c r="C46" s="34"/>
      <c r="D46" s="72"/>
      <c r="E46" s="104">
        <f t="shared" si="147"/>
        <v>164190.70107692305</v>
      </c>
      <c r="F46" s="34"/>
      <c r="G46" s="72"/>
      <c r="H46" s="104">
        <v>13193.79</v>
      </c>
      <c r="I46" s="34"/>
      <c r="J46" s="72"/>
      <c r="K46" s="104">
        <v>12111.66</v>
      </c>
      <c r="L46" s="34"/>
      <c r="M46" s="72"/>
      <c r="N46" s="104">
        <v>12526.87</v>
      </c>
      <c r="O46" s="34"/>
      <c r="P46" s="72"/>
      <c r="Q46" s="104">
        <v>12985.89</v>
      </c>
      <c r="R46" s="34"/>
      <c r="S46" s="72"/>
      <c r="T46" s="104">
        <v>14463.37</v>
      </c>
      <c r="U46" s="34"/>
      <c r="V46" s="72"/>
      <c r="W46" s="104">
        <v>12517.38</v>
      </c>
      <c r="X46" s="34"/>
      <c r="Y46" s="72"/>
      <c r="Z46" s="104">
        <v>11846.53</v>
      </c>
      <c r="AA46" s="34"/>
      <c r="AB46" s="72"/>
      <c r="AC46" s="104">
        <f>+[1]VOLKS!$L$43</f>
        <v>15664.78</v>
      </c>
      <c r="AD46" s="34"/>
      <c r="AE46" s="72"/>
      <c r="AF46" s="104">
        <v>13904.219076923078</v>
      </c>
      <c r="AG46" s="34"/>
      <c r="AH46" s="72"/>
      <c r="AI46" s="104">
        <v>17167.773846153847</v>
      </c>
      <c r="AJ46" s="34"/>
      <c r="AK46" s="72"/>
      <c r="AL46" s="105">
        <v>13904.219076923078</v>
      </c>
      <c r="AM46" s="34"/>
      <c r="AN46" s="72"/>
      <c r="AO46" s="105">
        <v>13904.219076923078</v>
      </c>
      <c r="AQ46" s="53"/>
      <c r="AR46" s="74"/>
      <c r="AS46" s="108">
        <f t="shared" si="148"/>
        <v>105310.27</v>
      </c>
      <c r="AU46" s="53"/>
      <c r="AV46" s="74"/>
      <c r="AW46" s="108">
        <f t="shared" si="149"/>
        <v>58880.431076923087</v>
      </c>
      <c r="AY46" s="53"/>
      <c r="AZ46" s="74"/>
      <c r="BA46" s="108">
        <f>+[2]VOLKS!$L$43</f>
        <v>105310.27</v>
      </c>
      <c r="BC46" s="53"/>
      <c r="BD46" s="74"/>
      <c r="BE46" s="109">
        <f t="shared" si="150"/>
        <v>0</v>
      </c>
    </row>
    <row r="47" spans="1:57" s="15" customFormat="1" ht="20.25">
      <c r="A47" s="15" t="s">
        <v>60</v>
      </c>
      <c r="B47" s="128" t="s">
        <v>62</v>
      </c>
      <c r="C47" s="23"/>
      <c r="D47" s="130"/>
      <c r="E47" s="131">
        <f t="shared" si="147"/>
        <v>14567.703846153845</v>
      </c>
      <c r="F47" s="23"/>
      <c r="G47" s="130"/>
      <c r="H47" s="131">
        <v>1613</v>
      </c>
      <c r="I47" s="23"/>
      <c r="J47" s="130"/>
      <c r="K47" s="131">
        <v>2451</v>
      </c>
      <c r="L47" s="23"/>
      <c r="M47" s="130"/>
      <c r="N47" s="131">
        <v>-312</v>
      </c>
      <c r="O47" s="23"/>
      <c r="P47" s="130"/>
      <c r="Q47" s="131">
        <v>1208.75</v>
      </c>
      <c r="R47" s="23"/>
      <c r="S47" s="130"/>
      <c r="T47" s="131">
        <v>2903.5</v>
      </c>
      <c r="U47" s="23"/>
      <c r="V47" s="130"/>
      <c r="W47" s="131">
        <v>1819.6</v>
      </c>
      <c r="X47" s="23"/>
      <c r="Y47" s="130"/>
      <c r="Z47" s="131">
        <v>1963.25</v>
      </c>
      <c r="AA47" s="23"/>
      <c r="AB47" s="130"/>
      <c r="AC47" s="131">
        <f>+[1]VOLKS!$L$44</f>
        <v>1579.5</v>
      </c>
      <c r="AD47" s="23"/>
      <c r="AE47" s="130"/>
      <c r="AF47" s="131">
        <v>315.55384615384617</v>
      </c>
      <c r="AG47" s="23"/>
      <c r="AH47" s="130"/>
      <c r="AI47" s="131">
        <v>394.44230769230774</v>
      </c>
      <c r="AJ47" s="23"/>
      <c r="AK47" s="130"/>
      <c r="AL47" s="132">
        <v>315.55384615384617</v>
      </c>
      <c r="AM47" s="23"/>
      <c r="AN47" s="130"/>
      <c r="AO47" s="132">
        <v>315.55384615384617</v>
      </c>
      <c r="AQ47" s="133"/>
      <c r="AR47" s="134"/>
      <c r="AS47" s="135">
        <f t="shared" si="148"/>
        <v>13226.6</v>
      </c>
      <c r="AU47" s="133"/>
      <c r="AV47" s="134"/>
      <c r="AW47" s="135">
        <f t="shared" si="149"/>
        <v>1341.1038461538465</v>
      </c>
      <c r="AY47" s="133"/>
      <c r="AZ47" s="134"/>
      <c r="BA47" s="135">
        <f>+[2]VOLKS!$L$44</f>
        <v>13226.6</v>
      </c>
      <c r="BC47" s="133"/>
      <c r="BD47" s="134"/>
      <c r="BE47" s="136">
        <f t="shared" si="150"/>
        <v>0</v>
      </c>
    </row>
    <row r="48" spans="1:57" s="15" customFormat="1" ht="20.25">
      <c r="A48" s="15" t="s">
        <v>60</v>
      </c>
      <c r="B48" s="128" t="s">
        <v>63</v>
      </c>
      <c r="C48" s="34"/>
      <c r="D48" s="72"/>
      <c r="E48" s="104">
        <f t="shared" si="147"/>
        <v>0</v>
      </c>
      <c r="F48" s="34"/>
      <c r="G48" s="72"/>
      <c r="H48" s="104">
        <v>0</v>
      </c>
      <c r="I48" s="34"/>
      <c r="J48" s="72"/>
      <c r="K48" s="104">
        <v>0</v>
      </c>
      <c r="L48" s="34"/>
      <c r="M48" s="72"/>
      <c r="N48" s="104">
        <v>0</v>
      </c>
      <c r="O48" s="34"/>
      <c r="P48" s="72"/>
      <c r="Q48" s="104">
        <v>0</v>
      </c>
      <c r="R48" s="34"/>
      <c r="S48" s="72"/>
      <c r="T48" s="104">
        <v>0</v>
      </c>
      <c r="U48" s="34"/>
      <c r="V48" s="72"/>
      <c r="W48" s="104">
        <v>0</v>
      </c>
      <c r="X48" s="34"/>
      <c r="Y48" s="72"/>
      <c r="Z48" s="104">
        <v>0</v>
      </c>
      <c r="AA48" s="34"/>
      <c r="AB48" s="72"/>
      <c r="AC48" s="104">
        <f>+[1]VOLKS!$L$45</f>
        <v>0</v>
      </c>
      <c r="AD48" s="34"/>
      <c r="AE48" s="72"/>
      <c r="AF48" s="104">
        <v>0</v>
      </c>
      <c r="AG48" s="34"/>
      <c r="AH48" s="72"/>
      <c r="AI48" s="104">
        <v>0</v>
      </c>
      <c r="AJ48" s="34"/>
      <c r="AK48" s="72"/>
      <c r="AL48" s="105">
        <v>0</v>
      </c>
      <c r="AM48" s="34"/>
      <c r="AN48" s="72"/>
      <c r="AO48" s="105">
        <v>0</v>
      </c>
      <c r="AQ48" s="53"/>
      <c r="AR48" s="74"/>
      <c r="AS48" s="108">
        <f t="shared" si="148"/>
        <v>0</v>
      </c>
      <c r="AU48" s="53"/>
      <c r="AV48" s="74"/>
      <c r="AW48" s="108">
        <f t="shared" si="149"/>
        <v>0</v>
      </c>
      <c r="AY48" s="53"/>
      <c r="AZ48" s="74"/>
      <c r="BA48" s="108">
        <f>+[2]VOLKS!$L$45</f>
        <v>0</v>
      </c>
      <c r="BC48" s="53"/>
      <c r="BD48" s="74"/>
      <c r="BE48" s="109">
        <f t="shared" si="150"/>
        <v>0</v>
      </c>
    </row>
    <row r="49" spans="1:57" s="15" customFormat="1" ht="20.25" hidden="1" customHeight="1">
      <c r="B49" s="34"/>
      <c r="C49" s="34"/>
      <c r="D49" s="72"/>
      <c r="E49" s="104"/>
      <c r="F49" s="34"/>
      <c r="G49" s="72"/>
      <c r="H49" s="104"/>
      <c r="I49" s="34"/>
      <c r="J49" s="72"/>
      <c r="K49" s="104"/>
      <c r="L49" s="34"/>
      <c r="M49" s="72"/>
      <c r="N49" s="104"/>
      <c r="O49" s="34"/>
      <c r="P49" s="72"/>
      <c r="Q49" s="104"/>
      <c r="R49" s="34"/>
      <c r="S49" s="72"/>
      <c r="T49" s="104"/>
      <c r="U49" s="34"/>
      <c r="V49" s="72"/>
      <c r="W49" s="104"/>
      <c r="X49" s="34"/>
      <c r="Y49" s="72"/>
      <c r="Z49" s="104"/>
      <c r="AA49" s="34"/>
      <c r="AB49" s="72"/>
      <c r="AC49" s="104"/>
      <c r="AD49" s="34"/>
      <c r="AE49" s="72"/>
      <c r="AF49" s="104"/>
      <c r="AG49" s="34"/>
      <c r="AH49" s="72"/>
      <c r="AI49" s="104"/>
      <c r="AJ49" s="34"/>
      <c r="AK49" s="72"/>
      <c r="AL49" s="105"/>
      <c r="AM49" s="34"/>
      <c r="AN49" s="72"/>
      <c r="AO49" s="105"/>
      <c r="AQ49" s="53"/>
      <c r="AR49" s="74"/>
      <c r="AS49" s="108"/>
      <c r="AU49" s="53"/>
      <c r="AV49" s="74"/>
      <c r="AW49" s="108"/>
      <c r="AY49" s="53"/>
      <c r="AZ49" s="74"/>
      <c r="BA49" s="108"/>
      <c r="BC49" s="53"/>
      <c r="BD49" s="74"/>
      <c r="BE49" s="109"/>
    </row>
    <row r="50" spans="1:57" s="15" customFormat="1" ht="20.25" hidden="1" customHeight="1">
      <c r="B50" s="34"/>
      <c r="C50" s="34"/>
      <c r="D50" s="72"/>
      <c r="E50" s="104"/>
      <c r="F50" s="34"/>
      <c r="G50" s="72"/>
      <c r="H50" s="104"/>
      <c r="I50" s="34"/>
      <c r="J50" s="72"/>
      <c r="K50" s="104"/>
      <c r="L50" s="34"/>
      <c r="M50" s="72"/>
      <c r="N50" s="104"/>
      <c r="O50" s="34"/>
      <c r="P50" s="72"/>
      <c r="Q50" s="104"/>
      <c r="R50" s="34"/>
      <c r="S50" s="72"/>
      <c r="T50" s="104"/>
      <c r="U50" s="34"/>
      <c r="V50" s="72"/>
      <c r="W50" s="104"/>
      <c r="X50" s="34"/>
      <c r="Y50" s="72"/>
      <c r="Z50" s="104"/>
      <c r="AA50" s="34"/>
      <c r="AB50" s="72"/>
      <c r="AC50" s="104"/>
      <c r="AD50" s="34"/>
      <c r="AE50" s="72"/>
      <c r="AF50" s="104"/>
      <c r="AG50" s="34"/>
      <c r="AH50" s="72"/>
      <c r="AI50" s="104"/>
      <c r="AJ50" s="34"/>
      <c r="AK50" s="72"/>
      <c r="AL50" s="105"/>
      <c r="AM50" s="34"/>
      <c r="AN50" s="72"/>
      <c r="AO50" s="105"/>
      <c r="AQ50" s="53"/>
      <c r="AR50" s="74"/>
      <c r="AS50" s="108"/>
      <c r="AU50" s="53"/>
      <c r="AV50" s="74"/>
      <c r="AW50" s="108"/>
      <c r="AY50" s="53"/>
      <c r="AZ50" s="74"/>
      <c r="BA50" s="108"/>
      <c r="BC50" s="53"/>
      <c r="BD50" s="74"/>
      <c r="BE50" s="109"/>
    </row>
    <row r="51" spans="1:57" s="15" customFormat="1" ht="20.25" hidden="1" customHeight="1">
      <c r="B51" s="34"/>
      <c r="C51" s="34"/>
      <c r="D51" s="72"/>
      <c r="E51" s="104"/>
      <c r="F51" s="34"/>
      <c r="G51" s="72"/>
      <c r="H51" s="104"/>
      <c r="I51" s="34"/>
      <c r="J51" s="72"/>
      <c r="K51" s="104"/>
      <c r="L51" s="34"/>
      <c r="M51" s="72"/>
      <c r="N51" s="104"/>
      <c r="O51" s="34"/>
      <c r="P51" s="72"/>
      <c r="Q51" s="104"/>
      <c r="R51" s="34"/>
      <c r="S51" s="72"/>
      <c r="T51" s="104"/>
      <c r="U51" s="34"/>
      <c r="V51" s="72"/>
      <c r="W51" s="104"/>
      <c r="X51" s="34"/>
      <c r="Y51" s="72"/>
      <c r="Z51" s="104"/>
      <c r="AA51" s="34"/>
      <c r="AB51" s="72"/>
      <c r="AC51" s="104"/>
      <c r="AD51" s="34"/>
      <c r="AE51" s="72"/>
      <c r="AF51" s="104"/>
      <c r="AG51" s="34"/>
      <c r="AH51" s="72"/>
      <c r="AI51" s="104"/>
      <c r="AJ51" s="34"/>
      <c r="AK51" s="72"/>
      <c r="AL51" s="105"/>
      <c r="AM51" s="34"/>
      <c r="AN51" s="72"/>
      <c r="AO51" s="105"/>
      <c r="AQ51" s="53"/>
      <c r="AR51" s="74"/>
      <c r="AS51" s="108"/>
      <c r="AU51" s="53"/>
      <c r="AV51" s="74"/>
      <c r="AW51" s="108"/>
      <c r="AY51" s="53"/>
      <c r="AZ51" s="74"/>
      <c r="BA51" s="108"/>
      <c r="BC51" s="53"/>
      <c r="BD51" s="74"/>
      <c r="BE51" s="109"/>
    </row>
    <row r="52" spans="1:57" s="15" customFormat="1" ht="20.25">
      <c r="A52" s="15" t="s">
        <v>64</v>
      </c>
      <c r="B52" s="129" t="s">
        <v>65</v>
      </c>
      <c r="C52" s="34"/>
      <c r="D52" s="72"/>
      <c r="E52" s="104">
        <f t="shared" si="147"/>
        <v>142013.68671802044</v>
      </c>
      <c r="F52" s="34"/>
      <c r="G52" s="72"/>
      <c r="H52" s="104">
        <v>11297.5</v>
      </c>
      <c r="I52" s="34"/>
      <c r="J52" s="72"/>
      <c r="K52" s="104">
        <v>8944.73</v>
      </c>
      <c r="L52" s="34"/>
      <c r="M52" s="72"/>
      <c r="N52" s="104">
        <v>12291.71</v>
      </c>
      <c r="O52" s="34"/>
      <c r="P52" s="72"/>
      <c r="Q52" s="104">
        <v>12288.84</v>
      </c>
      <c r="R52" s="34"/>
      <c r="S52" s="72"/>
      <c r="T52" s="104">
        <v>14676.27</v>
      </c>
      <c r="U52" s="34"/>
      <c r="V52" s="72"/>
      <c r="W52" s="104">
        <v>11092.96</v>
      </c>
      <c r="X52" s="34"/>
      <c r="Y52" s="72"/>
      <c r="Z52" s="104">
        <v>10866.84</v>
      </c>
      <c r="AA52" s="34"/>
      <c r="AB52" s="72"/>
      <c r="AC52" s="104">
        <f>+[1]VOLKS!$L$49</f>
        <v>11090.84</v>
      </c>
      <c r="AD52" s="34"/>
      <c r="AE52" s="72"/>
      <c r="AF52" s="104">
        <v>12229.898508219989</v>
      </c>
      <c r="AG52" s="34"/>
      <c r="AH52" s="72"/>
      <c r="AI52" s="104">
        <v>14095.711661841447</v>
      </c>
      <c r="AJ52" s="34"/>
      <c r="AK52" s="72"/>
      <c r="AL52" s="105">
        <v>13449.662017587063</v>
      </c>
      <c r="AM52" s="34"/>
      <c r="AN52" s="72"/>
      <c r="AO52" s="105">
        <v>9688.7245303719174</v>
      </c>
      <c r="AQ52" s="53"/>
      <c r="AR52" s="74"/>
      <c r="AS52" s="108">
        <f t="shared" si="148"/>
        <v>92549.69</v>
      </c>
      <c r="AU52" s="53"/>
      <c r="AV52" s="74"/>
      <c r="AW52" s="108">
        <f t="shared" si="149"/>
        <v>49463.996718020418</v>
      </c>
      <c r="AY52" s="53"/>
      <c r="AZ52" s="74"/>
      <c r="BA52" s="108">
        <f>+[2]VOLKS!$L$49</f>
        <v>92549.69</v>
      </c>
      <c r="BC52" s="53"/>
      <c r="BD52" s="74"/>
      <c r="BE52" s="109">
        <f t="shared" si="150"/>
        <v>0</v>
      </c>
    </row>
    <row r="53" spans="1:57" s="15" customFormat="1" ht="20.25">
      <c r="A53" s="15" t="s">
        <v>66</v>
      </c>
      <c r="B53" s="128" t="s">
        <v>67</v>
      </c>
      <c r="C53" s="23"/>
      <c r="D53" s="130"/>
      <c r="E53" s="131">
        <f t="shared" si="147"/>
        <v>176639.70711089708</v>
      </c>
      <c r="F53" s="23"/>
      <c r="G53" s="130"/>
      <c r="H53" s="131">
        <v>14203.83</v>
      </c>
      <c r="I53" s="23"/>
      <c r="J53" s="130"/>
      <c r="K53" s="131">
        <v>12821.25</v>
      </c>
      <c r="L53" s="23"/>
      <c r="M53" s="130"/>
      <c r="N53" s="131">
        <v>14654.31</v>
      </c>
      <c r="O53" s="23"/>
      <c r="P53" s="130"/>
      <c r="Q53" s="131">
        <v>15510.75</v>
      </c>
      <c r="R53" s="23"/>
      <c r="S53" s="130"/>
      <c r="T53" s="131">
        <v>17960</v>
      </c>
      <c r="U53" s="23"/>
      <c r="V53" s="130"/>
      <c r="W53" s="131">
        <v>13743.57</v>
      </c>
      <c r="X53" s="23"/>
      <c r="Y53" s="130"/>
      <c r="Z53" s="131">
        <v>13752.02</v>
      </c>
      <c r="AA53" s="23"/>
      <c r="AB53" s="130"/>
      <c r="AC53" s="131">
        <f>+[1]VOLKS!$L$50</f>
        <v>13852.73</v>
      </c>
      <c r="AD53" s="23"/>
      <c r="AE53" s="130"/>
      <c r="AF53" s="131">
        <v>14869.832547439282</v>
      </c>
      <c r="AG53" s="23"/>
      <c r="AH53" s="130"/>
      <c r="AI53" s="131">
        <v>17138.398320124405</v>
      </c>
      <c r="AJ53" s="23"/>
      <c r="AK53" s="130"/>
      <c r="AL53" s="132">
        <v>16352.893025788675</v>
      </c>
      <c r="AM53" s="23"/>
      <c r="AN53" s="130"/>
      <c r="AO53" s="132">
        <v>11780.123217544711</v>
      </c>
      <c r="AQ53" s="133"/>
      <c r="AR53" s="134"/>
      <c r="AS53" s="135">
        <f t="shared" si="148"/>
        <v>116498.45999999999</v>
      </c>
      <c r="AU53" s="133"/>
      <c r="AV53" s="134"/>
      <c r="AW53" s="135">
        <f t="shared" si="149"/>
        <v>60141.247110897079</v>
      </c>
      <c r="AY53" s="133"/>
      <c r="AZ53" s="134"/>
      <c r="BA53" s="135">
        <f>+[2]VOLKS!$L$50</f>
        <v>116498.46</v>
      </c>
      <c r="BC53" s="133"/>
      <c r="BD53" s="134"/>
      <c r="BE53" s="136">
        <f t="shared" si="150"/>
        <v>0</v>
      </c>
    </row>
    <row r="54" spans="1:57" s="15" customFormat="1" ht="20.25">
      <c r="A54" s="15" t="s">
        <v>68</v>
      </c>
      <c r="B54" s="137" t="s">
        <v>69</v>
      </c>
      <c r="C54" s="34"/>
      <c r="D54" s="72"/>
      <c r="E54" s="104">
        <f t="shared" si="147"/>
        <v>88183.68644626654</v>
      </c>
      <c r="F54" s="34"/>
      <c r="G54" s="72"/>
      <c r="H54" s="104">
        <v>7181.9</v>
      </c>
      <c r="I54" s="34"/>
      <c r="J54" s="72"/>
      <c r="K54" s="104">
        <v>4964.91</v>
      </c>
      <c r="L54" s="34"/>
      <c r="M54" s="72"/>
      <c r="N54" s="104">
        <v>7784.41</v>
      </c>
      <c r="O54" s="34"/>
      <c r="P54" s="72"/>
      <c r="Q54" s="104">
        <v>8178.51</v>
      </c>
      <c r="R54" s="34"/>
      <c r="S54" s="72"/>
      <c r="T54" s="104">
        <v>8486.02</v>
      </c>
      <c r="U54" s="34"/>
      <c r="V54" s="72"/>
      <c r="W54" s="104">
        <v>6407</v>
      </c>
      <c r="X54" s="34"/>
      <c r="Y54" s="72"/>
      <c r="Z54" s="104">
        <v>7178.18</v>
      </c>
      <c r="AA54" s="34"/>
      <c r="AB54" s="72"/>
      <c r="AC54" s="104">
        <f>+[1]VOLKS!$L$51</f>
        <v>7016.94</v>
      </c>
      <c r="AD54" s="34"/>
      <c r="AE54" s="72"/>
      <c r="AF54" s="104">
        <v>7661.1963342241506</v>
      </c>
      <c r="AG54" s="34"/>
      <c r="AH54" s="72"/>
      <c r="AI54" s="104">
        <v>8830.0008736293112</v>
      </c>
      <c r="AJ54" s="34"/>
      <c r="AK54" s="72"/>
      <c r="AL54" s="105">
        <v>8425.2948850259036</v>
      </c>
      <c r="AM54" s="34"/>
      <c r="AN54" s="72"/>
      <c r="AO54" s="105">
        <v>6069.3243533871655</v>
      </c>
      <c r="AQ54" s="53"/>
      <c r="AR54" s="74"/>
      <c r="AS54" s="108">
        <f t="shared" si="148"/>
        <v>57197.87</v>
      </c>
      <c r="AU54" s="53"/>
      <c r="AV54" s="74"/>
      <c r="AW54" s="108">
        <f t="shared" si="149"/>
        <v>30985.81644626653</v>
      </c>
      <c r="AY54" s="53"/>
      <c r="AZ54" s="74"/>
      <c r="BA54" s="108">
        <f>+[2]VOLKS!$L$51</f>
        <v>57197.869999999901</v>
      </c>
      <c r="BC54" s="53"/>
      <c r="BD54" s="74"/>
      <c r="BE54" s="109">
        <f t="shared" si="150"/>
        <v>-1.0186340659856796E-10</v>
      </c>
    </row>
    <row r="55" spans="1:57" s="15" customFormat="1" ht="20.25">
      <c r="A55" s="15" t="s">
        <v>70</v>
      </c>
      <c r="B55" s="128" t="s">
        <v>71</v>
      </c>
      <c r="C55" s="34"/>
      <c r="D55" s="72"/>
      <c r="E55" s="104">
        <f t="shared" si="147"/>
        <v>36269.230293027598</v>
      </c>
      <c r="F55" s="34"/>
      <c r="G55" s="72"/>
      <c r="H55" s="104">
        <v>2463.48</v>
      </c>
      <c r="I55" s="34"/>
      <c r="J55" s="72"/>
      <c r="K55" s="104">
        <v>3329.22</v>
      </c>
      <c r="L55" s="34"/>
      <c r="M55" s="72"/>
      <c r="N55" s="104">
        <v>2218.0500000000002</v>
      </c>
      <c r="O55" s="34"/>
      <c r="P55" s="72"/>
      <c r="Q55" s="104">
        <v>3094.69</v>
      </c>
      <c r="R55" s="34"/>
      <c r="S55" s="72"/>
      <c r="T55" s="104">
        <v>2876.17</v>
      </c>
      <c r="U55" s="34"/>
      <c r="V55" s="72"/>
      <c r="W55" s="104">
        <v>2667.67</v>
      </c>
      <c r="X55" s="34"/>
      <c r="Y55" s="72"/>
      <c r="Z55" s="104">
        <v>3241.11</v>
      </c>
      <c r="AA55" s="34"/>
      <c r="AB55" s="72"/>
      <c r="AC55" s="104">
        <f>+[1]VOLKS!$L$52</f>
        <v>2868.85</v>
      </c>
      <c r="AD55" s="34"/>
      <c r="AE55" s="72"/>
      <c r="AF55" s="104">
        <v>3340.3247026856357</v>
      </c>
      <c r="AG55" s="34"/>
      <c r="AH55" s="72"/>
      <c r="AI55" s="104">
        <v>3849.9300574192498</v>
      </c>
      <c r="AJ55" s="34"/>
      <c r="AK55" s="72"/>
      <c r="AL55" s="105">
        <v>3673.4759695612238</v>
      </c>
      <c r="AM55" s="34"/>
      <c r="AN55" s="72"/>
      <c r="AO55" s="105">
        <v>2646.2595633614928</v>
      </c>
      <c r="AQ55" s="53"/>
      <c r="AR55" s="74"/>
      <c r="AS55" s="108">
        <f t="shared" si="148"/>
        <v>22759.239999999998</v>
      </c>
      <c r="AU55" s="53"/>
      <c r="AV55" s="74"/>
      <c r="AW55" s="108">
        <f t="shared" si="149"/>
        <v>13509.990293027602</v>
      </c>
      <c r="AY55" s="53"/>
      <c r="AZ55" s="74"/>
      <c r="BA55" s="108">
        <f>+[2]VOLKS!$L$52</f>
        <v>22759.24</v>
      </c>
      <c r="BC55" s="53"/>
      <c r="BD55" s="74"/>
      <c r="BE55" s="109">
        <f t="shared" si="150"/>
        <v>0</v>
      </c>
    </row>
    <row r="56" spans="1:57" s="15" customFormat="1" ht="20.25" hidden="1" customHeight="1">
      <c r="B56" s="34"/>
      <c r="C56" s="28"/>
      <c r="D56" s="138"/>
      <c r="E56" s="139"/>
      <c r="F56" s="28"/>
      <c r="G56" s="138"/>
      <c r="H56" s="139"/>
      <c r="I56" s="28"/>
      <c r="J56" s="138"/>
      <c r="K56" s="139"/>
      <c r="L56" s="28"/>
      <c r="M56" s="138"/>
      <c r="N56" s="139"/>
      <c r="O56" s="28"/>
      <c r="P56" s="138"/>
      <c r="Q56" s="139"/>
      <c r="R56" s="28"/>
      <c r="S56" s="138"/>
      <c r="T56" s="139"/>
      <c r="U56" s="28"/>
      <c r="V56" s="138"/>
      <c r="W56" s="139"/>
      <c r="X56" s="28"/>
      <c r="Y56" s="138"/>
      <c r="Z56" s="139"/>
      <c r="AA56" s="28"/>
      <c r="AB56" s="138"/>
      <c r="AC56" s="139"/>
      <c r="AD56" s="28"/>
      <c r="AE56" s="138"/>
      <c r="AF56" s="139"/>
      <c r="AG56" s="28"/>
      <c r="AH56" s="138"/>
      <c r="AI56" s="139"/>
      <c r="AJ56" s="28"/>
      <c r="AK56" s="138"/>
      <c r="AL56" s="139"/>
      <c r="AM56" s="28"/>
      <c r="AN56" s="138"/>
      <c r="AO56" s="139"/>
      <c r="AQ56" s="119"/>
      <c r="AR56" s="140"/>
      <c r="AS56" s="141"/>
      <c r="AU56" s="119"/>
      <c r="AV56" s="140"/>
      <c r="AW56" s="141"/>
      <c r="AY56" s="119"/>
      <c r="AZ56" s="140"/>
      <c r="BA56" s="141"/>
      <c r="BC56" s="119"/>
      <c r="BD56" s="140"/>
      <c r="BE56" s="142"/>
    </row>
    <row r="57" spans="1:57" s="15" customFormat="1" ht="20.25">
      <c r="A57" s="15" t="s">
        <v>27</v>
      </c>
      <c r="B57" s="120" t="s">
        <v>72</v>
      </c>
      <c r="C57" s="121" t="s">
        <v>57</v>
      </c>
      <c r="D57" s="122">
        <f>IFERROR(E57/E$30,0)</f>
        <v>0.35947908891355496</v>
      </c>
      <c r="E57" s="123">
        <f>+SUM(E45:E56)</f>
        <v>889476.73337590392</v>
      </c>
      <c r="F57" s="121" t="s">
        <v>57</v>
      </c>
      <c r="G57" s="122">
        <v>1.26360057986615</v>
      </c>
      <c r="H57" s="123">
        <f>+SUM(H45:H56)</f>
        <v>73942.559999999998</v>
      </c>
      <c r="I57" s="121" t="s">
        <v>57</v>
      </c>
      <c r="J57" s="122">
        <v>1.26360057986615</v>
      </c>
      <c r="K57" s="123">
        <f>+SUM(K45:K56)</f>
        <v>64380.290000000008</v>
      </c>
      <c r="L57" s="121" t="s">
        <v>57</v>
      </c>
      <c r="M57" s="122">
        <v>1.26360057986615</v>
      </c>
      <c r="N57" s="123">
        <f>+SUM(N45:N56)</f>
        <v>72870.87</v>
      </c>
      <c r="O57" s="121" t="s">
        <v>57</v>
      </c>
      <c r="P57" s="122">
        <v>1.26360057986615</v>
      </c>
      <c r="Q57" s="123">
        <f>+SUM(Q45:Q56)</f>
        <v>76005.72</v>
      </c>
      <c r="R57" s="121" t="s">
        <v>57</v>
      </c>
      <c r="S57" s="122">
        <v>1.26360057986615</v>
      </c>
      <c r="T57" s="123">
        <f>+SUM(T45:T56)</f>
        <v>80334.38</v>
      </c>
      <c r="U57" s="121" t="s">
        <v>57</v>
      </c>
      <c r="V57" s="122">
        <v>1.26360057986615</v>
      </c>
      <c r="W57" s="124">
        <f>+SUM(W45:W56)</f>
        <v>65524.92</v>
      </c>
      <c r="X57" s="121" t="s">
        <v>57</v>
      </c>
      <c r="Y57" s="122">
        <v>1.26360057986615</v>
      </c>
      <c r="Z57" s="124">
        <f>+SUM(Z45:Z56)</f>
        <v>70018.900000000009</v>
      </c>
      <c r="AA57" s="121" t="s">
        <v>57</v>
      </c>
      <c r="AB57" s="122">
        <v>1.26360057986615</v>
      </c>
      <c r="AC57" s="124">
        <f>+SUM(AC45:AC56)</f>
        <v>70196.53</v>
      </c>
      <c r="AD57" s="121" t="s">
        <v>57</v>
      </c>
      <c r="AE57" s="122">
        <v>0.35292669365476831</v>
      </c>
      <c r="AF57" s="123">
        <v>76807.490400261377</v>
      </c>
      <c r="AG57" s="121" t="s">
        <v>57</v>
      </c>
      <c r="AH57" s="122">
        <v>0.36255080377082777</v>
      </c>
      <c r="AI57" s="123">
        <v>89896.838797629782</v>
      </c>
      <c r="AJ57" s="121" t="s">
        <v>57</v>
      </c>
      <c r="AK57" s="122">
        <v>0.27016434449818788</v>
      </c>
      <c r="AL57" s="123">
        <v>80607.564205655173</v>
      </c>
      <c r="AM57" s="121" t="s">
        <v>57</v>
      </c>
      <c r="AN57" s="122">
        <v>0.36011948496996171</v>
      </c>
      <c r="AO57" s="123">
        <v>68890.669972357617</v>
      </c>
      <c r="AQ57" s="121" t="s">
        <v>57</v>
      </c>
      <c r="AR57" s="125">
        <f t="shared" ref="AR57" si="151">IFERROR(AS57/AS$30,0)</f>
        <v>0.37737801816780853</v>
      </c>
      <c r="AS57" s="126">
        <f>+SUM(AS45:AS56)</f>
        <v>573274.17000000004</v>
      </c>
      <c r="AU57" s="121" t="s">
        <v>57</v>
      </c>
      <c r="AV57" s="125">
        <f t="shared" ref="AV57" si="152">IFERROR(AW57/AW$30,0)</f>
        <v>0.3310151311454913</v>
      </c>
      <c r="AW57" s="126">
        <f t="shared" ref="AW57" si="153">+SUM(AW45:AW56)</f>
        <v>316202.56337590399</v>
      </c>
      <c r="AY57" s="121" t="s">
        <v>57</v>
      </c>
      <c r="AZ57" s="125">
        <f>IFERROR(BA57/BA$30,0)</f>
        <v>0.37737801816780869</v>
      </c>
      <c r="BA57" s="126">
        <f>+SUM(BA45:BA56)</f>
        <v>573274.16999999993</v>
      </c>
      <c r="BC57" s="121" t="s">
        <v>57</v>
      </c>
      <c r="BD57" s="125"/>
      <c r="BE57" s="127">
        <f t="shared" ref="BE57" si="154">+SUM(BE45:BE56)</f>
        <v>-1.0186340659856796E-10</v>
      </c>
    </row>
    <row r="58" spans="1:57" s="15" customFormat="1" ht="20.25">
      <c r="A58" s="15" t="s">
        <v>52</v>
      </c>
      <c r="B58" s="34" t="s">
        <v>73</v>
      </c>
      <c r="C58" s="34"/>
      <c r="D58" s="72"/>
      <c r="E58" s="104">
        <f t="shared" ref="E58:E71" si="155">+SUM(H58,K58,N58,Q58,T58,W58,Z58,AC58,AF58,AI58,AL58,AO58)</f>
        <v>0</v>
      </c>
      <c r="F58" s="34"/>
      <c r="G58" s="72"/>
      <c r="H58" s="104">
        <v>0</v>
      </c>
      <c r="I58" s="34"/>
      <c r="J58" s="72"/>
      <c r="K58" s="104">
        <v>0</v>
      </c>
      <c r="L58" s="34"/>
      <c r="M58" s="72"/>
      <c r="N58" s="104">
        <v>0</v>
      </c>
      <c r="O58" s="34"/>
      <c r="P58" s="72"/>
      <c r="Q58" s="104">
        <v>0</v>
      </c>
      <c r="R58" s="34"/>
      <c r="S58" s="72"/>
      <c r="T58" s="104">
        <v>0</v>
      </c>
      <c r="U58" s="34"/>
      <c r="V58" s="72"/>
      <c r="W58" s="104">
        <v>0</v>
      </c>
      <c r="X58" s="34"/>
      <c r="Y58" s="72"/>
      <c r="Z58" s="104">
        <v>0</v>
      </c>
      <c r="AA58" s="34"/>
      <c r="AB58" s="72"/>
      <c r="AC58" s="104">
        <f>+[1]VOLKS!$L$55</f>
        <v>0</v>
      </c>
      <c r="AD58" s="34"/>
      <c r="AE58" s="72"/>
      <c r="AF58" s="104">
        <v>0</v>
      </c>
      <c r="AG58" s="34"/>
      <c r="AH58" s="72"/>
      <c r="AI58" s="104">
        <v>0</v>
      </c>
      <c r="AJ58" s="34"/>
      <c r="AK58" s="72"/>
      <c r="AL58" s="105">
        <v>0</v>
      </c>
      <c r="AM58" s="34"/>
      <c r="AN58" s="72"/>
      <c r="AO58" s="105">
        <v>0</v>
      </c>
      <c r="AQ58" s="53"/>
      <c r="AR58" s="74"/>
      <c r="AS58" s="108">
        <f t="shared" ref="AS58:AS71" si="156">SUMIFS(F58:AO58,$F$7:$AO$7,"$PROFITS",$F$3:$AO$3,"RÉEL")</f>
        <v>0</v>
      </c>
      <c r="AU58" s="53"/>
      <c r="AV58" s="74"/>
      <c r="AW58" s="108">
        <f t="shared" ref="AW58:AW71" si="157">SUMIFS(F58:AO58,$F$7:$AO$7,"$PROFITS",$F$3:$AO$3,"BUDGET")</f>
        <v>0</v>
      </c>
      <c r="AY58" s="53"/>
      <c r="AZ58" s="74"/>
      <c r="BA58" s="108">
        <f>+[2]VOLKS!$L$55</f>
        <v>0</v>
      </c>
      <c r="BC58" s="53"/>
      <c r="BD58" s="74"/>
      <c r="BE58" s="109">
        <f t="shared" ref="BE58:BE71" si="158">+BA58-AS58</f>
        <v>0</v>
      </c>
    </row>
    <row r="59" spans="1:57" s="15" customFormat="1" ht="20.25">
      <c r="A59" s="15" t="s">
        <v>49</v>
      </c>
      <c r="B59" s="34" t="s">
        <v>74</v>
      </c>
      <c r="C59" s="34"/>
      <c r="D59" s="72"/>
      <c r="E59" s="104">
        <f t="shared" si="155"/>
        <v>0</v>
      </c>
      <c r="F59" s="34"/>
      <c r="G59" s="72"/>
      <c r="H59" s="104">
        <v>0</v>
      </c>
      <c r="I59" s="34"/>
      <c r="J59" s="72"/>
      <c r="K59" s="104">
        <v>0</v>
      </c>
      <c r="L59" s="34"/>
      <c r="M59" s="72"/>
      <c r="N59" s="104">
        <v>0</v>
      </c>
      <c r="O59" s="34"/>
      <c r="P59" s="72"/>
      <c r="Q59" s="104">
        <v>0</v>
      </c>
      <c r="R59" s="34"/>
      <c r="S59" s="72"/>
      <c r="T59" s="104">
        <v>0</v>
      </c>
      <c r="U59" s="34"/>
      <c r="V59" s="72"/>
      <c r="W59" s="104">
        <v>0</v>
      </c>
      <c r="X59" s="34"/>
      <c r="Y59" s="72"/>
      <c r="Z59" s="104">
        <v>0</v>
      </c>
      <c r="AA59" s="34"/>
      <c r="AB59" s="72"/>
      <c r="AC59" s="104">
        <f>+[1]VOLKS!$L$56</f>
        <v>0</v>
      </c>
      <c r="AD59" s="34"/>
      <c r="AE59" s="72"/>
      <c r="AF59" s="104">
        <v>0</v>
      </c>
      <c r="AG59" s="34"/>
      <c r="AH59" s="72"/>
      <c r="AI59" s="104">
        <v>0</v>
      </c>
      <c r="AJ59" s="34"/>
      <c r="AK59" s="72"/>
      <c r="AL59" s="105">
        <v>0</v>
      </c>
      <c r="AM59" s="34"/>
      <c r="AN59" s="72"/>
      <c r="AO59" s="105">
        <v>0</v>
      </c>
      <c r="AQ59" s="53"/>
      <c r="AR59" s="74"/>
      <c r="AS59" s="108">
        <f t="shared" si="156"/>
        <v>0</v>
      </c>
      <c r="AU59" s="53"/>
      <c r="AV59" s="74"/>
      <c r="AW59" s="108">
        <f t="shared" si="157"/>
        <v>0</v>
      </c>
      <c r="AY59" s="53"/>
      <c r="AZ59" s="74"/>
      <c r="BA59" s="108">
        <f>+[2]VOLKS!$L$56</f>
        <v>0</v>
      </c>
      <c r="BC59" s="53"/>
      <c r="BD59" s="74"/>
      <c r="BE59" s="109">
        <f t="shared" si="158"/>
        <v>0</v>
      </c>
    </row>
    <row r="60" spans="1:57" s="15" customFormat="1" ht="20.25">
      <c r="A60" s="15" t="s">
        <v>75</v>
      </c>
      <c r="B60" s="28" t="s">
        <v>76</v>
      </c>
      <c r="C60" s="143"/>
      <c r="D60" s="144"/>
      <c r="E60" s="145">
        <f t="shared" si="155"/>
        <v>113746.13173333334</v>
      </c>
      <c r="F60" s="143"/>
      <c r="G60" s="144"/>
      <c r="H60" s="145">
        <v>11043.63</v>
      </c>
      <c r="I60" s="143"/>
      <c r="J60" s="144"/>
      <c r="K60" s="145">
        <v>10438.73</v>
      </c>
      <c r="L60" s="143"/>
      <c r="M60" s="144"/>
      <c r="N60" s="145">
        <v>8585.7900000000009</v>
      </c>
      <c r="O60" s="143"/>
      <c r="P60" s="144"/>
      <c r="Q60" s="145">
        <v>5799.11</v>
      </c>
      <c r="R60" s="143"/>
      <c r="S60" s="144"/>
      <c r="T60" s="145">
        <v>13630.57</v>
      </c>
      <c r="U60" s="143"/>
      <c r="V60" s="144"/>
      <c r="W60" s="145">
        <v>11014.36</v>
      </c>
      <c r="X60" s="143"/>
      <c r="Y60" s="144"/>
      <c r="Z60" s="145">
        <v>7490.62</v>
      </c>
      <c r="AA60" s="143"/>
      <c r="AB60" s="144"/>
      <c r="AC60" s="145">
        <f>+[1]VOLKS!$L$57</f>
        <v>9933.1299999999992</v>
      </c>
      <c r="AD60" s="143"/>
      <c r="AE60" s="144"/>
      <c r="AF60" s="145">
        <v>8952.5479333333333</v>
      </c>
      <c r="AG60" s="143"/>
      <c r="AH60" s="144"/>
      <c r="AI60" s="145">
        <v>8952.5479333333333</v>
      </c>
      <c r="AJ60" s="143"/>
      <c r="AK60" s="144"/>
      <c r="AL60" s="146">
        <v>8952.5479333333333</v>
      </c>
      <c r="AM60" s="143"/>
      <c r="AN60" s="144"/>
      <c r="AO60" s="146">
        <v>8952.5479333333333</v>
      </c>
      <c r="AQ60" s="147"/>
      <c r="AR60" s="148"/>
      <c r="AS60" s="116">
        <f t="shared" si="156"/>
        <v>77935.94</v>
      </c>
      <c r="AU60" s="147"/>
      <c r="AV60" s="148"/>
      <c r="AW60" s="116">
        <f t="shared" si="157"/>
        <v>35810.191733333333</v>
      </c>
      <c r="AY60" s="147"/>
      <c r="AZ60" s="148"/>
      <c r="BA60" s="116">
        <f>+[2]VOLKS!$L$57</f>
        <v>77935.94</v>
      </c>
      <c r="BC60" s="147"/>
      <c r="BD60" s="148"/>
      <c r="BE60" s="149">
        <f t="shared" si="158"/>
        <v>0</v>
      </c>
    </row>
    <row r="61" spans="1:57" s="15" customFormat="1" ht="20.25">
      <c r="A61" s="15" t="s">
        <v>77</v>
      </c>
      <c r="B61" s="34" t="s">
        <v>78</v>
      </c>
      <c r="C61" s="34"/>
      <c r="D61" s="72"/>
      <c r="E61" s="104">
        <f t="shared" si="155"/>
        <v>87936.769034062236</v>
      </c>
      <c r="F61" s="34"/>
      <c r="G61" s="72"/>
      <c r="H61" s="104">
        <v>6207.73</v>
      </c>
      <c r="I61" s="34"/>
      <c r="J61" s="72"/>
      <c r="K61" s="104">
        <v>6313.34</v>
      </c>
      <c r="L61" s="34"/>
      <c r="M61" s="72"/>
      <c r="N61" s="104">
        <v>7256.78</v>
      </c>
      <c r="O61" s="34"/>
      <c r="P61" s="72"/>
      <c r="Q61" s="104">
        <v>7784.61</v>
      </c>
      <c r="R61" s="34"/>
      <c r="S61" s="72"/>
      <c r="T61" s="104">
        <v>9063.09</v>
      </c>
      <c r="U61" s="34"/>
      <c r="V61" s="72"/>
      <c r="W61" s="104">
        <v>5623.99</v>
      </c>
      <c r="X61" s="34"/>
      <c r="Y61" s="72"/>
      <c r="Z61" s="104">
        <v>7652.37</v>
      </c>
      <c r="AA61" s="34"/>
      <c r="AB61" s="72"/>
      <c r="AC61" s="104">
        <f>+[1]VOLKS!$L$58</f>
        <v>6190.88</v>
      </c>
      <c r="AD61" s="34"/>
      <c r="AE61" s="72"/>
      <c r="AF61" s="104">
        <v>7960.9947585155569</v>
      </c>
      <c r="AG61" s="34"/>
      <c r="AH61" s="72"/>
      <c r="AI61" s="104">
        <v>7960.9947585155569</v>
      </c>
      <c r="AJ61" s="34"/>
      <c r="AK61" s="72"/>
      <c r="AL61" s="105">
        <v>7960.9947585155569</v>
      </c>
      <c r="AM61" s="34"/>
      <c r="AN61" s="72"/>
      <c r="AO61" s="105">
        <v>7960.9947585155569</v>
      </c>
      <c r="AQ61" s="53"/>
      <c r="AR61" s="74"/>
      <c r="AS61" s="108">
        <f t="shared" si="156"/>
        <v>56092.79</v>
      </c>
      <c r="AU61" s="53"/>
      <c r="AV61" s="74"/>
      <c r="AW61" s="108">
        <f t="shared" si="157"/>
        <v>31843.979034062228</v>
      </c>
      <c r="AY61" s="53"/>
      <c r="AZ61" s="74"/>
      <c r="BA61" s="108">
        <f>+[2]VOLKS!$L$58</f>
        <v>56092.79</v>
      </c>
      <c r="BC61" s="53"/>
      <c r="BD61" s="74"/>
      <c r="BE61" s="109">
        <f t="shared" si="158"/>
        <v>0</v>
      </c>
    </row>
    <row r="62" spans="1:57" s="15" customFormat="1" ht="20.25">
      <c r="A62" s="15" t="s">
        <v>79</v>
      </c>
      <c r="B62" s="34" t="s">
        <v>80</v>
      </c>
      <c r="C62" s="34"/>
      <c r="D62" s="72"/>
      <c r="E62" s="104">
        <f t="shared" si="155"/>
        <v>16498.030003451928</v>
      </c>
      <c r="F62" s="34"/>
      <c r="G62" s="72"/>
      <c r="H62" s="104">
        <v>1811.46</v>
      </c>
      <c r="I62" s="34"/>
      <c r="J62" s="72"/>
      <c r="K62" s="104">
        <v>995.9</v>
      </c>
      <c r="L62" s="34"/>
      <c r="M62" s="72"/>
      <c r="N62" s="104">
        <v>1059.24</v>
      </c>
      <c r="O62" s="34"/>
      <c r="P62" s="72"/>
      <c r="Q62" s="104">
        <v>1501.77</v>
      </c>
      <c r="R62" s="34"/>
      <c r="S62" s="72"/>
      <c r="T62" s="104">
        <v>1778.24</v>
      </c>
      <c r="U62" s="34"/>
      <c r="V62" s="72"/>
      <c r="W62" s="104">
        <v>2225.94</v>
      </c>
      <c r="X62" s="34"/>
      <c r="Y62" s="72"/>
      <c r="Z62" s="104">
        <v>1293.58</v>
      </c>
      <c r="AA62" s="34"/>
      <c r="AB62" s="72"/>
      <c r="AC62" s="104">
        <f>+[1]VOLKS!$L$59</f>
        <v>765.11</v>
      </c>
      <c r="AD62" s="34"/>
      <c r="AE62" s="72"/>
      <c r="AF62" s="104">
        <v>1266.6975008629806</v>
      </c>
      <c r="AG62" s="34"/>
      <c r="AH62" s="72"/>
      <c r="AI62" s="104">
        <v>1266.6975008629806</v>
      </c>
      <c r="AJ62" s="34"/>
      <c r="AK62" s="72"/>
      <c r="AL62" s="105">
        <v>1266.6975008629806</v>
      </c>
      <c r="AM62" s="34"/>
      <c r="AN62" s="72"/>
      <c r="AO62" s="105">
        <v>1266.6975008629806</v>
      </c>
      <c r="AQ62" s="53"/>
      <c r="AR62" s="74"/>
      <c r="AS62" s="108">
        <f t="shared" si="156"/>
        <v>11431.240000000002</v>
      </c>
      <c r="AU62" s="53"/>
      <c r="AV62" s="74"/>
      <c r="AW62" s="108">
        <f t="shared" si="157"/>
        <v>5066.7900034519225</v>
      </c>
      <c r="AY62" s="53"/>
      <c r="AZ62" s="74"/>
      <c r="BA62" s="108">
        <f>+[2]VOLKS!$L$59</f>
        <v>11431.24</v>
      </c>
      <c r="BC62" s="53"/>
      <c r="BD62" s="74"/>
      <c r="BE62" s="109">
        <f t="shared" si="158"/>
        <v>0</v>
      </c>
    </row>
    <row r="63" spans="1:57" s="15" customFormat="1" ht="20.25">
      <c r="A63" s="15" t="s">
        <v>81</v>
      </c>
      <c r="B63" s="28" t="s">
        <v>82</v>
      </c>
      <c r="C63" s="143"/>
      <c r="D63" s="144"/>
      <c r="E63" s="145">
        <f t="shared" si="155"/>
        <v>90502.61289435011</v>
      </c>
      <c r="F63" s="143"/>
      <c r="G63" s="144"/>
      <c r="H63" s="145">
        <v>7697.88</v>
      </c>
      <c r="I63" s="143"/>
      <c r="J63" s="144"/>
      <c r="K63" s="145">
        <v>7771.09</v>
      </c>
      <c r="L63" s="143"/>
      <c r="M63" s="144"/>
      <c r="N63" s="145">
        <v>10430.41</v>
      </c>
      <c r="O63" s="143"/>
      <c r="P63" s="144"/>
      <c r="Q63" s="145">
        <v>7415.88</v>
      </c>
      <c r="R63" s="143"/>
      <c r="S63" s="144"/>
      <c r="T63" s="145">
        <v>7261.42</v>
      </c>
      <c r="U63" s="143"/>
      <c r="V63" s="144"/>
      <c r="W63" s="145">
        <v>6186.82</v>
      </c>
      <c r="X63" s="143"/>
      <c r="Y63" s="144"/>
      <c r="Z63" s="145">
        <v>8436.09</v>
      </c>
      <c r="AA63" s="143"/>
      <c r="AB63" s="144"/>
      <c r="AC63" s="145">
        <f>+[1]VOLKS!$L$60</f>
        <v>6440.06</v>
      </c>
      <c r="AD63" s="143"/>
      <c r="AE63" s="144"/>
      <c r="AF63" s="145">
        <v>7215.7407235875298</v>
      </c>
      <c r="AG63" s="143"/>
      <c r="AH63" s="144"/>
      <c r="AI63" s="145">
        <v>7215.7407235875298</v>
      </c>
      <c r="AJ63" s="143"/>
      <c r="AK63" s="144"/>
      <c r="AL63" s="146">
        <v>7215.7407235875298</v>
      </c>
      <c r="AM63" s="143"/>
      <c r="AN63" s="144"/>
      <c r="AO63" s="146">
        <v>7215.7407235875298</v>
      </c>
      <c r="AQ63" s="147"/>
      <c r="AR63" s="148"/>
      <c r="AS63" s="116">
        <f t="shared" si="156"/>
        <v>61639.649999999994</v>
      </c>
      <c r="AU63" s="147"/>
      <c r="AV63" s="148"/>
      <c r="AW63" s="116">
        <f t="shared" si="157"/>
        <v>28862.962894350119</v>
      </c>
      <c r="AY63" s="147"/>
      <c r="AZ63" s="148"/>
      <c r="BA63" s="116">
        <f>+[2]VOLKS!$L$60</f>
        <v>61639.65</v>
      </c>
      <c r="BC63" s="147"/>
      <c r="BD63" s="148"/>
      <c r="BE63" s="149">
        <f t="shared" si="158"/>
        <v>0</v>
      </c>
    </row>
    <row r="64" spans="1:57" s="15" customFormat="1" ht="20.25">
      <c r="A64" s="15" t="s">
        <v>79</v>
      </c>
      <c r="B64" s="34" t="s">
        <v>83</v>
      </c>
      <c r="C64" s="34"/>
      <c r="D64" s="72"/>
      <c r="E64" s="104">
        <f t="shared" si="155"/>
        <v>827.32933333333335</v>
      </c>
      <c r="F64" s="34"/>
      <c r="G64" s="72"/>
      <c r="H64" s="104">
        <v>0</v>
      </c>
      <c r="I64" s="34"/>
      <c r="J64" s="72"/>
      <c r="K64" s="104">
        <v>165.98</v>
      </c>
      <c r="L64" s="34"/>
      <c r="M64" s="72"/>
      <c r="N64" s="104">
        <v>140.41</v>
      </c>
      <c r="O64" s="34"/>
      <c r="P64" s="72"/>
      <c r="Q64" s="104">
        <v>0</v>
      </c>
      <c r="R64" s="34"/>
      <c r="S64" s="72"/>
      <c r="T64" s="104">
        <v>0</v>
      </c>
      <c r="U64" s="34"/>
      <c r="V64" s="72"/>
      <c r="W64" s="104">
        <v>0</v>
      </c>
      <c r="X64" s="34"/>
      <c r="Y64" s="72"/>
      <c r="Z64" s="104">
        <v>0</v>
      </c>
      <c r="AA64" s="34"/>
      <c r="AB64" s="72"/>
      <c r="AC64" s="104">
        <f>+[1]VOLKS!$L$61</f>
        <v>131.91</v>
      </c>
      <c r="AD64" s="34"/>
      <c r="AE64" s="72"/>
      <c r="AF64" s="104">
        <v>97.257333333333349</v>
      </c>
      <c r="AG64" s="34"/>
      <c r="AH64" s="72"/>
      <c r="AI64" s="104">
        <v>97.257333333333349</v>
      </c>
      <c r="AJ64" s="34"/>
      <c r="AK64" s="72"/>
      <c r="AL64" s="105">
        <v>97.257333333333349</v>
      </c>
      <c r="AM64" s="34"/>
      <c r="AN64" s="72"/>
      <c r="AO64" s="105">
        <v>97.257333333333349</v>
      </c>
      <c r="AQ64" s="53"/>
      <c r="AR64" s="74"/>
      <c r="AS64" s="108">
        <f t="shared" si="156"/>
        <v>438.29999999999995</v>
      </c>
      <c r="AU64" s="53"/>
      <c r="AV64" s="74"/>
      <c r="AW64" s="108">
        <f t="shared" si="157"/>
        <v>389.0293333333334</v>
      </c>
      <c r="AY64" s="53"/>
      <c r="AZ64" s="74"/>
      <c r="BA64" s="108">
        <f>+[2]VOLKS!$L$61</f>
        <v>438.3</v>
      </c>
      <c r="BC64" s="53"/>
      <c r="BD64" s="74"/>
      <c r="BE64" s="109">
        <f t="shared" si="158"/>
        <v>0</v>
      </c>
    </row>
    <row r="65" spans="1:57" s="15" customFormat="1" ht="20.25">
      <c r="A65" s="15" t="s">
        <v>79</v>
      </c>
      <c r="B65" s="34" t="s">
        <v>84</v>
      </c>
      <c r="C65" s="34"/>
      <c r="D65" s="72"/>
      <c r="E65" s="104">
        <f t="shared" si="155"/>
        <v>736.33333333333348</v>
      </c>
      <c r="F65" s="34"/>
      <c r="G65" s="72"/>
      <c r="H65" s="104">
        <v>623</v>
      </c>
      <c r="I65" s="34"/>
      <c r="J65" s="72"/>
      <c r="K65" s="104">
        <v>0</v>
      </c>
      <c r="L65" s="34"/>
      <c r="M65" s="72"/>
      <c r="N65" s="104">
        <v>0</v>
      </c>
      <c r="O65" s="34"/>
      <c r="P65" s="72"/>
      <c r="Q65" s="104">
        <v>0</v>
      </c>
      <c r="R65" s="34"/>
      <c r="S65" s="72"/>
      <c r="T65" s="104">
        <v>0</v>
      </c>
      <c r="U65" s="34"/>
      <c r="V65" s="72"/>
      <c r="W65" s="104">
        <v>0</v>
      </c>
      <c r="X65" s="34"/>
      <c r="Y65" s="72"/>
      <c r="Z65" s="104">
        <v>0</v>
      </c>
      <c r="AA65" s="34"/>
      <c r="AB65" s="72"/>
      <c r="AC65" s="104">
        <f>+[1]VOLKS!$L$62</f>
        <v>0</v>
      </c>
      <c r="AD65" s="34"/>
      <c r="AE65" s="72"/>
      <c r="AF65" s="104">
        <v>28.333333333333332</v>
      </c>
      <c r="AG65" s="34"/>
      <c r="AH65" s="72"/>
      <c r="AI65" s="104">
        <v>28.333333333333332</v>
      </c>
      <c r="AJ65" s="34"/>
      <c r="AK65" s="72"/>
      <c r="AL65" s="105">
        <v>28.333333333333332</v>
      </c>
      <c r="AM65" s="34"/>
      <c r="AN65" s="72"/>
      <c r="AO65" s="105">
        <v>28.333333333333332</v>
      </c>
      <c r="AQ65" s="53"/>
      <c r="AR65" s="74"/>
      <c r="AS65" s="108">
        <f t="shared" si="156"/>
        <v>623</v>
      </c>
      <c r="AU65" s="53"/>
      <c r="AV65" s="74"/>
      <c r="AW65" s="108">
        <f t="shared" si="157"/>
        <v>113.33333333333333</v>
      </c>
      <c r="AY65" s="53"/>
      <c r="AZ65" s="74"/>
      <c r="BA65" s="108">
        <f>+[2]VOLKS!$L$62</f>
        <v>623</v>
      </c>
      <c r="BC65" s="53"/>
      <c r="BD65" s="74"/>
      <c r="BE65" s="109">
        <f t="shared" si="158"/>
        <v>0</v>
      </c>
    </row>
    <row r="66" spans="1:57" s="15" customFormat="1" ht="20.25">
      <c r="A66" s="15" t="s">
        <v>79</v>
      </c>
      <c r="B66" s="34" t="s">
        <v>85</v>
      </c>
      <c r="C66" s="34"/>
      <c r="D66" s="72"/>
      <c r="E66" s="104">
        <f t="shared" si="155"/>
        <v>7266.1035786764796</v>
      </c>
      <c r="F66" s="34"/>
      <c r="G66" s="72"/>
      <c r="H66" s="104">
        <v>161.72999999999999</v>
      </c>
      <c r="I66" s="34"/>
      <c r="J66" s="72"/>
      <c r="K66" s="104">
        <v>1041.95</v>
      </c>
      <c r="L66" s="34"/>
      <c r="M66" s="72"/>
      <c r="N66" s="104">
        <v>543.03</v>
      </c>
      <c r="O66" s="34"/>
      <c r="P66" s="72"/>
      <c r="Q66" s="104">
        <v>58.13</v>
      </c>
      <c r="R66" s="34"/>
      <c r="S66" s="72"/>
      <c r="T66" s="104">
        <v>1047.3499999999999</v>
      </c>
      <c r="U66" s="34"/>
      <c r="V66" s="72"/>
      <c r="W66" s="104">
        <v>408.53</v>
      </c>
      <c r="X66" s="34"/>
      <c r="Y66" s="72"/>
      <c r="Z66" s="104">
        <v>218.53</v>
      </c>
      <c r="AA66" s="34"/>
      <c r="AB66" s="72"/>
      <c r="AC66" s="104">
        <f>+[1]VOLKS!$L$63</f>
        <v>821.13</v>
      </c>
      <c r="AD66" s="34"/>
      <c r="AE66" s="72"/>
      <c r="AF66" s="104">
        <v>741.43089466911999</v>
      </c>
      <c r="AG66" s="34"/>
      <c r="AH66" s="72"/>
      <c r="AI66" s="104">
        <v>741.43089466911999</v>
      </c>
      <c r="AJ66" s="34"/>
      <c r="AK66" s="72"/>
      <c r="AL66" s="105">
        <v>741.43089466911999</v>
      </c>
      <c r="AM66" s="34"/>
      <c r="AN66" s="72"/>
      <c r="AO66" s="105">
        <v>741.43089466911999</v>
      </c>
      <c r="AQ66" s="53"/>
      <c r="AR66" s="74"/>
      <c r="AS66" s="108">
        <f t="shared" si="156"/>
        <v>4300.38</v>
      </c>
      <c r="AU66" s="53"/>
      <c r="AV66" s="74"/>
      <c r="AW66" s="108">
        <f t="shared" si="157"/>
        <v>2965.72357867648</v>
      </c>
      <c r="AY66" s="53"/>
      <c r="AZ66" s="74"/>
      <c r="BA66" s="108">
        <f>+[2]VOLKS!$L$63</f>
        <v>4300.38</v>
      </c>
      <c r="BC66" s="53"/>
      <c r="BD66" s="74"/>
      <c r="BE66" s="109">
        <f t="shared" si="158"/>
        <v>0</v>
      </c>
    </row>
    <row r="67" spans="1:57" s="15" customFormat="1" ht="20.25">
      <c r="A67" s="15" t="s">
        <v>79</v>
      </c>
      <c r="B67" s="34" t="s">
        <v>86</v>
      </c>
      <c r="C67" s="34"/>
      <c r="D67" s="72"/>
      <c r="E67" s="104">
        <f t="shared" si="155"/>
        <v>4756.3079396719286</v>
      </c>
      <c r="F67" s="34"/>
      <c r="G67" s="72"/>
      <c r="H67" s="104">
        <v>469.87</v>
      </c>
      <c r="I67" s="34"/>
      <c r="J67" s="72"/>
      <c r="K67" s="104">
        <v>439.54</v>
      </c>
      <c r="L67" s="34"/>
      <c r="M67" s="72"/>
      <c r="N67" s="104">
        <v>387.42</v>
      </c>
      <c r="O67" s="34"/>
      <c r="P67" s="72"/>
      <c r="Q67" s="104">
        <v>396.63</v>
      </c>
      <c r="R67" s="34"/>
      <c r="S67" s="72"/>
      <c r="T67" s="104">
        <v>471.73</v>
      </c>
      <c r="U67" s="34"/>
      <c r="V67" s="72"/>
      <c r="W67" s="104">
        <v>389.49</v>
      </c>
      <c r="X67" s="34"/>
      <c r="Y67" s="72"/>
      <c r="Z67" s="104">
        <v>355.13</v>
      </c>
      <c r="AA67" s="34"/>
      <c r="AB67" s="72"/>
      <c r="AC67" s="104">
        <f>+[1]VOLKS!$L$64</f>
        <v>467.29</v>
      </c>
      <c r="AD67" s="34"/>
      <c r="AE67" s="72"/>
      <c r="AF67" s="104">
        <v>344.80198491798222</v>
      </c>
      <c r="AG67" s="34"/>
      <c r="AH67" s="72"/>
      <c r="AI67" s="104">
        <v>344.80198491798222</v>
      </c>
      <c r="AJ67" s="34"/>
      <c r="AK67" s="72"/>
      <c r="AL67" s="105">
        <v>344.80198491798222</v>
      </c>
      <c r="AM67" s="34"/>
      <c r="AN67" s="72"/>
      <c r="AO67" s="105">
        <v>344.80198491798222</v>
      </c>
      <c r="AQ67" s="53"/>
      <c r="AR67" s="74"/>
      <c r="AS67" s="108">
        <f t="shared" si="156"/>
        <v>3377.1000000000004</v>
      </c>
      <c r="AU67" s="53"/>
      <c r="AV67" s="74"/>
      <c r="AW67" s="108">
        <f t="shared" si="157"/>
        <v>1379.2079396719289</v>
      </c>
      <c r="AY67" s="53"/>
      <c r="AZ67" s="74"/>
      <c r="BA67" s="108">
        <f>+[2]VOLKS!$L$64</f>
        <v>3377.1</v>
      </c>
      <c r="BC67" s="53"/>
      <c r="BD67" s="74"/>
      <c r="BE67" s="109">
        <f t="shared" si="158"/>
        <v>0</v>
      </c>
    </row>
    <row r="68" spans="1:57" s="15" customFormat="1" ht="20.25">
      <c r="A68" s="15" t="s">
        <v>79</v>
      </c>
      <c r="B68" s="34" t="s">
        <v>87</v>
      </c>
      <c r="C68" s="34"/>
      <c r="D68" s="72"/>
      <c r="E68" s="104">
        <f t="shared" si="155"/>
        <v>2680.3395814736709</v>
      </c>
      <c r="F68" s="34"/>
      <c r="G68" s="72"/>
      <c r="H68" s="104">
        <v>725.8</v>
      </c>
      <c r="I68" s="34"/>
      <c r="J68" s="72"/>
      <c r="K68" s="104">
        <v>447.9</v>
      </c>
      <c r="L68" s="34"/>
      <c r="M68" s="72"/>
      <c r="N68" s="104">
        <v>405.83</v>
      </c>
      <c r="O68" s="34"/>
      <c r="P68" s="72"/>
      <c r="Q68" s="104">
        <v>131.27000000000001</v>
      </c>
      <c r="R68" s="34"/>
      <c r="S68" s="72"/>
      <c r="T68" s="104">
        <v>211.16</v>
      </c>
      <c r="U68" s="34"/>
      <c r="V68" s="72"/>
      <c r="W68" s="104">
        <v>88.36</v>
      </c>
      <c r="X68" s="34"/>
      <c r="Y68" s="72"/>
      <c r="Z68" s="104">
        <v>54.6</v>
      </c>
      <c r="AA68" s="34"/>
      <c r="AB68" s="72"/>
      <c r="AC68" s="104">
        <f>+[1]VOLKS!$L$65</f>
        <v>204.13</v>
      </c>
      <c r="AD68" s="34"/>
      <c r="AE68" s="72"/>
      <c r="AF68" s="104">
        <v>102.82239536841776</v>
      </c>
      <c r="AG68" s="34"/>
      <c r="AH68" s="72"/>
      <c r="AI68" s="104">
        <v>102.82239536841776</v>
      </c>
      <c r="AJ68" s="34"/>
      <c r="AK68" s="72"/>
      <c r="AL68" s="105">
        <v>102.82239536841776</v>
      </c>
      <c r="AM68" s="34"/>
      <c r="AN68" s="72"/>
      <c r="AO68" s="105">
        <v>102.82239536841776</v>
      </c>
      <c r="AQ68" s="53"/>
      <c r="AR68" s="74"/>
      <c r="AS68" s="108">
        <f t="shared" si="156"/>
        <v>2269.0499999999997</v>
      </c>
      <c r="AU68" s="53"/>
      <c r="AV68" s="74"/>
      <c r="AW68" s="108">
        <f t="shared" si="157"/>
        <v>411.28958147367103</v>
      </c>
      <c r="AY68" s="53"/>
      <c r="AZ68" s="74"/>
      <c r="BA68" s="108">
        <f>+[2]VOLKS!$L$65</f>
        <v>2269.0500000000002</v>
      </c>
      <c r="BC68" s="53"/>
      <c r="BD68" s="74"/>
      <c r="BE68" s="109">
        <f t="shared" si="158"/>
        <v>0</v>
      </c>
    </row>
    <row r="69" spans="1:57" s="15" customFormat="1" ht="20.25">
      <c r="A69" s="15" t="s">
        <v>79</v>
      </c>
      <c r="B69" s="34" t="s">
        <v>88</v>
      </c>
      <c r="C69" s="34"/>
      <c r="D69" s="72"/>
      <c r="E69" s="104">
        <f t="shared" si="155"/>
        <v>1457.4415406717512</v>
      </c>
      <c r="F69" s="34"/>
      <c r="G69" s="72"/>
      <c r="H69" s="104">
        <v>89.42</v>
      </c>
      <c r="I69" s="34"/>
      <c r="J69" s="72"/>
      <c r="K69" s="104">
        <v>71.209999999999994</v>
      </c>
      <c r="L69" s="34"/>
      <c r="M69" s="72"/>
      <c r="N69" s="104">
        <v>71.209999999999994</v>
      </c>
      <c r="O69" s="34"/>
      <c r="P69" s="72"/>
      <c r="Q69" s="104">
        <v>121.08</v>
      </c>
      <c r="R69" s="34"/>
      <c r="S69" s="72"/>
      <c r="T69" s="104">
        <v>111.68</v>
      </c>
      <c r="U69" s="34"/>
      <c r="V69" s="72"/>
      <c r="W69" s="104">
        <v>62.72</v>
      </c>
      <c r="X69" s="34"/>
      <c r="Y69" s="72"/>
      <c r="Z69" s="104">
        <v>62.72</v>
      </c>
      <c r="AA69" s="34"/>
      <c r="AB69" s="72"/>
      <c r="AC69" s="104">
        <f>+[1]VOLKS!$L$66</f>
        <v>62.72</v>
      </c>
      <c r="AD69" s="34"/>
      <c r="AE69" s="72"/>
      <c r="AF69" s="104">
        <v>201.17038516793778</v>
      </c>
      <c r="AG69" s="34"/>
      <c r="AH69" s="72"/>
      <c r="AI69" s="104">
        <v>201.17038516793778</v>
      </c>
      <c r="AJ69" s="34"/>
      <c r="AK69" s="72"/>
      <c r="AL69" s="105">
        <v>201.17038516793778</v>
      </c>
      <c r="AM69" s="34"/>
      <c r="AN69" s="72"/>
      <c r="AO69" s="105">
        <v>201.17038516793778</v>
      </c>
      <c r="AQ69" s="53"/>
      <c r="AR69" s="74"/>
      <c r="AS69" s="108">
        <f t="shared" si="156"/>
        <v>652.76</v>
      </c>
      <c r="AU69" s="53"/>
      <c r="AV69" s="74"/>
      <c r="AW69" s="108">
        <f t="shared" si="157"/>
        <v>804.68154067175112</v>
      </c>
      <c r="AY69" s="53"/>
      <c r="AZ69" s="74"/>
      <c r="BA69" s="108">
        <f>+[2]VOLKS!$L$66</f>
        <v>652.76</v>
      </c>
      <c r="BC69" s="53"/>
      <c r="BD69" s="74"/>
      <c r="BE69" s="109">
        <f t="shared" si="158"/>
        <v>0</v>
      </c>
    </row>
    <row r="70" spans="1:57" s="15" customFormat="1" ht="20.25">
      <c r="A70" s="15" t="s">
        <v>79</v>
      </c>
      <c r="B70" s="34" t="s">
        <v>89</v>
      </c>
      <c r="C70" s="34"/>
      <c r="D70" s="72"/>
      <c r="E70" s="104">
        <f t="shared" si="155"/>
        <v>23864.394999999997</v>
      </c>
      <c r="F70" s="34"/>
      <c r="G70" s="72"/>
      <c r="H70" s="104">
        <v>2282.7199999999998</v>
      </c>
      <c r="I70" s="34"/>
      <c r="J70" s="72"/>
      <c r="K70" s="104">
        <v>683.97</v>
      </c>
      <c r="L70" s="34"/>
      <c r="M70" s="72"/>
      <c r="N70" s="104">
        <v>3869.98</v>
      </c>
      <c r="O70" s="34"/>
      <c r="P70" s="72"/>
      <c r="Q70" s="104">
        <v>3882.08</v>
      </c>
      <c r="R70" s="34"/>
      <c r="S70" s="72"/>
      <c r="T70" s="104">
        <v>-43.66</v>
      </c>
      <c r="U70" s="34"/>
      <c r="V70" s="72"/>
      <c r="W70" s="104">
        <v>2302.08</v>
      </c>
      <c r="X70" s="34"/>
      <c r="Y70" s="72"/>
      <c r="Z70" s="104">
        <v>2528.0700000000002</v>
      </c>
      <c r="AA70" s="34"/>
      <c r="AB70" s="72"/>
      <c r="AC70" s="104">
        <f>+[1]VOLKS!$L$67</f>
        <v>620.33000000000004</v>
      </c>
      <c r="AD70" s="34"/>
      <c r="AE70" s="72"/>
      <c r="AF70" s="104">
        <v>1934.7062499999995</v>
      </c>
      <c r="AG70" s="34"/>
      <c r="AH70" s="72"/>
      <c r="AI70" s="104">
        <v>1934.7062499999995</v>
      </c>
      <c r="AJ70" s="34"/>
      <c r="AK70" s="72"/>
      <c r="AL70" s="105">
        <v>1934.7062499999995</v>
      </c>
      <c r="AM70" s="34"/>
      <c r="AN70" s="72"/>
      <c r="AO70" s="105">
        <v>1934.7062499999995</v>
      </c>
      <c r="AQ70" s="53"/>
      <c r="AR70" s="74"/>
      <c r="AS70" s="108">
        <f t="shared" si="156"/>
        <v>16125.57</v>
      </c>
      <c r="AU70" s="53"/>
      <c r="AV70" s="74"/>
      <c r="AW70" s="108">
        <f t="shared" si="157"/>
        <v>7738.824999999998</v>
      </c>
      <c r="AY70" s="53"/>
      <c r="AZ70" s="74"/>
      <c r="BA70" s="108">
        <f>+[2]VOLKS!$L$67</f>
        <v>16125.57</v>
      </c>
      <c r="BC70" s="53"/>
      <c r="BD70" s="74"/>
      <c r="BE70" s="109">
        <f t="shared" si="158"/>
        <v>0</v>
      </c>
    </row>
    <row r="71" spans="1:57" s="15" customFormat="1" ht="20.25">
      <c r="A71" s="15" t="s">
        <v>79</v>
      </c>
      <c r="B71" s="34" t="s">
        <v>90</v>
      </c>
      <c r="C71" s="34"/>
      <c r="D71" s="72"/>
      <c r="E71" s="104">
        <f t="shared" si="155"/>
        <v>44591.836757898185</v>
      </c>
      <c r="F71" s="34"/>
      <c r="G71" s="72"/>
      <c r="H71" s="104">
        <v>2802.79</v>
      </c>
      <c r="I71" s="34"/>
      <c r="J71" s="72"/>
      <c r="K71" s="104">
        <v>2165.37</v>
      </c>
      <c r="L71" s="34"/>
      <c r="M71" s="72"/>
      <c r="N71" s="104">
        <v>3719.82</v>
      </c>
      <c r="O71" s="34"/>
      <c r="P71" s="72"/>
      <c r="Q71" s="104">
        <v>4608.58</v>
      </c>
      <c r="R71" s="34"/>
      <c r="S71" s="72"/>
      <c r="T71" s="104">
        <v>4559.6400000000003</v>
      </c>
      <c r="U71" s="34"/>
      <c r="V71" s="72"/>
      <c r="W71" s="104">
        <v>3513.7</v>
      </c>
      <c r="X71" s="34"/>
      <c r="Y71" s="72"/>
      <c r="Z71" s="104">
        <v>3902.37</v>
      </c>
      <c r="AA71" s="34"/>
      <c r="AB71" s="72"/>
      <c r="AC71" s="104">
        <f>+[1]VOLKS!$L$68</f>
        <v>3804.86</v>
      </c>
      <c r="AD71" s="34"/>
      <c r="AE71" s="72"/>
      <c r="AF71" s="104">
        <v>3172.2328259854512</v>
      </c>
      <c r="AG71" s="34"/>
      <c r="AH71" s="72"/>
      <c r="AI71" s="104">
        <v>4283.1051167853166</v>
      </c>
      <c r="AJ71" s="34"/>
      <c r="AK71" s="72"/>
      <c r="AL71" s="105">
        <v>5035.3183170192588</v>
      </c>
      <c r="AM71" s="34"/>
      <c r="AN71" s="72"/>
      <c r="AO71" s="105">
        <v>3024.0504981081649</v>
      </c>
      <c r="AQ71" s="53"/>
      <c r="AR71" s="74"/>
      <c r="AS71" s="108">
        <f t="shared" si="156"/>
        <v>29077.13</v>
      </c>
      <c r="AU71" s="53"/>
      <c r="AV71" s="74"/>
      <c r="AW71" s="108">
        <f t="shared" si="157"/>
        <v>15514.706757898191</v>
      </c>
      <c r="AY71" s="53"/>
      <c r="AZ71" s="74"/>
      <c r="BA71" s="108">
        <f>+[2]VOLKS!$L$68</f>
        <v>29077.13</v>
      </c>
      <c r="BC71" s="53"/>
      <c r="BD71" s="74"/>
      <c r="BE71" s="109">
        <f t="shared" si="158"/>
        <v>0</v>
      </c>
    </row>
    <row r="72" spans="1:57" s="15" customFormat="1" ht="20.25" hidden="1" customHeight="1">
      <c r="B72" s="34"/>
      <c r="C72" s="34"/>
      <c r="D72" s="72"/>
      <c r="E72" s="73"/>
      <c r="F72" s="34"/>
      <c r="G72" s="72"/>
      <c r="H72" s="73"/>
      <c r="I72" s="34"/>
      <c r="J72" s="72"/>
      <c r="K72" s="73"/>
      <c r="L72" s="34"/>
      <c r="M72" s="72"/>
      <c r="N72" s="73"/>
      <c r="O72" s="34"/>
      <c r="P72" s="72"/>
      <c r="Q72" s="73"/>
      <c r="R72" s="34"/>
      <c r="S72" s="72"/>
      <c r="T72" s="73"/>
      <c r="U72" s="34"/>
      <c r="V72" s="72"/>
      <c r="W72" s="73"/>
      <c r="X72" s="34"/>
      <c r="Y72" s="72"/>
      <c r="Z72" s="73"/>
      <c r="AA72" s="34"/>
      <c r="AB72" s="72"/>
      <c r="AC72" s="73"/>
      <c r="AD72" s="34"/>
      <c r="AE72" s="72"/>
      <c r="AF72" s="73"/>
      <c r="AG72" s="34"/>
      <c r="AH72" s="72"/>
      <c r="AI72" s="73"/>
      <c r="AJ72" s="34"/>
      <c r="AK72" s="72"/>
      <c r="AL72" s="73"/>
      <c r="AM72" s="34"/>
      <c r="AN72" s="72"/>
      <c r="AO72" s="73"/>
      <c r="AQ72" s="53"/>
      <c r="AR72" s="74"/>
      <c r="AS72" s="75"/>
      <c r="AU72" s="53"/>
      <c r="AV72" s="74"/>
      <c r="AW72" s="75"/>
      <c r="AY72" s="53"/>
      <c r="AZ72" s="74"/>
      <c r="BA72" s="75"/>
      <c r="BC72" s="53"/>
      <c r="BD72" s="74"/>
      <c r="BE72" s="27"/>
    </row>
    <row r="73" spans="1:57" s="15" customFormat="1" ht="20.25" hidden="1" customHeight="1">
      <c r="B73" s="34"/>
      <c r="C73" s="34"/>
      <c r="D73" s="72"/>
      <c r="E73" s="73"/>
      <c r="F73" s="34"/>
      <c r="G73" s="72"/>
      <c r="H73" s="73"/>
      <c r="I73" s="34"/>
      <c r="J73" s="72"/>
      <c r="K73" s="73"/>
      <c r="L73" s="34"/>
      <c r="M73" s="72"/>
      <c r="N73" s="73"/>
      <c r="O73" s="34"/>
      <c r="P73" s="72"/>
      <c r="Q73" s="73"/>
      <c r="R73" s="34"/>
      <c r="S73" s="72"/>
      <c r="T73" s="73"/>
      <c r="U73" s="34"/>
      <c r="V73" s="72"/>
      <c r="W73" s="73"/>
      <c r="X73" s="34"/>
      <c r="Y73" s="72"/>
      <c r="Z73" s="73"/>
      <c r="AA73" s="34"/>
      <c r="AB73" s="72"/>
      <c r="AC73" s="73"/>
      <c r="AD73" s="34"/>
      <c r="AE73" s="72"/>
      <c r="AF73" s="73"/>
      <c r="AG73" s="34"/>
      <c r="AH73" s="72"/>
      <c r="AI73" s="73"/>
      <c r="AJ73" s="34"/>
      <c r="AK73" s="72"/>
      <c r="AL73" s="73"/>
      <c r="AM73" s="34"/>
      <c r="AN73" s="72"/>
      <c r="AO73" s="73"/>
      <c r="AQ73" s="53"/>
      <c r="AR73" s="74"/>
      <c r="AS73" s="75"/>
      <c r="AU73" s="53"/>
      <c r="AV73" s="74"/>
      <c r="AW73" s="75"/>
      <c r="AY73" s="53"/>
      <c r="AZ73" s="74"/>
      <c r="BA73" s="75"/>
      <c r="BC73" s="53"/>
      <c r="BD73" s="74"/>
      <c r="BE73" s="27"/>
    </row>
    <row r="74" spans="1:57" s="15" customFormat="1" ht="20.25" hidden="1" customHeight="1">
      <c r="B74" s="34"/>
      <c r="C74" s="28"/>
      <c r="D74" s="138"/>
      <c r="E74" s="73"/>
      <c r="F74" s="28"/>
      <c r="G74" s="138"/>
      <c r="H74" s="73"/>
      <c r="I74" s="28"/>
      <c r="J74" s="138"/>
      <c r="K74" s="73"/>
      <c r="L74" s="28"/>
      <c r="M74" s="138"/>
      <c r="N74" s="73"/>
      <c r="O74" s="28"/>
      <c r="P74" s="138"/>
      <c r="Q74" s="73"/>
      <c r="R74" s="28"/>
      <c r="S74" s="138"/>
      <c r="T74" s="73"/>
      <c r="U74" s="28"/>
      <c r="V74" s="138"/>
      <c r="W74" s="73"/>
      <c r="X74" s="28"/>
      <c r="Y74" s="138"/>
      <c r="Z74" s="73"/>
      <c r="AA74" s="28"/>
      <c r="AB74" s="138"/>
      <c r="AC74" s="73"/>
      <c r="AD74" s="28"/>
      <c r="AE74" s="138"/>
      <c r="AF74" s="73"/>
      <c r="AG74" s="28"/>
      <c r="AH74" s="138"/>
      <c r="AI74" s="73"/>
      <c r="AJ74" s="28"/>
      <c r="AK74" s="138"/>
      <c r="AL74" s="73"/>
      <c r="AM74" s="28"/>
      <c r="AN74" s="138"/>
      <c r="AO74" s="73"/>
      <c r="AQ74" s="119"/>
      <c r="AR74" s="140"/>
      <c r="AS74" s="75"/>
      <c r="AU74" s="119"/>
      <c r="AV74" s="140"/>
      <c r="AW74" s="75"/>
      <c r="AY74" s="119"/>
      <c r="AZ74" s="140"/>
      <c r="BA74" s="75"/>
      <c r="BC74" s="119"/>
      <c r="BD74" s="140"/>
      <c r="BE74" s="27"/>
    </row>
    <row r="75" spans="1:57" s="15" customFormat="1" ht="20.25">
      <c r="A75" s="15" t="s">
        <v>27</v>
      </c>
      <c r="B75" s="120" t="s">
        <v>91</v>
      </c>
      <c r="C75" s="121" t="s">
        <v>57</v>
      </c>
      <c r="D75" s="122">
        <f>IFERROR(E75/E$30,0)</f>
        <v>0.15958283437192852</v>
      </c>
      <c r="E75" s="123">
        <f>+SUM(E58:E74)</f>
        <v>394863.63073025621</v>
      </c>
      <c r="F75" s="121" t="s">
        <v>57</v>
      </c>
      <c r="G75" s="122">
        <f t="shared" ref="G75" si="159">IFERROR(H75/H$30,0)</f>
        <v>0.17775480927066395</v>
      </c>
      <c r="H75" s="123">
        <f>+SUM(H58:H74)</f>
        <v>33916.03</v>
      </c>
      <c r="I75" s="121" t="s">
        <v>57</v>
      </c>
      <c r="J75" s="122">
        <f t="shared" ref="J75" si="160">IFERROR(K75/K$30,0)</f>
        <v>0.22450388542331767</v>
      </c>
      <c r="K75" s="123">
        <f>+SUM(K58:K74)</f>
        <v>30534.980000000003</v>
      </c>
      <c r="L75" s="121" t="s">
        <v>57</v>
      </c>
      <c r="M75" s="122">
        <f t="shared" ref="M75" si="161">IFERROR(N75/N$30,0)</f>
        <v>0.23457150310815983</v>
      </c>
      <c r="N75" s="123">
        <f>+SUM(N58:N74)</f>
        <v>36469.919999999998</v>
      </c>
      <c r="O75" s="121" t="s">
        <v>57</v>
      </c>
      <c r="P75" s="122">
        <f t="shared" ref="P75" si="162">IFERROR(Q75/Q$30,0)</f>
        <v>0.16496079394817884</v>
      </c>
      <c r="Q75" s="123">
        <f>+SUM(Q58:Q74)</f>
        <v>31699.140000000007</v>
      </c>
      <c r="R75" s="121" t="s">
        <v>57</v>
      </c>
      <c r="S75" s="122">
        <f t="shared" ref="S75" si="163">IFERROR(T75/T$30,0)</f>
        <v>0.18669008492729969</v>
      </c>
      <c r="T75" s="123">
        <f>+SUM(T58:T74)</f>
        <v>38091.22</v>
      </c>
      <c r="U75" s="121" t="s">
        <v>57</v>
      </c>
      <c r="V75" s="122">
        <f t="shared" ref="V75" si="164">IFERROR(W75/W$30,0)</f>
        <v>0.21780215540410455</v>
      </c>
      <c r="W75" s="124">
        <f>+SUM(W58:W74)</f>
        <v>31815.99</v>
      </c>
      <c r="X75" s="121" t="s">
        <v>57</v>
      </c>
      <c r="Y75" s="122">
        <f t="shared" ref="Y75" si="165">IFERROR(Z75/Z$30,0)</f>
        <v>0.11927341148653696</v>
      </c>
      <c r="Z75" s="124">
        <f>+SUM(Z58:Z74)</f>
        <v>31994.079999999998</v>
      </c>
      <c r="AA75" s="121" t="s">
        <v>57</v>
      </c>
      <c r="AB75" s="122">
        <f t="shared" ref="AB75" si="166">IFERROR(AC75/AC$30,0)</f>
        <v>0.13010257853800511</v>
      </c>
      <c r="AC75" s="124">
        <f>+SUM(AC58:AC74)</f>
        <v>29441.550000000007</v>
      </c>
      <c r="AD75" s="121" t="s">
        <v>57</v>
      </c>
      <c r="AE75" s="122">
        <v>0.14712454065621342</v>
      </c>
      <c r="AF75" s="123">
        <v>32018.736319074975</v>
      </c>
      <c r="AG75" s="121" t="s">
        <v>57</v>
      </c>
      <c r="AH75" s="122">
        <v>0.13361055172542671</v>
      </c>
      <c r="AI75" s="123">
        <v>33129.608609874842</v>
      </c>
      <c r="AJ75" s="121" t="s">
        <v>57</v>
      </c>
      <c r="AK75" s="122">
        <v>0.11355832755817541</v>
      </c>
      <c r="AL75" s="123">
        <v>33881.821810108784</v>
      </c>
      <c r="AM75" s="121" t="s">
        <v>57</v>
      </c>
      <c r="AN75" s="122">
        <v>0.16660031748308876</v>
      </c>
      <c r="AO75" s="123">
        <v>31870.553991197688</v>
      </c>
      <c r="AQ75" s="121" t="s">
        <v>57</v>
      </c>
      <c r="AR75" s="125">
        <f t="shared" ref="AR75" si="167">IFERROR(AS75/AS$30,0)</f>
        <v>0.17376293065080464</v>
      </c>
      <c r="AS75" s="126">
        <f t="shared" ref="AS75" si="168">+SUM(AS58:AS74)</f>
        <v>263962.90999999997</v>
      </c>
      <c r="AU75" s="121" t="s">
        <v>57</v>
      </c>
      <c r="AV75" s="125">
        <f t="shared" ref="AV75" si="169">IFERROR(AW75/AW$30,0)</f>
        <v>0.13703278928847248</v>
      </c>
      <c r="AW75" s="126">
        <f t="shared" ref="AW75" si="170">+SUM(AW58:AW74)</f>
        <v>130900.72073025629</v>
      </c>
      <c r="AY75" s="121" t="s">
        <v>57</v>
      </c>
      <c r="AZ75" s="125">
        <f>IFERROR(BA75/BA$30,0)</f>
        <v>0.17376293065080475</v>
      </c>
      <c r="BA75" s="126">
        <f>+SUM(BA58:BA74)</f>
        <v>263962.90999999997</v>
      </c>
      <c r="BC75" s="121" t="s">
        <v>57</v>
      </c>
      <c r="BD75" s="125"/>
      <c r="BE75" s="127">
        <f t="shared" ref="BE75" si="171">+SUM(BE58:BE74)</f>
        <v>0</v>
      </c>
    </row>
    <row r="76" spans="1:57" s="15" customFormat="1" ht="20.25">
      <c r="A76" s="15" t="s">
        <v>27</v>
      </c>
      <c r="B76" s="28"/>
      <c r="C76" s="28"/>
      <c r="D76" s="138"/>
      <c r="E76" s="139"/>
      <c r="F76" s="28"/>
      <c r="G76" s="138"/>
      <c r="H76" s="139"/>
      <c r="I76" s="28"/>
      <c r="J76" s="138"/>
      <c r="K76" s="139"/>
      <c r="L76" s="28"/>
      <c r="M76" s="138"/>
      <c r="N76" s="139"/>
      <c r="O76" s="28"/>
      <c r="P76" s="138"/>
      <c r="Q76" s="139"/>
      <c r="R76" s="28"/>
      <c r="S76" s="138"/>
      <c r="T76" s="139"/>
      <c r="U76" s="28"/>
      <c r="V76" s="138"/>
      <c r="W76" s="139"/>
      <c r="X76" s="28"/>
      <c r="Y76" s="138"/>
      <c r="Z76" s="139"/>
      <c r="AA76" s="28"/>
      <c r="AB76" s="138"/>
      <c r="AC76" s="139"/>
      <c r="AD76" s="28"/>
      <c r="AE76" s="138"/>
      <c r="AF76" s="139"/>
      <c r="AG76" s="28"/>
      <c r="AH76" s="138"/>
      <c r="AI76" s="139"/>
      <c r="AJ76" s="28"/>
      <c r="AK76" s="138"/>
      <c r="AL76" s="139"/>
      <c r="AM76" s="28"/>
      <c r="AN76" s="138"/>
      <c r="AO76" s="139"/>
      <c r="AQ76" s="119"/>
      <c r="AR76" s="140"/>
      <c r="AS76" s="141"/>
      <c r="AU76" s="119"/>
      <c r="AV76" s="140"/>
      <c r="AW76" s="141"/>
      <c r="AY76" s="119"/>
      <c r="AZ76" s="140"/>
      <c r="BA76" s="141"/>
      <c r="BC76" s="119"/>
      <c r="BD76" s="140"/>
      <c r="BE76" s="142"/>
    </row>
    <row r="77" spans="1:57" s="15" customFormat="1" ht="20.25" customHeight="1" outlineLevel="1">
      <c r="A77" s="15" t="s">
        <v>27</v>
      </c>
      <c r="B77" s="150" t="s">
        <v>92</v>
      </c>
      <c r="C77" s="121" t="s">
        <v>57</v>
      </c>
      <c r="D77" s="122">
        <f>IFERROR(E77/E$30,0)</f>
        <v>1.0124087316982489</v>
      </c>
      <c r="E77" s="151">
        <f>E44+E57+E75</f>
        <v>2505052.5587838842</v>
      </c>
      <c r="F77" s="121" t="s">
        <v>57</v>
      </c>
      <c r="G77" s="122">
        <f t="shared" ref="G77" si="172">IFERROR(H77/H$30,0)</f>
        <v>1.1062961393760893</v>
      </c>
      <c r="H77" s="151">
        <f>H44+H57+H75</f>
        <v>211083.87</v>
      </c>
      <c r="I77" s="121" t="s">
        <v>57</v>
      </c>
      <c r="J77" s="122">
        <f t="shared" ref="J77" si="173">IFERROR(K77/K$30,0)</f>
        <v>0.99959010644145418</v>
      </c>
      <c r="K77" s="151">
        <f>K44+K57+K75</f>
        <v>135955.17000000001</v>
      </c>
      <c r="L77" s="121" t="s">
        <v>57</v>
      </c>
      <c r="M77" s="122">
        <f t="shared" ref="M77" si="174">IFERROR(N77/N$30,0)</f>
        <v>1.3096225210748205</v>
      </c>
      <c r="N77" s="151">
        <f>N44+N57+N75</f>
        <v>203613.08999999997</v>
      </c>
      <c r="O77" s="121" t="s">
        <v>57</v>
      </c>
      <c r="P77" s="122">
        <f t="shared" ref="P77" si="175">IFERROR(Q77/Q$30,0)</f>
        <v>0.96955459273197342</v>
      </c>
      <c r="Q77" s="151">
        <f>Q44+Q57+Q75</f>
        <v>186311.22</v>
      </c>
      <c r="R77" s="121" t="s">
        <v>57</v>
      </c>
      <c r="S77" s="122">
        <f t="shared" ref="S77" si="176">IFERROR(T77/T$30,0)</f>
        <v>1.0850850672271073</v>
      </c>
      <c r="T77" s="151">
        <f>T44+T57+T75</f>
        <v>221394.80000000002</v>
      </c>
      <c r="U77" s="121" t="s">
        <v>57</v>
      </c>
      <c r="V77" s="122">
        <f t="shared" ref="V77" si="177">IFERROR(W77/W$30,0)</f>
        <v>1.19812787022339</v>
      </c>
      <c r="W77" s="152">
        <f>W44+W57+W75</f>
        <v>175019.5</v>
      </c>
      <c r="X77" s="121" t="s">
        <v>57</v>
      </c>
      <c r="Y77" s="122">
        <f t="shared" ref="Y77" si="178">IFERROR(Z77/Z$30,0)</f>
        <v>0.79389781991609032</v>
      </c>
      <c r="Z77" s="152">
        <f>Z44+Z57+Z75</f>
        <v>212956.35</v>
      </c>
      <c r="AA77" s="121" t="s">
        <v>57</v>
      </c>
      <c r="AB77" s="122">
        <f t="shared" ref="AB77" si="179">IFERROR(AC77/AC$30,0)</f>
        <v>0.79623707825496748</v>
      </c>
      <c r="AC77" s="152">
        <f>AC44+AC57+AC75</f>
        <v>180184.38999999998</v>
      </c>
      <c r="AD77" s="121" t="s">
        <v>57</v>
      </c>
      <c r="AE77" s="122">
        <v>1.0679424548841379</v>
      </c>
      <c r="AF77" s="151">
        <v>232416.48004042031</v>
      </c>
      <c r="AG77" s="121" t="s">
        <v>57</v>
      </c>
      <c r="AH77" s="122">
        <v>1.0982561509578477</v>
      </c>
      <c r="AI77" s="151">
        <v>272319.78286709613</v>
      </c>
      <c r="AJ77" s="121" t="s">
        <v>57</v>
      </c>
      <c r="AK77" s="122">
        <v>0.87335597086930339</v>
      </c>
      <c r="AL77" s="151">
        <v>260578.7881705903</v>
      </c>
      <c r="AM77" s="121" t="s">
        <v>57</v>
      </c>
      <c r="AN77" s="122">
        <v>1.114582843870789</v>
      </c>
      <c r="AO77" s="151">
        <v>213219.11770577772</v>
      </c>
      <c r="AQ77" s="121" t="s">
        <v>57</v>
      </c>
      <c r="AR77" s="125">
        <f t="shared" ref="AR77" si="180">IFERROR(AS77/AS$30,0)</f>
        <v>1.0048847739205025</v>
      </c>
      <c r="AS77" s="153">
        <f t="shared" ref="AS77" si="181">AS44+AS57+AS75</f>
        <v>1526518.39</v>
      </c>
      <c r="AU77" s="121" t="s">
        <v>57</v>
      </c>
      <c r="AV77" s="125">
        <f t="shared" ref="AV77" si="182">IFERROR(AW77/AW$30,0)</f>
        <v>1.0243737835397484</v>
      </c>
      <c r="AW77" s="153">
        <f t="shared" ref="AW77" si="183">AW44+AW57+AW75</f>
        <v>978534.1687838845</v>
      </c>
      <c r="AY77" s="121" t="s">
        <v>57</v>
      </c>
      <c r="AZ77" s="125">
        <f>IFERROR(BA77/BA$30,0)</f>
        <v>1.0048847739205031</v>
      </c>
      <c r="BA77" s="153">
        <f>BA44+BA57+BA75</f>
        <v>1526518.39</v>
      </c>
      <c r="BC77" s="121" t="s">
        <v>57</v>
      </c>
      <c r="BD77" s="125"/>
      <c r="BE77" s="154">
        <f t="shared" ref="BE77" si="184">BE44+BE57+BE75</f>
        <v>-1.0186340659856796E-10</v>
      </c>
    </row>
    <row r="78" spans="1:57" s="15" customFormat="1" ht="20.25" customHeight="1" outlineLevel="1">
      <c r="A78" s="15" t="s">
        <v>27</v>
      </c>
      <c r="B78" s="34" t="s">
        <v>93</v>
      </c>
      <c r="C78" s="34"/>
      <c r="D78" s="72"/>
      <c r="E78" s="104">
        <f t="shared" ref="E78:E85" si="185">+SUM(H78,K78,N78,Q78,T78,W78,Z78,AC78,AF78,AI78,AL78,AO78)</f>
        <v>81414.2</v>
      </c>
      <c r="F78" s="34"/>
      <c r="G78" s="72"/>
      <c r="H78" s="104">
        <v>0</v>
      </c>
      <c r="I78" s="34"/>
      <c r="J78" s="72"/>
      <c r="K78" s="104">
        <v>0</v>
      </c>
      <c r="L78" s="34"/>
      <c r="M78" s="72"/>
      <c r="N78" s="104">
        <v>0</v>
      </c>
      <c r="O78" s="34"/>
      <c r="P78" s="72"/>
      <c r="Q78" s="104">
        <v>0</v>
      </c>
      <c r="R78" s="34"/>
      <c r="S78" s="72"/>
      <c r="T78" s="104">
        <v>0</v>
      </c>
      <c r="U78" s="34"/>
      <c r="V78" s="72"/>
      <c r="W78" s="104">
        <v>12000</v>
      </c>
      <c r="X78" s="34"/>
      <c r="Y78" s="72"/>
      <c r="Z78" s="104">
        <v>0</v>
      </c>
      <c r="AA78" s="34"/>
      <c r="AB78" s="72"/>
      <c r="AC78" s="104">
        <f>+[1]VOLKS!$L$75</f>
        <v>19414.2</v>
      </c>
      <c r="AD78" s="34"/>
      <c r="AE78" s="72"/>
      <c r="AF78" s="104">
        <v>25000</v>
      </c>
      <c r="AG78" s="34"/>
      <c r="AH78" s="72"/>
      <c r="AI78" s="104">
        <v>0</v>
      </c>
      <c r="AJ78" s="34"/>
      <c r="AK78" s="72"/>
      <c r="AL78" s="104">
        <v>0</v>
      </c>
      <c r="AM78" s="34"/>
      <c r="AN78" s="72"/>
      <c r="AO78" s="104">
        <v>25000</v>
      </c>
      <c r="AQ78" s="53"/>
      <c r="AR78" s="74"/>
      <c r="AS78" s="155">
        <f t="shared" ref="AS78:AS85" si="186">SUMIFS(F78:AO78,$F$7:$AO$7,"$PROFITS",$F$3:$AO$3,"RÉEL")</f>
        <v>31414.2</v>
      </c>
      <c r="AU78" s="53"/>
      <c r="AV78" s="74"/>
      <c r="AW78" s="155">
        <f t="shared" ref="AW78:AW85" si="187">SUMIFS(F78:AO78,$F$7:$AO$7,"$PROFITS",$F$3:$AO$3,"BUDGET")</f>
        <v>50000</v>
      </c>
      <c r="AY78" s="53"/>
      <c r="AZ78" s="74"/>
      <c r="BA78" s="155">
        <f>+[2]VOLKS!$L$75</f>
        <v>31414.2</v>
      </c>
      <c r="BC78" s="53"/>
      <c r="BD78" s="74"/>
      <c r="BE78" s="41">
        <f t="shared" ref="BE78:BE85" si="188">+BA78-AS78</f>
        <v>0</v>
      </c>
    </row>
    <row r="79" spans="1:57" s="15" customFormat="1" ht="20.25" customHeight="1" outlineLevel="1">
      <c r="A79" s="15" t="s">
        <v>27</v>
      </c>
      <c r="B79" s="34" t="s">
        <v>94</v>
      </c>
      <c r="C79" s="34"/>
      <c r="D79" s="72"/>
      <c r="E79" s="104">
        <f t="shared" si="185"/>
        <v>0</v>
      </c>
      <c r="F79" s="34"/>
      <c r="G79" s="72"/>
      <c r="H79" s="104">
        <v>0</v>
      </c>
      <c r="I79" s="34"/>
      <c r="J79" s="72"/>
      <c r="K79" s="104">
        <v>0</v>
      </c>
      <c r="L79" s="34"/>
      <c r="M79" s="72"/>
      <c r="N79" s="104">
        <v>0</v>
      </c>
      <c r="O79" s="34"/>
      <c r="P79" s="72"/>
      <c r="Q79" s="104">
        <v>0</v>
      </c>
      <c r="R79" s="34"/>
      <c r="S79" s="72"/>
      <c r="T79" s="104">
        <v>0</v>
      </c>
      <c r="U79" s="34"/>
      <c r="V79" s="72"/>
      <c r="W79" s="104">
        <v>0</v>
      </c>
      <c r="X79" s="34"/>
      <c r="Y79" s="72"/>
      <c r="Z79" s="104">
        <v>0</v>
      </c>
      <c r="AA79" s="34"/>
      <c r="AB79" s="72"/>
      <c r="AC79" s="104">
        <f>+[1]VOLKS!$L$76</f>
        <v>0</v>
      </c>
      <c r="AD79" s="34"/>
      <c r="AE79" s="72"/>
      <c r="AF79" s="104">
        <v>0</v>
      </c>
      <c r="AG79" s="34"/>
      <c r="AH79" s="72"/>
      <c r="AI79" s="104">
        <v>0</v>
      </c>
      <c r="AJ79" s="34"/>
      <c r="AK79" s="72"/>
      <c r="AL79" s="104">
        <v>0</v>
      </c>
      <c r="AM79" s="34"/>
      <c r="AN79" s="72"/>
      <c r="AO79" s="104">
        <v>0</v>
      </c>
      <c r="AQ79" s="53"/>
      <c r="AR79" s="74"/>
      <c r="AS79" s="155">
        <f t="shared" si="186"/>
        <v>0</v>
      </c>
      <c r="AU79" s="53"/>
      <c r="AV79" s="74"/>
      <c r="AW79" s="155">
        <f t="shared" si="187"/>
        <v>0</v>
      </c>
      <c r="AY79" s="53"/>
      <c r="AZ79" s="74"/>
      <c r="BA79" s="155">
        <f>+[2]VOLKS!$L$76</f>
        <v>0</v>
      </c>
      <c r="BC79" s="53"/>
      <c r="BD79" s="74"/>
      <c r="BE79" s="41">
        <f t="shared" si="188"/>
        <v>0</v>
      </c>
    </row>
    <row r="80" spans="1:57" s="15" customFormat="1" ht="20.25" customHeight="1" outlineLevel="1">
      <c r="A80" s="15" t="s">
        <v>27</v>
      </c>
      <c r="B80" s="34" t="s">
        <v>95</v>
      </c>
      <c r="C80" s="34"/>
      <c r="D80" s="72"/>
      <c r="E80" s="104">
        <f t="shared" si="185"/>
        <v>0</v>
      </c>
      <c r="F80" s="34"/>
      <c r="G80" s="72"/>
      <c r="H80" s="104">
        <v>0</v>
      </c>
      <c r="I80" s="34"/>
      <c r="J80" s="72"/>
      <c r="K80" s="104">
        <v>0</v>
      </c>
      <c r="L80" s="34"/>
      <c r="M80" s="72"/>
      <c r="N80" s="104">
        <v>0</v>
      </c>
      <c r="O80" s="34"/>
      <c r="P80" s="72"/>
      <c r="Q80" s="104">
        <v>0</v>
      </c>
      <c r="R80" s="34"/>
      <c r="S80" s="72"/>
      <c r="T80" s="104">
        <v>0</v>
      </c>
      <c r="U80" s="34"/>
      <c r="V80" s="72"/>
      <c r="W80" s="104">
        <v>0</v>
      </c>
      <c r="X80" s="34"/>
      <c r="Y80" s="72"/>
      <c r="Z80" s="104">
        <v>0</v>
      </c>
      <c r="AA80" s="34"/>
      <c r="AB80" s="72"/>
      <c r="AC80" s="104">
        <f>+[1]VOLKS!$L$77</f>
        <v>0</v>
      </c>
      <c r="AD80" s="34"/>
      <c r="AE80" s="72"/>
      <c r="AF80" s="104">
        <v>0</v>
      </c>
      <c r="AG80" s="34"/>
      <c r="AH80" s="72"/>
      <c r="AI80" s="104">
        <v>0</v>
      </c>
      <c r="AJ80" s="34"/>
      <c r="AK80" s="72"/>
      <c r="AL80" s="104">
        <v>0</v>
      </c>
      <c r="AM80" s="34"/>
      <c r="AN80" s="72"/>
      <c r="AO80" s="104">
        <v>0</v>
      </c>
      <c r="AQ80" s="53"/>
      <c r="AR80" s="74"/>
      <c r="AS80" s="155">
        <f t="shared" si="186"/>
        <v>0</v>
      </c>
      <c r="AU80" s="53"/>
      <c r="AV80" s="74"/>
      <c r="AW80" s="155">
        <f t="shared" si="187"/>
        <v>0</v>
      </c>
      <c r="AY80" s="53"/>
      <c r="AZ80" s="74"/>
      <c r="BA80" s="155">
        <f>+[2]VOLKS!$L$77</f>
        <v>0</v>
      </c>
      <c r="BC80" s="53"/>
      <c r="BD80" s="74"/>
      <c r="BE80" s="41">
        <f t="shared" si="188"/>
        <v>0</v>
      </c>
    </row>
    <row r="81" spans="1:57" s="15" customFormat="1" ht="20.25" customHeight="1" outlineLevel="1">
      <c r="A81" s="15" t="s">
        <v>27</v>
      </c>
      <c r="B81" s="34" t="s">
        <v>96</v>
      </c>
      <c r="C81" s="34"/>
      <c r="D81" s="72"/>
      <c r="E81" s="104">
        <f t="shared" si="185"/>
        <v>983236.72234541096</v>
      </c>
      <c r="F81" s="34"/>
      <c r="G81" s="72"/>
      <c r="H81" s="104">
        <v>82565</v>
      </c>
      <c r="I81" s="34"/>
      <c r="J81" s="72"/>
      <c r="K81" s="104">
        <v>47635</v>
      </c>
      <c r="L81" s="34"/>
      <c r="M81" s="72"/>
      <c r="N81" s="104">
        <v>69794</v>
      </c>
      <c r="O81" s="34"/>
      <c r="P81" s="72"/>
      <c r="Q81" s="104">
        <v>77555</v>
      </c>
      <c r="R81" s="34"/>
      <c r="S81" s="72"/>
      <c r="T81" s="104">
        <v>69529</v>
      </c>
      <c r="U81" s="34"/>
      <c r="V81" s="72"/>
      <c r="W81" s="104">
        <v>61215.55</v>
      </c>
      <c r="X81" s="34"/>
      <c r="Y81" s="72"/>
      <c r="Z81" s="104">
        <v>94826.85</v>
      </c>
      <c r="AA81" s="34"/>
      <c r="AB81" s="72"/>
      <c r="AC81" s="104">
        <f>+[1]VOLKS!$L$78</f>
        <v>80559</v>
      </c>
      <c r="AD81" s="34"/>
      <c r="AE81" s="72"/>
      <c r="AF81" s="104">
        <v>90465.808832923241</v>
      </c>
      <c r="AG81" s="34"/>
      <c r="AH81" s="72"/>
      <c r="AI81" s="104">
        <v>104035.68015786173</v>
      </c>
      <c r="AJ81" s="34"/>
      <c r="AK81" s="72"/>
      <c r="AL81" s="104">
        <v>126652.13236609256</v>
      </c>
      <c r="AM81" s="34"/>
      <c r="AN81" s="72"/>
      <c r="AO81" s="104">
        <v>78403.70098853347</v>
      </c>
      <c r="AQ81" s="53"/>
      <c r="AR81" s="74"/>
      <c r="AS81" s="155">
        <f t="shared" si="186"/>
        <v>583679.4</v>
      </c>
      <c r="AU81" s="53"/>
      <c r="AV81" s="74"/>
      <c r="AW81" s="155">
        <f t="shared" si="187"/>
        <v>399557.32234541094</v>
      </c>
      <c r="AY81" s="53"/>
      <c r="AZ81" s="74"/>
      <c r="BA81" s="155">
        <f>+[2]VOLKS!$L$78</f>
        <v>583679.4</v>
      </c>
      <c r="BC81" s="53"/>
      <c r="BD81" s="74"/>
      <c r="BE81" s="41">
        <f t="shared" si="188"/>
        <v>0</v>
      </c>
    </row>
    <row r="82" spans="1:57" s="15" customFormat="1" ht="20.25" customHeight="1" outlineLevel="1">
      <c r="B82" s="34"/>
      <c r="C82" s="34"/>
      <c r="D82" s="72"/>
      <c r="E82" s="104"/>
      <c r="F82" s="34"/>
      <c r="G82" s="72"/>
      <c r="H82" s="104"/>
      <c r="I82" s="34"/>
      <c r="J82" s="72"/>
      <c r="K82" s="104"/>
      <c r="L82" s="34"/>
      <c r="M82" s="72"/>
      <c r="N82" s="104"/>
      <c r="O82" s="34"/>
      <c r="P82" s="72"/>
      <c r="Q82" s="104"/>
      <c r="R82" s="34"/>
      <c r="S82" s="72"/>
      <c r="T82" s="104"/>
      <c r="U82" s="34"/>
      <c r="V82" s="72"/>
      <c r="W82" s="104"/>
      <c r="X82" s="34"/>
      <c r="Y82" s="72"/>
      <c r="Z82" s="104"/>
      <c r="AA82" s="34"/>
      <c r="AB82" s="72"/>
      <c r="AC82" s="104"/>
      <c r="AD82" s="34"/>
      <c r="AE82" s="72"/>
      <c r="AF82" s="104"/>
      <c r="AG82" s="34"/>
      <c r="AH82" s="72"/>
      <c r="AI82" s="104"/>
      <c r="AJ82" s="34"/>
      <c r="AK82" s="72"/>
      <c r="AL82" s="104"/>
      <c r="AM82" s="34"/>
      <c r="AN82" s="72"/>
      <c r="AO82" s="104"/>
      <c r="AQ82" s="53"/>
      <c r="AR82" s="74"/>
      <c r="AS82" s="155"/>
      <c r="AU82" s="53"/>
      <c r="AV82" s="74"/>
      <c r="AW82" s="155"/>
      <c r="AY82" s="53"/>
      <c r="AZ82" s="74"/>
      <c r="BA82" s="155"/>
      <c r="BC82" s="53"/>
      <c r="BD82" s="74"/>
      <c r="BE82" s="41"/>
    </row>
    <row r="83" spans="1:57" s="15" customFormat="1" ht="20.25" customHeight="1" outlineLevel="1">
      <c r="B83" s="34"/>
      <c r="C83" s="34"/>
      <c r="D83" s="72"/>
      <c r="E83" s="104"/>
      <c r="F83" s="34"/>
      <c r="G83" s="72"/>
      <c r="H83" s="104"/>
      <c r="I83" s="34"/>
      <c r="J83" s="72"/>
      <c r="K83" s="104"/>
      <c r="L83" s="34"/>
      <c r="M83" s="72"/>
      <c r="N83" s="104"/>
      <c r="O83" s="34"/>
      <c r="P83" s="72"/>
      <c r="Q83" s="104"/>
      <c r="R83" s="34"/>
      <c r="S83" s="72"/>
      <c r="T83" s="104"/>
      <c r="U83" s="34"/>
      <c r="V83" s="72"/>
      <c r="W83" s="104"/>
      <c r="X83" s="34"/>
      <c r="Y83" s="72"/>
      <c r="Z83" s="104"/>
      <c r="AA83" s="34"/>
      <c r="AB83" s="72"/>
      <c r="AC83" s="104"/>
      <c r="AD83" s="34"/>
      <c r="AE83" s="72"/>
      <c r="AF83" s="104"/>
      <c r="AG83" s="34"/>
      <c r="AH83" s="72"/>
      <c r="AI83" s="104"/>
      <c r="AJ83" s="34"/>
      <c r="AK83" s="72"/>
      <c r="AL83" s="104"/>
      <c r="AM83" s="34"/>
      <c r="AN83" s="72"/>
      <c r="AO83" s="104"/>
      <c r="AQ83" s="53"/>
      <c r="AR83" s="74"/>
      <c r="AS83" s="155"/>
      <c r="AU83" s="53"/>
      <c r="AV83" s="74"/>
      <c r="AW83" s="155"/>
      <c r="AY83" s="53"/>
      <c r="AZ83" s="74"/>
      <c r="BA83" s="155"/>
      <c r="BC83" s="53"/>
      <c r="BD83" s="74"/>
      <c r="BE83" s="41"/>
    </row>
    <row r="84" spans="1:57" s="15" customFormat="1" ht="20.25" customHeight="1" outlineLevel="1">
      <c r="B84" s="34"/>
      <c r="C84" s="34"/>
      <c r="D84" s="72"/>
      <c r="E84" s="104"/>
      <c r="F84" s="34"/>
      <c r="G84" s="72"/>
      <c r="H84" s="104"/>
      <c r="I84" s="34"/>
      <c r="J84" s="72"/>
      <c r="K84" s="104"/>
      <c r="L84" s="34"/>
      <c r="M84" s="72"/>
      <c r="N84" s="104"/>
      <c r="O84" s="34"/>
      <c r="P84" s="72"/>
      <c r="Q84" s="104"/>
      <c r="R84" s="34"/>
      <c r="S84" s="72"/>
      <c r="T84" s="104"/>
      <c r="U84" s="34"/>
      <c r="V84" s="72"/>
      <c r="W84" s="104"/>
      <c r="X84" s="34"/>
      <c r="Y84" s="72"/>
      <c r="Z84" s="104"/>
      <c r="AA84" s="34"/>
      <c r="AB84" s="72"/>
      <c r="AC84" s="104"/>
      <c r="AD84" s="34"/>
      <c r="AE84" s="72"/>
      <c r="AF84" s="104"/>
      <c r="AG84" s="34"/>
      <c r="AH84" s="72"/>
      <c r="AI84" s="104"/>
      <c r="AJ84" s="34"/>
      <c r="AK84" s="72"/>
      <c r="AL84" s="104"/>
      <c r="AM84" s="34"/>
      <c r="AN84" s="72"/>
      <c r="AO84" s="104"/>
      <c r="AQ84" s="53"/>
      <c r="AR84" s="74"/>
      <c r="AS84" s="155"/>
      <c r="AU84" s="53"/>
      <c r="AV84" s="74"/>
      <c r="AW84" s="155"/>
      <c r="AY84" s="53"/>
      <c r="AZ84" s="74"/>
      <c r="BA84" s="155"/>
      <c r="BC84" s="53"/>
      <c r="BD84" s="74"/>
      <c r="BE84" s="41"/>
    </row>
    <row r="85" spans="1:57" s="15" customFormat="1" ht="20.25" customHeight="1" outlineLevel="1">
      <c r="A85" s="15" t="s">
        <v>27</v>
      </c>
      <c r="B85" s="34" t="s">
        <v>97</v>
      </c>
      <c r="C85" s="34"/>
      <c r="D85" s="72"/>
      <c r="E85" s="104">
        <f t="shared" si="185"/>
        <v>343000.89999999997</v>
      </c>
      <c r="F85" s="34"/>
      <c r="G85" s="72"/>
      <c r="H85" s="104">
        <v>24546</v>
      </c>
      <c r="I85" s="34"/>
      <c r="J85" s="72"/>
      <c r="K85" s="104">
        <v>15936</v>
      </c>
      <c r="L85" s="34"/>
      <c r="M85" s="72"/>
      <c r="N85" s="104">
        <v>23652</v>
      </c>
      <c r="O85" s="34"/>
      <c r="P85" s="72"/>
      <c r="Q85" s="104">
        <v>24441</v>
      </c>
      <c r="R85" s="34"/>
      <c r="S85" s="72"/>
      <c r="T85" s="104">
        <v>26496</v>
      </c>
      <c r="U85" s="34"/>
      <c r="V85" s="72"/>
      <c r="W85" s="104">
        <v>23346</v>
      </c>
      <c r="X85" s="34"/>
      <c r="Y85" s="72"/>
      <c r="Z85" s="104">
        <v>39648</v>
      </c>
      <c r="AA85" s="34"/>
      <c r="AB85" s="72"/>
      <c r="AC85" s="104">
        <f>+[1]VOLKS!$L$82</f>
        <v>33150</v>
      </c>
      <c r="AD85" s="34"/>
      <c r="AE85" s="72"/>
      <c r="AF85" s="104">
        <v>29865.149999999998</v>
      </c>
      <c r="AG85" s="34"/>
      <c r="AH85" s="72"/>
      <c r="AI85" s="104">
        <v>34131.599999999999</v>
      </c>
      <c r="AJ85" s="34"/>
      <c r="AK85" s="72"/>
      <c r="AL85" s="104">
        <v>41242.35</v>
      </c>
      <c r="AM85" s="34"/>
      <c r="AN85" s="72"/>
      <c r="AO85" s="104">
        <v>26546.799999999996</v>
      </c>
      <c r="AQ85" s="53"/>
      <c r="AR85" s="74"/>
      <c r="AS85" s="155">
        <f t="shared" si="186"/>
        <v>211215</v>
      </c>
      <c r="AU85" s="53"/>
      <c r="AV85" s="74"/>
      <c r="AW85" s="155">
        <f t="shared" si="187"/>
        <v>131785.9</v>
      </c>
      <c r="AY85" s="53"/>
      <c r="AZ85" s="74"/>
      <c r="BA85" s="155">
        <f>+[2]VOLKS!$L$82</f>
        <v>211215</v>
      </c>
      <c r="BC85" s="53"/>
      <c r="BD85" s="74"/>
      <c r="BE85" s="41">
        <f t="shared" si="188"/>
        <v>0</v>
      </c>
    </row>
    <row r="86" spans="1:57" s="15" customFormat="1" ht="20.25" customHeight="1" outlineLevel="1">
      <c r="A86" s="15" t="s">
        <v>27</v>
      </c>
      <c r="B86" s="156" t="s">
        <v>98</v>
      </c>
      <c r="C86" s="157"/>
      <c r="D86" s="158"/>
      <c r="E86" s="159">
        <f>+SUM(E78:E85)</f>
        <v>1407651.8223454109</v>
      </c>
      <c r="F86" s="157"/>
      <c r="G86" s="158"/>
      <c r="H86" s="159">
        <f>+SUM(H78:H85)</f>
        <v>107111</v>
      </c>
      <c r="I86" s="157"/>
      <c r="J86" s="158"/>
      <c r="K86" s="159">
        <f>+SUM(K78:K85)</f>
        <v>63571</v>
      </c>
      <c r="L86" s="157"/>
      <c r="M86" s="158"/>
      <c r="N86" s="159">
        <f>+SUM(N78:N85)</f>
        <v>93446</v>
      </c>
      <c r="O86" s="157"/>
      <c r="P86" s="158"/>
      <c r="Q86" s="159">
        <f>+SUM(Q78:Q85)</f>
        <v>101996</v>
      </c>
      <c r="R86" s="157"/>
      <c r="S86" s="158"/>
      <c r="T86" s="159">
        <f>+SUM(T78:T85)</f>
        <v>96025</v>
      </c>
      <c r="U86" s="157"/>
      <c r="V86" s="158"/>
      <c r="W86" s="160">
        <f>+SUM(W78:W85)</f>
        <v>96561.55</v>
      </c>
      <c r="X86" s="157"/>
      <c r="Y86" s="158"/>
      <c r="Z86" s="160">
        <f>+SUM(Z78:Z85)</f>
        <v>134474.85</v>
      </c>
      <c r="AA86" s="157"/>
      <c r="AB86" s="158"/>
      <c r="AC86" s="160">
        <f>+SUM(AC78:AC85)</f>
        <v>133123.20000000001</v>
      </c>
      <c r="AD86" s="157"/>
      <c r="AE86" s="158"/>
      <c r="AF86" s="159">
        <v>145330.95883292324</v>
      </c>
      <c r="AG86" s="157"/>
      <c r="AH86" s="158"/>
      <c r="AI86" s="159">
        <v>138167.28015786174</v>
      </c>
      <c r="AJ86" s="157"/>
      <c r="AK86" s="158"/>
      <c r="AL86" s="159">
        <v>167894.48236609256</v>
      </c>
      <c r="AM86" s="157"/>
      <c r="AN86" s="158"/>
      <c r="AO86" s="159">
        <v>129950.50098853346</v>
      </c>
      <c r="AQ86" s="157"/>
      <c r="AR86" s="161"/>
      <c r="AS86" s="162">
        <f t="shared" ref="AS86" si="189">+SUM(AS78:AS85)</f>
        <v>826308.6</v>
      </c>
      <c r="AU86" s="157"/>
      <c r="AV86" s="161"/>
      <c r="AW86" s="162">
        <f t="shared" ref="AW86" si="190">+SUM(AW78:AW85)</f>
        <v>581343.22234541096</v>
      </c>
      <c r="AY86" s="157"/>
      <c r="AZ86" s="161"/>
      <c r="BA86" s="162">
        <f>+SUM(BA78:BA85)</f>
        <v>826308.6</v>
      </c>
      <c r="BC86" s="157"/>
      <c r="BD86" s="161"/>
      <c r="BE86" s="163">
        <f t="shared" ref="BE86" si="191">+SUM(BE78:BE85)</f>
        <v>0</v>
      </c>
    </row>
    <row r="87" spans="1:57" s="15" customFormat="1" ht="20.25" customHeight="1" outlineLevel="1">
      <c r="A87" s="15" t="s">
        <v>27</v>
      </c>
      <c r="B87" s="93"/>
      <c r="C87" s="164"/>
      <c r="D87" s="165"/>
      <c r="E87" s="166"/>
      <c r="F87" s="164"/>
      <c r="G87" s="165"/>
      <c r="H87" s="166"/>
      <c r="I87" s="164"/>
      <c r="J87" s="165"/>
      <c r="K87" s="166"/>
      <c r="L87" s="164"/>
      <c r="M87" s="165"/>
      <c r="N87" s="166"/>
      <c r="O87" s="164"/>
      <c r="P87" s="165"/>
      <c r="Q87" s="166"/>
      <c r="R87" s="164"/>
      <c r="S87" s="165"/>
      <c r="T87" s="166"/>
      <c r="U87" s="164"/>
      <c r="V87" s="165"/>
      <c r="W87" s="167"/>
      <c r="X87" s="164"/>
      <c r="Y87" s="165"/>
      <c r="Z87" s="167"/>
      <c r="AA87" s="164"/>
      <c r="AB87" s="165"/>
      <c r="AC87" s="167"/>
      <c r="AD87" s="164"/>
      <c r="AE87" s="165"/>
      <c r="AF87" s="166"/>
      <c r="AG87" s="164"/>
      <c r="AH87" s="165"/>
      <c r="AI87" s="166"/>
      <c r="AJ87" s="164"/>
      <c r="AK87" s="165"/>
      <c r="AL87" s="166"/>
      <c r="AM87" s="164"/>
      <c r="AN87" s="165"/>
      <c r="AO87" s="166"/>
      <c r="AQ87" s="168"/>
      <c r="AR87" s="169"/>
      <c r="AS87" s="170"/>
      <c r="AU87" s="168"/>
      <c r="AV87" s="169"/>
      <c r="AW87" s="170"/>
      <c r="AY87" s="168"/>
      <c r="AZ87" s="169"/>
      <c r="BA87" s="170"/>
      <c r="BC87" s="168"/>
      <c r="BD87" s="169"/>
      <c r="BE87" s="100"/>
    </row>
    <row r="88" spans="1:57" s="15" customFormat="1" ht="21" customHeight="1" outlineLevel="1" thickBot="1">
      <c r="A88" s="15" t="s">
        <v>27</v>
      </c>
      <c r="B88" s="171" t="s">
        <v>99</v>
      </c>
      <c r="C88" s="172"/>
      <c r="D88" s="173"/>
      <c r="E88" s="174">
        <f>E30-E77+E86</f>
        <v>1376948.2891589492</v>
      </c>
      <c r="F88" s="172"/>
      <c r="G88" s="173"/>
      <c r="H88" s="174">
        <f>H30-H77+H86</f>
        <v>86829.449999998935</v>
      </c>
      <c r="I88" s="172"/>
      <c r="J88" s="173"/>
      <c r="K88" s="174">
        <f>K30-K77+K86</f>
        <v>63626.749999999884</v>
      </c>
      <c r="L88" s="172"/>
      <c r="M88" s="173"/>
      <c r="N88" s="174">
        <f>N30-N77+N86</f>
        <v>45307.549999999901</v>
      </c>
      <c r="O88" s="172"/>
      <c r="P88" s="173"/>
      <c r="Q88" s="174">
        <f>Q30-Q77+Q86</f>
        <v>107846.44000000006</v>
      </c>
      <c r="R88" s="172"/>
      <c r="S88" s="173"/>
      <c r="T88" s="174">
        <f>T30-T77+T86</f>
        <v>78664.710000000108</v>
      </c>
      <c r="U88" s="172"/>
      <c r="V88" s="173"/>
      <c r="W88" s="175">
        <f>W30-W77+W86</f>
        <v>67619.53000000013</v>
      </c>
      <c r="X88" s="172"/>
      <c r="Y88" s="173"/>
      <c r="Z88" s="175">
        <f>Z30-Z77+Z86</f>
        <v>189760.00999999983</v>
      </c>
      <c r="AA88" s="172"/>
      <c r="AB88" s="173"/>
      <c r="AC88" s="175">
        <f>AC30-AC77+AC86</f>
        <v>179233.70999999996</v>
      </c>
      <c r="AD88" s="172"/>
      <c r="AE88" s="173"/>
      <c r="AF88" s="174">
        <v>130544.63196928191</v>
      </c>
      <c r="AG88" s="172"/>
      <c r="AH88" s="173"/>
      <c r="AI88" s="174">
        <v>113804.02603826366</v>
      </c>
      <c r="AJ88" s="172"/>
      <c r="AK88" s="173"/>
      <c r="AL88" s="174">
        <v>205680.61853582668</v>
      </c>
      <c r="AM88" s="172"/>
      <c r="AN88" s="173"/>
      <c r="AO88" s="174">
        <v>108030.86261557753</v>
      </c>
      <c r="AQ88" s="176"/>
      <c r="AR88" s="177"/>
      <c r="AS88" s="178">
        <f t="shared" ref="AS88" si="192">AS30-AS77+AS86</f>
        <v>818888.14999999886</v>
      </c>
      <c r="AU88" s="176"/>
      <c r="AV88" s="177"/>
      <c r="AW88" s="178">
        <f t="shared" ref="AW88" si="193">AW30-AW77+AW86</f>
        <v>558060.13915894972</v>
      </c>
      <c r="AY88" s="176"/>
      <c r="AZ88" s="177"/>
      <c r="BA88" s="178">
        <f>BA30-BA77+BA86</f>
        <v>818888.14999999793</v>
      </c>
      <c r="BC88" s="176"/>
      <c r="BD88" s="177"/>
      <c r="BE88" s="179">
        <f t="shared" ref="BE88" si="194">BE30-BE77+BE86</f>
        <v>-7.4942363426089287E-10</v>
      </c>
    </row>
    <row r="89" spans="1:57" s="182" customFormat="1" ht="23.25">
      <c r="A89" s="15" t="s">
        <v>27</v>
      </c>
      <c r="B89" s="180"/>
      <c r="C89" s="180"/>
      <c r="D89" s="180"/>
      <c r="E89" s="181"/>
      <c r="F89" s="180"/>
      <c r="G89" s="180"/>
      <c r="H89" s="181"/>
      <c r="I89" s="180"/>
      <c r="J89" s="180"/>
      <c r="K89" s="181"/>
      <c r="L89" s="180"/>
      <c r="M89" s="180"/>
      <c r="N89" s="181"/>
      <c r="O89" s="180"/>
      <c r="P89" s="180"/>
      <c r="Q89" s="181"/>
      <c r="R89" s="180"/>
      <c r="S89" s="180"/>
      <c r="T89" s="181"/>
      <c r="U89" s="180"/>
      <c r="V89" s="180"/>
      <c r="W89" s="181"/>
      <c r="X89" s="180"/>
      <c r="Y89" s="180"/>
      <c r="Z89" s="181"/>
      <c r="AA89" s="180"/>
      <c r="AB89" s="180"/>
      <c r="AC89" s="181"/>
      <c r="AD89" s="180"/>
      <c r="AE89" s="180"/>
      <c r="AF89" s="181"/>
      <c r="AG89" s="180"/>
      <c r="AH89" s="180"/>
      <c r="AI89" s="181"/>
      <c r="AJ89" s="180"/>
      <c r="AK89" s="180"/>
      <c r="AL89" s="181"/>
      <c r="AM89" s="180"/>
      <c r="AN89" s="180"/>
      <c r="AO89" s="181"/>
      <c r="AQ89" s="183"/>
      <c r="AR89" s="183"/>
      <c r="AS89" s="184"/>
      <c r="AU89" s="183"/>
      <c r="AV89" s="183"/>
      <c r="AW89" s="184"/>
      <c r="AY89" s="183"/>
      <c r="AZ89" s="183"/>
      <c r="BA89" s="184"/>
      <c r="BC89" s="183"/>
      <c r="BD89" s="183"/>
      <c r="BE89" s="185"/>
    </row>
    <row r="90" spans="1:57" s="182" customFormat="1" ht="23.25">
      <c r="A90" s="15" t="s">
        <v>27</v>
      </c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80"/>
      <c r="AN90" s="180"/>
      <c r="AO90" s="180"/>
      <c r="AQ90" s="183"/>
      <c r="AR90" s="183"/>
      <c r="AS90" s="183"/>
      <c r="AU90" s="183"/>
      <c r="AV90" s="183"/>
      <c r="AW90" s="183"/>
      <c r="AY90" s="183"/>
      <c r="AZ90" s="183"/>
      <c r="BA90" s="183"/>
      <c r="BC90" s="183"/>
      <c r="BD90" s="183"/>
      <c r="BE90" s="185"/>
    </row>
    <row r="91" spans="1:57" ht="20.25">
      <c r="A91" s="15" t="s">
        <v>27</v>
      </c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Q91" s="13"/>
      <c r="AR91" s="13"/>
      <c r="AS91" s="13"/>
      <c r="AU91" s="13"/>
      <c r="AV91" s="13"/>
      <c r="AW91" s="13"/>
      <c r="AY91" s="13"/>
      <c r="AZ91" s="13"/>
      <c r="BA91" s="13"/>
      <c r="BC91" s="13"/>
      <c r="BD91" s="13"/>
      <c r="BE91" s="14"/>
    </row>
    <row r="92" spans="1:57" s="10" customFormat="1" ht="35.25">
      <c r="A92" s="15" t="s">
        <v>27</v>
      </c>
      <c r="B92" s="187" t="str">
        <f>B4</f>
        <v>Budget 2025</v>
      </c>
      <c r="C92" s="10" t="s">
        <v>100</v>
      </c>
      <c r="AQ92" s="9"/>
      <c r="AR92" s="9"/>
      <c r="AS92" s="9"/>
      <c r="AU92" s="9"/>
      <c r="AV92" s="9"/>
      <c r="AW92" s="9"/>
      <c r="AY92" s="9"/>
      <c r="AZ92" s="9"/>
      <c r="BA92" s="9"/>
      <c r="BC92" s="9"/>
      <c r="BD92" s="9"/>
      <c r="BE92" s="188"/>
    </row>
    <row r="93" spans="1:57" ht="21" thickBot="1">
      <c r="A93" s="15" t="s">
        <v>27</v>
      </c>
      <c r="B93" s="189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Q93" s="13"/>
      <c r="AR93" s="13"/>
      <c r="AS93" s="13"/>
      <c r="AU93" s="13"/>
      <c r="AV93" s="13"/>
      <c r="AW93" s="13"/>
      <c r="AY93" s="13"/>
      <c r="AZ93" s="13"/>
      <c r="BA93" s="13"/>
      <c r="BC93" s="13"/>
      <c r="BD93" s="13"/>
      <c r="BE93" s="14"/>
    </row>
    <row r="94" spans="1:57" s="15" customFormat="1" ht="21" thickTop="1">
      <c r="A94" s="15" t="str">
        <f>+C92</f>
        <v>Véhicules usagés</v>
      </c>
      <c r="B94" s="16" t="s">
        <v>10</v>
      </c>
      <c r="C94" s="17">
        <v>2025</v>
      </c>
      <c r="D94" s="18"/>
      <c r="E94" s="19"/>
      <c r="F94" s="17" t="s">
        <v>11</v>
      </c>
      <c r="G94" s="18"/>
      <c r="H94" s="19"/>
      <c r="I94" s="17" t="s">
        <v>12</v>
      </c>
      <c r="J94" s="18"/>
      <c r="K94" s="19"/>
      <c r="L94" s="17" t="s">
        <v>13</v>
      </c>
      <c r="M94" s="18"/>
      <c r="N94" s="19"/>
      <c r="O94" s="17" t="s">
        <v>14</v>
      </c>
      <c r="P94" s="18"/>
      <c r="Q94" s="19"/>
      <c r="R94" s="17" t="s">
        <v>15</v>
      </c>
      <c r="S94" s="18"/>
      <c r="T94" s="19"/>
      <c r="U94" s="17" t="s">
        <v>16</v>
      </c>
      <c r="V94" s="18"/>
      <c r="W94" s="19"/>
      <c r="X94" s="17" t="s">
        <v>17</v>
      </c>
      <c r="Y94" s="18"/>
      <c r="Z94" s="19"/>
      <c r="AA94" s="17" t="s">
        <v>18</v>
      </c>
      <c r="AB94" s="18"/>
      <c r="AC94" s="19"/>
      <c r="AD94" s="17" t="s">
        <v>19</v>
      </c>
      <c r="AE94" s="18"/>
      <c r="AF94" s="19"/>
      <c r="AG94" s="17" t="s">
        <v>20</v>
      </c>
      <c r="AH94" s="18"/>
      <c r="AI94" s="19"/>
      <c r="AJ94" s="17" t="s">
        <v>21</v>
      </c>
      <c r="AK94" s="18"/>
      <c r="AL94" s="19"/>
      <c r="AM94" s="17" t="s">
        <v>22</v>
      </c>
      <c r="AN94" s="18"/>
      <c r="AO94" s="19"/>
      <c r="AQ94" s="16" t="s">
        <v>6</v>
      </c>
      <c r="AR94" s="20"/>
      <c r="AS94" s="21"/>
      <c r="AU94" s="16" t="s">
        <v>7</v>
      </c>
      <c r="AV94" s="20"/>
      <c r="AW94" s="21"/>
      <c r="AY94" s="16" t="s">
        <v>8</v>
      </c>
      <c r="AZ94" s="20"/>
      <c r="BA94" s="21"/>
      <c r="BC94" s="16" t="s">
        <v>23</v>
      </c>
      <c r="BD94" s="20"/>
      <c r="BE94" s="22"/>
    </row>
    <row r="95" spans="1:57" s="15" customFormat="1" ht="20.25" customHeight="1" outlineLevel="1">
      <c r="A95" s="15" t="s">
        <v>27</v>
      </c>
      <c r="B95" s="34"/>
      <c r="C95" s="53" t="s">
        <v>24</v>
      </c>
      <c r="D95" s="74" t="s">
        <v>25</v>
      </c>
      <c r="E95" s="54" t="s">
        <v>26</v>
      </c>
      <c r="F95" s="53" t="s">
        <v>24</v>
      </c>
      <c r="G95" s="74" t="s">
        <v>25</v>
      </c>
      <c r="H95" s="54" t="s">
        <v>26</v>
      </c>
      <c r="I95" s="53" t="s">
        <v>24</v>
      </c>
      <c r="J95" s="74" t="s">
        <v>25</v>
      </c>
      <c r="K95" s="54" t="s">
        <v>26</v>
      </c>
      <c r="L95" s="53" t="s">
        <v>24</v>
      </c>
      <c r="M95" s="74" t="s">
        <v>25</v>
      </c>
      <c r="N95" s="54" t="s">
        <v>26</v>
      </c>
      <c r="O95" s="53" t="s">
        <v>24</v>
      </c>
      <c r="P95" s="74" t="s">
        <v>25</v>
      </c>
      <c r="Q95" s="54" t="s">
        <v>26</v>
      </c>
      <c r="R95" s="53" t="s">
        <v>24</v>
      </c>
      <c r="S95" s="74" t="s">
        <v>25</v>
      </c>
      <c r="T95" s="54" t="s">
        <v>26</v>
      </c>
      <c r="U95" s="53" t="s">
        <v>24</v>
      </c>
      <c r="V95" s="74" t="s">
        <v>25</v>
      </c>
      <c r="W95" s="54" t="s">
        <v>26</v>
      </c>
      <c r="X95" s="53" t="s">
        <v>24</v>
      </c>
      <c r="Y95" s="74" t="s">
        <v>25</v>
      </c>
      <c r="Z95" s="54" t="s">
        <v>26</v>
      </c>
      <c r="AA95" s="53" t="s">
        <v>24</v>
      </c>
      <c r="AB95" s="74" t="s">
        <v>25</v>
      </c>
      <c r="AC95" s="54" t="s">
        <v>26</v>
      </c>
      <c r="AD95" s="53" t="s">
        <v>24</v>
      </c>
      <c r="AE95" s="74" t="s">
        <v>25</v>
      </c>
      <c r="AF95" s="54" t="s">
        <v>26</v>
      </c>
      <c r="AG95" s="53" t="s">
        <v>24</v>
      </c>
      <c r="AH95" s="74" t="s">
        <v>25</v>
      </c>
      <c r="AI95" s="54" t="s">
        <v>26</v>
      </c>
      <c r="AJ95" s="53" t="s">
        <v>24</v>
      </c>
      <c r="AK95" s="74" t="s">
        <v>25</v>
      </c>
      <c r="AL95" s="54" t="s">
        <v>26</v>
      </c>
      <c r="AM95" s="53" t="s">
        <v>24</v>
      </c>
      <c r="AN95" s="74" t="s">
        <v>25</v>
      </c>
      <c r="AO95" s="54" t="s">
        <v>26</v>
      </c>
      <c r="AQ95" s="53" t="s">
        <v>24</v>
      </c>
      <c r="AR95" s="74" t="s">
        <v>25</v>
      </c>
      <c r="AS95" s="54" t="s">
        <v>26</v>
      </c>
      <c r="AU95" s="53" t="s">
        <v>24</v>
      </c>
      <c r="AV95" s="74" t="s">
        <v>25</v>
      </c>
      <c r="AW95" s="54" t="s">
        <v>26</v>
      </c>
      <c r="AY95" s="53" t="s">
        <v>24</v>
      </c>
      <c r="AZ95" s="74" t="s">
        <v>25</v>
      </c>
      <c r="BA95" s="54" t="s">
        <v>26</v>
      </c>
      <c r="BC95" s="53" t="s">
        <v>24</v>
      </c>
      <c r="BD95" s="74" t="s">
        <v>25</v>
      </c>
      <c r="BE95" s="27" t="s">
        <v>26</v>
      </c>
    </row>
    <row r="96" spans="1:57" s="15" customFormat="1" ht="20.25" customHeight="1" outlineLevel="1">
      <c r="A96" s="15" t="s">
        <v>27</v>
      </c>
      <c r="B96" s="28" t="s">
        <v>28</v>
      </c>
      <c r="C96" s="29"/>
      <c r="D96" s="30"/>
      <c r="E96" s="32">
        <f>+SUM(H96,K96,N96,Q96,T96,W96,Z96,AC96,AF96,AI96,AL96,AO96)</f>
        <v>16382369.846606305</v>
      </c>
      <c r="F96" s="29"/>
      <c r="G96" s="30"/>
      <c r="H96" s="32">
        <v>857558.07</v>
      </c>
      <c r="I96" s="29"/>
      <c r="J96" s="30"/>
      <c r="K96" s="32">
        <v>616311.43999999994</v>
      </c>
      <c r="L96" s="29"/>
      <c r="M96" s="30"/>
      <c r="N96" s="32">
        <v>833663.21</v>
      </c>
      <c r="O96" s="29"/>
      <c r="P96" s="30"/>
      <c r="Q96" s="32">
        <v>1017681</v>
      </c>
      <c r="R96" s="29"/>
      <c r="S96" s="30"/>
      <c r="T96" s="32">
        <v>1290713.76</v>
      </c>
      <c r="U96" s="29"/>
      <c r="V96" s="30"/>
      <c r="W96" s="32">
        <v>1616914.64</v>
      </c>
      <c r="X96" s="29"/>
      <c r="Y96" s="30"/>
      <c r="Z96" s="32">
        <v>1735831.76</v>
      </c>
      <c r="AA96" s="29"/>
      <c r="AB96" s="30"/>
      <c r="AC96" s="32">
        <f>+[1]VOLKS!$L$93</f>
        <v>1633303.65</v>
      </c>
      <c r="AD96" s="29"/>
      <c r="AE96" s="30"/>
      <c r="AF96" s="32">
        <v>1226269.4460539161</v>
      </c>
      <c r="AG96" s="29"/>
      <c r="AH96" s="30"/>
      <c r="AI96" s="32">
        <v>2168676.7122492362</v>
      </c>
      <c r="AJ96" s="29"/>
      <c r="AK96" s="30"/>
      <c r="AL96" s="32">
        <v>1792093.8057711083</v>
      </c>
      <c r="AM96" s="29"/>
      <c r="AN96" s="30"/>
      <c r="AO96" s="32">
        <v>1593352.3525320443</v>
      </c>
      <c r="AQ96" s="29"/>
      <c r="AR96" s="30"/>
      <c r="AS96" s="32">
        <f>SUMIFS(F96:AO96,$F$7:$AO$7,"$PROFITS",$F$3:$AO$3,"RÉEL")</f>
        <v>9601977.5299999993</v>
      </c>
      <c r="AU96" s="29"/>
      <c r="AV96" s="30"/>
      <c r="AW96" s="32">
        <f>SUMIFS(F96:AO96,$F$7:$AO$7,"$PROFITS",$F$3:$AO$3,"BUDGET")</f>
        <v>6780392.3166063046</v>
      </c>
      <c r="AY96" s="29"/>
      <c r="AZ96" s="30"/>
      <c r="BA96" s="32">
        <f>+[2]VOLKS!$L$93</f>
        <v>9601977.5299999993</v>
      </c>
      <c r="BC96" s="29"/>
      <c r="BD96" s="30"/>
      <c r="BE96" s="33">
        <f t="shared" ref="BE96:BE99" si="195">+BA96-AS96</f>
        <v>0</v>
      </c>
    </row>
    <row r="97" spans="1:57" s="15" customFormat="1" ht="20.25" customHeight="1" outlineLevel="1">
      <c r="A97" s="15" t="s">
        <v>27</v>
      </c>
      <c r="B97" s="34" t="s">
        <v>101</v>
      </c>
      <c r="C97" s="35">
        <f>+SUM(F97,I97,L97,O97,R97,U97,X97,AA97,AD97,AG97,AJ97,AM97)</f>
        <v>300</v>
      </c>
      <c r="D97" s="36">
        <f>IF(C97=0,0,E97/C97)</f>
        <v>1306.6542666666651</v>
      </c>
      <c r="E97" s="37">
        <f>+SUM(H97,K97,N97,Q97,T97,W97,Z97,AC97,AF97,AI97,AL97,AO97)</f>
        <v>391996.2799999995</v>
      </c>
      <c r="F97" s="35">
        <v>18</v>
      </c>
      <c r="G97" s="36">
        <f>IF(F97=0,0,H97/F97)</f>
        <v>1713.5988888888887</v>
      </c>
      <c r="H97" s="37">
        <v>30844.78</v>
      </c>
      <c r="I97" s="35">
        <v>13</v>
      </c>
      <c r="J97" s="36">
        <f>IF(I97=0,0,K97/I97)</f>
        <v>1495.4061538461463</v>
      </c>
      <c r="K97" s="37">
        <v>19440.279999999901</v>
      </c>
      <c r="L97" s="35">
        <v>28</v>
      </c>
      <c r="M97" s="36">
        <f>IF(L97=0,0,N97/L97)</f>
        <v>1195.8296428571393</v>
      </c>
      <c r="N97" s="37">
        <v>33483.229999999901</v>
      </c>
      <c r="O97" s="35">
        <v>28</v>
      </c>
      <c r="P97" s="36">
        <f>IF(O97=0,0,Q97/O97)</f>
        <v>952.90392857142501</v>
      </c>
      <c r="Q97" s="37">
        <v>26681.309999999899</v>
      </c>
      <c r="R97" s="35">
        <v>29</v>
      </c>
      <c r="S97" s="36">
        <f>IF(R97=0,0,T97/R97)</f>
        <v>1404.173448275862</v>
      </c>
      <c r="T97" s="37">
        <v>40721.03</v>
      </c>
      <c r="U97" s="35">
        <v>30</v>
      </c>
      <c r="V97" s="36">
        <f>IF(U97=0,0,W97/U97)</f>
        <v>1968.6749999999965</v>
      </c>
      <c r="W97" s="37">
        <v>59060.249999999898</v>
      </c>
      <c r="X97" s="35">
        <v>28</v>
      </c>
      <c r="Y97" s="36">
        <f>IF(X97=0,0,Z97/X97)</f>
        <v>1004.9228571428536</v>
      </c>
      <c r="Z97" s="37">
        <v>28137.839999999898</v>
      </c>
      <c r="AA97" s="35">
        <f>+[1]VOLKS!$J$94</f>
        <v>27</v>
      </c>
      <c r="AB97" s="36">
        <f>IF(AA97=0,0,AC97/AA97)</f>
        <v>556.57629629629628</v>
      </c>
      <c r="AC97" s="37">
        <f>+[1]VOLKS!$L$94</f>
        <v>15027.56</v>
      </c>
      <c r="AD97" s="35">
        <v>19</v>
      </c>
      <c r="AE97" s="36">
        <v>1400</v>
      </c>
      <c r="AF97" s="37">
        <v>26600</v>
      </c>
      <c r="AG97" s="35">
        <v>33</v>
      </c>
      <c r="AH97" s="36">
        <v>1400</v>
      </c>
      <c r="AI97" s="37">
        <v>46200</v>
      </c>
      <c r="AJ97" s="35">
        <v>27</v>
      </c>
      <c r="AK97" s="36">
        <v>1400</v>
      </c>
      <c r="AL97" s="37">
        <v>37800</v>
      </c>
      <c r="AM97" s="35">
        <v>20</v>
      </c>
      <c r="AN97" s="36">
        <v>1400</v>
      </c>
      <c r="AO97" s="37">
        <v>28000</v>
      </c>
      <c r="AQ97" s="38">
        <f>SUMIFS(F97:AO97,$F$7:$AO$7,"UNITE",$F$3:$AO$3,"RÉEL")</f>
        <v>201</v>
      </c>
      <c r="AR97" s="25">
        <f t="shared" ref="AR97:AR99" si="196">IF(AQ97=0,0,AS97/AQ97)</f>
        <v>1260.6780099502462</v>
      </c>
      <c r="AS97" s="40">
        <f>SUMIFS(F97:AO97,$F$7:$AO$7,"$PROFITS",$F$3:$AO$3,"RÉEL")</f>
        <v>253396.2799999995</v>
      </c>
      <c r="AU97" s="38">
        <f>SUMIFS(F97:AO97,$F$7:$AO$7,"UNITE",$F$3:$AO$3,"BUDGET")</f>
        <v>99</v>
      </c>
      <c r="AV97" s="25">
        <f t="shared" ref="AV97:AV99" si="197">IF(AU97=0,0,AW97/AU97)</f>
        <v>1400</v>
      </c>
      <c r="AW97" s="40">
        <f>SUMIFS(F97:AO97,$F$7:$AO$7,"$PROFITS",$F$3:$AO$3,"BUDGET")</f>
        <v>138600</v>
      </c>
      <c r="AY97" s="38">
        <f>+[2]VOLKS!$J$94</f>
        <v>201</v>
      </c>
      <c r="AZ97" s="25">
        <f>IF(AY97=0,0,BA97/AY97)</f>
        <v>1260.6780099502439</v>
      </c>
      <c r="BA97" s="40">
        <f>+[2]VOLKS!$L$94</f>
        <v>253396.27999999901</v>
      </c>
      <c r="BC97" s="38">
        <f t="shared" ref="BC97:BD98" si="198">+AY97-AQ97</f>
        <v>0</v>
      </c>
      <c r="BD97" s="25">
        <f t="shared" si="198"/>
        <v>-2.2737367544323206E-12</v>
      </c>
      <c r="BE97" s="41">
        <f t="shared" si="195"/>
        <v>-4.9476511776447296E-10</v>
      </c>
    </row>
    <row r="98" spans="1:57" s="15" customFormat="1" ht="20.25" customHeight="1" outlineLevel="1">
      <c r="A98" s="15" t="s">
        <v>27</v>
      </c>
      <c r="B98" s="34" t="s">
        <v>102</v>
      </c>
      <c r="C98" s="35">
        <f>+SUM(F98,I98,L98,O98,R98,U98,X98,AA98,AD98,AG98,AJ98,AM98)</f>
        <v>20</v>
      </c>
      <c r="D98" s="36">
        <f>IF(C98=0,0,E98/C98)</f>
        <v>1309.8949999999991</v>
      </c>
      <c r="E98" s="37">
        <f>+SUM(H98,K98,N98,Q98,T98,W98,Z98,AC98,AF98,AI98,AL98,AO98)</f>
        <v>26197.89999999998</v>
      </c>
      <c r="F98" s="35">
        <v>4</v>
      </c>
      <c r="G98" s="36">
        <f>IF(F98=0,0,H98/F98)</f>
        <v>1079.3549999999975</v>
      </c>
      <c r="H98" s="37">
        <v>4317.4199999999901</v>
      </c>
      <c r="I98" s="35">
        <v>2</v>
      </c>
      <c r="J98" s="36">
        <f>IF(I98=0,0,K98/I98)</f>
        <v>-169.7949999999995</v>
      </c>
      <c r="K98" s="37">
        <v>-339.58999999999901</v>
      </c>
      <c r="L98" s="35">
        <v>1</v>
      </c>
      <c r="M98" s="36">
        <f>IF(L98=0,0,N98/L98)</f>
        <v>3949.99</v>
      </c>
      <c r="N98" s="37">
        <v>3949.99</v>
      </c>
      <c r="O98" s="35">
        <v>0</v>
      </c>
      <c r="P98" s="36">
        <f>IF(O98=0,0,Q98/O98)</f>
        <v>0</v>
      </c>
      <c r="Q98" s="37">
        <v>-4705.95</v>
      </c>
      <c r="R98" s="35">
        <v>1</v>
      </c>
      <c r="S98" s="36">
        <f>IF(R98=0,0,T98/R98)</f>
        <v>1376.02999999999</v>
      </c>
      <c r="T98" s="37">
        <v>1376.02999999999</v>
      </c>
      <c r="U98" s="35">
        <v>0</v>
      </c>
      <c r="V98" s="36">
        <f>IF(U98=0,0,W98/U98)</f>
        <v>0</v>
      </c>
      <c r="W98" s="37">
        <v>0</v>
      </c>
      <c r="X98" s="35">
        <v>0</v>
      </c>
      <c r="Y98" s="36">
        <f>IF(X98=0,0,Z98/X98)</f>
        <v>0</v>
      </c>
      <c r="Z98" s="37">
        <v>0</v>
      </c>
      <c r="AA98" s="35">
        <f>+[1]VOLKS!$J$95</f>
        <v>0</v>
      </c>
      <c r="AB98" s="36">
        <f>IF(AA98=0,0,AC98/AA98)</f>
        <v>0</v>
      </c>
      <c r="AC98" s="37">
        <f>+[1]VOLKS!$L$95</f>
        <v>0</v>
      </c>
      <c r="AD98" s="35">
        <v>2</v>
      </c>
      <c r="AE98" s="36">
        <v>1800</v>
      </c>
      <c r="AF98" s="37">
        <v>3600</v>
      </c>
      <c r="AG98" s="35">
        <v>4</v>
      </c>
      <c r="AH98" s="36">
        <v>1800</v>
      </c>
      <c r="AI98" s="37">
        <v>7200</v>
      </c>
      <c r="AJ98" s="35">
        <v>3</v>
      </c>
      <c r="AK98" s="36">
        <v>1800</v>
      </c>
      <c r="AL98" s="37">
        <v>5400</v>
      </c>
      <c r="AM98" s="35">
        <v>3</v>
      </c>
      <c r="AN98" s="36">
        <v>1800</v>
      </c>
      <c r="AO98" s="37">
        <v>5400</v>
      </c>
      <c r="AQ98" s="38">
        <f>SUMIFS(F98:AO98,$F$7:$AO$7,"UNITE",$F$3:$AO$3,"RÉEL")</f>
        <v>8</v>
      </c>
      <c r="AR98" s="25">
        <f t="shared" si="196"/>
        <v>574.73749999999757</v>
      </c>
      <c r="AS98" s="40">
        <f>SUMIFS(F98:AO98,$F$7:$AO$7,"$PROFITS",$F$3:$AO$3,"RÉEL")</f>
        <v>4597.8999999999805</v>
      </c>
      <c r="AU98" s="38">
        <f>SUMIFS(F98:AO98,$F$7:$AO$7,"UNITE",$F$3:$AO$3,"BUDGET")</f>
        <v>12</v>
      </c>
      <c r="AV98" s="25">
        <f t="shared" si="197"/>
        <v>1800</v>
      </c>
      <c r="AW98" s="40">
        <f>SUMIFS(F98:AO98,$F$7:$AO$7,"$PROFITS",$F$3:$AO$3,"BUDGET")</f>
        <v>21600</v>
      </c>
      <c r="AY98" s="38">
        <f>+[2]VOLKS!$J$95</f>
        <v>8</v>
      </c>
      <c r="AZ98" s="25">
        <f>IF(AY98=0,0,BA98/AY98)</f>
        <v>574.7374999999987</v>
      </c>
      <c r="BA98" s="40">
        <f>+[2]VOLKS!$L$95</f>
        <v>4597.8999999999896</v>
      </c>
      <c r="BC98" s="38">
        <f t="shared" si="198"/>
        <v>0</v>
      </c>
      <c r="BD98" s="25">
        <f t="shared" si="198"/>
        <v>1.1368683772161603E-12</v>
      </c>
      <c r="BE98" s="41">
        <f t="shared" si="195"/>
        <v>9.0949470177292824E-12</v>
      </c>
    </row>
    <row r="99" spans="1:57" s="15" customFormat="1" ht="20.25" customHeight="1" outlineLevel="1">
      <c r="B99" s="34"/>
      <c r="C99" s="35">
        <f>+SUM(F99,I99,L99,O99,R99,U99,X99,AA99,AD99,AG99,AJ99,AM99)</f>
        <v>23</v>
      </c>
      <c r="D99" s="36">
        <f>IF(C99=0,0,E99/C99)</f>
        <v>1759.6999999999989</v>
      </c>
      <c r="E99" s="37">
        <f>+SUM(H99,K99,N99,Q99,T99,W99,Z99,AC99,AF99,AI99,AL99,AO99)</f>
        <v>40473.099999999977</v>
      </c>
      <c r="F99" s="35">
        <v>2</v>
      </c>
      <c r="G99" s="36">
        <f>IF(F99=0,0,H99/F99)</f>
        <v>1352.424999999995</v>
      </c>
      <c r="H99" s="37">
        <v>2704.8499999999899</v>
      </c>
      <c r="I99" s="35">
        <v>2</v>
      </c>
      <c r="J99" s="36">
        <f>IF(I99=0,0,K99/I99)</f>
        <v>1908.175</v>
      </c>
      <c r="K99" s="37">
        <v>3816.35</v>
      </c>
      <c r="L99" s="35">
        <v>1</v>
      </c>
      <c r="M99" s="36">
        <f>IF(L99=0,0,N99/L99)</f>
        <v>4152.3</v>
      </c>
      <c r="N99" s="37">
        <v>4152.3</v>
      </c>
      <c r="O99" s="35">
        <v>2</v>
      </c>
      <c r="P99" s="36">
        <f>IF(O99=0,0,Q99/O99)</f>
        <v>2899.7999999999952</v>
      </c>
      <c r="Q99" s="37">
        <v>5799.5999999999904</v>
      </c>
      <c r="R99" s="35">
        <v>0</v>
      </c>
      <c r="S99" s="36">
        <f>IF(R99=0,0,T99/R99)</f>
        <v>0</v>
      </c>
      <c r="T99" s="37">
        <v>0</v>
      </c>
      <c r="U99" s="35">
        <v>0</v>
      </c>
      <c r="V99" s="36">
        <f>IF(U99=0,0,W99/U99)</f>
        <v>0</v>
      </c>
      <c r="W99" s="37">
        <v>0</v>
      </c>
      <c r="X99" s="35">
        <v>0</v>
      </c>
      <c r="Y99" s="36">
        <f>IF(X99=0,0,Z99/X99)</f>
        <v>0</v>
      </c>
      <c r="Z99" s="37">
        <v>0</v>
      </c>
      <c r="AA99" s="35">
        <f>+[1]VOLKS!$J$96</f>
        <v>0</v>
      </c>
      <c r="AB99" s="36">
        <f>IF(AA99=0,0,AC99/AA99)</f>
        <v>0</v>
      </c>
      <c r="AC99" s="37">
        <f>+[1]VOLKS!$L$96</f>
        <v>0</v>
      </c>
      <c r="AD99" s="35">
        <v>3</v>
      </c>
      <c r="AE99" s="36">
        <v>1500</v>
      </c>
      <c r="AF99" s="37">
        <v>4500</v>
      </c>
      <c r="AG99" s="35">
        <v>5</v>
      </c>
      <c r="AH99" s="36">
        <v>1500</v>
      </c>
      <c r="AI99" s="37">
        <v>7500</v>
      </c>
      <c r="AJ99" s="35">
        <v>5</v>
      </c>
      <c r="AK99" s="36">
        <v>1500</v>
      </c>
      <c r="AL99" s="37">
        <v>7500</v>
      </c>
      <c r="AM99" s="35">
        <v>3</v>
      </c>
      <c r="AN99" s="36">
        <v>1500</v>
      </c>
      <c r="AO99" s="37">
        <v>4500</v>
      </c>
      <c r="AQ99" s="38">
        <f>SUMIFS(F99:AO99,$F$7:$AO$7,"UNITE",$F$3:$AO$3,"RÉEL")</f>
        <v>7</v>
      </c>
      <c r="AR99" s="25">
        <f t="shared" si="196"/>
        <v>2353.299999999997</v>
      </c>
      <c r="AS99" s="40">
        <f>SUMIFS(F99:AO99,$F$7:$AO$7,"$PROFITS",$F$3:$AO$3,"RÉEL")</f>
        <v>16473.09999999998</v>
      </c>
      <c r="AU99" s="38">
        <f>SUMIFS(F99:AO99,$F$7:$AO$7,"UNITE",$F$3:$AO$3,"BUDGET")</f>
        <v>16</v>
      </c>
      <c r="AV99" s="25">
        <f t="shared" si="197"/>
        <v>1500</v>
      </c>
      <c r="AW99" s="40">
        <f>SUMIFS(F99:AO99,$F$7:$AO$7,"$PROFITS",$F$3:$AO$3,"BUDGET")</f>
        <v>24000</v>
      </c>
      <c r="AY99" s="38">
        <f>+[2]VOLKS!$J$96</f>
        <v>7</v>
      </c>
      <c r="AZ99" s="25">
        <f>IF(AY99=0,0,BA99/AY99)</f>
        <v>2353.2999999999856</v>
      </c>
      <c r="BA99" s="40">
        <f>+[2]VOLKS!$L$96</f>
        <v>16473.0999999999</v>
      </c>
      <c r="BC99" s="38"/>
      <c r="BD99" s="25"/>
      <c r="BE99" s="41">
        <f t="shared" si="195"/>
        <v>-8.0035533756017685E-11</v>
      </c>
    </row>
    <row r="100" spans="1:57" s="15" customFormat="1" ht="20.25" customHeight="1" outlineLevel="1">
      <c r="A100" s="15" t="s">
        <v>27</v>
      </c>
      <c r="B100" s="44" t="s">
        <v>103</v>
      </c>
      <c r="C100" s="45">
        <f>+C97+C98+C99</f>
        <v>343</v>
      </c>
      <c r="D100" s="46">
        <f>IF(C100&lt;=0,0,E100/C100)</f>
        <v>1337.2223906705524</v>
      </c>
      <c r="E100" s="47">
        <f>+E97+E98+E99</f>
        <v>458667.27999999945</v>
      </c>
      <c r="F100" s="45">
        <f>+F97+F98+F99</f>
        <v>24</v>
      </c>
      <c r="G100" s="46">
        <f>IF(F100&lt;=0,0,H100/F100)</f>
        <v>1577.7937499999991</v>
      </c>
      <c r="H100" s="47">
        <f>+H97+H98+H99</f>
        <v>37867.049999999981</v>
      </c>
      <c r="I100" s="45">
        <f>+I97+I98+I99</f>
        <v>17</v>
      </c>
      <c r="J100" s="46">
        <f>IF(I100&lt;=0,0,K100/I100)</f>
        <v>1348.0611764705823</v>
      </c>
      <c r="K100" s="47">
        <f>+K97+K98+K99</f>
        <v>22917.039999999899</v>
      </c>
      <c r="L100" s="45">
        <f>+L97+L98+L99</f>
        <v>30</v>
      </c>
      <c r="M100" s="46">
        <f>IF(L100&lt;=0,0,N100/L100)</f>
        <v>1386.1839999999968</v>
      </c>
      <c r="N100" s="47">
        <f>+N97+N98+N99</f>
        <v>41585.519999999902</v>
      </c>
      <c r="O100" s="45">
        <f>+O97+O98+O99</f>
        <v>30</v>
      </c>
      <c r="P100" s="46">
        <f>IF(O100&lt;=0,0,Q100/O100)</f>
        <v>925.83199999999636</v>
      </c>
      <c r="Q100" s="47">
        <f>+Q97+Q98+Q99</f>
        <v>27774.95999999989</v>
      </c>
      <c r="R100" s="45">
        <f>+R97+R98+R99</f>
        <v>30</v>
      </c>
      <c r="S100" s="46">
        <f>IF(R100&lt;=0,0,T100/R100)</f>
        <v>1403.2353333333331</v>
      </c>
      <c r="T100" s="47">
        <f>+T97+T98+T99</f>
        <v>42097.05999999999</v>
      </c>
      <c r="U100" s="45">
        <f>+U97+U98+U99</f>
        <v>30</v>
      </c>
      <c r="V100" s="46">
        <f>IF(U100&lt;=0,0,W100/U100)</f>
        <v>1968.6749999999965</v>
      </c>
      <c r="W100" s="47">
        <f>+W97+W98+W99</f>
        <v>59060.249999999898</v>
      </c>
      <c r="X100" s="45">
        <f>+X97+X98+X99</f>
        <v>28</v>
      </c>
      <c r="Y100" s="46">
        <f>IF(X100&lt;=0,0,Z100/X100)</f>
        <v>1004.9228571428536</v>
      </c>
      <c r="Z100" s="47">
        <f>+Z97+Z98+Z99</f>
        <v>28137.839999999898</v>
      </c>
      <c r="AA100" s="45">
        <f>+AA97+AA98+AA99</f>
        <v>27</v>
      </c>
      <c r="AB100" s="46">
        <f>IF(AA100&lt;=0,0,AC100/AA100)</f>
        <v>556.57629629629628</v>
      </c>
      <c r="AC100" s="47">
        <f>+AC97+AC98+AC99</f>
        <v>15027.56</v>
      </c>
      <c r="AD100" s="45">
        <v>24</v>
      </c>
      <c r="AE100" s="46">
        <v>1445.8333333333333</v>
      </c>
      <c r="AF100" s="47">
        <v>34700</v>
      </c>
      <c r="AG100" s="45">
        <v>42</v>
      </c>
      <c r="AH100" s="46">
        <v>1450</v>
      </c>
      <c r="AI100" s="47">
        <v>60900</v>
      </c>
      <c r="AJ100" s="45">
        <v>35</v>
      </c>
      <c r="AK100" s="46">
        <v>1448.5714285714287</v>
      </c>
      <c r="AL100" s="47">
        <v>50700</v>
      </c>
      <c r="AM100" s="45">
        <v>26</v>
      </c>
      <c r="AN100" s="46">
        <v>1457.6923076923076</v>
      </c>
      <c r="AO100" s="47">
        <v>37900</v>
      </c>
      <c r="AQ100" s="48">
        <f>+AQ97+AQ98+AQ99</f>
        <v>216</v>
      </c>
      <c r="AR100" s="49">
        <f t="shared" ref="AR100" si="199">IF(AQ100&lt;=0,0,AS100/AQ100)</f>
        <v>1270.6818518518496</v>
      </c>
      <c r="AS100" s="50">
        <f>+AS97+AS98+AS99</f>
        <v>274467.2799999995</v>
      </c>
      <c r="AU100" s="48">
        <f>+AU97+AU98+AU99</f>
        <v>127</v>
      </c>
      <c r="AV100" s="49">
        <f t="shared" ref="AV100" si="200">IF(AU100&lt;=0,0,AW100/AU100)</f>
        <v>1450.3937007874015</v>
      </c>
      <c r="AW100" s="50">
        <f>+AW97+AW98+AW99</f>
        <v>184200</v>
      </c>
      <c r="AY100" s="48">
        <f>+AY97+AY98+AY99</f>
        <v>216</v>
      </c>
      <c r="AZ100" s="49">
        <f>IF(AY100&lt;=0,0,BA100/AY100)</f>
        <v>1270.6818518518469</v>
      </c>
      <c r="BA100" s="50">
        <f>+BA97+BA98+BA99</f>
        <v>274467.27999999892</v>
      </c>
      <c r="BC100" s="48">
        <f t="shared" ref="BC100" si="201">+BC97+BC98</f>
        <v>0</v>
      </c>
      <c r="BD100" s="49">
        <f>IF(BC100&lt;=0,0,BE100/BC100)</f>
        <v>0</v>
      </c>
      <c r="BE100" s="51">
        <f>+BE97+BE98+BE99</f>
        <v>-5.6570570450276136E-10</v>
      </c>
    </row>
    <row r="101" spans="1:57" s="15" customFormat="1" ht="20.25" customHeight="1" outlineLevel="1">
      <c r="B101" s="63"/>
      <c r="C101" s="190"/>
      <c r="D101" s="191"/>
      <c r="E101" s="192"/>
      <c r="F101" s="190"/>
      <c r="G101" s="191"/>
      <c r="H101" s="192"/>
      <c r="I101" s="190"/>
      <c r="J101" s="191"/>
      <c r="K101" s="192"/>
      <c r="L101" s="190"/>
      <c r="M101" s="191"/>
      <c r="N101" s="192"/>
      <c r="O101" s="190"/>
      <c r="P101" s="191"/>
      <c r="Q101" s="192"/>
      <c r="R101" s="190"/>
      <c r="S101" s="191"/>
      <c r="T101" s="192"/>
      <c r="U101" s="190"/>
      <c r="V101" s="191"/>
      <c r="W101" s="192"/>
      <c r="X101" s="190"/>
      <c r="Y101" s="191"/>
      <c r="Z101" s="192"/>
      <c r="AA101" s="190"/>
      <c r="AB101" s="191"/>
      <c r="AC101" s="192"/>
      <c r="AD101" s="190"/>
      <c r="AE101" s="191"/>
      <c r="AF101" s="192"/>
      <c r="AG101" s="190"/>
      <c r="AH101" s="191"/>
      <c r="AI101" s="192"/>
      <c r="AJ101" s="190"/>
      <c r="AK101" s="191"/>
      <c r="AL101" s="192"/>
      <c r="AM101" s="190"/>
      <c r="AN101" s="191"/>
      <c r="AO101" s="192"/>
      <c r="AQ101" s="193"/>
      <c r="AR101" s="194"/>
      <c r="AS101" s="195"/>
      <c r="AU101" s="193"/>
      <c r="AV101" s="194"/>
      <c r="AW101" s="195"/>
      <c r="AY101" s="193"/>
      <c r="AZ101" s="194"/>
      <c r="BA101" s="195"/>
      <c r="BC101" s="193"/>
      <c r="BD101" s="194"/>
      <c r="BE101" s="196"/>
    </row>
    <row r="102" spans="1:57" s="15" customFormat="1" ht="19.5" customHeight="1" outlineLevel="1">
      <c r="B102" s="34"/>
      <c r="C102" s="34"/>
      <c r="D102" s="72"/>
      <c r="E102" s="52"/>
      <c r="F102" s="42"/>
      <c r="G102" s="72"/>
      <c r="H102" s="43"/>
      <c r="I102" s="42"/>
      <c r="J102" s="72"/>
      <c r="K102" s="43"/>
      <c r="L102" s="42"/>
      <c r="M102" s="72"/>
      <c r="N102" s="43"/>
      <c r="O102" s="42"/>
      <c r="P102" s="72"/>
      <c r="Q102" s="43"/>
      <c r="R102" s="42"/>
      <c r="S102" s="72"/>
      <c r="T102" s="43"/>
      <c r="U102" s="42"/>
      <c r="V102" s="72"/>
      <c r="W102" s="43"/>
      <c r="X102" s="42"/>
      <c r="Y102" s="72"/>
      <c r="Z102" s="43"/>
      <c r="AA102" s="42"/>
      <c r="AB102" s="72"/>
      <c r="AC102" s="43"/>
      <c r="AD102" s="42"/>
      <c r="AE102" s="72"/>
      <c r="AF102" s="43"/>
      <c r="AG102" s="42"/>
      <c r="AH102" s="72"/>
      <c r="AI102" s="43"/>
      <c r="AJ102" s="42"/>
      <c r="AK102" s="72"/>
      <c r="AL102" s="43"/>
      <c r="AM102" s="42"/>
      <c r="AN102" s="72"/>
      <c r="AO102" s="43"/>
      <c r="AQ102" s="53"/>
      <c r="AR102" s="74"/>
      <c r="AS102" s="54"/>
      <c r="AU102" s="53"/>
      <c r="AV102" s="74"/>
      <c r="AW102" s="54"/>
      <c r="AY102" s="24"/>
      <c r="AZ102" s="74"/>
      <c r="BA102" s="26"/>
      <c r="BC102" s="53">
        <f t="shared" ref="BC102:BE103" si="202">+AY102-AQ102</f>
        <v>0</v>
      </c>
      <c r="BD102" s="74">
        <f t="shared" si="202"/>
        <v>0</v>
      </c>
      <c r="BE102" s="27">
        <f t="shared" si="202"/>
        <v>0</v>
      </c>
    </row>
    <row r="103" spans="1:57" s="15" customFormat="1" ht="20.25" customHeight="1" outlineLevel="1">
      <c r="A103" s="15" t="s">
        <v>27</v>
      </c>
      <c r="B103" s="34" t="s">
        <v>104</v>
      </c>
      <c r="C103" s="35">
        <f>+SUM(F103,I103,L103,O103,R103,U103,X103,AA103,AD103,AG103,AJ103,AM103)</f>
        <v>375</v>
      </c>
      <c r="D103" s="36">
        <f>IF(C103=0,0,E103/C103)</f>
        <v>639.6280799999995</v>
      </c>
      <c r="E103" s="37">
        <f>+SUM(H103,K103,N103,Q103,T103,W103,Z103,AC103,AF103,AI103,AL103,AO103)</f>
        <v>239860.5299999998</v>
      </c>
      <c r="F103" s="35">
        <v>19</v>
      </c>
      <c r="G103" s="36">
        <f>IF(F103=0,0,H103/F103)</f>
        <v>343.84315789473737</v>
      </c>
      <c r="H103" s="37">
        <v>6533.0200000000104</v>
      </c>
      <c r="I103" s="35">
        <v>10</v>
      </c>
      <c r="J103" s="36">
        <f>IF(I103=0,0,K103/I103)</f>
        <v>743.69200000000103</v>
      </c>
      <c r="K103" s="37">
        <v>7436.9200000000101</v>
      </c>
      <c r="L103" s="35">
        <v>10</v>
      </c>
      <c r="M103" s="36">
        <f>IF(L103=0,0,N103/L103)</f>
        <v>1059.873</v>
      </c>
      <c r="N103" s="37">
        <v>10598.73</v>
      </c>
      <c r="O103" s="35">
        <v>18</v>
      </c>
      <c r="P103" s="36">
        <f>IF(O103=0,0,Q103/O103)</f>
        <v>1446.8283333333334</v>
      </c>
      <c r="Q103" s="37">
        <v>26042.91</v>
      </c>
      <c r="R103" s="35">
        <v>26</v>
      </c>
      <c r="S103" s="36">
        <f>IF(R103=0,0,T103/R103)</f>
        <v>637.83153846153459</v>
      </c>
      <c r="T103" s="37">
        <v>16583.619999999901</v>
      </c>
      <c r="U103" s="35">
        <v>45</v>
      </c>
      <c r="V103" s="36">
        <f>IF(U103=0,0,W103/U103)</f>
        <v>996.06622222222006</v>
      </c>
      <c r="W103" s="37">
        <v>44822.979999999901</v>
      </c>
      <c r="X103" s="35">
        <v>51</v>
      </c>
      <c r="Y103" s="36">
        <f>IF(X103=0,0,Z103/X103)</f>
        <v>737.09647058823521</v>
      </c>
      <c r="Z103" s="37">
        <v>37591.919999999998</v>
      </c>
      <c r="AA103" s="35">
        <f>+[1]VOLKS!$J$100</f>
        <v>50</v>
      </c>
      <c r="AB103" s="36">
        <f>IF(AA103=0,0,AC103/AA103)</f>
        <v>637.0086</v>
      </c>
      <c r="AC103" s="37">
        <f>+[1]VOLKS!$L$100</f>
        <v>31850.43</v>
      </c>
      <c r="AD103" s="35">
        <v>27</v>
      </c>
      <c r="AE103" s="36">
        <v>400</v>
      </c>
      <c r="AF103" s="37">
        <v>10800</v>
      </c>
      <c r="AG103" s="35">
        <v>45</v>
      </c>
      <c r="AH103" s="36">
        <v>400</v>
      </c>
      <c r="AI103" s="37">
        <v>18000</v>
      </c>
      <c r="AJ103" s="35">
        <v>39</v>
      </c>
      <c r="AK103" s="36">
        <v>400</v>
      </c>
      <c r="AL103" s="37">
        <v>15600</v>
      </c>
      <c r="AM103" s="35">
        <v>35</v>
      </c>
      <c r="AN103" s="36">
        <v>400</v>
      </c>
      <c r="AO103" s="37">
        <v>14000</v>
      </c>
      <c r="AQ103" s="38">
        <f>SUMIFS(F103:AO103,$F$7:$AO$7,"UNITE",$F$3:$AO$3,"RÉEL")</f>
        <v>229</v>
      </c>
      <c r="AR103" s="25">
        <f t="shared" ref="AR103" si="203">IF(AQ103=0,0,AS103/AQ103)</f>
        <v>792.40406113537028</v>
      </c>
      <c r="AS103" s="40">
        <f>SUMIFS(F103:AO103,$F$7:$AO$7,"$PROFITS",$F$3:$AO$3,"RÉEL")</f>
        <v>181460.5299999998</v>
      </c>
      <c r="AU103" s="38">
        <f>SUMIFS(F103:AO103,$F$7:$AO$7,"UNITE",$F$3:$AO$3,"BUDGET")</f>
        <v>146</v>
      </c>
      <c r="AV103" s="25">
        <f t="shared" ref="AV103" si="204">IF(AU103=0,0,AW103/AU103)</f>
        <v>400</v>
      </c>
      <c r="AW103" s="40">
        <f>SUMIFS(F103:AO103,$F$7:$AO$7,"$PROFITS",$F$3:$AO$3,"BUDGET")</f>
        <v>58400</v>
      </c>
      <c r="AY103" s="38">
        <f>+[2]VOLKS!$J$100</f>
        <v>229</v>
      </c>
      <c r="AZ103" s="25">
        <f>IF(AY103=0,0,BA103/AY103)</f>
        <v>792.40406113536687</v>
      </c>
      <c r="BA103" s="40">
        <f>+[2]VOLKS!$L$100</f>
        <v>181460.52999999901</v>
      </c>
      <c r="BC103" s="38">
        <f t="shared" si="202"/>
        <v>0</v>
      </c>
      <c r="BD103" s="25">
        <f t="shared" si="202"/>
        <v>-3.4106051316484809E-12</v>
      </c>
      <c r="BE103" s="41">
        <f t="shared" si="202"/>
        <v>-7.8580342233181E-10</v>
      </c>
    </row>
    <row r="104" spans="1:57" s="15" customFormat="1" ht="20.25" customHeight="1" outlineLevel="1">
      <c r="A104" s="15" t="s">
        <v>27</v>
      </c>
      <c r="B104" s="28"/>
      <c r="C104" s="197"/>
      <c r="D104" s="198"/>
      <c r="E104" s="199"/>
      <c r="F104" s="197"/>
      <c r="G104" s="198"/>
      <c r="H104" s="199"/>
      <c r="I104" s="197"/>
      <c r="J104" s="198"/>
      <c r="K104" s="199"/>
      <c r="L104" s="197"/>
      <c r="M104" s="198"/>
      <c r="N104" s="199"/>
      <c r="O104" s="197"/>
      <c r="P104" s="198"/>
      <c r="Q104" s="199"/>
      <c r="R104" s="197"/>
      <c r="S104" s="198"/>
      <c r="T104" s="199"/>
      <c r="U104" s="197"/>
      <c r="V104" s="198"/>
      <c r="W104" s="199"/>
      <c r="X104" s="197"/>
      <c r="Y104" s="198"/>
      <c r="Z104" s="199"/>
      <c r="AA104" s="197"/>
      <c r="AB104" s="198"/>
      <c r="AC104" s="199"/>
      <c r="AD104" s="197"/>
      <c r="AE104" s="198"/>
      <c r="AF104" s="199"/>
      <c r="AG104" s="197"/>
      <c r="AH104" s="198"/>
      <c r="AI104" s="199"/>
      <c r="AJ104" s="197"/>
      <c r="AK104" s="198"/>
      <c r="AL104" s="199"/>
      <c r="AM104" s="197"/>
      <c r="AN104" s="198"/>
      <c r="AO104" s="199"/>
      <c r="AQ104" s="29"/>
      <c r="AR104" s="30"/>
      <c r="AS104" s="200"/>
      <c r="AU104" s="29"/>
      <c r="AV104" s="30"/>
      <c r="AW104" s="200"/>
      <c r="AY104" s="29"/>
      <c r="AZ104" s="30"/>
      <c r="BA104" s="200"/>
      <c r="BC104" s="29"/>
      <c r="BD104" s="30"/>
      <c r="BE104" s="142"/>
    </row>
    <row r="105" spans="1:57" s="15" customFormat="1" ht="20.25" customHeight="1" outlineLevel="1">
      <c r="A105" s="15" t="s">
        <v>27</v>
      </c>
      <c r="B105" s="34" t="s">
        <v>37</v>
      </c>
      <c r="C105" s="35"/>
      <c r="D105" s="36">
        <f>IF(C100=0,0,E105/C100)</f>
        <v>455.5047813411079</v>
      </c>
      <c r="E105" s="37">
        <f>+SUM(H105,K105,N105,Q105,T105,W105,Z105,AC105,AF105,AI105,AL105,AO105)</f>
        <v>156238.14000000001</v>
      </c>
      <c r="F105" s="35"/>
      <c r="G105" s="36">
        <f>IF(F100=0,0,H105/F100)</f>
        <v>357.98250000000002</v>
      </c>
      <c r="H105" s="37">
        <v>8591.58</v>
      </c>
      <c r="I105" s="35"/>
      <c r="J105" s="36">
        <f>IF(I100=0,0,K105/I100)</f>
        <v>230.15882352941176</v>
      </c>
      <c r="K105" s="37">
        <v>3912.7</v>
      </c>
      <c r="L105" s="35"/>
      <c r="M105" s="36">
        <f>IF(L100=0,0,N105/L100)</f>
        <v>393.4133333333333</v>
      </c>
      <c r="N105" s="37">
        <v>11802.4</v>
      </c>
      <c r="O105" s="35"/>
      <c r="P105" s="36">
        <f>IF(O100=0,0,Q105/O100)</f>
        <v>305.93433333333337</v>
      </c>
      <c r="Q105" s="37">
        <v>9178.0300000000007</v>
      </c>
      <c r="R105" s="35"/>
      <c r="S105" s="36">
        <f>IF(R100=0,0,T105/R100)</f>
        <v>357.35966666666667</v>
      </c>
      <c r="T105" s="37">
        <v>10720.79</v>
      </c>
      <c r="U105" s="35"/>
      <c r="V105" s="36">
        <f>IF(U100=0,0,W105/U100)</f>
        <v>373.98400000000004</v>
      </c>
      <c r="W105" s="37">
        <v>11219.52</v>
      </c>
      <c r="X105" s="35"/>
      <c r="Y105" s="36">
        <f>IF(X100=0,0,Z105/X100)</f>
        <v>450.1742857142857</v>
      </c>
      <c r="Z105" s="37">
        <v>12604.88</v>
      </c>
      <c r="AA105" s="35"/>
      <c r="AB105" s="36">
        <f>IF(AA100=0,0,AC105/AA100)</f>
        <v>444.74962962962962</v>
      </c>
      <c r="AC105" s="37">
        <f>+[1]VOLKS!$L$102</f>
        <v>12008.24</v>
      </c>
      <c r="AD105" s="35"/>
      <c r="AE105" s="36">
        <v>600</v>
      </c>
      <c r="AF105" s="37">
        <v>14400</v>
      </c>
      <c r="AG105" s="35"/>
      <c r="AH105" s="36">
        <v>600</v>
      </c>
      <c r="AI105" s="37">
        <v>25200</v>
      </c>
      <c r="AJ105" s="35"/>
      <c r="AK105" s="36">
        <v>600</v>
      </c>
      <c r="AL105" s="37">
        <v>21000</v>
      </c>
      <c r="AM105" s="35"/>
      <c r="AN105" s="36">
        <v>600</v>
      </c>
      <c r="AO105" s="37">
        <v>15600</v>
      </c>
      <c r="AQ105" s="38"/>
      <c r="AR105" s="25">
        <f>IF(AQ100=0,0,AS105/AQ100)</f>
        <v>370.54694444444453</v>
      </c>
      <c r="AS105" s="40">
        <f>SUMIFS(F105:AO105,$F$7:$AO$7,"$PROFITS",$F$3:$AO$3,"RÉEL")</f>
        <v>80038.140000000014</v>
      </c>
      <c r="AU105" s="38"/>
      <c r="AV105" s="25">
        <f>IF(AU100=0,0,AW105/AU100)</f>
        <v>600</v>
      </c>
      <c r="AW105" s="40">
        <f>SUMIFS(F105:AO105,$F$7:$AO$7,"$PROFITS",$F$3:$AO$3,"BUDGET")</f>
        <v>76200</v>
      </c>
      <c r="AY105" s="38"/>
      <c r="AZ105" s="25">
        <f>IF(AY100=0,0,BA105/AY100)</f>
        <v>370.54694444444442</v>
      </c>
      <c r="BA105" s="40">
        <f>+[2]VOLKS!$L$102</f>
        <v>80038.14</v>
      </c>
      <c r="BC105" s="38"/>
      <c r="BD105" s="25">
        <f t="shared" ref="BD105:BE107" si="205">+AZ105-AR105</f>
        <v>0</v>
      </c>
      <c r="BE105" s="41">
        <f t="shared" si="205"/>
        <v>0</v>
      </c>
    </row>
    <row r="106" spans="1:57" s="15" customFormat="1" ht="20.25" customHeight="1" outlineLevel="1">
      <c r="A106" s="15" t="s">
        <v>27</v>
      </c>
      <c r="B106" s="34" t="s">
        <v>38</v>
      </c>
      <c r="C106" s="35"/>
      <c r="D106" s="36">
        <f>IF(C100=0,0,E106/C100)</f>
        <v>1465.7177842565595</v>
      </c>
      <c r="E106" s="37">
        <f>+SUM(H106,K106,N106,Q106,T106,W106,Z106,AC106,AF106,AI106,AL106,AO106)</f>
        <v>502741.1999999999</v>
      </c>
      <c r="F106" s="35"/>
      <c r="G106" s="36">
        <f>IF(F100=0,0,H106/F100)</f>
        <v>1456.1245833333332</v>
      </c>
      <c r="H106" s="37">
        <v>34946.99</v>
      </c>
      <c r="I106" s="35"/>
      <c r="J106" s="36">
        <f>IF(I100=0,0,K106/I100)</f>
        <v>1336.4476470588236</v>
      </c>
      <c r="K106" s="37">
        <v>22719.61</v>
      </c>
      <c r="L106" s="35"/>
      <c r="M106" s="36">
        <f>IF(L100=0,0,N106/L100)</f>
        <v>1414.3993333333301</v>
      </c>
      <c r="N106" s="37">
        <v>42431.979999999901</v>
      </c>
      <c r="O106" s="35"/>
      <c r="P106" s="36">
        <f>IF(O100=0,0,Q106/O100)</f>
        <v>1730.1366666666665</v>
      </c>
      <c r="Q106" s="37">
        <v>51904.1</v>
      </c>
      <c r="R106" s="35"/>
      <c r="S106" s="36">
        <f>IF(R100=0,0,T106/R100)</f>
        <v>1630.4856666666667</v>
      </c>
      <c r="T106" s="37">
        <v>48914.57</v>
      </c>
      <c r="U106" s="35"/>
      <c r="V106" s="36">
        <f>IF(U100=0,0,W106/U100)</f>
        <v>1465.0156666666667</v>
      </c>
      <c r="W106" s="37">
        <v>43950.47</v>
      </c>
      <c r="X106" s="35"/>
      <c r="Y106" s="36">
        <f>IF(X100=0,0,Z106/X100)</f>
        <v>1933.1910714285714</v>
      </c>
      <c r="Z106" s="37">
        <v>54129.35</v>
      </c>
      <c r="AA106" s="35"/>
      <c r="AB106" s="36">
        <f>IF(AA100=0,0,AC106/AA100)</f>
        <v>1666.4492592592592</v>
      </c>
      <c r="AC106" s="37">
        <f>+[1]VOLKS!$L$103</f>
        <v>44994.13</v>
      </c>
      <c r="AD106" s="35"/>
      <c r="AE106" s="36">
        <v>1250</v>
      </c>
      <c r="AF106" s="37">
        <v>30000</v>
      </c>
      <c r="AG106" s="35"/>
      <c r="AH106" s="36">
        <v>1250</v>
      </c>
      <c r="AI106" s="37">
        <v>52500</v>
      </c>
      <c r="AJ106" s="35"/>
      <c r="AK106" s="36">
        <v>1250</v>
      </c>
      <c r="AL106" s="37">
        <v>43750</v>
      </c>
      <c r="AM106" s="35"/>
      <c r="AN106" s="36">
        <v>1250</v>
      </c>
      <c r="AO106" s="37">
        <v>32500</v>
      </c>
      <c r="AQ106" s="38"/>
      <c r="AR106" s="25">
        <f>IF(AQ100=0,0,AS106/AQ100)</f>
        <v>1592.5518518518513</v>
      </c>
      <c r="AS106" s="40">
        <f>SUMIFS(F106:AO106,$F$7:$AO$7,"$PROFITS",$F$3:$AO$3,"RÉEL")</f>
        <v>343991.1999999999</v>
      </c>
      <c r="AU106" s="38"/>
      <c r="AV106" s="25">
        <f>IF(AU100=0,0,AW106/AU100)</f>
        <v>1250</v>
      </c>
      <c r="AW106" s="40">
        <f>SUMIFS(F106:AO106,$F$7:$AO$7,"$PROFITS",$F$3:$AO$3,"BUDGET")</f>
        <v>158750</v>
      </c>
      <c r="AY106" s="38"/>
      <c r="AZ106" s="25">
        <f>IF(AY100=0,0,BA106/AY100)</f>
        <v>1592.551851851852</v>
      </c>
      <c r="BA106" s="40">
        <f>+[2]VOLKS!$L$103</f>
        <v>343991.2</v>
      </c>
      <c r="BC106" s="38"/>
      <c r="BD106" s="25">
        <f t="shared" si="205"/>
        <v>0</v>
      </c>
      <c r="BE106" s="41">
        <f t="shared" si="205"/>
        <v>0</v>
      </c>
    </row>
    <row r="107" spans="1:57" s="15" customFormat="1" ht="20.25" customHeight="1" outlineLevel="1">
      <c r="A107" s="15" t="s">
        <v>27</v>
      </c>
      <c r="B107" s="34" t="s">
        <v>39</v>
      </c>
      <c r="C107" s="35"/>
      <c r="D107" s="198">
        <f>IF(C100=0,0,E107/C100)</f>
        <v>44.433586005830904</v>
      </c>
      <c r="E107" s="37">
        <f>+SUM(H107,K107,N107,Q107,T107,W107,Z107,AC107,AF107,AI107,AL107,AO107)</f>
        <v>15240.72</v>
      </c>
      <c r="F107" s="35">
        <f>F99</f>
        <v>2</v>
      </c>
      <c r="G107" s="198">
        <f>IF(F100=0,0,H107/F100)</f>
        <v>22.08</v>
      </c>
      <c r="H107" s="37">
        <v>529.91999999999996</v>
      </c>
      <c r="I107" s="35">
        <f>I99</f>
        <v>2</v>
      </c>
      <c r="J107" s="198">
        <f>IF(I100=0,0,K107/I100)</f>
        <v>14.874705882352941</v>
      </c>
      <c r="K107" s="37">
        <v>252.87</v>
      </c>
      <c r="L107" s="35">
        <f>L99</f>
        <v>1</v>
      </c>
      <c r="M107" s="198">
        <f>IF(L100=0,0,N107/L100)</f>
        <v>60.827333333333328</v>
      </c>
      <c r="N107" s="37">
        <v>1824.82</v>
      </c>
      <c r="O107" s="35">
        <f>O99</f>
        <v>2</v>
      </c>
      <c r="P107" s="198">
        <f>IF(O100=0,0,Q107/O100)</f>
        <v>9.5846666666666671</v>
      </c>
      <c r="Q107" s="37">
        <v>287.54000000000002</v>
      </c>
      <c r="R107" s="35">
        <f>R99</f>
        <v>0</v>
      </c>
      <c r="S107" s="198">
        <f>IF(R100=0,0,T107/R100)</f>
        <v>40.291000000000004</v>
      </c>
      <c r="T107" s="37">
        <v>1208.73</v>
      </c>
      <c r="U107" s="35">
        <f>U99</f>
        <v>0</v>
      </c>
      <c r="V107" s="198">
        <f>IF(U100=0,0,W107/U100)</f>
        <v>71.340333333333334</v>
      </c>
      <c r="W107" s="37">
        <v>2140.21</v>
      </c>
      <c r="X107" s="35">
        <f>X99</f>
        <v>0</v>
      </c>
      <c r="Y107" s="198">
        <f>IF(X100=0,0,Z107/X100)</f>
        <v>28.672142857142859</v>
      </c>
      <c r="Z107" s="37">
        <v>802.82</v>
      </c>
      <c r="AA107" s="35">
        <f>AA99</f>
        <v>0</v>
      </c>
      <c r="AB107" s="198">
        <f>IF(AA100=0,0,AC107/AA100)</f>
        <v>68.289259259259254</v>
      </c>
      <c r="AC107" s="37">
        <f>+[1]VOLKS!$L$104</f>
        <v>1843.81</v>
      </c>
      <c r="AD107" s="35"/>
      <c r="AE107" s="198">
        <v>50</v>
      </c>
      <c r="AF107" s="37">
        <v>1200</v>
      </c>
      <c r="AG107" s="35"/>
      <c r="AH107" s="198">
        <v>50</v>
      </c>
      <c r="AI107" s="37">
        <v>2100</v>
      </c>
      <c r="AJ107" s="35"/>
      <c r="AK107" s="198">
        <v>50</v>
      </c>
      <c r="AL107" s="37">
        <v>1750</v>
      </c>
      <c r="AM107" s="35"/>
      <c r="AN107" s="198">
        <v>50</v>
      </c>
      <c r="AO107" s="37">
        <v>1300</v>
      </c>
      <c r="AQ107" s="38"/>
      <c r="AR107" s="30">
        <f>IF(AQ100=0,0,AS107/AQ100)</f>
        <v>41.160740740740735</v>
      </c>
      <c r="AS107" s="40">
        <f>SUMIFS(F107:AO107,$F$7:$AO$7,"$PROFITS",$F$3:$AO$3,"RÉEL")</f>
        <v>8890.7199999999993</v>
      </c>
      <c r="AU107" s="38"/>
      <c r="AV107" s="30">
        <f>IF(AU100=0,0,AW107/AU100)</f>
        <v>50</v>
      </c>
      <c r="AW107" s="40">
        <f>SUMIFS(F107:AO107,$F$7:$AO$7,"$PROFITS",$F$3:$AO$3,"BUDGET")</f>
        <v>6350</v>
      </c>
      <c r="AY107" s="38">
        <f>AY99</f>
        <v>7</v>
      </c>
      <c r="AZ107" s="30">
        <f>IF(AY100=0,0,BA107/AY100)</f>
        <v>41.160740740740735</v>
      </c>
      <c r="BA107" s="40">
        <f>+[2]VOLKS!$L$104</f>
        <v>8890.7199999999993</v>
      </c>
      <c r="BC107" s="38"/>
      <c r="BD107" s="30">
        <f t="shared" si="205"/>
        <v>0</v>
      </c>
      <c r="BE107" s="41">
        <f t="shared" si="205"/>
        <v>0</v>
      </c>
    </row>
    <row r="108" spans="1:57" s="15" customFormat="1" ht="20.25" customHeight="1" outlineLevel="1">
      <c r="A108" s="15" t="s">
        <v>27</v>
      </c>
      <c r="B108" s="44" t="s">
        <v>40</v>
      </c>
      <c r="C108" s="45">
        <f>C100</f>
        <v>343</v>
      </c>
      <c r="D108" s="46">
        <f>IF(C108&lt;=0,0,E108/C108)</f>
        <v>1965.6561516034981</v>
      </c>
      <c r="E108" s="47">
        <f>E105+E106+E107</f>
        <v>674220.05999999982</v>
      </c>
      <c r="F108" s="45">
        <f>F100</f>
        <v>24</v>
      </c>
      <c r="G108" s="46">
        <f>IF(F108&lt;=0,0,H108/F108)</f>
        <v>1836.1870833333332</v>
      </c>
      <c r="H108" s="47">
        <f>H105+H106+H107</f>
        <v>44068.49</v>
      </c>
      <c r="I108" s="45">
        <f>I100</f>
        <v>17</v>
      </c>
      <c r="J108" s="46">
        <f>IF(I108&lt;=0,0,K108/I108)</f>
        <v>1581.4811764705883</v>
      </c>
      <c r="K108" s="47">
        <f>K105+K106+K107</f>
        <v>26885.18</v>
      </c>
      <c r="L108" s="45">
        <f>L100</f>
        <v>30</v>
      </c>
      <c r="M108" s="46">
        <f>IF(L108&lt;=0,0,N108/L108)</f>
        <v>1868.6399999999967</v>
      </c>
      <c r="N108" s="47">
        <f>N105+N106+N107</f>
        <v>56059.199999999903</v>
      </c>
      <c r="O108" s="45">
        <f>O100</f>
        <v>30</v>
      </c>
      <c r="P108" s="46">
        <f>IF(O108&lt;=0,0,Q108/O108)</f>
        <v>2045.6556666666665</v>
      </c>
      <c r="Q108" s="47">
        <f>Q105+Q106+Q107</f>
        <v>61369.67</v>
      </c>
      <c r="R108" s="45">
        <f>R100</f>
        <v>30</v>
      </c>
      <c r="S108" s="46">
        <f>IF(R108&lt;=0,0,T108/R108)</f>
        <v>2028.1363333333334</v>
      </c>
      <c r="T108" s="47">
        <f>T105+T106+T107</f>
        <v>60844.090000000004</v>
      </c>
      <c r="U108" s="45">
        <f>U100</f>
        <v>30</v>
      </c>
      <c r="V108" s="46">
        <f>IF(U108&lt;=0,0,W108/U108)</f>
        <v>1910.3400000000001</v>
      </c>
      <c r="W108" s="47">
        <f>W105+W106+W107</f>
        <v>57310.200000000004</v>
      </c>
      <c r="X108" s="45">
        <f>X100</f>
        <v>28</v>
      </c>
      <c r="Y108" s="46">
        <f>IF(X108&lt;=0,0,Z108/X108)</f>
        <v>2412.0374999999999</v>
      </c>
      <c r="Z108" s="47">
        <f>Z105+Z106+Z107</f>
        <v>67537.05</v>
      </c>
      <c r="AA108" s="45">
        <f>AA100</f>
        <v>27</v>
      </c>
      <c r="AB108" s="46">
        <f>IF(AA108&lt;=0,0,AC108/AA108)</f>
        <v>2179.488148148148</v>
      </c>
      <c r="AC108" s="47">
        <f>AC105+AC106+AC107</f>
        <v>58846.179999999993</v>
      </c>
      <c r="AD108" s="45">
        <v>24</v>
      </c>
      <c r="AE108" s="46">
        <v>1900</v>
      </c>
      <c r="AF108" s="47">
        <v>45600</v>
      </c>
      <c r="AG108" s="45">
        <v>42</v>
      </c>
      <c r="AH108" s="46">
        <v>1900</v>
      </c>
      <c r="AI108" s="47">
        <v>79800</v>
      </c>
      <c r="AJ108" s="45">
        <v>35</v>
      </c>
      <c r="AK108" s="46">
        <v>1900</v>
      </c>
      <c r="AL108" s="47">
        <v>66500</v>
      </c>
      <c r="AM108" s="45">
        <v>26</v>
      </c>
      <c r="AN108" s="46">
        <v>1900</v>
      </c>
      <c r="AO108" s="47">
        <v>49400</v>
      </c>
      <c r="AQ108" s="48">
        <f>AQ100</f>
        <v>216</v>
      </c>
      <c r="AR108" s="49">
        <f t="shared" ref="AR108" si="206">IF(AQ108&lt;=0,0,AS108/AQ108)</f>
        <v>2004.2595370370366</v>
      </c>
      <c r="AS108" s="50">
        <f t="shared" ref="AS108" si="207">AS105+AS106+AS107</f>
        <v>432920.05999999988</v>
      </c>
      <c r="AU108" s="48">
        <f>AU100</f>
        <v>127</v>
      </c>
      <c r="AV108" s="49">
        <f t="shared" ref="AV108" si="208">IF(AU108&lt;=0,0,AW108/AU108)</f>
        <v>1900</v>
      </c>
      <c r="AW108" s="50">
        <f t="shared" ref="AW108" si="209">AW105+AW106+AW107</f>
        <v>241300</v>
      </c>
      <c r="AY108" s="48">
        <f>AY100</f>
        <v>216</v>
      </c>
      <c r="AZ108" s="49">
        <f>IF(AY108&lt;=0,0,BA108/AY108)</f>
        <v>2004.259537037037</v>
      </c>
      <c r="BA108" s="50">
        <f>BA105+BA106+BA107</f>
        <v>432920.06</v>
      </c>
      <c r="BC108" s="48">
        <f>BC100</f>
        <v>0</v>
      </c>
      <c r="BD108" s="49">
        <f t="shared" ref="BD108" si="210">IF(BC108&lt;=0,0,BE108/BC108)</f>
        <v>0</v>
      </c>
      <c r="BE108" s="51">
        <f t="shared" ref="BE108" si="211">BE105+BE106+BE107</f>
        <v>0</v>
      </c>
    </row>
    <row r="109" spans="1:57" s="15" customFormat="1" ht="20.25" customHeight="1" outlineLevel="1">
      <c r="A109" s="15" t="s">
        <v>27</v>
      </c>
      <c r="B109" s="34"/>
      <c r="C109" s="34"/>
      <c r="D109" s="72"/>
      <c r="E109" s="73"/>
      <c r="F109" s="34"/>
      <c r="G109" s="72"/>
      <c r="H109" s="73"/>
      <c r="I109" s="34"/>
      <c r="J109" s="72"/>
      <c r="K109" s="73"/>
      <c r="L109" s="34"/>
      <c r="M109" s="72"/>
      <c r="N109" s="73"/>
      <c r="O109" s="34"/>
      <c r="P109" s="72"/>
      <c r="Q109" s="73"/>
      <c r="R109" s="34"/>
      <c r="S109" s="72"/>
      <c r="T109" s="73"/>
      <c r="U109" s="34"/>
      <c r="V109" s="72"/>
      <c r="W109" s="73"/>
      <c r="X109" s="34"/>
      <c r="Y109" s="72"/>
      <c r="Z109" s="73"/>
      <c r="AA109" s="34"/>
      <c r="AB109" s="72"/>
      <c r="AC109" s="73"/>
      <c r="AD109" s="34"/>
      <c r="AE109" s="72"/>
      <c r="AF109" s="73"/>
      <c r="AG109" s="34"/>
      <c r="AH109" s="72"/>
      <c r="AI109" s="73"/>
      <c r="AJ109" s="34"/>
      <c r="AK109" s="72"/>
      <c r="AL109" s="73"/>
      <c r="AM109" s="34"/>
      <c r="AN109" s="72"/>
      <c r="AO109" s="73"/>
      <c r="AQ109" s="53"/>
      <c r="AR109" s="74"/>
      <c r="AS109" s="75"/>
      <c r="AU109" s="53"/>
      <c r="AV109" s="74"/>
      <c r="AW109" s="75"/>
      <c r="AY109" s="53"/>
      <c r="AZ109" s="74"/>
      <c r="BA109" s="75"/>
      <c r="BC109" s="53"/>
      <c r="BD109" s="74"/>
      <c r="BE109" s="27"/>
    </row>
    <row r="110" spans="1:57" s="15" customFormat="1" ht="20.25" customHeight="1" outlineLevel="1" thickBot="1">
      <c r="A110" s="15" t="s">
        <v>27</v>
      </c>
      <c r="B110" s="34"/>
      <c r="C110" s="34"/>
      <c r="D110" s="72"/>
      <c r="E110" s="73"/>
      <c r="F110" s="34"/>
      <c r="G110" s="72"/>
      <c r="H110" s="73"/>
      <c r="I110" s="34"/>
      <c r="J110" s="72"/>
      <c r="K110" s="73"/>
      <c r="L110" s="34"/>
      <c r="M110" s="72"/>
      <c r="N110" s="73"/>
      <c r="O110" s="34"/>
      <c r="P110" s="72"/>
      <c r="Q110" s="73"/>
      <c r="R110" s="34"/>
      <c r="S110" s="72"/>
      <c r="T110" s="73"/>
      <c r="U110" s="34"/>
      <c r="V110" s="72"/>
      <c r="W110" s="73"/>
      <c r="X110" s="34"/>
      <c r="Y110" s="72"/>
      <c r="Z110" s="73"/>
      <c r="AA110" s="34"/>
      <c r="AB110" s="72"/>
      <c r="AC110" s="73"/>
      <c r="AD110" s="34"/>
      <c r="AE110" s="72"/>
      <c r="AF110" s="73"/>
      <c r="AG110" s="34"/>
      <c r="AH110" s="72"/>
      <c r="AI110" s="73"/>
      <c r="AJ110" s="34"/>
      <c r="AK110" s="72"/>
      <c r="AL110" s="73"/>
      <c r="AM110" s="34"/>
      <c r="AN110" s="72"/>
      <c r="AO110" s="73"/>
      <c r="AQ110" s="53"/>
      <c r="AR110" s="74"/>
      <c r="AS110" s="75"/>
      <c r="AU110" s="53"/>
      <c r="AV110" s="74"/>
      <c r="AW110" s="75"/>
      <c r="AY110" s="53"/>
      <c r="AZ110" s="74"/>
      <c r="BA110" s="75"/>
      <c r="BC110" s="53"/>
      <c r="BD110" s="74"/>
      <c r="BE110" s="27"/>
    </row>
    <row r="111" spans="1:57" s="15" customFormat="1" ht="21" customHeight="1" outlineLevel="1" thickTop="1">
      <c r="A111" s="15" t="s">
        <v>27</v>
      </c>
      <c r="B111" s="76" t="s">
        <v>105</v>
      </c>
      <c r="C111" s="77">
        <f>C100+C103</f>
        <v>718</v>
      </c>
      <c r="D111" s="78">
        <f>IF(C111&lt;=0,0,E111/C111)</f>
        <v>1911.9051114206118</v>
      </c>
      <c r="E111" s="79">
        <f>E100+E108+E103</f>
        <v>1372747.8699999992</v>
      </c>
      <c r="F111" s="77">
        <f>F100+F103</f>
        <v>43</v>
      </c>
      <c r="G111" s="78">
        <f>IF(F111&lt;=0,0,H111/F111)</f>
        <v>2057.408372093023</v>
      </c>
      <c r="H111" s="79">
        <f>H100+H108+H103</f>
        <v>88468.559999999983</v>
      </c>
      <c r="I111" s="77">
        <f>I100+I103</f>
        <v>27</v>
      </c>
      <c r="J111" s="78">
        <f>IF(I111&lt;=0,0,K111/I111)</f>
        <v>2119.9681481481448</v>
      </c>
      <c r="K111" s="79">
        <f>K100+K108+K103</f>
        <v>57239.139999999912</v>
      </c>
      <c r="L111" s="77">
        <f>L100+L103</f>
        <v>40</v>
      </c>
      <c r="M111" s="78">
        <f>IF(L111&lt;=0,0,N111/L111)</f>
        <v>2706.0862499999948</v>
      </c>
      <c r="N111" s="79">
        <f>N100+N108+N103</f>
        <v>108243.44999999979</v>
      </c>
      <c r="O111" s="77">
        <f>O100+O103</f>
        <v>48</v>
      </c>
      <c r="P111" s="78">
        <f>IF(O111&lt;=0,0,Q111/O111)</f>
        <v>2399.7404166666643</v>
      </c>
      <c r="Q111" s="79">
        <f>Q100+Q108+Q103</f>
        <v>115187.53999999989</v>
      </c>
      <c r="R111" s="77">
        <f>R100+R103</f>
        <v>56</v>
      </c>
      <c r="S111" s="78">
        <f>IF(R111&lt;=0,0,T111/R111)</f>
        <v>2134.3708928571409</v>
      </c>
      <c r="T111" s="79">
        <f>T100+T108+T103</f>
        <v>119524.7699999999</v>
      </c>
      <c r="U111" s="77">
        <f>U100+U103</f>
        <v>75</v>
      </c>
      <c r="V111" s="78">
        <f>IF(U111&lt;=0,0,W111/U111)</f>
        <v>2149.2457333333305</v>
      </c>
      <c r="W111" s="80">
        <f>W100+W108+W103</f>
        <v>161193.42999999979</v>
      </c>
      <c r="X111" s="77">
        <f>X100+X103</f>
        <v>79</v>
      </c>
      <c r="Y111" s="78">
        <f>IF(X111&lt;=0,0,Z111/X111)</f>
        <v>1686.9216455696187</v>
      </c>
      <c r="Z111" s="80">
        <f>Z100+Z108+Z103</f>
        <v>133266.80999999988</v>
      </c>
      <c r="AA111" s="77">
        <f>AA100+AA103</f>
        <v>77</v>
      </c>
      <c r="AB111" s="78">
        <f>IF(AA111&lt;=0,0,AC111/AA111)</f>
        <v>1373.0411688311685</v>
      </c>
      <c r="AC111" s="80">
        <f>AC100+AC108+AC103</f>
        <v>105724.16999999998</v>
      </c>
      <c r="AD111" s="77">
        <v>51</v>
      </c>
      <c r="AE111" s="78">
        <v>1786.2745098039215</v>
      </c>
      <c r="AF111" s="79">
        <v>91100</v>
      </c>
      <c r="AG111" s="77">
        <v>87</v>
      </c>
      <c r="AH111" s="78">
        <v>1824.1379310344828</v>
      </c>
      <c r="AI111" s="79">
        <v>158700</v>
      </c>
      <c r="AJ111" s="77">
        <v>74</v>
      </c>
      <c r="AK111" s="78">
        <v>1794.5945945945946</v>
      </c>
      <c r="AL111" s="79">
        <v>132800</v>
      </c>
      <c r="AM111" s="77">
        <v>61</v>
      </c>
      <c r="AN111" s="78">
        <v>1660.655737704918</v>
      </c>
      <c r="AO111" s="79">
        <v>101300</v>
      </c>
      <c r="AQ111" s="81">
        <f>AQ100+AQ103</f>
        <v>445</v>
      </c>
      <c r="AR111" s="82">
        <f t="shared" ref="AR111" si="212">IF(AQ111&lt;=0,0,AS111/AQ111)</f>
        <v>1997.4109438202229</v>
      </c>
      <c r="AS111" s="83">
        <f>AS100+AS108+AS103</f>
        <v>888847.86999999918</v>
      </c>
      <c r="AU111" s="81">
        <f>AU100+AU103</f>
        <v>273</v>
      </c>
      <c r="AV111" s="82">
        <f t="shared" ref="AV111" si="213">IF(AU111&lt;=0,0,AW111/AU111)</f>
        <v>1772.5274725274726</v>
      </c>
      <c r="AW111" s="83">
        <f>AW100+AW108+AW103</f>
        <v>483900</v>
      </c>
      <c r="AY111" s="81">
        <f>AY100+AY103</f>
        <v>445</v>
      </c>
      <c r="AZ111" s="82">
        <f>IF(AY111&lt;=0,0,BA111/AY111)</f>
        <v>1997.4109438202199</v>
      </c>
      <c r="BA111" s="83">
        <f>BA100+BA108+BA103</f>
        <v>888847.8699999979</v>
      </c>
      <c r="BC111" s="81">
        <f>BC100+BC103</f>
        <v>0</v>
      </c>
      <c r="BD111" s="82">
        <f t="shared" ref="BD111" si="214">IF(BC111&lt;=0,0,BE111/BC111)</f>
        <v>0</v>
      </c>
      <c r="BE111" s="84">
        <f>BE100+BE108+BE103</f>
        <v>-1.3515091268345714E-9</v>
      </c>
    </row>
    <row r="112" spans="1:57" s="15" customFormat="1" ht="21" customHeight="1" outlineLevel="1" thickBot="1">
      <c r="A112" s="15" t="s">
        <v>27</v>
      </c>
      <c r="B112" s="85"/>
      <c r="C112" s="85"/>
      <c r="D112" s="86"/>
      <c r="E112" s="87"/>
      <c r="F112" s="85"/>
      <c r="G112" s="86"/>
      <c r="H112" s="87"/>
      <c r="I112" s="85"/>
      <c r="J112" s="86"/>
      <c r="K112" s="87"/>
      <c r="L112" s="85"/>
      <c r="M112" s="86"/>
      <c r="N112" s="87"/>
      <c r="O112" s="85"/>
      <c r="P112" s="86"/>
      <c r="Q112" s="87"/>
      <c r="R112" s="85"/>
      <c r="S112" s="86"/>
      <c r="T112" s="87"/>
      <c r="U112" s="85"/>
      <c r="V112" s="86"/>
      <c r="W112" s="88"/>
      <c r="X112" s="85"/>
      <c r="Y112" s="86"/>
      <c r="Z112" s="88"/>
      <c r="AA112" s="85"/>
      <c r="AB112" s="86"/>
      <c r="AC112" s="88"/>
      <c r="AD112" s="85"/>
      <c r="AE112" s="86"/>
      <c r="AF112" s="87"/>
      <c r="AG112" s="85"/>
      <c r="AH112" s="86"/>
      <c r="AI112" s="87"/>
      <c r="AJ112" s="85"/>
      <c r="AK112" s="86"/>
      <c r="AL112" s="87"/>
      <c r="AM112" s="85"/>
      <c r="AN112" s="86"/>
      <c r="AO112" s="87"/>
      <c r="AQ112" s="89"/>
      <c r="AR112" s="90"/>
      <c r="AS112" s="91"/>
      <c r="AU112" s="89"/>
      <c r="AV112" s="90"/>
      <c r="AW112" s="91"/>
      <c r="AY112" s="89"/>
      <c r="AZ112" s="90"/>
      <c r="BA112" s="91"/>
      <c r="BC112" s="89"/>
      <c r="BD112" s="90"/>
      <c r="BE112" s="92"/>
    </row>
    <row r="113" spans="1:57" s="15" customFormat="1" ht="21" thickTop="1">
      <c r="A113" s="15" t="s">
        <v>27</v>
      </c>
      <c r="B113" s="63"/>
      <c r="C113" s="63"/>
      <c r="D113" s="201"/>
      <c r="E113" s="96"/>
      <c r="F113" s="63"/>
      <c r="G113" s="201"/>
      <c r="H113" s="96"/>
      <c r="I113" s="63"/>
      <c r="J113" s="201"/>
      <c r="K113" s="96"/>
      <c r="L113" s="63"/>
      <c r="M113" s="201"/>
      <c r="N113" s="96"/>
      <c r="O113" s="63"/>
      <c r="P113" s="201"/>
      <c r="Q113" s="96"/>
      <c r="R113" s="63"/>
      <c r="S113" s="201"/>
      <c r="T113" s="96"/>
      <c r="U113" s="63"/>
      <c r="V113" s="201"/>
      <c r="W113" s="96"/>
      <c r="X113" s="63"/>
      <c r="Y113" s="201"/>
      <c r="Z113" s="96"/>
      <c r="AA113" s="63"/>
      <c r="AB113" s="201"/>
      <c r="AC113" s="96"/>
      <c r="AD113" s="63"/>
      <c r="AE113" s="201"/>
      <c r="AF113" s="96"/>
      <c r="AG113" s="63"/>
      <c r="AH113" s="201"/>
      <c r="AI113" s="96"/>
      <c r="AJ113" s="63"/>
      <c r="AK113" s="201"/>
      <c r="AL113" s="96"/>
      <c r="AM113" s="63"/>
      <c r="AN113" s="201"/>
      <c r="AO113" s="96"/>
      <c r="AQ113" s="202"/>
      <c r="AR113" s="203"/>
      <c r="AS113" s="204"/>
      <c r="AU113" s="202"/>
      <c r="AV113" s="203"/>
      <c r="AW113" s="204"/>
      <c r="AY113" s="202"/>
      <c r="AZ113" s="203"/>
      <c r="BA113" s="204"/>
      <c r="BC113" s="202"/>
      <c r="BD113" s="203"/>
      <c r="BE113" s="196"/>
    </row>
    <row r="114" spans="1:57" s="15" customFormat="1" ht="20.25">
      <c r="A114" s="15" t="s">
        <v>27</v>
      </c>
      <c r="B114" s="101" t="s">
        <v>42</v>
      </c>
      <c r="C114" s="34"/>
      <c r="D114" s="74"/>
      <c r="E114" s="52"/>
      <c r="F114" s="34"/>
      <c r="G114" s="74"/>
      <c r="H114" s="43"/>
      <c r="I114" s="34"/>
      <c r="J114" s="74"/>
      <c r="K114" s="43"/>
      <c r="L114" s="34"/>
      <c r="M114" s="74"/>
      <c r="N114" s="52"/>
      <c r="O114" s="34"/>
      <c r="P114" s="74"/>
      <c r="Q114" s="52"/>
      <c r="R114" s="34"/>
      <c r="S114" s="74"/>
      <c r="T114" s="52"/>
      <c r="U114" s="34"/>
      <c r="V114" s="74"/>
      <c r="W114" s="52"/>
      <c r="X114" s="34"/>
      <c r="Y114" s="74"/>
      <c r="Z114" s="52"/>
      <c r="AA114" s="34"/>
      <c r="AB114" s="74"/>
      <c r="AC114" s="52"/>
      <c r="AD114" s="34"/>
      <c r="AE114" s="74"/>
      <c r="AF114" s="52"/>
      <c r="AG114" s="34"/>
      <c r="AH114" s="74"/>
      <c r="AI114" s="52"/>
      <c r="AJ114" s="34"/>
      <c r="AK114" s="74"/>
      <c r="AL114" s="52"/>
      <c r="AM114" s="34"/>
      <c r="AN114" s="74"/>
      <c r="AO114" s="52"/>
      <c r="AQ114" s="53"/>
      <c r="AR114" s="74"/>
      <c r="AS114" s="54"/>
      <c r="AU114" s="53"/>
      <c r="AV114" s="74"/>
      <c r="AW114" s="54"/>
      <c r="AY114" s="53">
        <f>BA114/BA100</f>
        <v>0.38247393277625086</v>
      </c>
      <c r="AZ114" s="74">
        <f t="shared" ref="AZ114:AZ121" si="215">IF(AY$99=0,0,BA114/(AY$97+AY$98))</f>
        <v>502.28028708133974</v>
      </c>
      <c r="BA114" s="26">
        <f>+[2]VOLKS!$L$112</f>
        <v>104976.58</v>
      </c>
      <c r="BC114" s="53"/>
      <c r="BD114" s="74"/>
      <c r="BE114" s="27"/>
    </row>
    <row r="115" spans="1:57" s="15" customFormat="1" ht="20.25">
      <c r="A115" s="15" t="s">
        <v>43</v>
      </c>
      <c r="B115" s="34" t="s">
        <v>44</v>
      </c>
      <c r="C115" s="205">
        <f>E115/E100</f>
        <v>0.3680110761316821</v>
      </c>
      <c r="D115" s="103">
        <f t="shared" ref="D115:D121" si="216">IF(C$100=0,0,E115/(C$97+C$98))</f>
        <v>527.48324780997302</v>
      </c>
      <c r="E115" s="104">
        <f t="shared" ref="E115:E121" si="217">+SUM(H115,K115,N115,Q115,T115,W115,Z115,AC115,AF115,AI115,AL115,AO115)</f>
        <v>168794.63929919136</v>
      </c>
      <c r="F115" s="205">
        <f>+H115/H108</f>
        <v>0.32560498442311048</v>
      </c>
      <c r="G115" s="103">
        <f t="shared" ref="G115:G121" si="218">IF(F$99=0,0,H115/(F$97+F$98))</f>
        <v>652.22363636363639</v>
      </c>
      <c r="H115" s="104">
        <v>14348.92</v>
      </c>
      <c r="I115" s="205">
        <f>+K115/K108</f>
        <v>0.33145026367686586</v>
      </c>
      <c r="J115" s="103">
        <f t="shared" ref="J115:J121" si="219">IF(I$99=0,0,K115/(I$97+I$98))</f>
        <v>594.07333333333338</v>
      </c>
      <c r="K115" s="104">
        <v>8911.1</v>
      </c>
      <c r="L115" s="205">
        <f>+N115/N108</f>
        <v>0.25430527014299215</v>
      </c>
      <c r="M115" s="103">
        <f t="shared" ref="M115:M121" si="220">IF(L$99=0,0,N115/(L$97+L$98))</f>
        <v>491.59137931034479</v>
      </c>
      <c r="N115" s="104">
        <v>14256.15</v>
      </c>
      <c r="O115" s="205">
        <f>+Q115/Q108</f>
        <v>0.15181131004941043</v>
      </c>
      <c r="P115" s="103">
        <f t="shared" ref="P115:P121" si="221">IF(O$99=0,0,Q115/(O$97+O$98))</f>
        <v>332.73607142857145</v>
      </c>
      <c r="Q115" s="104">
        <v>9316.61</v>
      </c>
      <c r="R115" s="205">
        <f>+T115/T108</f>
        <v>0.27248776339657638</v>
      </c>
      <c r="S115" s="103">
        <f t="shared" ref="S115:S121" si="222">IF(R$99=0,0,T115/(R$97+R$98))</f>
        <v>0</v>
      </c>
      <c r="T115" s="104">
        <v>16579.27</v>
      </c>
      <c r="U115" s="205">
        <f>+W115/W108</f>
        <v>0.29186846320550269</v>
      </c>
      <c r="V115" s="103">
        <f t="shared" ref="V115:V121" si="223">IF(U$99=0,0,W115/(U$97+U$98))</f>
        <v>0</v>
      </c>
      <c r="W115" s="104">
        <v>16727.04</v>
      </c>
      <c r="X115" s="205">
        <f>+Z115/Z108</f>
        <v>0.17780314656917942</v>
      </c>
      <c r="Y115" s="103">
        <f t="shared" ref="Y115:Y121" si="224">IF(X$99=0,0,Z115/(X$97+X$98))</f>
        <v>0</v>
      </c>
      <c r="Z115" s="104">
        <v>12008.3</v>
      </c>
      <c r="AA115" s="205">
        <f>+AC115/AC108</f>
        <v>0.21801228219061972</v>
      </c>
      <c r="AB115" s="103">
        <f t="shared" ref="AB115:AB121" si="225">IF(AA$99=0,0,AC115/(AA$97+AA$98))</f>
        <v>0</v>
      </c>
      <c r="AC115" s="104">
        <f>+[1]VOLKS!$L$112</f>
        <v>12829.19</v>
      </c>
      <c r="AD115" s="205">
        <v>0.3657068286506599</v>
      </c>
      <c r="AE115" s="103">
        <v>604.28699781799514</v>
      </c>
      <c r="AF115" s="104">
        <v>12690.026954177898</v>
      </c>
      <c r="AG115" s="205">
        <v>0.33838336896241905</v>
      </c>
      <c r="AH115" s="103">
        <v>556.96073431922491</v>
      </c>
      <c r="AI115" s="104">
        <v>20607.547169811322</v>
      </c>
      <c r="AJ115" s="205">
        <v>0.33608723158795728</v>
      </c>
      <c r="AK115" s="103">
        <v>567.98742138364787</v>
      </c>
      <c r="AL115" s="105">
        <v>17039.622641509435</v>
      </c>
      <c r="AM115" s="205">
        <v>0.35569558136392404</v>
      </c>
      <c r="AN115" s="103">
        <v>586.1244579866401</v>
      </c>
      <c r="AO115" s="105">
        <v>13480.862533692722</v>
      </c>
      <c r="AQ115" s="206">
        <f>AS115/AS100</f>
        <v>0.38247393277625003</v>
      </c>
      <c r="AR115" s="107">
        <f t="shared" ref="AR115:AR121" si="226">IF(AQ$100=0,0,AS115/(AQ$97+AQ$98))</f>
        <v>502.28028708133974</v>
      </c>
      <c r="AS115" s="108">
        <f t="shared" ref="AS115:AS121" si="227">SUMIFS(F115:AO115,$F$7:$AO$7,"$PROFITS",$F$3:$AO$3,"RÉEL")</f>
        <v>104976.58</v>
      </c>
      <c r="AU115" s="206">
        <f>AW115/AW100</f>
        <v>0.3464606910922442</v>
      </c>
      <c r="AV115" s="107">
        <f t="shared" ref="AV115:AV121" si="228">IF(AU$100=0,0,AW115/(AU$97+AU$98))</f>
        <v>574.93747116388636</v>
      </c>
      <c r="AW115" s="108">
        <f t="shared" ref="AW115:AW121" si="229">SUMIFS(F115:AO115,$F$7:$AO$7,"$PROFITS",$F$3:$AO$3,"BUDGET")</f>
        <v>63818.05929919138</v>
      </c>
      <c r="AY115" s="206">
        <f>+BA115/BA108</f>
        <v>0.24248490587384655</v>
      </c>
      <c r="AZ115" s="107">
        <f t="shared" si="215"/>
        <v>502.28028708133974</v>
      </c>
      <c r="BA115" s="108">
        <f>+[2]VOLKS!$L$112</f>
        <v>104976.58</v>
      </c>
      <c r="BC115" s="206">
        <f>BE115/BE100</f>
        <v>0</v>
      </c>
      <c r="BD115" s="107">
        <f t="shared" ref="BD115:BD121" si="230">IF(BC$100=0,0,BE115/(BC$97+BC$98))</f>
        <v>0</v>
      </c>
      <c r="BE115" s="109">
        <f t="shared" ref="BE115:BE121" si="231">+BA115-AS115</f>
        <v>0</v>
      </c>
    </row>
    <row r="116" spans="1:57" s="15" customFormat="1" ht="20.25">
      <c r="A116" s="15" t="s">
        <v>45</v>
      </c>
      <c r="B116" s="28" t="s">
        <v>46</v>
      </c>
      <c r="C116" s="110">
        <f>+E116/E108</f>
        <v>0.29595771742537602</v>
      </c>
      <c r="D116" s="111">
        <f t="shared" si="216"/>
        <v>623.56446875000006</v>
      </c>
      <c r="E116" s="112">
        <f t="shared" si="217"/>
        <v>199540.63</v>
      </c>
      <c r="F116" s="110"/>
      <c r="G116" s="111">
        <f t="shared" si="218"/>
        <v>600.90454545454543</v>
      </c>
      <c r="H116" s="112">
        <v>13219.9</v>
      </c>
      <c r="I116" s="110"/>
      <c r="J116" s="111">
        <f t="shared" si="219"/>
        <v>448.07266666666669</v>
      </c>
      <c r="K116" s="112">
        <v>6721.09</v>
      </c>
      <c r="L116" s="110"/>
      <c r="M116" s="111">
        <f t="shared" si="220"/>
        <v>541.24620689655171</v>
      </c>
      <c r="N116" s="112">
        <v>15696.14</v>
      </c>
      <c r="O116" s="110"/>
      <c r="P116" s="111">
        <f t="shared" si="221"/>
        <v>657.53321428571428</v>
      </c>
      <c r="Q116" s="112">
        <v>18410.93</v>
      </c>
      <c r="R116" s="110"/>
      <c r="S116" s="111">
        <f t="shared" si="222"/>
        <v>0</v>
      </c>
      <c r="T116" s="112">
        <v>18252.73</v>
      </c>
      <c r="U116" s="110"/>
      <c r="V116" s="111">
        <f t="shared" si="223"/>
        <v>0</v>
      </c>
      <c r="W116" s="112">
        <v>17157.810000000001</v>
      </c>
      <c r="X116" s="110"/>
      <c r="Y116" s="111">
        <f t="shared" si="224"/>
        <v>0</v>
      </c>
      <c r="Z116" s="112">
        <v>20164.34</v>
      </c>
      <c r="AA116" s="110"/>
      <c r="AB116" s="111">
        <f t="shared" si="225"/>
        <v>0</v>
      </c>
      <c r="AC116" s="112">
        <f>+[1]VOLKS!$L$113</f>
        <v>17527.689999999999</v>
      </c>
      <c r="AD116" s="207">
        <v>0.3</v>
      </c>
      <c r="AE116" s="111">
        <v>651.42857142857144</v>
      </c>
      <c r="AF116" s="112">
        <v>13680</v>
      </c>
      <c r="AG116" s="207">
        <v>0.3</v>
      </c>
      <c r="AH116" s="111">
        <v>647.02702702702697</v>
      </c>
      <c r="AI116" s="112">
        <v>23940</v>
      </c>
      <c r="AJ116" s="207">
        <v>0.3</v>
      </c>
      <c r="AK116" s="111">
        <v>665</v>
      </c>
      <c r="AL116" s="113">
        <v>19950</v>
      </c>
      <c r="AM116" s="207">
        <v>0.3</v>
      </c>
      <c r="AN116" s="111">
        <v>644.3478260869565</v>
      </c>
      <c r="AO116" s="113">
        <v>14820</v>
      </c>
      <c r="AQ116" s="114">
        <f>+AS116/AS108</f>
        <v>0.29370463914284783</v>
      </c>
      <c r="AR116" s="115">
        <f t="shared" si="226"/>
        <v>608.37622009569372</v>
      </c>
      <c r="AS116" s="117">
        <f t="shared" si="227"/>
        <v>127150.62999999999</v>
      </c>
      <c r="AU116" s="114">
        <f>+AW116/AW108</f>
        <v>0.3</v>
      </c>
      <c r="AV116" s="115">
        <f t="shared" si="228"/>
        <v>652.16216216216219</v>
      </c>
      <c r="AW116" s="117">
        <f t="shared" si="229"/>
        <v>72390</v>
      </c>
      <c r="AY116" s="114"/>
      <c r="AZ116" s="115">
        <f t="shared" si="215"/>
        <v>608.37622009569384</v>
      </c>
      <c r="BA116" s="117">
        <f>+[2]VOLKS!$L$113</f>
        <v>127150.63</v>
      </c>
      <c r="BC116" s="114" t="e">
        <f>+BE116/BE108</f>
        <v>#DIV/0!</v>
      </c>
      <c r="BD116" s="115">
        <f t="shared" si="230"/>
        <v>0</v>
      </c>
      <c r="BE116" s="118">
        <f t="shared" si="231"/>
        <v>0</v>
      </c>
    </row>
    <row r="117" spans="1:57" s="15" customFormat="1" ht="20.25">
      <c r="A117" s="15" t="s">
        <v>47</v>
      </c>
      <c r="B117" s="34" t="s">
        <v>48</v>
      </c>
      <c r="C117" s="34"/>
      <c r="D117" s="103">
        <f t="shared" si="216"/>
        <v>-31.178562499999998</v>
      </c>
      <c r="E117" s="104">
        <f t="shared" si="217"/>
        <v>-9977.14</v>
      </c>
      <c r="F117" s="34"/>
      <c r="G117" s="103">
        <f t="shared" si="218"/>
        <v>-18.423636363636362</v>
      </c>
      <c r="H117" s="104">
        <v>-405.32</v>
      </c>
      <c r="I117" s="34"/>
      <c r="J117" s="103">
        <f t="shared" si="219"/>
        <v>-44.719333333333331</v>
      </c>
      <c r="K117" s="104">
        <v>-670.79</v>
      </c>
      <c r="L117" s="34"/>
      <c r="M117" s="103">
        <f t="shared" si="220"/>
        <v>-92.657241379310349</v>
      </c>
      <c r="N117" s="104">
        <v>-2687.06</v>
      </c>
      <c r="O117" s="34"/>
      <c r="P117" s="103">
        <f t="shared" si="221"/>
        <v>-90.678214285714276</v>
      </c>
      <c r="Q117" s="104">
        <v>-2538.9899999999998</v>
      </c>
      <c r="R117" s="34"/>
      <c r="S117" s="103">
        <f t="shared" si="222"/>
        <v>0</v>
      </c>
      <c r="T117" s="104">
        <v>-1828.08</v>
      </c>
      <c r="U117" s="34"/>
      <c r="V117" s="103">
        <f t="shared" si="223"/>
        <v>0</v>
      </c>
      <c r="W117" s="104">
        <v>-775.8</v>
      </c>
      <c r="X117" s="34"/>
      <c r="Y117" s="103">
        <f t="shared" si="224"/>
        <v>0</v>
      </c>
      <c r="Z117" s="104">
        <v>-1754.51</v>
      </c>
      <c r="AA117" s="34"/>
      <c r="AB117" s="103">
        <f t="shared" si="225"/>
        <v>0</v>
      </c>
      <c r="AC117" s="104">
        <f>+[1]VOLKS!$L$114</f>
        <v>-332.59</v>
      </c>
      <c r="AD117" s="34"/>
      <c r="AE117" s="103">
        <v>9.1428571428571423</v>
      </c>
      <c r="AF117" s="104">
        <v>192</v>
      </c>
      <c r="AG117" s="34"/>
      <c r="AH117" s="103">
        <v>9.0810810810810807</v>
      </c>
      <c r="AI117" s="104">
        <v>336</v>
      </c>
      <c r="AJ117" s="34"/>
      <c r="AK117" s="103">
        <v>9.3333333333333339</v>
      </c>
      <c r="AL117" s="105">
        <v>280</v>
      </c>
      <c r="AM117" s="34"/>
      <c r="AN117" s="103">
        <v>9.0434782608695645</v>
      </c>
      <c r="AO117" s="105">
        <v>208</v>
      </c>
      <c r="AQ117" s="53"/>
      <c r="AR117" s="107">
        <f t="shared" si="226"/>
        <v>-52.598755980861242</v>
      </c>
      <c r="AS117" s="108">
        <f t="shared" si="227"/>
        <v>-10993.14</v>
      </c>
      <c r="AU117" s="53"/>
      <c r="AV117" s="107">
        <f t="shared" si="228"/>
        <v>9.1531531531531538</v>
      </c>
      <c r="AW117" s="108">
        <f t="shared" si="229"/>
        <v>1016</v>
      </c>
      <c r="AY117" s="53"/>
      <c r="AZ117" s="107">
        <f t="shared" si="215"/>
        <v>-52.598755980861242</v>
      </c>
      <c r="BA117" s="108">
        <f>+[2]VOLKS!$L$114</f>
        <v>-10993.14</v>
      </c>
      <c r="BC117" s="53"/>
      <c r="BD117" s="107">
        <f t="shared" si="230"/>
        <v>0</v>
      </c>
      <c r="BE117" s="109">
        <f t="shared" si="231"/>
        <v>0</v>
      </c>
    </row>
    <row r="118" spans="1:57" s="15" customFormat="1" ht="20.25">
      <c r="A118" s="15" t="s">
        <v>49</v>
      </c>
      <c r="B118" s="34" t="s">
        <v>50</v>
      </c>
      <c r="C118" s="34"/>
      <c r="D118" s="103">
        <f t="shared" si="216"/>
        <v>61.563249999999996</v>
      </c>
      <c r="E118" s="104">
        <f t="shared" si="217"/>
        <v>19700.239999999998</v>
      </c>
      <c r="F118" s="34"/>
      <c r="G118" s="103">
        <f t="shared" si="218"/>
        <v>43.118636363636362</v>
      </c>
      <c r="H118" s="104">
        <v>948.61</v>
      </c>
      <c r="I118" s="34"/>
      <c r="J118" s="103">
        <f t="shared" si="219"/>
        <v>28.663333333333334</v>
      </c>
      <c r="K118" s="104">
        <v>429.95</v>
      </c>
      <c r="L118" s="34"/>
      <c r="M118" s="103">
        <f t="shared" si="220"/>
        <v>40.642413793103451</v>
      </c>
      <c r="N118" s="104">
        <v>1178.6300000000001</v>
      </c>
      <c r="O118" s="34"/>
      <c r="P118" s="103">
        <f t="shared" si="221"/>
        <v>32.045357142857142</v>
      </c>
      <c r="Q118" s="104">
        <v>897.27</v>
      </c>
      <c r="R118" s="34"/>
      <c r="S118" s="103">
        <f t="shared" si="222"/>
        <v>0</v>
      </c>
      <c r="T118" s="104">
        <v>2691.69</v>
      </c>
      <c r="U118" s="34"/>
      <c r="V118" s="103">
        <f t="shared" si="223"/>
        <v>0</v>
      </c>
      <c r="W118" s="104">
        <v>2278.52</v>
      </c>
      <c r="X118" s="34"/>
      <c r="Y118" s="103">
        <f t="shared" si="224"/>
        <v>0</v>
      </c>
      <c r="Z118" s="104">
        <v>4983.57</v>
      </c>
      <c r="AA118" s="34"/>
      <c r="AB118" s="103">
        <f t="shared" si="225"/>
        <v>0</v>
      </c>
      <c r="AC118" s="104">
        <f>+[1]VOLKS!$L$115</f>
        <v>577</v>
      </c>
      <c r="AD118" s="34"/>
      <c r="AE118" s="103">
        <v>51.428571428571431</v>
      </c>
      <c r="AF118" s="104">
        <v>1080</v>
      </c>
      <c r="AG118" s="34"/>
      <c r="AH118" s="103">
        <v>51.081081081081081</v>
      </c>
      <c r="AI118" s="104">
        <v>1890</v>
      </c>
      <c r="AJ118" s="34"/>
      <c r="AK118" s="103">
        <v>52.5</v>
      </c>
      <c r="AL118" s="105">
        <v>1575</v>
      </c>
      <c r="AM118" s="34"/>
      <c r="AN118" s="103">
        <v>50.869565217391305</v>
      </c>
      <c r="AO118" s="105">
        <v>1170</v>
      </c>
      <c r="AQ118" s="53"/>
      <c r="AR118" s="107">
        <f t="shared" si="226"/>
        <v>66.915023923444977</v>
      </c>
      <c r="AS118" s="108">
        <f t="shared" si="227"/>
        <v>13985.24</v>
      </c>
      <c r="AU118" s="53"/>
      <c r="AV118" s="107">
        <f t="shared" si="228"/>
        <v>51.486486486486484</v>
      </c>
      <c r="AW118" s="108">
        <f t="shared" si="229"/>
        <v>5715</v>
      </c>
      <c r="AY118" s="53"/>
      <c r="AZ118" s="107">
        <f t="shared" si="215"/>
        <v>66.915023923444977</v>
      </c>
      <c r="BA118" s="108">
        <f>+[2]VOLKS!$L$115</f>
        <v>13985.24</v>
      </c>
      <c r="BC118" s="53"/>
      <c r="BD118" s="107">
        <f t="shared" si="230"/>
        <v>0</v>
      </c>
      <c r="BE118" s="109">
        <f t="shared" si="231"/>
        <v>0</v>
      </c>
    </row>
    <row r="119" spans="1:57" s="15" customFormat="1" ht="20.25">
      <c r="A119" s="15" t="s">
        <v>47</v>
      </c>
      <c r="B119" s="28" t="s">
        <v>51</v>
      </c>
      <c r="C119" s="28"/>
      <c r="D119" s="111">
        <f t="shared" si="216"/>
        <v>177.86025000000001</v>
      </c>
      <c r="E119" s="112">
        <f t="shared" si="217"/>
        <v>56915.28</v>
      </c>
      <c r="F119" s="28"/>
      <c r="G119" s="111">
        <f t="shared" si="218"/>
        <v>151.12090909090909</v>
      </c>
      <c r="H119" s="112">
        <v>3324.66</v>
      </c>
      <c r="I119" s="28"/>
      <c r="J119" s="111">
        <f t="shared" si="219"/>
        <v>119.66666666666667</v>
      </c>
      <c r="K119" s="112">
        <v>1795</v>
      </c>
      <c r="L119" s="28"/>
      <c r="M119" s="111">
        <f t="shared" si="220"/>
        <v>225.90827586206896</v>
      </c>
      <c r="N119" s="112">
        <v>6551.34</v>
      </c>
      <c r="O119" s="28"/>
      <c r="P119" s="111">
        <f t="shared" si="221"/>
        <v>127.62428571428572</v>
      </c>
      <c r="Q119" s="112">
        <v>3573.48</v>
      </c>
      <c r="R119" s="28"/>
      <c r="S119" s="111">
        <f t="shared" si="222"/>
        <v>0</v>
      </c>
      <c r="T119" s="112">
        <v>4307.83</v>
      </c>
      <c r="U119" s="28"/>
      <c r="V119" s="111">
        <f t="shared" si="223"/>
        <v>0</v>
      </c>
      <c r="W119" s="112">
        <v>9664.26</v>
      </c>
      <c r="X119" s="28"/>
      <c r="Y119" s="111">
        <f t="shared" si="224"/>
        <v>0</v>
      </c>
      <c r="Z119" s="112">
        <v>3765.58</v>
      </c>
      <c r="AA119" s="28"/>
      <c r="AB119" s="111">
        <f t="shared" si="225"/>
        <v>0</v>
      </c>
      <c r="AC119" s="112">
        <f>+[1]VOLKS!$L$116</f>
        <v>3613.13</v>
      </c>
      <c r="AD119" s="28"/>
      <c r="AE119" s="111">
        <v>182.85714285714286</v>
      </c>
      <c r="AF119" s="112">
        <v>3840</v>
      </c>
      <c r="AG119" s="28"/>
      <c r="AH119" s="111">
        <v>181.62162162162161</v>
      </c>
      <c r="AI119" s="112">
        <v>6720</v>
      </c>
      <c r="AJ119" s="28"/>
      <c r="AK119" s="111">
        <v>186.66666666666666</v>
      </c>
      <c r="AL119" s="113">
        <v>5600</v>
      </c>
      <c r="AM119" s="28"/>
      <c r="AN119" s="111">
        <v>180.86956521739131</v>
      </c>
      <c r="AO119" s="113">
        <v>4160</v>
      </c>
      <c r="AQ119" s="119"/>
      <c r="AR119" s="115">
        <f t="shared" si="226"/>
        <v>175.09703349282296</v>
      </c>
      <c r="AS119" s="117">
        <f t="shared" si="227"/>
        <v>36595.279999999999</v>
      </c>
      <c r="AU119" s="119"/>
      <c r="AV119" s="115">
        <f t="shared" si="228"/>
        <v>183.06306306306305</v>
      </c>
      <c r="AW119" s="117">
        <f t="shared" si="229"/>
        <v>20320</v>
      </c>
      <c r="AY119" s="119"/>
      <c r="AZ119" s="115">
        <f t="shared" si="215"/>
        <v>175.09703349282296</v>
      </c>
      <c r="BA119" s="117">
        <f>+[2]VOLKS!$L$116</f>
        <v>36595.279999999999</v>
      </c>
      <c r="BC119" s="119"/>
      <c r="BD119" s="115">
        <f t="shared" si="230"/>
        <v>0</v>
      </c>
      <c r="BE119" s="118">
        <f t="shared" si="231"/>
        <v>0</v>
      </c>
    </row>
    <row r="120" spans="1:57" s="15" customFormat="1" ht="21" customHeight="1">
      <c r="A120" s="15" t="s">
        <v>52</v>
      </c>
      <c r="B120" s="34" t="s">
        <v>53</v>
      </c>
      <c r="C120" s="34"/>
      <c r="D120" s="103">
        <f t="shared" si="216"/>
        <v>408.09109375000003</v>
      </c>
      <c r="E120" s="104">
        <f t="shared" si="217"/>
        <v>130589.15000000001</v>
      </c>
      <c r="F120" s="34"/>
      <c r="G120" s="103">
        <f t="shared" si="218"/>
        <v>556.01590909090908</v>
      </c>
      <c r="H120" s="104">
        <v>12232.35</v>
      </c>
      <c r="I120" s="34"/>
      <c r="J120" s="103">
        <f t="shared" si="219"/>
        <v>467.97399999999999</v>
      </c>
      <c r="K120" s="104">
        <v>7019.61</v>
      </c>
      <c r="L120" s="34"/>
      <c r="M120" s="103">
        <f t="shared" si="220"/>
        <v>366.05689655172415</v>
      </c>
      <c r="N120" s="104">
        <v>10615.65</v>
      </c>
      <c r="O120" s="34"/>
      <c r="P120" s="103">
        <f t="shared" si="221"/>
        <v>461.5385714285714</v>
      </c>
      <c r="Q120" s="104">
        <v>12923.08</v>
      </c>
      <c r="R120" s="34"/>
      <c r="S120" s="103">
        <f t="shared" si="222"/>
        <v>0</v>
      </c>
      <c r="T120" s="104">
        <v>11679.81</v>
      </c>
      <c r="U120" s="34"/>
      <c r="V120" s="103">
        <f t="shared" si="223"/>
        <v>0</v>
      </c>
      <c r="W120" s="104">
        <v>7506.82</v>
      </c>
      <c r="X120" s="34"/>
      <c r="Y120" s="103">
        <f t="shared" si="224"/>
        <v>0</v>
      </c>
      <c r="Z120" s="104">
        <v>9191.5300000000007</v>
      </c>
      <c r="AA120" s="34"/>
      <c r="AB120" s="103">
        <f t="shared" si="225"/>
        <v>0</v>
      </c>
      <c r="AC120" s="104">
        <f>+[1]VOLKS!$L$117</f>
        <v>10992.3</v>
      </c>
      <c r="AD120" s="34"/>
      <c r="AE120" s="103">
        <v>613.42857142857144</v>
      </c>
      <c r="AF120" s="104">
        <v>12882</v>
      </c>
      <c r="AG120" s="34"/>
      <c r="AH120" s="103">
        <v>299.51351351351349</v>
      </c>
      <c r="AI120" s="104">
        <v>11082</v>
      </c>
      <c r="AJ120" s="34"/>
      <c r="AK120" s="103">
        <v>392.73333333333335</v>
      </c>
      <c r="AL120" s="105">
        <v>11782</v>
      </c>
      <c r="AM120" s="34"/>
      <c r="AN120" s="103">
        <v>551.39130434782612</v>
      </c>
      <c r="AO120" s="105">
        <v>12682</v>
      </c>
      <c r="AQ120" s="53"/>
      <c r="AR120" s="107">
        <f t="shared" si="226"/>
        <v>393.11555023923449</v>
      </c>
      <c r="AS120" s="108">
        <f t="shared" si="227"/>
        <v>82161.150000000009</v>
      </c>
      <c r="AU120" s="53"/>
      <c r="AV120" s="107">
        <f t="shared" si="228"/>
        <v>436.2882882882883</v>
      </c>
      <c r="AW120" s="108">
        <f t="shared" si="229"/>
        <v>48428</v>
      </c>
      <c r="AY120" s="53"/>
      <c r="AZ120" s="107">
        <f t="shared" si="215"/>
        <v>393.11555023923444</v>
      </c>
      <c r="BA120" s="108">
        <f>+[2]VOLKS!$L$117</f>
        <v>82161.149999999994</v>
      </c>
      <c r="BC120" s="53"/>
      <c r="BD120" s="107">
        <f t="shared" si="230"/>
        <v>0</v>
      </c>
      <c r="BE120" s="109">
        <f t="shared" si="231"/>
        <v>0</v>
      </c>
    </row>
    <row r="121" spans="1:57" s="15" customFormat="1" ht="20.25">
      <c r="A121" s="15" t="s">
        <v>54</v>
      </c>
      <c r="B121" s="34" t="s">
        <v>55</v>
      </c>
      <c r="C121" s="34"/>
      <c r="D121" s="103">
        <f t="shared" si="216"/>
        <v>171.26983173771674</v>
      </c>
      <c r="E121" s="104">
        <f t="shared" si="217"/>
        <v>54806.346156069361</v>
      </c>
      <c r="F121" s="34"/>
      <c r="G121" s="103">
        <f t="shared" si="218"/>
        <v>118.57636363636362</v>
      </c>
      <c r="H121" s="104">
        <v>2608.6799999999998</v>
      </c>
      <c r="I121" s="34"/>
      <c r="J121" s="103">
        <f t="shared" si="219"/>
        <v>141.494</v>
      </c>
      <c r="K121" s="104">
        <v>2122.41</v>
      </c>
      <c r="L121" s="34"/>
      <c r="M121" s="103">
        <f t="shared" si="220"/>
        <v>70.131034482758622</v>
      </c>
      <c r="N121" s="104">
        <v>2033.8</v>
      </c>
      <c r="O121" s="34"/>
      <c r="P121" s="103">
        <f t="shared" si="221"/>
        <v>105.60428571428572</v>
      </c>
      <c r="Q121" s="104">
        <v>2956.92</v>
      </c>
      <c r="R121" s="34"/>
      <c r="S121" s="103">
        <f t="shared" si="222"/>
        <v>0</v>
      </c>
      <c r="T121" s="104">
        <v>4081.16</v>
      </c>
      <c r="U121" s="34"/>
      <c r="V121" s="103">
        <f t="shared" si="223"/>
        <v>0</v>
      </c>
      <c r="W121" s="104">
        <v>5014.7299999999996</v>
      </c>
      <c r="X121" s="34"/>
      <c r="Y121" s="103">
        <f t="shared" si="224"/>
        <v>0</v>
      </c>
      <c r="Z121" s="104">
        <v>4064.38</v>
      </c>
      <c r="AA121" s="34"/>
      <c r="AB121" s="103">
        <f t="shared" si="225"/>
        <v>0</v>
      </c>
      <c r="AC121" s="104">
        <f>+[1]VOLKS!$L$118</f>
        <v>2127.79</v>
      </c>
      <c r="AD121" s="34"/>
      <c r="AE121" s="103">
        <v>417.85452793834293</v>
      </c>
      <c r="AF121" s="104">
        <v>8774.9450867052019</v>
      </c>
      <c r="AG121" s="34"/>
      <c r="AH121" s="103">
        <v>214.71100218715827</v>
      </c>
      <c r="AI121" s="104">
        <v>7944.3070809248557</v>
      </c>
      <c r="AJ121" s="34"/>
      <c r="AK121" s="103">
        <v>237.12230250481696</v>
      </c>
      <c r="AL121" s="105">
        <v>7113.6690751445085</v>
      </c>
      <c r="AM121" s="34"/>
      <c r="AN121" s="103">
        <v>259.28499623020861</v>
      </c>
      <c r="AO121" s="105">
        <v>5963.5549132947981</v>
      </c>
      <c r="AQ121" s="53"/>
      <c r="AR121" s="107">
        <f t="shared" si="226"/>
        <v>119.66444976076556</v>
      </c>
      <c r="AS121" s="108">
        <f t="shared" si="227"/>
        <v>25009.870000000003</v>
      </c>
      <c r="AU121" s="53"/>
      <c r="AV121" s="107">
        <f t="shared" si="228"/>
        <v>268.43672212675102</v>
      </c>
      <c r="AW121" s="108">
        <f t="shared" si="229"/>
        <v>29796.476156069366</v>
      </c>
      <c r="AY121" s="53"/>
      <c r="AZ121" s="107">
        <f t="shared" si="215"/>
        <v>119.66444976076555</v>
      </c>
      <c r="BA121" s="108">
        <f>+[2]VOLKS!$L$118</f>
        <v>25009.87</v>
      </c>
      <c r="BC121" s="53"/>
      <c r="BD121" s="107">
        <f t="shared" si="230"/>
        <v>0</v>
      </c>
      <c r="BE121" s="109">
        <f t="shared" si="231"/>
        <v>0</v>
      </c>
    </row>
    <row r="122" spans="1:57" s="15" customFormat="1" ht="20.25" hidden="1" customHeight="1">
      <c r="B122" s="34"/>
      <c r="C122" s="208"/>
      <c r="D122" s="103"/>
      <c r="E122" s="73"/>
      <c r="F122" s="208"/>
      <c r="G122" s="103"/>
      <c r="H122" s="73"/>
      <c r="I122" s="208"/>
      <c r="J122" s="103"/>
      <c r="K122" s="73"/>
      <c r="L122" s="208"/>
      <c r="M122" s="103"/>
      <c r="N122" s="73"/>
      <c r="O122" s="208"/>
      <c r="P122" s="103"/>
      <c r="Q122" s="73"/>
      <c r="R122" s="208"/>
      <c r="S122" s="103"/>
      <c r="T122" s="73"/>
      <c r="U122" s="208"/>
      <c r="V122" s="103"/>
      <c r="W122" s="73"/>
      <c r="X122" s="208"/>
      <c r="Y122" s="103"/>
      <c r="Z122" s="73"/>
      <c r="AA122" s="208"/>
      <c r="AB122" s="103"/>
      <c r="AC122" s="73"/>
      <c r="AD122" s="208"/>
      <c r="AE122" s="103"/>
      <c r="AF122" s="73"/>
      <c r="AG122" s="208"/>
      <c r="AH122" s="103"/>
      <c r="AI122" s="73"/>
      <c r="AJ122" s="208"/>
      <c r="AK122" s="103"/>
      <c r="AL122" s="73"/>
      <c r="AM122" s="208"/>
      <c r="AN122" s="103"/>
      <c r="AO122" s="73"/>
      <c r="AQ122" s="53"/>
      <c r="AR122" s="107"/>
      <c r="AS122" s="75"/>
      <c r="AU122" s="53"/>
      <c r="AV122" s="107"/>
      <c r="AW122" s="75"/>
      <c r="AY122" s="53"/>
      <c r="AZ122" s="107"/>
      <c r="BA122" s="75"/>
      <c r="BC122" s="53"/>
      <c r="BD122" s="107"/>
      <c r="BE122" s="27"/>
    </row>
    <row r="123" spans="1:57" s="15" customFormat="1" ht="20.25" hidden="1" customHeight="1">
      <c r="B123" s="34"/>
      <c r="C123" s="208"/>
      <c r="D123" s="103"/>
      <c r="E123" s="73"/>
      <c r="F123" s="208"/>
      <c r="G123" s="103"/>
      <c r="H123" s="73"/>
      <c r="I123" s="208"/>
      <c r="J123" s="103"/>
      <c r="K123" s="73"/>
      <c r="L123" s="208"/>
      <c r="M123" s="103"/>
      <c r="N123" s="73"/>
      <c r="O123" s="208"/>
      <c r="P123" s="103"/>
      <c r="Q123" s="73"/>
      <c r="R123" s="208"/>
      <c r="S123" s="103"/>
      <c r="T123" s="73"/>
      <c r="U123" s="208"/>
      <c r="V123" s="103"/>
      <c r="W123" s="73"/>
      <c r="X123" s="208"/>
      <c r="Y123" s="103"/>
      <c r="Z123" s="73"/>
      <c r="AA123" s="208"/>
      <c r="AB123" s="103"/>
      <c r="AC123" s="73"/>
      <c r="AD123" s="208"/>
      <c r="AE123" s="103"/>
      <c r="AF123" s="73"/>
      <c r="AG123" s="208"/>
      <c r="AH123" s="103"/>
      <c r="AI123" s="73"/>
      <c r="AJ123" s="208"/>
      <c r="AK123" s="103"/>
      <c r="AL123" s="73"/>
      <c r="AM123" s="208"/>
      <c r="AN123" s="103"/>
      <c r="AO123" s="73"/>
      <c r="AQ123" s="53"/>
      <c r="AR123" s="107"/>
      <c r="AS123" s="75"/>
      <c r="AU123" s="53"/>
      <c r="AV123" s="107"/>
      <c r="AW123" s="75"/>
      <c r="AY123" s="53"/>
      <c r="AZ123" s="107"/>
      <c r="BA123" s="75"/>
      <c r="BC123" s="53"/>
      <c r="BD123" s="107"/>
      <c r="BE123" s="27"/>
    </row>
    <row r="124" spans="1:57" s="15" customFormat="1" ht="18" customHeight="1">
      <c r="B124" s="34"/>
      <c r="C124" s="208"/>
      <c r="D124" s="103"/>
      <c r="E124" s="73"/>
      <c r="F124" s="208"/>
      <c r="G124" s="103"/>
      <c r="H124" s="73"/>
      <c r="I124" s="208"/>
      <c r="J124" s="103"/>
      <c r="K124" s="73"/>
      <c r="L124" s="208"/>
      <c r="M124" s="103"/>
      <c r="N124" s="73"/>
      <c r="O124" s="208"/>
      <c r="P124" s="103"/>
      <c r="Q124" s="73"/>
      <c r="R124" s="208"/>
      <c r="S124" s="103"/>
      <c r="T124" s="73"/>
      <c r="U124" s="208"/>
      <c r="V124" s="103"/>
      <c r="W124" s="73"/>
      <c r="X124" s="208"/>
      <c r="Y124" s="103"/>
      <c r="Z124" s="73"/>
      <c r="AA124" s="208"/>
      <c r="AB124" s="103"/>
      <c r="AC124" s="73"/>
      <c r="AD124" s="208"/>
      <c r="AE124" s="103"/>
      <c r="AF124" s="73"/>
      <c r="AG124" s="208"/>
      <c r="AH124" s="103"/>
      <c r="AI124" s="73"/>
      <c r="AJ124" s="208"/>
      <c r="AK124" s="103"/>
      <c r="AL124" s="73"/>
      <c r="AM124" s="208"/>
      <c r="AN124" s="103"/>
      <c r="AO124" s="73"/>
      <c r="AQ124" s="53"/>
      <c r="AR124" s="107"/>
      <c r="AS124" s="75"/>
      <c r="AU124" s="53"/>
      <c r="AV124" s="107"/>
      <c r="AW124" s="75"/>
      <c r="AY124" s="53"/>
      <c r="AZ124" s="107"/>
      <c r="BA124" s="75"/>
      <c r="BC124" s="53"/>
      <c r="BD124" s="107"/>
      <c r="BE124" s="27"/>
    </row>
    <row r="125" spans="1:57" s="15" customFormat="1" ht="20.25">
      <c r="A125" s="15" t="s">
        <v>27</v>
      </c>
      <c r="B125" s="120" t="s">
        <v>56</v>
      </c>
      <c r="C125" s="121" t="s">
        <v>57</v>
      </c>
      <c r="D125" s="122">
        <f>IFERROR(E125/E$111,0)</f>
        <v>0.45191776218546309</v>
      </c>
      <c r="E125" s="123">
        <f>SUM(E115:E124)</f>
        <v>620369.14545526064</v>
      </c>
      <c r="F125" s="121" t="s">
        <v>57</v>
      </c>
      <c r="G125" s="122"/>
      <c r="H125" s="123">
        <v>46277.8</v>
      </c>
      <c r="I125" s="121" t="s">
        <v>57</v>
      </c>
      <c r="J125" s="122"/>
      <c r="K125" s="123">
        <v>26328.37</v>
      </c>
      <c r="L125" s="121" t="s">
        <v>57</v>
      </c>
      <c r="M125" s="122"/>
      <c r="N125" s="123">
        <v>47644.65</v>
      </c>
      <c r="O125" s="121" t="s">
        <v>57</v>
      </c>
      <c r="P125" s="122"/>
      <c r="Q125" s="123">
        <v>45539.3</v>
      </c>
      <c r="R125" s="209" t="s">
        <v>57</v>
      </c>
      <c r="S125" s="122"/>
      <c r="T125" s="123">
        <v>55764.41</v>
      </c>
      <c r="U125" s="209" t="s">
        <v>57</v>
      </c>
      <c r="V125" s="122"/>
      <c r="W125" s="124">
        <v>57573.38</v>
      </c>
      <c r="X125" s="209" t="s">
        <v>57</v>
      </c>
      <c r="Y125" s="122"/>
      <c r="Z125" s="124">
        <v>52423.1899999999</v>
      </c>
      <c r="AA125" s="209" t="s">
        <v>57</v>
      </c>
      <c r="AB125" s="122"/>
      <c r="AC125" s="124">
        <f>+[1]VOLKS!$L$122</f>
        <v>47334.51</v>
      </c>
      <c r="AD125" s="121" t="s">
        <v>57</v>
      </c>
      <c r="AE125" s="122">
        <v>0.58330375456512729</v>
      </c>
      <c r="AF125" s="123">
        <v>53138.972040883098</v>
      </c>
      <c r="AG125" s="121" t="s">
        <v>57</v>
      </c>
      <c r="AH125" s="122">
        <v>0.45696190454150087</v>
      </c>
      <c r="AI125" s="123">
        <v>72519.854250736185</v>
      </c>
      <c r="AJ125" s="121" t="s">
        <v>57</v>
      </c>
      <c r="AK125" s="122">
        <v>0.47696002798685194</v>
      </c>
      <c r="AL125" s="123">
        <v>63340.291716653941</v>
      </c>
      <c r="AM125" s="121" t="s">
        <v>57</v>
      </c>
      <c r="AN125" s="122">
        <v>0.51810876058230526</v>
      </c>
      <c r="AO125" s="123">
        <v>52484.417446987522</v>
      </c>
      <c r="AQ125" s="121" t="s">
        <v>57</v>
      </c>
      <c r="AR125" s="125">
        <f t="shared" ref="AR125" si="232">IFERROR(AS125/AS$111,0)</f>
        <v>0.42626598182656422</v>
      </c>
      <c r="AS125" s="126">
        <f t="shared" ref="AS125" si="233">SUM(AS115:AS124)</f>
        <v>378885.61</v>
      </c>
      <c r="AU125" s="121" t="s">
        <v>57</v>
      </c>
      <c r="AV125" s="125">
        <f t="shared" ref="AV125" si="234">IFERROR(AW125/AW$111,0)</f>
        <v>0.4990360311123388</v>
      </c>
      <c r="AW125" s="126">
        <f t="shared" ref="AW125" si="235">SUM(AW115:AW124)</f>
        <v>241483.53545526075</v>
      </c>
      <c r="AY125" s="121"/>
      <c r="AZ125" s="125"/>
      <c r="BA125" s="126">
        <f>+[2]VOLKS!$L$122</f>
        <v>378885.61</v>
      </c>
      <c r="BC125" s="121" t="s">
        <v>57</v>
      </c>
      <c r="BD125" s="125"/>
      <c r="BE125" s="127">
        <f t="shared" ref="BE125" si="236">SUM(BE115:BE124)</f>
        <v>0</v>
      </c>
    </row>
    <row r="126" spans="1:57" s="15" customFormat="1" ht="20.25">
      <c r="A126" s="15" t="s">
        <v>58</v>
      </c>
      <c r="B126" s="128" t="s">
        <v>59</v>
      </c>
      <c r="C126" s="34"/>
      <c r="D126" s="72"/>
      <c r="E126" s="104">
        <f t="shared" ref="E126:E136" si="237">+SUM(H126,K126,N126,Q126,T126,W126,Z126,AC126,AF126,AI126,AL126,AO126)</f>
        <v>116727.70551282052</v>
      </c>
      <c r="F126" s="34"/>
      <c r="G126" s="72"/>
      <c r="H126" s="104">
        <v>12489.2</v>
      </c>
      <c r="I126" s="34"/>
      <c r="J126" s="72"/>
      <c r="K126" s="104">
        <v>6449.93</v>
      </c>
      <c r="L126" s="34"/>
      <c r="M126" s="72"/>
      <c r="N126" s="104">
        <v>9449.93</v>
      </c>
      <c r="O126" s="34"/>
      <c r="P126" s="72"/>
      <c r="Q126" s="104">
        <v>9430.7000000000007</v>
      </c>
      <c r="R126" s="34"/>
      <c r="S126" s="72"/>
      <c r="T126" s="104">
        <v>7373.01</v>
      </c>
      <c r="U126" s="34"/>
      <c r="V126" s="72"/>
      <c r="W126" s="104">
        <v>8017.24</v>
      </c>
      <c r="X126" s="34"/>
      <c r="Y126" s="72"/>
      <c r="Z126" s="104">
        <v>12692.24</v>
      </c>
      <c r="AA126" s="34"/>
      <c r="AB126" s="72"/>
      <c r="AC126" s="104">
        <f>+[1]VOLKS!$L$123</f>
        <v>12758.11</v>
      </c>
      <c r="AD126" s="34"/>
      <c r="AE126" s="72"/>
      <c r="AF126" s="104">
        <v>9202.1205128205147</v>
      </c>
      <c r="AG126" s="34"/>
      <c r="AH126" s="72"/>
      <c r="AI126" s="104">
        <v>10460.983974358975</v>
      </c>
      <c r="AJ126" s="34"/>
      <c r="AK126" s="72"/>
      <c r="AL126" s="105">
        <v>9202.1205128205147</v>
      </c>
      <c r="AM126" s="34"/>
      <c r="AN126" s="72"/>
      <c r="AO126" s="105">
        <v>9202.1205128205147</v>
      </c>
      <c r="AQ126" s="53"/>
      <c r="AR126" s="74"/>
      <c r="AS126" s="108">
        <f t="shared" ref="AS126:AS136" si="238">SUMIFS(F126:AO126,$F$7:$AO$7,"$PROFITS",$F$3:$AO$3,"RÉEL")</f>
        <v>78660.36</v>
      </c>
      <c r="AU126" s="53"/>
      <c r="AV126" s="74"/>
      <c r="AW126" s="108">
        <f t="shared" ref="AW126:AW136" si="239">SUMIFS(F126:AO126,$F$7:$AO$7,"$PROFITS",$F$3:$AO$3,"BUDGET")</f>
        <v>38067.345512820517</v>
      </c>
      <c r="AY126" s="53"/>
      <c r="AZ126" s="74"/>
      <c r="BA126" s="108">
        <f>+[2]VOLKS!$L$123</f>
        <v>78660.36</v>
      </c>
      <c r="BC126" s="53"/>
      <c r="BD126" s="74"/>
      <c r="BE126" s="109">
        <f t="shared" ref="BE126:BE136" si="240">+BA126-AS126</f>
        <v>0</v>
      </c>
    </row>
    <row r="127" spans="1:57" s="15" customFormat="1" ht="20.25">
      <c r="A127" s="15" t="s">
        <v>60</v>
      </c>
      <c r="B127" s="129" t="s">
        <v>61</v>
      </c>
      <c r="C127" s="34"/>
      <c r="D127" s="72"/>
      <c r="E127" s="104">
        <f t="shared" si="237"/>
        <v>62887.338461538457</v>
      </c>
      <c r="F127" s="34"/>
      <c r="G127" s="72"/>
      <c r="H127" s="104">
        <v>5874.45</v>
      </c>
      <c r="I127" s="34"/>
      <c r="J127" s="72"/>
      <c r="K127" s="104">
        <v>5400.97</v>
      </c>
      <c r="L127" s="34"/>
      <c r="M127" s="72"/>
      <c r="N127" s="104">
        <v>5514.42</v>
      </c>
      <c r="O127" s="34"/>
      <c r="P127" s="72"/>
      <c r="Q127" s="104">
        <v>1983.51</v>
      </c>
      <c r="R127" s="34"/>
      <c r="S127" s="72"/>
      <c r="T127" s="104">
        <v>2166.67</v>
      </c>
      <c r="U127" s="34"/>
      <c r="V127" s="72"/>
      <c r="W127" s="104">
        <v>1931.75</v>
      </c>
      <c r="X127" s="34"/>
      <c r="Y127" s="72"/>
      <c r="Z127" s="104">
        <v>1911.65</v>
      </c>
      <c r="AA127" s="34"/>
      <c r="AB127" s="72"/>
      <c r="AC127" s="104">
        <f>+[1]VOLKS!$L$124</f>
        <v>2021.62</v>
      </c>
      <c r="AD127" s="34"/>
      <c r="AE127" s="72"/>
      <c r="AF127" s="104">
        <v>8529.65846153846</v>
      </c>
      <c r="AG127" s="34"/>
      <c r="AH127" s="72"/>
      <c r="AI127" s="104">
        <v>10493.323076923078</v>
      </c>
      <c r="AJ127" s="34"/>
      <c r="AK127" s="72"/>
      <c r="AL127" s="105">
        <v>8529.65846153846</v>
      </c>
      <c r="AM127" s="34"/>
      <c r="AN127" s="72"/>
      <c r="AO127" s="105">
        <v>8529.65846153846</v>
      </c>
      <c r="AQ127" s="53"/>
      <c r="AR127" s="74"/>
      <c r="AS127" s="108">
        <f t="shared" si="238"/>
        <v>26805.039999999997</v>
      </c>
      <c r="AU127" s="53"/>
      <c r="AV127" s="74"/>
      <c r="AW127" s="108">
        <f t="shared" si="239"/>
        <v>36082.298461538456</v>
      </c>
      <c r="AY127" s="53"/>
      <c r="AZ127" s="74"/>
      <c r="BA127" s="108">
        <f>+[2]VOLKS!$L$124</f>
        <v>26805.040000000001</v>
      </c>
      <c r="BC127" s="53"/>
      <c r="BD127" s="74"/>
      <c r="BE127" s="109">
        <f t="shared" si="240"/>
        <v>0</v>
      </c>
    </row>
    <row r="128" spans="1:57" s="15" customFormat="1" ht="20.25">
      <c r="A128" s="15" t="s">
        <v>60</v>
      </c>
      <c r="B128" s="128" t="s">
        <v>62</v>
      </c>
      <c r="C128" s="23"/>
      <c r="D128" s="130"/>
      <c r="E128" s="131">
        <f t="shared" si="237"/>
        <v>54962.392307692309</v>
      </c>
      <c r="F128" s="23"/>
      <c r="G128" s="130"/>
      <c r="H128" s="131">
        <v>5161</v>
      </c>
      <c r="I128" s="23"/>
      <c r="J128" s="130"/>
      <c r="K128" s="131">
        <v>5999</v>
      </c>
      <c r="L128" s="23"/>
      <c r="M128" s="130"/>
      <c r="N128" s="131">
        <v>3236</v>
      </c>
      <c r="O128" s="23"/>
      <c r="P128" s="130"/>
      <c r="Q128" s="131">
        <v>4612.75</v>
      </c>
      <c r="R128" s="23"/>
      <c r="S128" s="130"/>
      <c r="T128" s="131">
        <v>5875.5</v>
      </c>
      <c r="U128" s="23"/>
      <c r="V128" s="130"/>
      <c r="W128" s="131">
        <v>5223.6000000000004</v>
      </c>
      <c r="X128" s="23"/>
      <c r="Y128" s="130"/>
      <c r="Z128" s="131">
        <v>5511.25</v>
      </c>
      <c r="AA128" s="23"/>
      <c r="AB128" s="130"/>
      <c r="AC128" s="131">
        <f>+[1]VOLKS!$L$125</f>
        <v>5127.5</v>
      </c>
      <c r="AD128" s="23"/>
      <c r="AE128" s="130"/>
      <c r="AF128" s="131">
        <v>3344.8923076923074</v>
      </c>
      <c r="AG128" s="23"/>
      <c r="AH128" s="130"/>
      <c r="AI128" s="131">
        <v>4181.1153846153848</v>
      </c>
      <c r="AJ128" s="23"/>
      <c r="AK128" s="130"/>
      <c r="AL128" s="132">
        <v>3344.8923076923074</v>
      </c>
      <c r="AM128" s="23"/>
      <c r="AN128" s="130"/>
      <c r="AO128" s="132">
        <v>3344.8923076923074</v>
      </c>
      <c r="AQ128" s="133"/>
      <c r="AR128" s="134"/>
      <c r="AS128" s="135">
        <f t="shared" si="238"/>
        <v>40746.6</v>
      </c>
      <c r="AU128" s="133"/>
      <c r="AV128" s="134"/>
      <c r="AW128" s="135">
        <f t="shared" si="239"/>
        <v>14215.792307692307</v>
      </c>
      <c r="AY128" s="133"/>
      <c r="AZ128" s="134"/>
      <c r="BA128" s="135">
        <f>+[2]VOLKS!$L$125</f>
        <v>40746.6</v>
      </c>
      <c r="BC128" s="133"/>
      <c r="BD128" s="134"/>
      <c r="BE128" s="136">
        <f t="shared" si="240"/>
        <v>0</v>
      </c>
    </row>
    <row r="129" spans="1:57" s="15" customFormat="1" ht="20.25">
      <c r="A129" s="15" t="s">
        <v>60</v>
      </c>
      <c r="B129" s="128" t="s">
        <v>63</v>
      </c>
      <c r="C129" s="34"/>
      <c r="D129" s="72"/>
      <c r="E129" s="104">
        <f t="shared" si="237"/>
        <v>0</v>
      </c>
      <c r="F129" s="34"/>
      <c r="G129" s="72"/>
      <c r="H129" s="104">
        <v>0</v>
      </c>
      <c r="I129" s="34"/>
      <c r="J129" s="72"/>
      <c r="K129" s="104">
        <v>0</v>
      </c>
      <c r="L129" s="34"/>
      <c r="M129" s="72"/>
      <c r="N129" s="104">
        <v>0</v>
      </c>
      <c r="O129" s="34"/>
      <c r="P129" s="72"/>
      <c r="Q129" s="104">
        <v>0</v>
      </c>
      <c r="R129" s="34"/>
      <c r="S129" s="72"/>
      <c r="T129" s="104">
        <v>0</v>
      </c>
      <c r="U129" s="34"/>
      <c r="V129" s="72"/>
      <c r="W129" s="104">
        <v>0</v>
      </c>
      <c r="X129" s="34"/>
      <c r="Y129" s="72"/>
      <c r="Z129" s="104">
        <v>0</v>
      </c>
      <c r="AA129" s="34"/>
      <c r="AB129" s="72"/>
      <c r="AC129" s="104">
        <f>+[1]VOLKS!$L$126</f>
        <v>0</v>
      </c>
      <c r="AD129" s="34"/>
      <c r="AE129" s="72"/>
      <c r="AF129" s="104">
        <v>0</v>
      </c>
      <c r="AG129" s="34"/>
      <c r="AH129" s="72"/>
      <c r="AI129" s="104">
        <v>0</v>
      </c>
      <c r="AJ129" s="34"/>
      <c r="AK129" s="72"/>
      <c r="AL129" s="105">
        <v>0</v>
      </c>
      <c r="AM129" s="34"/>
      <c r="AN129" s="72"/>
      <c r="AO129" s="105">
        <v>0</v>
      </c>
      <c r="AQ129" s="53"/>
      <c r="AR129" s="74"/>
      <c r="AS129" s="108">
        <f t="shared" si="238"/>
        <v>0</v>
      </c>
      <c r="AU129" s="53"/>
      <c r="AV129" s="74"/>
      <c r="AW129" s="108">
        <f t="shared" si="239"/>
        <v>0</v>
      </c>
      <c r="AY129" s="53"/>
      <c r="AZ129" s="74"/>
      <c r="BA129" s="108">
        <f>+[2]VOLKS!$L$126</f>
        <v>0</v>
      </c>
      <c r="BC129" s="53"/>
      <c r="BD129" s="74"/>
      <c r="BE129" s="109">
        <f t="shared" si="240"/>
        <v>0</v>
      </c>
    </row>
    <row r="130" spans="1:57" s="15" customFormat="1" ht="20.25" hidden="1" customHeight="1">
      <c r="B130" s="34"/>
      <c r="C130" s="34"/>
      <c r="D130" s="72"/>
      <c r="E130" s="104"/>
      <c r="F130" s="34"/>
      <c r="G130" s="72"/>
      <c r="H130" s="104"/>
      <c r="I130" s="34"/>
      <c r="J130" s="72"/>
      <c r="K130" s="104"/>
      <c r="L130" s="34"/>
      <c r="M130" s="72"/>
      <c r="N130" s="104"/>
      <c r="O130" s="34"/>
      <c r="P130" s="72"/>
      <c r="Q130" s="104"/>
      <c r="R130" s="34"/>
      <c r="S130" s="72"/>
      <c r="T130" s="104"/>
      <c r="U130" s="34"/>
      <c r="V130" s="72"/>
      <c r="W130" s="104"/>
      <c r="X130" s="34"/>
      <c r="Y130" s="72"/>
      <c r="Z130" s="104"/>
      <c r="AA130" s="34"/>
      <c r="AB130" s="72"/>
      <c r="AC130" s="104"/>
      <c r="AD130" s="34"/>
      <c r="AE130" s="72"/>
      <c r="AF130" s="104"/>
      <c r="AG130" s="34"/>
      <c r="AH130" s="72"/>
      <c r="AI130" s="104"/>
      <c r="AJ130" s="34"/>
      <c r="AK130" s="72"/>
      <c r="AL130" s="105"/>
      <c r="AM130" s="34"/>
      <c r="AN130" s="72"/>
      <c r="AO130" s="105"/>
      <c r="AQ130" s="53"/>
      <c r="AR130" s="74"/>
      <c r="AS130" s="108"/>
      <c r="AU130" s="53"/>
      <c r="AV130" s="74"/>
      <c r="AW130" s="108"/>
      <c r="AY130" s="53"/>
      <c r="AZ130" s="74"/>
      <c r="BA130" s="108"/>
      <c r="BC130" s="53"/>
      <c r="BD130" s="74"/>
      <c r="BE130" s="109"/>
    </row>
    <row r="131" spans="1:57" s="15" customFormat="1" ht="20.25" hidden="1" customHeight="1">
      <c r="B131" s="34"/>
      <c r="C131" s="34"/>
      <c r="D131" s="72"/>
      <c r="E131" s="104"/>
      <c r="F131" s="34"/>
      <c r="G131" s="72"/>
      <c r="H131" s="104"/>
      <c r="I131" s="34"/>
      <c r="J131" s="72"/>
      <c r="K131" s="104"/>
      <c r="L131" s="34"/>
      <c r="M131" s="72"/>
      <c r="N131" s="104"/>
      <c r="O131" s="34"/>
      <c r="P131" s="72"/>
      <c r="Q131" s="104"/>
      <c r="R131" s="34"/>
      <c r="S131" s="72"/>
      <c r="T131" s="104"/>
      <c r="U131" s="34"/>
      <c r="V131" s="72"/>
      <c r="W131" s="104"/>
      <c r="X131" s="34"/>
      <c r="Y131" s="72"/>
      <c r="Z131" s="104"/>
      <c r="AA131" s="34"/>
      <c r="AB131" s="72"/>
      <c r="AC131" s="104"/>
      <c r="AD131" s="34"/>
      <c r="AE131" s="72"/>
      <c r="AF131" s="104"/>
      <c r="AG131" s="34"/>
      <c r="AH131" s="72"/>
      <c r="AI131" s="104"/>
      <c r="AJ131" s="34"/>
      <c r="AK131" s="72"/>
      <c r="AL131" s="105"/>
      <c r="AM131" s="34"/>
      <c r="AN131" s="72"/>
      <c r="AO131" s="105"/>
      <c r="AQ131" s="53"/>
      <c r="AR131" s="74"/>
      <c r="AS131" s="108"/>
      <c r="AU131" s="53"/>
      <c r="AV131" s="74"/>
      <c r="AW131" s="108"/>
      <c r="AY131" s="53"/>
      <c r="AZ131" s="74"/>
      <c r="BA131" s="108"/>
      <c r="BC131" s="53"/>
      <c r="BD131" s="74"/>
      <c r="BE131" s="109"/>
    </row>
    <row r="132" spans="1:57" s="15" customFormat="1" ht="20.25" hidden="1" customHeight="1">
      <c r="B132" s="34"/>
      <c r="C132" s="34"/>
      <c r="D132" s="72"/>
      <c r="E132" s="104"/>
      <c r="F132" s="34"/>
      <c r="G132" s="72"/>
      <c r="H132" s="104"/>
      <c r="I132" s="34"/>
      <c r="J132" s="72"/>
      <c r="K132" s="104"/>
      <c r="L132" s="34"/>
      <c r="M132" s="72"/>
      <c r="N132" s="104"/>
      <c r="O132" s="34"/>
      <c r="P132" s="72"/>
      <c r="Q132" s="104"/>
      <c r="R132" s="34"/>
      <c r="S132" s="72"/>
      <c r="T132" s="104"/>
      <c r="U132" s="34"/>
      <c r="V132" s="72"/>
      <c r="W132" s="104"/>
      <c r="X132" s="34"/>
      <c r="Y132" s="72"/>
      <c r="Z132" s="104"/>
      <c r="AA132" s="34"/>
      <c r="AB132" s="72"/>
      <c r="AC132" s="104"/>
      <c r="AD132" s="34"/>
      <c r="AE132" s="72"/>
      <c r="AF132" s="104"/>
      <c r="AG132" s="34"/>
      <c r="AH132" s="72"/>
      <c r="AI132" s="104"/>
      <c r="AJ132" s="34"/>
      <c r="AK132" s="72"/>
      <c r="AL132" s="105"/>
      <c r="AM132" s="34"/>
      <c r="AN132" s="72"/>
      <c r="AO132" s="105"/>
      <c r="AQ132" s="53"/>
      <c r="AR132" s="74"/>
      <c r="AS132" s="108"/>
      <c r="AU132" s="53"/>
      <c r="AV132" s="74"/>
      <c r="AW132" s="108"/>
      <c r="AY132" s="53"/>
      <c r="AZ132" s="74"/>
      <c r="BA132" s="108"/>
      <c r="BC132" s="53"/>
      <c r="BD132" s="74"/>
      <c r="BE132" s="109"/>
    </row>
    <row r="133" spans="1:57" s="15" customFormat="1" ht="20.25">
      <c r="A133" s="15" t="s">
        <v>64</v>
      </c>
      <c r="B133" s="129" t="s">
        <v>65</v>
      </c>
      <c r="C133" s="34"/>
      <c r="D133" s="72"/>
      <c r="E133" s="104">
        <f t="shared" si="237"/>
        <v>94200.409998782052</v>
      </c>
      <c r="F133" s="34"/>
      <c r="G133" s="72"/>
      <c r="H133" s="104">
        <v>8116.46</v>
      </c>
      <c r="I133" s="34"/>
      <c r="J133" s="72"/>
      <c r="K133" s="104">
        <v>6772.12</v>
      </c>
      <c r="L133" s="34"/>
      <c r="M133" s="72"/>
      <c r="N133" s="104">
        <v>7286.69</v>
      </c>
      <c r="O133" s="34"/>
      <c r="P133" s="72"/>
      <c r="Q133" s="104">
        <v>9038.93</v>
      </c>
      <c r="R133" s="34"/>
      <c r="S133" s="72"/>
      <c r="T133" s="104">
        <v>9327.2199999999993</v>
      </c>
      <c r="U133" s="34"/>
      <c r="V133" s="72"/>
      <c r="W133" s="104">
        <v>7889.47</v>
      </c>
      <c r="X133" s="34"/>
      <c r="Y133" s="72"/>
      <c r="Z133" s="104">
        <v>7271.51</v>
      </c>
      <c r="AA133" s="34"/>
      <c r="AB133" s="72"/>
      <c r="AC133" s="104">
        <f>+[1]VOLKS!$L$130</f>
        <v>7565.74</v>
      </c>
      <c r="AD133" s="34"/>
      <c r="AE133" s="72"/>
      <c r="AF133" s="104">
        <v>7803.266671282051</v>
      </c>
      <c r="AG133" s="34"/>
      <c r="AH133" s="72"/>
      <c r="AI133" s="104">
        <v>8663.315234935897</v>
      </c>
      <c r="AJ133" s="34"/>
      <c r="AK133" s="72"/>
      <c r="AL133" s="105">
        <v>7925.1089212820507</v>
      </c>
      <c r="AM133" s="34"/>
      <c r="AN133" s="72"/>
      <c r="AO133" s="105">
        <v>6540.5791712820519</v>
      </c>
      <c r="AQ133" s="53"/>
      <c r="AR133" s="74"/>
      <c r="AS133" s="108">
        <f t="shared" si="238"/>
        <v>63268.14</v>
      </c>
      <c r="AU133" s="53"/>
      <c r="AV133" s="74"/>
      <c r="AW133" s="108">
        <f t="shared" si="239"/>
        <v>30932.269998782052</v>
      </c>
      <c r="AY133" s="53"/>
      <c r="AZ133" s="74"/>
      <c r="BA133" s="108">
        <f>+[2]VOLKS!$L$130</f>
        <v>63268.14</v>
      </c>
      <c r="BC133" s="53"/>
      <c r="BD133" s="74"/>
      <c r="BE133" s="109">
        <f t="shared" si="240"/>
        <v>0</v>
      </c>
    </row>
    <row r="134" spans="1:57" s="15" customFormat="1" ht="20.25">
      <c r="A134" s="15" t="s">
        <v>66</v>
      </c>
      <c r="B134" s="128" t="s">
        <v>67</v>
      </c>
      <c r="C134" s="23"/>
      <c r="D134" s="130"/>
      <c r="E134" s="131">
        <f t="shared" si="237"/>
        <v>110703.74982230768</v>
      </c>
      <c r="F134" s="23"/>
      <c r="G134" s="130"/>
      <c r="H134" s="131">
        <v>8563.31</v>
      </c>
      <c r="I134" s="23"/>
      <c r="J134" s="130"/>
      <c r="K134" s="131">
        <v>8042.92</v>
      </c>
      <c r="L134" s="23"/>
      <c r="M134" s="130"/>
      <c r="N134" s="131">
        <v>8838.65</v>
      </c>
      <c r="O134" s="23"/>
      <c r="P134" s="130"/>
      <c r="Q134" s="131">
        <v>10732.49</v>
      </c>
      <c r="R134" s="23"/>
      <c r="S134" s="130"/>
      <c r="T134" s="131">
        <v>11184.74</v>
      </c>
      <c r="U134" s="23"/>
      <c r="V134" s="130"/>
      <c r="W134" s="131">
        <v>8997.59</v>
      </c>
      <c r="X134" s="23"/>
      <c r="Y134" s="130"/>
      <c r="Z134" s="131">
        <v>8415.69</v>
      </c>
      <c r="AA134" s="23"/>
      <c r="AB134" s="130"/>
      <c r="AC134" s="131">
        <f>+[1]VOLKS!$L$131</f>
        <v>8319.08</v>
      </c>
      <c r="AD134" s="23"/>
      <c r="AE134" s="130"/>
      <c r="AF134" s="131">
        <v>9487.6722523076915</v>
      </c>
      <c r="AG134" s="23"/>
      <c r="AH134" s="130"/>
      <c r="AI134" s="131">
        <v>10533.370065384615</v>
      </c>
      <c r="AJ134" s="23"/>
      <c r="AK134" s="130"/>
      <c r="AL134" s="132">
        <v>9635.8152523076915</v>
      </c>
      <c r="AM134" s="23"/>
      <c r="AN134" s="130"/>
      <c r="AO134" s="132">
        <v>7952.4222523076933</v>
      </c>
      <c r="AQ134" s="133"/>
      <c r="AR134" s="134"/>
      <c r="AS134" s="135">
        <f t="shared" si="238"/>
        <v>73094.47</v>
      </c>
      <c r="AU134" s="133"/>
      <c r="AV134" s="134"/>
      <c r="AW134" s="135">
        <f t="shared" si="239"/>
        <v>37609.279822307697</v>
      </c>
      <c r="AY134" s="133"/>
      <c r="AZ134" s="134"/>
      <c r="BA134" s="135">
        <f>+[2]VOLKS!$L$131</f>
        <v>73094.47</v>
      </c>
      <c r="BC134" s="133"/>
      <c r="BD134" s="134"/>
      <c r="BE134" s="136">
        <f t="shared" si="240"/>
        <v>0</v>
      </c>
    </row>
    <row r="135" spans="1:57" s="15" customFormat="1" ht="20.25">
      <c r="A135" s="15" t="s">
        <v>68</v>
      </c>
      <c r="B135" s="137" t="s">
        <v>69</v>
      </c>
      <c r="C135" s="34"/>
      <c r="D135" s="72"/>
      <c r="E135" s="104">
        <f t="shared" si="237"/>
        <v>55686.625038884602</v>
      </c>
      <c r="F135" s="34"/>
      <c r="G135" s="72"/>
      <c r="H135" s="104">
        <v>3861.82</v>
      </c>
      <c r="I135" s="34"/>
      <c r="J135" s="72"/>
      <c r="K135" s="104">
        <v>4219.8599999999997</v>
      </c>
      <c r="L135" s="34"/>
      <c r="M135" s="72"/>
      <c r="N135" s="104">
        <v>4841.78</v>
      </c>
      <c r="O135" s="34"/>
      <c r="P135" s="72"/>
      <c r="Q135" s="104">
        <v>4967.2199999999903</v>
      </c>
      <c r="R135" s="34"/>
      <c r="S135" s="72"/>
      <c r="T135" s="104">
        <v>6075.35</v>
      </c>
      <c r="U135" s="34"/>
      <c r="V135" s="72"/>
      <c r="W135" s="104">
        <v>4065.51</v>
      </c>
      <c r="X135" s="34"/>
      <c r="Y135" s="72"/>
      <c r="Z135" s="104">
        <v>3747.7599999999902</v>
      </c>
      <c r="AA135" s="34"/>
      <c r="AB135" s="72"/>
      <c r="AC135" s="104">
        <f>+[1]VOLKS!$L$132</f>
        <v>4530.37</v>
      </c>
      <c r="AD135" s="34"/>
      <c r="AE135" s="72"/>
      <c r="AF135" s="104">
        <v>4888.2137473846151</v>
      </c>
      <c r="AG135" s="34"/>
      <c r="AH135" s="72"/>
      <c r="AI135" s="104">
        <v>5426.9754467307685</v>
      </c>
      <c r="AJ135" s="34"/>
      <c r="AK135" s="72"/>
      <c r="AL135" s="105">
        <v>4964.5395973846144</v>
      </c>
      <c r="AM135" s="34"/>
      <c r="AN135" s="72"/>
      <c r="AO135" s="105">
        <v>4097.2262473846149</v>
      </c>
      <c r="AQ135" s="53"/>
      <c r="AR135" s="74"/>
      <c r="AS135" s="108">
        <f t="shared" si="238"/>
        <v>36309.669999999984</v>
      </c>
      <c r="AU135" s="53"/>
      <c r="AV135" s="74"/>
      <c r="AW135" s="108">
        <f t="shared" si="239"/>
        <v>19376.955038884611</v>
      </c>
      <c r="AY135" s="53"/>
      <c r="AZ135" s="74"/>
      <c r="BA135" s="108">
        <f>+[2]VOLKS!$L$132</f>
        <v>36309.67</v>
      </c>
      <c r="BC135" s="53"/>
      <c r="BD135" s="74"/>
      <c r="BE135" s="109">
        <f t="shared" si="240"/>
        <v>0</v>
      </c>
    </row>
    <row r="136" spans="1:57" s="15" customFormat="1" ht="20.25">
      <c r="A136" s="15" t="s">
        <v>70</v>
      </c>
      <c r="B136" s="128" t="s">
        <v>71</v>
      </c>
      <c r="C136" s="34"/>
      <c r="D136" s="72"/>
      <c r="E136" s="104">
        <f t="shared" si="237"/>
        <v>17786.491409358972</v>
      </c>
      <c r="F136" s="34"/>
      <c r="G136" s="72"/>
      <c r="H136" s="104">
        <v>1542.62</v>
      </c>
      <c r="I136" s="34"/>
      <c r="J136" s="72"/>
      <c r="K136" s="104">
        <v>1459.12</v>
      </c>
      <c r="L136" s="34"/>
      <c r="M136" s="72"/>
      <c r="N136" s="104">
        <v>1030.8900000000001</v>
      </c>
      <c r="O136" s="34"/>
      <c r="P136" s="72"/>
      <c r="Q136" s="104">
        <v>1397.64</v>
      </c>
      <c r="R136" s="34"/>
      <c r="S136" s="72"/>
      <c r="T136" s="104">
        <v>1387.06</v>
      </c>
      <c r="U136" s="34"/>
      <c r="V136" s="72"/>
      <c r="W136" s="104">
        <v>1046.6500000000001</v>
      </c>
      <c r="X136" s="34"/>
      <c r="Y136" s="72"/>
      <c r="Z136" s="104">
        <v>805.56</v>
      </c>
      <c r="AA136" s="34"/>
      <c r="AB136" s="72"/>
      <c r="AC136" s="104">
        <f>+[1]VOLKS!$L$133</f>
        <v>668.49</v>
      </c>
      <c r="AD136" s="34"/>
      <c r="AE136" s="72"/>
      <c r="AF136" s="104">
        <v>2131.2886943589742</v>
      </c>
      <c r="AG136" s="34"/>
      <c r="AH136" s="72"/>
      <c r="AI136" s="104">
        <v>2366.1918262820514</v>
      </c>
      <c r="AJ136" s="34"/>
      <c r="AK136" s="72"/>
      <c r="AL136" s="105">
        <v>2164.5671943589741</v>
      </c>
      <c r="AM136" s="34"/>
      <c r="AN136" s="72"/>
      <c r="AO136" s="105">
        <v>1786.4136943589745</v>
      </c>
      <c r="AQ136" s="53"/>
      <c r="AR136" s="74"/>
      <c r="AS136" s="108">
        <f t="shared" si="238"/>
        <v>9338.0299999999988</v>
      </c>
      <c r="AU136" s="53"/>
      <c r="AV136" s="74"/>
      <c r="AW136" s="108">
        <f t="shared" si="239"/>
        <v>8448.4614093589735</v>
      </c>
      <c r="AY136" s="53"/>
      <c r="AZ136" s="74"/>
      <c r="BA136" s="108">
        <f>+[2]VOLKS!$L$133</f>
        <v>9338.0300000000007</v>
      </c>
      <c r="BC136" s="53"/>
      <c r="BD136" s="74"/>
      <c r="BE136" s="109">
        <f t="shared" si="240"/>
        <v>0</v>
      </c>
    </row>
    <row r="137" spans="1:57" s="15" customFormat="1" ht="20.25" hidden="1" customHeight="1">
      <c r="B137" s="34"/>
      <c r="C137" s="28"/>
      <c r="D137" s="138"/>
      <c r="E137" s="139"/>
      <c r="F137" s="28"/>
      <c r="G137" s="138"/>
      <c r="H137" s="139"/>
      <c r="I137" s="28"/>
      <c r="J137" s="138"/>
      <c r="K137" s="139"/>
      <c r="L137" s="28"/>
      <c r="M137" s="138"/>
      <c r="N137" s="139"/>
      <c r="O137" s="28"/>
      <c r="P137" s="138"/>
      <c r="Q137" s="139"/>
      <c r="R137" s="28"/>
      <c r="S137" s="138"/>
      <c r="T137" s="139"/>
      <c r="U137" s="28"/>
      <c r="V137" s="138"/>
      <c r="W137" s="139"/>
      <c r="X137" s="28"/>
      <c r="Y137" s="138"/>
      <c r="Z137" s="139"/>
      <c r="AA137" s="28"/>
      <c r="AB137" s="138"/>
      <c r="AC137" s="139"/>
      <c r="AD137" s="28"/>
      <c r="AE137" s="138"/>
      <c r="AF137" s="139"/>
      <c r="AG137" s="28"/>
      <c r="AH137" s="138"/>
      <c r="AI137" s="139"/>
      <c r="AJ137" s="28"/>
      <c r="AK137" s="138"/>
      <c r="AL137" s="139"/>
      <c r="AM137" s="28"/>
      <c r="AN137" s="138"/>
      <c r="AO137" s="139"/>
      <c r="AQ137" s="119"/>
      <c r="AR137" s="140"/>
      <c r="AS137" s="141"/>
      <c r="AU137" s="119"/>
      <c r="AV137" s="140"/>
      <c r="AW137" s="141"/>
      <c r="AY137" s="119"/>
      <c r="AZ137" s="140"/>
      <c r="BA137" s="141"/>
      <c r="BC137" s="119"/>
      <c r="BD137" s="140"/>
      <c r="BE137" s="142"/>
    </row>
    <row r="138" spans="1:57" s="15" customFormat="1" ht="20.25">
      <c r="A138" s="15" t="s">
        <v>27</v>
      </c>
      <c r="B138" s="120" t="s">
        <v>72</v>
      </c>
      <c r="C138" s="121" t="s">
        <v>57</v>
      </c>
      <c r="D138" s="122">
        <f>IFERROR(E138/E$111,0)</f>
        <v>0.37367001163249658</v>
      </c>
      <c r="E138" s="123">
        <f>SUM(E126:E136)</f>
        <v>512954.71255138458</v>
      </c>
      <c r="F138" s="121"/>
      <c r="G138" s="122"/>
      <c r="H138" s="123">
        <v>45608.86</v>
      </c>
      <c r="I138" s="121"/>
      <c r="J138" s="122"/>
      <c r="K138" s="123">
        <v>38343.919999999998</v>
      </c>
      <c r="L138" s="121"/>
      <c r="M138" s="122"/>
      <c r="N138" s="123">
        <v>40198.359999999899</v>
      </c>
      <c r="O138" s="121"/>
      <c r="P138" s="122"/>
      <c r="Q138" s="123">
        <v>42163.24</v>
      </c>
      <c r="R138" s="121"/>
      <c r="S138" s="122"/>
      <c r="T138" s="123">
        <v>43389.549999999901</v>
      </c>
      <c r="U138" s="121"/>
      <c r="V138" s="122"/>
      <c r="W138" s="124">
        <v>37171.81</v>
      </c>
      <c r="X138" s="121"/>
      <c r="Y138" s="122"/>
      <c r="Z138" s="124">
        <v>40355.660000000003</v>
      </c>
      <c r="AA138" s="121"/>
      <c r="AB138" s="122"/>
      <c r="AC138" s="124">
        <f>+[1]VOLKS!$L$135</f>
        <v>40990.910000000003</v>
      </c>
      <c r="AD138" s="121" t="s">
        <v>57</v>
      </c>
      <c r="AE138" s="122">
        <v>0.49821199393396942</v>
      </c>
      <c r="AF138" s="123">
        <v>45387.112647384616</v>
      </c>
      <c r="AG138" s="121" t="s">
        <v>57</v>
      </c>
      <c r="AH138" s="122">
        <v>0.32845163836944402</v>
      </c>
      <c r="AI138" s="123">
        <v>52125.275009230769</v>
      </c>
      <c r="AJ138" s="121" t="s">
        <v>57</v>
      </c>
      <c r="AK138" s="122">
        <v>0.34462878198331792</v>
      </c>
      <c r="AL138" s="123">
        <v>45766.702247384623</v>
      </c>
      <c r="AM138" s="121" t="s">
        <v>57</v>
      </c>
      <c r="AN138" s="122">
        <v>0.40921335288632399</v>
      </c>
      <c r="AO138" s="123">
        <v>41453.312647384621</v>
      </c>
      <c r="AQ138" s="121" t="s">
        <v>57</v>
      </c>
      <c r="AR138" s="125">
        <f t="shared" ref="AR138" si="241">IFERROR(AS138/AS$111,0)</f>
        <v>0.36926713904371539</v>
      </c>
      <c r="AS138" s="126">
        <f t="shared" ref="AS138" si="242">SUM(AS126:AS136)</f>
        <v>328222.30999999994</v>
      </c>
      <c r="AU138" s="121" t="s">
        <v>57</v>
      </c>
      <c r="AV138" s="125">
        <f t="shared" ref="AV138" si="243">IFERROR(AW138/AW$111,0)</f>
        <v>0.3817573931626051</v>
      </c>
      <c r="AW138" s="126">
        <f t="shared" ref="AW138" si="244">SUM(AW126:AW136)</f>
        <v>184732.40255138461</v>
      </c>
      <c r="AY138" s="121"/>
      <c r="AZ138" s="125"/>
      <c r="BA138" s="126">
        <f>+[2]VOLKS!$L$135</f>
        <v>328222.31</v>
      </c>
      <c r="BC138" s="121" t="s">
        <v>57</v>
      </c>
      <c r="BD138" s="125"/>
      <c r="BE138" s="127">
        <f t="shared" ref="BE138" si="245">SUM(BE126:BE136)</f>
        <v>0</v>
      </c>
    </row>
    <row r="139" spans="1:57" s="15" customFormat="1" ht="20.25">
      <c r="A139" s="15" t="s">
        <v>52</v>
      </c>
      <c r="B139" s="34" t="s">
        <v>73</v>
      </c>
      <c r="C139" s="34"/>
      <c r="D139" s="72"/>
      <c r="E139" s="104">
        <f t="shared" ref="E139:E152" si="246">+SUM(H139,K139,N139,Q139,T139,W139,Z139,AC139,AF139,AI139,AL139,AO139)</f>
        <v>0</v>
      </c>
      <c r="F139" s="34"/>
      <c r="G139" s="72"/>
      <c r="H139" s="104">
        <v>0</v>
      </c>
      <c r="I139" s="34"/>
      <c r="J139" s="72"/>
      <c r="K139" s="104">
        <v>0</v>
      </c>
      <c r="L139" s="34"/>
      <c r="M139" s="72"/>
      <c r="N139" s="104">
        <v>0</v>
      </c>
      <c r="O139" s="34"/>
      <c r="P139" s="72"/>
      <c r="Q139" s="104">
        <v>0</v>
      </c>
      <c r="R139" s="34"/>
      <c r="S139" s="72"/>
      <c r="T139" s="104">
        <v>0</v>
      </c>
      <c r="U139" s="34"/>
      <c r="V139" s="72"/>
      <c r="W139" s="104">
        <v>0</v>
      </c>
      <c r="X139" s="34"/>
      <c r="Y139" s="72"/>
      <c r="Z139" s="104">
        <v>0</v>
      </c>
      <c r="AA139" s="34"/>
      <c r="AB139" s="72"/>
      <c r="AC139" s="104">
        <f>+[1]VOLKS!$L$136</f>
        <v>0</v>
      </c>
      <c r="AD139" s="34"/>
      <c r="AE139" s="72"/>
      <c r="AF139" s="104">
        <v>0</v>
      </c>
      <c r="AG139" s="34"/>
      <c r="AH139" s="72"/>
      <c r="AI139" s="104">
        <v>0</v>
      </c>
      <c r="AJ139" s="34"/>
      <c r="AK139" s="72"/>
      <c r="AL139" s="105">
        <v>0</v>
      </c>
      <c r="AM139" s="34"/>
      <c r="AN139" s="72"/>
      <c r="AO139" s="105">
        <v>0</v>
      </c>
      <c r="AQ139" s="53"/>
      <c r="AR139" s="74"/>
      <c r="AS139" s="108">
        <f t="shared" ref="AS139:AS152" si="247">SUMIFS(F139:AO139,$F$7:$AO$7,"$PROFITS",$F$3:$AO$3,"RÉEL")</f>
        <v>0</v>
      </c>
      <c r="AU139" s="53"/>
      <c r="AV139" s="74"/>
      <c r="AW139" s="108">
        <f t="shared" ref="AW139:AW152" si="248">SUMIFS(F139:AO139,$F$7:$AO$7,"$PROFITS",$F$3:$AO$3,"BUDGET")</f>
        <v>0</v>
      </c>
      <c r="AY139" s="53"/>
      <c r="AZ139" s="74"/>
      <c r="BA139" s="108">
        <f>+[2]VOLKS!$L$136</f>
        <v>0</v>
      </c>
      <c r="BC139" s="53"/>
      <c r="BD139" s="74"/>
      <c r="BE139" s="109">
        <f t="shared" ref="BE139:BE152" si="249">+BA139-AS139</f>
        <v>0</v>
      </c>
    </row>
    <row r="140" spans="1:57" s="15" customFormat="1" ht="20.25">
      <c r="A140" s="15" t="s">
        <v>49</v>
      </c>
      <c r="B140" s="34" t="s">
        <v>74</v>
      </c>
      <c r="C140" s="34"/>
      <c r="D140" s="72"/>
      <c r="E140" s="104">
        <f t="shared" si="246"/>
        <v>0</v>
      </c>
      <c r="F140" s="34"/>
      <c r="G140" s="72"/>
      <c r="H140" s="104">
        <v>0</v>
      </c>
      <c r="I140" s="34"/>
      <c r="J140" s="72"/>
      <c r="K140" s="104">
        <v>0</v>
      </c>
      <c r="L140" s="34"/>
      <c r="M140" s="72"/>
      <c r="N140" s="104">
        <v>0</v>
      </c>
      <c r="O140" s="34"/>
      <c r="P140" s="72"/>
      <c r="Q140" s="104">
        <v>0</v>
      </c>
      <c r="R140" s="34"/>
      <c r="S140" s="72"/>
      <c r="T140" s="104">
        <v>0</v>
      </c>
      <c r="U140" s="34"/>
      <c r="V140" s="72"/>
      <c r="W140" s="104">
        <v>0</v>
      </c>
      <c r="X140" s="34"/>
      <c r="Y140" s="72"/>
      <c r="Z140" s="104">
        <v>0</v>
      </c>
      <c r="AA140" s="34"/>
      <c r="AB140" s="72"/>
      <c r="AC140" s="104">
        <f>+[1]VOLKS!$L$137</f>
        <v>0</v>
      </c>
      <c r="AD140" s="34"/>
      <c r="AE140" s="72"/>
      <c r="AF140" s="104">
        <v>0</v>
      </c>
      <c r="AG140" s="34"/>
      <c r="AH140" s="72"/>
      <c r="AI140" s="104">
        <v>0</v>
      </c>
      <c r="AJ140" s="34"/>
      <c r="AK140" s="72"/>
      <c r="AL140" s="105">
        <v>0</v>
      </c>
      <c r="AM140" s="34"/>
      <c r="AN140" s="72"/>
      <c r="AO140" s="105">
        <v>0</v>
      </c>
      <c r="AQ140" s="53"/>
      <c r="AR140" s="74"/>
      <c r="AS140" s="108">
        <f t="shared" si="247"/>
        <v>0</v>
      </c>
      <c r="AU140" s="53"/>
      <c r="AV140" s="74"/>
      <c r="AW140" s="108">
        <f t="shared" si="248"/>
        <v>0</v>
      </c>
      <c r="AY140" s="53"/>
      <c r="AZ140" s="74"/>
      <c r="BA140" s="108">
        <f>+[2]VOLKS!$L$137</f>
        <v>0</v>
      </c>
      <c r="BC140" s="53"/>
      <c r="BD140" s="74"/>
      <c r="BE140" s="109">
        <f t="shared" si="249"/>
        <v>0</v>
      </c>
    </row>
    <row r="141" spans="1:57" s="15" customFormat="1" ht="20.25">
      <c r="A141" s="15" t="s">
        <v>75</v>
      </c>
      <c r="B141" s="28" t="s">
        <v>76</v>
      </c>
      <c r="C141" s="143"/>
      <c r="D141" s="144"/>
      <c r="E141" s="145">
        <f t="shared" si="246"/>
        <v>23609.963155555561</v>
      </c>
      <c r="F141" s="143"/>
      <c r="G141" s="144"/>
      <c r="H141" s="145">
        <v>4220.58</v>
      </c>
      <c r="I141" s="143"/>
      <c r="J141" s="144"/>
      <c r="K141" s="145">
        <v>2944.73</v>
      </c>
      <c r="L141" s="143"/>
      <c r="M141" s="144"/>
      <c r="N141" s="145">
        <v>1624.37</v>
      </c>
      <c r="O141" s="143"/>
      <c r="P141" s="144"/>
      <c r="Q141" s="145">
        <v>1451.24</v>
      </c>
      <c r="R141" s="143"/>
      <c r="S141" s="144"/>
      <c r="T141" s="145">
        <v>1826.88</v>
      </c>
      <c r="U141" s="143"/>
      <c r="V141" s="144"/>
      <c r="W141" s="145">
        <v>1267.2</v>
      </c>
      <c r="X141" s="143"/>
      <c r="Y141" s="144"/>
      <c r="Z141" s="145">
        <v>1424.94</v>
      </c>
      <c r="AA141" s="143"/>
      <c r="AB141" s="144"/>
      <c r="AC141" s="145">
        <f>+[1]VOLKS!$L$138</f>
        <v>3713.41</v>
      </c>
      <c r="AD141" s="143"/>
      <c r="AE141" s="144"/>
      <c r="AF141" s="145">
        <v>1284.1532888888889</v>
      </c>
      <c r="AG141" s="143"/>
      <c r="AH141" s="144"/>
      <c r="AI141" s="145">
        <v>1284.1532888888889</v>
      </c>
      <c r="AJ141" s="143"/>
      <c r="AK141" s="144"/>
      <c r="AL141" s="146">
        <v>1284.1532888888889</v>
      </c>
      <c r="AM141" s="143"/>
      <c r="AN141" s="144"/>
      <c r="AO141" s="146">
        <v>1284.1532888888889</v>
      </c>
      <c r="AQ141" s="147"/>
      <c r="AR141" s="148"/>
      <c r="AS141" s="116">
        <f t="shared" si="247"/>
        <v>18473.349999999999</v>
      </c>
      <c r="AU141" s="147"/>
      <c r="AV141" s="148"/>
      <c r="AW141" s="116">
        <f t="shared" si="248"/>
        <v>5136.6131555555557</v>
      </c>
      <c r="AY141" s="147"/>
      <c r="AZ141" s="148"/>
      <c r="BA141" s="116">
        <f>+[2]VOLKS!$L$138</f>
        <v>18473.349999999999</v>
      </c>
      <c r="BC141" s="147"/>
      <c r="BD141" s="148"/>
      <c r="BE141" s="149">
        <f t="shared" si="249"/>
        <v>0</v>
      </c>
    </row>
    <row r="142" spans="1:57" s="15" customFormat="1" ht="20.25">
      <c r="A142" s="15" t="s">
        <v>77</v>
      </c>
      <c r="B142" s="34" t="s">
        <v>78</v>
      </c>
      <c r="C142" s="34"/>
      <c r="D142" s="72"/>
      <c r="E142" s="104">
        <f t="shared" si="246"/>
        <v>41465.212490773323</v>
      </c>
      <c r="F142" s="34"/>
      <c r="G142" s="72"/>
      <c r="H142" s="104">
        <v>3170.37</v>
      </c>
      <c r="I142" s="34"/>
      <c r="J142" s="72"/>
      <c r="K142" s="104">
        <v>2511.36</v>
      </c>
      <c r="L142" s="34"/>
      <c r="M142" s="72"/>
      <c r="N142" s="104">
        <v>3638.89</v>
      </c>
      <c r="O142" s="34"/>
      <c r="P142" s="72"/>
      <c r="Q142" s="104">
        <v>4372.5200000000004</v>
      </c>
      <c r="R142" s="34"/>
      <c r="S142" s="72"/>
      <c r="T142" s="104">
        <v>3875.95</v>
      </c>
      <c r="U142" s="34"/>
      <c r="V142" s="72"/>
      <c r="W142" s="104">
        <v>2298.7399999999998</v>
      </c>
      <c r="X142" s="34"/>
      <c r="Y142" s="72"/>
      <c r="Z142" s="104">
        <v>4055.32</v>
      </c>
      <c r="AA142" s="34"/>
      <c r="AB142" s="72"/>
      <c r="AC142" s="104">
        <f>+[1]VOLKS!$L$139</f>
        <v>2511.3200000000002</v>
      </c>
      <c r="AD142" s="34"/>
      <c r="AE142" s="72"/>
      <c r="AF142" s="104">
        <v>3757.6856226933323</v>
      </c>
      <c r="AG142" s="34"/>
      <c r="AH142" s="72"/>
      <c r="AI142" s="104">
        <v>3757.6856226933323</v>
      </c>
      <c r="AJ142" s="34"/>
      <c r="AK142" s="72"/>
      <c r="AL142" s="105">
        <v>3757.6856226933323</v>
      </c>
      <c r="AM142" s="34"/>
      <c r="AN142" s="72"/>
      <c r="AO142" s="105">
        <v>3757.6856226933323</v>
      </c>
      <c r="AQ142" s="53"/>
      <c r="AR142" s="74"/>
      <c r="AS142" s="108">
        <f t="shared" si="247"/>
        <v>26434.47</v>
      </c>
      <c r="AU142" s="53"/>
      <c r="AV142" s="74"/>
      <c r="AW142" s="108">
        <f t="shared" si="248"/>
        <v>15030.742490773329</v>
      </c>
      <c r="AY142" s="53"/>
      <c r="AZ142" s="74"/>
      <c r="BA142" s="108">
        <f>+[2]VOLKS!$L$139</f>
        <v>26434.47</v>
      </c>
      <c r="BC142" s="53"/>
      <c r="BD142" s="74"/>
      <c r="BE142" s="109">
        <f t="shared" si="249"/>
        <v>0</v>
      </c>
    </row>
    <row r="143" spans="1:57" s="15" customFormat="1" ht="20.25">
      <c r="A143" s="15" t="s">
        <v>79</v>
      </c>
      <c r="B143" s="34" t="s">
        <v>80</v>
      </c>
      <c r="C143" s="34"/>
      <c r="D143" s="72"/>
      <c r="E143" s="104">
        <f t="shared" si="246"/>
        <v>6270.7609750961983</v>
      </c>
      <c r="F143" s="34"/>
      <c r="G143" s="72"/>
      <c r="H143" s="104">
        <v>568.97</v>
      </c>
      <c r="I143" s="34"/>
      <c r="J143" s="72"/>
      <c r="K143" s="104">
        <v>520.13</v>
      </c>
      <c r="L143" s="34"/>
      <c r="M143" s="72"/>
      <c r="N143" s="104">
        <v>427.26</v>
      </c>
      <c r="O143" s="34"/>
      <c r="P143" s="72"/>
      <c r="Q143" s="104">
        <v>626.44000000000005</v>
      </c>
      <c r="R143" s="34"/>
      <c r="S143" s="72"/>
      <c r="T143" s="104">
        <v>481.14</v>
      </c>
      <c r="U143" s="34"/>
      <c r="V143" s="72"/>
      <c r="W143" s="104">
        <v>747.43</v>
      </c>
      <c r="X143" s="34"/>
      <c r="Y143" s="72"/>
      <c r="Z143" s="104">
        <v>307.99</v>
      </c>
      <c r="AA143" s="34"/>
      <c r="AB143" s="72"/>
      <c r="AC143" s="104">
        <f>+[1]VOLKS!$L$140</f>
        <v>368.72</v>
      </c>
      <c r="AD143" s="34"/>
      <c r="AE143" s="72"/>
      <c r="AF143" s="104">
        <v>555.6702437740496</v>
      </c>
      <c r="AG143" s="34"/>
      <c r="AH143" s="72"/>
      <c r="AI143" s="104">
        <v>555.6702437740496</v>
      </c>
      <c r="AJ143" s="34"/>
      <c r="AK143" s="72"/>
      <c r="AL143" s="105">
        <v>555.6702437740496</v>
      </c>
      <c r="AM143" s="34"/>
      <c r="AN143" s="72"/>
      <c r="AO143" s="105">
        <v>555.6702437740496</v>
      </c>
      <c r="AQ143" s="53"/>
      <c r="AR143" s="74"/>
      <c r="AS143" s="108">
        <f t="shared" si="247"/>
        <v>4048.08</v>
      </c>
      <c r="AU143" s="53"/>
      <c r="AV143" s="74"/>
      <c r="AW143" s="108">
        <f t="shared" si="248"/>
        <v>2222.6809750961984</v>
      </c>
      <c r="AY143" s="53"/>
      <c r="AZ143" s="74"/>
      <c r="BA143" s="108">
        <f>+[2]VOLKS!$L$140</f>
        <v>4048.08</v>
      </c>
      <c r="BC143" s="53"/>
      <c r="BD143" s="74"/>
      <c r="BE143" s="109">
        <f t="shared" si="249"/>
        <v>0</v>
      </c>
    </row>
    <row r="144" spans="1:57" s="15" customFormat="1" ht="20.25">
      <c r="A144" s="15" t="s">
        <v>81</v>
      </c>
      <c r="B144" s="28" t="s">
        <v>82</v>
      </c>
      <c r="C144" s="143"/>
      <c r="D144" s="144"/>
      <c r="E144" s="145">
        <f t="shared" si="246"/>
        <v>29333.127856214636</v>
      </c>
      <c r="F144" s="143"/>
      <c r="G144" s="144"/>
      <c r="H144" s="145">
        <v>3378.54</v>
      </c>
      <c r="I144" s="143"/>
      <c r="J144" s="144"/>
      <c r="K144" s="145">
        <v>2466.6999999999998</v>
      </c>
      <c r="L144" s="143"/>
      <c r="M144" s="144"/>
      <c r="N144" s="145">
        <v>3463.94</v>
      </c>
      <c r="O144" s="143"/>
      <c r="P144" s="144"/>
      <c r="Q144" s="145">
        <v>5540.76</v>
      </c>
      <c r="R144" s="143"/>
      <c r="S144" s="144"/>
      <c r="T144" s="145">
        <v>2496.9699999999998</v>
      </c>
      <c r="U144" s="143"/>
      <c r="V144" s="144"/>
      <c r="W144" s="145">
        <v>1892.11</v>
      </c>
      <c r="X144" s="143"/>
      <c r="Y144" s="144"/>
      <c r="Z144" s="145">
        <v>2003.58</v>
      </c>
      <c r="AA144" s="143"/>
      <c r="AB144" s="144"/>
      <c r="AC144" s="145">
        <f>+[1]VOLKS!$L$141</f>
        <v>2495.13</v>
      </c>
      <c r="AD144" s="143"/>
      <c r="AE144" s="144"/>
      <c r="AF144" s="145">
        <v>1398.8494640536576</v>
      </c>
      <c r="AG144" s="143"/>
      <c r="AH144" s="144"/>
      <c r="AI144" s="145">
        <v>1398.8494640536576</v>
      </c>
      <c r="AJ144" s="143"/>
      <c r="AK144" s="144"/>
      <c r="AL144" s="146">
        <v>1398.8494640536576</v>
      </c>
      <c r="AM144" s="143"/>
      <c r="AN144" s="144"/>
      <c r="AO144" s="146">
        <v>1398.8494640536576</v>
      </c>
      <c r="AQ144" s="147"/>
      <c r="AR144" s="148"/>
      <c r="AS144" s="116">
        <f t="shared" si="247"/>
        <v>23737.73</v>
      </c>
      <c r="AU144" s="147"/>
      <c r="AV144" s="148"/>
      <c r="AW144" s="116">
        <f t="shared" si="248"/>
        <v>5595.3978562146303</v>
      </c>
      <c r="AY144" s="147"/>
      <c r="AZ144" s="148"/>
      <c r="BA144" s="116">
        <f>+[2]VOLKS!$L$141</f>
        <v>23737.73</v>
      </c>
      <c r="BC144" s="147"/>
      <c r="BD144" s="148"/>
      <c r="BE144" s="149">
        <f t="shared" si="249"/>
        <v>0</v>
      </c>
    </row>
    <row r="145" spans="1:57" s="15" customFormat="1" ht="20.25">
      <c r="A145" s="15" t="s">
        <v>79</v>
      </c>
      <c r="B145" s="34" t="s">
        <v>83</v>
      </c>
      <c r="C145" s="34"/>
      <c r="D145" s="72"/>
      <c r="E145" s="104">
        <f t="shared" si="246"/>
        <v>760.7421333333333</v>
      </c>
      <c r="F145" s="34"/>
      <c r="G145" s="72"/>
      <c r="H145" s="104">
        <v>0</v>
      </c>
      <c r="I145" s="34"/>
      <c r="J145" s="72"/>
      <c r="K145" s="104">
        <v>165.98</v>
      </c>
      <c r="L145" s="34"/>
      <c r="M145" s="72"/>
      <c r="N145" s="104">
        <v>140.41</v>
      </c>
      <c r="O145" s="34"/>
      <c r="P145" s="72"/>
      <c r="Q145" s="104">
        <v>0</v>
      </c>
      <c r="R145" s="34"/>
      <c r="S145" s="72"/>
      <c r="T145" s="104">
        <v>0</v>
      </c>
      <c r="U145" s="34"/>
      <c r="V145" s="72"/>
      <c r="W145" s="104">
        <v>0</v>
      </c>
      <c r="X145" s="34"/>
      <c r="Y145" s="72"/>
      <c r="Z145" s="104">
        <v>0</v>
      </c>
      <c r="AA145" s="34"/>
      <c r="AB145" s="72"/>
      <c r="AC145" s="104">
        <f>+[1]VOLKS!$L$142</f>
        <v>118.81</v>
      </c>
      <c r="AD145" s="34"/>
      <c r="AE145" s="72"/>
      <c r="AF145" s="104">
        <v>83.885533333333328</v>
      </c>
      <c r="AG145" s="34"/>
      <c r="AH145" s="72"/>
      <c r="AI145" s="104">
        <v>83.885533333333328</v>
      </c>
      <c r="AJ145" s="34"/>
      <c r="AK145" s="72"/>
      <c r="AL145" s="105">
        <v>83.885533333333328</v>
      </c>
      <c r="AM145" s="34"/>
      <c r="AN145" s="72"/>
      <c r="AO145" s="105">
        <v>83.885533333333328</v>
      </c>
      <c r="AQ145" s="53"/>
      <c r="AR145" s="74"/>
      <c r="AS145" s="108">
        <f t="shared" si="247"/>
        <v>425.2</v>
      </c>
      <c r="AU145" s="53"/>
      <c r="AV145" s="74"/>
      <c r="AW145" s="108">
        <f t="shared" si="248"/>
        <v>335.54213333333331</v>
      </c>
      <c r="AY145" s="53"/>
      <c r="AZ145" s="74"/>
      <c r="BA145" s="108">
        <f>+[2]VOLKS!$L$142</f>
        <v>425.2</v>
      </c>
      <c r="BC145" s="53"/>
      <c r="BD145" s="74"/>
      <c r="BE145" s="109">
        <f t="shared" si="249"/>
        <v>0</v>
      </c>
    </row>
    <row r="146" spans="1:57" s="15" customFormat="1" ht="20.25">
      <c r="A146" s="15" t="s">
        <v>79</v>
      </c>
      <c r="B146" s="34" t="s">
        <v>84</v>
      </c>
      <c r="C146" s="34"/>
      <c r="D146" s="72"/>
      <c r="E146" s="104">
        <f t="shared" si="246"/>
        <v>113.33333333333333</v>
      </c>
      <c r="F146" s="34"/>
      <c r="G146" s="72"/>
      <c r="H146" s="104">
        <v>0</v>
      </c>
      <c r="I146" s="34"/>
      <c r="J146" s="72"/>
      <c r="K146" s="104">
        <v>0</v>
      </c>
      <c r="L146" s="34"/>
      <c r="M146" s="72"/>
      <c r="N146" s="104">
        <v>0</v>
      </c>
      <c r="O146" s="34"/>
      <c r="P146" s="72"/>
      <c r="Q146" s="104">
        <v>0</v>
      </c>
      <c r="R146" s="34"/>
      <c r="S146" s="72"/>
      <c r="T146" s="104">
        <v>0</v>
      </c>
      <c r="U146" s="34"/>
      <c r="V146" s="72"/>
      <c r="W146" s="104">
        <v>0</v>
      </c>
      <c r="X146" s="34"/>
      <c r="Y146" s="72"/>
      <c r="Z146" s="104">
        <v>0</v>
      </c>
      <c r="AA146" s="34"/>
      <c r="AB146" s="72"/>
      <c r="AC146" s="104">
        <f>+[1]VOLKS!$L$143</f>
        <v>0</v>
      </c>
      <c r="AD146" s="34"/>
      <c r="AE146" s="72"/>
      <c r="AF146" s="104">
        <v>28.333333333333332</v>
      </c>
      <c r="AG146" s="34"/>
      <c r="AH146" s="72"/>
      <c r="AI146" s="104">
        <v>28.333333333333332</v>
      </c>
      <c r="AJ146" s="34"/>
      <c r="AK146" s="72"/>
      <c r="AL146" s="105">
        <v>28.333333333333332</v>
      </c>
      <c r="AM146" s="34"/>
      <c r="AN146" s="72"/>
      <c r="AO146" s="105">
        <v>28.333333333333332</v>
      </c>
      <c r="AQ146" s="53"/>
      <c r="AR146" s="74"/>
      <c r="AS146" s="108">
        <f t="shared" si="247"/>
        <v>0</v>
      </c>
      <c r="AU146" s="53"/>
      <c r="AV146" s="74"/>
      <c r="AW146" s="108">
        <f t="shared" si="248"/>
        <v>113.33333333333333</v>
      </c>
      <c r="AY146" s="53"/>
      <c r="AZ146" s="74"/>
      <c r="BA146" s="108">
        <f>+[2]VOLKS!$L$143</f>
        <v>0</v>
      </c>
      <c r="BC146" s="53"/>
      <c r="BD146" s="74"/>
      <c r="BE146" s="109">
        <f t="shared" si="249"/>
        <v>0</v>
      </c>
    </row>
    <row r="147" spans="1:57" s="15" customFormat="1" ht="20.25">
      <c r="A147" s="15" t="s">
        <v>79</v>
      </c>
      <c r="B147" s="34" t="s">
        <v>85</v>
      </c>
      <c r="C147" s="34"/>
      <c r="D147" s="72"/>
      <c r="E147" s="104">
        <f t="shared" si="246"/>
        <v>3643.6875895036801</v>
      </c>
      <c r="F147" s="34"/>
      <c r="G147" s="72"/>
      <c r="H147" s="104">
        <v>60.66</v>
      </c>
      <c r="I147" s="34"/>
      <c r="J147" s="72"/>
      <c r="K147" s="104">
        <v>390.74</v>
      </c>
      <c r="L147" s="34"/>
      <c r="M147" s="72"/>
      <c r="N147" s="104">
        <v>203.63</v>
      </c>
      <c r="O147" s="34"/>
      <c r="P147" s="72"/>
      <c r="Q147" s="104">
        <v>21.8</v>
      </c>
      <c r="R147" s="34"/>
      <c r="S147" s="72"/>
      <c r="T147" s="104">
        <v>392.75</v>
      </c>
      <c r="U147" s="34"/>
      <c r="V147" s="72"/>
      <c r="W147" s="104">
        <v>902.6</v>
      </c>
      <c r="X147" s="34"/>
      <c r="Y147" s="72"/>
      <c r="Z147" s="104">
        <v>81.94</v>
      </c>
      <c r="AA147" s="34"/>
      <c r="AB147" s="72"/>
      <c r="AC147" s="104">
        <f>+[1]VOLKS!$L$144</f>
        <v>295.08999999999997</v>
      </c>
      <c r="AD147" s="34"/>
      <c r="AE147" s="72"/>
      <c r="AF147" s="104">
        <v>323.61939737591996</v>
      </c>
      <c r="AG147" s="34"/>
      <c r="AH147" s="72"/>
      <c r="AI147" s="104">
        <v>323.61939737591996</v>
      </c>
      <c r="AJ147" s="34"/>
      <c r="AK147" s="72"/>
      <c r="AL147" s="105">
        <v>323.61939737591996</v>
      </c>
      <c r="AM147" s="34"/>
      <c r="AN147" s="72"/>
      <c r="AO147" s="105">
        <v>323.61939737591996</v>
      </c>
      <c r="AQ147" s="53"/>
      <c r="AR147" s="74"/>
      <c r="AS147" s="108">
        <f t="shared" si="247"/>
        <v>2349.21</v>
      </c>
      <c r="AU147" s="53"/>
      <c r="AV147" s="74"/>
      <c r="AW147" s="108">
        <f t="shared" si="248"/>
        <v>1294.4775895036798</v>
      </c>
      <c r="AY147" s="53"/>
      <c r="AZ147" s="74"/>
      <c r="BA147" s="108">
        <f>+[2]VOLKS!$L$144</f>
        <v>2349.21</v>
      </c>
      <c r="BC147" s="53"/>
      <c r="BD147" s="74"/>
      <c r="BE147" s="109">
        <f t="shared" si="249"/>
        <v>0</v>
      </c>
    </row>
    <row r="148" spans="1:57" s="15" customFormat="1" ht="20.25">
      <c r="A148" s="15" t="s">
        <v>79</v>
      </c>
      <c r="B148" s="34" t="s">
        <v>86</v>
      </c>
      <c r="C148" s="34"/>
      <c r="D148" s="72"/>
      <c r="E148" s="104">
        <f t="shared" si="246"/>
        <v>927.62821937697333</v>
      </c>
      <c r="F148" s="34"/>
      <c r="G148" s="72"/>
      <c r="H148" s="104">
        <v>108.67</v>
      </c>
      <c r="I148" s="34"/>
      <c r="J148" s="72"/>
      <c r="K148" s="104">
        <v>94.99</v>
      </c>
      <c r="L148" s="34"/>
      <c r="M148" s="72"/>
      <c r="N148" s="104">
        <v>78.91</v>
      </c>
      <c r="O148" s="34"/>
      <c r="P148" s="72"/>
      <c r="Q148" s="104">
        <v>82.36</v>
      </c>
      <c r="R148" s="34"/>
      <c r="S148" s="72"/>
      <c r="T148" s="104">
        <v>70.14</v>
      </c>
      <c r="U148" s="34"/>
      <c r="V148" s="72"/>
      <c r="W148" s="104">
        <v>66.989999999999995</v>
      </c>
      <c r="X148" s="34"/>
      <c r="Y148" s="72"/>
      <c r="Z148" s="104">
        <v>66.8</v>
      </c>
      <c r="AA148" s="34"/>
      <c r="AB148" s="72"/>
      <c r="AC148" s="104">
        <f>+[1]VOLKS!$L$145</f>
        <v>107.71</v>
      </c>
      <c r="AD148" s="34"/>
      <c r="AE148" s="72"/>
      <c r="AF148" s="104">
        <v>62.764554844243328</v>
      </c>
      <c r="AG148" s="34"/>
      <c r="AH148" s="72"/>
      <c r="AI148" s="104">
        <v>62.764554844243328</v>
      </c>
      <c r="AJ148" s="34"/>
      <c r="AK148" s="72"/>
      <c r="AL148" s="105">
        <v>62.764554844243328</v>
      </c>
      <c r="AM148" s="34"/>
      <c r="AN148" s="72"/>
      <c r="AO148" s="105">
        <v>62.764554844243328</v>
      </c>
      <c r="AQ148" s="53"/>
      <c r="AR148" s="74"/>
      <c r="AS148" s="108">
        <f t="shared" si="247"/>
        <v>676.57</v>
      </c>
      <c r="AU148" s="53"/>
      <c r="AV148" s="74"/>
      <c r="AW148" s="108">
        <f t="shared" si="248"/>
        <v>251.05821937697331</v>
      </c>
      <c r="AY148" s="53"/>
      <c r="AZ148" s="74"/>
      <c r="BA148" s="108">
        <f>+[2]VOLKS!$L$145</f>
        <v>676.57</v>
      </c>
      <c r="BC148" s="53"/>
      <c r="BD148" s="74"/>
      <c r="BE148" s="109">
        <f t="shared" si="249"/>
        <v>0</v>
      </c>
    </row>
    <row r="149" spans="1:57" s="15" customFormat="1" ht="20.25">
      <c r="A149" s="15" t="s">
        <v>79</v>
      </c>
      <c r="B149" s="34" t="s">
        <v>87</v>
      </c>
      <c r="C149" s="34"/>
      <c r="D149" s="72"/>
      <c r="E149" s="104">
        <f t="shared" si="246"/>
        <v>1170.6973765526263</v>
      </c>
      <c r="F149" s="34"/>
      <c r="G149" s="72"/>
      <c r="H149" s="104">
        <v>289.95999999999998</v>
      </c>
      <c r="I149" s="34"/>
      <c r="J149" s="72"/>
      <c r="K149" s="104">
        <v>167.97</v>
      </c>
      <c r="L149" s="34"/>
      <c r="M149" s="72"/>
      <c r="N149" s="104">
        <v>179.49</v>
      </c>
      <c r="O149" s="34"/>
      <c r="P149" s="72"/>
      <c r="Q149" s="104">
        <v>49.22</v>
      </c>
      <c r="R149" s="34"/>
      <c r="S149" s="72"/>
      <c r="T149" s="104">
        <v>79.180000000000007</v>
      </c>
      <c r="U149" s="34"/>
      <c r="V149" s="72"/>
      <c r="W149" s="104">
        <v>114.98</v>
      </c>
      <c r="X149" s="34"/>
      <c r="Y149" s="72"/>
      <c r="Z149" s="104">
        <v>20.48</v>
      </c>
      <c r="AA149" s="34"/>
      <c r="AB149" s="72"/>
      <c r="AC149" s="104">
        <f>+[1]VOLKS!$L$146</f>
        <v>76.55</v>
      </c>
      <c r="AD149" s="34"/>
      <c r="AE149" s="72"/>
      <c r="AF149" s="104">
        <v>48.216844138156659</v>
      </c>
      <c r="AG149" s="34"/>
      <c r="AH149" s="72"/>
      <c r="AI149" s="104">
        <v>48.216844138156659</v>
      </c>
      <c r="AJ149" s="34"/>
      <c r="AK149" s="72"/>
      <c r="AL149" s="105">
        <v>48.216844138156659</v>
      </c>
      <c r="AM149" s="34"/>
      <c r="AN149" s="72"/>
      <c r="AO149" s="105">
        <v>48.216844138156659</v>
      </c>
      <c r="AQ149" s="53"/>
      <c r="AR149" s="74"/>
      <c r="AS149" s="108">
        <f t="shared" si="247"/>
        <v>977.82999999999993</v>
      </c>
      <c r="AU149" s="53"/>
      <c r="AV149" s="74"/>
      <c r="AW149" s="108">
        <f t="shared" si="248"/>
        <v>192.86737655262664</v>
      </c>
      <c r="AY149" s="53"/>
      <c r="AZ149" s="74"/>
      <c r="BA149" s="108">
        <f>+[2]VOLKS!$L$146</f>
        <v>977.83</v>
      </c>
      <c r="BC149" s="53"/>
      <c r="BD149" s="74"/>
      <c r="BE149" s="109">
        <f t="shared" si="249"/>
        <v>0</v>
      </c>
    </row>
    <row r="150" spans="1:57" s="15" customFormat="1" ht="20.25">
      <c r="A150" s="15" t="s">
        <v>79</v>
      </c>
      <c r="B150" s="34" t="s">
        <v>88</v>
      </c>
      <c r="C150" s="34"/>
      <c r="D150" s="72"/>
      <c r="E150" s="104">
        <f t="shared" si="246"/>
        <v>674.18646975190677</v>
      </c>
      <c r="F150" s="34"/>
      <c r="G150" s="72"/>
      <c r="H150" s="104">
        <v>33.53</v>
      </c>
      <c r="I150" s="34"/>
      <c r="J150" s="72"/>
      <c r="K150" s="104">
        <v>26.7</v>
      </c>
      <c r="L150" s="34"/>
      <c r="M150" s="72"/>
      <c r="N150" s="104">
        <v>26.7</v>
      </c>
      <c r="O150" s="34"/>
      <c r="P150" s="72"/>
      <c r="Q150" s="104">
        <v>45.41</v>
      </c>
      <c r="R150" s="34"/>
      <c r="S150" s="72"/>
      <c r="T150" s="104">
        <v>41.88</v>
      </c>
      <c r="U150" s="34"/>
      <c r="V150" s="72"/>
      <c r="W150" s="104">
        <v>23.52</v>
      </c>
      <c r="X150" s="34"/>
      <c r="Y150" s="72"/>
      <c r="Z150" s="104">
        <v>23.52</v>
      </c>
      <c r="AA150" s="34"/>
      <c r="AB150" s="72"/>
      <c r="AC150" s="104">
        <f>+[1]VOLKS!$L$147</f>
        <v>23.52</v>
      </c>
      <c r="AD150" s="34"/>
      <c r="AE150" s="72"/>
      <c r="AF150" s="104">
        <v>107.35161743797669</v>
      </c>
      <c r="AG150" s="34"/>
      <c r="AH150" s="72"/>
      <c r="AI150" s="104">
        <v>107.35161743797669</v>
      </c>
      <c r="AJ150" s="34"/>
      <c r="AK150" s="72"/>
      <c r="AL150" s="105">
        <v>107.35161743797669</v>
      </c>
      <c r="AM150" s="34"/>
      <c r="AN150" s="72"/>
      <c r="AO150" s="105">
        <v>107.35161743797669</v>
      </c>
      <c r="AQ150" s="53"/>
      <c r="AR150" s="74"/>
      <c r="AS150" s="108">
        <f t="shared" si="247"/>
        <v>244.78000000000003</v>
      </c>
      <c r="AU150" s="53"/>
      <c r="AV150" s="74"/>
      <c r="AW150" s="108">
        <f t="shared" si="248"/>
        <v>429.40646975190674</v>
      </c>
      <c r="AY150" s="53"/>
      <c r="AZ150" s="74"/>
      <c r="BA150" s="108">
        <f>+[2]VOLKS!$L$147</f>
        <v>244.78</v>
      </c>
      <c r="BC150" s="53"/>
      <c r="BD150" s="74"/>
      <c r="BE150" s="109">
        <f t="shared" si="249"/>
        <v>0</v>
      </c>
    </row>
    <row r="151" spans="1:57" s="15" customFormat="1" ht="20.25">
      <c r="A151" s="15" t="s">
        <v>79</v>
      </c>
      <c r="B151" s="34" t="s">
        <v>89</v>
      </c>
      <c r="C151" s="34"/>
      <c r="D151" s="72"/>
      <c r="E151" s="104">
        <f t="shared" si="246"/>
        <v>4963.8074867879395</v>
      </c>
      <c r="F151" s="34"/>
      <c r="G151" s="72"/>
      <c r="H151" s="104">
        <v>38.28</v>
      </c>
      <c r="I151" s="34"/>
      <c r="J151" s="72"/>
      <c r="K151" s="104">
        <v>240.65</v>
      </c>
      <c r="L151" s="34"/>
      <c r="M151" s="72"/>
      <c r="N151" s="104">
        <v>254.99</v>
      </c>
      <c r="O151" s="34"/>
      <c r="P151" s="72"/>
      <c r="Q151" s="104">
        <v>1550.28</v>
      </c>
      <c r="R151" s="34"/>
      <c r="S151" s="72"/>
      <c r="T151" s="104">
        <v>-16.37</v>
      </c>
      <c r="U151" s="34"/>
      <c r="V151" s="72"/>
      <c r="W151" s="104">
        <v>438.28</v>
      </c>
      <c r="X151" s="34"/>
      <c r="Y151" s="72"/>
      <c r="Z151" s="104">
        <v>1426.22</v>
      </c>
      <c r="AA151" s="34"/>
      <c r="AB151" s="72"/>
      <c r="AC151" s="104">
        <f>+[1]VOLKS!$L$148</f>
        <v>157.62</v>
      </c>
      <c r="AD151" s="34"/>
      <c r="AE151" s="72"/>
      <c r="AF151" s="104">
        <v>218.46437169698484</v>
      </c>
      <c r="AG151" s="34"/>
      <c r="AH151" s="72"/>
      <c r="AI151" s="104">
        <v>218.46437169698484</v>
      </c>
      <c r="AJ151" s="34"/>
      <c r="AK151" s="72"/>
      <c r="AL151" s="105">
        <v>218.46437169698484</v>
      </c>
      <c r="AM151" s="34"/>
      <c r="AN151" s="72"/>
      <c r="AO151" s="105">
        <v>218.46437169698484</v>
      </c>
      <c r="AQ151" s="53"/>
      <c r="AR151" s="74"/>
      <c r="AS151" s="108">
        <f t="shared" si="247"/>
        <v>4089.95</v>
      </c>
      <c r="AU151" s="53"/>
      <c r="AV151" s="74"/>
      <c r="AW151" s="108">
        <f t="shared" si="248"/>
        <v>873.85748678793937</v>
      </c>
      <c r="AY151" s="53"/>
      <c r="AZ151" s="74"/>
      <c r="BA151" s="108">
        <f>+[2]VOLKS!$L$148</f>
        <v>4089.95</v>
      </c>
      <c r="BC151" s="53"/>
      <c r="BD151" s="74"/>
      <c r="BE151" s="109">
        <f t="shared" si="249"/>
        <v>0</v>
      </c>
    </row>
    <row r="152" spans="1:57" s="15" customFormat="1" ht="20.25">
      <c r="A152" s="15" t="s">
        <v>79</v>
      </c>
      <c r="B152" s="34" t="s">
        <v>90</v>
      </c>
      <c r="C152" s="34"/>
      <c r="D152" s="72"/>
      <c r="E152" s="104">
        <f t="shared" si="246"/>
        <v>10049.679985195253</v>
      </c>
      <c r="F152" s="34"/>
      <c r="G152" s="72"/>
      <c r="H152" s="104">
        <v>622.85</v>
      </c>
      <c r="I152" s="34"/>
      <c r="J152" s="72"/>
      <c r="K152" s="104">
        <v>481.19</v>
      </c>
      <c r="L152" s="34"/>
      <c r="M152" s="72"/>
      <c r="N152" s="104">
        <v>871.03</v>
      </c>
      <c r="O152" s="34"/>
      <c r="P152" s="72"/>
      <c r="Q152" s="104">
        <v>1024.1300000000001</v>
      </c>
      <c r="R152" s="34"/>
      <c r="S152" s="72"/>
      <c r="T152" s="104">
        <v>1013.26</v>
      </c>
      <c r="U152" s="34"/>
      <c r="V152" s="72"/>
      <c r="W152" s="104">
        <v>795.62</v>
      </c>
      <c r="X152" s="34"/>
      <c r="Y152" s="72"/>
      <c r="Z152" s="104">
        <v>867.2</v>
      </c>
      <c r="AA152" s="34"/>
      <c r="AB152" s="72"/>
      <c r="AC152" s="104">
        <f>+[1]VOLKS!$L$149</f>
        <v>842.24</v>
      </c>
      <c r="AD152" s="34"/>
      <c r="AE152" s="72"/>
      <c r="AF152" s="104">
        <v>722.2072596354127</v>
      </c>
      <c r="AG152" s="34"/>
      <c r="AH152" s="72"/>
      <c r="AI152" s="104">
        <v>975.11430554061235</v>
      </c>
      <c r="AJ152" s="34"/>
      <c r="AK152" s="72"/>
      <c r="AL152" s="105">
        <v>1146.3671308542077</v>
      </c>
      <c r="AM152" s="34"/>
      <c r="AN152" s="72"/>
      <c r="AO152" s="105">
        <v>688.4712891650214</v>
      </c>
      <c r="AQ152" s="53"/>
      <c r="AR152" s="74"/>
      <c r="AS152" s="108">
        <f t="shared" si="247"/>
        <v>6517.5199999999995</v>
      </c>
      <c r="AU152" s="53"/>
      <c r="AV152" s="74"/>
      <c r="AW152" s="108">
        <f t="shared" si="248"/>
        <v>3532.1599851952542</v>
      </c>
      <c r="AY152" s="53"/>
      <c r="AZ152" s="74"/>
      <c r="BA152" s="108">
        <f>+[2]VOLKS!$L$149</f>
        <v>6517.52</v>
      </c>
      <c r="BC152" s="53"/>
      <c r="BD152" s="74"/>
      <c r="BE152" s="109">
        <f t="shared" si="249"/>
        <v>0</v>
      </c>
    </row>
    <row r="153" spans="1:57" s="15" customFormat="1" ht="20.25" customHeight="1">
      <c r="B153" s="34"/>
      <c r="C153" s="34"/>
      <c r="D153" s="72"/>
      <c r="E153" s="73"/>
      <c r="F153" s="34"/>
      <c r="G153" s="72"/>
      <c r="H153" s="73"/>
      <c r="I153" s="34"/>
      <c r="J153" s="72"/>
      <c r="K153" s="73"/>
      <c r="L153" s="34"/>
      <c r="M153" s="72"/>
      <c r="N153" s="73"/>
      <c r="O153" s="34"/>
      <c r="P153" s="72"/>
      <c r="Q153" s="73"/>
      <c r="R153" s="34"/>
      <c r="S153" s="72"/>
      <c r="T153" s="73"/>
      <c r="U153" s="34"/>
      <c r="V153" s="72"/>
      <c r="W153" s="73"/>
      <c r="X153" s="34"/>
      <c r="Y153" s="72"/>
      <c r="Z153" s="73"/>
      <c r="AA153" s="34"/>
      <c r="AB153" s="72"/>
      <c r="AC153" s="73"/>
      <c r="AD153" s="34"/>
      <c r="AE153" s="72"/>
      <c r="AF153" s="73"/>
      <c r="AG153" s="34"/>
      <c r="AH153" s="72"/>
      <c r="AI153" s="73"/>
      <c r="AJ153" s="34"/>
      <c r="AK153" s="72"/>
      <c r="AL153" s="73"/>
      <c r="AM153" s="34"/>
      <c r="AN153" s="72"/>
      <c r="AO153" s="73"/>
      <c r="AQ153" s="53"/>
      <c r="AR153" s="74"/>
      <c r="AS153" s="75"/>
      <c r="AU153" s="53"/>
      <c r="AV153" s="74"/>
      <c r="AW153" s="75"/>
      <c r="AY153" s="53"/>
      <c r="AZ153" s="74"/>
      <c r="BA153" s="75"/>
      <c r="BC153" s="53"/>
      <c r="BD153" s="74"/>
      <c r="BE153" s="27"/>
    </row>
    <row r="154" spans="1:57" s="15" customFormat="1" ht="20.25" customHeight="1">
      <c r="B154" s="34"/>
      <c r="C154" s="34"/>
      <c r="D154" s="72"/>
      <c r="E154" s="73"/>
      <c r="F154" s="34"/>
      <c r="G154" s="72"/>
      <c r="H154" s="73"/>
      <c r="I154" s="34"/>
      <c r="J154" s="72"/>
      <c r="K154" s="73"/>
      <c r="L154" s="34"/>
      <c r="M154" s="72"/>
      <c r="N154" s="73"/>
      <c r="O154" s="34"/>
      <c r="P154" s="72"/>
      <c r="Q154" s="73"/>
      <c r="R154" s="34"/>
      <c r="S154" s="72"/>
      <c r="T154" s="73"/>
      <c r="U154" s="34"/>
      <c r="V154" s="72"/>
      <c r="W154" s="73"/>
      <c r="X154" s="34"/>
      <c r="Y154" s="72"/>
      <c r="Z154" s="73"/>
      <c r="AA154" s="34"/>
      <c r="AB154" s="72"/>
      <c r="AC154" s="73"/>
      <c r="AD154" s="34"/>
      <c r="AE154" s="72"/>
      <c r="AF154" s="73"/>
      <c r="AG154" s="34"/>
      <c r="AH154" s="72"/>
      <c r="AI154" s="73"/>
      <c r="AJ154" s="34"/>
      <c r="AK154" s="72"/>
      <c r="AL154" s="73"/>
      <c r="AM154" s="34"/>
      <c r="AN154" s="72"/>
      <c r="AO154" s="73"/>
      <c r="AQ154" s="53"/>
      <c r="AR154" s="74"/>
      <c r="AS154" s="75"/>
      <c r="AU154" s="53"/>
      <c r="AV154" s="74"/>
      <c r="AW154" s="75"/>
      <c r="AY154" s="53"/>
      <c r="AZ154" s="74"/>
      <c r="BA154" s="75"/>
      <c r="BC154" s="53"/>
      <c r="BD154" s="74"/>
      <c r="BE154" s="27"/>
    </row>
    <row r="155" spans="1:57" s="15" customFormat="1" ht="20.25" customHeight="1">
      <c r="B155" s="34"/>
      <c r="C155" s="28"/>
      <c r="D155" s="138"/>
      <c r="E155" s="73"/>
      <c r="F155" s="28"/>
      <c r="G155" s="138"/>
      <c r="H155" s="73"/>
      <c r="I155" s="28"/>
      <c r="J155" s="138"/>
      <c r="K155" s="73"/>
      <c r="L155" s="28"/>
      <c r="M155" s="138"/>
      <c r="N155" s="73"/>
      <c r="O155" s="28"/>
      <c r="P155" s="138"/>
      <c r="Q155" s="73"/>
      <c r="R155" s="28"/>
      <c r="S155" s="138"/>
      <c r="T155" s="73"/>
      <c r="U155" s="28"/>
      <c r="V155" s="138"/>
      <c r="W155" s="73"/>
      <c r="X155" s="28"/>
      <c r="Y155" s="138"/>
      <c r="Z155" s="73"/>
      <c r="AA155" s="28"/>
      <c r="AB155" s="138"/>
      <c r="AC155" s="73"/>
      <c r="AD155" s="28"/>
      <c r="AE155" s="138"/>
      <c r="AF155" s="73"/>
      <c r="AG155" s="28"/>
      <c r="AH155" s="138"/>
      <c r="AI155" s="73"/>
      <c r="AJ155" s="28"/>
      <c r="AK155" s="138"/>
      <c r="AL155" s="73"/>
      <c r="AM155" s="28"/>
      <c r="AN155" s="138"/>
      <c r="AO155" s="73"/>
      <c r="AQ155" s="119"/>
      <c r="AR155" s="140"/>
      <c r="AS155" s="75"/>
      <c r="AU155" s="119"/>
      <c r="AV155" s="140"/>
      <c r="AW155" s="75"/>
      <c r="AY155" s="119"/>
      <c r="AZ155" s="140"/>
      <c r="BA155" s="75"/>
      <c r="BC155" s="119"/>
      <c r="BD155" s="140"/>
      <c r="BE155" s="27"/>
    </row>
    <row r="156" spans="1:57" s="15" customFormat="1" ht="20.25">
      <c r="A156" s="15" t="s">
        <v>27</v>
      </c>
      <c r="B156" s="120" t="s">
        <v>91</v>
      </c>
      <c r="C156" s="121" t="s">
        <v>57</v>
      </c>
      <c r="D156" s="122">
        <f>IFERROR(E156/E$111,0)</f>
        <v>8.9588794679007447E-2</v>
      </c>
      <c r="E156" s="123">
        <f>+SUM(E139:E155)</f>
        <v>122982.82707147473</v>
      </c>
      <c r="F156" s="121"/>
      <c r="G156" s="122"/>
      <c r="H156" s="123">
        <v>12492.41</v>
      </c>
      <c r="I156" s="121"/>
      <c r="J156" s="122"/>
      <c r="K156" s="123">
        <v>10011.14</v>
      </c>
      <c r="L156" s="121"/>
      <c r="M156" s="122"/>
      <c r="N156" s="123">
        <v>10909.62</v>
      </c>
      <c r="O156" s="121"/>
      <c r="P156" s="122"/>
      <c r="Q156" s="123">
        <v>14764.16</v>
      </c>
      <c r="R156" s="121"/>
      <c r="S156" s="122"/>
      <c r="T156" s="123">
        <v>10261.779999999901</v>
      </c>
      <c r="U156" s="121"/>
      <c r="V156" s="122"/>
      <c r="W156" s="124">
        <v>8547.4699999999993</v>
      </c>
      <c r="X156" s="121"/>
      <c r="Y156" s="122"/>
      <c r="Z156" s="124">
        <v>10277.99</v>
      </c>
      <c r="AA156" s="121"/>
      <c r="AB156" s="122"/>
      <c r="AC156" s="124">
        <f>+[1]VOLKS!$L$153</f>
        <v>10710.119999999901</v>
      </c>
      <c r="AD156" s="121" t="s">
        <v>57</v>
      </c>
      <c r="AE156" s="122">
        <v>9.4305175973713365E-2</v>
      </c>
      <c r="AF156" s="123">
        <v>8591.2015312052881</v>
      </c>
      <c r="AG156" s="121" t="s">
        <v>57</v>
      </c>
      <c r="AH156" s="122">
        <v>5.5728472445560728E-2</v>
      </c>
      <c r="AI156" s="123">
        <v>8844.1085771104881</v>
      </c>
      <c r="AJ156" s="121" t="s">
        <v>57</v>
      </c>
      <c r="AK156" s="122">
        <v>6.7886757548374116E-2</v>
      </c>
      <c r="AL156" s="123">
        <v>9015.3614024240833</v>
      </c>
      <c r="AM156" s="121" t="s">
        <v>57</v>
      </c>
      <c r="AN156" s="122">
        <v>8.4476461606464909E-2</v>
      </c>
      <c r="AO156" s="123">
        <v>8557.4655607348959</v>
      </c>
      <c r="AQ156" s="121" t="s">
        <v>57</v>
      </c>
      <c r="AR156" s="125">
        <f t="shared" ref="AR156" si="250">IFERROR(AS156/AS$111,0)</f>
        <v>9.8976093625560577E-2</v>
      </c>
      <c r="AS156" s="126">
        <f t="shared" ref="AS156" si="251">+SUM(AS139:AS155)</f>
        <v>87974.690000000017</v>
      </c>
      <c r="AU156" s="121" t="s">
        <v>57</v>
      </c>
      <c r="AV156" s="125">
        <f t="shared" ref="AV156" si="252">IFERROR(AW156/AW$111,0)</f>
        <v>7.2345809199162545E-2</v>
      </c>
      <c r="AW156" s="126">
        <f t="shared" ref="AW156" si="253">+SUM(AW139:AW155)</f>
        <v>35008.137071474754</v>
      </c>
      <c r="AY156" s="121"/>
      <c r="AZ156" s="125"/>
      <c r="BA156" s="126">
        <f>+[2]VOLKS!$L$153</f>
        <v>87974.69</v>
      </c>
      <c r="BC156" s="121" t="s">
        <v>57</v>
      </c>
      <c r="BD156" s="125"/>
      <c r="BE156" s="127">
        <f t="shared" ref="BE156" si="254">+SUM(BE139:BE155)</f>
        <v>0</v>
      </c>
    </row>
    <row r="157" spans="1:57" s="15" customFormat="1" ht="20.25" customHeight="1" outlineLevel="1">
      <c r="A157" s="15" t="s">
        <v>27</v>
      </c>
      <c r="B157" s="28"/>
      <c r="C157" s="28"/>
      <c r="D157" s="138"/>
      <c r="E157" s="139"/>
      <c r="F157" s="28" t="s">
        <v>57</v>
      </c>
      <c r="G157" s="138">
        <f>IFERROR(H157/H$110,0)</f>
        <v>0</v>
      </c>
      <c r="H157" s="139"/>
      <c r="I157" s="28" t="s">
        <v>57</v>
      </c>
      <c r="J157" s="138">
        <f>IFERROR(K157/K$110,0)</f>
        <v>0</v>
      </c>
      <c r="K157" s="139"/>
      <c r="L157" s="28" t="s">
        <v>57</v>
      </c>
      <c r="M157" s="138">
        <f>IFERROR(N157/N$110,0)</f>
        <v>0</v>
      </c>
      <c r="N157" s="139"/>
      <c r="O157" s="28" t="s">
        <v>57</v>
      </c>
      <c r="P157" s="138">
        <f>IFERROR(Q157/Q$110,0)</f>
        <v>0</v>
      </c>
      <c r="Q157" s="139"/>
      <c r="R157" s="28" t="s">
        <v>57</v>
      </c>
      <c r="S157" s="138">
        <f>IFERROR(T157/T$110,0)</f>
        <v>0</v>
      </c>
      <c r="T157" s="139"/>
      <c r="U157" s="28" t="s">
        <v>57</v>
      </c>
      <c r="V157" s="138">
        <f>IFERROR(W157/W$110,0)</f>
        <v>0</v>
      </c>
      <c r="W157" s="139"/>
      <c r="X157" s="28" t="s">
        <v>57</v>
      </c>
      <c r="Y157" s="138">
        <f>IFERROR(Z157/Z$110,0)</f>
        <v>0</v>
      </c>
      <c r="Z157" s="139"/>
      <c r="AA157" s="28" t="s">
        <v>57</v>
      </c>
      <c r="AB157" s="138">
        <f>IFERROR(AC157/AC$110,0)</f>
        <v>0</v>
      </c>
      <c r="AC157" s="139"/>
      <c r="AD157" s="28"/>
      <c r="AE157" s="138"/>
      <c r="AF157" s="139"/>
      <c r="AG157" s="28"/>
      <c r="AH157" s="138"/>
      <c r="AI157" s="139"/>
      <c r="AJ157" s="28"/>
      <c r="AK157" s="138"/>
      <c r="AL157" s="139"/>
      <c r="AM157" s="28"/>
      <c r="AN157" s="138"/>
      <c r="AO157" s="139"/>
      <c r="AQ157" s="119"/>
      <c r="AR157" s="140"/>
      <c r="AS157" s="141"/>
      <c r="AU157" s="119"/>
      <c r="AV157" s="140"/>
      <c r="AW157" s="141"/>
      <c r="AY157" s="119" t="s">
        <v>57</v>
      </c>
      <c r="AZ157" s="140">
        <f>IFERROR(BA157/BA$110,0)</f>
        <v>0</v>
      </c>
      <c r="BA157" s="141"/>
      <c r="BC157" s="119"/>
      <c r="BD157" s="140"/>
      <c r="BE157" s="142"/>
    </row>
    <row r="158" spans="1:57" s="15" customFormat="1" ht="20.25" customHeight="1" outlineLevel="1">
      <c r="A158" s="15" t="s">
        <v>27</v>
      </c>
      <c r="B158" s="150" t="s">
        <v>92</v>
      </c>
      <c r="C158" s="121" t="s">
        <v>57</v>
      </c>
      <c r="D158" s="122">
        <f>IFERROR(E158/E$111,0)</f>
        <v>0.91517656849696705</v>
      </c>
      <c r="E158" s="151">
        <f>E125+E138+E156</f>
        <v>1256306.6850781199</v>
      </c>
      <c r="F158" s="121"/>
      <c r="G158" s="122"/>
      <c r="H158" s="151">
        <f>H125+H138+H156</f>
        <v>104379.07</v>
      </c>
      <c r="I158" s="121"/>
      <c r="J158" s="122"/>
      <c r="K158" s="151">
        <f>K125+K138+K156</f>
        <v>74683.429999999993</v>
      </c>
      <c r="L158" s="121"/>
      <c r="M158" s="122"/>
      <c r="N158" s="151">
        <f>N125+N138+N156</f>
        <v>98752.629999999888</v>
      </c>
      <c r="O158" s="121"/>
      <c r="P158" s="122"/>
      <c r="Q158" s="151">
        <f>Q125+Q138+Q156</f>
        <v>102466.70000000001</v>
      </c>
      <c r="R158" s="121"/>
      <c r="S158" s="122"/>
      <c r="T158" s="151">
        <f>T125+T138+T156</f>
        <v>109415.7399999998</v>
      </c>
      <c r="U158" s="121"/>
      <c r="V158" s="122"/>
      <c r="W158" s="152">
        <f>W125+W138+W156</f>
        <v>103292.66</v>
      </c>
      <c r="X158" s="121"/>
      <c r="Y158" s="122"/>
      <c r="Z158" s="152">
        <f>Z125+Z138+Z156</f>
        <v>103056.83999999991</v>
      </c>
      <c r="AA158" s="121"/>
      <c r="AB158" s="122"/>
      <c r="AC158" s="152">
        <f>AC125+AC138+AC156</f>
        <v>99035.539999999921</v>
      </c>
      <c r="AD158" s="121" t="s">
        <v>57</v>
      </c>
      <c r="AE158" s="122">
        <v>1.1758209244728102</v>
      </c>
      <c r="AF158" s="151">
        <v>107117.286219473</v>
      </c>
      <c r="AG158" s="121" t="s">
        <v>57</v>
      </c>
      <c r="AH158" s="122">
        <v>0.84114201535650557</v>
      </c>
      <c r="AI158" s="151">
        <v>133489.23783707744</v>
      </c>
      <c r="AJ158" s="121" t="s">
        <v>57</v>
      </c>
      <c r="AK158" s="122">
        <v>0.88947556751854395</v>
      </c>
      <c r="AL158" s="151">
        <v>118122.35536646264</v>
      </c>
      <c r="AM158" s="121" t="s">
        <v>57</v>
      </c>
      <c r="AN158" s="122">
        <v>1.0117985750750942</v>
      </c>
      <c r="AO158" s="151">
        <v>102495.19565510705</v>
      </c>
      <c r="AQ158" s="121" t="s">
        <v>57</v>
      </c>
      <c r="AR158" s="125">
        <f t="shared" ref="AR158" si="255">IFERROR(AS158/AS$111,0)</f>
        <v>0.8945092144958402</v>
      </c>
      <c r="AS158" s="153">
        <f t="shared" ref="AS158" si="256">AS125+AS138+AS156</f>
        <v>795082.61</v>
      </c>
      <c r="AU158" s="121" t="s">
        <v>57</v>
      </c>
      <c r="AV158" s="125">
        <f t="shared" ref="AV158" si="257">IFERROR(AW158/AW$111,0)</f>
        <v>0.95313923347410645</v>
      </c>
      <c r="AW158" s="153">
        <f t="shared" ref="AW158" si="258">AW125+AW138+AW156</f>
        <v>461224.07507812011</v>
      </c>
      <c r="AY158" s="121"/>
      <c r="AZ158" s="125"/>
      <c r="BA158" s="153">
        <f>BA125+BA138+BA156</f>
        <v>795082.60999999987</v>
      </c>
      <c r="BC158" s="121" t="s">
        <v>57</v>
      </c>
      <c r="BD158" s="125"/>
      <c r="BE158" s="154">
        <f t="shared" ref="BE158" si="259">BE125+BE138+BE156</f>
        <v>0</v>
      </c>
    </row>
    <row r="159" spans="1:57" s="15" customFormat="1" ht="20.25" customHeight="1" outlineLevel="1">
      <c r="A159" s="15" t="s">
        <v>27</v>
      </c>
      <c r="B159" s="34" t="s">
        <v>106</v>
      </c>
      <c r="C159" s="53"/>
      <c r="D159" s="210"/>
      <c r="E159" s="104">
        <f t="shared" ref="E159:E161" si="260">+SUM(H159,K159,N159,Q159,T159,W159,Z159,AC159,AF159,AI159,AL159,AO159)</f>
        <v>0</v>
      </c>
      <c r="F159" s="53"/>
      <c r="G159" s="210"/>
      <c r="H159" s="104">
        <v>0</v>
      </c>
      <c r="I159" s="53"/>
      <c r="J159" s="210"/>
      <c r="K159" s="104">
        <v>0</v>
      </c>
      <c r="L159" s="53"/>
      <c r="M159" s="210"/>
      <c r="N159" s="104">
        <v>0</v>
      </c>
      <c r="O159" s="53"/>
      <c r="P159" s="210"/>
      <c r="Q159" s="104">
        <v>0</v>
      </c>
      <c r="R159" s="53"/>
      <c r="S159" s="210"/>
      <c r="T159" s="104">
        <v>0</v>
      </c>
      <c r="U159" s="53"/>
      <c r="V159" s="210"/>
      <c r="W159" s="104">
        <v>0</v>
      </c>
      <c r="X159" s="53"/>
      <c r="Y159" s="210"/>
      <c r="Z159" s="104">
        <v>0</v>
      </c>
      <c r="AA159" s="53"/>
      <c r="AB159" s="210"/>
      <c r="AC159" s="104">
        <f>+[1]VOLKS!$L$156</f>
        <v>0</v>
      </c>
      <c r="AD159" s="53"/>
      <c r="AE159" s="210"/>
      <c r="AF159" s="104">
        <v>0</v>
      </c>
      <c r="AG159" s="53"/>
      <c r="AH159" s="210"/>
      <c r="AI159" s="104">
        <v>0</v>
      </c>
      <c r="AJ159" s="53"/>
      <c r="AK159" s="210"/>
      <c r="AL159" s="104">
        <v>0</v>
      </c>
      <c r="AM159" s="53"/>
      <c r="AN159" s="210"/>
      <c r="AO159" s="104">
        <v>0</v>
      </c>
      <c r="AQ159" s="53"/>
      <c r="AR159" s="211"/>
      <c r="AS159" s="155">
        <f t="shared" ref="AS159:AS165" si="261">SUMIFS(F159:AO159,$F$7:$AO$7,"$PROFITS",$F$3:$AO$3,"RÉEL")</f>
        <v>0</v>
      </c>
      <c r="AU159" s="53"/>
      <c r="AV159" s="211"/>
      <c r="AW159" s="155">
        <f>SUMIFS(F159:AO159,$F$7:$AO$7,"$PROFITS",$F$3:$AO$3,"BUDGET")</f>
        <v>0</v>
      </c>
      <c r="AY159" s="53"/>
      <c r="AZ159" s="211"/>
      <c r="BA159" s="155">
        <f>+[2]VOLKS!$L$156</f>
        <v>0</v>
      </c>
      <c r="BC159" s="53"/>
      <c r="BD159" s="211"/>
      <c r="BE159" s="41">
        <f t="shared" ref="BE159:BE165" si="262">+BA159-AS159</f>
        <v>0</v>
      </c>
    </row>
    <row r="160" spans="1:57" s="15" customFormat="1" ht="20.25" customHeight="1" outlineLevel="1">
      <c r="A160" s="15" t="s">
        <v>27</v>
      </c>
      <c r="B160" s="34" t="s">
        <v>107</v>
      </c>
      <c r="C160" s="53"/>
      <c r="D160" s="210"/>
      <c r="E160" s="104">
        <f t="shared" si="260"/>
        <v>0</v>
      </c>
      <c r="F160" s="53"/>
      <c r="G160" s="210"/>
      <c r="H160" s="104">
        <v>0</v>
      </c>
      <c r="I160" s="53"/>
      <c r="J160" s="210"/>
      <c r="K160" s="104">
        <v>0</v>
      </c>
      <c r="L160" s="53"/>
      <c r="M160" s="210"/>
      <c r="N160" s="104">
        <v>0</v>
      </c>
      <c r="O160" s="53"/>
      <c r="P160" s="210"/>
      <c r="Q160" s="104">
        <v>0</v>
      </c>
      <c r="R160" s="53"/>
      <c r="S160" s="210"/>
      <c r="T160" s="104">
        <v>0</v>
      </c>
      <c r="U160" s="53"/>
      <c r="V160" s="210"/>
      <c r="W160" s="104">
        <v>0</v>
      </c>
      <c r="X160" s="53"/>
      <c r="Y160" s="210"/>
      <c r="Z160" s="104">
        <v>0</v>
      </c>
      <c r="AA160" s="53"/>
      <c r="AB160" s="210"/>
      <c r="AC160" s="104">
        <f>+[1]VOLKS!$L$157</f>
        <v>0</v>
      </c>
      <c r="AD160" s="53"/>
      <c r="AE160" s="210"/>
      <c r="AF160" s="104">
        <v>0</v>
      </c>
      <c r="AG160" s="53"/>
      <c r="AH160" s="210"/>
      <c r="AI160" s="104">
        <v>0</v>
      </c>
      <c r="AJ160" s="53"/>
      <c r="AK160" s="210"/>
      <c r="AL160" s="104">
        <v>0</v>
      </c>
      <c r="AM160" s="53"/>
      <c r="AN160" s="210"/>
      <c r="AO160" s="104">
        <v>0</v>
      </c>
      <c r="AQ160" s="53"/>
      <c r="AR160" s="211"/>
      <c r="AS160" s="155">
        <f t="shared" si="261"/>
        <v>0</v>
      </c>
      <c r="AU160" s="53"/>
      <c r="AV160" s="211"/>
      <c r="AW160" s="155">
        <f>SUMIFS(F160:AO160,$F$7:$AO$7,"$PROFITS",$F$3:$AO$3,"BUDGET")</f>
        <v>0</v>
      </c>
      <c r="AY160" s="53"/>
      <c r="AZ160" s="211"/>
      <c r="BA160" s="155">
        <f>+[2]VOLKS!$L$157</f>
        <v>0</v>
      </c>
      <c r="BC160" s="53"/>
      <c r="BD160" s="211"/>
      <c r="BE160" s="41">
        <f t="shared" si="262"/>
        <v>0</v>
      </c>
    </row>
    <row r="161" spans="1:57" s="15" customFormat="1" ht="20.25" customHeight="1" outlineLevel="1">
      <c r="A161" s="15" t="s">
        <v>27</v>
      </c>
      <c r="B161" s="34" t="s">
        <v>108</v>
      </c>
      <c r="C161" s="34"/>
      <c r="D161" s="72"/>
      <c r="E161" s="104">
        <f t="shared" si="260"/>
        <v>0</v>
      </c>
      <c r="F161" s="34"/>
      <c r="G161" s="72"/>
      <c r="H161" s="104"/>
      <c r="I161" s="34"/>
      <c r="J161" s="72"/>
      <c r="K161" s="104"/>
      <c r="L161" s="34"/>
      <c r="M161" s="72"/>
      <c r="N161" s="104"/>
      <c r="O161" s="34"/>
      <c r="P161" s="72"/>
      <c r="Q161" s="104"/>
      <c r="R161" s="34"/>
      <c r="S161" s="72"/>
      <c r="T161" s="104"/>
      <c r="U161" s="34"/>
      <c r="V161" s="72"/>
      <c r="W161" s="104"/>
      <c r="X161" s="34"/>
      <c r="Y161" s="72"/>
      <c r="Z161" s="104"/>
      <c r="AA161" s="34"/>
      <c r="AB161" s="72"/>
      <c r="AC161" s="104"/>
      <c r="AD161" s="34"/>
      <c r="AE161" s="72"/>
      <c r="AF161" s="104">
        <v>0</v>
      </c>
      <c r="AG161" s="34"/>
      <c r="AH161" s="72"/>
      <c r="AI161" s="104">
        <v>0</v>
      </c>
      <c r="AJ161" s="34"/>
      <c r="AK161" s="72"/>
      <c r="AL161" s="104">
        <v>0</v>
      </c>
      <c r="AM161" s="34"/>
      <c r="AN161" s="72"/>
      <c r="AO161" s="104">
        <v>0</v>
      </c>
      <c r="AQ161" s="53"/>
      <c r="AR161" s="74"/>
      <c r="AS161" s="155">
        <f t="shared" si="261"/>
        <v>0</v>
      </c>
      <c r="AU161" s="53"/>
      <c r="AV161" s="74"/>
      <c r="AW161" s="155">
        <f>SUMIFS(F161:AO161,$F$7:$AO$7,"$PROFITS",$F$3:$AO$3,"BUDGET")</f>
        <v>0</v>
      </c>
      <c r="AY161" s="53"/>
      <c r="AZ161" s="74"/>
      <c r="BA161" s="155"/>
      <c r="BC161" s="53"/>
      <c r="BD161" s="74"/>
      <c r="BE161" s="41">
        <f t="shared" si="262"/>
        <v>0</v>
      </c>
    </row>
    <row r="162" spans="1:57" s="15" customFormat="1" ht="20.25" customHeight="1" outlineLevel="1">
      <c r="B162" s="34"/>
      <c r="C162" s="34"/>
      <c r="D162" s="72"/>
      <c r="E162" s="104"/>
      <c r="F162" s="34"/>
      <c r="G162" s="72"/>
      <c r="H162" s="104"/>
      <c r="I162" s="34"/>
      <c r="J162" s="72"/>
      <c r="K162" s="104"/>
      <c r="L162" s="34"/>
      <c r="M162" s="72"/>
      <c r="N162" s="104"/>
      <c r="O162" s="34"/>
      <c r="P162" s="72"/>
      <c r="Q162" s="104"/>
      <c r="R162" s="34"/>
      <c r="S162" s="72"/>
      <c r="T162" s="104"/>
      <c r="U162" s="34"/>
      <c r="V162" s="72"/>
      <c r="W162" s="104"/>
      <c r="X162" s="34"/>
      <c r="Y162" s="72"/>
      <c r="Z162" s="104"/>
      <c r="AA162" s="34"/>
      <c r="AB162" s="72"/>
      <c r="AC162" s="104"/>
      <c r="AD162" s="34"/>
      <c r="AE162" s="72"/>
      <c r="AF162" s="104"/>
      <c r="AG162" s="34"/>
      <c r="AH162" s="72"/>
      <c r="AI162" s="104"/>
      <c r="AJ162" s="34"/>
      <c r="AK162" s="72"/>
      <c r="AL162" s="104"/>
      <c r="AM162" s="34"/>
      <c r="AN162" s="72"/>
      <c r="AO162" s="104"/>
      <c r="AQ162" s="53"/>
      <c r="AR162" s="74"/>
      <c r="AS162" s="155"/>
      <c r="AU162" s="53"/>
      <c r="AV162" s="74"/>
      <c r="AW162" s="155"/>
      <c r="AY162" s="53"/>
      <c r="AZ162" s="74"/>
      <c r="BA162" s="155"/>
      <c r="BC162" s="53"/>
      <c r="BD162" s="74"/>
      <c r="BE162" s="41"/>
    </row>
    <row r="163" spans="1:57" s="15" customFormat="1" ht="20.25" customHeight="1" outlineLevel="1">
      <c r="B163" s="34"/>
      <c r="C163" s="34"/>
      <c r="D163" s="72"/>
      <c r="E163" s="104"/>
      <c r="F163" s="34"/>
      <c r="G163" s="72"/>
      <c r="H163" s="104"/>
      <c r="I163" s="34"/>
      <c r="J163" s="72"/>
      <c r="K163" s="104"/>
      <c r="L163" s="34"/>
      <c r="M163" s="72"/>
      <c r="N163" s="104"/>
      <c r="O163" s="34"/>
      <c r="P163" s="72"/>
      <c r="Q163" s="104"/>
      <c r="R163" s="34"/>
      <c r="S163" s="72"/>
      <c r="T163" s="104"/>
      <c r="U163" s="34"/>
      <c r="V163" s="72"/>
      <c r="W163" s="104"/>
      <c r="X163" s="34"/>
      <c r="Y163" s="72"/>
      <c r="Z163" s="104"/>
      <c r="AA163" s="34"/>
      <c r="AB163" s="72"/>
      <c r="AC163" s="104"/>
      <c r="AD163" s="34"/>
      <c r="AE163" s="72"/>
      <c r="AF163" s="104"/>
      <c r="AG163" s="34"/>
      <c r="AH163" s="72"/>
      <c r="AI163" s="104"/>
      <c r="AJ163" s="34"/>
      <c r="AK163" s="72"/>
      <c r="AL163" s="104"/>
      <c r="AM163" s="34"/>
      <c r="AN163" s="72"/>
      <c r="AO163" s="104"/>
      <c r="AQ163" s="53"/>
      <c r="AR163" s="74"/>
      <c r="AS163" s="155"/>
      <c r="AU163" s="53"/>
      <c r="AV163" s="74"/>
      <c r="AW163" s="155"/>
      <c r="AY163" s="53"/>
      <c r="AZ163" s="74"/>
      <c r="BA163" s="155"/>
      <c r="BC163" s="53"/>
      <c r="BD163" s="74"/>
      <c r="BE163" s="41"/>
    </row>
    <row r="164" spans="1:57" s="15" customFormat="1" ht="20.25" customHeight="1" outlineLevel="1">
      <c r="B164" s="34"/>
      <c r="C164" s="34"/>
      <c r="D164" s="72"/>
      <c r="E164" s="104"/>
      <c r="F164" s="34"/>
      <c r="G164" s="72"/>
      <c r="H164" s="104"/>
      <c r="I164" s="34"/>
      <c r="J164" s="72"/>
      <c r="K164" s="104"/>
      <c r="L164" s="34"/>
      <c r="M164" s="72"/>
      <c r="N164" s="104"/>
      <c r="O164" s="34"/>
      <c r="P164" s="72"/>
      <c r="Q164" s="104"/>
      <c r="R164" s="34"/>
      <c r="S164" s="72"/>
      <c r="T164" s="104"/>
      <c r="U164" s="34"/>
      <c r="V164" s="72"/>
      <c r="W164" s="104"/>
      <c r="X164" s="34"/>
      <c r="Y164" s="72"/>
      <c r="Z164" s="104"/>
      <c r="AA164" s="34"/>
      <c r="AB164" s="72"/>
      <c r="AC164" s="104"/>
      <c r="AD164" s="34"/>
      <c r="AE164" s="72"/>
      <c r="AF164" s="104"/>
      <c r="AG164" s="34"/>
      <c r="AH164" s="72"/>
      <c r="AI164" s="104"/>
      <c r="AJ164" s="34"/>
      <c r="AK164" s="72"/>
      <c r="AL164" s="104"/>
      <c r="AM164" s="34"/>
      <c r="AN164" s="72"/>
      <c r="AO164" s="104"/>
      <c r="AQ164" s="53"/>
      <c r="AR164" s="74"/>
      <c r="AS164" s="155"/>
      <c r="AU164" s="53"/>
      <c r="AV164" s="74"/>
      <c r="AW164" s="155"/>
      <c r="AY164" s="53"/>
      <c r="AZ164" s="74"/>
      <c r="BA164" s="155"/>
      <c r="BC164" s="53"/>
      <c r="BD164" s="74"/>
      <c r="BE164" s="41"/>
    </row>
    <row r="165" spans="1:57" s="15" customFormat="1" ht="20.25" customHeight="1" outlineLevel="1">
      <c r="A165" s="15" t="s">
        <v>27</v>
      </c>
      <c r="B165" s="34" t="s">
        <v>97</v>
      </c>
      <c r="C165" s="34"/>
      <c r="D165" s="72"/>
      <c r="E165" s="104">
        <f t="shared" ref="E165" si="263">+SUM(H165,K165,N165,Q165,T165,W165,Z165,AC165,AF165,AI165,AL165,AO165)</f>
        <v>149674.34999999998</v>
      </c>
      <c r="F165" s="34"/>
      <c r="G165" s="72"/>
      <c r="H165" s="104">
        <v>11187</v>
      </c>
      <c r="I165" s="34"/>
      <c r="J165" s="72"/>
      <c r="K165" s="104">
        <v>8208</v>
      </c>
      <c r="L165" s="34"/>
      <c r="M165" s="72"/>
      <c r="N165" s="104">
        <v>14076</v>
      </c>
      <c r="O165" s="34"/>
      <c r="P165" s="72"/>
      <c r="Q165" s="104">
        <v>14505</v>
      </c>
      <c r="R165" s="34"/>
      <c r="S165" s="72"/>
      <c r="T165" s="104">
        <v>14061</v>
      </c>
      <c r="U165" s="34"/>
      <c r="V165" s="72"/>
      <c r="W165" s="104">
        <v>13986</v>
      </c>
      <c r="X165" s="34"/>
      <c r="Y165" s="72"/>
      <c r="Z165" s="104">
        <v>12504</v>
      </c>
      <c r="AA165" s="34"/>
      <c r="AB165" s="72"/>
      <c r="AC165" s="104">
        <f>+[1]VOLKS!$L$159</f>
        <v>13008</v>
      </c>
      <c r="AD165" s="34"/>
      <c r="AE165" s="72"/>
      <c r="AF165" s="104">
        <v>9097.1999999999989</v>
      </c>
      <c r="AG165" s="34"/>
      <c r="AH165" s="72"/>
      <c r="AI165" s="104">
        <v>15920.099999999999</v>
      </c>
      <c r="AJ165" s="34"/>
      <c r="AK165" s="72"/>
      <c r="AL165" s="104">
        <v>13266.75</v>
      </c>
      <c r="AM165" s="34"/>
      <c r="AN165" s="72"/>
      <c r="AO165" s="104">
        <v>9855.2999999999993</v>
      </c>
      <c r="AQ165" s="53"/>
      <c r="AR165" s="74"/>
      <c r="AS165" s="155">
        <f t="shared" si="261"/>
        <v>101535</v>
      </c>
      <c r="AU165" s="53"/>
      <c r="AV165" s="74"/>
      <c r="AW165" s="155">
        <f>SUMIFS(F165:AO165,$F$7:$AO$7,"$PROFITS",$F$3:$AO$3,"BUDGET")</f>
        <v>48139.349999999991</v>
      </c>
      <c r="AY165" s="53"/>
      <c r="AZ165" s="74"/>
      <c r="BA165" s="155">
        <f>+[2]VOLKS!$L$159</f>
        <v>101535</v>
      </c>
      <c r="BC165" s="53"/>
      <c r="BD165" s="74"/>
      <c r="BE165" s="41">
        <f t="shared" si="262"/>
        <v>0</v>
      </c>
    </row>
    <row r="166" spans="1:57" s="15" customFormat="1" ht="20.25" customHeight="1" outlineLevel="1">
      <c r="A166" s="15" t="s">
        <v>27</v>
      </c>
      <c r="B166" s="150" t="s">
        <v>98</v>
      </c>
      <c r="C166" s="212"/>
      <c r="D166" s="213"/>
      <c r="E166" s="151">
        <f>+SUM(E159:E165)</f>
        <v>149674.34999999998</v>
      </c>
      <c r="F166" s="212"/>
      <c r="G166" s="213"/>
      <c r="H166" s="151">
        <f>+SUM(H159:H165)</f>
        <v>11187</v>
      </c>
      <c r="I166" s="212"/>
      <c r="J166" s="213"/>
      <c r="K166" s="151">
        <f>+SUM(K159:K165)</f>
        <v>8208</v>
      </c>
      <c r="L166" s="212"/>
      <c r="M166" s="213"/>
      <c r="N166" s="151">
        <f>+SUM(N159:N165)</f>
        <v>14076</v>
      </c>
      <c r="O166" s="212"/>
      <c r="P166" s="213"/>
      <c r="Q166" s="151">
        <f>+SUM(Q159:Q165)</f>
        <v>14505</v>
      </c>
      <c r="R166" s="212"/>
      <c r="S166" s="213"/>
      <c r="T166" s="151">
        <f>+SUM(T159:T165)</f>
        <v>14061</v>
      </c>
      <c r="U166" s="212"/>
      <c r="V166" s="213"/>
      <c r="W166" s="152">
        <f>+SUM(W159:W165)</f>
        <v>13986</v>
      </c>
      <c r="X166" s="212"/>
      <c r="Y166" s="213"/>
      <c r="Z166" s="152">
        <f>+SUM(Z159:Z165)</f>
        <v>12504</v>
      </c>
      <c r="AA166" s="212"/>
      <c r="AB166" s="213"/>
      <c r="AC166" s="152">
        <f>+SUM(AC159:AC165)</f>
        <v>13008</v>
      </c>
      <c r="AD166" s="212"/>
      <c r="AE166" s="213"/>
      <c r="AF166" s="151">
        <v>9097.1999999999989</v>
      </c>
      <c r="AG166" s="212"/>
      <c r="AH166" s="213"/>
      <c r="AI166" s="151">
        <v>15920.099999999999</v>
      </c>
      <c r="AJ166" s="212"/>
      <c r="AK166" s="213"/>
      <c r="AL166" s="151">
        <v>13266.75</v>
      </c>
      <c r="AM166" s="212"/>
      <c r="AN166" s="213"/>
      <c r="AO166" s="151">
        <v>9855.2999999999993</v>
      </c>
      <c r="AQ166" s="212"/>
      <c r="AR166" s="214"/>
      <c r="AS166" s="153">
        <f t="shared" ref="AS166" si="264">+SUM(AS159:AS165)</f>
        <v>101535</v>
      </c>
      <c r="AU166" s="212"/>
      <c r="AV166" s="214"/>
      <c r="AW166" s="153">
        <f t="shared" ref="AW166" si="265">+SUM(AW159:AW165)</f>
        <v>48139.349999999991</v>
      </c>
      <c r="AY166" s="212"/>
      <c r="AZ166" s="214"/>
      <c r="BA166" s="153">
        <f>+SUM(BA159:BA165)</f>
        <v>101535</v>
      </c>
      <c r="BC166" s="212"/>
      <c r="BD166" s="214"/>
      <c r="BE166" s="154">
        <f t="shared" ref="BE166" si="266">+SUM(BE159:BE165)</f>
        <v>0</v>
      </c>
    </row>
    <row r="167" spans="1:57" s="15" customFormat="1" ht="20.25" customHeight="1" outlineLevel="1">
      <c r="A167" s="15" t="s">
        <v>27</v>
      </c>
      <c r="B167" s="34"/>
      <c r="C167" s="34"/>
      <c r="D167" s="72"/>
      <c r="E167" s="73"/>
      <c r="F167" s="34"/>
      <c r="G167" s="72"/>
      <c r="H167" s="73"/>
      <c r="I167" s="34"/>
      <c r="J167" s="72"/>
      <c r="K167" s="73"/>
      <c r="L167" s="34"/>
      <c r="M167" s="72"/>
      <c r="N167" s="73"/>
      <c r="O167" s="34"/>
      <c r="P167" s="72"/>
      <c r="Q167" s="73"/>
      <c r="R167" s="34"/>
      <c r="S167" s="72"/>
      <c r="T167" s="73"/>
      <c r="U167" s="34"/>
      <c r="V167" s="72"/>
      <c r="W167" s="73"/>
      <c r="X167" s="34"/>
      <c r="Y167" s="72"/>
      <c r="Z167" s="73"/>
      <c r="AA167" s="34"/>
      <c r="AB167" s="72"/>
      <c r="AC167" s="73"/>
      <c r="AD167" s="34"/>
      <c r="AE167" s="72"/>
      <c r="AF167" s="73"/>
      <c r="AG167" s="34"/>
      <c r="AH167" s="72"/>
      <c r="AI167" s="73"/>
      <c r="AJ167" s="34"/>
      <c r="AK167" s="72"/>
      <c r="AL167" s="73"/>
      <c r="AM167" s="34"/>
      <c r="AN167" s="72"/>
      <c r="AO167" s="73"/>
      <c r="AQ167" s="53"/>
      <c r="AR167" s="74"/>
      <c r="AS167" s="75"/>
      <c r="AU167" s="53"/>
      <c r="AV167" s="74"/>
      <c r="AW167" s="75"/>
      <c r="AY167" s="53"/>
      <c r="AZ167" s="74"/>
      <c r="BA167" s="75"/>
      <c r="BC167" s="53"/>
      <c r="BD167" s="74"/>
      <c r="BE167" s="27"/>
    </row>
    <row r="168" spans="1:57" s="15" customFormat="1" ht="21" customHeight="1" outlineLevel="1" thickBot="1">
      <c r="A168" s="15" t="s">
        <v>27</v>
      </c>
      <c r="B168" s="171" t="s">
        <v>99</v>
      </c>
      <c r="C168" s="171"/>
      <c r="D168" s="215"/>
      <c r="E168" s="174">
        <f>E111-E158+E166</f>
        <v>266115.5349218793</v>
      </c>
      <c r="F168" s="171"/>
      <c r="G168" s="215"/>
      <c r="H168" s="174">
        <f>H111-H158+H166</f>
        <v>-4723.5100000000239</v>
      </c>
      <c r="I168" s="171"/>
      <c r="J168" s="215"/>
      <c r="K168" s="174">
        <f>K111-K158+K166</f>
        <v>-9236.2900000000809</v>
      </c>
      <c r="L168" s="171"/>
      <c r="M168" s="215"/>
      <c r="N168" s="174">
        <f>N111-N158+N166</f>
        <v>23566.819999999905</v>
      </c>
      <c r="O168" s="171"/>
      <c r="P168" s="215"/>
      <c r="Q168" s="174">
        <f>Q111-Q158+Q166</f>
        <v>27225.83999999988</v>
      </c>
      <c r="R168" s="171"/>
      <c r="S168" s="215"/>
      <c r="T168" s="174">
        <f>T111-T158+T166</f>
        <v>24170.030000000101</v>
      </c>
      <c r="U168" s="171"/>
      <c r="V168" s="215"/>
      <c r="W168" s="175">
        <f>W111-W158+W166</f>
        <v>71886.769999999786</v>
      </c>
      <c r="X168" s="171"/>
      <c r="Y168" s="215"/>
      <c r="Z168" s="175">
        <f>Z111-Z158+Z166</f>
        <v>42713.969999999972</v>
      </c>
      <c r="AA168" s="171"/>
      <c r="AB168" s="215"/>
      <c r="AC168" s="175">
        <f>AC111-AC158+AC166</f>
        <v>19696.630000000063</v>
      </c>
      <c r="AD168" s="171"/>
      <c r="AE168" s="215"/>
      <c r="AF168" s="174">
        <v>-6920.086219472998</v>
      </c>
      <c r="AG168" s="171"/>
      <c r="AH168" s="215"/>
      <c r="AI168" s="174">
        <v>41130.86216292256</v>
      </c>
      <c r="AJ168" s="171"/>
      <c r="AK168" s="215"/>
      <c r="AL168" s="174">
        <v>27944.394633537362</v>
      </c>
      <c r="AM168" s="171"/>
      <c r="AN168" s="215"/>
      <c r="AO168" s="174">
        <v>8660.1043448929522</v>
      </c>
      <c r="AQ168" s="216"/>
      <c r="AR168" s="217"/>
      <c r="AS168" s="178">
        <f t="shared" ref="AS168" si="267">AS111-AS158+AS166</f>
        <v>195300.25999999919</v>
      </c>
      <c r="AU168" s="216"/>
      <c r="AV168" s="217"/>
      <c r="AW168" s="178">
        <f t="shared" ref="AW168" si="268">AW111-AW158+AW166</f>
        <v>70815.274921879885</v>
      </c>
      <c r="AY168" s="216"/>
      <c r="AZ168" s="217"/>
      <c r="BA168" s="178">
        <f>BA111-BA158+BA166</f>
        <v>195300.25999999803</v>
      </c>
      <c r="BC168" s="216"/>
      <c r="BD168" s="217"/>
      <c r="BE168" s="179">
        <f t="shared" ref="BE168" si="269">BE111-BE158+BE166</f>
        <v>-1.3515091268345714E-9</v>
      </c>
    </row>
    <row r="169" spans="1:57" ht="20.25">
      <c r="A169" s="15" t="s">
        <v>27</v>
      </c>
      <c r="B169" s="186"/>
      <c r="C169" s="186"/>
      <c r="D169" s="186"/>
      <c r="E169" s="218"/>
      <c r="F169" s="186"/>
      <c r="G169" s="186"/>
      <c r="H169" s="218"/>
      <c r="I169" s="186"/>
      <c r="J169" s="186"/>
      <c r="K169" s="218"/>
      <c r="L169" s="186"/>
      <c r="M169" s="186"/>
      <c r="N169" s="218"/>
      <c r="O169" s="186"/>
      <c r="P169" s="186"/>
      <c r="Q169" s="218"/>
      <c r="R169" s="186"/>
      <c r="S169" s="186"/>
      <c r="T169" s="218"/>
      <c r="U169" s="186"/>
      <c r="V169" s="186"/>
      <c r="W169" s="218"/>
      <c r="X169" s="186"/>
      <c r="Y169" s="186"/>
      <c r="Z169" s="218"/>
      <c r="AA169" s="186"/>
      <c r="AB169" s="186"/>
      <c r="AC169" s="218"/>
      <c r="AD169" s="186"/>
      <c r="AE169" s="186"/>
      <c r="AF169" s="218"/>
      <c r="AG169" s="186"/>
      <c r="AH169" s="186"/>
      <c r="AI169" s="218"/>
      <c r="AJ169" s="186"/>
      <c r="AK169" s="186"/>
      <c r="AL169" s="218"/>
      <c r="AM169" s="186"/>
      <c r="AN169" s="186"/>
      <c r="AO169" s="218"/>
      <c r="AQ169" s="13"/>
      <c r="AR169" s="13"/>
      <c r="AS169" s="219"/>
      <c r="AU169" s="13"/>
      <c r="AV169" s="13"/>
      <c r="AW169" s="219"/>
      <c r="AY169" s="13"/>
      <c r="AZ169" s="13"/>
      <c r="BA169" s="219"/>
      <c r="BC169" s="13"/>
      <c r="BD169" s="13"/>
      <c r="BE169" s="14"/>
    </row>
    <row r="170" spans="1:57" ht="20.25">
      <c r="A170" s="15" t="s">
        <v>27</v>
      </c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Q170" s="13"/>
      <c r="AR170" s="13"/>
      <c r="AS170" s="13"/>
      <c r="AU170" s="13"/>
      <c r="AV170" s="13"/>
      <c r="AW170" s="13"/>
      <c r="AY170" s="13"/>
      <c r="AZ170" s="13"/>
      <c r="BA170" s="13"/>
      <c r="BC170" s="13"/>
      <c r="BD170" s="13"/>
      <c r="BE170" s="14"/>
    </row>
    <row r="171" spans="1:57" s="10" customFormat="1" ht="35.25">
      <c r="A171" s="15" t="s">
        <v>27</v>
      </c>
      <c r="B171" s="187" t="str">
        <f>B4</f>
        <v>Budget 2025</v>
      </c>
      <c r="C171" s="10" t="s">
        <v>109</v>
      </c>
      <c r="AQ171" s="9"/>
      <c r="AR171" s="9"/>
      <c r="AS171" s="9"/>
      <c r="AU171" s="9"/>
      <c r="AV171" s="9"/>
      <c r="AW171" s="9"/>
      <c r="AY171" s="9"/>
      <c r="AZ171" s="9"/>
      <c r="BA171" s="9"/>
      <c r="BC171" s="9"/>
      <c r="BD171" s="9"/>
      <c r="BE171" s="188"/>
    </row>
    <row r="172" spans="1:57" ht="21" thickBot="1">
      <c r="A172" s="15" t="s">
        <v>27</v>
      </c>
      <c r="B172" s="189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Q172" s="13"/>
      <c r="AR172" s="13"/>
      <c r="AS172" s="13"/>
      <c r="AU172" s="13"/>
      <c r="AV172" s="13"/>
      <c r="AW172" s="13"/>
      <c r="AY172" s="13"/>
      <c r="AZ172" s="13"/>
      <c r="BA172" s="13"/>
      <c r="BC172" s="13"/>
      <c r="BD172" s="13"/>
      <c r="BE172" s="14"/>
    </row>
    <row r="173" spans="1:57" s="15" customFormat="1" ht="21" thickTop="1">
      <c r="A173" s="15" t="str">
        <f>+C171</f>
        <v>Service</v>
      </c>
      <c r="B173" s="16" t="s">
        <v>10</v>
      </c>
      <c r="C173" s="17">
        <v>2025</v>
      </c>
      <c r="D173" s="18"/>
      <c r="E173" s="19"/>
      <c r="F173" s="17" t="s">
        <v>11</v>
      </c>
      <c r="G173" s="18"/>
      <c r="H173" s="19"/>
      <c r="I173" s="17" t="s">
        <v>12</v>
      </c>
      <c r="J173" s="18"/>
      <c r="K173" s="19"/>
      <c r="L173" s="17" t="s">
        <v>13</v>
      </c>
      <c r="M173" s="18"/>
      <c r="N173" s="19"/>
      <c r="O173" s="17" t="s">
        <v>14</v>
      </c>
      <c r="P173" s="18"/>
      <c r="Q173" s="19"/>
      <c r="R173" s="17" t="s">
        <v>15</v>
      </c>
      <c r="S173" s="18"/>
      <c r="T173" s="19"/>
      <c r="U173" s="17" t="s">
        <v>16</v>
      </c>
      <c r="V173" s="18"/>
      <c r="W173" s="19"/>
      <c r="X173" s="17" t="s">
        <v>17</v>
      </c>
      <c r="Y173" s="18"/>
      <c r="Z173" s="19"/>
      <c r="AA173" s="17" t="s">
        <v>18</v>
      </c>
      <c r="AB173" s="18"/>
      <c r="AC173" s="19"/>
      <c r="AD173" s="17" t="s">
        <v>19</v>
      </c>
      <c r="AE173" s="18"/>
      <c r="AF173" s="19"/>
      <c r="AG173" s="17" t="s">
        <v>20</v>
      </c>
      <c r="AH173" s="18"/>
      <c r="AI173" s="19"/>
      <c r="AJ173" s="17" t="s">
        <v>21</v>
      </c>
      <c r="AK173" s="18"/>
      <c r="AL173" s="19"/>
      <c r="AM173" s="17" t="s">
        <v>22</v>
      </c>
      <c r="AN173" s="18"/>
      <c r="AO173" s="19"/>
      <c r="AQ173" s="16" t="s">
        <v>6</v>
      </c>
      <c r="AR173" s="20"/>
      <c r="AS173" s="21"/>
      <c r="AU173" s="16" t="s">
        <v>7</v>
      </c>
      <c r="AV173" s="20"/>
      <c r="AW173" s="21"/>
      <c r="AY173" s="16" t="s">
        <v>8</v>
      </c>
      <c r="AZ173" s="20"/>
      <c r="BA173" s="21"/>
      <c r="BC173" s="16" t="s">
        <v>23</v>
      </c>
      <c r="BD173" s="20"/>
      <c r="BE173" s="22"/>
    </row>
    <row r="174" spans="1:57" s="15" customFormat="1" ht="20.25" outlineLevel="1">
      <c r="A174" s="15" t="s">
        <v>27</v>
      </c>
      <c r="B174" s="34"/>
      <c r="C174" s="53" t="s">
        <v>110</v>
      </c>
      <c r="D174" s="74" t="s">
        <v>111</v>
      </c>
      <c r="E174" s="54" t="s">
        <v>26</v>
      </c>
      <c r="F174" s="53" t="s">
        <v>110</v>
      </c>
      <c r="G174" s="74" t="s">
        <v>111</v>
      </c>
      <c r="H174" s="54" t="s">
        <v>26</v>
      </c>
      <c r="I174" s="53" t="s">
        <v>110</v>
      </c>
      <c r="J174" s="74" t="s">
        <v>111</v>
      </c>
      <c r="K174" s="54" t="s">
        <v>26</v>
      </c>
      <c r="L174" s="53" t="s">
        <v>110</v>
      </c>
      <c r="M174" s="74" t="s">
        <v>111</v>
      </c>
      <c r="N174" s="54" t="s">
        <v>26</v>
      </c>
      <c r="O174" s="53" t="s">
        <v>110</v>
      </c>
      <c r="P174" s="74" t="s">
        <v>111</v>
      </c>
      <c r="Q174" s="54" t="s">
        <v>26</v>
      </c>
      <c r="R174" s="53" t="s">
        <v>110</v>
      </c>
      <c r="S174" s="74" t="s">
        <v>111</v>
      </c>
      <c r="T174" s="54" t="s">
        <v>26</v>
      </c>
      <c r="U174" s="53" t="s">
        <v>110</v>
      </c>
      <c r="V174" s="74" t="s">
        <v>111</v>
      </c>
      <c r="W174" s="54" t="s">
        <v>26</v>
      </c>
      <c r="X174" s="53" t="s">
        <v>110</v>
      </c>
      <c r="Y174" s="74" t="s">
        <v>111</v>
      </c>
      <c r="Z174" s="54" t="s">
        <v>26</v>
      </c>
      <c r="AA174" s="53" t="s">
        <v>110</v>
      </c>
      <c r="AB174" s="74" t="s">
        <v>111</v>
      </c>
      <c r="AC174" s="54" t="s">
        <v>26</v>
      </c>
      <c r="AD174" s="53" t="s">
        <v>110</v>
      </c>
      <c r="AE174" s="74" t="s">
        <v>111</v>
      </c>
      <c r="AF174" s="54" t="s">
        <v>26</v>
      </c>
      <c r="AG174" s="53" t="s">
        <v>110</v>
      </c>
      <c r="AH174" s="74" t="s">
        <v>111</v>
      </c>
      <c r="AI174" s="54" t="s">
        <v>26</v>
      </c>
      <c r="AJ174" s="53" t="s">
        <v>110</v>
      </c>
      <c r="AK174" s="74" t="s">
        <v>111</v>
      </c>
      <c r="AL174" s="54" t="s">
        <v>26</v>
      </c>
      <c r="AM174" s="53" t="s">
        <v>110</v>
      </c>
      <c r="AN174" s="74" t="s">
        <v>111</v>
      </c>
      <c r="AO174" s="54" t="s">
        <v>26</v>
      </c>
      <c r="AQ174" s="53" t="s">
        <v>110</v>
      </c>
      <c r="AR174" s="74" t="s">
        <v>111</v>
      </c>
      <c r="AS174" s="54" t="s">
        <v>26</v>
      </c>
      <c r="AU174" s="53" t="s">
        <v>110</v>
      </c>
      <c r="AV174" s="74" t="s">
        <v>111</v>
      </c>
      <c r="AW174" s="54" t="s">
        <v>26</v>
      </c>
      <c r="AY174" s="53" t="s">
        <v>110</v>
      </c>
      <c r="AZ174" s="74" t="s">
        <v>111</v>
      </c>
      <c r="BA174" s="54" t="s">
        <v>26</v>
      </c>
      <c r="BC174" s="53" t="s">
        <v>110</v>
      </c>
      <c r="BD174" s="74" t="s">
        <v>111</v>
      </c>
      <c r="BE174" s="27" t="s">
        <v>26</v>
      </c>
    </row>
    <row r="175" spans="1:57" s="15" customFormat="1" ht="20.25" outlineLevel="1">
      <c r="A175" s="15" t="s">
        <v>27</v>
      </c>
      <c r="B175" s="34" t="s">
        <v>112</v>
      </c>
      <c r="C175" s="220">
        <f>+SUM(F175,I175,L175,O175,R175,U175,X175,AA175,AD175,AG175,AJ175,AM175)</f>
        <v>5932.36</v>
      </c>
      <c r="D175" s="221">
        <f>+SUM(G175,J175,M175,P175,S175,V175,Y175,AB175,AE175,AH175,AK175,AN175)</f>
        <v>1985379.3199999998</v>
      </c>
      <c r="E175" s="104">
        <f>+SUM(H175,K175,N175,Q175,T175,W175,Z175,AC175,AF175,AI175,AL175,AO175)</f>
        <v>1556659.352</v>
      </c>
      <c r="F175" s="220">
        <v>255</v>
      </c>
      <c r="G175" s="221">
        <v>97545.76</v>
      </c>
      <c r="H175" s="104">
        <v>78443</v>
      </c>
      <c r="I175" s="220">
        <v>248</v>
      </c>
      <c r="J175" s="221">
        <v>93892</v>
      </c>
      <c r="K175" s="104">
        <v>74019.72</v>
      </c>
      <c r="L175" s="220">
        <v>340</v>
      </c>
      <c r="M175" s="221">
        <v>122570.44</v>
      </c>
      <c r="N175" s="104">
        <v>95803</v>
      </c>
      <c r="O175" s="220">
        <v>776</v>
      </c>
      <c r="P175" s="221">
        <v>218088.11</v>
      </c>
      <c r="Q175" s="104">
        <v>171401.35</v>
      </c>
      <c r="R175" s="220">
        <v>670</v>
      </c>
      <c r="S175" s="221">
        <v>205475.49</v>
      </c>
      <c r="T175" s="104">
        <v>158789.87</v>
      </c>
      <c r="U175" s="220">
        <v>431</v>
      </c>
      <c r="V175" s="221">
        <v>140254.72</v>
      </c>
      <c r="W175" s="104">
        <v>109869.64</v>
      </c>
      <c r="X175" s="220">
        <v>402</v>
      </c>
      <c r="Y175" s="221">
        <v>136183.57999999999</v>
      </c>
      <c r="Z175" s="104">
        <v>107609.11</v>
      </c>
      <c r="AA175" s="220">
        <f>+[1]VOLKS!$J$172</f>
        <v>352</v>
      </c>
      <c r="AB175" s="221">
        <f>+[1]VOLKS!$K$172</f>
        <v>135526.82</v>
      </c>
      <c r="AC175" s="104">
        <f>+[1]VOLKS!$L$172</f>
        <v>108766.59</v>
      </c>
      <c r="AD175" s="220">
        <v>389.74</v>
      </c>
      <c r="AE175" s="221">
        <v>132511.6</v>
      </c>
      <c r="AF175" s="104">
        <v>103359.04800000001</v>
      </c>
      <c r="AG175" s="220">
        <v>659.56000000000006</v>
      </c>
      <c r="AH175" s="221">
        <v>224250.4</v>
      </c>
      <c r="AI175" s="104">
        <v>174915.31200000001</v>
      </c>
      <c r="AJ175" s="220">
        <v>959.36</v>
      </c>
      <c r="AK175" s="221">
        <v>326182.40000000002</v>
      </c>
      <c r="AL175" s="104">
        <v>254422.27200000003</v>
      </c>
      <c r="AM175" s="220">
        <v>449.7</v>
      </c>
      <c r="AN175" s="221">
        <v>152898</v>
      </c>
      <c r="AO175" s="104">
        <v>119260.44</v>
      </c>
      <c r="AQ175" s="38">
        <f>SUMIFS(F175:AO175,$F$7:$AO$7,"UNITE",$F$3:$AO$3,"RÉEL")</f>
        <v>3474</v>
      </c>
      <c r="AR175" s="222">
        <f>SUMIFS(F175:AO175,$F$174:$AO$174,"$VENTES",$F$3:$AO$3,"RÉEL")</f>
        <v>1149536.92</v>
      </c>
      <c r="AS175" s="155">
        <f>SUMIFS(F175:AO175,$F$7:$AO$7,"$PROFITS",$F$3:$AO$3,"RÉEL")</f>
        <v>904702.27999999991</v>
      </c>
      <c r="AU175" s="38">
        <f>SUMIFS(F175:AO175,$F$7:$AO$7,"UNITE",$F$3:$AO$3,"BUDGET")</f>
        <v>2458.36</v>
      </c>
      <c r="AV175" s="223">
        <f>SUMIFS(F175:AO175,$F$7:$AO$7,"$P/UNITE",$F$3:$AO$3,"BUDGET")</f>
        <v>835842.4</v>
      </c>
      <c r="AW175" s="155">
        <f>SUMIFS(F175:AO175,$F$7:$AO$7,"$PROFITS",$F$3:$AO$3,"BUDGET")</f>
        <v>651957.07199999993</v>
      </c>
      <c r="AY175" s="38">
        <f>+[2]VOLKS!$J$172</f>
        <v>3474</v>
      </c>
      <c r="AZ175" s="222">
        <f>+[2]VOLKS!$K$172</f>
        <v>1149536.92</v>
      </c>
      <c r="BA175" s="155">
        <f>+[2]VOLKS!$L$172</f>
        <v>904702.28</v>
      </c>
      <c r="BC175" s="224">
        <f t="shared" ref="BC175:BE175" si="270">+AY175-AQ175</f>
        <v>0</v>
      </c>
      <c r="BD175" s="222">
        <f t="shared" si="270"/>
        <v>0</v>
      </c>
      <c r="BE175" s="41">
        <f t="shared" si="270"/>
        <v>0</v>
      </c>
    </row>
    <row r="176" spans="1:57" s="15" customFormat="1" ht="20.25" outlineLevel="1">
      <c r="A176" s="15" t="s">
        <v>27</v>
      </c>
      <c r="B176" s="34" t="s">
        <v>113</v>
      </c>
      <c r="C176" s="225"/>
      <c r="D176" s="72"/>
      <c r="E176" s="226">
        <f>IF(E175=0,0,E175/D175)</f>
        <v>0.78406143164622066</v>
      </c>
      <c r="F176" s="225"/>
      <c r="G176" s="72"/>
      <c r="H176" s="226">
        <f>IF(H175=0,0,H175/G175)</f>
        <v>0.80416616775552319</v>
      </c>
      <c r="I176" s="225"/>
      <c r="J176" s="72"/>
      <c r="K176" s="226">
        <f>IF(K175=0,0,K175/J175)</f>
        <v>0.78834959314957609</v>
      </c>
      <c r="L176" s="225"/>
      <c r="M176" s="72"/>
      <c r="N176" s="226">
        <f>IF(N175=0,0,N175/M175)</f>
        <v>0.78161586105100056</v>
      </c>
      <c r="O176" s="225"/>
      <c r="P176" s="72"/>
      <c r="Q176" s="226">
        <f>IF(Q175=0,0,Q175/P175)</f>
        <v>0.78592707323659239</v>
      </c>
      <c r="R176" s="225"/>
      <c r="S176" s="72"/>
      <c r="T176" s="226">
        <f>IF(T175=0,0,T175/S175)</f>
        <v>0.77279226831385095</v>
      </c>
      <c r="U176" s="225"/>
      <c r="V176" s="72"/>
      <c r="W176" s="226">
        <f>IF(W175=0,0,W175/V175)</f>
        <v>0.78335787915016331</v>
      </c>
      <c r="X176" s="225"/>
      <c r="Y176" s="72"/>
      <c r="Z176" s="226">
        <f>IF(Z175=0,0,Z175/Y175)</f>
        <v>0.79017683335979283</v>
      </c>
      <c r="AA176" s="225"/>
      <c r="AB176" s="72"/>
      <c r="AC176" s="226">
        <f>IF(AC175=0,0,AC175/AB175)</f>
        <v>0.80254661033144581</v>
      </c>
      <c r="AD176" s="225"/>
      <c r="AE176" s="72"/>
      <c r="AF176" s="226">
        <v>0.78</v>
      </c>
      <c r="AG176" s="225"/>
      <c r="AH176" s="72"/>
      <c r="AI176" s="226">
        <v>0.78</v>
      </c>
      <c r="AJ176" s="225"/>
      <c r="AK176" s="72"/>
      <c r="AL176" s="226">
        <v>0.78</v>
      </c>
      <c r="AM176" s="225"/>
      <c r="AN176" s="72"/>
      <c r="AO176" s="226">
        <v>0.78</v>
      </c>
      <c r="AQ176" s="227"/>
      <c r="AR176" s="74"/>
      <c r="AS176" s="228">
        <f t="shared" ref="AS176" si="271">IF(AS175=0,0,AS175/AR175)</f>
        <v>0.78701454843225038</v>
      </c>
      <c r="AU176" s="227"/>
      <c r="AV176" s="74"/>
      <c r="AW176" s="228">
        <f t="shared" ref="AW176" si="272">IF(AW175=0,0,AW175/AV175)</f>
        <v>0.77999999999999992</v>
      </c>
      <c r="AY176" s="227"/>
      <c r="AZ176" s="74"/>
      <c r="BA176" s="228">
        <f>IF(BA175=0,0,BA175/AZ175)</f>
        <v>0.78701454843225049</v>
      </c>
      <c r="BC176" s="227"/>
      <c r="BD176" s="74"/>
      <c r="BE176" s="27"/>
    </row>
    <row r="177" spans="1:57" s="15" customFormat="1" ht="20.25" outlineLevel="1">
      <c r="A177" s="15" t="s">
        <v>27</v>
      </c>
      <c r="B177" s="28"/>
      <c r="C177" s="229"/>
      <c r="D177" s="230">
        <f>IFERROR(D175/C175,0)</f>
        <v>334.66939295659739</v>
      </c>
      <c r="E177" s="231"/>
      <c r="F177" s="229"/>
      <c r="G177" s="230">
        <f>IFERROR(G175/F175,0)</f>
        <v>382.53239215686273</v>
      </c>
      <c r="H177" s="231"/>
      <c r="I177" s="229"/>
      <c r="J177" s="230">
        <f>IFERROR(J175/I175,0)</f>
        <v>378.59677419354841</v>
      </c>
      <c r="K177" s="231"/>
      <c r="L177" s="229"/>
      <c r="M177" s="230">
        <f>IFERROR(M175/L175,0)</f>
        <v>360.50129411764709</v>
      </c>
      <c r="N177" s="231"/>
      <c r="O177" s="229"/>
      <c r="P177" s="230">
        <f>IFERROR(P175/O175,0)</f>
        <v>281.04137886597937</v>
      </c>
      <c r="Q177" s="231"/>
      <c r="R177" s="229"/>
      <c r="S177" s="230">
        <f>IFERROR(S175/R175,0)</f>
        <v>306.67983582089551</v>
      </c>
      <c r="T177" s="231"/>
      <c r="U177" s="229"/>
      <c r="V177" s="230">
        <f>IFERROR(V175/U175,0)</f>
        <v>325.41698375870072</v>
      </c>
      <c r="W177" s="231"/>
      <c r="X177" s="229"/>
      <c r="Y177" s="230">
        <f>IFERROR(Y175/X175,0)</f>
        <v>338.76512437810942</v>
      </c>
      <c r="Z177" s="231"/>
      <c r="AA177" s="229"/>
      <c r="AB177" s="230">
        <f>IFERROR(AB175/AA175,0)</f>
        <v>385.01937500000003</v>
      </c>
      <c r="AC177" s="231"/>
      <c r="AD177" s="229"/>
      <c r="AE177" s="230">
        <v>340</v>
      </c>
      <c r="AF177" s="231"/>
      <c r="AG177" s="229"/>
      <c r="AH177" s="230">
        <v>339.99999999999994</v>
      </c>
      <c r="AI177" s="231"/>
      <c r="AJ177" s="229"/>
      <c r="AK177" s="230">
        <v>340</v>
      </c>
      <c r="AL177" s="231"/>
      <c r="AM177" s="229"/>
      <c r="AN177" s="230">
        <v>340</v>
      </c>
      <c r="AO177" s="231"/>
      <c r="AQ177" s="232"/>
      <c r="AR177" s="233">
        <f t="shared" ref="AR177" si="273">IFERROR(AR175/AQ175,0)</f>
        <v>330.8972135866436</v>
      </c>
      <c r="AS177" s="234"/>
      <c r="AU177" s="232"/>
      <c r="AV177" s="233">
        <f t="shared" ref="AV177" si="274">IFERROR(AV175/AU175,0)</f>
        <v>340</v>
      </c>
      <c r="AW177" s="234"/>
      <c r="AY177" s="232"/>
      <c r="AZ177" s="233">
        <f>IFERROR(AZ175/AY175,0)</f>
        <v>330.8972135866436</v>
      </c>
      <c r="BA177" s="234"/>
      <c r="BC177" s="232"/>
      <c r="BD177" s="233">
        <f>IFERROR(BD175/BC175,0)</f>
        <v>0</v>
      </c>
      <c r="BE177" s="142"/>
    </row>
    <row r="178" spans="1:57" s="15" customFormat="1" ht="20.25" outlineLevel="1">
      <c r="A178" s="15" t="s">
        <v>27</v>
      </c>
      <c r="B178" s="23" t="s">
        <v>114</v>
      </c>
      <c r="C178" s="235">
        <f>+SUM(F178,I178,L178,O178,R178,U178,X178,AA178,AD178,AG178,AJ178,AM178)</f>
        <v>2416.6549999999997</v>
      </c>
      <c r="D178" s="236">
        <f>+SUM(G178,J178,M178,P178,S178,V178,Y178,AB178,AE178,AH178,AK178,AN178)</f>
        <v>695038.51500000001</v>
      </c>
      <c r="E178" s="131">
        <f>+SUM(H178,K178,N178,Q178,T178,W178,Z178,AC178,AF178,AI178,AL178,AO178)</f>
        <v>425282.20999999979</v>
      </c>
      <c r="F178" s="235">
        <v>231</v>
      </c>
      <c r="G178" s="236">
        <v>78219.08</v>
      </c>
      <c r="H178" s="131">
        <v>53780.83</v>
      </c>
      <c r="I178" s="235">
        <v>258</v>
      </c>
      <c r="J178" s="236">
        <v>67450.92</v>
      </c>
      <c r="K178" s="131">
        <v>45677.440000000002</v>
      </c>
      <c r="L178" s="235">
        <v>287</v>
      </c>
      <c r="M178" s="236">
        <v>83188.259999999995</v>
      </c>
      <c r="N178" s="131">
        <v>53154.959999999897</v>
      </c>
      <c r="O178" s="235">
        <v>192</v>
      </c>
      <c r="P178" s="236">
        <v>40008.99</v>
      </c>
      <c r="Q178" s="131">
        <v>23879.969999999899</v>
      </c>
      <c r="R178" s="235">
        <v>178</v>
      </c>
      <c r="S178" s="236">
        <v>42881.71</v>
      </c>
      <c r="T178" s="131">
        <v>25065.75</v>
      </c>
      <c r="U178" s="235">
        <v>230</v>
      </c>
      <c r="V178" s="236">
        <v>58666.38</v>
      </c>
      <c r="W178" s="131">
        <v>38054.239999999998</v>
      </c>
      <c r="X178" s="235">
        <v>211</v>
      </c>
      <c r="Y178" s="236">
        <v>68514.11</v>
      </c>
      <c r="Z178" s="131">
        <v>42536.59</v>
      </c>
      <c r="AA178" s="235">
        <f>+[1]VOLKS!$J$175</f>
        <v>170</v>
      </c>
      <c r="AB178" s="236">
        <f>+[1]VOLKS!$K$175</f>
        <v>70265.14</v>
      </c>
      <c r="AC178" s="131">
        <f>+[1]VOLKS!$L$175</f>
        <v>43801.95</v>
      </c>
      <c r="AD178" s="235">
        <v>143.85</v>
      </c>
      <c r="AE178" s="236">
        <v>38839.5</v>
      </c>
      <c r="AF178" s="131">
        <v>24857.279999999999</v>
      </c>
      <c r="AG178" s="578">
        <f>149.33*1.5</f>
        <v>223.995</v>
      </c>
      <c r="AH178" s="236">
        <f>AG178*AH180</f>
        <v>63838.575000000004</v>
      </c>
      <c r="AI178" s="131">
        <f>AH178*AI179</f>
        <v>40856.688000000002</v>
      </c>
      <c r="AJ178" s="578">
        <f>113.71*1.5</f>
        <v>170.565</v>
      </c>
      <c r="AK178" s="236">
        <f>AJ178*AK180</f>
        <v>48611.025000000001</v>
      </c>
      <c r="AL178" s="131">
        <v>19649.088</v>
      </c>
      <c r="AM178" s="578">
        <f>80.83*1.5</f>
        <v>121.245</v>
      </c>
      <c r="AN178" s="236">
        <f>AM178*AN180</f>
        <v>34554.825000000004</v>
      </c>
      <c r="AO178" s="131">
        <v>13967.423999999999</v>
      </c>
      <c r="AQ178" s="38">
        <f>SUMIFS(F178:AO178,$F$7:$AO$7,"UNITE",$F$3:$AO$3,"RÉEL")</f>
        <v>1757</v>
      </c>
      <c r="AR178" s="222">
        <f>SUMIFS(F178:AO178,$F$174:$AO$174,"$VENTES",$F$3:$AO$3,"RÉEL")</f>
        <v>509194.59</v>
      </c>
      <c r="AS178" s="237">
        <f>SUMIFS(F178:AO178,$F$7:$AO$7,"$PROFITS",$F$3:$AO$3,"RÉEL")</f>
        <v>325951.72999999981</v>
      </c>
      <c r="AU178" s="238">
        <f>SUMIFS(F178:AO178,$F$7:$AO$7,"UNITE",$F$3:$AO$3,"BUDGET")</f>
        <v>659.65500000000009</v>
      </c>
      <c r="AV178" s="239">
        <f>SUMIFS(F178:AO178,$F$7:$AO$7,"$P/UNITE",$F$3:$AO$3,"BUDGET")</f>
        <v>185843.92500000002</v>
      </c>
      <c r="AW178" s="237">
        <f>SUMIFS(F178:AO178,$F$7:$AO$7,"$PROFITS",$F$3:$AO$3,"BUDGET")</f>
        <v>99330.48</v>
      </c>
      <c r="AY178" s="38">
        <f>+[2]VOLKS!$J$175</f>
        <v>1757</v>
      </c>
      <c r="AZ178" s="222">
        <f>+[2]VOLKS!$K$175</f>
        <v>509194.59</v>
      </c>
      <c r="BA178" s="237">
        <f>+[2]VOLKS!$L$175</f>
        <v>325951.73</v>
      </c>
      <c r="BC178" s="238">
        <f t="shared" ref="BC178:BE178" si="275">+AY178-AQ178</f>
        <v>0</v>
      </c>
      <c r="BD178" s="239">
        <f t="shared" si="275"/>
        <v>0</v>
      </c>
      <c r="BE178" s="240">
        <f t="shared" si="275"/>
        <v>0</v>
      </c>
    </row>
    <row r="179" spans="1:57" s="15" customFormat="1" ht="20.25" outlineLevel="1">
      <c r="A179" s="15" t="s">
        <v>27</v>
      </c>
      <c r="B179" s="34" t="s">
        <v>113</v>
      </c>
      <c r="C179" s="34"/>
      <c r="D179" s="72"/>
      <c r="E179" s="226">
        <f>IF(E178=0,0,E178/D178)</f>
        <v>0.61188294004109944</v>
      </c>
      <c r="F179" s="34"/>
      <c r="G179" s="72"/>
      <c r="H179" s="226">
        <f>IF(H178=0,0,H178/G178)</f>
        <v>0.68756663975081267</v>
      </c>
      <c r="I179" s="34"/>
      <c r="J179" s="72"/>
      <c r="K179" s="226">
        <f>IF(K178=0,0,K178/J178)</f>
        <v>0.67719521097710755</v>
      </c>
      <c r="L179" s="34"/>
      <c r="M179" s="72"/>
      <c r="N179" s="226">
        <f>IF(N178=0,0,N178/M178)</f>
        <v>0.63897189338976312</v>
      </c>
      <c r="O179" s="34"/>
      <c r="P179" s="72"/>
      <c r="Q179" s="226">
        <f>IF(Q178=0,0,Q178/P178)</f>
        <v>0.59686510456774589</v>
      </c>
      <c r="R179" s="34"/>
      <c r="S179" s="72"/>
      <c r="T179" s="226">
        <f>IF(T178=0,0,T178/S178)</f>
        <v>0.58453242652869952</v>
      </c>
      <c r="U179" s="34"/>
      <c r="V179" s="72"/>
      <c r="W179" s="226">
        <f>IF(W178=0,0,W178/V178)</f>
        <v>0.64865498774596286</v>
      </c>
      <c r="X179" s="34"/>
      <c r="Y179" s="72"/>
      <c r="Z179" s="226">
        <f>IF(Z178=0,0,Z178/Y178)</f>
        <v>0.62084423193996097</v>
      </c>
      <c r="AA179" s="34"/>
      <c r="AB179" s="72"/>
      <c r="AC179" s="226">
        <f>IF(AC178=0,0,AC178/AB178)</f>
        <v>0.62338095391256598</v>
      </c>
      <c r="AD179" s="34"/>
      <c r="AE179" s="72"/>
      <c r="AF179" s="226">
        <v>0.64</v>
      </c>
      <c r="AG179" s="34"/>
      <c r="AH179" s="72"/>
      <c r="AI179" s="577">
        <v>0.64</v>
      </c>
      <c r="AJ179" s="34"/>
      <c r="AK179" s="72"/>
      <c r="AL179" s="577">
        <v>0.64</v>
      </c>
      <c r="AM179" s="34"/>
      <c r="AN179" s="72"/>
      <c r="AO179" s="577">
        <v>0.64</v>
      </c>
      <c r="AQ179" s="53"/>
      <c r="AR179" s="74"/>
      <c r="AS179" s="228">
        <f t="shared" ref="AS179" si="276">IF(AS178=0,0,AS178/AR178)</f>
        <v>0.64013195819696311</v>
      </c>
      <c r="AU179" s="53"/>
      <c r="AV179" s="74"/>
      <c r="AW179" s="228">
        <f t="shared" ref="AW179" si="277">IF(AW178=0,0,AW178/AV178)</f>
        <v>0.53448333056891684</v>
      </c>
      <c r="AY179" s="53"/>
      <c r="AZ179" s="74"/>
      <c r="BA179" s="228">
        <f>IF(BA178=0,0,BA178/AZ178)</f>
        <v>0.64013195819696345</v>
      </c>
      <c r="BC179" s="53"/>
      <c r="BD179" s="74"/>
      <c r="BE179" s="27"/>
    </row>
    <row r="180" spans="1:57" s="15" customFormat="1" ht="20.25" outlineLevel="1">
      <c r="A180" s="15" t="s">
        <v>27</v>
      </c>
      <c r="B180" s="28"/>
      <c r="C180" s="28"/>
      <c r="D180" s="230">
        <f>IFERROR(D178/C178,0)</f>
        <v>287.60353256877795</v>
      </c>
      <c r="E180" s="231"/>
      <c r="F180" s="28"/>
      <c r="G180" s="230">
        <f>IFERROR(G178/F178,0)</f>
        <v>338.61073593073593</v>
      </c>
      <c r="H180" s="231"/>
      <c r="I180" s="28"/>
      <c r="J180" s="230">
        <f>IFERROR(J178/I178,0)</f>
        <v>261.43767441860467</v>
      </c>
      <c r="K180" s="231"/>
      <c r="L180" s="28"/>
      <c r="M180" s="230">
        <f>IFERROR(M178/L178,0)</f>
        <v>289.85456445993032</v>
      </c>
      <c r="N180" s="231"/>
      <c r="O180" s="28"/>
      <c r="P180" s="230">
        <f>IFERROR(P178/O178,0)</f>
        <v>208.38015625</v>
      </c>
      <c r="Q180" s="231"/>
      <c r="R180" s="28"/>
      <c r="S180" s="230">
        <f>IFERROR(S178/R178,0)</f>
        <v>240.9084831460674</v>
      </c>
      <c r="T180" s="231"/>
      <c r="U180" s="28"/>
      <c r="V180" s="230">
        <f>IFERROR(V178/U178,0)</f>
        <v>255.07121739130434</v>
      </c>
      <c r="W180" s="231"/>
      <c r="X180" s="28"/>
      <c r="Y180" s="230">
        <f>IFERROR(Y178/X178,0)</f>
        <v>324.71142180094785</v>
      </c>
      <c r="Z180" s="231"/>
      <c r="AA180" s="28"/>
      <c r="AB180" s="230">
        <f>IFERROR(AB178/AA178,0)</f>
        <v>413.32435294117647</v>
      </c>
      <c r="AC180" s="231"/>
      <c r="AD180" s="28"/>
      <c r="AE180" s="230">
        <v>270</v>
      </c>
      <c r="AF180" s="231"/>
      <c r="AG180" s="28"/>
      <c r="AH180" s="579">
        <v>285</v>
      </c>
      <c r="AI180" s="231"/>
      <c r="AJ180" s="28"/>
      <c r="AK180" s="579">
        <v>285</v>
      </c>
      <c r="AL180" s="231"/>
      <c r="AM180" s="28"/>
      <c r="AN180" s="579">
        <v>285</v>
      </c>
      <c r="AO180" s="231"/>
      <c r="AQ180" s="119"/>
      <c r="AR180" s="233">
        <f>IFERROR(AR178/AQ178,0)</f>
        <v>289.80910073989759</v>
      </c>
      <c r="AS180" s="234"/>
      <c r="AU180" s="119"/>
      <c r="AV180" s="233">
        <f t="shared" ref="AV180" si="278">IFERROR(AV178/AU178,0)</f>
        <v>281.72897196261681</v>
      </c>
      <c r="AW180" s="234"/>
      <c r="AY180" s="119"/>
      <c r="AZ180" s="233">
        <f>IFERROR(AZ178/AY178,0)</f>
        <v>289.80910073989759</v>
      </c>
      <c r="BA180" s="234"/>
      <c r="BC180" s="119"/>
      <c r="BD180" s="233">
        <f t="shared" ref="BD180" si="279">IFERROR(BD178/BC178,0)</f>
        <v>0</v>
      </c>
      <c r="BE180" s="142"/>
    </row>
    <row r="181" spans="1:57" s="15" customFormat="1" ht="20.25" outlineLevel="1">
      <c r="A181" s="15" t="s">
        <v>27</v>
      </c>
      <c r="B181" s="34" t="s">
        <v>115</v>
      </c>
      <c r="C181" s="220">
        <f>+SUM(F181,I181,L181,O181,R181,U181,X181,AA181,AD181,AG181,AJ181,AM181)</f>
        <v>2991.0500000000006</v>
      </c>
      <c r="D181" s="221">
        <f>+SUM(G181,J181,M181,P181,S181,V181,Y181,AB181,AE181,AH181,AK181,AN181)</f>
        <v>941572.77099999983</v>
      </c>
      <c r="E181" s="104">
        <f>+SUM(H181,K181,N181,Q181,T181,W181,Z181,AC181,AF181,AI181,AL181,AO181)</f>
        <v>718396.07813999976</v>
      </c>
      <c r="F181" s="220">
        <v>222</v>
      </c>
      <c r="G181" s="221">
        <v>62165.19</v>
      </c>
      <c r="H181" s="104">
        <v>46690.44</v>
      </c>
      <c r="I181" s="220">
        <v>185</v>
      </c>
      <c r="J181" s="221">
        <v>64753.34</v>
      </c>
      <c r="K181" s="104">
        <v>48754.789999999899</v>
      </c>
      <c r="L181" s="220">
        <v>221</v>
      </c>
      <c r="M181" s="221">
        <v>68191.08</v>
      </c>
      <c r="N181" s="104">
        <v>53135.29</v>
      </c>
      <c r="O181" s="220">
        <v>220</v>
      </c>
      <c r="P181" s="221">
        <v>64988.78</v>
      </c>
      <c r="Q181" s="104">
        <v>50798.22</v>
      </c>
      <c r="R181" s="220">
        <v>247</v>
      </c>
      <c r="S181" s="241">
        <v>87494.05</v>
      </c>
      <c r="T181" s="242">
        <v>66932.45</v>
      </c>
      <c r="U181" s="220">
        <v>265</v>
      </c>
      <c r="V181" s="241">
        <v>79677.269999999902</v>
      </c>
      <c r="W181" s="104">
        <v>60336.739999999903</v>
      </c>
      <c r="X181" s="220">
        <v>249</v>
      </c>
      <c r="Y181" s="241">
        <v>93153.12</v>
      </c>
      <c r="Z181" s="104">
        <v>74412.23</v>
      </c>
      <c r="AA181" s="220">
        <f>+[1]VOLKS!$J$178</f>
        <v>324</v>
      </c>
      <c r="AB181" s="241">
        <f>+[1]VOLKS!$K$178</f>
        <v>96307.43</v>
      </c>
      <c r="AC181" s="104">
        <f>+[1]VOLKS!$L$178</f>
        <v>76952.459999999905</v>
      </c>
      <c r="AD181" s="220">
        <v>241.84</v>
      </c>
      <c r="AE181" s="221">
        <v>74249.716799999995</v>
      </c>
      <c r="AF181" s="104">
        <v>54944.790431999994</v>
      </c>
      <c r="AG181" s="220">
        <v>272.07</v>
      </c>
      <c r="AH181" s="221">
        <v>83530.931399999987</v>
      </c>
      <c r="AI181" s="104">
        <v>61812.889235999988</v>
      </c>
      <c r="AJ181" s="220">
        <v>332.53000000000003</v>
      </c>
      <c r="AK181" s="221">
        <v>102093.3606</v>
      </c>
      <c r="AL181" s="104">
        <v>75549.086844000005</v>
      </c>
      <c r="AM181" s="220">
        <v>211.61</v>
      </c>
      <c r="AN181" s="221">
        <v>64968.502200000003</v>
      </c>
      <c r="AO181" s="104">
        <v>48076.691628</v>
      </c>
      <c r="AQ181" s="38">
        <f>SUMIFS(F181:AO181,$F$7:$AO$7,"UNITE",$F$3:$AO$3,"RÉEL")</f>
        <v>1933</v>
      </c>
      <c r="AR181" s="222">
        <f>SUMIFS(F181:AO181,$F$174:$AO$174,"$VENTES",$F$3:$AO$3,"RÉEL")</f>
        <v>616730.25999999989</v>
      </c>
      <c r="AS181" s="155">
        <f>SUMIFS(F181:AO181,$F$7:$AO$7,"$PROFITS",$F$3:$AO$3,"RÉEL")</f>
        <v>478012.6199999997</v>
      </c>
      <c r="AU181" s="224">
        <f>SUMIFS(F181:AO181,$F$7:$AO$7,"UNITE",$F$3:$AO$3,"BUDGET")</f>
        <v>1058.0500000000002</v>
      </c>
      <c r="AV181" s="222">
        <f>SUMIFS(F181:AO181,$F$7:$AO$7,"$P/UNITE",$F$3:$AO$3,"BUDGET")</f>
        <v>324842.511</v>
      </c>
      <c r="AW181" s="155">
        <f>SUMIFS(F181:AO181,$F$7:$AO$7,"$PROFITS",$F$3:$AO$3,"BUDGET")</f>
        <v>240383.45814</v>
      </c>
      <c r="AY181" s="38">
        <f>+[2]VOLKS!$J$178</f>
        <v>1933</v>
      </c>
      <c r="AZ181" s="222">
        <f>+[2]VOLKS!$K$178</f>
        <v>616730.26</v>
      </c>
      <c r="BA181" s="155">
        <f>+[2]VOLKS!$L$178</f>
        <v>478012.62</v>
      </c>
      <c r="BB181" s="243">
        <f>+BA181</f>
        <v>478012.62</v>
      </c>
      <c r="BC181" s="224">
        <f t="shared" ref="BC181:BE181" si="280">+AY181-AQ181</f>
        <v>0</v>
      </c>
      <c r="BD181" s="244">
        <f t="shared" si="280"/>
        <v>0</v>
      </c>
      <c r="BE181" s="41">
        <f t="shared" si="280"/>
        <v>0</v>
      </c>
    </row>
    <row r="182" spans="1:57" s="15" customFormat="1" ht="20.25" outlineLevel="1">
      <c r="A182" s="15" t="s">
        <v>27</v>
      </c>
      <c r="B182" s="34" t="s">
        <v>113</v>
      </c>
      <c r="C182" s="225"/>
      <c r="D182" s="245"/>
      <c r="E182" s="226">
        <f>IF(E181=0,0,E181/D181)</f>
        <v>0.7629745679423432</v>
      </c>
      <c r="F182" s="225"/>
      <c r="G182" s="245"/>
      <c r="H182" s="226">
        <f>IF(H181=0,0,H181/G181)</f>
        <v>0.75107049459673492</v>
      </c>
      <c r="I182" s="225"/>
      <c r="J182" s="245"/>
      <c r="K182" s="226">
        <f>IF(K181=0,0,K181/J181)</f>
        <v>0.75293089128684176</v>
      </c>
      <c r="L182" s="225"/>
      <c r="M182" s="245"/>
      <c r="N182" s="226">
        <f>IF(N181=0,0,N181/M181)</f>
        <v>0.77921173854410286</v>
      </c>
      <c r="O182" s="225"/>
      <c r="P182" s="245"/>
      <c r="Q182" s="226">
        <f>IF(Q181=0,0,Q181/P181)</f>
        <v>0.78164600104818094</v>
      </c>
      <c r="R182" s="225"/>
      <c r="S182" s="245"/>
      <c r="T182" s="226">
        <f>IF(T181=0,0,T181/S181)</f>
        <v>0.76499430532704793</v>
      </c>
      <c r="U182" s="225"/>
      <c r="V182" s="245"/>
      <c r="W182" s="226">
        <f>IF(W181=0,0,W181/V181)</f>
        <v>0.75726414823198607</v>
      </c>
      <c r="X182" s="225"/>
      <c r="Y182" s="245"/>
      <c r="Z182" s="226">
        <f>IF(Z181=0,0,Z181/Y181)</f>
        <v>0.79881629300231705</v>
      </c>
      <c r="AA182" s="225"/>
      <c r="AB182" s="245"/>
      <c r="AC182" s="226">
        <f>IF(AC181=0,0,AC181/AB181)</f>
        <v>0.79902931684502343</v>
      </c>
      <c r="AD182" s="225"/>
      <c r="AE182" s="245"/>
      <c r="AF182" s="226">
        <v>0.74</v>
      </c>
      <c r="AG182" s="225"/>
      <c r="AH182" s="245"/>
      <c r="AI182" s="226">
        <v>0.74</v>
      </c>
      <c r="AJ182" s="225"/>
      <c r="AK182" s="245"/>
      <c r="AL182" s="226">
        <v>0.7400000000000001</v>
      </c>
      <c r="AM182" s="225"/>
      <c r="AN182" s="245"/>
      <c r="AO182" s="226">
        <v>0.74</v>
      </c>
      <c r="AQ182" s="227"/>
      <c r="AR182" s="246"/>
      <c r="AS182" s="228">
        <f t="shared" ref="AS182" si="281">IF(AS181=0,0,AS181/AR181)</f>
        <v>0.77507567084514351</v>
      </c>
      <c r="AU182" s="227"/>
      <c r="AV182" s="246"/>
      <c r="AW182" s="228">
        <f t="shared" ref="AW182" si="282">IF(AW181=0,0,AW181/AV181)</f>
        <v>0.74</v>
      </c>
      <c r="AY182" s="227"/>
      <c r="AZ182" s="246"/>
      <c r="BA182" s="228">
        <f>IF(BA181=0,0,BA181/AZ181)</f>
        <v>0.77507567084514384</v>
      </c>
      <c r="BC182" s="227"/>
      <c r="BD182" s="246"/>
      <c r="BE182" s="27"/>
    </row>
    <row r="183" spans="1:57" s="15" customFormat="1" ht="20.25" outlineLevel="1">
      <c r="A183" s="15" t="s">
        <v>27</v>
      </c>
      <c r="B183" s="34"/>
      <c r="C183" s="225"/>
      <c r="D183" s="247">
        <f>IFERROR(D181/C181,0)</f>
        <v>314.79673392286975</v>
      </c>
      <c r="E183" s="226"/>
      <c r="F183" s="225"/>
      <c r="G183" s="247">
        <f>IFERROR(G181/F181,0)</f>
        <v>280.02337837837837</v>
      </c>
      <c r="H183" s="226"/>
      <c r="I183" s="225"/>
      <c r="J183" s="247">
        <f>IFERROR(J181/I181,0)</f>
        <v>350.01805405405406</v>
      </c>
      <c r="K183" s="226"/>
      <c r="L183" s="225"/>
      <c r="M183" s="247">
        <f>IFERROR(M181/L181,0)</f>
        <v>308.55692307692311</v>
      </c>
      <c r="N183" s="226"/>
      <c r="O183" s="225"/>
      <c r="P183" s="247">
        <f>IFERROR(P181/O181,0)</f>
        <v>295.40354545454545</v>
      </c>
      <c r="Q183" s="226"/>
      <c r="R183" s="225"/>
      <c r="S183" s="247">
        <f>IFERROR(S181/R181,0)</f>
        <v>354.22692307692307</v>
      </c>
      <c r="T183" s="226"/>
      <c r="U183" s="225"/>
      <c r="V183" s="247">
        <f>IFERROR(V181/U181,0)</f>
        <v>300.66894339622604</v>
      </c>
      <c r="W183" s="226"/>
      <c r="X183" s="225"/>
      <c r="Y183" s="247">
        <f>IFERROR(Y181/X181,0)</f>
        <v>374.10891566265059</v>
      </c>
      <c r="Z183" s="226"/>
      <c r="AA183" s="225"/>
      <c r="AB183" s="247">
        <f>IFERROR(AB181/AA181,0)</f>
        <v>297.24515432098764</v>
      </c>
      <c r="AC183" s="226"/>
      <c r="AD183" s="225"/>
      <c r="AE183" s="247">
        <v>307.02</v>
      </c>
      <c r="AF183" s="226"/>
      <c r="AG183" s="225"/>
      <c r="AH183" s="247">
        <v>307.02</v>
      </c>
      <c r="AI183" s="226"/>
      <c r="AJ183" s="225"/>
      <c r="AK183" s="247">
        <v>307.02</v>
      </c>
      <c r="AL183" s="226"/>
      <c r="AM183" s="225"/>
      <c r="AN183" s="247">
        <v>307.02</v>
      </c>
      <c r="AO183" s="226"/>
      <c r="AQ183" s="227"/>
      <c r="AR183" s="248">
        <f t="shared" ref="AR183" si="283">IFERROR(AR181/AQ181,0)</f>
        <v>319.05341955509567</v>
      </c>
      <c r="AS183" s="228"/>
      <c r="AU183" s="227"/>
      <c r="AV183" s="248">
        <f t="shared" ref="AV183" si="284">IFERROR(AV181/AU181,0)</f>
        <v>307.01999999999992</v>
      </c>
      <c r="AW183" s="228"/>
      <c r="AY183" s="227"/>
      <c r="AZ183" s="248">
        <f>IFERROR(AZ181/AY181,0)</f>
        <v>319.05341955509573</v>
      </c>
      <c r="BA183" s="228"/>
      <c r="BC183" s="227"/>
      <c r="BD183" s="248">
        <f t="shared" ref="BD183" si="285">IFERROR(BD181/BC181,0)</f>
        <v>0</v>
      </c>
      <c r="BE183" s="27"/>
    </row>
    <row r="184" spans="1:57" s="15" customFormat="1" ht="20.25" outlineLevel="1">
      <c r="A184" s="15" t="s">
        <v>27</v>
      </c>
      <c r="B184" s="23" t="s">
        <v>116</v>
      </c>
      <c r="C184" s="235">
        <f>+SUM(F184,I184,L184,O184,R184,U184,X184,AA184,AD184,AG184,AJ184,AM184)</f>
        <v>186.51599999999999</v>
      </c>
      <c r="D184" s="236">
        <f>+SUM(G184,J184,M184,P184,S184,V184,Y184,AB184,AE184,AH184,AK184,AN184)</f>
        <v>138100.97</v>
      </c>
      <c r="E184" s="131">
        <f>+SUM(H184,K184,N184,Q184,T184,W184,Z184,AC184,AF184,AI184,AL184,AO184)</f>
        <v>107375.99999999999</v>
      </c>
      <c r="F184" s="235">
        <v>0</v>
      </c>
      <c r="G184" s="236">
        <v>3898.56</v>
      </c>
      <c r="H184" s="131">
        <v>2857.0299999999902</v>
      </c>
      <c r="I184" s="235">
        <v>0</v>
      </c>
      <c r="J184" s="236">
        <v>3769.71</v>
      </c>
      <c r="K184" s="131">
        <v>2857.41</v>
      </c>
      <c r="L184" s="235">
        <v>0</v>
      </c>
      <c r="M184" s="236">
        <v>8215.18</v>
      </c>
      <c r="N184" s="131">
        <v>6311.64</v>
      </c>
      <c r="O184" s="235">
        <v>0</v>
      </c>
      <c r="P184" s="236">
        <v>25065.34</v>
      </c>
      <c r="Q184" s="131">
        <v>20456.11</v>
      </c>
      <c r="R184" s="235">
        <v>0</v>
      </c>
      <c r="S184" s="236">
        <v>23911.63</v>
      </c>
      <c r="T184" s="131">
        <v>19209.34</v>
      </c>
      <c r="U184" s="235">
        <v>0</v>
      </c>
      <c r="V184" s="236">
        <v>9357.93</v>
      </c>
      <c r="W184" s="131">
        <v>7296.8</v>
      </c>
      <c r="X184" s="235">
        <v>0</v>
      </c>
      <c r="Y184" s="236">
        <v>8246.2000000000007</v>
      </c>
      <c r="Z184" s="131">
        <v>6572.43</v>
      </c>
      <c r="AA184" s="235">
        <f>+[1]VOLKS!$J$181</f>
        <v>0</v>
      </c>
      <c r="AB184" s="236">
        <f>+[1]VOLKS!$K$181</f>
        <v>5277.1</v>
      </c>
      <c r="AC184" s="131">
        <f>+[1]VOLKS!$L$181</f>
        <v>4045.75</v>
      </c>
      <c r="AD184" s="235">
        <v>28.259999999999998</v>
      </c>
      <c r="AE184" s="236">
        <v>7630.2</v>
      </c>
      <c r="AF184" s="131">
        <v>5722.65</v>
      </c>
      <c r="AG184" s="235">
        <v>44.587999999999994</v>
      </c>
      <c r="AH184" s="236">
        <v>12038.759999999998</v>
      </c>
      <c r="AI184" s="131">
        <v>9029.07</v>
      </c>
      <c r="AJ184" s="235">
        <v>86.036000000000001</v>
      </c>
      <c r="AK184" s="236">
        <v>23229.72</v>
      </c>
      <c r="AL184" s="131">
        <v>17422.29</v>
      </c>
      <c r="AM184" s="235">
        <v>27.631999999999998</v>
      </c>
      <c r="AN184" s="236">
        <v>7460.6399999999994</v>
      </c>
      <c r="AO184" s="131">
        <v>5595.48</v>
      </c>
      <c r="AQ184" s="249">
        <f>SUMIFS(F184:AO184,$F$7:$AO$7,"UNITE",$F$3:$AO$3,"RÉEL")</f>
        <v>0</v>
      </c>
      <c r="AR184" s="250">
        <f>SUMIFS(F184:AO184,$F$174:$AO$174,"$VENTES",$F$3:$AO$3,"RÉEL")</f>
        <v>87741.650000000009</v>
      </c>
      <c r="AS184" s="251">
        <f>SUMIFS(F184:AO184,$F$7:$AO$7,"$PROFITS",$F$3:$AO$3,"RÉEL")</f>
        <v>69606.509999999995</v>
      </c>
      <c r="AU184" s="238">
        <f>SUMIFS(F184:AO184,$F$7:$AO$7,"UNITE",$F$3:$AO$3,"BUDGET")</f>
        <v>186.51599999999999</v>
      </c>
      <c r="AV184" s="239">
        <f>SUMIFS(F184:AO184,$F$7:$AO$7,"$P/UNITE",$F$3:$AO$3,"BUDGET")</f>
        <v>50359.32</v>
      </c>
      <c r="AW184" s="237">
        <f>SUMIFS(F184:AO184,$F$7:$AO$7,"$PROFITS",$F$3:$AO$3,"BUDGET")</f>
        <v>37769.490000000005</v>
      </c>
      <c r="AY184" s="249">
        <f>+[2]VOLKS!$J$181</f>
        <v>0</v>
      </c>
      <c r="AZ184" s="250">
        <f>+[2]VOLKS!$K$181</f>
        <v>87741.65</v>
      </c>
      <c r="BA184" s="251">
        <f>+[2]VOLKS!$L$181</f>
        <v>69606.509999999995</v>
      </c>
      <c r="BB184" s="243">
        <f>+BA184</f>
        <v>69606.509999999995</v>
      </c>
      <c r="BC184" s="238">
        <f t="shared" ref="BC184:BE184" si="286">+AY184-AQ184</f>
        <v>0</v>
      </c>
      <c r="BD184" s="239">
        <f t="shared" si="286"/>
        <v>0</v>
      </c>
      <c r="BE184" s="240">
        <f t="shared" si="286"/>
        <v>0</v>
      </c>
    </row>
    <row r="185" spans="1:57" s="15" customFormat="1" ht="20.25" outlineLevel="1">
      <c r="A185" s="15" t="s">
        <v>27</v>
      </c>
      <c r="B185" s="34" t="s">
        <v>113</v>
      </c>
      <c r="C185" s="252"/>
      <c r="D185" s="253">
        <f>IF(C185&lt;=0,0,E185/C185)</f>
        <v>0</v>
      </c>
      <c r="E185" s="226">
        <f>IF(E184=0,0,E184/D184)</f>
        <v>0.77751807246538518</v>
      </c>
      <c r="F185" s="252"/>
      <c r="G185" s="253">
        <f>IF(F185&lt;=0,0,H185/F185)</f>
        <v>0</v>
      </c>
      <c r="H185" s="226">
        <f>IF(H184=0,0,H184/G184)</f>
        <v>0.73284238282852909</v>
      </c>
      <c r="I185" s="252"/>
      <c r="J185" s="253">
        <f>IF(I185&lt;=0,0,K185/I185)</f>
        <v>0</v>
      </c>
      <c r="K185" s="226">
        <f>IF(K184=0,0,K184/J184)</f>
        <v>0.7579919940791201</v>
      </c>
      <c r="L185" s="252"/>
      <c r="M185" s="253">
        <f>IF(L185&lt;=0,0,N185/L185)</f>
        <v>0</v>
      </c>
      <c r="N185" s="226">
        <f>IF(N184=0,0,N184/M184)</f>
        <v>0.768289921827641</v>
      </c>
      <c r="O185" s="252"/>
      <c r="P185" s="253">
        <f>IF(O185&lt;=0,0,Q185/O185)</f>
        <v>0</v>
      </c>
      <c r="Q185" s="226">
        <f>IF(Q184=0,0,Q184/P184)</f>
        <v>0.81611141121564679</v>
      </c>
      <c r="R185" s="252"/>
      <c r="S185" s="253">
        <f>IF(R185&lt;=0,0,T185/R185)</f>
        <v>0</v>
      </c>
      <c r="T185" s="226">
        <f>IF(T184=0,0,T184/S184)</f>
        <v>0.80334715784745747</v>
      </c>
      <c r="U185" s="252"/>
      <c r="V185" s="253">
        <f>IF(U185&lt;=0,0,W185/U185)</f>
        <v>0</v>
      </c>
      <c r="W185" s="226">
        <f>IF(W184=0,0,W184/V184)</f>
        <v>0.77974509319903007</v>
      </c>
      <c r="X185" s="252"/>
      <c r="Y185" s="253">
        <f>IF(X185&lt;=0,0,Z185/X185)</f>
        <v>0</v>
      </c>
      <c r="Z185" s="226">
        <f>IF(Z184=0,0,Z184/Y184)</f>
        <v>0.79702529650020615</v>
      </c>
      <c r="AA185" s="252"/>
      <c r="AB185" s="253">
        <f>IF(AA185&lt;=0,0,AC185/AA185)</f>
        <v>0</v>
      </c>
      <c r="AC185" s="226">
        <f>IF(AC184=0,0,AC184/AB184)</f>
        <v>0.76666161338614003</v>
      </c>
      <c r="AD185" s="252"/>
      <c r="AE185" s="253">
        <v>0</v>
      </c>
      <c r="AF185" s="226">
        <v>0.75</v>
      </c>
      <c r="AG185" s="252"/>
      <c r="AH185" s="253">
        <v>0</v>
      </c>
      <c r="AI185" s="226">
        <v>0.75000000000000011</v>
      </c>
      <c r="AJ185" s="252"/>
      <c r="AK185" s="253">
        <v>0</v>
      </c>
      <c r="AL185" s="226">
        <v>0.75</v>
      </c>
      <c r="AM185" s="252"/>
      <c r="AN185" s="253">
        <v>0</v>
      </c>
      <c r="AO185" s="226">
        <v>0.75</v>
      </c>
      <c r="AQ185" s="254"/>
      <c r="AR185" s="255">
        <f t="shared" ref="AR185" si="287">IF(AQ185&lt;=0,0,AS185/AQ185)</f>
        <v>0</v>
      </c>
      <c r="AS185" s="228">
        <f t="shared" ref="AS185" si="288">IF(AS184=0,0,AS184/AR184)</f>
        <v>0.79331207015140459</v>
      </c>
      <c r="AU185" s="254"/>
      <c r="AV185" s="255">
        <f t="shared" ref="AV185" si="289">IF(AU185&lt;=0,0,AW185/AU185)</f>
        <v>0</v>
      </c>
      <c r="AW185" s="228">
        <f t="shared" ref="AW185" si="290">IF(AW184=0,0,AW184/AV184)</f>
        <v>0.75000000000000011</v>
      </c>
      <c r="AY185" s="254"/>
      <c r="AZ185" s="255">
        <f>IF(AY185&lt;=0,0,BA185/AY185)</f>
        <v>0</v>
      </c>
      <c r="BA185" s="228">
        <f>IF(BA184=0,0,BA184/AZ184)</f>
        <v>0.7933120701514047</v>
      </c>
      <c r="BC185" s="254"/>
      <c r="BD185" s="255">
        <f t="shared" ref="BD185" si="291">IF(BC185&lt;=0,0,BE185/BC185)</f>
        <v>0</v>
      </c>
      <c r="BE185" s="27"/>
    </row>
    <row r="186" spans="1:57" s="15" customFormat="1" ht="20.25" outlineLevel="1">
      <c r="A186" s="15" t="s">
        <v>27</v>
      </c>
      <c r="B186" s="28"/>
      <c r="C186" s="256"/>
      <c r="D186" s="257">
        <f>IFERROR(D184/C184,0)</f>
        <v>740.42425314718309</v>
      </c>
      <c r="E186" s="231"/>
      <c r="F186" s="256"/>
      <c r="G186" s="257">
        <f>IFERROR(G184/F184,0)</f>
        <v>0</v>
      </c>
      <c r="H186" s="231"/>
      <c r="I186" s="256"/>
      <c r="J186" s="257">
        <f>IFERROR(J184/I184,0)</f>
        <v>0</v>
      </c>
      <c r="K186" s="231"/>
      <c r="L186" s="256"/>
      <c r="M186" s="257">
        <f>IFERROR(M184/L184,0)</f>
        <v>0</v>
      </c>
      <c r="N186" s="231"/>
      <c r="O186" s="256"/>
      <c r="P186" s="257">
        <f>IFERROR(P184/O184,0)</f>
        <v>0</v>
      </c>
      <c r="Q186" s="231"/>
      <c r="R186" s="256"/>
      <c r="S186" s="257">
        <f>IFERROR(S184/R184,0)</f>
        <v>0</v>
      </c>
      <c r="T186" s="231"/>
      <c r="U186" s="256"/>
      <c r="V186" s="257">
        <f>IFERROR(V184/U184,0)</f>
        <v>0</v>
      </c>
      <c r="W186" s="231"/>
      <c r="X186" s="256"/>
      <c r="Y186" s="257">
        <f>IFERROR(Y184/X184,0)</f>
        <v>0</v>
      </c>
      <c r="Z186" s="231"/>
      <c r="AA186" s="256"/>
      <c r="AB186" s="257">
        <f>IFERROR(AB184/AA184,0)</f>
        <v>0</v>
      </c>
      <c r="AC186" s="231"/>
      <c r="AD186" s="256"/>
      <c r="AE186" s="257">
        <v>270</v>
      </c>
      <c r="AF186" s="231"/>
      <c r="AG186" s="256"/>
      <c r="AH186" s="257">
        <v>270</v>
      </c>
      <c r="AI186" s="231"/>
      <c r="AJ186" s="256"/>
      <c r="AK186" s="257">
        <v>270</v>
      </c>
      <c r="AL186" s="231"/>
      <c r="AM186" s="256"/>
      <c r="AN186" s="257">
        <v>270</v>
      </c>
      <c r="AO186" s="231"/>
      <c r="AQ186" s="258"/>
      <c r="AR186" s="259">
        <f t="shared" ref="AR186" si="292">IFERROR(AR184/AQ184,0)</f>
        <v>0</v>
      </c>
      <c r="AS186" s="234"/>
      <c r="AU186" s="258"/>
      <c r="AV186" s="259">
        <f t="shared" ref="AV186" si="293">IFERROR(AV184/AU184,0)</f>
        <v>270</v>
      </c>
      <c r="AW186" s="234"/>
      <c r="AY186" s="258"/>
      <c r="AZ186" s="259">
        <f>IFERROR(AZ184/AY184,0)</f>
        <v>0</v>
      </c>
      <c r="BA186" s="234"/>
      <c r="BC186" s="258"/>
      <c r="BD186" s="259">
        <f t="shared" ref="BD186" si="294">IFERROR(BD184/BC184,0)</f>
        <v>0</v>
      </c>
      <c r="BE186" s="142"/>
    </row>
    <row r="187" spans="1:57" s="15" customFormat="1" ht="21" outlineLevel="1" thickBot="1">
      <c r="A187" s="15" t="s">
        <v>27</v>
      </c>
      <c r="B187" s="34" t="s">
        <v>117</v>
      </c>
      <c r="C187" s="220"/>
      <c r="D187" s="221"/>
      <c r="E187" s="104">
        <f>+SUM(H187,K187,N187,Q187,T187,W187,Z187,AC187,AF187,AI187,AL187,AO187)</f>
        <v>-30456.523895783677</v>
      </c>
      <c r="F187" s="220"/>
      <c r="G187" s="221"/>
      <c r="H187" s="104">
        <v>-3208.08</v>
      </c>
      <c r="I187" s="220"/>
      <c r="J187" s="221"/>
      <c r="K187" s="104">
        <v>-1540.85</v>
      </c>
      <c r="L187" s="220"/>
      <c r="M187" s="221"/>
      <c r="N187" s="104">
        <v>-634.37</v>
      </c>
      <c r="O187" s="220"/>
      <c r="P187" s="221"/>
      <c r="Q187" s="104">
        <v>-3279.28</v>
      </c>
      <c r="R187" s="220"/>
      <c r="S187" s="221"/>
      <c r="T187" s="104">
        <v>-1048.6300000000001</v>
      </c>
      <c r="U187" s="220"/>
      <c r="V187" s="221"/>
      <c r="W187" s="104">
        <v>-1952.1</v>
      </c>
      <c r="X187" s="220"/>
      <c r="Y187" s="221"/>
      <c r="Z187" s="104">
        <v>-1154.1300000000001</v>
      </c>
      <c r="AA187" s="220"/>
      <c r="AB187" s="221"/>
      <c r="AC187" s="104">
        <f>+[1]VOLKS!$L$184</f>
        <v>-2042.11</v>
      </c>
      <c r="AD187" s="220"/>
      <c r="AE187" s="221"/>
      <c r="AF187" s="104">
        <v>-3056.6502247129561</v>
      </c>
      <c r="AG187" s="220"/>
      <c r="AH187" s="221"/>
      <c r="AI187" s="104">
        <v>-4207.6552106133495</v>
      </c>
      <c r="AJ187" s="220"/>
      <c r="AK187" s="221"/>
      <c r="AL187" s="104">
        <v>-5470.5901466453215</v>
      </c>
      <c r="AM187" s="220"/>
      <c r="AN187" s="221"/>
      <c r="AO187" s="104">
        <v>-2862.0783138120501</v>
      </c>
      <c r="AQ187" s="224"/>
      <c r="AR187" s="222"/>
      <c r="AS187" s="155">
        <f>SUMIFS(F187:AO187,$F$7:$AO$7,"$PROFITS",$F$3:$AO$3,"RÉEL")</f>
        <v>-14859.55</v>
      </c>
      <c r="AU187" s="224"/>
      <c r="AV187" s="222"/>
      <c r="AW187" s="155">
        <f>SUMIFS(F187:AO187,$F$7:$AO$7,"$PROFITS",$F$3:$AO$3,"BUDGET")</f>
        <v>-15596.973895783676</v>
      </c>
      <c r="AY187" s="224"/>
      <c r="AZ187" s="222"/>
      <c r="BA187" s="155">
        <f>+[2]VOLKS!$L$184</f>
        <v>-14859.55</v>
      </c>
      <c r="BC187" s="224"/>
      <c r="BD187" s="222"/>
      <c r="BE187" s="41">
        <f>+BA187-AS187</f>
        <v>0</v>
      </c>
    </row>
    <row r="188" spans="1:57" s="15" customFormat="1" ht="21" outlineLevel="1" thickTop="1">
      <c r="A188" s="15" t="s">
        <v>27</v>
      </c>
      <c r="B188" s="260" t="s">
        <v>118</v>
      </c>
      <c r="C188" s="261">
        <f t="shared" ref="C188:AC188" si="295">C175+C178+C181+C184+C187</f>
        <v>11526.581</v>
      </c>
      <c r="D188" s="262">
        <f t="shared" si="295"/>
        <v>3760091.5759999999</v>
      </c>
      <c r="E188" s="263">
        <f t="shared" si="295"/>
        <v>2777257.1162442155</v>
      </c>
      <c r="F188" s="261">
        <f t="shared" si="295"/>
        <v>708</v>
      </c>
      <c r="G188" s="262">
        <f t="shared" si="295"/>
        <v>241828.59</v>
      </c>
      <c r="H188" s="263">
        <f t="shared" si="295"/>
        <v>178563.22000000003</v>
      </c>
      <c r="I188" s="261">
        <f t="shared" si="295"/>
        <v>691</v>
      </c>
      <c r="J188" s="262">
        <f t="shared" si="295"/>
        <v>229865.96999999997</v>
      </c>
      <c r="K188" s="263">
        <f t="shared" si="295"/>
        <v>169768.50999999989</v>
      </c>
      <c r="L188" s="261">
        <f t="shared" si="295"/>
        <v>848</v>
      </c>
      <c r="M188" s="262">
        <f t="shared" si="295"/>
        <v>282164.96000000002</v>
      </c>
      <c r="N188" s="263">
        <f t="shared" si="295"/>
        <v>207770.51999999993</v>
      </c>
      <c r="O188" s="261">
        <f t="shared" si="295"/>
        <v>1188</v>
      </c>
      <c r="P188" s="262">
        <f t="shared" si="295"/>
        <v>348151.22000000003</v>
      </c>
      <c r="Q188" s="263">
        <f t="shared" si="295"/>
        <v>263256.36999999988</v>
      </c>
      <c r="R188" s="261">
        <f t="shared" si="295"/>
        <v>1095</v>
      </c>
      <c r="S188" s="262">
        <f t="shared" si="295"/>
        <v>359762.88</v>
      </c>
      <c r="T188" s="263">
        <f t="shared" si="295"/>
        <v>268948.78000000003</v>
      </c>
      <c r="U188" s="261">
        <f t="shared" si="295"/>
        <v>926</v>
      </c>
      <c r="V188" s="262">
        <f t="shared" si="295"/>
        <v>287956.29999999987</v>
      </c>
      <c r="W188" s="80">
        <f t="shared" si="295"/>
        <v>213605.31999999989</v>
      </c>
      <c r="X188" s="261">
        <f t="shared" si="295"/>
        <v>862</v>
      </c>
      <c r="Y188" s="262">
        <f t="shared" si="295"/>
        <v>306097.01</v>
      </c>
      <c r="Z188" s="80">
        <f t="shared" si="295"/>
        <v>229976.22999999998</v>
      </c>
      <c r="AA188" s="261">
        <f t="shared" si="295"/>
        <v>846</v>
      </c>
      <c r="AB188" s="262">
        <f t="shared" si="295"/>
        <v>307376.49</v>
      </c>
      <c r="AC188" s="80">
        <f t="shared" si="295"/>
        <v>231524.6399999999</v>
      </c>
      <c r="AD188" s="261">
        <f t="shared" ref="AD188:AO188" si="296">AD175+AD178+AD181+AD184+AD187</f>
        <v>803.69</v>
      </c>
      <c r="AE188" s="262">
        <f t="shared" si="296"/>
        <v>253231.01680000001</v>
      </c>
      <c r="AF188" s="80">
        <f t="shared" si="296"/>
        <v>185827.11820728701</v>
      </c>
      <c r="AG188" s="261">
        <f t="shared" si="296"/>
        <v>1200.213</v>
      </c>
      <c r="AH188" s="262">
        <f t="shared" si="296"/>
        <v>383658.66639999999</v>
      </c>
      <c r="AI188" s="80">
        <f t="shared" si="296"/>
        <v>282406.30402538669</v>
      </c>
      <c r="AJ188" s="261">
        <f t="shared" si="296"/>
        <v>1548.491</v>
      </c>
      <c r="AK188" s="262">
        <f t="shared" si="296"/>
        <v>500116.50560000003</v>
      </c>
      <c r="AL188" s="80">
        <f t="shared" si="296"/>
        <v>361572.14669735468</v>
      </c>
      <c r="AM188" s="261">
        <f t="shared" si="296"/>
        <v>810.1869999999999</v>
      </c>
      <c r="AN188" s="262">
        <f t="shared" si="296"/>
        <v>259881.96720000001</v>
      </c>
      <c r="AO188" s="80">
        <f t="shared" si="296"/>
        <v>184037.95731418795</v>
      </c>
      <c r="AQ188" s="264">
        <f>AQ175+AQ178+AQ181+AQ184+AQ187</f>
        <v>7164</v>
      </c>
      <c r="AR188" s="265">
        <f t="shared" ref="AR188:AS188" si="297">AR175+AR178+AR181+AR184+AR187</f>
        <v>2363203.42</v>
      </c>
      <c r="AS188" s="266">
        <f t="shared" si="297"/>
        <v>1763413.5899999994</v>
      </c>
      <c r="AU188" s="264">
        <f t="shared" ref="AU188:AW188" si="298">AU175+AU178+AU181+AU184+AU187</f>
        <v>4362.5810000000001</v>
      </c>
      <c r="AV188" s="265">
        <f t="shared" si="298"/>
        <v>1396888.1560000002</v>
      </c>
      <c r="AW188" s="266">
        <f t="shared" si="298"/>
        <v>1013843.5262442162</v>
      </c>
      <c r="AY188" s="264">
        <f t="shared" ref="AY188:BA188" si="299">AY175+AY178+AY181+AY184+AY187</f>
        <v>7164</v>
      </c>
      <c r="AZ188" s="265">
        <f t="shared" si="299"/>
        <v>2363203.42</v>
      </c>
      <c r="BA188" s="266">
        <f t="shared" si="299"/>
        <v>1763413.5899999999</v>
      </c>
      <c r="BC188" s="264">
        <f t="shared" ref="BC188:BD188" si="300">BC175+BC178+BC181+BC184+BC187</f>
        <v>0</v>
      </c>
      <c r="BD188" s="265">
        <f t="shared" si="300"/>
        <v>0</v>
      </c>
      <c r="BE188" s="267">
        <f>BE175+BE178+BE181+BE184+BE187</f>
        <v>0</v>
      </c>
    </row>
    <row r="189" spans="1:57" s="15" customFormat="1" ht="20.25" outlineLevel="1">
      <c r="A189" s="15" t="s">
        <v>27</v>
      </c>
      <c r="B189" s="268" t="s">
        <v>119</v>
      </c>
      <c r="C189" s="269"/>
      <c r="D189" s="270">
        <f>IFERROR(D188/C188,0)</f>
        <v>326.21048479163073</v>
      </c>
      <c r="E189" s="271">
        <f>IF(E188=0,0,E188/D188)</f>
        <v>0.73861422258195975</v>
      </c>
      <c r="F189" s="269"/>
      <c r="G189" s="270">
        <f>IFERROR(G188/F188,0)</f>
        <v>341.56580508474576</v>
      </c>
      <c r="H189" s="271">
        <f>IF(H188=0,0,H188/G188)</f>
        <v>0.73838754962761033</v>
      </c>
      <c r="I189" s="269"/>
      <c r="J189" s="270">
        <f>IFERROR(J188/I188,0)</f>
        <v>332.65697539797389</v>
      </c>
      <c r="K189" s="271">
        <f>IF(K188=0,0,K188/J188)</f>
        <v>0.73855434103621298</v>
      </c>
      <c r="L189" s="269"/>
      <c r="M189" s="270">
        <f>IFERROR(M188/L188,0)</f>
        <v>332.74169811320758</v>
      </c>
      <c r="N189" s="271">
        <f>IF(N188=0,0,N188/M188)</f>
        <v>0.73634415839585443</v>
      </c>
      <c r="O189" s="269"/>
      <c r="P189" s="270">
        <f>IFERROR(P188/O188,0)</f>
        <v>293.0565824915825</v>
      </c>
      <c r="Q189" s="271">
        <f>IF(Q188=0,0,Q188/P188)</f>
        <v>0.75615524196640715</v>
      </c>
      <c r="R189" s="269"/>
      <c r="S189" s="270">
        <f>IFERROR(S188/R188,0)</f>
        <v>328.55057534246578</v>
      </c>
      <c r="T189" s="271">
        <f>IF(T188=0,0,T188/S188)</f>
        <v>0.74757234542930062</v>
      </c>
      <c r="U189" s="269"/>
      <c r="V189" s="270">
        <f>IFERROR(V188/U188,0)</f>
        <v>310.96792656587456</v>
      </c>
      <c r="W189" s="271">
        <f>IF(W188=0,0,W188/V188)</f>
        <v>0.74179769638656967</v>
      </c>
      <c r="X189" s="269"/>
      <c r="Y189" s="270">
        <f>IFERROR(Y188/X188,0)</f>
        <v>355.100939675174</v>
      </c>
      <c r="Z189" s="271">
        <f>IF(Z188=0,0,Z188/Y188)</f>
        <v>0.75131811970329265</v>
      </c>
      <c r="AA189" s="269"/>
      <c r="AB189" s="270">
        <f>IFERROR(AB188/AA188,0)</f>
        <v>363.32918439716309</v>
      </c>
      <c r="AC189" s="271">
        <f>IF(AC188=0,0,AC188/AB188)</f>
        <v>0.75322819907273941</v>
      </c>
      <c r="AD189" s="269"/>
      <c r="AE189" s="270">
        <f t="shared" ref="AE189" si="301">IFERROR(AE188/AD188,0)</f>
        <v>315.08543941071804</v>
      </c>
      <c r="AF189" s="271">
        <f t="shared" ref="AF189" si="302">IF(AF188=0,0,AF188/AE188)</f>
        <v>0.73382447598846823</v>
      </c>
      <c r="AG189" s="269"/>
      <c r="AH189" s="270">
        <f t="shared" ref="AH189" si="303">IFERROR(AH188/AG188,0)</f>
        <v>319.65881589351221</v>
      </c>
      <c r="AI189" s="271">
        <f t="shared" ref="AI189" si="304">IF(AI188=0,0,AI188/AH188)</f>
        <v>0.73608738380733396</v>
      </c>
      <c r="AJ189" s="269"/>
      <c r="AK189" s="270">
        <f t="shared" ref="AK189" si="305">IFERROR(AK188/AJ188,0)</f>
        <v>322.97023721804004</v>
      </c>
      <c r="AL189" s="271">
        <f t="shared" ref="AL189" si="306">IF(AL188=0,0,AL188/AK188)</f>
        <v>0.72297583192854065</v>
      </c>
      <c r="AM189" s="269"/>
      <c r="AN189" s="270">
        <f t="shared" ref="AN189" si="307">IFERROR(AN188/AM188,0)</f>
        <v>320.76788099537521</v>
      </c>
      <c r="AO189" s="271">
        <f t="shared" ref="AO189" si="308">IF(AO188=0,0,AO188/AN188)</f>
        <v>0.70815978229284371</v>
      </c>
      <c r="AQ189" s="272"/>
      <c r="AR189" s="273">
        <f t="shared" ref="AR189" si="309">IFERROR(AR188/AQ188,0)</f>
        <v>329.87205750977108</v>
      </c>
      <c r="AS189" s="274">
        <f t="shared" ref="AS189" si="310">IF(AS188=0,0,AS188/AR188)</f>
        <v>0.74619627539300004</v>
      </c>
      <c r="AU189" s="272"/>
      <c r="AV189" s="273">
        <f t="shared" ref="AV189" si="311">IFERROR(AV188/AU188,0)</f>
        <v>320.19764355091633</v>
      </c>
      <c r="AW189" s="274">
        <f t="shared" ref="AW189" si="312">IF(AW188=0,0,AW188/AV188)</f>
        <v>0.72578718767819239</v>
      </c>
      <c r="AY189" s="272"/>
      <c r="AZ189" s="273">
        <f>IFERROR(AZ188/AY188,0)</f>
        <v>329.87205750977108</v>
      </c>
      <c r="BA189" s="274">
        <f>IF(BA188=0,0,BA188/AZ188)</f>
        <v>0.74619627539300015</v>
      </c>
      <c r="BC189" s="272"/>
      <c r="BD189" s="273">
        <f t="shared" ref="BD189" si="313">IFERROR(BD188/BC188,0)</f>
        <v>0</v>
      </c>
      <c r="BE189" s="196"/>
    </row>
    <row r="190" spans="1:57" s="15" customFormat="1" ht="20.25" outlineLevel="1">
      <c r="A190" s="15" t="s">
        <v>27</v>
      </c>
      <c r="B190" s="275"/>
      <c r="C190" s="225"/>
      <c r="D190" s="103"/>
      <c r="E190" s="276"/>
      <c r="F190" s="225"/>
      <c r="G190" s="103"/>
      <c r="H190" s="276"/>
      <c r="I190" s="225"/>
      <c r="J190" s="103"/>
      <c r="K190" s="276"/>
      <c r="L190" s="225"/>
      <c r="M190" s="103"/>
      <c r="N190" s="276"/>
      <c r="O190" s="225"/>
      <c r="P190" s="103"/>
      <c r="Q190" s="276"/>
      <c r="R190" s="225"/>
      <c r="S190" s="103"/>
      <c r="T190" s="276"/>
      <c r="U190" s="225"/>
      <c r="V190" s="103"/>
      <c r="W190" s="276"/>
      <c r="X190" s="225"/>
      <c r="Y190" s="103"/>
      <c r="Z190" s="276"/>
      <c r="AA190" s="225"/>
      <c r="AB190" s="103"/>
      <c r="AC190" s="276"/>
      <c r="AD190" s="225"/>
      <c r="AE190" s="103"/>
      <c r="AF190" s="276"/>
      <c r="AG190" s="225"/>
      <c r="AH190" s="103"/>
      <c r="AI190" s="276"/>
      <c r="AJ190" s="225"/>
      <c r="AK190" s="103"/>
      <c r="AL190" s="276"/>
      <c r="AM190" s="225"/>
      <c r="AN190" s="103"/>
      <c r="AO190" s="276"/>
      <c r="AQ190" s="227"/>
      <c r="AR190" s="107"/>
      <c r="AS190" s="277"/>
      <c r="AU190" s="227"/>
      <c r="AV190" s="107"/>
      <c r="AW190" s="277"/>
      <c r="AY190" s="227"/>
      <c r="AZ190" s="107"/>
      <c r="BA190" s="277"/>
      <c r="BC190" s="227"/>
      <c r="BD190" s="107"/>
      <c r="BE190" s="278"/>
    </row>
    <row r="191" spans="1:57" s="15" customFormat="1" ht="20.25" outlineLevel="1">
      <c r="A191" s="15" t="s">
        <v>27</v>
      </c>
      <c r="B191" s="279" t="s">
        <v>120</v>
      </c>
      <c r="C191" s="220">
        <f>+SUM(F191,I191,L191,O191,R191,U191,X191,AA191,AD191,AG191,AJ191,AM191)</f>
        <v>0</v>
      </c>
      <c r="D191" s="280">
        <f>+SUM(G191,J191,M191,P191,S191,V191,Y191,AB191,AE191,AH191,AK191,AN191)</f>
        <v>223957.30999999988</v>
      </c>
      <c r="E191" s="104">
        <f>+SUM(H191,K191,N191,Q191,T191,W191,Z191,AC191,AF191,AI191,AL191,AO191)</f>
        <v>42666.246799999943</v>
      </c>
      <c r="F191" s="220">
        <v>0</v>
      </c>
      <c r="G191" s="280">
        <v>8944.15</v>
      </c>
      <c r="H191" s="104">
        <v>2262.1499999999901</v>
      </c>
      <c r="I191" s="220">
        <v>0</v>
      </c>
      <c r="J191" s="280">
        <v>19410.400000000001</v>
      </c>
      <c r="K191" s="104">
        <v>3435.9</v>
      </c>
      <c r="L191" s="220">
        <v>0</v>
      </c>
      <c r="M191" s="280">
        <v>18065.2</v>
      </c>
      <c r="N191" s="104">
        <v>2649.47</v>
      </c>
      <c r="O191" s="220">
        <v>0</v>
      </c>
      <c r="P191" s="280">
        <v>18629.919999999998</v>
      </c>
      <c r="Q191" s="104">
        <v>3102.9199999999901</v>
      </c>
      <c r="R191" s="220">
        <v>0</v>
      </c>
      <c r="S191" s="280">
        <v>26364.6</v>
      </c>
      <c r="T191" s="104">
        <v>6412.0199999999904</v>
      </c>
      <c r="U191" s="220">
        <v>0</v>
      </c>
      <c r="V191" s="280">
        <v>17923.73</v>
      </c>
      <c r="W191" s="104">
        <v>3694.53</v>
      </c>
      <c r="X191" s="220">
        <v>0</v>
      </c>
      <c r="Y191" s="280">
        <v>22735.4899999999</v>
      </c>
      <c r="Z191" s="104">
        <v>4126.45999999999</v>
      </c>
      <c r="AA191" s="220">
        <f>+[1]VOLKS!$J$188</f>
        <v>0</v>
      </c>
      <c r="AB191" s="280">
        <f>+[1]VOLKS!$K$188</f>
        <v>17632.02</v>
      </c>
      <c r="AC191" s="104">
        <f>+[1]VOLKS!$L$188</f>
        <v>3914.47999999999</v>
      </c>
      <c r="AD191" s="220">
        <v>0</v>
      </c>
      <c r="AE191" s="280">
        <v>16971.84</v>
      </c>
      <c r="AF191" s="104">
        <v>2987.0438399999998</v>
      </c>
      <c r="AG191" s="220">
        <v>0</v>
      </c>
      <c r="AH191" s="280">
        <v>19093.32</v>
      </c>
      <c r="AI191" s="104">
        <v>3360.4243199999996</v>
      </c>
      <c r="AJ191" s="220">
        <v>0</v>
      </c>
      <c r="AK191" s="280">
        <v>23336.28</v>
      </c>
      <c r="AL191" s="104">
        <v>4107.1852799999997</v>
      </c>
      <c r="AM191" s="220">
        <v>0</v>
      </c>
      <c r="AN191" s="280">
        <v>14850.36</v>
      </c>
      <c r="AO191" s="104">
        <v>2613.66336</v>
      </c>
      <c r="AQ191" s="227">
        <f>SUMIFS(F191:AO191,$F$7:$AO$7,"UNITE",$F$3:$AO$3,"RÉEL")</f>
        <v>0</v>
      </c>
      <c r="AR191" s="222">
        <f>SUMIFS(F191:AO191,$F$174:$AO$174,"$VENTES",$F$3:$AO$3,"RÉEL")</f>
        <v>149705.50999999986</v>
      </c>
      <c r="AS191" s="155">
        <f>SUMIFS(F191:AO191,$F$7:$AO$7,"$PROFITS",$F$3:$AO$3,"RÉEL")</f>
        <v>29597.929999999949</v>
      </c>
      <c r="AU191" s="224">
        <f>SUMIFS(F191:AO191,$F$7:$AO$7,"UNITE",$F$3:$AO$3,"BUDGET")</f>
        <v>0</v>
      </c>
      <c r="AV191" s="281">
        <f>SUMIFS(F191:AO191,$F$7:$AO$7,"$P/UNITE",$F$3:$AO$3,"BUDGET")</f>
        <v>74251.8</v>
      </c>
      <c r="AW191" s="155">
        <f>SUMIFS(F191:AO191,$F$7:$AO$7,"$PROFITS",$F$3:$AO$3,"BUDGET")</f>
        <v>13068.316799999999</v>
      </c>
      <c r="AY191" s="38">
        <f>+[2]VOLKS!$J$188</f>
        <v>0</v>
      </c>
      <c r="AZ191" s="222">
        <f>+[2]VOLKS!$K$188</f>
        <v>149705.51</v>
      </c>
      <c r="BA191" s="155">
        <f>+[2]VOLKS!$L$188</f>
        <v>29597.929999999898</v>
      </c>
      <c r="BC191" s="224">
        <f t="shared" ref="BC191:BE192" si="314">+AY191-AQ191</f>
        <v>0</v>
      </c>
      <c r="BD191" s="281">
        <f t="shared" si="314"/>
        <v>0</v>
      </c>
      <c r="BE191" s="41">
        <f t="shared" si="314"/>
        <v>-5.0931703299283981E-11</v>
      </c>
    </row>
    <row r="192" spans="1:57" s="15" customFormat="1" ht="20.25" outlineLevel="1">
      <c r="A192" s="15" t="s">
        <v>27</v>
      </c>
      <c r="B192" s="279" t="s">
        <v>113</v>
      </c>
      <c r="C192" s="225"/>
      <c r="D192" s="245"/>
      <c r="E192" s="226">
        <f>IF(E191=0,0,E191/D191)</f>
        <v>0.19051062365412394</v>
      </c>
      <c r="F192" s="225"/>
      <c r="G192" s="245"/>
      <c r="H192" s="226">
        <f>IF(H191=0,0,H191/G191)</f>
        <v>0.25291950604585012</v>
      </c>
      <c r="I192" s="225"/>
      <c r="J192" s="245"/>
      <c r="K192" s="226">
        <f>IF(K191=0,0,K191/J191)</f>
        <v>0.1770133536660759</v>
      </c>
      <c r="L192" s="225"/>
      <c r="M192" s="245"/>
      <c r="N192" s="226">
        <f>IF(N191=0,0,N191/M191)</f>
        <v>0.14666153709895266</v>
      </c>
      <c r="O192" s="225"/>
      <c r="P192" s="245"/>
      <c r="Q192" s="226">
        <f>IF(Q191=0,0,Q191/P191)</f>
        <v>0.16655573400207785</v>
      </c>
      <c r="R192" s="225"/>
      <c r="S192" s="245"/>
      <c r="T192" s="226">
        <f>IF(T191=0,0,T191/S191)</f>
        <v>0.24320566213786635</v>
      </c>
      <c r="U192" s="225"/>
      <c r="V192" s="245"/>
      <c r="W192" s="226">
        <f>IF(W191=0,0,W191/V191)</f>
        <v>0.20612506436997211</v>
      </c>
      <c r="X192" s="225"/>
      <c r="Y192" s="245"/>
      <c r="Z192" s="226">
        <f>IF(Z191=0,0,Z191/Y191)</f>
        <v>0.18149861735990772</v>
      </c>
      <c r="AA192" s="225"/>
      <c r="AB192" s="245"/>
      <c r="AC192" s="226">
        <f>IF(AC191=0,0,AC191/AB191)</f>
        <v>0.22200973002526028</v>
      </c>
      <c r="AD192" s="225"/>
      <c r="AE192" s="245"/>
      <c r="AF192" s="226">
        <v>0.17599999999999999</v>
      </c>
      <c r="AG192" s="225"/>
      <c r="AH192" s="245"/>
      <c r="AI192" s="226">
        <v>0.17599999999999999</v>
      </c>
      <c r="AJ192" s="225"/>
      <c r="AK192" s="245"/>
      <c r="AL192" s="226">
        <v>0.17599999999999999</v>
      </c>
      <c r="AM192" s="225"/>
      <c r="AN192" s="245"/>
      <c r="AO192" s="226">
        <v>0.17599999999999999</v>
      </c>
      <c r="AQ192" s="227"/>
      <c r="AR192" s="246"/>
      <c r="AS192" s="228">
        <f t="shared" ref="AS192" si="315">IF(AS191=0,0,AS191/AR191)</f>
        <v>0.19770768624347879</v>
      </c>
      <c r="AU192" s="227"/>
      <c r="AV192" s="246"/>
      <c r="AW192" s="228">
        <f t="shared" ref="AW192" si="316">IF(AW191=0,0,AW191/AV191)</f>
        <v>0.17599999999999996</v>
      </c>
      <c r="AY192" s="227"/>
      <c r="AZ192" s="246"/>
      <c r="BA192" s="228">
        <f>IF(BA191=0,0,BA191/AZ191)</f>
        <v>0.19770768624347826</v>
      </c>
      <c r="BC192" s="224">
        <f t="shared" si="314"/>
        <v>0</v>
      </c>
      <c r="BD192" s="281">
        <f t="shared" si="314"/>
        <v>0</v>
      </c>
      <c r="BE192" s="41">
        <f t="shared" si="314"/>
        <v>-5.2735593669694936E-16</v>
      </c>
    </row>
    <row r="193" spans="1:57" s="15" customFormat="1" ht="20.25" outlineLevel="1">
      <c r="A193" s="15" t="s">
        <v>27</v>
      </c>
      <c r="B193" s="279"/>
      <c r="C193" s="225"/>
      <c r="D193" s="245"/>
      <c r="E193" s="226"/>
      <c r="F193" s="225"/>
      <c r="G193" s="245"/>
      <c r="H193" s="226"/>
      <c r="I193" s="225"/>
      <c r="J193" s="245"/>
      <c r="K193" s="226"/>
      <c r="L193" s="225"/>
      <c r="M193" s="245"/>
      <c r="N193" s="226"/>
      <c r="O193" s="225"/>
      <c r="P193" s="245"/>
      <c r="Q193" s="226"/>
      <c r="R193" s="225"/>
      <c r="S193" s="245"/>
      <c r="T193" s="226"/>
      <c r="U193" s="225"/>
      <c r="V193" s="245"/>
      <c r="W193" s="226"/>
      <c r="X193" s="225"/>
      <c r="Y193" s="245"/>
      <c r="Z193" s="226"/>
      <c r="AA193" s="225"/>
      <c r="AB193" s="245"/>
      <c r="AC193" s="226"/>
      <c r="AD193" s="225"/>
      <c r="AE193" s="245"/>
      <c r="AF193" s="226"/>
      <c r="AG193" s="225"/>
      <c r="AH193" s="245"/>
      <c r="AI193" s="226"/>
      <c r="AJ193" s="225"/>
      <c r="AK193" s="245"/>
      <c r="AL193" s="226"/>
      <c r="AM193" s="225"/>
      <c r="AN193" s="245"/>
      <c r="AO193" s="226"/>
      <c r="AQ193" s="227"/>
      <c r="AR193" s="246"/>
      <c r="AS193" s="228"/>
      <c r="AU193" s="227"/>
      <c r="AV193" s="246"/>
      <c r="AW193" s="228"/>
      <c r="AY193" s="227"/>
      <c r="AZ193" s="246"/>
      <c r="BA193" s="228"/>
      <c r="BC193" s="227"/>
      <c r="BD193" s="246"/>
      <c r="BE193" s="27"/>
    </row>
    <row r="194" spans="1:57" s="15" customFormat="1" ht="20.25" outlineLevel="1">
      <c r="A194" s="15" t="s">
        <v>27</v>
      </c>
      <c r="B194" s="282" t="s">
        <v>121</v>
      </c>
      <c r="C194" s="235">
        <f>+SUM(F194,I194,L194,O194,R194,U194,X194,AA194,AD194,AG194,AJ194,AM194)</f>
        <v>0</v>
      </c>
      <c r="D194" s="283">
        <f>+SUM(G194,J194,M194,P194,S194,V194,Y194,AB194,AE194,AH194,AK194,AN194)</f>
        <v>115006.15</v>
      </c>
      <c r="E194" s="131">
        <f>+SUM(H194,K194,N194,Q194,T194,W194,Z194,AC194,AF194,AI194,AL194,AO194)</f>
        <v>80269.079999999987</v>
      </c>
      <c r="F194" s="235">
        <v>0</v>
      </c>
      <c r="G194" s="283">
        <v>4029.9</v>
      </c>
      <c r="H194" s="131">
        <v>3229.1</v>
      </c>
      <c r="I194" s="235">
        <v>0</v>
      </c>
      <c r="J194" s="283">
        <v>6923.95</v>
      </c>
      <c r="K194" s="131">
        <v>5337.95</v>
      </c>
      <c r="L194" s="235">
        <v>0</v>
      </c>
      <c r="M194" s="283">
        <v>11580</v>
      </c>
      <c r="N194" s="131">
        <v>8610.2900000000009</v>
      </c>
      <c r="O194" s="235">
        <v>0</v>
      </c>
      <c r="P194" s="283">
        <v>10458.5</v>
      </c>
      <c r="Q194" s="131">
        <v>7042.3899999999903</v>
      </c>
      <c r="R194" s="284">
        <v>0</v>
      </c>
      <c r="S194" s="283">
        <v>13699.1</v>
      </c>
      <c r="T194" s="131">
        <v>8680.98</v>
      </c>
      <c r="U194" s="284">
        <v>0</v>
      </c>
      <c r="V194" s="283">
        <v>12017.6</v>
      </c>
      <c r="W194" s="131">
        <v>9481.08</v>
      </c>
      <c r="X194" s="284">
        <v>0</v>
      </c>
      <c r="Y194" s="283">
        <v>8810.2999999999993</v>
      </c>
      <c r="Z194" s="131">
        <v>7200.49</v>
      </c>
      <c r="AA194" s="284">
        <v>0</v>
      </c>
      <c r="AB194" s="283">
        <f>+[1]VOLKS!$K$191</f>
        <v>8876.7999999999993</v>
      </c>
      <c r="AC194" s="131">
        <f>+[1]VOLKS!$L$191</f>
        <v>3659.7999999999902</v>
      </c>
      <c r="AD194" s="235">
        <v>0</v>
      </c>
      <c r="AE194" s="283">
        <v>5850</v>
      </c>
      <c r="AF194" s="131">
        <v>4094.9999999999995</v>
      </c>
      <c r="AG194" s="235">
        <v>0</v>
      </c>
      <c r="AH194" s="283">
        <v>9230</v>
      </c>
      <c r="AI194" s="131">
        <v>6461</v>
      </c>
      <c r="AJ194" s="235">
        <v>0</v>
      </c>
      <c r="AK194" s="283">
        <v>17810</v>
      </c>
      <c r="AL194" s="131">
        <v>12467</v>
      </c>
      <c r="AM194" s="235">
        <v>0</v>
      </c>
      <c r="AN194" s="283">
        <v>5720</v>
      </c>
      <c r="AO194" s="131">
        <v>4003.9999999999995</v>
      </c>
      <c r="AQ194" s="249">
        <f>SUMIFS(F194:AO194,$F$7:$AO$7,"UNITE",$F$3:$AO$3,"RÉEL")</f>
        <v>0</v>
      </c>
      <c r="AR194" s="250">
        <f>SUMIFS(F194:AO194,$F$174:$AO$174,"$VENTES",$F$3:$AO$3,"RÉEL")</f>
        <v>76396.149999999994</v>
      </c>
      <c r="AS194" s="237">
        <f>SUMIFS(F194:AO194,$F$7:$AO$7,"$PROFITS",$F$3:$AO$3,"RÉEL")</f>
        <v>53242.07999999998</v>
      </c>
      <c r="AU194" s="238">
        <f>SUMIFS(F194:AO194,$F$7:$AO$7,"UNITE",$F$3:$AO$3,"BUDGET")</f>
        <v>0</v>
      </c>
      <c r="AV194" s="285">
        <f>SUMIFS(F194:AO194,$F$7:$AO$7,"$P/UNITE",$F$3:$AO$3,"BUDGET")</f>
        <v>38610</v>
      </c>
      <c r="AW194" s="237">
        <f>SUMIFS(F194:AO194,$F$7:$AO$7,"$PROFITS",$F$3:$AO$3,"BUDGET")</f>
        <v>27027</v>
      </c>
      <c r="AY194" s="249">
        <f>+[2]VOLKS!$J$191</f>
        <v>0</v>
      </c>
      <c r="AZ194" s="250">
        <f>+[2]VOLKS!$K$191</f>
        <v>76396.149999999994</v>
      </c>
      <c r="BA194" s="237">
        <f>+[2]VOLKS!$L$191</f>
        <v>53242.0799999999</v>
      </c>
      <c r="BC194" s="238">
        <f>+AY194-AQ194</f>
        <v>0</v>
      </c>
      <c r="BD194" s="285">
        <f t="shared" ref="BD194" si="317">+AZ194-AR194</f>
        <v>0</v>
      </c>
      <c r="BE194" s="240">
        <f>+BA194-AS194</f>
        <v>-8.0035533756017685E-11</v>
      </c>
    </row>
    <row r="195" spans="1:57" s="15" customFormat="1" ht="20.25" outlineLevel="1">
      <c r="A195" s="15" t="s">
        <v>27</v>
      </c>
      <c r="B195" s="164" t="s">
        <v>113</v>
      </c>
      <c r="C195" s="229"/>
      <c r="D195" s="286"/>
      <c r="E195" s="231">
        <f>IF(E194=0,0,E194/D194)</f>
        <v>0.69795467459783667</v>
      </c>
      <c r="F195" s="229"/>
      <c r="G195" s="286"/>
      <c r="H195" s="231">
        <f>IF(H194=0,0,H194/G194)</f>
        <v>0.80128539169706436</v>
      </c>
      <c r="I195" s="229"/>
      <c r="J195" s="286"/>
      <c r="K195" s="231">
        <f>IF(K194=0,0,K194/J194)</f>
        <v>0.77093999812245895</v>
      </c>
      <c r="L195" s="229"/>
      <c r="M195" s="286"/>
      <c r="N195" s="231">
        <f>IF(N194=0,0,N194/M194)</f>
        <v>0.74354835924006912</v>
      </c>
      <c r="O195" s="229"/>
      <c r="P195" s="286"/>
      <c r="Q195" s="231">
        <f>IF(Q194=0,0,Q194/P194)</f>
        <v>0.67336520533537225</v>
      </c>
      <c r="R195" s="229"/>
      <c r="S195" s="286"/>
      <c r="T195" s="231">
        <f>IF(T194=0,0,T194/S194)</f>
        <v>0.63368980443970768</v>
      </c>
      <c r="U195" s="229"/>
      <c r="V195" s="286"/>
      <c r="W195" s="231">
        <f>IF(W194=0,0,W194/V194)</f>
        <v>0.78893289841565706</v>
      </c>
      <c r="X195" s="229"/>
      <c r="Y195" s="286"/>
      <c r="Z195" s="231">
        <f>IF(Z194=0,0,Z194/Y194)</f>
        <v>0.81728090984415969</v>
      </c>
      <c r="AA195" s="229"/>
      <c r="AB195" s="286"/>
      <c r="AC195" s="231">
        <f>IF(AC194=0,0,AC194/AB194)</f>
        <v>0.41228821196827581</v>
      </c>
      <c r="AD195" s="229"/>
      <c r="AE195" s="286"/>
      <c r="AF195" s="231">
        <v>0.7</v>
      </c>
      <c r="AG195" s="229"/>
      <c r="AH195" s="286"/>
      <c r="AI195" s="231">
        <v>0.7</v>
      </c>
      <c r="AJ195" s="229"/>
      <c r="AK195" s="286"/>
      <c r="AL195" s="231">
        <v>0.7</v>
      </c>
      <c r="AM195" s="229"/>
      <c r="AN195" s="286"/>
      <c r="AO195" s="231">
        <v>0.7</v>
      </c>
      <c r="AQ195" s="232"/>
      <c r="AR195" s="287"/>
      <c r="AS195" s="234">
        <f t="shared" ref="AS195" si="318">IF(AS194=0,0,AS194/AR194)</f>
        <v>0.69692098358359655</v>
      </c>
      <c r="AU195" s="232"/>
      <c r="AV195" s="287"/>
      <c r="AW195" s="234">
        <f t="shared" ref="AW195" si="319">IF(AW194=0,0,AW194/AV194)</f>
        <v>0.7</v>
      </c>
      <c r="AY195" s="232"/>
      <c r="AZ195" s="287"/>
      <c r="BA195" s="234">
        <f>IF(BA194=0,0,BA194/AZ194)</f>
        <v>0.69692098358359555</v>
      </c>
      <c r="BC195" s="232"/>
      <c r="BD195" s="287"/>
      <c r="BE195" s="142"/>
    </row>
    <row r="196" spans="1:57" s="15" customFormat="1" ht="21" outlineLevel="1" thickBot="1">
      <c r="A196" s="15" t="s">
        <v>27</v>
      </c>
      <c r="B196" s="275"/>
      <c r="C196" s="288"/>
      <c r="D196" s="289"/>
      <c r="E196" s="290"/>
      <c r="F196" s="288"/>
      <c r="G196" s="289"/>
      <c r="H196" s="290"/>
      <c r="I196" s="288"/>
      <c r="J196" s="289"/>
      <c r="K196" s="290"/>
      <c r="L196" s="288"/>
      <c r="M196" s="289"/>
      <c r="N196" s="290"/>
      <c r="O196" s="288"/>
      <c r="P196" s="289"/>
      <c r="Q196" s="290"/>
      <c r="R196" s="288"/>
      <c r="S196" s="289"/>
      <c r="T196" s="290"/>
      <c r="U196" s="288"/>
      <c r="V196" s="289"/>
      <c r="W196" s="291"/>
      <c r="X196" s="288"/>
      <c r="Y196" s="289"/>
      <c r="Z196" s="291"/>
      <c r="AA196" s="288"/>
      <c r="AB196" s="289"/>
      <c r="AC196" s="291"/>
      <c r="AD196" s="288"/>
      <c r="AE196" s="289"/>
      <c r="AF196" s="290"/>
      <c r="AG196" s="288"/>
      <c r="AH196" s="289"/>
      <c r="AI196" s="290"/>
      <c r="AJ196" s="288"/>
      <c r="AK196" s="289"/>
      <c r="AL196" s="290"/>
      <c r="AM196" s="288"/>
      <c r="AN196" s="289"/>
      <c r="AO196" s="290"/>
      <c r="AQ196" s="292"/>
      <c r="AR196" s="293"/>
      <c r="AS196" s="294"/>
      <c r="AU196" s="292"/>
      <c r="AV196" s="293"/>
      <c r="AW196" s="294"/>
      <c r="AY196" s="292"/>
      <c r="AZ196" s="293"/>
      <c r="BA196" s="294"/>
      <c r="BC196" s="292"/>
      <c r="BD196" s="293"/>
      <c r="BE196" s="295"/>
    </row>
    <row r="197" spans="1:57" s="15" customFormat="1" ht="21" outlineLevel="1" thickTop="1">
      <c r="A197" s="15" t="s">
        <v>27</v>
      </c>
      <c r="B197" s="76" t="s">
        <v>122</v>
      </c>
      <c r="C197" s="77"/>
      <c r="D197" s="296">
        <f>D188+D191+D194</f>
        <v>4099055.0359999998</v>
      </c>
      <c r="E197" s="79">
        <f>E188+E191+E194</f>
        <v>2900192.4430442154</v>
      </c>
      <c r="F197" s="77"/>
      <c r="G197" s="296">
        <f>G188+G191+G194</f>
        <v>254802.63999999998</v>
      </c>
      <c r="H197" s="79">
        <f>H188+H191+H194</f>
        <v>184054.47000000003</v>
      </c>
      <c r="I197" s="77"/>
      <c r="J197" s="296">
        <f>J188+J191+J194</f>
        <v>256200.31999999998</v>
      </c>
      <c r="K197" s="79">
        <f>K188+K191+K194</f>
        <v>178542.3599999999</v>
      </c>
      <c r="L197" s="77"/>
      <c r="M197" s="296">
        <f>M188+M191+M194</f>
        <v>311810.16000000003</v>
      </c>
      <c r="N197" s="79">
        <f>N188+N191+N194</f>
        <v>219030.27999999994</v>
      </c>
      <c r="O197" s="77"/>
      <c r="P197" s="296">
        <f>P188+P191+P194</f>
        <v>377239.64</v>
      </c>
      <c r="Q197" s="79">
        <f>Q188+Q191+Q194</f>
        <v>273401.67999999988</v>
      </c>
      <c r="R197" s="77"/>
      <c r="S197" s="296">
        <f>S188+S191+S194</f>
        <v>399826.57999999996</v>
      </c>
      <c r="T197" s="79">
        <f>T188+T191+T194</f>
        <v>284041.78000000003</v>
      </c>
      <c r="U197" s="77"/>
      <c r="V197" s="296">
        <f>V188+V191+V194</f>
        <v>317897.62999999983</v>
      </c>
      <c r="W197" s="80">
        <f>W188+W191+W194</f>
        <v>226780.92999999988</v>
      </c>
      <c r="X197" s="77"/>
      <c r="Y197" s="296">
        <f>Y188+Y191+Y194</f>
        <v>337642.79999999987</v>
      </c>
      <c r="Z197" s="80">
        <f>Z188+Z191+Z194</f>
        <v>241303.17999999996</v>
      </c>
      <c r="AA197" s="77"/>
      <c r="AB197" s="296">
        <f>AB188+AB191+AB194</f>
        <v>333885.31</v>
      </c>
      <c r="AC197" s="80">
        <f>AC188+AC191+AC194</f>
        <v>239098.91999999987</v>
      </c>
      <c r="AD197" s="77"/>
      <c r="AE197" s="296">
        <f t="shared" ref="AE197:AO197" si="320">AE188+AE191+AE194</f>
        <v>276052.85680000001</v>
      </c>
      <c r="AF197" s="80">
        <f t="shared" si="320"/>
        <v>192909.16204728701</v>
      </c>
      <c r="AG197" s="77"/>
      <c r="AH197" s="296">
        <f t="shared" ref="AH197:AO197" si="321">AH188+AH191+AH194</f>
        <v>411981.98639999999</v>
      </c>
      <c r="AI197" s="80">
        <f t="shared" si="321"/>
        <v>292227.72834538668</v>
      </c>
      <c r="AJ197" s="77"/>
      <c r="AK197" s="296">
        <f t="shared" ref="AK197:AO197" si="322">AK188+AK191+AK194</f>
        <v>541262.78560000006</v>
      </c>
      <c r="AL197" s="80">
        <f t="shared" si="322"/>
        <v>378146.33197735465</v>
      </c>
      <c r="AM197" s="77"/>
      <c r="AN197" s="296">
        <f t="shared" ref="AN197:AO197" si="323">AN188+AN191+AN194</f>
        <v>280452.3272</v>
      </c>
      <c r="AO197" s="80">
        <f t="shared" si="323"/>
        <v>190655.62067418796</v>
      </c>
      <c r="AQ197" s="81"/>
      <c r="AR197" s="297">
        <f t="shared" ref="AR197:AS197" si="324">AR188+AR191+AR194</f>
        <v>2589305.0799999996</v>
      </c>
      <c r="AS197" s="83">
        <f t="shared" si="324"/>
        <v>1846253.5999999994</v>
      </c>
      <c r="AU197" s="81"/>
      <c r="AV197" s="297">
        <f t="shared" ref="AV197:AW197" si="325">AV188+AV191+AV194</f>
        <v>1509749.9560000002</v>
      </c>
      <c r="AW197" s="83">
        <f t="shared" si="325"/>
        <v>1053938.8430442163</v>
      </c>
      <c r="AY197" s="81"/>
      <c r="AZ197" s="297">
        <f>AZ188+AZ191+AZ194</f>
        <v>2589305.0799999996</v>
      </c>
      <c r="BA197" s="83">
        <f>BA188+BA191+BA194</f>
        <v>1846253.5999999996</v>
      </c>
      <c r="BC197" s="81"/>
      <c r="BD197" s="297">
        <f t="shared" ref="BD197" si="326">BD188+BD191+BD194</f>
        <v>0</v>
      </c>
      <c r="BE197" s="84">
        <f>BE188+BE191+BE194</f>
        <v>-1.3096723705530167E-10</v>
      </c>
    </row>
    <row r="198" spans="1:57" s="15" customFormat="1" ht="21" outlineLevel="1" thickBot="1">
      <c r="A198" s="15" t="s">
        <v>27</v>
      </c>
      <c r="B198" s="85"/>
      <c r="C198" s="85"/>
      <c r="D198" s="86"/>
      <c r="E198" s="298">
        <f>IFERROR(E197/D197,0)</f>
        <v>0.70752708064986702</v>
      </c>
      <c r="F198" s="85"/>
      <c r="G198" s="86"/>
      <c r="H198" s="298">
        <f>IFERROR(H197/G197,0)</f>
        <v>0.72234129913253664</v>
      </c>
      <c r="I198" s="85"/>
      <c r="J198" s="86"/>
      <c r="K198" s="298">
        <f>IFERROR(K197/J197,0)</f>
        <v>0.69688578062665929</v>
      </c>
      <c r="L198" s="85"/>
      <c r="M198" s="86"/>
      <c r="N198" s="298">
        <f>IFERROR(N197/M197,0)</f>
        <v>0.70244754051631908</v>
      </c>
      <c r="O198" s="85"/>
      <c r="P198" s="86"/>
      <c r="Q198" s="298">
        <f>IFERROR(Q197/P197,0)</f>
        <v>0.72474271261630896</v>
      </c>
      <c r="R198" s="85"/>
      <c r="S198" s="86"/>
      <c r="T198" s="298">
        <f>IFERROR(T197/S197,0)</f>
        <v>0.71041244931740166</v>
      </c>
      <c r="U198" s="85"/>
      <c r="V198" s="86"/>
      <c r="W198" s="299">
        <f>IFERROR(W197/V197,0)</f>
        <v>0.71337722775724999</v>
      </c>
      <c r="X198" s="85"/>
      <c r="Y198" s="86"/>
      <c r="Z198" s="299">
        <f>IFERROR(Z197/Y197,0)</f>
        <v>0.71467000036725215</v>
      </c>
      <c r="AA198" s="85"/>
      <c r="AB198" s="86"/>
      <c r="AC198" s="299">
        <f>IFERROR(AC197/AB197,0)</f>
        <v>0.71611093042697771</v>
      </c>
      <c r="AD198" s="85"/>
      <c r="AE198" s="86"/>
      <c r="AF198" s="299">
        <f t="shared" ref="AF198" si="327">IFERROR(AF197/AE197,0)</f>
        <v>0.69881240963591795</v>
      </c>
      <c r="AG198" s="85"/>
      <c r="AH198" s="86"/>
      <c r="AI198" s="299">
        <f t="shared" ref="AI198" si="328">IFERROR(AI197/AH197,0)</f>
        <v>0.70932161597390342</v>
      </c>
      <c r="AJ198" s="85"/>
      <c r="AK198" s="86"/>
      <c r="AL198" s="299">
        <f t="shared" ref="AL198" si="329">IFERROR(AL197/AK197,0)</f>
        <v>0.69863722767892178</v>
      </c>
      <c r="AM198" s="85"/>
      <c r="AN198" s="86"/>
      <c r="AO198" s="299">
        <f t="shared" ref="AO198" si="330">IFERROR(AO197/AN197,0)</f>
        <v>0.67981472137410726</v>
      </c>
      <c r="AQ198" s="89"/>
      <c r="AR198" s="90"/>
      <c r="AS198" s="300">
        <f t="shared" ref="AS198" si="331">IFERROR(AS197/AR197,0)</f>
        <v>0.71303054022510148</v>
      </c>
      <c r="AU198" s="89"/>
      <c r="AV198" s="90"/>
      <c r="AW198" s="300">
        <f t="shared" ref="AW198" si="332">IFERROR(AW197/AV197,0)</f>
        <v>0.6980883416195417</v>
      </c>
      <c r="AY198" s="89"/>
      <c r="AZ198" s="90"/>
      <c r="BA198" s="300">
        <f>IFERROR(BA197/AZ197,0)</f>
        <v>0.71303054022510159</v>
      </c>
      <c r="BC198" s="89"/>
      <c r="BD198" s="90"/>
      <c r="BE198" s="92"/>
    </row>
    <row r="199" spans="1:57" s="15" customFormat="1" ht="27" customHeight="1" thickTop="1">
      <c r="A199" s="15" t="s">
        <v>27</v>
      </c>
      <c r="B199" s="93"/>
      <c r="C199" s="93"/>
      <c r="D199" s="94"/>
      <c r="E199" s="301"/>
      <c r="F199" s="93"/>
      <c r="G199" s="94"/>
      <c r="H199" s="301"/>
      <c r="I199" s="93"/>
      <c r="J199" s="94"/>
      <c r="K199" s="301"/>
      <c r="L199" s="93"/>
      <c r="M199" s="94"/>
      <c r="N199" s="301"/>
      <c r="O199" s="93"/>
      <c r="P199" s="94"/>
      <c r="Q199" s="301"/>
      <c r="R199" s="93"/>
      <c r="S199" s="94"/>
      <c r="T199" s="301"/>
      <c r="U199" s="93"/>
      <c r="V199" s="94"/>
      <c r="W199" s="271"/>
      <c r="X199" s="93"/>
      <c r="Y199" s="94"/>
      <c r="Z199" s="271"/>
      <c r="AA199" s="93"/>
      <c r="AB199" s="94"/>
      <c r="AC199" s="271"/>
      <c r="AD199" s="93"/>
      <c r="AE199" s="94"/>
      <c r="AF199" s="301"/>
      <c r="AG199" s="93"/>
      <c r="AH199" s="94"/>
      <c r="AI199" s="301"/>
      <c r="AJ199" s="93"/>
      <c r="AK199" s="94"/>
      <c r="AL199" s="301"/>
      <c r="AM199" s="93"/>
      <c r="AN199" s="94"/>
      <c r="AO199" s="301"/>
      <c r="AQ199" s="97"/>
      <c r="AR199" s="98"/>
      <c r="AS199" s="302"/>
      <c r="AU199" s="97"/>
      <c r="AV199" s="98"/>
      <c r="AW199" s="302"/>
      <c r="AY199" s="97"/>
      <c r="AZ199" s="98"/>
      <c r="BA199" s="302"/>
      <c r="BC199" s="97"/>
      <c r="BD199" s="98"/>
      <c r="BE199" s="100"/>
    </row>
    <row r="200" spans="1:57" s="15" customFormat="1" ht="20.25">
      <c r="A200" s="15" t="s">
        <v>27</v>
      </c>
      <c r="B200" s="101" t="s">
        <v>42</v>
      </c>
      <c r="C200" s="34"/>
      <c r="D200" s="72"/>
      <c r="E200" s="52"/>
      <c r="F200" s="34"/>
      <c r="G200" s="72"/>
      <c r="H200" s="52"/>
      <c r="I200" s="34"/>
      <c r="J200" s="72"/>
      <c r="K200" s="52"/>
      <c r="L200" s="34"/>
      <c r="M200" s="72"/>
      <c r="N200" s="52"/>
      <c r="O200" s="34"/>
      <c r="P200" s="72"/>
      <c r="Q200" s="52"/>
      <c r="R200" s="34"/>
      <c r="S200" s="72"/>
      <c r="T200" s="52"/>
      <c r="U200" s="34"/>
      <c r="V200" s="72"/>
      <c r="W200" s="52"/>
      <c r="X200" s="34"/>
      <c r="Y200" s="72"/>
      <c r="Z200" s="52"/>
      <c r="AA200" s="34"/>
      <c r="AB200" s="72"/>
      <c r="AC200" s="52"/>
      <c r="AD200" s="34"/>
      <c r="AE200" s="72"/>
      <c r="AF200" s="52"/>
      <c r="AG200" s="34"/>
      <c r="AH200" s="72"/>
      <c r="AI200" s="52"/>
      <c r="AJ200" s="34"/>
      <c r="AK200" s="72"/>
      <c r="AL200" s="52"/>
      <c r="AM200" s="34"/>
      <c r="AN200" s="72"/>
      <c r="AO200" s="52"/>
      <c r="AQ200" s="53"/>
      <c r="AR200" s="74"/>
      <c r="AS200" s="54"/>
      <c r="AU200" s="53"/>
      <c r="AV200" s="74"/>
      <c r="AW200" s="54"/>
      <c r="AY200" s="53"/>
      <c r="AZ200" s="74"/>
      <c r="BA200" s="54"/>
      <c r="BC200" s="53"/>
      <c r="BD200" s="74"/>
      <c r="BE200" s="27"/>
    </row>
    <row r="201" spans="1:57" s="15" customFormat="1" ht="20.25">
      <c r="A201" s="15" t="s">
        <v>58</v>
      </c>
      <c r="B201" s="128" t="s">
        <v>59</v>
      </c>
      <c r="C201" s="34"/>
      <c r="D201" s="72"/>
      <c r="E201" s="104">
        <f t="shared" ref="E201:E211" si="333">+SUM(H201,K201,N201,Q201,T201,W201,Z201,AC201,AF201,AI201,AL201,AO201)</f>
        <v>188127.96201923076</v>
      </c>
      <c r="F201" s="34"/>
      <c r="G201" s="72"/>
      <c r="H201" s="104">
        <v>14849.23</v>
      </c>
      <c r="I201" s="34"/>
      <c r="J201" s="72"/>
      <c r="K201" s="104">
        <v>14675.88</v>
      </c>
      <c r="L201" s="34"/>
      <c r="M201" s="72"/>
      <c r="N201" s="104">
        <v>17089</v>
      </c>
      <c r="O201" s="34"/>
      <c r="P201" s="72"/>
      <c r="Q201" s="104">
        <v>14201.22</v>
      </c>
      <c r="R201" s="34"/>
      <c r="S201" s="72"/>
      <c r="T201" s="104">
        <v>16126.1</v>
      </c>
      <c r="U201" s="34"/>
      <c r="V201" s="72"/>
      <c r="W201" s="104">
        <v>16198.75</v>
      </c>
      <c r="X201" s="34"/>
      <c r="Y201" s="72"/>
      <c r="Z201" s="104">
        <v>13348.82</v>
      </c>
      <c r="AA201" s="34"/>
      <c r="AB201" s="72"/>
      <c r="AC201" s="104">
        <f>+[1]VOLKS!$L$198</f>
        <v>15957.95</v>
      </c>
      <c r="AD201" s="34"/>
      <c r="AE201" s="72"/>
      <c r="AF201" s="104">
        <v>15681.80576923077</v>
      </c>
      <c r="AG201" s="34"/>
      <c r="AH201" s="72"/>
      <c r="AI201" s="104">
        <v>18635.594711538462</v>
      </c>
      <c r="AJ201" s="34"/>
      <c r="AK201" s="72"/>
      <c r="AL201" s="105">
        <v>15681.80576923077</v>
      </c>
      <c r="AM201" s="34"/>
      <c r="AN201" s="72"/>
      <c r="AO201" s="105">
        <v>15681.80576923077</v>
      </c>
      <c r="AQ201" s="53"/>
      <c r="AR201" s="74"/>
      <c r="AS201" s="108">
        <f t="shared" ref="AS201:AS211" si="334">SUMIFS(F201:AO201,$F$7:$AO$7,"$PROFITS",$F$3:$AO$3,"RÉEL")</f>
        <v>122446.95</v>
      </c>
      <c r="AU201" s="53"/>
      <c r="AV201" s="74"/>
      <c r="AW201" s="108">
        <f t="shared" ref="AW201:AW211" si="335">SUMIFS(F201:AO201,$F$7:$AO$7,"$PROFITS",$F$3:$AO$3,"BUDGET")</f>
        <v>65681.01201923078</v>
      </c>
      <c r="AY201" s="53"/>
      <c r="AZ201" s="74"/>
      <c r="BA201" s="108">
        <f>+[2]VOLKS!$L$198</f>
        <v>122446.95</v>
      </c>
      <c r="BC201" s="53"/>
      <c r="BD201" s="74"/>
      <c r="BE201" s="109">
        <f t="shared" ref="BE201:BE211" si="336">+BA201-AS201</f>
        <v>0</v>
      </c>
    </row>
    <row r="202" spans="1:57" s="15" customFormat="1" ht="20.25">
      <c r="A202" s="15" t="s">
        <v>60</v>
      </c>
      <c r="B202" s="129" t="s">
        <v>61</v>
      </c>
      <c r="C202" s="34"/>
      <c r="D202" s="72"/>
      <c r="E202" s="104">
        <f t="shared" si="333"/>
        <v>101774.90193846154</v>
      </c>
      <c r="F202" s="34"/>
      <c r="G202" s="72"/>
      <c r="H202" s="104">
        <v>9106.5</v>
      </c>
      <c r="I202" s="34"/>
      <c r="J202" s="72"/>
      <c r="K202" s="104">
        <v>8467.49</v>
      </c>
      <c r="L202" s="34"/>
      <c r="M202" s="72"/>
      <c r="N202" s="104">
        <v>8555.6299999999992</v>
      </c>
      <c r="O202" s="34"/>
      <c r="P202" s="72"/>
      <c r="Q202" s="104">
        <v>7986.65</v>
      </c>
      <c r="R202" s="34"/>
      <c r="S202" s="72"/>
      <c r="T202" s="104">
        <v>6435.82</v>
      </c>
      <c r="U202" s="34"/>
      <c r="V202" s="72"/>
      <c r="W202" s="104">
        <v>8522.5</v>
      </c>
      <c r="X202" s="34"/>
      <c r="Y202" s="72"/>
      <c r="Z202" s="104">
        <v>8258.5</v>
      </c>
      <c r="AA202" s="34"/>
      <c r="AB202" s="72"/>
      <c r="AC202" s="104">
        <f>+[1]VOLKS!$L$199</f>
        <v>8950.11</v>
      </c>
      <c r="AD202" s="34"/>
      <c r="AE202" s="72"/>
      <c r="AF202" s="104">
        <v>8357.6063384615391</v>
      </c>
      <c r="AG202" s="34"/>
      <c r="AH202" s="72"/>
      <c r="AI202" s="104">
        <v>10418.882923076924</v>
      </c>
      <c r="AJ202" s="34"/>
      <c r="AK202" s="72"/>
      <c r="AL202" s="105">
        <v>8357.6063384615391</v>
      </c>
      <c r="AM202" s="34"/>
      <c r="AN202" s="72"/>
      <c r="AO202" s="105">
        <v>8357.6063384615391</v>
      </c>
      <c r="AQ202" s="53"/>
      <c r="AR202" s="74"/>
      <c r="AS202" s="108">
        <f t="shared" si="334"/>
        <v>66283.199999999997</v>
      </c>
      <c r="AU202" s="53"/>
      <c r="AV202" s="74"/>
      <c r="AW202" s="108">
        <f t="shared" si="335"/>
        <v>35491.701938461541</v>
      </c>
      <c r="AY202" s="53"/>
      <c r="AZ202" s="74"/>
      <c r="BA202" s="108">
        <f>+[2]VOLKS!$L$199</f>
        <v>66283.199999999997</v>
      </c>
      <c r="BC202" s="53"/>
      <c r="BD202" s="74"/>
      <c r="BE202" s="109">
        <f t="shared" si="336"/>
        <v>0</v>
      </c>
    </row>
    <row r="203" spans="1:57" s="15" customFormat="1" ht="20.25">
      <c r="A203" s="15" t="s">
        <v>60</v>
      </c>
      <c r="B203" s="128" t="s">
        <v>62</v>
      </c>
      <c r="C203" s="23"/>
      <c r="D203" s="130"/>
      <c r="E203" s="131">
        <f t="shared" si="333"/>
        <v>207097.14192307691</v>
      </c>
      <c r="F203" s="23"/>
      <c r="G203" s="130"/>
      <c r="H203" s="131">
        <v>16262.27</v>
      </c>
      <c r="I203" s="23"/>
      <c r="J203" s="130"/>
      <c r="K203" s="131">
        <v>14529.05</v>
      </c>
      <c r="L203" s="23"/>
      <c r="M203" s="130"/>
      <c r="N203" s="131">
        <v>16309.16</v>
      </c>
      <c r="O203" s="23"/>
      <c r="P203" s="130"/>
      <c r="Q203" s="131">
        <v>24058.41</v>
      </c>
      <c r="R203" s="23"/>
      <c r="S203" s="130"/>
      <c r="T203" s="131">
        <v>23882.37</v>
      </c>
      <c r="U203" s="23"/>
      <c r="V203" s="130"/>
      <c r="W203" s="131">
        <v>15014.9</v>
      </c>
      <c r="X203" s="23"/>
      <c r="Y203" s="130"/>
      <c r="Z203" s="131">
        <v>14236.65</v>
      </c>
      <c r="AA203" s="23"/>
      <c r="AB203" s="130"/>
      <c r="AC203" s="131">
        <f>+[1]VOLKS!$L$200</f>
        <v>16216.28</v>
      </c>
      <c r="AD203" s="23"/>
      <c r="AE203" s="130"/>
      <c r="AF203" s="131">
        <v>15667.776923076923</v>
      </c>
      <c r="AG203" s="23"/>
      <c r="AH203" s="130"/>
      <c r="AI203" s="131">
        <v>19584.721153846156</v>
      </c>
      <c r="AJ203" s="23"/>
      <c r="AK203" s="130"/>
      <c r="AL203" s="132">
        <v>15667.776923076923</v>
      </c>
      <c r="AM203" s="23"/>
      <c r="AN203" s="130"/>
      <c r="AO203" s="132">
        <v>15667.776923076923</v>
      </c>
      <c r="AQ203" s="133"/>
      <c r="AR203" s="134"/>
      <c r="AS203" s="135">
        <f t="shared" si="334"/>
        <v>140509.09</v>
      </c>
      <c r="AU203" s="133"/>
      <c r="AV203" s="134"/>
      <c r="AW203" s="135">
        <f t="shared" si="335"/>
        <v>66588.051923076913</v>
      </c>
      <c r="AY203" s="133"/>
      <c r="AZ203" s="134"/>
      <c r="BA203" s="135">
        <f>+[2]VOLKS!$L$200</f>
        <v>140509.09</v>
      </c>
      <c r="BC203" s="133"/>
      <c r="BD203" s="134"/>
      <c r="BE203" s="136">
        <f t="shared" si="336"/>
        <v>0</v>
      </c>
    </row>
    <row r="204" spans="1:57" s="15" customFormat="1" ht="20.25">
      <c r="A204" s="15" t="s">
        <v>60</v>
      </c>
      <c r="B204" s="128" t="s">
        <v>63</v>
      </c>
      <c r="C204" s="34"/>
      <c r="D204" s="72"/>
      <c r="E204" s="104">
        <f t="shared" si="333"/>
        <v>311877.72336615383</v>
      </c>
      <c r="F204" s="34"/>
      <c r="G204" s="72"/>
      <c r="H204" s="104">
        <v>15854.86</v>
      </c>
      <c r="I204" s="34"/>
      <c r="J204" s="72"/>
      <c r="K204" s="104">
        <v>14700.61</v>
      </c>
      <c r="L204" s="34"/>
      <c r="M204" s="72"/>
      <c r="N204" s="104">
        <v>16437.28</v>
      </c>
      <c r="O204" s="34"/>
      <c r="P204" s="72"/>
      <c r="Q204" s="104">
        <v>24877.040000000001</v>
      </c>
      <c r="R204" s="34"/>
      <c r="S204" s="72"/>
      <c r="T204" s="104">
        <v>30524.63</v>
      </c>
      <c r="U204" s="34"/>
      <c r="V204" s="72"/>
      <c r="W204" s="104">
        <v>23505.88</v>
      </c>
      <c r="X204" s="34"/>
      <c r="Y204" s="72"/>
      <c r="Z204" s="104">
        <v>23437.83</v>
      </c>
      <c r="AA204" s="34"/>
      <c r="AB204" s="72"/>
      <c r="AC204" s="104">
        <f>+[1]VOLKS!$L$201</f>
        <v>27254.48</v>
      </c>
      <c r="AD204" s="34"/>
      <c r="AE204" s="72"/>
      <c r="AF204" s="104">
        <v>25713.623526153846</v>
      </c>
      <c r="AG204" s="34"/>
      <c r="AH204" s="72"/>
      <c r="AI204" s="104">
        <v>37731.290227692305</v>
      </c>
      <c r="AJ204" s="34"/>
      <c r="AK204" s="72"/>
      <c r="AL204" s="105">
        <v>44182.485366153844</v>
      </c>
      <c r="AM204" s="34"/>
      <c r="AN204" s="72"/>
      <c r="AO204" s="105">
        <v>27657.714246153846</v>
      </c>
      <c r="AQ204" s="53"/>
      <c r="AR204" s="74"/>
      <c r="AS204" s="108">
        <f t="shared" si="334"/>
        <v>176592.61000000002</v>
      </c>
      <c r="AU204" s="53"/>
      <c r="AV204" s="74"/>
      <c r="AW204" s="108">
        <f t="shared" si="335"/>
        <v>135285.11336615385</v>
      </c>
      <c r="AY204" s="53"/>
      <c r="AZ204" s="74"/>
      <c r="BA204" s="108">
        <f>+[2]VOLKS!$L$201</f>
        <v>176592.61</v>
      </c>
      <c r="BC204" s="53"/>
      <c r="BD204" s="74"/>
      <c r="BE204" s="109">
        <f t="shared" si="336"/>
        <v>0</v>
      </c>
    </row>
    <row r="205" spans="1:57" s="15" customFormat="1" ht="20.25" hidden="1" customHeight="1">
      <c r="B205" s="34"/>
      <c r="C205" s="34"/>
      <c r="D205" s="72"/>
      <c r="E205" s="104"/>
      <c r="F205" s="34"/>
      <c r="G205" s="72"/>
      <c r="H205" s="104"/>
      <c r="I205" s="34"/>
      <c r="J205" s="72"/>
      <c r="K205" s="104"/>
      <c r="L205" s="34"/>
      <c r="M205" s="72"/>
      <c r="N205" s="104"/>
      <c r="O205" s="34"/>
      <c r="P205" s="72"/>
      <c r="Q205" s="104"/>
      <c r="R205" s="34"/>
      <c r="S205" s="72"/>
      <c r="T205" s="104"/>
      <c r="U205" s="34"/>
      <c r="V205" s="72"/>
      <c r="W205" s="104"/>
      <c r="X205" s="34"/>
      <c r="Y205" s="72"/>
      <c r="Z205" s="104"/>
      <c r="AA205" s="34"/>
      <c r="AB205" s="72"/>
      <c r="AC205" s="104"/>
      <c r="AD205" s="34"/>
      <c r="AE205" s="72"/>
      <c r="AF205" s="104"/>
      <c r="AG205" s="34"/>
      <c r="AH205" s="72"/>
      <c r="AI205" s="104"/>
      <c r="AJ205" s="34"/>
      <c r="AK205" s="72"/>
      <c r="AL205" s="105"/>
      <c r="AM205" s="34"/>
      <c r="AN205" s="72"/>
      <c r="AO205" s="105"/>
      <c r="AQ205" s="53"/>
      <c r="AR205" s="74"/>
      <c r="AS205" s="108"/>
      <c r="AU205" s="53"/>
      <c r="AV205" s="74"/>
      <c r="AW205" s="108"/>
      <c r="AY205" s="53"/>
      <c r="AZ205" s="74"/>
      <c r="BA205" s="108"/>
      <c r="BC205" s="53"/>
      <c r="BD205" s="74"/>
      <c r="BE205" s="109"/>
    </row>
    <row r="206" spans="1:57" s="15" customFormat="1" ht="20.25" hidden="1" customHeight="1">
      <c r="B206" s="34"/>
      <c r="C206" s="34"/>
      <c r="D206" s="72"/>
      <c r="E206" s="104"/>
      <c r="F206" s="34"/>
      <c r="G206" s="72"/>
      <c r="H206" s="104"/>
      <c r="I206" s="34"/>
      <c r="J206" s="72"/>
      <c r="K206" s="104"/>
      <c r="L206" s="34"/>
      <c r="M206" s="72"/>
      <c r="N206" s="104"/>
      <c r="O206" s="34"/>
      <c r="P206" s="72"/>
      <c r="Q206" s="104"/>
      <c r="R206" s="34"/>
      <c r="S206" s="72"/>
      <c r="T206" s="104"/>
      <c r="U206" s="34"/>
      <c r="V206" s="72"/>
      <c r="W206" s="104"/>
      <c r="X206" s="34"/>
      <c r="Y206" s="72"/>
      <c r="Z206" s="104"/>
      <c r="AA206" s="34"/>
      <c r="AB206" s="72"/>
      <c r="AC206" s="104"/>
      <c r="AD206" s="34"/>
      <c r="AE206" s="72"/>
      <c r="AF206" s="104"/>
      <c r="AG206" s="34"/>
      <c r="AH206" s="72"/>
      <c r="AI206" s="104"/>
      <c r="AJ206" s="34"/>
      <c r="AK206" s="72"/>
      <c r="AL206" s="105"/>
      <c r="AM206" s="34"/>
      <c r="AN206" s="72"/>
      <c r="AO206" s="105"/>
      <c r="AQ206" s="53"/>
      <c r="AR206" s="74"/>
      <c r="AS206" s="108"/>
      <c r="AU206" s="53"/>
      <c r="AV206" s="74"/>
      <c r="AW206" s="108"/>
      <c r="AY206" s="53"/>
      <c r="AZ206" s="74"/>
      <c r="BA206" s="108"/>
      <c r="BC206" s="53"/>
      <c r="BD206" s="74"/>
      <c r="BE206" s="109"/>
    </row>
    <row r="207" spans="1:57" s="15" customFormat="1" ht="20.25" hidden="1" customHeight="1">
      <c r="B207" s="34"/>
      <c r="C207" s="34"/>
      <c r="D207" s="72"/>
      <c r="E207" s="104"/>
      <c r="F207" s="34"/>
      <c r="G207" s="72"/>
      <c r="H207" s="104"/>
      <c r="I207" s="34"/>
      <c r="J207" s="72"/>
      <c r="K207" s="104"/>
      <c r="L207" s="34"/>
      <c r="M207" s="72"/>
      <c r="N207" s="104"/>
      <c r="O207" s="34"/>
      <c r="P207" s="72"/>
      <c r="Q207" s="104"/>
      <c r="R207" s="34"/>
      <c r="S207" s="72"/>
      <c r="T207" s="104"/>
      <c r="U207" s="34"/>
      <c r="V207" s="72"/>
      <c r="W207" s="104"/>
      <c r="X207" s="34"/>
      <c r="Y207" s="72"/>
      <c r="Z207" s="104"/>
      <c r="AA207" s="34"/>
      <c r="AB207" s="72"/>
      <c r="AC207" s="104"/>
      <c r="AD207" s="34"/>
      <c r="AE207" s="72"/>
      <c r="AF207" s="104"/>
      <c r="AG207" s="34"/>
      <c r="AH207" s="72"/>
      <c r="AI207" s="104"/>
      <c r="AJ207" s="34"/>
      <c r="AK207" s="72"/>
      <c r="AL207" s="105"/>
      <c r="AM207" s="34"/>
      <c r="AN207" s="72"/>
      <c r="AO207" s="105"/>
      <c r="AQ207" s="53"/>
      <c r="AR207" s="74"/>
      <c r="AS207" s="108"/>
      <c r="AU207" s="53"/>
      <c r="AV207" s="74"/>
      <c r="AW207" s="108"/>
      <c r="AY207" s="53"/>
      <c r="AZ207" s="74"/>
      <c r="BA207" s="108"/>
      <c r="BC207" s="53"/>
      <c r="BD207" s="74"/>
      <c r="BE207" s="109"/>
    </row>
    <row r="208" spans="1:57" s="15" customFormat="1" ht="20.25">
      <c r="A208" s="15" t="s">
        <v>64</v>
      </c>
      <c r="B208" s="129" t="s">
        <v>65</v>
      </c>
      <c r="C208" s="34"/>
      <c r="D208" s="72"/>
      <c r="E208" s="104">
        <f t="shared" si="333"/>
        <v>202704.06768003799</v>
      </c>
      <c r="F208" s="34"/>
      <c r="G208" s="72"/>
      <c r="H208" s="104">
        <v>15632.41</v>
      </c>
      <c r="I208" s="34"/>
      <c r="J208" s="72"/>
      <c r="K208" s="104">
        <v>12747.9</v>
      </c>
      <c r="L208" s="34"/>
      <c r="M208" s="72"/>
      <c r="N208" s="104">
        <v>13993.31</v>
      </c>
      <c r="O208" s="34"/>
      <c r="P208" s="72"/>
      <c r="Q208" s="104">
        <v>17889.96</v>
      </c>
      <c r="R208" s="34"/>
      <c r="S208" s="72"/>
      <c r="T208" s="104">
        <v>20248.400000000001</v>
      </c>
      <c r="U208" s="34"/>
      <c r="V208" s="72"/>
      <c r="W208" s="104">
        <v>15666.38</v>
      </c>
      <c r="X208" s="34"/>
      <c r="Y208" s="72"/>
      <c r="Z208" s="104">
        <v>15719.95</v>
      </c>
      <c r="AA208" s="34"/>
      <c r="AB208" s="72"/>
      <c r="AC208" s="104">
        <f>+[1]VOLKS!$L$205</f>
        <v>15814.18</v>
      </c>
      <c r="AD208" s="34"/>
      <c r="AE208" s="72"/>
      <c r="AF208" s="104">
        <v>15446.301172214462</v>
      </c>
      <c r="AG208" s="34"/>
      <c r="AH208" s="72"/>
      <c r="AI208" s="104">
        <v>20781.05484589054</v>
      </c>
      <c r="AJ208" s="34"/>
      <c r="AK208" s="72"/>
      <c r="AL208" s="105">
        <v>23584.250848731794</v>
      </c>
      <c r="AM208" s="34"/>
      <c r="AN208" s="72"/>
      <c r="AO208" s="105">
        <v>15179.970813201213</v>
      </c>
      <c r="AQ208" s="53"/>
      <c r="AR208" s="74"/>
      <c r="AS208" s="108">
        <f t="shared" si="334"/>
        <v>127712.48999999999</v>
      </c>
      <c r="AU208" s="53"/>
      <c r="AV208" s="74"/>
      <c r="AW208" s="108">
        <f t="shared" si="335"/>
        <v>74991.577680038012</v>
      </c>
      <c r="AY208" s="53"/>
      <c r="AZ208" s="74"/>
      <c r="BA208" s="108">
        <f>+[2]VOLKS!$L$205</f>
        <v>127712.49</v>
      </c>
      <c r="BC208" s="53"/>
      <c r="BD208" s="74"/>
      <c r="BE208" s="109">
        <f t="shared" si="336"/>
        <v>0</v>
      </c>
    </row>
    <row r="209" spans="1:57" s="15" customFormat="1" ht="20.25">
      <c r="A209" s="15" t="s">
        <v>66</v>
      </c>
      <c r="B209" s="128" t="s">
        <v>67</v>
      </c>
      <c r="C209" s="23"/>
      <c r="D209" s="130"/>
      <c r="E209" s="131">
        <f t="shared" si="333"/>
        <v>248179.69695898899</v>
      </c>
      <c r="F209" s="23"/>
      <c r="G209" s="130"/>
      <c r="H209" s="131">
        <v>18756.32</v>
      </c>
      <c r="I209" s="23"/>
      <c r="J209" s="130"/>
      <c r="K209" s="131">
        <v>15622.95</v>
      </c>
      <c r="L209" s="23"/>
      <c r="M209" s="130"/>
      <c r="N209" s="131">
        <v>16705.810000000001</v>
      </c>
      <c r="O209" s="23"/>
      <c r="P209" s="130"/>
      <c r="Q209" s="131">
        <v>22915.759999999998</v>
      </c>
      <c r="R209" s="23"/>
      <c r="S209" s="130"/>
      <c r="T209" s="131">
        <v>24326.74</v>
      </c>
      <c r="U209" s="23"/>
      <c r="V209" s="130"/>
      <c r="W209" s="131">
        <v>19320.64</v>
      </c>
      <c r="X209" s="23"/>
      <c r="Y209" s="130"/>
      <c r="Z209" s="131">
        <v>19588.689999999999</v>
      </c>
      <c r="AA209" s="23"/>
      <c r="AB209" s="130"/>
      <c r="AC209" s="131">
        <f>+[1]VOLKS!$L$206</f>
        <v>19763.599999999999</v>
      </c>
      <c r="AD209" s="23"/>
      <c r="AE209" s="130"/>
      <c r="AF209" s="131">
        <v>18780.524773265162</v>
      </c>
      <c r="AG209" s="23"/>
      <c r="AH209" s="130"/>
      <c r="AI209" s="131">
        <v>25266.833204695107</v>
      </c>
      <c r="AJ209" s="23"/>
      <c r="AK209" s="130"/>
      <c r="AL209" s="132">
        <v>28675.12437995584</v>
      </c>
      <c r="AM209" s="23"/>
      <c r="AN209" s="130"/>
      <c r="AO209" s="132">
        <v>18456.704601072841</v>
      </c>
      <c r="AQ209" s="133"/>
      <c r="AR209" s="134"/>
      <c r="AS209" s="135">
        <f t="shared" si="334"/>
        <v>157000.51</v>
      </c>
      <c r="AU209" s="133"/>
      <c r="AV209" s="134"/>
      <c r="AW209" s="135">
        <f t="shared" si="335"/>
        <v>91179.186958988954</v>
      </c>
      <c r="AY209" s="133"/>
      <c r="AZ209" s="134"/>
      <c r="BA209" s="135">
        <f>+[2]VOLKS!$L$206</f>
        <v>157000.51</v>
      </c>
      <c r="BC209" s="133"/>
      <c r="BD209" s="134"/>
      <c r="BE209" s="136">
        <f t="shared" si="336"/>
        <v>0</v>
      </c>
    </row>
    <row r="210" spans="1:57" s="15" customFormat="1" ht="20.25">
      <c r="A210" s="15" t="s">
        <v>68</v>
      </c>
      <c r="B210" s="137" t="s">
        <v>69</v>
      </c>
      <c r="C210" s="34"/>
      <c r="D210" s="72"/>
      <c r="E210" s="104">
        <f t="shared" si="333"/>
        <v>127995.46284626168</v>
      </c>
      <c r="F210" s="34"/>
      <c r="G210" s="72"/>
      <c r="H210" s="104">
        <v>9703.1299999999992</v>
      </c>
      <c r="I210" s="34"/>
      <c r="J210" s="72"/>
      <c r="K210" s="104">
        <v>8530.35</v>
      </c>
      <c r="L210" s="34"/>
      <c r="M210" s="72"/>
      <c r="N210" s="104">
        <v>8464.64</v>
      </c>
      <c r="O210" s="34"/>
      <c r="P210" s="72"/>
      <c r="Q210" s="104">
        <v>11908.5</v>
      </c>
      <c r="R210" s="34"/>
      <c r="S210" s="72"/>
      <c r="T210" s="104">
        <v>12104.1</v>
      </c>
      <c r="U210" s="34"/>
      <c r="V210" s="72"/>
      <c r="W210" s="104">
        <v>9714.61</v>
      </c>
      <c r="X210" s="34"/>
      <c r="Y210" s="72"/>
      <c r="Z210" s="104">
        <v>9363.9599999999991</v>
      </c>
      <c r="AA210" s="34"/>
      <c r="AB210" s="72"/>
      <c r="AC210" s="104">
        <f>+[1]VOLKS!$L$207</f>
        <v>11229.07</v>
      </c>
      <c r="AD210" s="34"/>
      <c r="AE210" s="72"/>
      <c r="AF210" s="104">
        <v>9676.0529810083535</v>
      </c>
      <c r="AG210" s="34"/>
      <c r="AH210" s="72"/>
      <c r="AI210" s="104">
        <v>13017.911890245086</v>
      </c>
      <c r="AJ210" s="34"/>
      <c r="AK210" s="72"/>
      <c r="AL210" s="105">
        <v>14773.922778368549</v>
      </c>
      <c r="AM210" s="34"/>
      <c r="AN210" s="72"/>
      <c r="AO210" s="105">
        <v>9509.2151966397014</v>
      </c>
      <c r="AQ210" s="53"/>
      <c r="AR210" s="74"/>
      <c r="AS210" s="108">
        <f t="shared" si="334"/>
        <v>81018.359999999986</v>
      </c>
      <c r="AU210" s="53"/>
      <c r="AV210" s="74"/>
      <c r="AW210" s="108">
        <f t="shared" si="335"/>
        <v>46977.102846261689</v>
      </c>
      <c r="AY210" s="53"/>
      <c r="AZ210" s="74"/>
      <c r="BA210" s="108">
        <f>+[2]VOLKS!$L$207</f>
        <v>81018.36</v>
      </c>
      <c r="BC210" s="53"/>
      <c r="BD210" s="74"/>
      <c r="BE210" s="109">
        <f t="shared" si="336"/>
        <v>0</v>
      </c>
    </row>
    <row r="211" spans="1:57" s="15" customFormat="1" ht="20.25">
      <c r="A211" s="15" t="s">
        <v>70</v>
      </c>
      <c r="B211" s="128" t="s">
        <v>71</v>
      </c>
      <c r="C211" s="34"/>
      <c r="D211" s="72"/>
      <c r="E211" s="104">
        <f t="shared" si="333"/>
        <v>54349.661128468535</v>
      </c>
      <c r="F211" s="34"/>
      <c r="G211" s="72"/>
      <c r="H211" s="104">
        <v>4046.96</v>
      </c>
      <c r="I211" s="34"/>
      <c r="J211" s="72"/>
      <c r="K211" s="104">
        <v>4013.11</v>
      </c>
      <c r="L211" s="34"/>
      <c r="M211" s="72"/>
      <c r="N211" s="104">
        <v>3790.27</v>
      </c>
      <c r="O211" s="34"/>
      <c r="P211" s="72"/>
      <c r="Q211" s="104">
        <v>4529.1000000000004</v>
      </c>
      <c r="R211" s="34"/>
      <c r="S211" s="72"/>
      <c r="T211" s="104">
        <v>4882.72</v>
      </c>
      <c r="U211" s="34"/>
      <c r="V211" s="72"/>
      <c r="W211" s="104">
        <v>3839.48</v>
      </c>
      <c r="X211" s="34"/>
      <c r="Y211" s="72"/>
      <c r="Z211" s="104">
        <v>4356.6099999999997</v>
      </c>
      <c r="AA211" s="34"/>
      <c r="AB211" s="72"/>
      <c r="AC211" s="104">
        <f>+[1]VOLKS!$L$208</f>
        <v>4409.13</v>
      </c>
      <c r="AD211" s="34"/>
      <c r="AE211" s="72"/>
      <c r="AF211" s="104">
        <v>4218.8135360233337</v>
      </c>
      <c r="AG211" s="34"/>
      <c r="AH211" s="72"/>
      <c r="AI211" s="104">
        <v>5675.8828213445522</v>
      </c>
      <c r="AJ211" s="34"/>
      <c r="AK211" s="72"/>
      <c r="AL211" s="105">
        <v>6441.5134476712383</v>
      </c>
      <c r="AM211" s="34"/>
      <c r="AN211" s="72"/>
      <c r="AO211" s="105">
        <v>4146.0713234294062</v>
      </c>
      <c r="AQ211" s="53"/>
      <c r="AR211" s="74"/>
      <c r="AS211" s="108">
        <f t="shared" si="334"/>
        <v>33867.379999999997</v>
      </c>
      <c r="AU211" s="53"/>
      <c r="AV211" s="74"/>
      <c r="AW211" s="108">
        <f t="shared" si="335"/>
        <v>20482.28112846853</v>
      </c>
      <c r="AY211" s="53"/>
      <c r="AZ211" s="74"/>
      <c r="BA211" s="108">
        <f>+[2]VOLKS!$L$208</f>
        <v>33867.379999999997</v>
      </c>
      <c r="BC211" s="53"/>
      <c r="BD211" s="74"/>
      <c r="BE211" s="109">
        <f t="shared" si="336"/>
        <v>0</v>
      </c>
    </row>
    <row r="212" spans="1:57" s="15" customFormat="1" ht="20.25" hidden="1" customHeight="1">
      <c r="B212" s="34"/>
      <c r="C212" s="28"/>
      <c r="D212" s="138"/>
      <c r="E212" s="139"/>
      <c r="F212" s="28"/>
      <c r="G212" s="138"/>
      <c r="H212" s="139"/>
      <c r="I212" s="28"/>
      <c r="J212" s="138"/>
      <c r="K212" s="139"/>
      <c r="L212" s="28"/>
      <c r="M212" s="138"/>
      <c r="N212" s="139"/>
      <c r="O212" s="28"/>
      <c r="P212" s="138"/>
      <c r="Q212" s="139"/>
      <c r="R212" s="28"/>
      <c r="S212" s="138"/>
      <c r="T212" s="139"/>
      <c r="U212" s="28"/>
      <c r="V212" s="138"/>
      <c r="W212" s="139"/>
      <c r="X212" s="28"/>
      <c r="Y212" s="138"/>
      <c r="Z212" s="139"/>
      <c r="AA212" s="28"/>
      <c r="AB212" s="138"/>
      <c r="AC212" s="139"/>
      <c r="AD212" s="28"/>
      <c r="AE212" s="138"/>
      <c r="AF212" s="139"/>
      <c r="AG212" s="28"/>
      <c r="AH212" s="138"/>
      <c r="AI212" s="139"/>
      <c r="AJ212" s="28"/>
      <c r="AK212" s="138"/>
      <c r="AL212" s="139"/>
      <c r="AM212" s="28"/>
      <c r="AN212" s="138"/>
      <c r="AO212" s="139"/>
      <c r="AQ212" s="119"/>
      <c r="AR212" s="140"/>
      <c r="AS212" s="141"/>
      <c r="AU212" s="119"/>
      <c r="AV212" s="140"/>
      <c r="AW212" s="141"/>
      <c r="AY212" s="119"/>
      <c r="AZ212" s="140"/>
      <c r="BA212" s="141"/>
      <c r="BC212" s="119"/>
      <c r="BD212" s="140"/>
      <c r="BE212" s="142"/>
    </row>
    <row r="213" spans="1:57" s="15" customFormat="1" ht="20.25">
      <c r="A213" s="15" t="s">
        <v>27</v>
      </c>
      <c r="B213" s="120" t="s">
        <v>72</v>
      </c>
      <c r="C213" s="121" t="s">
        <v>123</v>
      </c>
      <c r="D213" s="122">
        <f>IFERROR(E213/E$197,0)</f>
        <v>0.49724514706581291</v>
      </c>
      <c r="E213" s="123">
        <f>+SUM(E201:E212)</f>
        <v>1442106.6178606802</v>
      </c>
      <c r="F213" s="121" t="s">
        <v>123</v>
      </c>
      <c r="G213" s="122">
        <f>IFERROR(H213/H$196,0)</f>
        <v>0</v>
      </c>
      <c r="H213" s="123">
        <f>+SUM(H201:H212)</f>
        <v>104211.68000000001</v>
      </c>
      <c r="I213" s="121" t="s">
        <v>123</v>
      </c>
      <c r="J213" s="122">
        <f>IFERROR(K213/K$196,0)</f>
        <v>0</v>
      </c>
      <c r="K213" s="123">
        <f>+SUM(K201:K212)</f>
        <v>93287.340000000011</v>
      </c>
      <c r="L213" s="121" t="s">
        <v>123</v>
      </c>
      <c r="M213" s="122">
        <f>IFERROR(N213/N$196,0)</f>
        <v>0</v>
      </c>
      <c r="N213" s="123">
        <f>+SUM(N201:N212)</f>
        <v>101345.09999999999</v>
      </c>
      <c r="O213" s="121" t="s">
        <v>123</v>
      </c>
      <c r="P213" s="122">
        <f>IFERROR(Q213/Q$196,0)</f>
        <v>0</v>
      </c>
      <c r="Q213" s="123">
        <f>+SUM(Q201:Q212)</f>
        <v>128366.64</v>
      </c>
      <c r="R213" s="121" t="s">
        <v>123</v>
      </c>
      <c r="S213" s="122">
        <f>IFERROR(T213/T$196,0)</f>
        <v>0</v>
      </c>
      <c r="T213" s="123">
        <f>+SUM(T201:T212)</f>
        <v>138530.88</v>
      </c>
      <c r="U213" s="121" t="s">
        <v>123</v>
      </c>
      <c r="V213" s="122">
        <f>IFERROR(W213/W$196,0)</f>
        <v>0</v>
      </c>
      <c r="W213" s="124">
        <f>+SUM(W201:W212)</f>
        <v>111783.14</v>
      </c>
      <c r="X213" s="121" t="s">
        <v>123</v>
      </c>
      <c r="Y213" s="122">
        <f>IFERROR(Z213/Z$196,0)</f>
        <v>0</v>
      </c>
      <c r="Z213" s="124">
        <f>+SUM(Z201:Z212)</f>
        <v>108311.01</v>
      </c>
      <c r="AA213" s="121" t="s">
        <v>123</v>
      </c>
      <c r="AB213" s="122">
        <f>IFERROR(AC213/AC$196,0)</f>
        <v>0</v>
      </c>
      <c r="AC213" s="124">
        <f>+SUM(AC201:AC212)</f>
        <v>119594.80000000002</v>
      </c>
      <c r="AD213" s="121" t="s">
        <v>123</v>
      </c>
      <c r="AE213" s="122">
        <f t="shared" ref="AE213:AO213" si="337">IFERROR(AF213/AF$196,0)</f>
        <v>0</v>
      </c>
      <c r="AF213" s="124">
        <f t="shared" ref="AF213" si="338">+SUM(AF201:AF212)</f>
        <v>113542.50501943439</v>
      </c>
      <c r="AG213" s="121" t="s">
        <v>123</v>
      </c>
      <c r="AH213" s="122">
        <f t="shared" ref="AH213:AO213" si="339">IFERROR(AI213/AI$196,0)</f>
        <v>0</v>
      </c>
      <c r="AI213" s="124">
        <f t="shared" ref="AI213" si="340">+SUM(AI201:AI212)</f>
        <v>151112.17177832912</v>
      </c>
      <c r="AJ213" s="121" t="s">
        <v>123</v>
      </c>
      <c r="AK213" s="122">
        <f t="shared" ref="AK213:AO213" si="341">IFERROR(AL213/AL$196,0)</f>
        <v>0</v>
      </c>
      <c r="AL213" s="124">
        <f t="shared" ref="AL213" si="342">+SUM(AL201:AL212)</f>
        <v>157364.48585165048</v>
      </c>
      <c r="AM213" s="121" t="s">
        <v>123</v>
      </c>
      <c r="AN213" s="122">
        <f t="shared" ref="AN213:AO213" si="343">IFERROR(AO213/AO$196,0)</f>
        <v>0</v>
      </c>
      <c r="AO213" s="124">
        <f t="shared" ref="AO213" si="344">+SUM(AO201:AO212)</f>
        <v>114656.86521126625</v>
      </c>
      <c r="AQ213" s="121" t="s">
        <v>123</v>
      </c>
      <c r="AR213" s="125">
        <f t="shared" ref="AR213" si="345">IFERROR(AS213/AS$197,0)</f>
        <v>0.49041507082234004</v>
      </c>
      <c r="AS213" s="126">
        <f t="shared" ref="AS213" si="346">+SUM(AS201:AS212)</f>
        <v>905430.59</v>
      </c>
      <c r="AU213" s="121" t="s">
        <v>123</v>
      </c>
      <c r="AV213" s="125">
        <f t="shared" ref="AV213" si="347">IFERROR(AW213/AW$197,0)</f>
        <v>0.50920983831522459</v>
      </c>
      <c r="AW213" s="126">
        <f t="shared" ref="AW213" si="348">+SUM(AW201:AW212)</f>
        <v>536676.02786068025</v>
      </c>
      <c r="AY213" s="121" t="s">
        <v>123</v>
      </c>
      <c r="AZ213" s="125">
        <f>IFERROR(BA213/BA$196,0)</f>
        <v>0</v>
      </c>
      <c r="BA213" s="126">
        <f>+SUM(BA201:BA212)</f>
        <v>905430.59</v>
      </c>
      <c r="BC213" s="121" t="s">
        <v>123</v>
      </c>
      <c r="BD213" s="125"/>
      <c r="BE213" s="127">
        <f t="shared" ref="BE213" si="349">+SUM(BE201:BE212)</f>
        <v>0</v>
      </c>
    </row>
    <row r="214" spans="1:57" s="15" customFormat="1" ht="20.25">
      <c r="A214" s="15" t="s">
        <v>52</v>
      </c>
      <c r="B214" s="34" t="s">
        <v>73</v>
      </c>
      <c r="C214" s="34"/>
      <c r="D214" s="72"/>
      <c r="E214" s="104">
        <f t="shared" ref="E214:E228" si="350">+SUM(H214,K214,N214,Q214,T214,W214,Z214,AC214,AF214,AI214,AL214,AO214)</f>
        <v>171585.14201417199</v>
      </c>
      <c r="F214" s="34"/>
      <c r="G214" s="72"/>
      <c r="H214" s="104">
        <v>15287.83</v>
      </c>
      <c r="I214" s="34"/>
      <c r="J214" s="72"/>
      <c r="K214" s="104">
        <v>10924.02</v>
      </c>
      <c r="L214" s="34"/>
      <c r="M214" s="72"/>
      <c r="N214" s="104">
        <v>13734.02</v>
      </c>
      <c r="O214" s="34"/>
      <c r="P214" s="72"/>
      <c r="Q214" s="104">
        <v>20858.59</v>
      </c>
      <c r="R214" s="34"/>
      <c r="S214" s="72"/>
      <c r="T214" s="104">
        <v>15357.7</v>
      </c>
      <c r="U214" s="34"/>
      <c r="V214" s="72"/>
      <c r="W214" s="104">
        <v>10453.17</v>
      </c>
      <c r="X214" s="34"/>
      <c r="Y214" s="72"/>
      <c r="Z214" s="104">
        <v>10953.22</v>
      </c>
      <c r="AA214" s="34"/>
      <c r="AB214" s="72"/>
      <c r="AC214" s="104">
        <f>+[1]VOLKS!$L$211</f>
        <v>11626.62</v>
      </c>
      <c r="AD214" s="34"/>
      <c r="AE214" s="72"/>
      <c r="AF214" s="242">
        <f>10872.3795678787+3000</f>
        <v>13872.379567878699</v>
      </c>
      <c r="AG214" s="34"/>
      <c r="AH214" s="72"/>
      <c r="AI214" s="242">
        <f>12414.9986325417+3000</f>
        <v>15414.998632541699</v>
      </c>
      <c r="AJ214" s="34"/>
      <c r="AK214" s="72"/>
      <c r="AL214" s="242">
        <f>16629.5927552326+3000</f>
        <v>19629.592755232599</v>
      </c>
      <c r="AM214" s="34"/>
      <c r="AN214" s="72"/>
      <c r="AO214" s="242">
        <f>10473.001058519+3000</f>
        <v>13473.001058518999</v>
      </c>
      <c r="AQ214" s="53"/>
      <c r="AR214" s="74"/>
      <c r="AS214" s="108">
        <f t="shared" ref="AS214:AS228" si="351">SUMIFS(F214:AO214,$F$7:$AO$7,"$PROFITS",$F$3:$AO$3,"RÉEL")</f>
        <v>109195.16999999998</v>
      </c>
      <c r="AU214" s="53"/>
      <c r="AV214" s="74"/>
      <c r="AW214" s="108">
        <f t="shared" ref="AW214:AW228" si="352">SUMIFS(F214:AO214,$F$7:$AO$7,"$PROFITS",$F$3:$AO$3,"BUDGET")</f>
        <v>62389.972014172003</v>
      </c>
      <c r="AY214" s="53"/>
      <c r="AZ214" s="74"/>
      <c r="BA214" s="108">
        <f>+[2]VOLKS!$L$211</f>
        <v>109195.17</v>
      </c>
      <c r="BC214" s="53"/>
      <c r="BD214" s="74"/>
      <c r="BE214" s="109">
        <f t="shared" ref="BE214:BE228" si="353">+BA214-AS214</f>
        <v>0</v>
      </c>
    </row>
    <row r="215" spans="1:57" s="15" customFormat="1" ht="20.25">
      <c r="A215" s="15" t="s">
        <v>49</v>
      </c>
      <c r="B215" s="34" t="s">
        <v>74</v>
      </c>
      <c r="C215" s="34"/>
      <c r="D215" s="72"/>
      <c r="E215" s="104">
        <f t="shared" si="350"/>
        <v>42060.339613294826</v>
      </c>
      <c r="F215" s="34"/>
      <c r="G215" s="72"/>
      <c r="H215" s="104">
        <v>1820.45</v>
      </c>
      <c r="I215" s="34"/>
      <c r="J215" s="72"/>
      <c r="K215" s="104">
        <v>3416.5899999999901</v>
      </c>
      <c r="L215" s="34"/>
      <c r="M215" s="72"/>
      <c r="N215" s="104">
        <v>4779.6099999999997</v>
      </c>
      <c r="O215" s="34"/>
      <c r="P215" s="72"/>
      <c r="Q215" s="104">
        <v>3861.29</v>
      </c>
      <c r="R215" s="34"/>
      <c r="S215" s="72"/>
      <c r="T215" s="104">
        <v>4586.43</v>
      </c>
      <c r="U215" s="34"/>
      <c r="V215" s="72"/>
      <c r="W215" s="104">
        <v>4147.28</v>
      </c>
      <c r="X215" s="34"/>
      <c r="Y215" s="72"/>
      <c r="Z215" s="104">
        <v>1302.06</v>
      </c>
      <c r="AA215" s="34"/>
      <c r="AB215" s="72"/>
      <c r="AC215" s="104">
        <f>+[1]VOLKS!$L$212</f>
        <v>4457.92</v>
      </c>
      <c r="AD215" s="34"/>
      <c r="AE215" s="72"/>
      <c r="AF215" s="104">
        <v>3422.1774033237093</v>
      </c>
      <c r="AG215" s="34"/>
      <c r="AH215" s="72"/>
      <c r="AI215" s="104">
        <v>3422.1774033237093</v>
      </c>
      <c r="AJ215" s="34"/>
      <c r="AK215" s="72"/>
      <c r="AL215" s="105">
        <v>3422.1774033237093</v>
      </c>
      <c r="AM215" s="34"/>
      <c r="AN215" s="72"/>
      <c r="AO215" s="105">
        <v>3422.1774033237093</v>
      </c>
      <c r="AQ215" s="53"/>
      <c r="AR215" s="74"/>
      <c r="AS215" s="108">
        <f t="shared" si="351"/>
        <v>28371.62999999999</v>
      </c>
      <c r="AU215" s="53"/>
      <c r="AV215" s="74"/>
      <c r="AW215" s="108">
        <f t="shared" si="352"/>
        <v>13688.709613294837</v>
      </c>
      <c r="AY215" s="53"/>
      <c r="AZ215" s="74"/>
      <c r="BA215" s="108">
        <f>+[2]VOLKS!$L$212</f>
        <v>28371.63</v>
      </c>
      <c r="BC215" s="53"/>
      <c r="BD215" s="74"/>
      <c r="BE215" s="109">
        <f t="shared" si="353"/>
        <v>0</v>
      </c>
    </row>
    <row r="216" spans="1:57" s="15" customFormat="1" ht="20.25">
      <c r="A216" s="15" t="s">
        <v>75</v>
      </c>
      <c r="B216" s="28" t="s">
        <v>76</v>
      </c>
      <c r="C216" s="28"/>
      <c r="D216" s="138"/>
      <c r="E216" s="112">
        <f t="shared" si="350"/>
        <v>136394.07742222224</v>
      </c>
      <c r="F216" s="28"/>
      <c r="G216" s="138"/>
      <c r="H216" s="112">
        <v>5402.51</v>
      </c>
      <c r="I216" s="28"/>
      <c r="J216" s="138"/>
      <c r="K216" s="112">
        <v>9690.11</v>
      </c>
      <c r="L216" s="28"/>
      <c r="M216" s="138"/>
      <c r="N216" s="112">
        <v>10165.459999999999</v>
      </c>
      <c r="O216" s="28"/>
      <c r="P216" s="138"/>
      <c r="Q216" s="112">
        <v>12388.42</v>
      </c>
      <c r="R216" s="28"/>
      <c r="S216" s="138"/>
      <c r="T216" s="112">
        <v>12345.56</v>
      </c>
      <c r="U216" s="28"/>
      <c r="V216" s="138"/>
      <c r="W216" s="112">
        <v>10331.08</v>
      </c>
      <c r="X216" s="28"/>
      <c r="Y216" s="138"/>
      <c r="Z216" s="112">
        <v>12916.71</v>
      </c>
      <c r="AA216" s="28"/>
      <c r="AB216" s="138"/>
      <c r="AC216" s="112">
        <f>+[1]VOLKS!$L$213</f>
        <v>7819.27</v>
      </c>
      <c r="AD216" s="28"/>
      <c r="AE216" s="138"/>
      <c r="AF216" s="112">
        <v>11083.739355555555</v>
      </c>
      <c r="AG216" s="28"/>
      <c r="AH216" s="138"/>
      <c r="AI216" s="112">
        <v>14083.739355555555</v>
      </c>
      <c r="AJ216" s="28"/>
      <c r="AK216" s="138"/>
      <c r="AL216" s="113">
        <v>19083.739355555554</v>
      </c>
      <c r="AM216" s="28"/>
      <c r="AN216" s="138"/>
      <c r="AO216" s="113">
        <v>11083.739355555555</v>
      </c>
      <c r="AQ216" s="119"/>
      <c r="AR216" s="140"/>
      <c r="AS216" s="117">
        <f t="shared" si="351"/>
        <v>81059.12000000001</v>
      </c>
      <c r="AU216" s="119"/>
      <c r="AV216" s="140"/>
      <c r="AW216" s="117">
        <f t="shared" si="352"/>
        <v>55334.957422222222</v>
      </c>
      <c r="AY216" s="119"/>
      <c r="AZ216" s="140"/>
      <c r="BA216" s="117">
        <f>+[2]VOLKS!$L$213</f>
        <v>81059.12</v>
      </c>
      <c r="BC216" s="119"/>
      <c r="BD216" s="140"/>
      <c r="BE216" s="118">
        <f t="shared" si="353"/>
        <v>0</v>
      </c>
    </row>
    <row r="217" spans="1:57" s="15" customFormat="1" ht="20.25">
      <c r="A217" s="15" t="s">
        <v>77</v>
      </c>
      <c r="B217" s="34" t="s">
        <v>78</v>
      </c>
      <c r="C217" s="34"/>
      <c r="D217" s="72"/>
      <c r="E217" s="104">
        <f t="shared" si="350"/>
        <v>60838.97454954667</v>
      </c>
      <c r="F217" s="34"/>
      <c r="G217" s="72"/>
      <c r="H217" s="104">
        <v>4471.2299999999996</v>
      </c>
      <c r="I217" s="34"/>
      <c r="J217" s="72"/>
      <c r="K217" s="104">
        <v>5191.2</v>
      </c>
      <c r="L217" s="34"/>
      <c r="M217" s="72"/>
      <c r="N217" s="104">
        <v>5301.19</v>
      </c>
      <c r="O217" s="34"/>
      <c r="P217" s="72"/>
      <c r="Q217" s="104">
        <v>4747.1400000000003</v>
      </c>
      <c r="R217" s="34"/>
      <c r="S217" s="72"/>
      <c r="T217" s="104">
        <v>6920.01</v>
      </c>
      <c r="U217" s="34"/>
      <c r="V217" s="72"/>
      <c r="W217" s="104">
        <v>4784.91</v>
      </c>
      <c r="X217" s="34"/>
      <c r="Y217" s="72"/>
      <c r="Z217" s="104">
        <v>5080.0200000000004</v>
      </c>
      <c r="AA217" s="34"/>
      <c r="AB217" s="72"/>
      <c r="AC217" s="104">
        <f>+[1]VOLKS!$L$214</f>
        <v>5210.01</v>
      </c>
      <c r="AD217" s="34"/>
      <c r="AE217" s="72"/>
      <c r="AF217" s="104">
        <v>4783.316137386666</v>
      </c>
      <c r="AG217" s="34"/>
      <c r="AH217" s="72"/>
      <c r="AI217" s="104">
        <v>4783.316137386666</v>
      </c>
      <c r="AJ217" s="34"/>
      <c r="AK217" s="72"/>
      <c r="AL217" s="105">
        <v>4783.316137386666</v>
      </c>
      <c r="AM217" s="34"/>
      <c r="AN217" s="72"/>
      <c r="AO217" s="105">
        <v>4783.316137386666</v>
      </c>
      <c r="AQ217" s="53"/>
      <c r="AR217" s="74"/>
      <c r="AS217" s="108">
        <f t="shared" si="351"/>
        <v>41705.71</v>
      </c>
      <c r="AU217" s="53"/>
      <c r="AV217" s="74"/>
      <c r="AW217" s="108">
        <f t="shared" si="352"/>
        <v>19133.264549546664</v>
      </c>
      <c r="AY217" s="53"/>
      <c r="AZ217" s="74"/>
      <c r="BA217" s="108">
        <f>+[2]VOLKS!$L$214</f>
        <v>41705.71</v>
      </c>
      <c r="BC217" s="53"/>
      <c r="BD217" s="74"/>
      <c r="BE217" s="109">
        <f t="shared" si="353"/>
        <v>0</v>
      </c>
    </row>
    <row r="218" spans="1:57" s="15" customFormat="1" ht="20.25">
      <c r="A218" s="15" t="s">
        <v>79</v>
      </c>
      <c r="B218" s="34" t="s">
        <v>80</v>
      </c>
      <c r="C218" s="34"/>
      <c r="D218" s="72"/>
      <c r="E218" s="104">
        <f t="shared" si="350"/>
        <v>13793.730722374759</v>
      </c>
      <c r="F218" s="34"/>
      <c r="G218" s="72"/>
      <c r="H218" s="104">
        <v>1484.44</v>
      </c>
      <c r="I218" s="34"/>
      <c r="J218" s="72"/>
      <c r="K218" s="104">
        <v>699.39</v>
      </c>
      <c r="L218" s="34"/>
      <c r="M218" s="72"/>
      <c r="N218" s="104">
        <v>713.23</v>
      </c>
      <c r="O218" s="34"/>
      <c r="P218" s="72"/>
      <c r="Q218" s="104">
        <v>2197.58</v>
      </c>
      <c r="R218" s="34"/>
      <c r="S218" s="72"/>
      <c r="T218" s="104">
        <v>1292</v>
      </c>
      <c r="U218" s="34"/>
      <c r="V218" s="72"/>
      <c r="W218" s="104">
        <v>1689.72</v>
      </c>
      <c r="X218" s="34"/>
      <c r="Y218" s="72"/>
      <c r="Z218" s="104">
        <v>669.31</v>
      </c>
      <c r="AA218" s="34"/>
      <c r="AB218" s="72"/>
      <c r="AC218" s="104">
        <f>+[1]VOLKS!$L$215</f>
        <v>844.56</v>
      </c>
      <c r="AD218" s="34"/>
      <c r="AE218" s="72"/>
      <c r="AF218" s="104">
        <v>1050.8751805936904</v>
      </c>
      <c r="AG218" s="34"/>
      <c r="AH218" s="72"/>
      <c r="AI218" s="104">
        <v>1050.8751805936904</v>
      </c>
      <c r="AJ218" s="34"/>
      <c r="AK218" s="72"/>
      <c r="AL218" s="105">
        <v>1050.8751805936904</v>
      </c>
      <c r="AM218" s="34"/>
      <c r="AN218" s="72"/>
      <c r="AO218" s="105">
        <v>1050.8751805936904</v>
      </c>
      <c r="AQ218" s="53"/>
      <c r="AR218" s="74"/>
      <c r="AS218" s="108">
        <f t="shared" si="351"/>
        <v>9590.23</v>
      </c>
      <c r="AU218" s="53"/>
      <c r="AV218" s="74"/>
      <c r="AW218" s="108">
        <f t="shared" si="352"/>
        <v>4203.5007223747616</v>
      </c>
      <c r="AY218" s="53"/>
      <c r="AZ218" s="74"/>
      <c r="BA218" s="108">
        <f>+[2]VOLKS!$L$215</f>
        <v>9590.23</v>
      </c>
      <c r="BC218" s="53"/>
      <c r="BD218" s="74"/>
      <c r="BE218" s="109">
        <f t="shared" si="353"/>
        <v>0</v>
      </c>
    </row>
    <row r="219" spans="1:57" s="15" customFormat="1" ht="20.25">
      <c r="A219" s="15" t="s">
        <v>81</v>
      </c>
      <c r="B219" s="28" t="s">
        <v>82</v>
      </c>
      <c r="C219" s="28"/>
      <c r="D219" s="138"/>
      <c r="E219" s="112">
        <f t="shared" si="350"/>
        <v>192237.72715340159</v>
      </c>
      <c r="F219" s="28"/>
      <c r="G219" s="138"/>
      <c r="H219" s="112">
        <v>12092.22</v>
      </c>
      <c r="I219" s="28"/>
      <c r="J219" s="138"/>
      <c r="K219" s="112">
        <v>15317.24</v>
      </c>
      <c r="L219" s="28"/>
      <c r="M219" s="138"/>
      <c r="N219" s="112">
        <v>17978.91</v>
      </c>
      <c r="O219" s="28"/>
      <c r="P219" s="138"/>
      <c r="Q219" s="112">
        <v>16230.76</v>
      </c>
      <c r="R219" s="28"/>
      <c r="S219" s="138"/>
      <c r="T219" s="112">
        <v>17314.099999999999</v>
      </c>
      <c r="U219" s="28"/>
      <c r="V219" s="138"/>
      <c r="W219" s="112">
        <v>12639.85</v>
      </c>
      <c r="X219" s="28"/>
      <c r="Y219" s="138"/>
      <c r="Z219" s="112">
        <v>18251.97</v>
      </c>
      <c r="AA219" s="28"/>
      <c r="AB219" s="138"/>
      <c r="AC219" s="112">
        <f>+[1]VOLKS!$L$216</f>
        <v>13899.75</v>
      </c>
      <c r="AD219" s="28"/>
      <c r="AE219" s="138"/>
      <c r="AF219" s="580">
        <f>11128.2317883504+4000</f>
        <v>15128.2317883504</v>
      </c>
      <c r="AG219" s="28"/>
      <c r="AH219" s="138"/>
      <c r="AI219" s="580">
        <f>15128.2317883504+4000</f>
        <v>19128.2317883504</v>
      </c>
      <c r="AJ219" s="28"/>
      <c r="AK219" s="138"/>
      <c r="AL219" s="580">
        <f>15128.2317883504+4000</f>
        <v>19128.2317883504</v>
      </c>
      <c r="AM219" s="28"/>
      <c r="AN219" s="138"/>
      <c r="AO219" s="580">
        <f>11128.2317883504+4000</f>
        <v>15128.2317883504</v>
      </c>
      <c r="AQ219" s="119"/>
      <c r="AR219" s="140"/>
      <c r="AS219" s="117">
        <f t="shared" si="351"/>
        <v>123724.8</v>
      </c>
      <c r="AU219" s="119"/>
      <c r="AV219" s="140"/>
      <c r="AW219" s="117">
        <f t="shared" si="352"/>
        <v>68512.927153401601</v>
      </c>
      <c r="AY219" s="119"/>
      <c r="AZ219" s="140"/>
      <c r="BA219" s="117">
        <f>+[2]VOLKS!$L$216</f>
        <v>123724.8</v>
      </c>
      <c r="BC219" s="119"/>
      <c r="BD219" s="140"/>
      <c r="BE219" s="118">
        <f t="shared" si="353"/>
        <v>0</v>
      </c>
    </row>
    <row r="220" spans="1:57" s="15" customFormat="1" ht="20.25">
      <c r="A220" s="15" t="s">
        <v>79</v>
      </c>
      <c r="B220" s="34" t="s">
        <v>124</v>
      </c>
      <c r="C220" s="34"/>
      <c r="D220" s="72"/>
      <c r="E220" s="104">
        <f t="shared" si="350"/>
        <v>0</v>
      </c>
      <c r="F220" s="34"/>
      <c r="G220" s="72"/>
      <c r="H220" s="104">
        <v>0</v>
      </c>
      <c r="I220" s="34"/>
      <c r="J220" s="72"/>
      <c r="K220" s="104">
        <v>0</v>
      </c>
      <c r="L220" s="34"/>
      <c r="M220" s="72"/>
      <c r="N220" s="104">
        <v>0</v>
      </c>
      <c r="O220" s="34"/>
      <c r="P220" s="72"/>
      <c r="Q220" s="104">
        <v>0</v>
      </c>
      <c r="R220" s="34"/>
      <c r="S220" s="72"/>
      <c r="T220" s="104">
        <v>0</v>
      </c>
      <c r="U220" s="34"/>
      <c r="V220" s="72"/>
      <c r="W220" s="104">
        <v>0</v>
      </c>
      <c r="X220" s="34"/>
      <c r="Y220" s="72"/>
      <c r="Z220" s="104">
        <v>0</v>
      </c>
      <c r="AA220" s="34"/>
      <c r="AB220" s="72"/>
      <c r="AC220" s="104">
        <f>+[1]VOLKS!$L$217</f>
        <v>0</v>
      </c>
      <c r="AD220" s="34"/>
      <c r="AE220" s="72"/>
      <c r="AF220" s="104">
        <v>0</v>
      </c>
      <c r="AG220" s="34"/>
      <c r="AH220" s="72"/>
      <c r="AI220" s="104">
        <v>0</v>
      </c>
      <c r="AJ220" s="34"/>
      <c r="AK220" s="72"/>
      <c r="AL220" s="105">
        <v>0</v>
      </c>
      <c r="AM220" s="34"/>
      <c r="AN220" s="72"/>
      <c r="AO220" s="105">
        <v>0</v>
      </c>
      <c r="AQ220" s="53"/>
      <c r="AR220" s="74"/>
      <c r="AS220" s="108">
        <f t="shared" si="351"/>
        <v>0</v>
      </c>
      <c r="AU220" s="53"/>
      <c r="AV220" s="74"/>
      <c r="AW220" s="108">
        <f t="shared" si="352"/>
        <v>0</v>
      </c>
      <c r="AY220" s="53"/>
      <c r="AZ220" s="74"/>
      <c r="BA220" s="108">
        <f>+[2]VOLKS!$L$217</f>
        <v>0</v>
      </c>
      <c r="BC220" s="53"/>
      <c r="BD220" s="74"/>
      <c r="BE220" s="109">
        <f t="shared" si="353"/>
        <v>0</v>
      </c>
    </row>
    <row r="221" spans="1:57" s="15" customFormat="1" ht="20.25">
      <c r="A221" s="15" t="s">
        <v>79</v>
      </c>
      <c r="B221" s="34" t="s">
        <v>83</v>
      </c>
      <c r="C221" s="34"/>
      <c r="D221" s="72"/>
      <c r="E221" s="104">
        <f t="shared" si="350"/>
        <v>59239.661688888897</v>
      </c>
      <c r="F221" s="34"/>
      <c r="G221" s="72"/>
      <c r="H221" s="104">
        <v>3709.05</v>
      </c>
      <c r="I221" s="34"/>
      <c r="J221" s="72"/>
      <c r="K221" s="104">
        <v>6854.16</v>
      </c>
      <c r="L221" s="34"/>
      <c r="M221" s="72"/>
      <c r="N221" s="104">
        <v>4593.95</v>
      </c>
      <c r="O221" s="34"/>
      <c r="P221" s="72"/>
      <c r="Q221" s="104">
        <v>5855.42</v>
      </c>
      <c r="R221" s="34"/>
      <c r="S221" s="72"/>
      <c r="T221" s="104">
        <v>6967.67</v>
      </c>
      <c r="U221" s="34"/>
      <c r="V221" s="72"/>
      <c r="W221" s="104">
        <v>1955.12</v>
      </c>
      <c r="X221" s="34"/>
      <c r="Y221" s="72"/>
      <c r="Z221" s="104">
        <v>3095.58</v>
      </c>
      <c r="AA221" s="34"/>
      <c r="AB221" s="72"/>
      <c r="AC221" s="104">
        <f>+[1]VOLKS!$L$218</f>
        <v>7129.03</v>
      </c>
      <c r="AD221" s="34"/>
      <c r="AE221" s="72"/>
      <c r="AF221" s="104">
        <v>4769.9204222222234</v>
      </c>
      <c r="AG221" s="34"/>
      <c r="AH221" s="72"/>
      <c r="AI221" s="104">
        <v>4769.9204222222234</v>
      </c>
      <c r="AJ221" s="34"/>
      <c r="AK221" s="72"/>
      <c r="AL221" s="105">
        <v>4769.9204222222234</v>
      </c>
      <c r="AM221" s="34"/>
      <c r="AN221" s="72"/>
      <c r="AO221" s="105">
        <v>4769.9204222222234</v>
      </c>
      <c r="AQ221" s="53"/>
      <c r="AR221" s="74"/>
      <c r="AS221" s="108">
        <f t="shared" si="351"/>
        <v>40159.979999999996</v>
      </c>
      <c r="AU221" s="53"/>
      <c r="AV221" s="74"/>
      <c r="AW221" s="108">
        <f t="shared" si="352"/>
        <v>19079.681688888893</v>
      </c>
      <c r="AY221" s="53"/>
      <c r="AZ221" s="74"/>
      <c r="BA221" s="108">
        <f>+[2]VOLKS!$L$218</f>
        <v>40159.980000000003</v>
      </c>
      <c r="BC221" s="53"/>
      <c r="BD221" s="74"/>
      <c r="BE221" s="109">
        <f t="shared" si="353"/>
        <v>0</v>
      </c>
    </row>
    <row r="222" spans="1:57" s="15" customFormat="1" ht="20.25">
      <c r="A222" s="15" t="s">
        <v>79</v>
      </c>
      <c r="B222" s="34" t="s">
        <v>84</v>
      </c>
      <c r="C222" s="34"/>
      <c r="D222" s="72"/>
      <c r="E222" s="104">
        <f t="shared" si="350"/>
        <v>11394.371627145669</v>
      </c>
      <c r="F222" s="34"/>
      <c r="G222" s="72"/>
      <c r="H222" s="104">
        <v>578.16999999999996</v>
      </c>
      <c r="I222" s="34"/>
      <c r="J222" s="72"/>
      <c r="K222" s="104">
        <v>605.89</v>
      </c>
      <c r="L222" s="34"/>
      <c r="M222" s="72"/>
      <c r="N222" s="104">
        <v>510.87</v>
      </c>
      <c r="O222" s="34"/>
      <c r="P222" s="72"/>
      <c r="Q222" s="104">
        <v>793.22</v>
      </c>
      <c r="R222" s="34"/>
      <c r="S222" s="72"/>
      <c r="T222" s="104">
        <v>785.83</v>
      </c>
      <c r="U222" s="34"/>
      <c r="V222" s="72"/>
      <c r="W222" s="104">
        <v>1429.5</v>
      </c>
      <c r="X222" s="34"/>
      <c r="Y222" s="72"/>
      <c r="Z222" s="104">
        <v>699.73</v>
      </c>
      <c r="AA222" s="34"/>
      <c r="AB222" s="72"/>
      <c r="AC222" s="104">
        <f>+[1]VOLKS!$L$219</f>
        <v>1109.3</v>
      </c>
      <c r="AD222" s="34"/>
      <c r="AE222" s="72"/>
      <c r="AF222" s="104">
        <v>1220.4654067864171</v>
      </c>
      <c r="AG222" s="34"/>
      <c r="AH222" s="72"/>
      <c r="AI222" s="104">
        <v>1220.4654067864171</v>
      </c>
      <c r="AJ222" s="34"/>
      <c r="AK222" s="72"/>
      <c r="AL222" s="105">
        <v>1220.4654067864171</v>
      </c>
      <c r="AM222" s="34"/>
      <c r="AN222" s="72"/>
      <c r="AO222" s="105">
        <v>1220.4654067864171</v>
      </c>
      <c r="AQ222" s="53"/>
      <c r="AR222" s="74"/>
      <c r="AS222" s="108">
        <f t="shared" si="351"/>
        <v>6512.5099999999993</v>
      </c>
      <c r="AU222" s="53"/>
      <c r="AV222" s="74"/>
      <c r="AW222" s="108">
        <f t="shared" si="352"/>
        <v>4881.8616271456685</v>
      </c>
      <c r="AY222" s="53"/>
      <c r="AZ222" s="74"/>
      <c r="BA222" s="108">
        <f>+[2]VOLKS!$L$219</f>
        <v>6512.51</v>
      </c>
      <c r="BC222" s="53"/>
      <c r="BD222" s="74"/>
      <c r="BE222" s="109">
        <f t="shared" si="353"/>
        <v>0</v>
      </c>
    </row>
    <row r="223" spans="1:57" s="15" customFormat="1" ht="20.25">
      <c r="A223" s="15" t="s">
        <v>79</v>
      </c>
      <c r="B223" s="34" t="s">
        <v>85</v>
      </c>
      <c r="C223" s="34"/>
      <c r="D223" s="72"/>
      <c r="E223" s="104">
        <f t="shared" si="350"/>
        <v>11112.446599007362</v>
      </c>
      <c r="F223" s="34"/>
      <c r="G223" s="72"/>
      <c r="H223" s="104">
        <v>121.3</v>
      </c>
      <c r="I223" s="34"/>
      <c r="J223" s="72"/>
      <c r="K223" s="104">
        <v>781.46</v>
      </c>
      <c r="L223" s="34"/>
      <c r="M223" s="72"/>
      <c r="N223" s="104">
        <v>1332.33</v>
      </c>
      <c r="O223" s="34"/>
      <c r="P223" s="72"/>
      <c r="Q223" s="104">
        <v>43.61</v>
      </c>
      <c r="R223" s="34"/>
      <c r="S223" s="72"/>
      <c r="T223" s="104">
        <v>785.52</v>
      </c>
      <c r="U223" s="34"/>
      <c r="V223" s="72"/>
      <c r="W223" s="104">
        <v>498.88</v>
      </c>
      <c r="X223" s="34"/>
      <c r="Y223" s="72"/>
      <c r="Z223" s="104">
        <v>2994.06</v>
      </c>
      <c r="AA223" s="34"/>
      <c r="AB223" s="72"/>
      <c r="AC223" s="104">
        <f>+[1]VOLKS!$L$220</f>
        <v>1223.07</v>
      </c>
      <c r="AD223" s="34"/>
      <c r="AE223" s="72"/>
      <c r="AF223" s="104">
        <v>833.0541497518401</v>
      </c>
      <c r="AG223" s="34"/>
      <c r="AH223" s="72"/>
      <c r="AI223" s="104">
        <v>833.0541497518401</v>
      </c>
      <c r="AJ223" s="34"/>
      <c r="AK223" s="72"/>
      <c r="AL223" s="105">
        <v>833.0541497518401</v>
      </c>
      <c r="AM223" s="34"/>
      <c r="AN223" s="72"/>
      <c r="AO223" s="105">
        <v>833.0541497518401</v>
      </c>
      <c r="AQ223" s="53"/>
      <c r="AR223" s="74"/>
      <c r="AS223" s="108">
        <f t="shared" si="351"/>
        <v>7780.23</v>
      </c>
      <c r="AU223" s="53"/>
      <c r="AV223" s="74"/>
      <c r="AW223" s="108">
        <f t="shared" si="352"/>
        <v>3332.2165990073604</v>
      </c>
      <c r="AY223" s="53"/>
      <c r="AZ223" s="74"/>
      <c r="BA223" s="108">
        <f>+[2]VOLKS!$L$220</f>
        <v>7780.23</v>
      </c>
      <c r="BC223" s="53"/>
      <c r="BD223" s="74"/>
      <c r="BE223" s="109">
        <f t="shared" si="353"/>
        <v>0</v>
      </c>
    </row>
    <row r="224" spans="1:57" s="15" customFormat="1" ht="20.25">
      <c r="A224" s="15" t="s">
        <v>79</v>
      </c>
      <c r="B224" s="34" t="s">
        <v>86</v>
      </c>
      <c r="C224" s="34"/>
      <c r="D224" s="72"/>
      <c r="E224" s="104">
        <f t="shared" si="350"/>
        <v>2429.9580067539468</v>
      </c>
      <c r="F224" s="34"/>
      <c r="G224" s="72"/>
      <c r="H224" s="104">
        <v>263.5</v>
      </c>
      <c r="I224" s="34"/>
      <c r="J224" s="72"/>
      <c r="K224" s="104">
        <v>226.91</v>
      </c>
      <c r="L224" s="34"/>
      <c r="M224" s="72"/>
      <c r="N224" s="104">
        <v>194.74</v>
      </c>
      <c r="O224" s="34"/>
      <c r="P224" s="72"/>
      <c r="Q224" s="104">
        <v>201.64</v>
      </c>
      <c r="R224" s="34"/>
      <c r="S224" s="72"/>
      <c r="T224" s="104">
        <v>223.36</v>
      </c>
      <c r="U224" s="34"/>
      <c r="V224" s="72"/>
      <c r="W224" s="104">
        <v>189.37</v>
      </c>
      <c r="X224" s="34"/>
      <c r="Y224" s="72"/>
      <c r="Z224" s="104">
        <v>161.29</v>
      </c>
      <c r="AA224" s="34"/>
      <c r="AB224" s="72"/>
      <c r="AC224" s="104">
        <f>+[1]VOLKS!$L$221</f>
        <v>252.33</v>
      </c>
      <c r="AD224" s="34"/>
      <c r="AE224" s="72"/>
      <c r="AF224" s="104">
        <v>179.20450168848672</v>
      </c>
      <c r="AG224" s="34"/>
      <c r="AH224" s="72"/>
      <c r="AI224" s="104">
        <v>179.20450168848672</v>
      </c>
      <c r="AJ224" s="34"/>
      <c r="AK224" s="72"/>
      <c r="AL224" s="105">
        <v>179.20450168848672</v>
      </c>
      <c r="AM224" s="34"/>
      <c r="AN224" s="72"/>
      <c r="AO224" s="105">
        <v>179.20450168848672</v>
      </c>
      <c r="AQ224" s="53"/>
      <c r="AR224" s="74"/>
      <c r="AS224" s="108">
        <f t="shared" si="351"/>
        <v>1713.1399999999999</v>
      </c>
      <c r="AU224" s="53"/>
      <c r="AV224" s="74"/>
      <c r="AW224" s="108">
        <f t="shared" si="352"/>
        <v>716.81800675394686</v>
      </c>
      <c r="AY224" s="53"/>
      <c r="AZ224" s="74"/>
      <c r="BA224" s="108">
        <f>+[2]VOLKS!$L$221</f>
        <v>1713.14</v>
      </c>
      <c r="BC224" s="53"/>
      <c r="BD224" s="74"/>
      <c r="BE224" s="109">
        <f t="shared" si="353"/>
        <v>0</v>
      </c>
    </row>
    <row r="225" spans="1:57" s="15" customFormat="1" ht="20.25">
      <c r="A225" s="15" t="s">
        <v>79</v>
      </c>
      <c r="B225" s="34" t="s">
        <v>87</v>
      </c>
      <c r="C225" s="34"/>
      <c r="D225" s="72"/>
      <c r="E225" s="104">
        <f t="shared" si="350"/>
        <v>2713.4622851052522</v>
      </c>
      <c r="F225" s="34"/>
      <c r="G225" s="72"/>
      <c r="H225" s="104">
        <v>544.33000000000004</v>
      </c>
      <c r="I225" s="34"/>
      <c r="J225" s="72"/>
      <c r="K225" s="104">
        <v>335.92</v>
      </c>
      <c r="L225" s="34"/>
      <c r="M225" s="72"/>
      <c r="N225" s="104">
        <v>491.87</v>
      </c>
      <c r="O225" s="34"/>
      <c r="P225" s="72"/>
      <c r="Q225" s="104">
        <v>551.49</v>
      </c>
      <c r="R225" s="34"/>
      <c r="S225" s="72"/>
      <c r="T225" s="104">
        <v>158.37</v>
      </c>
      <c r="U225" s="34"/>
      <c r="V225" s="72"/>
      <c r="W225" s="104">
        <v>66.27</v>
      </c>
      <c r="X225" s="34"/>
      <c r="Y225" s="72"/>
      <c r="Z225" s="104">
        <v>40.950000000000003</v>
      </c>
      <c r="AA225" s="34"/>
      <c r="AB225" s="72"/>
      <c r="AC225" s="104">
        <f>+[1]VOLKS!$L$222</f>
        <v>153.1</v>
      </c>
      <c r="AD225" s="34"/>
      <c r="AE225" s="72"/>
      <c r="AF225" s="104">
        <v>92.790571276313315</v>
      </c>
      <c r="AG225" s="34"/>
      <c r="AH225" s="72"/>
      <c r="AI225" s="104">
        <v>92.790571276313315</v>
      </c>
      <c r="AJ225" s="34"/>
      <c r="AK225" s="72"/>
      <c r="AL225" s="105">
        <v>92.790571276313315</v>
      </c>
      <c r="AM225" s="34"/>
      <c r="AN225" s="72"/>
      <c r="AO225" s="105">
        <v>92.790571276313315</v>
      </c>
      <c r="AQ225" s="53"/>
      <c r="AR225" s="74"/>
      <c r="AS225" s="108">
        <f t="shared" si="351"/>
        <v>2342.2999999999997</v>
      </c>
      <c r="AU225" s="53"/>
      <c r="AV225" s="74"/>
      <c r="AW225" s="108">
        <f t="shared" si="352"/>
        <v>371.16228510525326</v>
      </c>
      <c r="AY225" s="53"/>
      <c r="AZ225" s="74"/>
      <c r="BA225" s="108">
        <f>+[2]VOLKS!$L$222</f>
        <v>2342.3000000000002</v>
      </c>
      <c r="BC225" s="53"/>
      <c r="BD225" s="74"/>
      <c r="BE225" s="109">
        <f t="shared" si="353"/>
        <v>0</v>
      </c>
    </row>
    <row r="226" spans="1:57" s="15" customFormat="1" ht="20.25">
      <c r="A226" s="15" t="s">
        <v>79</v>
      </c>
      <c r="B226" s="34" t="s">
        <v>88</v>
      </c>
      <c r="C226" s="34"/>
      <c r="D226" s="72"/>
      <c r="E226" s="104">
        <f t="shared" si="350"/>
        <v>1099.3738075038134</v>
      </c>
      <c r="F226" s="34"/>
      <c r="G226" s="72"/>
      <c r="H226" s="104">
        <v>67.069999999999993</v>
      </c>
      <c r="I226" s="34"/>
      <c r="J226" s="72"/>
      <c r="K226" s="104">
        <v>53.4</v>
      </c>
      <c r="L226" s="34"/>
      <c r="M226" s="72"/>
      <c r="N226" s="104">
        <v>53.41</v>
      </c>
      <c r="O226" s="34"/>
      <c r="P226" s="72"/>
      <c r="Q226" s="104">
        <v>90.81</v>
      </c>
      <c r="R226" s="34"/>
      <c r="S226" s="72"/>
      <c r="T226" s="104">
        <v>83.76</v>
      </c>
      <c r="U226" s="34"/>
      <c r="V226" s="72"/>
      <c r="W226" s="104">
        <v>47.04</v>
      </c>
      <c r="X226" s="34"/>
      <c r="Y226" s="72"/>
      <c r="Z226" s="104">
        <v>47.04</v>
      </c>
      <c r="AA226" s="34"/>
      <c r="AB226" s="72"/>
      <c r="AC226" s="104">
        <f>+[1]VOLKS!$L$223</f>
        <v>47.04</v>
      </c>
      <c r="AD226" s="34"/>
      <c r="AE226" s="72"/>
      <c r="AF226" s="104">
        <v>152.45095187595334</v>
      </c>
      <c r="AG226" s="34"/>
      <c r="AH226" s="72"/>
      <c r="AI226" s="104">
        <v>152.45095187595334</v>
      </c>
      <c r="AJ226" s="34"/>
      <c r="AK226" s="72"/>
      <c r="AL226" s="105">
        <v>152.45095187595334</v>
      </c>
      <c r="AM226" s="34"/>
      <c r="AN226" s="72"/>
      <c r="AO226" s="105">
        <v>152.45095187595334</v>
      </c>
      <c r="AQ226" s="53"/>
      <c r="AR226" s="74"/>
      <c r="AS226" s="108">
        <f t="shared" si="351"/>
        <v>489.57000000000005</v>
      </c>
      <c r="AU226" s="53"/>
      <c r="AV226" s="74"/>
      <c r="AW226" s="108">
        <f t="shared" si="352"/>
        <v>609.80380750381335</v>
      </c>
      <c r="AY226" s="53"/>
      <c r="AZ226" s="74"/>
      <c r="BA226" s="108">
        <f>+[2]VOLKS!$L$223</f>
        <v>489.57</v>
      </c>
      <c r="BC226" s="53"/>
      <c r="BD226" s="74"/>
      <c r="BE226" s="109">
        <f t="shared" si="353"/>
        <v>0</v>
      </c>
    </row>
    <row r="227" spans="1:57" s="15" customFormat="1" ht="20.25">
      <c r="A227" s="15" t="s">
        <v>79</v>
      </c>
      <c r="B227" s="34" t="s">
        <v>89</v>
      </c>
      <c r="C227" s="34"/>
      <c r="D227" s="72"/>
      <c r="E227" s="104">
        <f t="shared" si="350"/>
        <v>20139.933595409948</v>
      </c>
      <c r="F227" s="34"/>
      <c r="G227" s="72"/>
      <c r="H227" s="104">
        <v>359.22</v>
      </c>
      <c r="I227" s="34"/>
      <c r="J227" s="72"/>
      <c r="K227" s="104">
        <v>955.51</v>
      </c>
      <c r="L227" s="34"/>
      <c r="M227" s="72"/>
      <c r="N227" s="104">
        <v>1374.83</v>
      </c>
      <c r="O227" s="34"/>
      <c r="P227" s="72"/>
      <c r="Q227" s="104">
        <v>1047.57</v>
      </c>
      <c r="R227" s="34"/>
      <c r="S227" s="72"/>
      <c r="T227" s="104">
        <v>418.5</v>
      </c>
      <c r="U227" s="34"/>
      <c r="V227" s="72"/>
      <c r="W227" s="104">
        <v>958.23</v>
      </c>
      <c r="X227" s="34"/>
      <c r="Y227" s="72"/>
      <c r="Z227" s="104">
        <v>1328.27</v>
      </c>
      <c r="AA227" s="34"/>
      <c r="AB227" s="72"/>
      <c r="AC227" s="104">
        <f>+[1]VOLKS!$L$224</f>
        <v>1431.75</v>
      </c>
      <c r="AD227" s="34"/>
      <c r="AE227" s="72"/>
      <c r="AF227" s="104">
        <v>3066.5133988524863</v>
      </c>
      <c r="AG227" s="34"/>
      <c r="AH227" s="72"/>
      <c r="AI227" s="104">
        <v>3066.5133988524863</v>
      </c>
      <c r="AJ227" s="34"/>
      <c r="AK227" s="72"/>
      <c r="AL227" s="105">
        <v>3066.5133988524863</v>
      </c>
      <c r="AM227" s="34"/>
      <c r="AN227" s="72"/>
      <c r="AO227" s="105">
        <v>3066.5133988524863</v>
      </c>
      <c r="AQ227" s="53"/>
      <c r="AR227" s="74"/>
      <c r="AS227" s="108">
        <f t="shared" si="351"/>
        <v>7873.880000000001</v>
      </c>
      <c r="AU227" s="53"/>
      <c r="AV227" s="74"/>
      <c r="AW227" s="108">
        <f t="shared" si="352"/>
        <v>12266.053595409945</v>
      </c>
      <c r="AY227" s="53"/>
      <c r="AZ227" s="74"/>
      <c r="BA227" s="108">
        <f>+[2]VOLKS!$L$224</f>
        <v>7873.88</v>
      </c>
      <c r="BC227" s="53"/>
      <c r="BD227" s="74"/>
      <c r="BE227" s="109">
        <f t="shared" si="353"/>
        <v>0</v>
      </c>
    </row>
    <row r="228" spans="1:57" s="15" customFormat="1" ht="20.25">
      <c r="A228" s="15" t="s">
        <v>79</v>
      </c>
      <c r="B228" s="34" t="s">
        <v>90</v>
      </c>
      <c r="C228" s="34"/>
      <c r="D228" s="72"/>
      <c r="E228" s="104">
        <f t="shared" si="350"/>
        <v>22686.078860084239</v>
      </c>
      <c r="F228" s="34"/>
      <c r="G228" s="72"/>
      <c r="H228" s="104">
        <v>1401.4</v>
      </c>
      <c r="I228" s="34"/>
      <c r="J228" s="72"/>
      <c r="K228" s="104">
        <v>1082.69</v>
      </c>
      <c r="L228" s="34"/>
      <c r="M228" s="72"/>
      <c r="N228" s="104">
        <v>1859.91</v>
      </c>
      <c r="O228" s="34"/>
      <c r="P228" s="72"/>
      <c r="Q228" s="104">
        <v>2304.3000000000002</v>
      </c>
      <c r="R228" s="34"/>
      <c r="S228" s="72"/>
      <c r="T228" s="104">
        <v>2279.83</v>
      </c>
      <c r="U228" s="34"/>
      <c r="V228" s="72"/>
      <c r="W228" s="104">
        <v>1756.85</v>
      </c>
      <c r="X228" s="34"/>
      <c r="Y228" s="72"/>
      <c r="Z228" s="104">
        <v>1951.19</v>
      </c>
      <c r="AA228" s="34"/>
      <c r="AB228" s="72"/>
      <c r="AC228" s="104">
        <f>+[1]VOLKS!$L$225</f>
        <v>1895.04</v>
      </c>
      <c r="AD228" s="34"/>
      <c r="AE228" s="72"/>
      <c r="AF228" s="104">
        <v>1667.3948849465926</v>
      </c>
      <c r="AG228" s="34"/>
      <c r="AH228" s="72"/>
      <c r="AI228" s="104">
        <v>2251.29363296273</v>
      </c>
      <c r="AJ228" s="34"/>
      <c r="AK228" s="72"/>
      <c r="AL228" s="105">
        <v>2646.6733264660766</v>
      </c>
      <c r="AM228" s="34"/>
      <c r="AN228" s="72"/>
      <c r="AO228" s="105">
        <v>1589.5070157088385</v>
      </c>
      <c r="AQ228" s="53"/>
      <c r="AR228" s="74"/>
      <c r="AS228" s="108">
        <f t="shared" si="351"/>
        <v>14531.210000000003</v>
      </c>
      <c r="AU228" s="53"/>
      <c r="AV228" s="74"/>
      <c r="AW228" s="108">
        <f t="shared" si="352"/>
        <v>8154.868860084237</v>
      </c>
      <c r="AY228" s="53"/>
      <c r="AZ228" s="74"/>
      <c r="BA228" s="108">
        <f>+[2]VOLKS!$L$225</f>
        <v>14531.21</v>
      </c>
      <c r="BC228" s="53"/>
      <c r="BD228" s="74"/>
      <c r="BE228" s="109">
        <f t="shared" si="353"/>
        <v>0</v>
      </c>
    </row>
    <row r="229" spans="1:57" s="15" customFormat="1" ht="20.25" hidden="1" customHeight="1">
      <c r="B229" s="34"/>
      <c r="C229" s="34"/>
      <c r="D229" s="72"/>
      <c r="E229" s="73"/>
      <c r="F229" s="34"/>
      <c r="G229" s="72"/>
      <c r="H229" s="73"/>
      <c r="I229" s="34"/>
      <c r="J229" s="72"/>
      <c r="K229" s="73"/>
      <c r="L229" s="34"/>
      <c r="M229" s="72"/>
      <c r="N229" s="73"/>
      <c r="O229" s="34"/>
      <c r="P229" s="72"/>
      <c r="Q229" s="73"/>
      <c r="R229" s="34"/>
      <c r="S229" s="72"/>
      <c r="T229" s="73"/>
      <c r="U229" s="34"/>
      <c r="V229" s="72"/>
      <c r="W229" s="73"/>
      <c r="X229" s="34"/>
      <c r="Y229" s="72"/>
      <c r="Z229" s="73"/>
      <c r="AA229" s="34"/>
      <c r="AB229" s="72"/>
      <c r="AC229" s="73"/>
      <c r="AD229" s="34"/>
      <c r="AE229" s="72"/>
      <c r="AF229" s="73"/>
      <c r="AG229" s="34"/>
      <c r="AH229" s="72"/>
      <c r="AI229" s="73"/>
      <c r="AJ229" s="34"/>
      <c r="AK229" s="72"/>
      <c r="AL229" s="73"/>
      <c r="AM229" s="34"/>
      <c r="AN229" s="72"/>
      <c r="AO229" s="73"/>
      <c r="AQ229" s="53"/>
      <c r="AR229" s="74"/>
      <c r="AS229" s="75"/>
      <c r="AU229" s="53"/>
      <c r="AV229" s="74"/>
      <c r="AW229" s="75"/>
      <c r="AY229" s="53"/>
      <c r="AZ229" s="74"/>
      <c r="BA229" s="75"/>
      <c r="BC229" s="53"/>
      <c r="BD229" s="74"/>
      <c r="BE229" s="27"/>
    </row>
    <row r="230" spans="1:57" s="15" customFormat="1" ht="20.25" hidden="1" customHeight="1">
      <c r="B230" s="34"/>
      <c r="C230" s="34"/>
      <c r="D230" s="72"/>
      <c r="E230" s="73"/>
      <c r="F230" s="34"/>
      <c r="G230" s="72"/>
      <c r="H230" s="73"/>
      <c r="I230" s="34"/>
      <c r="J230" s="72"/>
      <c r="K230" s="73"/>
      <c r="L230" s="34"/>
      <c r="M230" s="72"/>
      <c r="N230" s="73"/>
      <c r="O230" s="34"/>
      <c r="P230" s="72"/>
      <c r="Q230" s="73"/>
      <c r="R230" s="34"/>
      <c r="S230" s="72"/>
      <c r="T230" s="73"/>
      <c r="U230" s="34"/>
      <c r="V230" s="72"/>
      <c r="W230" s="73"/>
      <c r="X230" s="34"/>
      <c r="Y230" s="72"/>
      <c r="Z230" s="73"/>
      <c r="AA230" s="34"/>
      <c r="AB230" s="72"/>
      <c r="AC230" s="73"/>
      <c r="AD230" s="34"/>
      <c r="AE230" s="72"/>
      <c r="AF230" s="73"/>
      <c r="AG230" s="34"/>
      <c r="AH230" s="72"/>
      <c r="AI230" s="73"/>
      <c r="AJ230" s="34"/>
      <c r="AK230" s="72"/>
      <c r="AL230" s="73"/>
      <c r="AM230" s="34"/>
      <c r="AN230" s="72"/>
      <c r="AO230" s="73"/>
      <c r="AQ230" s="53"/>
      <c r="AR230" s="74"/>
      <c r="AS230" s="75"/>
      <c r="AU230" s="53"/>
      <c r="AV230" s="74"/>
      <c r="AW230" s="75"/>
      <c r="AY230" s="53"/>
      <c r="AZ230" s="74"/>
      <c r="BA230" s="75"/>
      <c r="BC230" s="53"/>
      <c r="BD230" s="74"/>
      <c r="BE230" s="27"/>
    </row>
    <row r="231" spans="1:57" s="15" customFormat="1" ht="20.25" hidden="1" customHeight="1">
      <c r="B231" s="34"/>
      <c r="C231" s="34"/>
      <c r="D231" s="72"/>
      <c r="E231" s="73"/>
      <c r="F231" s="34"/>
      <c r="G231" s="72"/>
      <c r="H231" s="73"/>
      <c r="I231" s="34"/>
      <c r="J231" s="72"/>
      <c r="K231" s="73"/>
      <c r="L231" s="34"/>
      <c r="M231" s="72"/>
      <c r="N231" s="73"/>
      <c r="O231" s="34"/>
      <c r="P231" s="72"/>
      <c r="Q231" s="73"/>
      <c r="R231" s="34"/>
      <c r="S231" s="72"/>
      <c r="T231" s="73"/>
      <c r="U231" s="34"/>
      <c r="V231" s="72"/>
      <c r="W231" s="73"/>
      <c r="X231" s="34"/>
      <c r="Y231" s="72"/>
      <c r="Z231" s="73"/>
      <c r="AA231" s="34"/>
      <c r="AB231" s="72"/>
      <c r="AC231" s="73"/>
      <c r="AD231" s="34"/>
      <c r="AE231" s="72"/>
      <c r="AF231" s="73"/>
      <c r="AG231" s="34"/>
      <c r="AH231" s="72"/>
      <c r="AI231" s="73"/>
      <c r="AJ231" s="34"/>
      <c r="AK231" s="72"/>
      <c r="AL231" s="73"/>
      <c r="AM231" s="34"/>
      <c r="AN231" s="72"/>
      <c r="AO231" s="73"/>
      <c r="AQ231" s="53"/>
      <c r="AR231" s="74"/>
      <c r="AS231" s="75"/>
      <c r="AU231" s="53"/>
      <c r="AV231" s="74"/>
      <c r="AW231" s="75"/>
      <c r="AY231" s="53"/>
      <c r="AZ231" s="74"/>
      <c r="BA231" s="75"/>
      <c r="BC231" s="53"/>
      <c r="BD231" s="74"/>
      <c r="BE231" s="27"/>
    </row>
    <row r="232" spans="1:57" s="15" customFormat="1" ht="20.25">
      <c r="A232" s="15" t="s">
        <v>27</v>
      </c>
      <c r="B232" s="120" t="s">
        <v>91</v>
      </c>
      <c r="C232" s="121" t="s">
        <v>123</v>
      </c>
      <c r="D232" s="122">
        <f>IFERROR(E232/E$197,0)</f>
        <v>0.25781919394288683</v>
      </c>
      <c r="E232" s="123">
        <f>+SUM(E214:E231)</f>
        <v>747725.27794491127</v>
      </c>
      <c r="F232" s="121" t="s">
        <v>123</v>
      </c>
      <c r="G232" s="122">
        <f>IFERROR(H232/H$196,0)</f>
        <v>0</v>
      </c>
      <c r="H232" s="123">
        <f>+SUM(H214:H231)</f>
        <v>47602.720000000008</v>
      </c>
      <c r="I232" s="121" t="s">
        <v>123</v>
      </c>
      <c r="J232" s="122">
        <f>IFERROR(K232/K$196,0)</f>
        <v>0</v>
      </c>
      <c r="K232" s="123">
        <f>+SUM(K214:K231)</f>
        <v>56134.49</v>
      </c>
      <c r="L232" s="121" t="s">
        <v>123</v>
      </c>
      <c r="M232" s="122">
        <f>IFERROR(N232/N$196,0)</f>
        <v>0</v>
      </c>
      <c r="N232" s="123">
        <f>+SUM(N214:N231)</f>
        <v>63084.330000000009</v>
      </c>
      <c r="O232" s="121" t="s">
        <v>123</v>
      </c>
      <c r="P232" s="122">
        <f>IFERROR(Q232/Q$196,0)</f>
        <v>0</v>
      </c>
      <c r="Q232" s="123">
        <f>+SUM(Q214:Q231)</f>
        <v>71171.840000000026</v>
      </c>
      <c r="R232" s="121" t="s">
        <v>123</v>
      </c>
      <c r="S232" s="122">
        <f>IFERROR(T232/T$196,0)</f>
        <v>0</v>
      </c>
      <c r="T232" s="123">
        <f>+SUM(T214:T231)</f>
        <v>69518.64</v>
      </c>
      <c r="U232" s="121" t="s">
        <v>123</v>
      </c>
      <c r="V232" s="122">
        <f>IFERROR(W232/W$196,0)</f>
        <v>0</v>
      </c>
      <c r="W232" s="124">
        <f>+SUM(W214:W231)</f>
        <v>50947.270000000004</v>
      </c>
      <c r="X232" s="121" t="s">
        <v>123</v>
      </c>
      <c r="Y232" s="122">
        <f>IFERROR(Z232/Z$196,0)</f>
        <v>0</v>
      </c>
      <c r="Z232" s="124">
        <f>+SUM(Z214:Z231)</f>
        <v>59491.4</v>
      </c>
      <c r="AA232" s="121" t="s">
        <v>123</v>
      </c>
      <c r="AB232" s="122">
        <f>IFERROR(AC232/AC$196,0)</f>
        <v>0</v>
      </c>
      <c r="AC232" s="124">
        <f>+SUM(AC214:AC231)</f>
        <v>57098.790000000008</v>
      </c>
      <c r="AD232" s="121" t="s">
        <v>123</v>
      </c>
      <c r="AE232" s="122">
        <f t="shared" ref="AE232:AO232" si="354">IFERROR(AF232/AF$196,0)</f>
        <v>0</v>
      </c>
      <c r="AF232" s="124">
        <f t="shared" ref="AF232" si="355">+SUM(AF214:AF231)</f>
        <v>61322.513720489042</v>
      </c>
      <c r="AG232" s="121" t="s">
        <v>123</v>
      </c>
      <c r="AH232" s="122">
        <f t="shared" ref="AH232:AO232" si="356">IFERROR(AI232/AI$196,0)</f>
        <v>0</v>
      </c>
      <c r="AI232" s="124">
        <f t="shared" ref="AI232" si="357">+SUM(AI214:AI231)</f>
        <v>70449.031533168178</v>
      </c>
      <c r="AJ232" s="121" t="s">
        <v>123</v>
      </c>
      <c r="AK232" s="122">
        <f t="shared" ref="AK232:AO232" si="358">IFERROR(AL232/AL$196,0)</f>
        <v>0</v>
      </c>
      <c r="AL232" s="124">
        <f t="shared" ref="AL232" si="359">+SUM(AL214:AL231)</f>
        <v>80059.005349362415</v>
      </c>
      <c r="AM232" s="121" t="s">
        <v>123</v>
      </c>
      <c r="AN232" s="122">
        <f t="shared" ref="AN232:AO232" si="360">IFERROR(AO232/AO$196,0)</f>
        <v>0</v>
      </c>
      <c r="AO232" s="124">
        <f t="shared" ref="AO232" si="361">+SUM(AO214:AO231)</f>
        <v>60845.247341891591</v>
      </c>
      <c r="AQ232" s="121" t="s">
        <v>123</v>
      </c>
      <c r="AR232" s="125">
        <f t="shared" ref="AR232" si="362">IFERROR(AS232/AS$197,0)</f>
        <v>0.2573045653099878</v>
      </c>
      <c r="AS232" s="126">
        <f t="shared" ref="AS232" si="363">+SUM(AS214:AS231)</f>
        <v>475049.48</v>
      </c>
      <c r="AU232" s="121" t="s">
        <v>123</v>
      </c>
      <c r="AV232" s="125">
        <f t="shared" ref="AV232" si="364">IFERROR(AW232/AW$197,0)</f>
        <v>0.25872070257635582</v>
      </c>
      <c r="AW232" s="126">
        <f t="shared" ref="AW232" si="365">+SUM(AW214:AW231)</f>
        <v>272675.79794491123</v>
      </c>
      <c r="AY232" s="121" t="s">
        <v>123</v>
      </c>
      <c r="AZ232" s="125">
        <f>IFERROR(BA232/BA$196,0)</f>
        <v>0</v>
      </c>
      <c r="BA232" s="126">
        <f>+SUM(BA214:BA231)</f>
        <v>475049.48</v>
      </c>
      <c r="BC232" s="121" t="s">
        <v>123</v>
      </c>
      <c r="BD232" s="125"/>
      <c r="BE232" s="127">
        <f t="shared" ref="BE232" si="366">+SUM(BE214:BE231)</f>
        <v>0</v>
      </c>
    </row>
    <row r="233" spans="1:57" s="15" customFormat="1" ht="20.25">
      <c r="A233" s="15" t="s">
        <v>27</v>
      </c>
      <c r="B233" s="28"/>
      <c r="C233" s="28"/>
      <c r="D233" s="138"/>
      <c r="E233" s="139"/>
      <c r="F233" s="28"/>
      <c r="G233" s="138"/>
      <c r="H233" s="139"/>
      <c r="I233" s="28"/>
      <c r="J233" s="138"/>
      <c r="K233" s="139"/>
      <c r="L233" s="28"/>
      <c r="M233" s="138"/>
      <c r="N233" s="139"/>
      <c r="O233" s="28"/>
      <c r="P233" s="138"/>
      <c r="Q233" s="139"/>
      <c r="R233" s="28"/>
      <c r="S233" s="138"/>
      <c r="T233" s="139"/>
      <c r="U233" s="28"/>
      <c r="V233" s="138"/>
      <c r="W233" s="139"/>
      <c r="X233" s="28"/>
      <c r="Y233" s="138"/>
      <c r="Z233" s="139"/>
      <c r="AA233" s="28"/>
      <c r="AB233" s="138"/>
      <c r="AC233" s="139"/>
      <c r="AD233" s="28"/>
      <c r="AE233" s="138"/>
      <c r="AF233" s="139"/>
      <c r="AG233" s="28"/>
      <c r="AH233" s="138"/>
      <c r="AI233" s="139"/>
      <c r="AJ233" s="28"/>
      <c r="AK233" s="138"/>
      <c r="AL233" s="139"/>
      <c r="AM233" s="28"/>
      <c r="AN233" s="138"/>
      <c r="AO233" s="139"/>
      <c r="AQ233" s="119"/>
      <c r="AR233" s="140"/>
      <c r="AS233" s="141"/>
      <c r="AU233" s="119"/>
      <c r="AV233" s="140"/>
      <c r="AW233" s="141"/>
      <c r="AY233" s="119"/>
      <c r="AZ233" s="140"/>
      <c r="BA233" s="141"/>
      <c r="BC233" s="119"/>
      <c r="BD233" s="140"/>
      <c r="BE233" s="142"/>
    </row>
    <row r="234" spans="1:57" s="15" customFormat="1" ht="20.25">
      <c r="A234" s="15" t="s">
        <v>27</v>
      </c>
      <c r="B234" s="150" t="s">
        <v>92</v>
      </c>
      <c r="C234" s="121" t="s">
        <v>57</v>
      </c>
      <c r="D234" s="213">
        <f>IFERROR(E234/E$197,0)</f>
        <v>0.75506434100869979</v>
      </c>
      <c r="E234" s="151">
        <f>E213+E232</f>
        <v>2189831.8958055917</v>
      </c>
      <c r="F234" s="121" t="s">
        <v>57</v>
      </c>
      <c r="G234" s="213">
        <f>IFERROR(H234/H$196,0)</f>
        <v>0</v>
      </c>
      <c r="H234" s="151">
        <f>H213+H232</f>
        <v>151814.40000000002</v>
      </c>
      <c r="I234" s="121" t="s">
        <v>57</v>
      </c>
      <c r="J234" s="213">
        <f>IFERROR(K234/K$196,0)</f>
        <v>0</v>
      </c>
      <c r="K234" s="151">
        <f>K213+K232</f>
        <v>149421.83000000002</v>
      </c>
      <c r="L234" s="121" t="s">
        <v>57</v>
      </c>
      <c r="M234" s="213">
        <f>IFERROR(N234/N$196,0)</f>
        <v>0</v>
      </c>
      <c r="N234" s="151">
        <f>N213+N232</f>
        <v>164429.43</v>
      </c>
      <c r="O234" s="121" t="s">
        <v>57</v>
      </c>
      <c r="P234" s="213">
        <f>IFERROR(Q234/Q$196,0)</f>
        <v>0</v>
      </c>
      <c r="Q234" s="151">
        <f>Q213+Q232</f>
        <v>199538.48000000004</v>
      </c>
      <c r="R234" s="121" t="s">
        <v>57</v>
      </c>
      <c r="S234" s="213">
        <f>IFERROR(T234/T$196,0)</f>
        <v>0</v>
      </c>
      <c r="T234" s="151">
        <f>T213+T232</f>
        <v>208049.52000000002</v>
      </c>
      <c r="U234" s="121" t="s">
        <v>57</v>
      </c>
      <c r="V234" s="213">
        <f>IFERROR(W234/W$196,0)</f>
        <v>0</v>
      </c>
      <c r="W234" s="152">
        <f>W213+W232</f>
        <v>162730.41</v>
      </c>
      <c r="X234" s="121" t="s">
        <v>57</v>
      </c>
      <c r="Y234" s="213">
        <f>IFERROR(Z234/Z$196,0)</f>
        <v>0</v>
      </c>
      <c r="Z234" s="152">
        <f>Z213+Z232</f>
        <v>167802.41</v>
      </c>
      <c r="AA234" s="121" t="s">
        <v>57</v>
      </c>
      <c r="AB234" s="213">
        <f>IFERROR(AC234/AC$196,0)</f>
        <v>0</v>
      </c>
      <c r="AC234" s="152">
        <f>AC213+AC232</f>
        <v>176693.59000000003</v>
      </c>
      <c r="AD234" s="121" t="s">
        <v>57</v>
      </c>
      <c r="AE234" s="213">
        <f t="shared" ref="AE234:AO234" si="367">IFERROR(AF234/AF$196,0)</f>
        <v>0</v>
      </c>
      <c r="AF234" s="152">
        <f t="shared" ref="AF234:AO234" si="368">AF213+AF232</f>
        <v>174865.01873992343</v>
      </c>
      <c r="AG234" s="121" t="s">
        <v>57</v>
      </c>
      <c r="AH234" s="213">
        <f t="shared" ref="AH234:AO234" si="369">IFERROR(AI234/AI$196,0)</f>
        <v>0</v>
      </c>
      <c r="AI234" s="152">
        <f t="shared" ref="AI234:AO234" si="370">AI213+AI232</f>
        <v>221561.20331149729</v>
      </c>
      <c r="AJ234" s="121" t="s">
        <v>57</v>
      </c>
      <c r="AK234" s="213">
        <f t="shared" ref="AK234:AO234" si="371">IFERROR(AL234/AL$196,0)</f>
        <v>0</v>
      </c>
      <c r="AL234" s="152">
        <f t="shared" ref="AL234:AO234" si="372">AL213+AL232</f>
        <v>237423.49120101289</v>
      </c>
      <c r="AM234" s="121" t="s">
        <v>57</v>
      </c>
      <c r="AN234" s="213">
        <f t="shared" ref="AN234:AO234" si="373">IFERROR(AO234/AO$196,0)</f>
        <v>0</v>
      </c>
      <c r="AO234" s="152">
        <f t="shared" ref="AO234" si="374">AO213+AO232</f>
        <v>175502.11255315784</v>
      </c>
      <c r="AQ234" s="121" t="s">
        <v>57</v>
      </c>
      <c r="AR234" s="214">
        <f t="shared" ref="AR234" si="375">IFERROR(AS234/AS$197,0)</f>
        <v>0.74771963613232784</v>
      </c>
      <c r="AS234" s="153">
        <f t="shared" ref="AS234" si="376">AS213+AS232</f>
        <v>1380480.0699999998</v>
      </c>
      <c r="AU234" s="121" t="s">
        <v>57</v>
      </c>
      <c r="AV234" s="214">
        <f t="shared" ref="AV234" si="377">IFERROR(AW234/AW$197,0)</f>
        <v>0.7679305408915803</v>
      </c>
      <c r="AW234" s="153">
        <f t="shared" ref="AW234" si="378">AW213+AW232</f>
        <v>809351.82580559142</v>
      </c>
      <c r="AY234" s="121" t="s">
        <v>57</v>
      </c>
      <c r="AZ234" s="214">
        <f>IFERROR(BA234/BA$196,0)</f>
        <v>0</v>
      </c>
      <c r="BA234" s="153">
        <f>BA213+BA232</f>
        <v>1380480.0699999998</v>
      </c>
      <c r="BC234" s="121" t="s">
        <v>57</v>
      </c>
      <c r="BD234" s="214"/>
      <c r="BE234" s="154">
        <f t="shared" ref="BE234" si="379">BE213+BE232</f>
        <v>0</v>
      </c>
    </row>
    <row r="235" spans="1:57" s="15" customFormat="1" ht="20.25">
      <c r="A235" s="15" t="s">
        <v>27</v>
      </c>
      <c r="B235" s="34"/>
      <c r="C235" s="34"/>
      <c r="D235" s="72"/>
      <c r="E235" s="73"/>
      <c r="F235" s="34"/>
      <c r="G235" s="72"/>
      <c r="H235" s="73"/>
      <c r="I235" s="34"/>
      <c r="J235" s="72"/>
      <c r="K235" s="73"/>
      <c r="L235" s="34"/>
      <c r="M235" s="72"/>
      <c r="N235" s="73"/>
      <c r="O235" s="34"/>
      <c r="P235" s="72"/>
      <c r="Q235" s="73"/>
      <c r="R235" s="34"/>
      <c r="S235" s="72"/>
      <c r="T235" s="73"/>
      <c r="U235" s="34"/>
      <c r="V235" s="72"/>
      <c r="W235" s="73"/>
      <c r="X235" s="34"/>
      <c r="Y235" s="72"/>
      <c r="Z235" s="73"/>
      <c r="AA235" s="34"/>
      <c r="AB235" s="72"/>
      <c r="AC235" s="73"/>
      <c r="AD235" s="34"/>
      <c r="AE235" s="72"/>
      <c r="AF235" s="73"/>
      <c r="AG235" s="34"/>
      <c r="AH235" s="72"/>
      <c r="AI235" s="73"/>
      <c r="AJ235" s="34"/>
      <c r="AK235" s="72"/>
      <c r="AL235" s="73"/>
      <c r="AM235" s="34"/>
      <c r="AN235" s="72"/>
      <c r="AO235" s="73"/>
      <c r="AQ235" s="53"/>
      <c r="AR235" s="74"/>
      <c r="AS235" s="75"/>
      <c r="AU235" s="53"/>
      <c r="AV235" s="74"/>
      <c r="AW235" s="75"/>
      <c r="AY235" s="53"/>
      <c r="AZ235" s="74"/>
      <c r="BA235" s="75"/>
      <c r="BC235" s="53"/>
      <c r="BD235" s="74"/>
      <c r="BE235" s="27"/>
    </row>
    <row r="236" spans="1:57" s="15" customFormat="1" ht="21" thickBot="1">
      <c r="A236" s="15" t="s">
        <v>27</v>
      </c>
      <c r="B236" s="171" t="s">
        <v>99</v>
      </c>
      <c r="C236" s="171"/>
      <c r="D236" s="215"/>
      <c r="E236" s="174">
        <f>E197-E234</f>
        <v>710360.54723862372</v>
      </c>
      <c r="F236" s="171"/>
      <c r="G236" s="215"/>
      <c r="H236" s="174">
        <f>H197-H234</f>
        <v>32240.070000000007</v>
      </c>
      <c r="I236" s="171"/>
      <c r="J236" s="215"/>
      <c r="K236" s="174">
        <f>K197-K234</f>
        <v>29120.529999999882</v>
      </c>
      <c r="L236" s="171"/>
      <c r="M236" s="215"/>
      <c r="N236" s="174">
        <f>N197-N234</f>
        <v>54600.849999999948</v>
      </c>
      <c r="O236" s="171"/>
      <c r="P236" s="215"/>
      <c r="Q236" s="174">
        <f>Q197-Q234</f>
        <v>73863.199999999837</v>
      </c>
      <c r="R236" s="171"/>
      <c r="S236" s="215"/>
      <c r="T236" s="174">
        <f>T197-T234</f>
        <v>75992.260000000009</v>
      </c>
      <c r="U236" s="171"/>
      <c r="V236" s="215"/>
      <c r="W236" s="175">
        <f>W197-W234</f>
        <v>64050.519999999873</v>
      </c>
      <c r="X236" s="171"/>
      <c r="Y236" s="215"/>
      <c r="Z236" s="175">
        <f>Z197-Z234</f>
        <v>73500.76999999996</v>
      </c>
      <c r="AA236" s="171"/>
      <c r="AB236" s="215"/>
      <c r="AC236" s="175">
        <f>AC197-AC234</f>
        <v>62405.329999999842</v>
      </c>
      <c r="AD236" s="171"/>
      <c r="AE236" s="215"/>
      <c r="AF236" s="175">
        <f t="shared" ref="AF236:AO236" si="380">AF197-AF234</f>
        <v>18044.143307363585</v>
      </c>
      <c r="AG236" s="171"/>
      <c r="AH236" s="215"/>
      <c r="AI236" s="175">
        <f t="shared" ref="AI236:AO236" si="381">AI197-AI234</f>
        <v>70666.525033889397</v>
      </c>
      <c r="AJ236" s="171"/>
      <c r="AK236" s="215"/>
      <c r="AL236" s="175">
        <f t="shared" ref="AL236:AO236" si="382">AL197-AL234</f>
        <v>140722.84077634176</v>
      </c>
      <c r="AM236" s="171"/>
      <c r="AN236" s="215"/>
      <c r="AO236" s="175">
        <f t="shared" ref="AO236" si="383">AO197-AO234</f>
        <v>15153.508121030114</v>
      </c>
      <c r="AQ236" s="216"/>
      <c r="AR236" s="217"/>
      <c r="AS236" s="178">
        <f t="shared" ref="AS236" si="384">AS197-AS234</f>
        <v>465773.52999999956</v>
      </c>
      <c r="AU236" s="216"/>
      <c r="AV236" s="217"/>
      <c r="AW236" s="178">
        <f t="shared" ref="AW236" si="385">AW197-AW234</f>
        <v>244587.01723862486</v>
      </c>
      <c r="AY236" s="216"/>
      <c r="AZ236" s="217"/>
      <c r="BA236" s="178">
        <f>BA197-BA234</f>
        <v>465773.5299999998</v>
      </c>
      <c r="BC236" s="216"/>
      <c r="BD236" s="217"/>
      <c r="BE236" s="179">
        <f t="shared" ref="BE236" si="386">BE197-BE234</f>
        <v>-1.3096723705530167E-10</v>
      </c>
    </row>
    <row r="237" spans="1:57" s="15" customFormat="1" ht="20.25">
      <c r="A237" s="15" t="s">
        <v>27</v>
      </c>
      <c r="B237" s="72"/>
      <c r="C237" s="72"/>
      <c r="D237" s="72"/>
      <c r="E237" s="103"/>
      <c r="F237" s="72"/>
      <c r="G237" s="72"/>
      <c r="H237" s="103"/>
      <c r="I237" s="72"/>
      <c r="J237" s="72"/>
      <c r="K237" s="103"/>
      <c r="L237" s="72"/>
      <c r="M237" s="72"/>
      <c r="N237" s="103"/>
      <c r="O237" s="72"/>
      <c r="P237" s="72"/>
      <c r="Q237" s="103"/>
      <c r="R237" s="72"/>
      <c r="S237" s="72"/>
      <c r="T237" s="103"/>
      <c r="U237" s="72"/>
      <c r="V237" s="72"/>
      <c r="W237" s="103"/>
      <c r="X237" s="72"/>
      <c r="Y237" s="72"/>
      <c r="Z237" s="103"/>
      <c r="AA237" s="72"/>
      <c r="AB237" s="72"/>
      <c r="AC237" s="103"/>
      <c r="AD237" s="72"/>
      <c r="AE237" s="72"/>
      <c r="AF237" s="103"/>
      <c r="AG237" s="72"/>
      <c r="AH237" s="72"/>
      <c r="AI237" s="103"/>
      <c r="AJ237" s="72"/>
      <c r="AK237" s="72"/>
      <c r="AL237" s="103"/>
      <c r="AM237" s="72"/>
      <c r="AN237" s="72"/>
      <c r="AO237" s="103"/>
      <c r="AQ237" s="74"/>
      <c r="AR237" s="74"/>
      <c r="AS237" s="107"/>
      <c r="AU237" s="74"/>
      <c r="AV237" s="74"/>
      <c r="AW237" s="107"/>
      <c r="AY237" s="74"/>
      <c r="AZ237" s="74"/>
      <c r="BA237" s="107"/>
      <c r="BC237" s="74"/>
      <c r="BD237" s="74"/>
      <c r="BE237" s="303"/>
    </row>
    <row r="238" spans="1:57" ht="20.25">
      <c r="A238" s="15" t="s">
        <v>27</v>
      </c>
      <c r="B238" s="186"/>
      <c r="C238" s="186"/>
      <c r="D238" s="186"/>
      <c r="E238" s="218"/>
      <c r="F238" s="186"/>
      <c r="G238" s="186"/>
      <c r="H238" s="218"/>
      <c r="I238" s="186"/>
      <c r="J238" s="186"/>
      <c r="K238" s="218"/>
      <c r="L238" s="186"/>
      <c r="M238" s="186"/>
      <c r="N238" s="218"/>
      <c r="O238" s="186"/>
      <c r="P238" s="186"/>
      <c r="Q238" s="218"/>
      <c r="R238" s="186"/>
      <c r="S238" s="186"/>
      <c r="T238" s="218"/>
      <c r="U238" s="186"/>
      <c r="V238" s="186"/>
      <c r="W238" s="218"/>
      <c r="X238" s="186"/>
      <c r="Y238" s="186"/>
      <c r="Z238" s="218"/>
      <c r="AA238" s="186"/>
      <c r="AB238" s="186"/>
      <c r="AC238" s="218"/>
      <c r="AD238" s="186"/>
      <c r="AE238" s="186"/>
      <c r="AF238" s="218"/>
      <c r="AG238" s="186"/>
      <c r="AH238" s="186"/>
      <c r="AI238" s="218"/>
      <c r="AJ238" s="186"/>
      <c r="AK238" s="186"/>
      <c r="AL238" s="218"/>
      <c r="AM238" s="186"/>
      <c r="AN238" s="186"/>
      <c r="AO238" s="218"/>
      <c r="AQ238" s="13"/>
      <c r="AR238" s="13"/>
      <c r="AS238" s="219"/>
      <c r="AU238" s="13"/>
      <c r="AV238" s="13"/>
      <c r="AW238" s="219"/>
      <c r="AY238" s="13"/>
      <c r="AZ238" s="13"/>
      <c r="BA238" s="219"/>
      <c r="BC238" s="13"/>
      <c r="BD238" s="13"/>
      <c r="BE238" s="14"/>
    </row>
    <row r="239" spans="1:57" s="10" customFormat="1" ht="35.25">
      <c r="A239" s="15" t="s">
        <v>27</v>
      </c>
      <c r="B239" s="187" t="str">
        <f>B4</f>
        <v>Budget 2025</v>
      </c>
      <c r="C239" s="10" t="s">
        <v>125</v>
      </c>
      <c r="AQ239" s="9"/>
      <c r="AR239" s="9"/>
      <c r="AS239" s="9"/>
      <c r="AU239" s="9"/>
      <c r="AV239" s="9"/>
      <c r="AW239" s="9"/>
      <c r="AY239" s="9"/>
      <c r="AZ239" s="9"/>
      <c r="BA239" s="9"/>
      <c r="BC239" s="9"/>
      <c r="BD239" s="9"/>
      <c r="BE239" s="188"/>
    </row>
    <row r="240" spans="1:57" ht="21" thickBot="1">
      <c r="A240" s="15" t="s">
        <v>27</v>
      </c>
      <c r="B240" s="189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Q240" s="13"/>
      <c r="AR240" s="13"/>
      <c r="AS240" s="13"/>
      <c r="AU240" s="13"/>
      <c r="AV240" s="13"/>
      <c r="AW240" s="13"/>
      <c r="AY240" s="13"/>
      <c r="AZ240" s="13"/>
      <c r="BA240" s="13"/>
      <c r="BC240" s="13"/>
      <c r="BD240" s="13"/>
      <c r="BE240" s="14"/>
    </row>
    <row r="241" spans="1:57" s="15" customFormat="1" ht="21" thickTop="1">
      <c r="A241" s="15" t="str">
        <f>+C239</f>
        <v>Carrosserie</v>
      </c>
      <c r="B241" s="16" t="s">
        <v>10</v>
      </c>
      <c r="C241" s="17">
        <v>2025</v>
      </c>
      <c r="D241" s="18"/>
      <c r="E241" s="19"/>
      <c r="F241" s="17" t="s">
        <v>11</v>
      </c>
      <c r="G241" s="18"/>
      <c r="H241" s="19"/>
      <c r="I241" s="17" t="s">
        <v>12</v>
      </c>
      <c r="J241" s="18"/>
      <c r="K241" s="19"/>
      <c r="L241" s="17" t="s">
        <v>13</v>
      </c>
      <c r="M241" s="18"/>
      <c r="N241" s="19"/>
      <c r="O241" s="17" t="s">
        <v>14</v>
      </c>
      <c r="P241" s="18"/>
      <c r="Q241" s="19"/>
      <c r="R241" s="17" t="s">
        <v>15</v>
      </c>
      <c r="S241" s="18"/>
      <c r="T241" s="19"/>
      <c r="U241" s="17" t="s">
        <v>16</v>
      </c>
      <c r="V241" s="18"/>
      <c r="W241" s="19"/>
      <c r="X241" s="17" t="s">
        <v>17</v>
      </c>
      <c r="Y241" s="18"/>
      <c r="Z241" s="19"/>
      <c r="AA241" s="17" t="s">
        <v>18</v>
      </c>
      <c r="AB241" s="18"/>
      <c r="AC241" s="19"/>
      <c r="AD241" s="17" t="s">
        <v>19</v>
      </c>
      <c r="AE241" s="18"/>
      <c r="AF241" s="19"/>
      <c r="AG241" s="17" t="s">
        <v>20</v>
      </c>
      <c r="AH241" s="18"/>
      <c r="AI241" s="19"/>
      <c r="AJ241" s="17" t="s">
        <v>21</v>
      </c>
      <c r="AK241" s="18"/>
      <c r="AL241" s="19"/>
      <c r="AM241" s="17" t="s">
        <v>22</v>
      </c>
      <c r="AN241" s="18"/>
      <c r="AO241" s="19"/>
      <c r="AQ241" s="16" t="s">
        <v>6</v>
      </c>
      <c r="AR241" s="20"/>
      <c r="AS241" s="21"/>
      <c r="AU241" s="16" t="s">
        <v>7</v>
      </c>
      <c r="AV241" s="20"/>
      <c r="AW241" s="21"/>
      <c r="AY241" s="16" t="s">
        <v>8</v>
      </c>
      <c r="AZ241" s="20"/>
      <c r="BA241" s="21"/>
      <c r="BC241" s="16" t="s">
        <v>23</v>
      </c>
      <c r="BD241" s="20"/>
      <c r="BE241" s="22"/>
    </row>
    <row r="242" spans="1:57" s="15" customFormat="1" ht="20.25" customHeight="1" outlineLevel="1">
      <c r="A242" s="15" t="s">
        <v>27</v>
      </c>
      <c r="B242" s="34"/>
      <c r="C242" s="53" t="s">
        <v>110</v>
      </c>
      <c r="D242" s="74" t="s">
        <v>111</v>
      </c>
      <c r="E242" s="54" t="s">
        <v>26</v>
      </c>
      <c r="F242" s="53" t="s">
        <v>110</v>
      </c>
      <c r="G242" s="74" t="s">
        <v>111</v>
      </c>
      <c r="H242" s="54" t="s">
        <v>26</v>
      </c>
      <c r="I242" s="53" t="s">
        <v>110</v>
      </c>
      <c r="J242" s="74" t="s">
        <v>111</v>
      </c>
      <c r="K242" s="54" t="s">
        <v>26</v>
      </c>
      <c r="L242" s="53" t="s">
        <v>110</v>
      </c>
      <c r="M242" s="74" t="s">
        <v>111</v>
      </c>
      <c r="N242" s="54" t="s">
        <v>26</v>
      </c>
      <c r="O242" s="53" t="s">
        <v>110</v>
      </c>
      <c r="P242" s="74" t="s">
        <v>111</v>
      </c>
      <c r="Q242" s="54" t="s">
        <v>26</v>
      </c>
      <c r="R242" s="53" t="s">
        <v>110</v>
      </c>
      <c r="S242" s="74" t="s">
        <v>111</v>
      </c>
      <c r="T242" s="54" t="s">
        <v>26</v>
      </c>
      <c r="U242" s="53" t="s">
        <v>110</v>
      </c>
      <c r="V242" s="74" t="s">
        <v>111</v>
      </c>
      <c r="W242" s="54" t="s">
        <v>26</v>
      </c>
      <c r="X242" s="53" t="s">
        <v>110</v>
      </c>
      <c r="Y242" s="74" t="s">
        <v>111</v>
      </c>
      <c r="Z242" s="54" t="s">
        <v>26</v>
      </c>
      <c r="AA242" s="53" t="s">
        <v>110</v>
      </c>
      <c r="AB242" s="74" t="s">
        <v>111</v>
      </c>
      <c r="AC242" s="54" t="s">
        <v>26</v>
      </c>
      <c r="AD242" s="53" t="s">
        <v>110</v>
      </c>
      <c r="AE242" s="74" t="s">
        <v>111</v>
      </c>
      <c r="AF242" s="54" t="s">
        <v>26</v>
      </c>
      <c r="AG242" s="53" t="s">
        <v>110</v>
      </c>
      <c r="AH242" s="74" t="s">
        <v>111</v>
      </c>
      <c r="AI242" s="54" t="s">
        <v>26</v>
      </c>
      <c r="AJ242" s="53" t="s">
        <v>110</v>
      </c>
      <c r="AK242" s="74" t="s">
        <v>111</v>
      </c>
      <c r="AL242" s="54" t="s">
        <v>26</v>
      </c>
      <c r="AM242" s="53" t="s">
        <v>110</v>
      </c>
      <c r="AN242" s="74" t="s">
        <v>111</v>
      </c>
      <c r="AO242" s="54" t="s">
        <v>26</v>
      </c>
      <c r="AQ242" s="53" t="s">
        <v>110</v>
      </c>
      <c r="AR242" s="74" t="s">
        <v>111</v>
      </c>
      <c r="AS242" s="54" t="s">
        <v>26</v>
      </c>
      <c r="AU242" s="53" t="s">
        <v>110</v>
      </c>
      <c r="AV242" s="74" t="s">
        <v>111</v>
      </c>
      <c r="AW242" s="54" t="s">
        <v>26</v>
      </c>
      <c r="AY242" s="53" t="s">
        <v>110</v>
      </c>
      <c r="AZ242" s="74" t="s">
        <v>111</v>
      </c>
      <c r="BA242" s="54" t="s">
        <v>26</v>
      </c>
      <c r="BC242" s="53" t="s">
        <v>110</v>
      </c>
      <c r="BD242" s="74" t="s">
        <v>111</v>
      </c>
      <c r="BE242" s="27" t="s">
        <v>26</v>
      </c>
    </row>
    <row r="243" spans="1:57" s="15" customFormat="1" ht="20.25" customHeight="1" outlineLevel="1">
      <c r="A243" s="15" t="s">
        <v>27</v>
      </c>
      <c r="B243" s="34"/>
      <c r="C243" s="53"/>
      <c r="D243" s="74"/>
      <c r="E243" s="54"/>
      <c r="F243" s="53"/>
      <c r="G243" s="74"/>
      <c r="H243" s="54"/>
      <c r="I243" s="53"/>
      <c r="J243" s="74"/>
      <c r="K243" s="54"/>
      <c r="L243" s="53"/>
      <c r="M243" s="74"/>
      <c r="N243" s="54"/>
      <c r="O243" s="53"/>
      <c r="P243" s="74"/>
      <c r="Q243" s="54"/>
      <c r="R243" s="53"/>
      <c r="S243" s="74"/>
      <c r="T243" s="54"/>
      <c r="U243" s="53"/>
      <c r="V243" s="74"/>
      <c r="W243" s="54"/>
      <c r="X243" s="53"/>
      <c r="Y243" s="74"/>
      <c r="Z243" s="54"/>
      <c r="AA243" s="53"/>
      <c r="AB243" s="74"/>
      <c r="AC243" s="54"/>
      <c r="AD243" s="53"/>
      <c r="AE243" s="74"/>
      <c r="AF243" s="54"/>
      <c r="AG243" s="53"/>
      <c r="AH243" s="74"/>
      <c r="AI243" s="54"/>
      <c r="AJ243" s="53"/>
      <c r="AK243" s="74"/>
      <c r="AL243" s="54"/>
      <c r="AM243" s="53"/>
      <c r="AN243" s="74"/>
      <c r="AO243" s="54"/>
      <c r="AQ243" s="53"/>
      <c r="AR243" s="74"/>
      <c r="AS243" s="54"/>
      <c r="AU243" s="53"/>
      <c r="AV243" s="74"/>
      <c r="AW243" s="54"/>
      <c r="AY243" s="53"/>
      <c r="AZ243" s="74"/>
      <c r="BA243" s="54"/>
      <c r="BC243" s="53"/>
      <c r="BD243" s="74"/>
      <c r="BE243" s="27"/>
    </row>
    <row r="244" spans="1:57" s="15" customFormat="1" ht="20.25" customHeight="1" outlineLevel="1">
      <c r="A244" s="15" t="s">
        <v>27</v>
      </c>
      <c r="B244" s="34" t="s">
        <v>126</v>
      </c>
      <c r="C244" s="220">
        <f>+SUM(F244,I244,L244,O244,R244,U244,X244,AA244,AD244,AG244,AJ244,AM244)</f>
        <v>73</v>
      </c>
      <c r="D244" s="221">
        <f>+SUM(G244,J244,M244,P244,S244,V244,Y244,AB244,AE244,AH244,AK244,AN244)</f>
        <v>371429.5799999999</v>
      </c>
      <c r="E244" s="104">
        <f>+SUM(H244,K244,N244,Q244,T244,W244,Z244,AC244,AF244,AI244,AL244,AO244)</f>
        <v>79913.289999999964</v>
      </c>
      <c r="F244" s="220">
        <v>9</v>
      </c>
      <c r="G244" s="221">
        <v>11924.3499999999</v>
      </c>
      <c r="H244" s="104">
        <v>2279.5599999999899</v>
      </c>
      <c r="I244" s="220">
        <v>8</v>
      </c>
      <c r="J244" s="221">
        <v>20608.900000000001</v>
      </c>
      <c r="K244" s="104">
        <v>4905.91</v>
      </c>
      <c r="L244" s="220">
        <v>13</v>
      </c>
      <c r="M244" s="221">
        <v>17190.14</v>
      </c>
      <c r="N244" s="104">
        <v>2742.83</v>
      </c>
      <c r="O244" s="220">
        <v>8</v>
      </c>
      <c r="P244" s="221">
        <v>19150.68</v>
      </c>
      <c r="Q244" s="104">
        <v>4315.59</v>
      </c>
      <c r="R244" s="220">
        <v>5</v>
      </c>
      <c r="S244" s="221">
        <v>7721.01</v>
      </c>
      <c r="T244" s="104">
        <v>2028.98999999999</v>
      </c>
      <c r="U244" s="220">
        <v>6</v>
      </c>
      <c r="V244" s="221">
        <v>14368.83</v>
      </c>
      <c r="W244" s="104">
        <v>3584.99</v>
      </c>
      <c r="X244" s="220">
        <v>14</v>
      </c>
      <c r="Y244" s="221">
        <v>50617.07</v>
      </c>
      <c r="Z244" s="104">
        <v>9648.5899999999892</v>
      </c>
      <c r="AA244" s="220">
        <f>+[1]VOLKS!$J$241</f>
        <v>10</v>
      </c>
      <c r="AB244" s="221">
        <f>+[1]VOLKS!$K$241</f>
        <v>43848.6</v>
      </c>
      <c r="AC244" s="104">
        <f>+[1]VOLKS!$L$241</f>
        <v>9486.8299999999908</v>
      </c>
      <c r="AD244" s="220">
        <v>0</v>
      </c>
      <c r="AE244" s="221">
        <v>54000</v>
      </c>
      <c r="AF244" s="104">
        <v>11880</v>
      </c>
      <c r="AG244" s="220">
        <v>0</v>
      </c>
      <c r="AH244" s="221">
        <v>54000</v>
      </c>
      <c r="AI244" s="104">
        <v>11880</v>
      </c>
      <c r="AJ244" s="220">
        <v>0</v>
      </c>
      <c r="AK244" s="221">
        <v>48000</v>
      </c>
      <c r="AL244" s="104">
        <v>10560</v>
      </c>
      <c r="AM244" s="220">
        <v>0</v>
      </c>
      <c r="AN244" s="221">
        <v>30000</v>
      </c>
      <c r="AO244" s="104">
        <v>6600</v>
      </c>
      <c r="AQ244" s="38">
        <f>SUMIFS(F244:AO244,$F$7:$AO$7,"UNITE",$F$3:$AO$3,"RÉEL")</f>
        <v>73</v>
      </c>
      <c r="AR244" s="222">
        <f>SUMIFS(F244:AO244,$F$174:$AO$174,"$VENTES",$F$3:$AO$3,"RÉEL")</f>
        <v>185429.5799999999</v>
      </c>
      <c r="AS244" s="155">
        <f>SUMIFS(F244:AO244,$F$7:$AO$7,"$PROFITS",$F$3:$AO$3,"RÉEL")</f>
        <v>38993.289999999964</v>
      </c>
      <c r="AU244" s="224">
        <f>SUMIFS(F244:AO244,$F$7:$AO$7,"UNITE",$F$3:$AO$3,"BUDGET")</f>
        <v>0</v>
      </c>
      <c r="AV244" s="222">
        <f>SUMIFS(F244:AO244,$F$7:$AO$7,"$P/UNITE",$F$3:$AO$3,"BUDGET")</f>
        <v>186000</v>
      </c>
      <c r="AW244" s="155">
        <f>SUMIFS(F244:AO244,$F$7:$AO$7,"$PROFITS",$F$3:$AO$3,"BUDGET")</f>
        <v>40920</v>
      </c>
      <c r="AY244" s="38">
        <f>+[2]VOLKS!$J$241</f>
        <v>73</v>
      </c>
      <c r="AZ244" s="222">
        <f>+[2]VOLKS!$K$241</f>
        <v>185429.58</v>
      </c>
      <c r="BA244" s="155">
        <f>+[2]VOLKS!$L$241</f>
        <v>38993.29</v>
      </c>
      <c r="BC244" s="224">
        <f t="shared" ref="BC244:BE244" si="387">+AY244-AQ244</f>
        <v>0</v>
      </c>
      <c r="BD244" s="222">
        <f t="shared" si="387"/>
        <v>0</v>
      </c>
      <c r="BE244" s="41">
        <f t="shared" si="387"/>
        <v>0</v>
      </c>
    </row>
    <row r="245" spans="1:57" s="15" customFormat="1" ht="20.25" customHeight="1" outlineLevel="1">
      <c r="A245" s="15" t="s">
        <v>27</v>
      </c>
      <c r="B245" s="34" t="s">
        <v>113</v>
      </c>
      <c r="C245" s="225"/>
      <c r="D245" s="72"/>
      <c r="E245" s="226">
        <f>IFERROR(E244/D244,0)</f>
        <v>0.21515058116803726</v>
      </c>
      <c r="F245" s="225"/>
      <c r="G245" s="72"/>
      <c r="H245" s="226">
        <f>IFERROR(H244/G244,0)</f>
        <v>0.19116849136430991</v>
      </c>
      <c r="I245" s="225"/>
      <c r="J245" s="72"/>
      <c r="K245" s="226">
        <f>IFERROR(K244/J244,0)</f>
        <v>0.23804812483926846</v>
      </c>
      <c r="L245" s="225"/>
      <c r="M245" s="72"/>
      <c r="N245" s="226">
        <f>IFERROR(N244/M244,0)</f>
        <v>0.15955832820442417</v>
      </c>
      <c r="O245" s="225"/>
      <c r="P245" s="72"/>
      <c r="Q245" s="226">
        <f>IFERROR(Q244/P244,0)</f>
        <v>0.22534917820150513</v>
      </c>
      <c r="R245" s="225"/>
      <c r="S245" s="72"/>
      <c r="T245" s="226">
        <f>IFERROR(T244/S244,0)</f>
        <v>0.26278815854402338</v>
      </c>
      <c r="U245" s="225"/>
      <c r="V245" s="72"/>
      <c r="W245" s="226">
        <f>IFERROR(W244/V244,0)</f>
        <v>0.24949769744648659</v>
      </c>
      <c r="X245" s="225"/>
      <c r="Y245" s="72"/>
      <c r="Z245" s="226">
        <f>IFERROR(Z244/Y244,0)</f>
        <v>0.19061929108105208</v>
      </c>
      <c r="AA245" s="225"/>
      <c r="AB245" s="72"/>
      <c r="AC245" s="226">
        <f>IFERROR(AC244/AB244,0)</f>
        <v>0.21635422795710677</v>
      </c>
      <c r="AD245" s="225"/>
      <c r="AE245" s="72"/>
      <c r="AF245" s="226">
        <v>0.22</v>
      </c>
      <c r="AG245" s="225"/>
      <c r="AH245" s="72"/>
      <c r="AI245" s="226">
        <v>0.22</v>
      </c>
      <c r="AJ245" s="225"/>
      <c r="AK245" s="72"/>
      <c r="AL245" s="226">
        <v>0.22</v>
      </c>
      <c r="AM245" s="225"/>
      <c r="AN245" s="72"/>
      <c r="AO245" s="226">
        <v>0.22</v>
      </c>
      <c r="AQ245" s="227"/>
      <c r="AR245" s="74"/>
      <c r="AS245" s="228">
        <f t="shared" ref="AS245" si="388">IFERROR(AS244/AR244,0)</f>
        <v>0.21028624451395503</v>
      </c>
      <c r="AU245" s="227"/>
      <c r="AV245" s="74"/>
      <c r="AW245" s="228">
        <f t="shared" ref="AW245" si="389">IFERROR(AW244/AV244,0)</f>
        <v>0.22</v>
      </c>
      <c r="AY245" s="227"/>
      <c r="AZ245" s="74"/>
      <c r="BA245" s="228">
        <f>IFERROR(BA244/AZ244,0)</f>
        <v>0.21028624451395514</v>
      </c>
      <c r="BC245" s="227"/>
      <c r="BD245" s="74"/>
      <c r="BE245" s="27"/>
    </row>
    <row r="246" spans="1:57" s="15" customFormat="1" ht="20.25" customHeight="1" outlineLevel="1">
      <c r="A246" s="15" t="s">
        <v>27</v>
      </c>
      <c r="B246" s="34"/>
      <c r="C246" s="53"/>
      <c r="D246" s="74"/>
      <c r="E246" s="54"/>
      <c r="F246" s="53"/>
      <c r="G246" s="74"/>
      <c r="H246" s="54"/>
      <c r="I246" s="53"/>
      <c r="J246" s="74"/>
      <c r="K246" s="54"/>
      <c r="L246" s="53"/>
      <c r="M246" s="74"/>
      <c r="N246" s="54"/>
      <c r="O246" s="53"/>
      <c r="P246" s="74"/>
      <c r="Q246" s="54"/>
      <c r="R246" s="53"/>
      <c r="S246" s="74"/>
      <c r="T246" s="54"/>
      <c r="U246" s="53"/>
      <c r="V246" s="74"/>
      <c r="W246" s="54"/>
      <c r="X246" s="53"/>
      <c r="Y246" s="74"/>
      <c r="Z246" s="54"/>
      <c r="AA246" s="53"/>
      <c r="AB246" s="74"/>
      <c r="AC246" s="54"/>
      <c r="AD246" s="53"/>
      <c r="AE246" s="74"/>
      <c r="AF246" s="54"/>
      <c r="AG246" s="53"/>
      <c r="AH246" s="74"/>
      <c r="AI246" s="54"/>
      <c r="AJ246" s="53"/>
      <c r="AK246" s="74"/>
      <c r="AL246" s="54"/>
      <c r="AM246" s="53"/>
      <c r="AN246" s="74"/>
      <c r="AO246" s="54"/>
      <c r="AQ246" s="53"/>
      <c r="AR246" s="74"/>
      <c r="AS246" s="54"/>
      <c r="AU246" s="53"/>
      <c r="AV246" s="74"/>
      <c r="AW246" s="54"/>
      <c r="AY246" s="53"/>
      <c r="AZ246" s="74"/>
      <c r="BA246" s="54"/>
      <c r="BC246" s="53"/>
      <c r="BD246" s="74"/>
      <c r="BE246" s="27"/>
    </row>
    <row r="247" spans="1:57" s="15" customFormat="1" ht="20.25" customHeight="1" outlineLevel="1">
      <c r="A247" s="15" t="s">
        <v>27</v>
      </c>
      <c r="B247" s="23" t="s">
        <v>127</v>
      </c>
      <c r="C247" s="235">
        <f>+SUM(F247,I247,L247,O247,R247,U247,X247,AA247,AD247,AG247,AJ247,AM247)</f>
        <v>0</v>
      </c>
      <c r="D247" s="236">
        <f>+SUM(G247,J247,M247,P247,S247,V247,Y247,AB247,AE247,AH247,AK247,AN247)</f>
        <v>0</v>
      </c>
      <c r="E247" s="131">
        <f>+SUM(H247,K247,N247,Q247,T247,W247,Z247,AC247,AF247,AI247,AL247,AO247)</f>
        <v>0</v>
      </c>
      <c r="F247" s="235">
        <v>0</v>
      </c>
      <c r="G247" s="236">
        <v>0</v>
      </c>
      <c r="H247" s="131">
        <v>0</v>
      </c>
      <c r="I247" s="235">
        <v>0</v>
      </c>
      <c r="J247" s="236">
        <v>0</v>
      </c>
      <c r="K247" s="131">
        <v>0</v>
      </c>
      <c r="L247" s="235">
        <v>0</v>
      </c>
      <c r="M247" s="236">
        <v>0</v>
      </c>
      <c r="N247" s="131">
        <v>0</v>
      </c>
      <c r="O247" s="235">
        <v>0</v>
      </c>
      <c r="P247" s="236">
        <v>0</v>
      </c>
      <c r="Q247" s="131">
        <v>0</v>
      </c>
      <c r="R247" s="235">
        <v>0</v>
      </c>
      <c r="S247" s="236">
        <v>0</v>
      </c>
      <c r="T247" s="131">
        <v>0</v>
      </c>
      <c r="U247" s="235">
        <v>0</v>
      </c>
      <c r="V247" s="236">
        <v>0</v>
      </c>
      <c r="W247" s="131">
        <v>0</v>
      </c>
      <c r="X247" s="235">
        <v>0</v>
      </c>
      <c r="Y247" s="236">
        <v>0</v>
      </c>
      <c r="Z247" s="131">
        <v>0</v>
      </c>
      <c r="AA247" s="235">
        <f>+[1]VOLKS!$J$244</f>
        <v>0</v>
      </c>
      <c r="AB247" s="236">
        <f>+[1]VOLKS!$K$244</f>
        <v>0</v>
      </c>
      <c r="AC247" s="131">
        <f>+[1]VOLKS!$L$244</f>
        <v>0</v>
      </c>
      <c r="AD247" s="235"/>
      <c r="AE247" s="236"/>
      <c r="AF247" s="131"/>
      <c r="AG247" s="235"/>
      <c r="AH247" s="236"/>
      <c r="AI247" s="131"/>
      <c r="AJ247" s="235"/>
      <c r="AK247" s="236"/>
      <c r="AL247" s="131"/>
      <c r="AM247" s="235"/>
      <c r="AN247" s="236"/>
      <c r="AO247" s="131"/>
      <c r="AQ247" s="238"/>
      <c r="AR247" s="239"/>
      <c r="AS247" s="237"/>
      <c r="AU247" s="238"/>
      <c r="AV247" s="239"/>
      <c r="AW247" s="237"/>
      <c r="AY247" s="238">
        <f>+[2]VOLKS!$J$244</f>
        <v>0</v>
      </c>
      <c r="AZ247" s="239">
        <f>+[2]VOLKS!$K$244</f>
        <v>0</v>
      </c>
      <c r="BA247" s="237">
        <f>+[2]VOLKS!$L$244</f>
        <v>0</v>
      </c>
      <c r="BC247" s="238">
        <f t="shared" ref="BC247:BE247" si="390">+AY247-AQ247</f>
        <v>0</v>
      </c>
      <c r="BD247" s="239">
        <f t="shared" si="390"/>
        <v>0</v>
      </c>
      <c r="BE247" s="240">
        <f t="shared" si="390"/>
        <v>0</v>
      </c>
    </row>
    <row r="248" spans="1:57" s="15" customFormat="1" ht="20.25" customHeight="1" outlineLevel="1">
      <c r="A248" s="15" t="s">
        <v>27</v>
      </c>
      <c r="B248" s="34" t="s">
        <v>113</v>
      </c>
      <c r="C248" s="225"/>
      <c r="D248" s="72"/>
      <c r="E248" s="226">
        <f>IFERROR(E247/D247,0)</f>
        <v>0</v>
      </c>
      <c r="F248" s="225"/>
      <c r="G248" s="72"/>
      <c r="H248" s="226">
        <f>IFERROR(H247/G247,0)</f>
        <v>0</v>
      </c>
      <c r="I248" s="225"/>
      <c r="J248" s="72"/>
      <c r="K248" s="226">
        <f>IFERROR(K247/J247,0)</f>
        <v>0</v>
      </c>
      <c r="L248" s="225"/>
      <c r="M248" s="72"/>
      <c r="N248" s="226">
        <f>IFERROR(N247/M247,0)</f>
        <v>0</v>
      </c>
      <c r="O248" s="225"/>
      <c r="P248" s="72"/>
      <c r="Q248" s="226">
        <f>IFERROR(Q247/P247,0)</f>
        <v>0</v>
      </c>
      <c r="R248" s="225"/>
      <c r="S248" s="72"/>
      <c r="T248" s="226">
        <f>IFERROR(T247/S247,0)</f>
        <v>0</v>
      </c>
      <c r="U248" s="225"/>
      <c r="V248" s="72"/>
      <c r="W248" s="226">
        <f>IFERROR(W247/V247,0)</f>
        <v>0</v>
      </c>
      <c r="X248" s="225"/>
      <c r="Y248" s="72"/>
      <c r="Z248" s="226">
        <f>IFERROR(Z247/Y247,0)</f>
        <v>0</v>
      </c>
      <c r="AA248" s="225"/>
      <c r="AB248" s="72"/>
      <c r="AC248" s="226">
        <f>IFERROR(AC247/AB247,0)</f>
        <v>0</v>
      </c>
      <c r="AD248" s="225"/>
      <c r="AE248" s="72"/>
      <c r="AF248" s="226">
        <v>0</v>
      </c>
      <c r="AG248" s="225"/>
      <c r="AH248" s="72"/>
      <c r="AI248" s="226">
        <v>0</v>
      </c>
      <c r="AJ248" s="225"/>
      <c r="AK248" s="72"/>
      <c r="AL248" s="226">
        <v>0</v>
      </c>
      <c r="AM248" s="225"/>
      <c r="AN248" s="72"/>
      <c r="AO248" s="226">
        <v>0</v>
      </c>
      <c r="AQ248" s="227"/>
      <c r="AR248" s="74"/>
      <c r="AS248" s="228">
        <f t="shared" ref="AS248" si="391">IFERROR(AS247/AR247,0)</f>
        <v>0</v>
      </c>
      <c r="AU248" s="227"/>
      <c r="AV248" s="74"/>
      <c r="AW248" s="228">
        <f t="shared" ref="AW248" si="392">IFERROR(AW247/AV247,0)</f>
        <v>0</v>
      </c>
      <c r="AY248" s="227"/>
      <c r="AZ248" s="74"/>
      <c r="BA248" s="228">
        <f>IFERROR(BA247/AZ247,0)</f>
        <v>0</v>
      </c>
      <c r="BC248" s="227"/>
      <c r="BD248" s="74"/>
      <c r="BE248" s="27"/>
    </row>
    <row r="249" spans="1:57" s="15" customFormat="1" ht="20.25" customHeight="1" outlineLevel="1">
      <c r="A249" s="15" t="s">
        <v>27</v>
      </c>
      <c r="B249" s="28"/>
      <c r="C249" s="229"/>
      <c r="D249" s="230"/>
      <c r="E249" s="231"/>
      <c r="F249" s="229"/>
      <c r="G249" s="230"/>
      <c r="H249" s="231"/>
      <c r="I249" s="229"/>
      <c r="J249" s="230"/>
      <c r="K249" s="231"/>
      <c r="L249" s="229"/>
      <c r="M249" s="230"/>
      <c r="N249" s="231"/>
      <c r="O249" s="229"/>
      <c r="P249" s="230"/>
      <c r="Q249" s="231"/>
      <c r="R249" s="229"/>
      <c r="S249" s="230"/>
      <c r="T249" s="231"/>
      <c r="U249" s="229"/>
      <c r="V249" s="230"/>
      <c r="W249" s="231"/>
      <c r="X249" s="229"/>
      <c r="Y249" s="230"/>
      <c r="Z249" s="231"/>
      <c r="AA249" s="229"/>
      <c r="AB249" s="230"/>
      <c r="AC249" s="231"/>
      <c r="AD249" s="229"/>
      <c r="AE249" s="230"/>
      <c r="AF249" s="231"/>
      <c r="AG249" s="229"/>
      <c r="AH249" s="230"/>
      <c r="AI249" s="231"/>
      <c r="AJ249" s="229"/>
      <c r="AK249" s="230"/>
      <c r="AL249" s="231"/>
      <c r="AM249" s="229"/>
      <c r="AN249" s="230"/>
      <c r="AO249" s="231"/>
      <c r="AQ249" s="232"/>
      <c r="AR249" s="233"/>
      <c r="AS249" s="234"/>
      <c r="AU249" s="232"/>
      <c r="AV249" s="233"/>
      <c r="AW249" s="234"/>
      <c r="AY249" s="232"/>
      <c r="AZ249" s="233"/>
      <c r="BA249" s="234"/>
      <c r="BC249" s="232"/>
      <c r="BD249" s="233"/>
      <c r="BE249" s="142"/>
    </row>
    <row r="250" spans="1:57" s="15" customFormat="1" ht="20.25" customHeight="1" outlineLevel="1">
      <c r="A250" s="15" t="s">
        <v>27</v>
      </c>
      <c r="B250" s="23" t="s">
        <v>128</v>
      </c>
      <c r="C250" s="235">
        <f>+SUM(F250,I250,L250,O250,R250,U250,X250,AA250,AD250,AG250,AJ250,AM250)</f>
        <v>0</v>
      </c>
      <c r="D250" s="236">
        <f>+SUM(G250,J250,M250,P250,S250,V250,Y250,AB250,AE250,AH250,AK250,AN250)</f>
        <v>0</v>
      </c>
      <c r="E250" s="131">
        <f>+SUM(H250,K250,N250,Q250,T250,W250,Z250,AC250,AF250,AI250,AL250,AO250)</f>
        <v>0</v>
      </c>
      <c r="F250" s="235">
        <v>0</v>
      </c>
      <c r="G250" s="236">
        <v>0</v>
      </c>
      <c r="H250" s="131">
        <v>0</v>
      </c>
      <c r="I250" s="235">
        <v>0</v>
      </c>
      <c r="J250" s="236">
        <v>0</v>
      </c>
      <c r="K250" s="131">
        <v>0</v>
      </c>
      <c r="L250" s="235">
        <v>0</v>
      </c>
      <c r="M250" s="236">
        <v>0</v>
      </c>
      <c r="N250" s="131">
        <v>0</v>
      </c>
      <c r="O250" s="235">
        <v>0</v>
      </c>
      <c r="P250" s="236">
        <v>0</v>
      </c>
      <c r="Q250" s="131">
        <v>0</v>
      </c>
      <c r="R250" s="235">
        <v>0</v>
      </c>
      <c r="S250" s="236">
        <v>0</v>
      </c>
      <c r="T250" s="131">
        <v>0</v>
      </c>
      <c r="U250" s="235">
        <v>0</v>
      </c>
      <c r="V250" s="236">
        <v>0</v>
      </c>
      <c r="W250" s="131">
        <v>0</v>
      </c>
      <c r="X250" s="235">
        <v>0</v>
      </c>
      <c r="Y250" s="236">
        <v>0</v>
      </c>
      <c r="Z250" s="131">
        <v>0</v>
      </c>
      <c r="AA250" s="235">
        <f>+[1]VOLKS!$J$247</f>
        <v>0</v>
      </c>
      <c r="AB250" s="236">
        <f>+[1]VOLKS!$K$247</f>
        <v>0</v>
      </c>
      <c r="AC250" s="131">
        <f>+[1]VOLKS!$L$247</f>
        <v>0</v>
      </c>
      <c r="AD250" s="235"/>
      <c r="AE250" s="236"/>
      <c r="AF250" s="131"/>
      <c r="AG250" s="235"/>
      <c r="AH250" s="236"/>
      <c r="AI250" s="131"/>
      <c r="AJ250" s="235"/>
      <c r="AK250" s="236"/>
      <c r="AL250" s="131"/>
      <c r="AM250" s="235"/>
      <c r="AN250" s="236"/>
      <c r="AO250" s="131"/>
      <c r="AQ250" s="238"/>
      <c r="AR250" s="239"/>
      <c r="AS250" s="237"/>
      <c r="AU250" s="238"/>
      <c r="AV250" s="239"/>
      <c r="AW250" s="237"/>
      <c r="AY250" s="238">
        <f>+[2]VOLKS!$J$247</f>
        <v>0</v>
      </c>
      <c r="AZ250" s="239">
        <f>+[2]VOLKS!$K$247</f>
        <v>0</v>
      </c>
      <c r="BA250" s="237">
        <f>+[2]VOLKS!$L$247</f>
        <v>0</v>
      </c>
      <c r="BC250" s="238">
        <f t="shared" ref="BC250:BE250" si="393">+AY250-AQ250</f>
        <v>0</v>
      </c>
      <c r="BD250" s="239">
        <f t="shared" si="393"/>
        <v>0</v>
      </c>
      <c r="BE250" s="240">
        <f t="shared" si="393"/>
        <v>0</v>
      </c>
    </row>
    <row r="251" spans="1:57" s="15" customFormat="1" ht="20.25" customHeight="1" outlineLevel="1">
      <c r="A251" s="15" t="s">
        <v>27</v>
      </c>
      <c r="B251" s="34" t="s">
        <v>113</v>
      </c>
      <c r="C251" s="34"/>
      <c r="D251" s="72"/>
      <c r="E251" s="226">
        <f>IFERROR(E250/D250,0)</f>
        <v>0</v>
      </c>
      <c r="F251" s="34"/>
      <c r="G251" s="72"/>
      <c r="H251" s="226">
        <f>IFERROR(H250/G250,0)</f>
        <v>0</v>
      </c>
      <c r="I251" s="34"/>
      <c r="J251" s="72"/>
      <c r="K251" s="226">
        <f>IFERROR(K250/J250,0)</f>
        <v>0</v>
      </c>
      <c r="L251" s="34"/>
      <c r="M251" s="72"/>
      <c r="N251" s="226">
        <f>IFERROR(N250/M250,0)</f>
        <v>0</v>
      </c>
      <c r="O251" s="34"/>
      <c r="P251" s="72"/>
      <c r="Q251" s="226">
        <f>IFERROR(Q250/P250,0)</f>
        <v>0</v>
      </c>
      <c r="R251" s="34"/>
      <c r="S251" s="72"/>
      <c r="T251" s="226">
        <f>IFERROR(T250/S250,0)</f>
        <v>0</v>
      </c>
      <c r="U251" s="34"/>
      <c r="V251" s="72"/>
      <c r="W251" s="226">
        <f>IFERROR(W250/V250,0)</f>
        <v>0</v>
      </c>
      <c r="X251" s="34"/>
      <c r="Y251" s="72"/>
      <c r="Z251" s="226">
        <f>IFERROR(Z250/Y250,0)</f>
        <v>0</v>
      </c>
      <c r="AA251" s="34"/>
      <c r="AB251" s="72"/>
      <c r="AC251" s="226">
        <f>IFERROR(AC250/AB250,0)</f>
        <v>0</v>
      </c>
      <c r="AD251" s="34"/>
      <c r="AE251" s="72"/>
      <c r="AF251" s="226">
        <v>0</v>
      </c>
      <c r="AG251" s="34"/>
      <c r="AH251" s="72"/>
      <c r="AI251" s="226">
        <v>0</v>
      </c>
      <c r="AJ251" s="34"/>
      <c r="AK251" s="72"/>
      <c r="AL251" s="226">
        <v>0</v>
      </c>
      <c r="AM251" s="34"/>
      <c r="AN251" s="72"/>
      <c r="AO251" s="226">
        <v>0</v>
      </c>
      <c r="AQ251" s="53"/>
      <c r="AR251" s="74"/>
      <c r="AS251" s="228">
        <f t="shared" ref="AS251" si="394">IFERROR(AS250/AR250,0)</f>
        <v>0</v>
      </c>
      <c r="AU251" s="53"/>
      <c r="AV251" s="74"/>
      <c r="AW251" s="228">
        <f t="shared" ref="AW251" si="395">IFERROR(AW250/AV250,0)</f>
        <v>0</v>
      </c>
      <c r="AY251" s="53"/>
      <c r="AZ251" s="74"/>
      <c r="BA251" s="228">
        <f>IFERROR(BA250/AZ250,0)</f>
        <v>0</v>
      </c>
      <c r="BC251" s="53"/>
      <c r="BD251" s="74"/>
      <c r="BE251" s="27"/>
    </row>
    <row r="252" spans="1:57" s="15" customFormat="1" ht="20.25" customHeight="1" outlineLevel="1" thickBot="1">
      <c r="A252" s="15" t="s">
        <v>27</v>
      </c>
      <c r="B252" s="34"/>
      <c r="C252" s="34"/>
      <c r="D252" s="72"/>
      <c r="E252" s="226"/>
      <c r="F252" s="34"/>
      <c r="G252" s="72"/>
      <c r="H252" s="226"/>
      <c r="I252" s="34"/>
      <c r="J252" s="72"/>
      <c r="K252" s="226"/>
      <c r="L252" s="34"/>
      <c r="M252" s="72"/>
      <c r="N252" s="226"/>
      <c r="O252" s="34"/>
      <c r="P252" s="72"/>
      <c r="Q252" s="226"/>
      <c r="R252" s="34"/>
      <c r="S252" s="72"/>
      <c r="T252" s="226"/>
      <c r="U252" s="34"/>
      <c r="V252" s="72"/>
      <c r="W252" s="226"/>
      <c r="X252" s="34"/>
      <c r="Y252" s="72"/>
      <c r="Z252" s="226"/>
      <c r="AA252" s="34"/>
      <c r="AB252" s="72"/>
      <c r="AC252" s="226"/>
      <c r="AD252" s="34"/>
      <c r="AE252" s="72"/>
      <c r="AF252" s="226"/>
      <c r="AG252" s="34"/>
      <c r="AH252" s="72"/>
      <c r="AI252" s="226"/>
      <c r="AJ252" s="34"/>
      <c r="AK252" s="72"/>
      <c r="AL252" s="226"/>
      <c r="AM252" s="34"/>
      <c r="AN252" s="72"/>
      <c r="AO252" s="226"/>
      <c r="AQ252" s="53"/>
      <c r="AR252" s="74"/>
      <c r="AS252" s="228"/>
      <c r="AU252" s="53"/>
      <c r="AV252" s="74"/>
      <c r="AW252" s="228"/>
      <c r="AY252" s="53"/>
      <c r="AZ252" s="74"/>
      <c r="BA252" s="228"/>
      <c r="BC252" s="53"/>
      <c r="BD252" s="74"/>
      <c r="BE252" s="27"/>
    </row>
    <row r="253" spans="1:57" s="15" customFormat="1" ht="21" customHeight="1" outlineLevel="1" thickTop="1">
      <c r="A253" s="15" t="s">
        <v>27</v>
      </c>
      <c r="B253" s="76" t="s">
        <v>122</v>
      </c>
      <c r="C253" s="77"/>
      <c r="D253" s="296">
        <f>D247+D250+D244</f>
        <v>371429.5799999999</v>
      </c>
      <c r="E253" s="79">
        <f>E247+E250+E244</f>
        <v>79913.289999999964</v>
      </c>
      <c r="F253" s="77"/>
      <c r="G253" s="296">
        <f>G247+G250+G244</f>
        <v>11924.3499999999</v>
      </c>
      <c r="H253" s="79">
        <f>H247+H250+H244</f>
        <v>2279.5599999999899</v>
      </c>
      <c r="I253" s="77"/>
      <c r="J253" s="296">
        <f>J247+J250+J244</f>
        <v>20608.900000000001</v>
      </c>
      <c r="K253" s="79">
        <f>K247+K250+K244</f>
        <v>4905.91</v>
      </c>
      <c r="L253" s="77"/>
      <c r="M253" s="296">
        <f>M247+M250+M244</f>
        <v>17190.14</v>
      </c>
      <c r="N253" s="79">
        <f>N247+N250+N244</f>
        <v>2742.83</v>
      </c>
      <c r="O253" s="77"/>
      <c r="P253" s="296">
        <f>P247+P250+P244</f>
        <v>19150.68</v>
      </c>
      <c r="Q253" s="79">
        <f>Q247+Q250+Q244</f>
        <v>4315.59</v>
      </c>
      <c r="R253" s="77"/>
      <c r="S253" s="296">
        <f>S247+S250+S244</f>
        <v>7721.01</v>
      </c>
      <c r="T253" s="79">
        <f>T247+T250+T244</f>
        <v>2028.98999999999</v>
      </c>
      <c r="U253" s="77"/>
      <c r="V253" s="296">
        <f>V247+V250+V244</f>
        <v>14368.83</v>
      </c>
      <c r="W253" s="80">
        <f>W247+W250+W244</f>
        <v>3584.99</v>
      </c>
      <c r="X253" s="77"/>
      <c r="Y253" s="296">
        <f>Y247+Y250+Y244</f>
        <v>50617.07</v>
      </c>
      <c r="Z253" s="80">
        <f>Z247+Z250+Z244</f>
        <v>9648.5899999999892</v>
      </c>
      <c r="AA253" s="77"/>
      <c r="AB253" s="296">
        <f>AB247+AB250+AB244</f>
        <v>43848.6</v>
      </c>
      <c r="AC253" s="80">
        <f>AC247+AC250+AC244</f>
        <v>9486.8299999999908</v>
      </c>
      <c r="AD253" s="77"/>
      <c r="AE253" s="296">
        <v>54000</v>
      </c>
      <c r="AF253" s="79">
        <v>11880</v>
      </c>
      <c r="AG253" s="77"/>
      <c r="AH253" s="296">
        <v>54000</v>
      </c>
      <c r="AI253" s="79">
        <v>11880</v>
      </c>
      <c r="AJ253" s="77"/>
      <c r="AK253" s="296">
        <v>48000</v>
      </c>
      <c r="AL253" s="79">
        <v>10560</v>
      </c>
      <c r="AM253" s="77"/>
      <c r="AN253" s="296">
        <v>30000</v>
      </c>
      <c r="AO253" s="79">
        <v>6600</v>
      </c>
      <c r="AQ253" s="81"/>
      <c r="AR253" s="297">
        <f t="shared" ref="AR253:AS253" si="396">AR247+AR250+AR244</f>
        <v>185429.5799999999</v>
      </c>
      <c r="AS253" s="83">
        <f t="shared" si="396"/>
        <v>38993.289999999964</v>
      </c>
      <c r="AU253" s="81"/>
      <c r="AV253" s="297">
        <f t="shared" ref="AV253:AW253" si="397">AV247+AV250+AV244</f>
        <v>186000</v>
      </c>
      <c r="AW253" s="83">
        <f t="shared" si="397"/>
        <v>40920</v>
      </c>
      <c r="AY253" s="81"/>
      <c r="AZ253" s="297">
        <f>AZ247+AZ250+AZ244</f>
        <v>185429.58</v>
      </c>
      <c r="BA253" s="83">
        <f>BA247+BA250+BA244</f>
        <v>38993.29</v>
      </c>
      <c r="BC253" s="81"/>
      <c r="BD253" s="297">
        <f t="shared" ref="BD253:BE253" si="398">BD247+BD250+BD244</f>
        <v>0</v>
      </c>
      <c r="BE253" s="84">
        <f t="shared" si="398"/>
        <v>0</v>
      </c>
    </row>
    <row r="254" spans="1:57" s="15" customFormat="1" ht="21" customHeight="1" outlineLevel="1" thickBot="1">
      <c r="A254" s="15" t="s">
        <v>27</v>
      </c>
      <c r="B254" s="85"/>
      <c r="C254" s="85"/>
      <c r="D254" s="86"/>
      <c r="E254" s="298">
        <f>IFERROR(E253/D253,0)</f>
        <v>0.21515058116803726</v>
      </c>
      <c r="F254" s="85"/>
      <c r="G254" s="86"/>
      <c r="H254" s="298">
        <f>IFERROR(H253/G253,0)</f>
        <v>0.19116849136430991</v>
      </c>
      <c r="I254" s="85"/>
      <c r="J254" s="86"/>
      <c r="K254" s="298">
        <f>IFERROR(K253/J253,0)</f>
        <v>0.23804812483926846</v>
      </c>
      <c r="L254" s="85"/>
      <c r="M254" s="86"/>
      <c r="N254" s="298">
        <f>IFERROR(N253/M253,0)</f>
        <v>0.15955832820442417</v>
      </c>
      <c r="O254" s="85"/>
      <c r="P254" s="86"/>
      <c r="Q254" s="298">
        <f>IFERROR(Q253/P253,0)</f>
        <v>0.22534917820150513</v>
      </c>
      <c r="R254" s="85"/>
      <c r="S254" s="86"/>
      <c r="T254" s="298">
        <f>IFERROR(T253/S253,0)</f>
        <v>0.26278815854402338</v>
      </c>
      <c r="U254" s="85"/>
      <c r="V254" s="86"/>
      <c r="W254" s="299">
        <f>IFERROR(W253/V253,0)</f>
        <v>0.24949769744648659</v>
      </c>
      <c r="X254" s="85"/>
      <c r="Y254" s="86"/>
      <c r="Z254" s="299">
        <f>IFERROR(Z253/Y253,0)</f>
        <v>0.19061929108105208</v>
      </c>
      <c r="AA254" s="85"/>
      <c r="AB254" s="86"/>
      <c r="AC254" s="299">
        <f>IFERROR(AC253/AB253,0)</f>
        <v>0.21635422795710677</v>
      </c>
      <c r="AD254" s="85"/>
      <c r="AE254" s="86"/>
      <c r="AF254" s="298">
        <v>0.22</v>
      </c>
      <c r="AG254" s="85"/>
      <c r="AH254" s="86"/>
      <c r="AI254" s="298">
        <v>0.22</v>
      </c>
      <c r="AJ254" s="85"/>
      <c r="AK254" s="86"/>
      <c r="AL254" s="298">
        <v>0.22</v>
      </c>
      <c r="AM254" s="85"/>
      <c r="AN254" s="86"/>
      <c r="AO254" s="298">
        <v>0.22</v>
      </c>
      <c r="AQ254" s="89"/>
      <c r="AR254" s="90"/>
      <c r="AS254" s="300">
        <f t="shared" ref="AS254" si="399">IFERROR(AS253/AR253,0)</f>
        <v>0.21028624451395503</v>
      </c>
      <c r="AU254" s="89"/>
      <c r="AV254" s="90"/>
      <c r="AW254" s="300">
        <f t="shared" ref="AW254" si="400">IFERROR(AW253/AV253,0)</f>
        <v>0.22</v>
      </c>
      <c r="AY254" s="89"/>
      <c r="AZ254" s="90"/>
      <c r="BA254" s="300">
        <f>IFERROR(BA253/AZ253,0)</f>
        <v>0.21028624451395514</v>
      </c>
      <c r="BC254" s="89"/>
      <c r="BD254" s="90"/>
      <c r="BE254" s="92"/>
    </row>
    <row r="255" spans="1:57" s="15" customFormat="1" ht="21" thickTop="1">
      <c r="A255" s="15" t="s">
        <v>27</v>
      </c>
      <c r="B255" s="34"/>
      <c r="C255" s="34"/>
      <c r="D255" s="72"/>
      <c r="E255" s="52"/>
      <c r="F255" s="34"/>
      <c r="G255" s="72"/>
      <c r="H255" s="52"/>
      <c r="I255" s="34"/>
      <c r="J255" s="72"/>
      <c r="K255" s="52"/>
      <c r="L255" s="34"/>
      <c r="M255" s="72"/>
      <c r="N255" s="52"/>
      <c r="O255" s="34"/>
      <c r="P255" s="72"/>
      <c r="Q255" s="52"/>
      <c r="R255" s="34"/>
      <c r="S255" s="72"/>
      <c r="T255" s="52"/>
      <c r="U255" s="34"/>
      <c r="V255" s="72"/>
      <c r="W255" s="52"/>
      <c r="X255" s="34"/>
      <c r="Y255" s="72"/>
      <c r="Z255" s="52"/>
      <c r="AA255" s="34"/>
      <c r="AB255" s="72"/>
      <c r="AC255" s="52"/>
      <c r="AD255" s="34"/>
      <c r="AE255" s="72"/>
      <c r="AF255" s="52"/>
      <c r="AG255" s="34"/>
      <c r="AH255" s="72"/>
      <c r="AI255" s="52"/>
      <c r="AJ255" s="34"/>
      <c r="AK255" s="72"/>
      <c r="AL255" s="52"/>
      <c r="AM255" s="34"/>
      <c r="AN255" s="72"/>
      <c r="AO255" s="52"/>
      <c r="AQ255" s="53"/>
      <c r="AR255" s="74"/>
      <c r="AS255" s="54"/>
      <c r="AU255" s="53"/>
      <c r="AV255" s="74"/>
      <c r="AW255" s="54"/>
      <c r="AY255" s="53"/>
      <c r="AZ255" s="74"/>
      <c r="BA255" s="54"/>
      <c r="BC255" s="53"/>
      <c r="BD255" s="74"/>
      <c r="BE255" s="27"/>
    </row>
    <row r="256" spans="1:57" s="15" customFormat="1" ht="20.25">
      <c r="A256" s="15" t="s">
        <v>27</v>
      </c>
      <c r="B256" s="101" t="s">
        <v>42</v>
      </c>
      <c r="C256" s="34"/>
      <c r="D256" s="72"/>
      <c r="E256" s="52"/>
      <c r="F256" s="34"/>
      <c r="G256" s="72"/>
      <c r="H256" s="52"/>
      <c r="I256" s="34"/>
      <c r="J256" s="72"/>
      <c r="K256" s="52"/>
      <c r="L256" s="34"/>
      <c r="M256" s="72"/>
      <c r="N256" s="52"/>
      <c r="O256" s="34"/>
      <c r="P256" s="72"/>
      <c r="Q256" s="52"/>
      <c r="R256" s="34"/>
      <c r="S256" s="72"/>
      <c r="T256" s="52"/>
      <c r="U256" s="34"/>
      <c r="V256" s="72"/>
      <c r="W256" s="52"/>
      <c r="X256" s="34"/>
      <c r="Y256" s="72"/>
      <c r="Z256" s="52"/>
      <c r="AA256" s="34"/>
      <c r="AB256" s="72"/>
      <c r="AC256" s="52"/>
      <c r="AD256" s="34"/>
      <c r="AE256" s="72"/>
      <c r="AF256" s="52"/>
      <c r="AG256" s="34"/>
      <c r="AH256" s="72"/>
      <c r="AI256" s="52"/>
      <c r="AJ256" s="34"/>
      <c r="AK256" s="72"/>
      <c r="AL256" s="52"/>
      <c r="AM256" s="34"/>
      <c r="AN256" s="72"/>
      <c r="AO256" s="52"/>
      <c r="AQ256" s="53"/>
      <c r="AR256" s="74"/>
      <c r="AS256" s="54"/>
      <c r="AU256" s="53"/>
      <c r="AV256" s="74"/>
      <c r="AW256" s="54"/>
      <c r="AY256" s="53"/>
      <c r="AZ256" s="74"/>
      <c r="BA256" s="54"/>
      <c r="BC256" s="53"/>
      <c r="BD256" s="74"/>
      <c r="BE256" s="27"/>
    </row>
    <row r="257" spans="1:57" s="15" customFormat="1" ht="20.25">
      <c r="A257" s="15" t="s">
        <v>58</v>
      </c>
      <c r="B257" s="128" t="s">
        <v>59</v>
      </c>
      <c r="C257" s="34"/>
      <c r="D257" s="72"/>
      <c r="E257" s="104">
        <f t="shared" ref="E257:E268" si="401">+SUM(H257,K257,N257,Q257,T257,W257,Z257,AC257,AF257,AI257,AL257,AO257)</f>
        <v>8478.6712499999994</v>
      </c>
      <c r="F257" s="34"/>
      <c r="G257" s="72"/>
      <c r="H257" s="104">
        <v>901.88</v>
      </c>
      <c r="I257" s="34"/>
      <c r="J257" s="72"/>
      <c r="K257" s="104">
        <v>901.88</v>
      </c>
      <c r="L257" s="34"/>
      <c r="M257" s="72"/>
      <c r="N257" s="104">
        <v>901.88</v>
      </c>
      <c r="O257" s="34"/>
      <c r="P257" s="72"/>
      <c r="Q257" s="104">
        <v>901.88</v>
      </c>
      <c r="R257" s="34"/>
      <c r="S257" s="72"/>
      <c r="T257" s="104">
        <v>901.88</v>
      </c>
      <c r="U257" s="34"/>
      <c r="V257" s="72"/>
      <c r="W257" s="104">
        <v>901.88</v>
      </c>
      <c r="X257" s="34"/>
      <c r="Y257" s="72"/>
      <c r="Z257" s="104">
        <v>901.88</v>
      </c>
      <c r="AA257" s="34"/>
      <c r="AB257" s="72"/>
      <c r="AC257" s="104">
        <f>+[1]VOLKS!$L$254</f>
        <v>901.88</v>
      </c>
      <c r="AD257" s="34"/>
      <c r="AE257" s="72"/>
      <c r="AF257" s="104">
        <v>297.32500000000005</v>
      </c>
      <c r="AG257" s="34"/>
      <c r="AH257" s="72"/>
      <c r="AI257" s="104">
        <v>371.65625000000006</v>
      </c>
      <c r="AJ257" s="34"/>
      <c r="AK257" s="72"/>
      <c r="AL257" s="105">
        <v>297.32500000000005</v>
      </c>
      <c r="AM257" s="34"/>
      <c r="AN257" s="72"/>
      <c r="AO257" s="105">
        <v>297.32500000000005</v>
      </c>
      <c r="AQ257" s="53"/>
      <c r="AR257" s="74"/>
      <c r="AS257" s="108">
        <f t="shared" ref="AS257:AS267" si="402">SUMIFS(F257:AO257,$F$7:$AO$7,"$PROFITS",$F$3:$AO$3,"RÉEL")</f>
        <v>7215.04</v>
      </c>
      <c r="AU257" s="53"/>
      <c r="AV257" s="74"/>
      <c r="AW257" s="108">
        <f t="shared" ref="AW257:AW267" si="403">SUMIFS(F257:AO257,$F$7:$AO$7,"$PROFITS",$F$3:$AO$3,"BUDGET")</f>
        <v>1263.6312500000001</v>
      </c>
      <c r="AY257" s="53"/>
      <c r="AZ257" s="74"/>
      <c r="BA257" s="108">
        <f>+[2]VOLKS!$L$254</f>
        <v>7215.04</v>
      </c>
      <c r="BC257" s="53"/>
      <c r="BD257" s="74"/>
      <c r="BE257" s="109">
        <f t="shared" ref="BE257:BE267" si="404">+BA257-AS257</f>
        <v>0</v>
      </c>
    </row>
    <row r="258" spans="1:57" s="15" customFormat="1" ht="20.25">
      <c r="A258" s="15" t="s">
        <v>60</v>
      </c>
      <c r="B258" s="129" t="s">
        <v>61</v>
      </c>
      <c r="C258" s="34"/>
      <c r="D258" s="72"/>
      <c r="E258" s="104">
        <f t="shared" si="401"/>
        <v>51126.954615384609</v>
      </c>
      <c r="F258" s="34"/>
      <c r="G258" s="72"/>
      <c r="H258" s="104">
        <v>3826.58</v>
      </c>
      <c r="I258" s="34"/>
      <c r="J258" s="72"/>
      <c r="K258" s="104">
        <v>3202.8</v>
      </c>
      <c r="L258" s="34"/>
      <c r="M258" s="72"/>
      <c r="N258" s="104">
        <v>4140.6099999999997</v>
      </c>
      <c r="O258" s="34"/>
      <c r="P258" s="72"/>
      <c r="Q258" s="104">
        <v>4215.95</v>
      </c>
      <c r="R258" s="34"/>
      <c r="S258" s="72"/>
      <c r="T258" s="104">
        <v>4976.26</v>
      </c>
      <c r="U258" s="34"/>
      <c r="V258" s="72"/>
      <c r="W258" s="104">
        <v>3859.88</v>
      </c>
      <c r="X258" s="34"/>
      <c r="Y258" s="72"/>
      <c r="Z258" s="104">
        <v>1523.66</v>
      </c>
      <c r="AA258" s="34"/>
      <c r="AB258" s="72"/>
      <c r="AC258" s="104">
        <f>+[1]VOLKS!$L$255</f>
        <v>4910.42</v>
      </c>
      <c r="AD258" s="34"/>
      <c r="AE258" s="72"/>
      <c r="AF258" s="104">
        <v>4847.8046153846153</v>
      </c>
      <c r="AG258" s="34"/>
      <c r="AH258" s="72"/>
      <c r="AI258" s="104">
        <v>5927.3807692307682</v>
      </c>
      <c r="AJ258" s="34"/>
      <c r="AK258" s="72"/>
      <c r="AL258" s="105">
        <v>4847.8046153846153</v>
      </c>
      <c r="AM258" s="34"/>
      <c r="AN258" s="72"/>
      <c r="AO258" s="105">
        <v>4847.8046153846153</v>
      </c>
      <c r="AQ258" s="53"/>
      <c r="AR258" s="74"/>
      <c r="AS258" s="108">
        <f t="shared" si="402"/>
        <v>30656.159999999996</v>
      </c>
      <c r="AU258" s="53"/>
      <c r="AV258" s="74"/>
      <c r="AW258" s="108">
        <f t="shared" si="403"/>
        <v>20470.794615384613</v>
      </c>
      <c r="AY258" s="53"/>
      <c r="AZ258" s="74"/>
      <c r="BA258" s="108">
        <f>+[2]VOLKS!$L$255</f>
        <v>30656.16</v>
      </c>
      <c r="BC258" s="53"/>
      <c r="BD258" s="74"/>
      <c r="BE258" s="109">
        <f t="shared" si="404"/>
        <v>0</v>
      </c>
    </row>
    <row r="259" spans="1:57" s="15" customFormat="1" ht="20.25">
      <c r="A259" s="15" t="s">
        <v>60</v>
      </c>
      <c r="B259" s="128" t="s">
        <v>62</v>
      </c>
      <c r="C259" s="23"/>
      <c r="D259" s="130"/>
      <c r="E259" s="131">
        <f t="shared" si="401"/>
        <v>75.145769230769233</v>
      </c>
      <c r="F259" s="23"/>
      <c r="G259" s="130"/>
      <c r="H259" s="131">
        <v>0.08</v>
      </c>
      <c r="I259" s="23"/>
      <c r="J259" s="130"/>
      <c r="K259" s="131">
        <v>0.08</v>
      </c>
      <c r="L259" s="23"/>
      <c r="M259" s="130"/>
      <c r="N259" s="131">
        <v>0.08</v>
      </c>
      <c r="O259" s="23"/>
      <c r="P259" s="130"/>
      <c r="Q259" s="131">
        <v>0.08</v>
      </c>
      <c r="R259" s="23"/>
      <c r="S259" s="130"/>
      <c r="T259" s="131">
        <v>0.08</v>
      </c>
      <c r="U259" s="23"/>
      <c r="V259" s="130"/>
      <c r="W259" s="131">
        <v>0.08</v>
      </c>
      <c r="X259" s="23"/>
      <c r="Y259" s="130"/>
      <c r="Z259" s="131">
        <v>0.08</v>
      </c>
      <c r="AA259" s="23"/>
      <c r="AB259" s="130"/>
      <c r="AC259" s="131">
        <f>+[1]VOLKS!$L$256</f>
        <v>0.08</v>
      </c>
      <c r="AD259" s="23"/>
      <c r="AE259" s="130"/>
      <c r="AF259" s="131">
        <v>17.530769230769231</v>
      </c>
      <c r="AG259" s="23"/>
      <c r="AH259" s="130"/>
      <c r="AI259" s="131">
        <v>21.91346153846154</v>
      </c>
      <c r="AJ259" s="23"/>
      <c r="AK259" s="130"/>
      <c r="AL259" s="132">
        <v>17.530769230769231</v>
      </c>
      <c r="AM259" s="23"/>
      <c r="AN259" s="130"/>
      <c r="AO259" s="132">
        <v>17.530769230769231</v>
      </c>
      <c r="AQ259" s="133"/>
      <c r="AR259" s="134"/>
      <c r="AS259" s="135">
        <f t="shared" si="402"/>
        <v>0.64</v>
      </c>
      <c r="AU259" s="133"/>
      <c r="AV259" s="134"/>
      <c r="AW259" s="135">
        <f t="shared" si="403"/>
        <v>74.505769230769232</v>
      </c>
      <c r="AY259" s="133"/>
      <c r="AZ259" s="134"/>
      <c r="BA259" s="135">
        <f>+[2]VOLKS!$L$256</f>
        <v>0.64</v>
      </c>
      <c r="BC259" s="133"/>
      <c r="BD259" s="134"/>
      <c r="BE259" s="136">
        <f t="shared" si="404"/>
        <v>0</v>
      </c>
    </row>
    <row r="260" spans="1:57" s="15" customFormat="1" ht="20.25">
      <c r="A260" s="15" t="s">
        <v>60</v>
      </c>
      <c r="B260" s="128" t="s">
        <v>63</v>
      </c>
      <c r="C260" s="34"/>
      <c r="D260" s="72"/>
      <c r="E260" s="104">
        <f t="shared" si="401"/>
        <v>0</v>
      </c>
      <c r="F260" s="34"/>
      <c r="G260" s="72"/>
      <c r="H260" s="104">
        <v>0</v>
      </c>
      <c r="I260" s="34"/>
      <c r="J260" s="72"/>
      <c r="K260" s="104">
        <v>0</v>
      </c>
      <c r="L260" s="34"/>
      <c r="M260" s="72"/>
      <c r="N260" s="104">
        <v>0</v>
      </c>
      <c r="O260" s="34"/>
      <c r="P260" s="72"/>
      <c r="Q260" s="104">
        <v>0</v>
      </c>
      <c r="R260" s="34"/>
      <c r="S260" s="72"/>
      <c r="T260" s="104">
        <v>0</v>
      </c>
      <c r="U260" s="34"/>
      <c r="V260" s="72"/>
      <c r="W260" s="104">
        <v>0</v>
      </c>
      <c r="X260" s="34"/>
      <c r="Y260" s="72"/>
      <c r="Z260" s="104">
        <v>0</v>
      </c>
      <c r="AA260" s="34"/>
      <c r="AB260" s="72"/>
      <c r="AC260" s="104">
        <f>+[1]VOLKS!$L$257</f>
        <v>0</v>
      </c>
      <c r="AD260" s="34"/>
      <c r="AE260" s="72"/>
      <c r="AF260" s="104">
        <v>0</v>
      </c>
      <c r="AG260" s="34"/>
      <c r="AH260" s="72"/>
      <c r="AI260" s="104">
        <v>0</v>
      </c>
      <c r="AJ260" s="34"/>
      <c r="AK260" s="72"/>
      <c r="AL260" s="105">
        <v>0</v>
      </c>
      <c r="AM260" s="34"/>
      <c r="AN260" s="72"/>
      <c r="AO260" s="105">
        <v>0</v>
      </c>
      <c r="AQ260" s="53"/>
      <c r="AR260" s="74"/>
      <c r="AS260" s="108">
        <f t="shared" si="402"/>
        <v>0</v>
      </c>
      <c r="AU260" s="53"/>
      <c r="AV260" s="74"/>
      <c r="AW260" s="108">
        <f t="shared" si="403"/>
        <v>0</v>
      </c>
      <c r="AY260" s="53"/>
      <c r="AZ260" s="74"/>
      <c r="BA260" s="108">
        <f>+[2]VOLKS!$L$257</f>
        <v>0</v>
      </c>
      <c r="BC260" s="53"/>
      <c r="BD260" s="74"/>
      <c r="BE260" s="109">
        <f t="shared" si="404"/>
        <v>0</v>
      </c>
    </row>
    <row r="261" spans="1:57" s="15" customFormat="1" ht="20.25" hidden="1" customHeight="1">
      <c r="B261" s="34"/>
      <c r="C261" s="34"/>
      <c r="D261" s="72"/>
      <c r="E261" s="104"/>
      <c r="F261" s="34"/>
      <c r="G261" s="72"/>
      <c r="H261" s="104"/>
      <c r="I261" s="34"/>
      <c r="J261" s="72"/>
      <c r="K261" s="104"/>
      <c r="L261" s="34"/>
      <c r="M261" s="72"/>
      <c r="N261" s="104"/>
      <c r="O261" s="34"/>
      <c r="P261" s="72"/>
      <c r="Q261" s="104"/>
      <c r="R261" s="34"/>
      <c r="S261" s="72"/>
      <c r="T261" s="104"/>
      <c r="U261" s="34"/>
      <c r="V261" s="72"/>
      <c r="W261" s="104"/>
      <c r="X261" s="34"/>
      <c r="Y261" s="72"/>
      <c r="Z261" s="104"/>
      <c r="AA261" s="34"/>
      <c r="AB261" s="72"/>
      <c r="AC261" s="104"/>
      <c r="AD261" s="34"/>
      <c r="AE261" s="72"/>
      <c r="AF261" s="104"/>
      <c r="AG261" s="34"/>
      <c r="AH261" s="72"/>
      <c r="AI261" s="104"/>
      <c r="AJ261" s="34"/>
      <c r="AK261" s="72"/>
      <c r="AL261" s="105"/>
      <c r="AM261" s="34"/>
      <c r="AN261" s="72"/>
      <c r="AO261" s="105"/>
      <c r="AQ261" s="53"/>
      <c r="AR261" s="74"/>
      <c r="AS261" s="108"/>
      <c r="AU261" s="53"/>
      <c r="AV261" s="74"/>
      <c r="AW261" s="108"/>
      <c r="AY261" s="53"/>
      <c r="AZ261" s="74"/>
      <c r="BA261" s="108"/>
      <c r="BC261" s="53"/>
      <c r="BD261" s="74"/>
      <c r="BE261" s="109"/>
    </row>
    <row r="262" spans="1:57" s="15" customFormat="1" ht="20.25" hidden="1" customHeight="1">
      <c r="B262" s="34"/>
      <c r="C262" s="34"/>
      <c r="D262" s="72"/>
      <c r="E262" s="104"/>
      <c r="F262" s="34"/>
      <c r="G262" s="72"/>
      <c r="H262" s="104"/>
      <c r="I262" s="34"/>
      <c r="J262" s="72"/>
      <c r="K262" s="104"/>
      <c r="L262" s="34"/>
      <c r="M262" s="72"/>
      <c r="N262" s="104"/>
      <c r="O262" s="34"/>
      <c r="P262" s="72"/>
      <c r="Q262" s="104"/>
      <c r="R262" s="34"/>
      <c r="S262" s="72"/>
      <c r="T262" s="104"/>
      <c r="U262" s="34"/>
      <c r="V262" s="72"/>
      <c r="W262" s="104"/>
      <c r="X262" s="34"/>
      <c r="Y262" s="72"/>
      <c r="Z262" s="104"/>
      <c r="AA262" s="34"/>
      <c r="AB262" s="72"/>
      <c r="AC262" s="104"/>
      <c r="AD262" s="34"/>
      <c r="AE262" s="72"/>
      <c r="AF262" s="104"/>
      <c r="AG262" s="34"/>
      <c r="AH262" s="72"/>
      <c r="AI262" s="104"/>
      <c r="AJ262" s="34"/>
      <c r="AK262" s="72"/>
      <c r="AL262" s="105"/>
      <c r="AM262" s="34"/>
      <c r="AN262" s="72"/>
      <c r="AO262" s="105"/>
      <c r="AQ262" s="53"/>
      <c r="AR262" s="74"/>
      <c r="AS262" s="108"/>
      <c r="AU262" s="53"/>
      <c r="AV262" s="74"/>
      <c r="AW262" s="108"/>
      <c r="AY262" s="53"/>
      <c r="AZ262" s="74"/>
      <c r="BA262" s="108"/>
      <c r="BC262" s="53"/>
      <c r="BD262" s="74"/>
      <c r="BE262" s="109"/>
    </row>
    <row r="263" spans="1:57" s="15" customFormat="1" ht="20.25" hidden="1" customHeight="1">
      <c r="B263" s="34"/>
      <c r="C263" s="34"/>
      <c r="D263" s="72"/>
      <c r="E263" s="104"/>
      <c r="F263" s="34"/>
      <c r="G263" s="72"/>
      <c r="H263" s="104"/>
      <c r="I263" s="34"/>
      <c r="J263" s="72"/>
      <c r="K263" s="104"/>
      <c r="L263" s="34"/>
      <c r="M263" s="72"/>
      <c r="N263" s="104"/>
      <c r="O263" s="34"/>
      <c r="P263" s="72"/>
      <c r="Q263" s="104"/>
      <c r="R263" s="34"/>
      <c r="S263" s="72"/>
      <c r="T263" s="104"/>
      <c r="U263" s="34"/>
      <c r="V263" s="72"/>
      <c r="W263" s="104"/>
      <c r="X263" s="34"/>
      <c r="Y263" s="72"/>
      <c r="Z263" s="104"/>
      <c r="AA263" s="34"/>
      <c r="AB263" s="72"/>
      <c r="AC263" s="104"/>
      <c r="AD263" s="34"/>
      <c r="AE263" s="72"/>
      <c r="AF263" s="104"/>
      <c r="AG263" s="34"/>
      <c r="AH263" s="72"/>
      <c r="AI263" s="104"/>
      <c r="AJ263" s="34"/>
      <c r="AK263" s="72"/>
      <c r="AL263" s="105"/>
      <c r="AM263" s="34"/>
      <c r="AN263" s="72"/>
      <c r="AO263" s="105"/>
      <c r="AQ263" s="53"/>
      <c r="AR263" s="74"/>
      <c r="AS263" s="108"/>
      <c r="AU263" s="53"/>
      <c r="AV263" s="74"/>
      <c r="AW263" s="108"/>
      <c r="AY263" s="53"/>
      <c r="AZ263" s="74"/>
      <c r="BA263" s="108"/>
      <c r="BC263" s="53"/>
      <c r="BD263" s="74"/>
      <c r="BE263" s="109"/>
    </row>
    <row r="264" spans="1:57" s="15" customFormat="1" ht="20.25">
      <c r="A264" s="15" t="s">
        <v>64</v>
      </c>
      <c r="B264" s="129" t="s">
        <v>65</v>
      </c>
      <c r="C264" s="34"/>
      <c r="D264" s="72"/>
      <c r="E264" s="104">
        <f t="shared" si="401"/>
        <v>6416.7713607211535</v>
      </c>
      <c r="F264" s="34"/>
      <c r="G264" s="72"/>
      <c r="H264" s="104">
        <v>476.39</v>
      </c>
      <c r="I264" s="34"/>
      <c r="J264" s="72"/>
      <c r="K264" s="104">
        <v>292.58999999999997</v>
      </c>
      <c r="L264" s="34"/>
      <c r="M264" s="72"/>
      <c r="N264" s="104">
        <v>244.69</v>
      </c>
      <c r="O264" s="34"/>
      <c r="P264" s="72"/>
      <c r="Q264" s="104">
        <v>537.70000000000005</v>
      </c>
      <c r="R264" s="34"/>
      <c r="S264" s="72"/>
      <c r="T264" s="104">
        <v>572.55999999999995</v>
      </c>
      <c r="U264" s="34"/>
      <c r="V264" s="72"/>
      <c r="W264" s="104">
        <v>567.5</v>
      </c>
      <c r="X264" s="34"/>
      <c r="Y264" s="72"/>
      <c r="Z264" s="104">
        <v>810.54</v>
      </c>
      <c r="AA264" s="34"/>
      <c r="AB264" s="72"/>
      <c r="AC264" s="104">
        <f>+[1]VOLKS!$L$261</f>
        <v>295.61</v>
      </c>
      <c r="AD264" s="34"/>
      <c r="AE264" s="72"/>
      <c r="AF264" s="104">
        <v>619.8155113461537</v>
      </c>
      <c r="AG264" s="34"/>
      <c r="AH264" s="72"/>
      <c r="AI264" s="104">
        <v>759.74482668269218</v>
      </c>
      <c r="AJ264" s="34"/>
      <c r="AK264" s="72"/>
      <c r="AL264" s="105">
        <v>619.8155113461537</v>
      </c>
      <c r="AM264" s="34"/>
      <c r="AN264" s="72"/>
      <c r="AO264" s="105">
        <v>619.8155113461537</v>
      </c>
      <c r="AQ264" s="53"/>
      <c r="AR264" s="74"/>
      <c r="AS264" s="108">
        <f t="shared" si="402"/>
        <v>3797.5800000000004</v>
      </c>
      <c r="AU264" s="53"/>
      <c r="AV264" s="74"/>
      <c r="AW264" s="108">
        <f t="shared" si="403"/>
        <v>2619.1913607211532</v>
      </c>
      <c r="AY264" s="53"/>
      <c r="AZ264" s="74"/>
      <c r="BA264" s="108">
        <f>+[2]VOLKS!$L$261</f>
        <v>3797.58</v>
      </c>
      <c r="BC264" s="53"/>
      <c r="BD264" s="74"/>
      <c r="BE264" s="109">
        <f t="shared" si="404"/>
        <v>0</v>
      </c>
    </row>
    <row r="265" spans="1:57" s="15" customFormat="1" ht="20.25">
      <c r="A265" s="15" t="s">
        <v>66</v>
      </c>
      <c r="B265" s="128" t="s">
        <v>67</v>
      </c>
      <c r="C265" s="23"/>
      <c r="D265" s="130"/>
      <c r="E265" s="131">
        <f t="shared" si="401"/>
        <v>14142.317469423078</v>
      </c>
      <c r="F265" s="23"/>
      <c r="G265" s="130"/>
      <c r="H265" s="131">
        <v>1514.63</v>
      </c>
      <c r="I265" s="23"/>
      <c r="J265" s="130"/>
      <c r="K265" s="131">
        <v>1514.91</v>
      </c>
      <c r="L265" s="23"/>
      <c r="M265" s="130"/>
      <c r="N265" s="131">
        <v>1234.45</v>
      </c>
      <c r="O265" s="23"/>
      <c r="P265" s="130"/>
      <c r="Q265" s="131">
        <v>1369.98</v>
      </c>
      <c r="R265" s="23"/>
      <c r="S265" s="130"/>
      <c r="T265" s="131">
        <v>1444.17</v>
      </c>
      <c r="U265" s="23"/>
      <c r="V265" s="130"/>
      <c r="W265" s="131">
        <v>1253.82</v>
      </c>
      <c r="X265" s="23"/>
      <c r="Y265" s="130"/>
      <c r="Z265" s="131">
        <v>1273.5999999999999</v>
      </c>
      <c r="AA265" s="23"/>
      <c r="AB265" s="130"/>
      <c r="AC265" s="131">
        <f>+[1]VOLKS!$L$262</f>
        <v>1352.19</v>
      </c>
      <c r="AD265" s="23"/>
      <c r="AE265" s="130"/>
      <c r="AF265" s="131">
        <v>753.60828692307689</v>
      </c>
      <c r="AG265" s="23"/>
      <c r="AH265" s="130"/>
      <c r="AI265" s="131">
        <v>923.7426086538461</v>
      </c>
      <c r="AJ265" s="23"/>
      <c r="AK265" s="130"/>
      <c r="AL265" s="132">
        <v>753.60828692307689</v>
      </c>
      <c r="AM265" s="23"/>
      <c r="AN265" s="130"/>
      <c r="AO265" s="132">
        <v>753.60828692307689</v>
      </c>
      <c r="AQ265" s="133"/>
      <c r="AR265" s="134"/>
      <c r="AS265" s="135">
        <f t="shared" si="402"/>
        <v>10957.75</v>
      </c>
      <c r="AU265" s="133"/>
      <c r="AV265" s="134"/>
      <c r="AW265" s="135">
        <f t="shared" si="403"/>
        <v>3184.5674694230765</v>
      </c>
      <c r="AY265" s="133"/>
      <c r="AZ265" s="134"/>
      <c r="BA265" s="135">
        <f>+[2]VOLKS!$L$262</f>
        <v>10957.75</v>
      </c>
      <c r="BC265" s="133"/>
      <c r="BD265" s="134"/>
      <c r="BE265" s="136">
        <f t="shared" si="404"/>
        <v>0</v>
      </c>
    </row>
    <row r="266" spans="1:57" s="15" customFormat="1" ht="20.25">
      <c r="A266" s="15" t="s">
        <v>68</v>
      </c>
      <c r="B266" s="137" t="s">
        <v>69</v>
      </c>
      <c r="C266" s="34"/>
      <c r="D266" s="72"/>
      <c r="E266" s="104">
        <f t="shared" si="401"/>
        <v>3591.8045440288438</v>
      </c>
      <c r="F266" s="34"/>
      <c r="G266" s="72"/>
      <c r="H266" s="104">
        <v>509.87</v>
      </c>
      <c r="I266" s="34"/>
      <c r="J266" s="72"/>
      <c r="K266" s="104">
        <v>383.38</v>
      </c>
      <c r="L266" s="34"/>
      <c r="M266" s="72"/>
      <c r="N266" s="104">
        <v>383.32</v>
      </c>
      <c r="O266" s="34"/>
      <c r="P266" s="72"/>
      <c r="Q266" s="104">
        <v>382.41999999999899</v>
      </c>
      <c r="R266" s="34"/>
      <c r="S266" s="72"/>
      <c r="T266" s="104">
        <v>463.91999999999899</v>
      </c>
      <c r="U266" s="34"/>
      <c r="V266" s="72"/>
      <c r="W266" s="104">
        <v>-396.9</v>
      </c>
      <c r="X266" s="34"/>
      <c r="Y266" s="72"/>
      <c r="Z266" s="104">
        <v>111.41</v>
      </c>
      <c r="AA266" s="34"/>
      <c r="AB266" s="72"/>
      <c r="AC266" s="104">
        <f>+[1]VOLKS!$L$263</f>
        <v>113.64</v>
      </c>
      <c r="AD266" s="34"/>
      <c r="AE266" s="72"/>
      <c r="AF266" s="104">
        <v>388.27209565384607</v>
      </c>
      <c r="AG266" s="34"/>
      <c r="AH266" s="72"/>
      <c r="AI266" s="104">
        <v>475.92825706730758</v>
      </c>
      <c r="AJ266" s="34"/>
      <c r="AK266" s="72"/>
      <c r="AL266" s="105">
        <v>388.27209565384607</v>
      </c>
      <c r="AM266" s="34"/>
      <c r="AN266" s="72"/>
      <c r="AO266" s="105">
        <v>388.27209565384607</v>
      </c>
      <c r="AQ266" s="53"/>
      <c r="AR266" s="74"/>
      <c r="AS266" s="108">
        <f t="shared" si="402"/>
        <v>1951.0599999999981</v>
      </c>
      <c r="AU266" s="53"/>
      <c r="AV266" s="74"/>
      <c r="AW266" s="108">
        <f t="shared" si="403"/>
        <v>1640.7445440288457</v>
      </c>
      <c r="AY266" s="53"/>
      <c r="AZ266" s="74"/>
      <c r="BA266" s="108">
        <f>+[2]VOLKS!$L$263</f>
        <v>1951.06</v>
      </c>
      <c r="BC266" s="53"/>
      <c r="BD266" s="74"/>
      <c r="BE266" s="109">
        <f t="shared" si="404"/>
        <v>1.8189894035458565E-12</v>
      </c>
    </row>
    <row r="267" spans="1:57" s="15" customFormat="1" ht="20.25">
      <c r="A267" s="15" t="s">
        <v>70</v>
      </c>
      <c r="B267" s="128" t="s">
        <v>71</v>
      </c>
      <c r="C267" s="34"/>
      <c r="D267" s="72"/>
      <c r="E267" s="104">
        <f t="shared" si="401"/>
        <v>2489.8338518269234</v>
      </c>
      <c r="F267" s="34"/>
      <c r="G267" s="72"/>
      <c r="H267" s="104">
        <v>170.57</v>
      </c>
      <c r="I267" s="34"/>
      <c r="J267" s="72"/>
      <c r="K267" s="104">
        <v>340.27</v>
      </c>
      <c r="L267" s="34"/>
      <c r="M267" s="72"/>
      <c r="N267" s="104">
        <v>203.82</v>
      </c>
      <c r="O267" s="34"/>
      <c r="P267" s="72"/>
      <c r="Q267" s="104">
        <v>341.14</v>
      </c>
      <c r="R267" s="34"/>
      <c r="S267" s="72"/>
      <c r="T267" s="104">
        <v>164.21</v>
      </c>
      <c r="U267" s="34"/>
      <c r="V267" s="72"/>
      <c r="W267" s="104">
        <v>131.69999999999999</v>
      </c>
      <c r="X267" s="34"/>
      <c r="Y267" s="72"/>
      <c r="Z267" s="104">
        <v>299.07</v>
      </c>
      <c r="AA267" s="34"/>
      <c r="AB267" s="72"/>
      <c r="AC267" s="104">
        <f>+[1]VOLKS!$L$264</f>
        <v>123.68</v>
      </c>
      <c r="AD267" s="34"/>
      <c r="AE267" s="72"/>
      <c r="AF267" s="104">
        <v>169.28881807692304</v>
      </c>
      <c r="AG267" s="34"/>
      <c r="AH267" s="72"/>
      <c r="AI267" s="104">
        <v>207.50739759615382</v>
      </c>
      <c r="AJ267" s="34"/>
      <c r="AK267" s="72"/>
      <c r="AL267" s="105">
        <v>169.28881807692304</v>
      </c>
      <c r="AM267" s="34"/>
      <c r="AN267" s="72"/>
      <c r="AO267" s="105">
        <v>169.28881807692304</v>
      </c>
      <c r="AQ267" s="53"/>
      <c r="AR267" s="74"/>
      <c r="AS267" s="108">
        <f t="shared" si="402"/>
        <v>1774.46</v>
      </c>
      <c r="AU267" s="53"/>
      <c r="AV267" s="74"/>
      <c r="AW267" s="108">
        <f t="shared" si="403"/>
        <v>715.37385182692287</v>
      </c>
      <c r="AY267" s="53"/>
      <c r="AZ267" s="74"/>
      <c r="BA267" s="108">
        <f>+[2]VOLKS!$L$264</f>
        <v>1774.46</v>
      </c>
      <c r="BC267" s="53"/>
      <c r="BD267" s="74"/>
      <c r="BE267" s="109">
        <f t="shared" si="404"/>
        <v>0</v>
      </c>
    </row>
    <row r="268" spans="1:57" s="15" customFormat="1" ht="20.25" hidden="1" customHeight="1">
      <c r="A268" s="15" t="s">
        <v>27</v>
      </c>
      <c r="B268" s="34" t="s">
        <v>129</v>
      </c>
      <c r="C268" s="28"/>
      <c r="D268" s="138"/>
      <c r="E268" s="139">
        <f t="shared" si="401"/>
        <v>0</v>
      </c>
      <c r="F268" s="28"/>
      <c r="G268" s="138"/>
      <c r="H268" s="139"/>
      <c r="I268" s="28"/>
      <c r="J268" s="138"/>
      <c r="K268" s="139"/>
      <c r="L268" s="28"/>
      <c r="M268" s="138"/>
      <c r="N268" s="139"/>
      <c r="O268" s="28"/>
      <c r="P268" s="138"/>
      <c r="Q268" s="139"/>
      <c r="R268" s="28"/>
      <c r="S268" s="138"/>
      <c r="T268" s="139"/>
      <c r="U268" s="28"/>
      <c r="V268" s="138"/>
      <c r="W268" s="139"/>
      <c r="X268" s="28"/>
      <c r="Y268" s="138"/>
      <c r="Z268" s="139"/>
      <c r="AA268" s="28"/>
      <c r="AB268" s="138"/>
      <c r="AC268" s="139"/>
      <c r="AD268" s="28"/>
      <c r="AE268" s="138"/>
      <c r="AF268" s="139"/>
      <c r="AG268" s="28"/>
      <c r="AH268" s="138"/>
      <c r="AI268" s="139"/>
      <c r="AJ268" s="28"/>
      <c r="AK268" s="138"/>
      <c r="AL268" s="139"/>
      <c r="AM268" s="28"/>
      <c r="AN268" s="138"/>
      <c r="AO268" s="139"/>
      <c r="AQ268" s="119"/>
      <c r="AR268" s="140"/>
      <c r="AS268" s="141"/>
      <c r="AU268" s="119"/>
      <c r="AV268" s="140"/>
      <c r="AW268" s="141"/>
      <c r="AY268" s="119"/>
      <c r="AZ268" s="140"/>
      <c r="BA268" s="141"/>
      <c r="BC268" s="119"/>
      <c r="BD268" s="140"/>
      <c r="BE268" s="142"/>
    </row>
    <row r="269" spans="1:57" s="15" customFormat="1" ht="20.25">
      <c r="A269" s="15" t="s">
        <v>27</v>
      </c>
      <c r="B269" s="120" t="s">
        <v>72</v>
      </c>
      <c r="C269" s="121" t="s">
        <v>57</v>
      </c>
      <c r="D269" s="122">
        <f>IFERROR(E269/E$247,0)</f>
        <v>0</v>
      </c>
      <c r="E269" s="123">
        <f>+SUM(E257:E268)</f>
        <v>86321.498860615378</v>
      </c>
      <c r="F269" s="121" t="s">
        <v>57</v>
      </c>
      <c r="G269" s="122">
        <f>IFERROR(H269/H$246,0)</f>
        <v>0</v>
      </c>
      <c r="H269" s="123">
        <f>+SUM(H257:H268)</f>
        <v>7400</v>
      </c>
      <c r="I269" s="121" t="s">
        <v>57</v>
      </c>
      <c r="J269" s="122">
        <f>IFERROR(K269/K$246,0)</f>
        <v>0</v>
      </c>
      <c r="K269" s="123">
        <f>+SUM(K257:K268)</f>
        <v>6635.91</v>
      </c>
      <c r="L269" s="121" t="s">
        <v>57</v>
      </c>
      <c r="M269" s="122">
        <f>IFERROR(N269/N$246,0)</f>
        <v>0</v>
      </c>
      <c r="N269" s="123">
        <f>+SUM(N257:N268)</f>
        <v>7108.8499999999985</v>
      </c>
      <c r="O269" s="121" t="s">
        <v>57</v>
      </c>
      <c r="P269" s="122">
        <f>IFERROR(Q269/Q$246,0)</f>
        <v>0</v>
      </c>
      <c r="Q269" s="123">
        <f>+SUM(Q257:Q268)</f>
        <v>7749.15</v>
      </c>
      <c r="R269" s="121" t="s">
        <v>57</v>
      </c>
      <c r="S269" s="122">
        <f>IFERROR(T269/T$246,0)</f>
        <v>0</v>
      </c>
      <c r="T269" s="123">
        <f>+SUM(T257:T268)</f>
        <v>8523.0799999999981</v>
      </c>
      <c r="U269" s="121" t="s">
        <v>57</v>
      </c>
      <c r="V269" s="122">
        <f>IFERROR(W269/W$246,0)</f>
        <v>0</v>
      </c>
      <c r="W269" s="124">
        <f>+SUM(W257:W268)</f>
        <v>6317.96</v>
      </c>
      <c r="X269" s="121" t="s">
        <v>57</v>
      </c>
      <c r="Y269" s="122">
        <f>IFERROR(Z269/Z$246,0)</f>
        <v>0</v>
      </c>
      <c r="Z269" s="124">
        <f>+SUM(Z257:Z268)</f>
        <v>4920.24</v>
      </c>
      <c r="AA269" s="121" t="s">
        <v>57</v>
      </c>
      <c r="AB269" s="122">
        <f>IFERROR(AC269/AC$246,0)</f>
        <v>0</v>
      </c>
      <c r="AC269" s="124">
        <f>+SUM(AC257:AC268)</f>
        <v>7697.5000000000009</v>
      </c>
      <c r="AD269" s="121" t="s">
        <v>57</v>
      </c>
      <c r="AE269" s="122">
        <v>0</v>
      </c>
      <c r="AF269" s="123">
        <v>7093.6450966153834</v>
      </c>
      <c r="AG269" s="121" t="s">
        <v>57</v>
      </c>
      <c r="AH269" s="122">
        <v>0</v>
      </c>
      <c r="AI269" s="123">
        <v>8687.8735707692285</v>
      </c>
      <c r="AJ269" s="121" t="s">
        <v>57</v>
      </c>
      <c r="AK269" s="122">
        <v>0</v>
      </c>
      <c r="AL269" s="123">
        <v>7093.6450966153834</v>
      </c>
      <c r="AM269" s="121" t="s">
        <v>57</v>
      </c>
      <c r="AN269" s="122">
        <v>0</v>
      </c>
      <c r="AO269" s="123">
        <v>7093.6450966153834</v>
      </c>
      <c r="AQ269" s="121" t="s">
        <v>57</v>
      </c>
      <c r="AR269" s="125">
        <f t="shared" ref="AR269" si="405">IFERROR(AS269/AS$247,0)</f>
        <v>0</v>
      </c>
      <c r="AS269" s="126">
        <f t="shared" ref="AS269" si="406">+SUM(AS257:AS268)</f>
        <v>56352.689999999995</v>
      </c>
      <c r="AU269" s="121" t="s">
        <v>57</v>
      </c>
      <c r="AV269" s="125">
        <f t="shared" ref="AV269" si="407">IFERROR(AW269/AW$247,0)</f>
        <v>0</v>
      </c>
      <c r="AW269" s="126">
        <f t="shared" ref="AW269" si="408">+SUM(AW257:AW268)</f>
        <v>29968.808860615383</v>
      </c>
      <c r="AY269" s="121" t="s">
        <v>57</v>
      </c>
      <c r="AZ269" s="125">
        <f>IFERROR(BA269/BA$246,0)</f>
        <v>0</v>
      </c>
      <c r="BA269" s="126">
        <f>+SUM(BA257:BA268)</f>
        <v>56352.689999999995</v>
      </c>
      <c r="BC269" s="121" t="s">
        <v>57</v>
      </c>
      <c r="BD269" s="125"/>
      <c r="BE269" s="127">
        <f t="shared" ref="BE269" si="409">+SUM(BE257:BE268)</f>
        <v>1.8189894035458565E-12</v>
      </c>
    </row>
    <row r="270" spans="1:57" s="15" customFormat="1" ht="20.25">
      <c r="A270" s="15" t="s">
        <v>52</v>
      </c>
      <c r="B270" s="304" t="s">
        <v>73</v>
      </c>
      <c r="C270" s="34"/>
      <c r="D270" s="72"/>
      <c r="E270" s="104">
        <f t="shared" ref="E270:E284" si="410">+SUM(H270,K270,N270,Q270,T270,W270,Z270,AC270,AF270,AI270,AL270,AO270)</f>
        <v>458.00333333333327</v>
      </c>
      <c r="F270" s="34"/>
      <c r="G270" s="72"/>
      <c r="H270" s="104">
        <v>7</v>
      </c>
      <c r="I270" s="34"/>
      <c r="J270" s="72"/>
      <c r="K270" s="104">
        <v>24.5</v>
      </c>
      <c r="L270" s="34"/>
      <c r="M270" s="72"/>
      <c r="N270" s="104">
        <v>40.25</v>
      </c>
      <c r="O270" s="34"/>
      <c r="P270" s="72"/>
      <c r="Q270" s="104">
        <v>28</v>
      </c>
      <c r="R270" s="34"/>
      <c r="S270" s="72"/>
      <c r="T270" s="104">
        <v>3.5</v>
      </c>
      <c r="U270" s="34"/>
      <c r="V270" s="72"/>
      <c r="W270" s="104">
        <v>33.46</v>
      </c>
      <c r="X270" s="34"/>
      <c r="Y270" s="72"/>
      <c r="Z270" s="104">
        <v>89.88</v>
      </c>
      <c r="AA270" s="34"/>
      <c r="AB270" s="72"/>
      <c r="AC270" s="104">
        <f>+[1]VOLKS!$L$267</f>
        <v>38.08</v>
      </c>
      <c r="AD270" s="34"/>
      <c r="AE270" s="72"/>
      <c r="AF270" s="104">
        <v>48.333333333333336</v>
      </c>
      <c r="AG270" s="34"/>
      <c r="AH270" s="72"/>
      <c r="AI270" s="104">
        <v>48.333333333333336</v>
      </c>
      <c r="AJ270" s="34"/>
      <c r="AK270" s="72"/>
      <c r="AL270" s="105">
        <v>48.333333333333336</v>
      </c>
      <c r="AM270" s="34"/>
      <c r="AN270" s="72"/>
      <c r="AO270" s="105">
        <v>48.333333333333336</v>
      </c>
      <c r="AQ270" s="53"/>
      <c r="AR270" s="74"/>
      <c r="AS270" s="108">
        <f t="shared" ref="AS270:AS284" si="411">SUMIFS(F270:AO270,$F$7:$AO$7,"$PROFITS",$F$3:$AO$3,"RÉEL")</f>
        <v>264.67</v>
      </c>
      <c r="AU270" s="53"/>
      <c r="AV270" s="74"/>
      <c r="AW270" s="108">
        <f t="shared" ref="AW270:AW284" si="412">SUMIFS(F270:AO270,$F$7:$AO$7,"$PROFITS",$F$3:$AO$3,"BUDGET")</f>
        <v>193.33333333333334</v>
      </c>
      <c r="AY270" s="53"/>
      <c r="AZ270" s="74"/>
      <c r="BA270" s="108">
        <f>+[2]VOLKS!$L$267</f>
        <v>264.67</v>
      </c>
      <c r="BC270" s="53"/>
      <c r="BD270" s="74"/>
      <c r="BE270" s="109">
        <f t="shared" ref="BE270:BE284" si="413">+BA270-AS270</f>
        <v>0</v>
      </c>
    </row>
    <row r="271" spans="1:57" s="15" customFormat="1" ht="20.25">
      <c r="A271" s="15" t="s">
        <v>49</v>
      </c>
      <c r="B271" s="128" t="s">
        <v>74</v>
      </c>
      <c r="C271" s="34"/>
      <c r="D271" s="72"/>
      <c r="E271" s="104">
        <f t="shared" si="410"/>
        <v>14573.431925122284</v>
      </c>
      <c r="F271" s="34"/>
      <c r="G271" s="72"/>
      <c r="H271" s="104">
        <v>11717.2</v>
      </c>
      <c r="I271" s="34"/>
      <c r="J271" s="72"/>
      <c r="K271" s="104">
        <v>0</v>
      </c>
      <c r="L271" s="34"/>
      <c r="M271" s="72"/>
      <c r="N271" s="104">
        <v>0</v>
      </c>
      <c r="O271" s="34"/>
      <c r="P271" s="72"/>
      <c r="Q271" s="104">
        <v>609.52</v>
      </c>
      <c r="R271" s="34"/>
      <c r="S271" s="72"/>
      <c r="T271" s="104">
        <v>0</v>
      </c>
      <c r="U271" s="34"/>
      <c r="V271" s="72"/>
      <c r="W271" s="104">
        <v>0</v>
      </c>
      <c r="X271" s="34"/>
      <c r="Y271" s="72"/>
      <c r="Z271" s="104">
        <v>0</v>
      </c>
      <c r="AA271" s="34"/>
      <c r="AB271" s="72"/>
      <c r="AC271" s="104">
        <f>+[1]VOLKS!$L$268</f>
        <v>0</v>
      </c>
      <c r="AD271" s="34"/>
      <c r="AE271" s="72"/>
      <c r="AF271" s="104">
        <v>561.67798128057109</v>
      </c>
      <c r="AG271" s="34"/>
      <c r="AH271" s="72"/>
      <c r="AI271" s="104">
        <v>561.67798128057109</v>
      </c>
      <c r="AJ271" s="34"/>
      <c r="AK271" s="72"/>
      <c r="AL271" s="105">
        <v>561.67798128057109</v>
      </c>
      <c r="AM271" s="34"/>
      <c r="AN271" s="72"/>
      <c r="AO271" s="105">
        <v>561.67798128057109</v>
      </c>
      <c r="AQ271" s="53"/>
      <c r="AR271" s="74"/>
      <c r="AS271" s="108">
        <f t="shared" si="411"/>
        <v>12326.720000000001</v>
      </c>
      <c r="AU271" s="53"/>
      <c r="AV271" s="74"/>
      <c r="AW271" s="108">
        <f t="shared" si="412"/>
        <v>2246.7119251222844</v>
      </c>
      <c r="AY271" s="53"/>
      <c r="AZ271" s="74"/>
      <c r="BA271" s="108">
        <f>+[2]VOLKS!$L$268</f>
        <v>12326.72</v>
      </c>
      <c r="BC271" s="53"/>
      <c r="BD271" s="74"/>
      <c r="BE271" s="109">
        <f t="shared" si="413"/>
        <v>0</v>
      </c>
    </row>
    <row r="272" spans="1:57" s="15" customFormat="1" ht="20.25">
      <c r="A272" s="15" t="s">
        <v>75</v>
      </c>
      <c r="B272" s="129" t="s">
        <v>76</v>
      </c>
      <c r="C272" s="28"/>
      <c r="D272" s="138"/>
      <c r="E272" s="112">
        <f t="shared" si="410"/>
        <v>1820.5944000000002</v>
      </c>
      <c r="F272" s="28"/>
      <c r="G272" s="138"/>
      <c r="H272" s="112">
        <v>177.91</v>
      </c>
      <c r="I272" s="28"/>
      <c r="J272" s="138"/>
      <c r="K272" s="112">
        <v>157.77000000000001</v>
      </c>
      <c r="L272" s="28"/>
      <c r="M272" s="138"/>
      <c r="N272" s="112">
        <v>157.77000000000001</v>
      </c>
      <c r="O272" s="28"/>
      <c r="P272" s="138"/>
      <c r="Q272" s="112">
        <v>157.77000000000001</v>
      </c>
      <c r="R272" s="28"/>
      <c r="S272" s="138"/>
      <c r="T272" s="112">
        <v>177.91</v>
      </c>
      <c r="U272" s="28"/>
      <c r="V272" s="138"/>
      <c r="W272" s="112">
        <v>157.77000000000001</v>
      </c>
      <c r="X272" s="28"/>
      <c r="Y272" s="138"/>
      <c r="Z272" s="112">
        <v>157.77000000000001</v>
      </c>
      <c r="AA272" s="28"/>
      <c r="AB272" s="138"/>
      <c r="AC272" s="112">
        <f>+[1]VOLKS!$L$269</f>
        <v>177.91</v>
      </c>
      <c r="AD272" s="28"/>
      <c r="AE272" s="138"/>
      <c r="AF272" s="112">
        <v>124.50360000000001</v>
      </c>
      <c r="AG272" s="28"/>
      <c r="AH272" s="138"/>
      <c r="AI272" s="112">
        <v>124.50360000000001</v>
      </c>
      <c r="AJ272" s="28"/>
      <c r="AK272" s="138"/>
      <c r="AL272" s="113">
        <v>124.50360000000001</v>
      </c>
      <c r="AM272" s="28"/>
      <c r="AN272" s="138"/>
      <c r="AO272" s="113">
        <v>124.50360000000001</v>
      </c>
      <c r="AQ272" s="119"/>
      <c r="AR272" s="140"/>
      <c r="AS272" s="117">
        <f t="shared" si="411"/>
        <v>1322.5800000000002</v>
      </c>
      <c r="AU272" s="119"/>
      <c r="AV272" s="140"/>
      <c r="AW272" s="117">
        <f t="shared" si="412"/>
        <v>498.01440000000002</v>
      </c>
      <c r="AY272" s="119"/>
      <c r="AZ272" s="140"/>
      <c r="BA272" s="117">
        <f>+[2]VOLKS!$L$269</f>
        <v>1322.58</v>
      </c>
      <c r="BC272" s="119"/>
      <c r="BD272" s="140"/>
      <c r="BE272" s="118">
        <f t="shared" si="413"/>
        <v>0</v>
      </c>
    </row>
    <row r="273" spans="1:57" s="15" customFormat="1" ht="20.25">
      <c r="A273" s="15" t="s">
        <v>77</v>
      </c>
      <c r="B273" s="128" t="s">
        <v>78</v>
      </c>
      <c r="C273" s="34"/>
      <c r="D273" s="72"/>
      <c r="E273" s="104">
        <f t="shared" si="410"/>
        <v>19326.087544951115</v>
      </c>
      <c r="F273" s="34"/>
      <c r="G273" s="72"/>
      <c r="H273" s="104">
        <v>2230.21</v>
      </c>
      <c r="I273" s="34"/>
      <c r="J273" s="72"/>
      <c r="K273" s="104">
        <v>1160.31</v>
      </c>
      <c r="L273" s="34"/>
      <c r="M273" s="72"/>
      <c r="N273" s="104">
        <v>1609.3</v>
      </c>
      <c r="O273" s="34"/>
      <c r="P273" s="72"/>
      <c r="Q273" s="104">
        <v>1872.86</v>
      </c>
      <c r="R273" s="34"/>
      <c r="S273" s="72"/>
      <c r="T273" s="104">
        <v>2065.0700000000002</v>
      </c>
      <c r="U273" s="34"/>
      <c r="V273" s="72"/>
      <c r="W273" s="104">
        <v>1449.66</v>
      </c>
      <c r="X273" s="34"/>
      <c r="Y273" s="72"/>
      <c r="Z273" s="104">
        <v>1544.79</v>
      </c>
      <c r="AA273" s="34"/>
      <c r="AB273" s="72"/>
      <c r="AC273" s="104">
        <f>+[1]VOLKS!$L$270</f>
        <v>1592.18</v>
      </c>
      <c r="AD273" s="34"/>
      <c r="AE273" s="72"/>
      <c r="AF273" s="104">
        <v>1450.4268862377776</v>
      </c>
      <c r="AG273" s="34"/>
      <c r="AH273" s="72"/>
      <c r="AI273" s="104">
        <v>1450.4268862377776</v>
      </c>
      <c r="AJ273" s="34"/>
      <c r="AK273" s="72"/>
      <c r="AL273" s="105">
        <v>1450.4268862377776</v>
      </c>
      <c r="AM273" s="34"/>
      <c r="AN273" s="72"/>
      <c r="AO273" s="105">
        <v>1450.4268862377776</v>
      </c>
      <c r="AQ273" s="53"/>
      <c r="AR273" s="74"/>
      <c r="AS273" s="108">
        <f t="shared" si="411"/>
        <v>13524.380000000001</v>
      </c>
      <c r="AU273" s="53"/>
      <c r="AV273" s="74"/>
      <c r="AW273" s="108">
        <f t="shared" si="412"/>
        <v>5801.7075449511103</v>
      </c>
      <c r="AY273" s="53"/>
      <c r="AZ273" s="74"/>
      <c r="BA273" s="108">
        <f>+[2]VOLKS!$L$270</f>
        <v>13524.38</v>
      </c>
      <c r="BC273" s="53"/>
      <c r="BD273" s="74"/>
      <c r="BE273" s="109">
        <f t="shared" si="413"/>
        <v>0</v>
      </c>
    </row>
    <row r="274" spans="1:57" s="15" customFormat="1" ht="20.25">
      <c r="A274" s="15" t="s">
        <v>79</v>
      </c>
      <c r="B274" s="128" t="s">
        <v>80</v>
      </c>
      <c r="C274" s="34"/>
      <c r="D274" s="72"/>
      <c r="E274" s="104">
        <f t="shared" si="410"/>
        <v>2877.5529535143273</v>
      </c>
      <c r="F274" s="34"/>
      <c r="G274" s="72"/>
      <c r="H274" s="104">
        <v>292.13</v>
      </c>
      <c r="I274" s="34"/>
      <c r="J274" s="72"/>
      <c r="K274" s="104">
        <v>203.97</v>
      </c>
      <c r="L274" s="34"/>
      <c r="M274" s="72"/>
      <c r="N274" s="104">
        <v>191.76</v>
      </c>
      <c r="O274" s="34"/>
      <c r="P274" s="72"/>
      <c r="Q274" s="104">
        <v>285.75</v>
      </c>
      <c r="R274" s="34"/>
      <c r="S274" s="72"/>
      <c r="T274" s="104">
        <v>264.81</v>
      </c>
      <c r="U274" s="34"/>
      <c r="V274" s="72"/>
      <c r="W274" s="104">
        <v>435.98</v>
      </c>
      <c r="X274" s="34"/>
      <c r="Y274" s="72"/>
      <c r="Z274" s="104">
        <v>179.64</v>
      </c>
      <c r="AA274" s="34"/>
      <c r="AB274" s="72"/>
      <c r="AC274" s="104">
        <f>+[1]VOLKS!$L$271</f>
        <v>167.36</v>
      </c>
      <c r="AD274" s="34"/>
      <c r="AE274" s="72"/>
      <c r="AF274" s="104">
        <v>214.03823837858201</v>
      </c>
      <c r="AG274" s="34"/>
      <c r="AH274" s="72"/>
      <c r="AI274" s="104">
        <v>214.03823837858201</v>
      </c>
      <c r="AJ274" s="34"/>
      <c r="AK274" s="72"/>
      <c r="AL274" s="105">
        <v>214.03823837858201</v>
      </c>
      <c r="AM274" s="34"/>
      <c r="AN274" s="72"/>
      <c r="AO274" s="105">
        <v>214.03823837858201</v>
      </c>
      <c r="AQ274" s="53"/>
      <c r="AR274" s="74"/>
      <c r="AS274" s="108">
        <f t="shared" si="411"/>
        <v>2021.4</v>
      </c>
      <c r="AU274" s="53"/>
      <c r="AV274" s="74"/>
      <c r="AW274" s="108">
        <f t="shared" si="412"/>
        <v>856.15295351432803</v>
      </c>
      <c r="AY274" s="53"/>
      <c r="AZ274" s="74"/>
      <c r="BA274" s="108">
        <f>+[2]VOLKS!$L$271</f>
        <v>2021.4</v>
      </c>
      <c r="BC274" s="53"/>
      <c r="BD274" s="74"/>
      <c r="BE274" s="109">
        <f t="shared" si="413"/>
        <v>0</v>
      </c>
    </row>
    <row r="275" spans="1:57" s="15" customFormat="1" ht="20.25">
      <c r="A275" s="15" t="s">
        <v>81</v>
      </c>
      <c r="B275" s="128" t="s">
        <v>82</v>
      </c>
      <c r="C275" s="28"/>
      <c r="D275" s="138"/>
      <c r="E275" s="112">
        <f t="shared" si="410"/>
        <v>9308.8169774099224</v>
      </c>
      <c r="F275" s="28"/>
      <c r="G275" s="138"/>
      <c r="H275" s="112">
        <v>825.52</v>
      </c>
      <c r="I275" s="28"/>
      <c r="J275" s="138"/>
      <c r="K275" s="112">
        <v>841.55</v>
      </c>
      <c r="L275" s="28"/>
      <c r="M275" s="138"/>
      <c r="N275" s="112">
        <v>1423.27</v>
      </c>
      <c r="O275" s="28"/>
      <c r="P275" s="138"/>
      <c r="Q275" s="112">
        <v>726.05</v>
      </c>
      <c r="R275" s="28"/>
      <c r="S275" s="138"/>
      <c r="T275" s="112">
        <v>730.06</v>
      </c>
      <c r="U275" s="28"/>
      <c r="V275" s="138"/>
      <c r="W275" s="112">
        <v>494.99</v>
      </c>
      <c r="X275" s="28"/>
      <c r="Y275" s="138"/>
      <c r="Z275" s="112">
        <v>987.01</v>
      </c>
      <c r="AA275" s="28"/>
      <c r="AB275" s="138"/>
      <c r="AC275" s="112">
        <f>+[1]VOLKS!$L$272</f>
        <v>531.78</v>
      </c>
      <c r="AD275" s="28"/>
      <c r="AE275" s="138"/>
      <c r="AF275" s="112">
        <v>687.14674435248071</v>
      </c>
      <c r="AG275" s="28"/>
      <c r="AH275" s="138"/>
      <c r="AI275" s="112">
        <v>687.14674435248071</v>
      </c>
      <c r="AJ275" s="28"/>
      <c r="AK275" s="138"/>
      <c r="AL275" s="113">
        <v>687.14674435248071</v>
      </c>
      <c r="AM275" s="28"/>
      <c r="AN275" s="138"/>
      <c r="AO275" s="113">
        <v>687.14674435248071</v>
      </c>
      <c r="AQ275" s="119"/>
      <c r="AR275" s="140"/>
      <c r="AS275" s="117">
        <f t="shared" si="411"/>
        <v>6560.2300000000005</v>
      </c>
      <c r="AU275" s="119"/>
      <c r="AV275" s="140"/>
      <c r="AW275" s="117">
        <f t="shared" si="412"/>
        <v>2748.5869774099228</v>
      </c>
      <c r="AY275" s="119"/>
      <c r="AZ275" s="140"/>
      <c r="BA275" s="117">
        <f>+[2]VOLKS!$L$272</f>
        <v>6560.23</v>
      </c>
      <c r="BC275" s="119"/>
      <c r="BD275" s="140"/>
      <c r="BE275" s="118">
        <f t="shared" si="413"/>
        <v>0</v>
      </c>
    </row>
    <row r="276" spans="1:57" s="15" customFormat="1" ht="20.25">
      <c r="A276" s="15" t="s">
        <v>79</v>
      </c>
      <c r="B276" s="305" t="s">
        <v>124</v>
      </c>
      <c r="C276" s="34"/>
      <c r="D276" s="72"/>
      <c r="E276" s="104">
        <f t="shared" si="410"/>
        <v>0</v>
      </c>
      <c r="F276" s="34"/>
      <c r="G276" s="72"/>
      <c r="H276" s="104">
        <v>0</v>
      </c>
      <c r="I276" s="34"/>
      <c r="J276" s="72"/>
      <c r="K276" s="104">
        <v>0</v>
      </c>
      <c r="L276" s="34"/>
      <c r="M276" s="72"/>
      <c r="N276" s="104">
        <v>0</v>
      </c>
      <c r="O276" s="34"/>
      <c r="P276" s="72"/>
      <c r="Q276" s="104">
        <v>0</v>
      </c>
      <c r="R276" s="34"/>
      <c r="S276" s="72"/>
      <c r="T276" s="104">
        <v>0</v>
      </c>
      <c r="U276" s="34"/>
      <c r="V276" s="72"/>
      <c r="W276" s="104">
        <v>0</v>
      </c>
      <c r="X276" s="34"/>
      <c r="Y276" s="72"/>
      <c r="Z276" s="104">
        <v>0</v>
      </c>
      <c r="AA276" s="34"/>
      <c r="AB276" s="72"/>
      <c r="AC276" s="104">
        <f>+[1]VOLKS!$L$273</f>
        <v>0</v>
      </c>
      <c r="AD276" s="34"/>
      <c r="AE276" s="72"/>
      <c r="AF276" s="104">
        <v>0</v>
      </c>
      <c r="AG276" s="34"/>
      <c r="AH276" s="72"/>
      <c r="AI276" s="104">
        <v>0</v>
      </c>
      <c r="AJ276" s="34"/>
      <c r="AK276" s="72"/>
      <c r="AL276" s="105">
        <v>0</v>
      </c>
      <c r="AM276" s="34"/>
      <c r="AN276" s="72"/>
      <c r="AO276" s="105">
        <v>0</v>
      </c>
      <c r="AQ276" s="53"/>
      <c r="AR276" s="74"/>
      <c r="AS276" s="108">
        <f t="shared" si="411"/>
        <v>0</v>
      </c>
      <c r="AU276" s="53"/>
      <c r="AV276" s="74"/>
      <c r="AW276" s="108">
        <f t="shared" si="412"/>
        <v>0</v>
      </c>
      <c r="AY276" s="53"/>
      <c r="AZ276" s="74"/>
      <c r="BA276" s="108">
        <f>+[2]VOLKS!$L$273</f>
        <v>0</v>
      </c>
      <c r="BC276" s="53"/>
      <c r="BD276" s="74"/>
      <c r="BE276" s="109">
        <f t="shared" si="413"/>
        <v>0</v>
      </c>
    </row>
    <row r="277" spans="1:57" s="15" customFormat="1" ht="20.25">
      <c r="A277" s="15" t="s">
        <v>79</v>
      </c>
      <c r="B277" s="128" t="s">
        <v>83</v>
      </c>
      <c r="C277" s="34"/>
      <c r="D277" s="72"/>
      <c r="E277" s="104">
        <f t="shared" si="410"/>
        <v>188.39613333333335</v>
      </c>
      <c r="F277" s="34"/>
      <c r="G277" s="72"/>
      <c r="H277" s="104">
        <v>0</v>
      </c>
      <c r="I277" s="34"/>
      <c r="J277" s="72"/>
      <c r="K277" s="104">
        <v>0</v>
      </c>
      <c r="L277" s="34"/>
      <c r="M277" s="72"/>
      <c r="N277" s="104">
        <v>0</v>
      </c>
      <c r="O277" s="34"/>
      <c r="P277" s="72"/>
      <c r="Q277" s="104">
        <v>0</v>
      </c>
      <c r="R277" s="34"/>
      <c r="S277" s="72"/>
      <c r="T277" s="104">
        <v>0</v>
      </c>
      <c r="U277" s="34"/>
      <c r="V277" s="72"/>
      <c r="W277" s="104">
        <v>0</v>
      </c>
      <c r="X277" s="34"/>
      <c r="Y277" s="72"/>
      <c r="Z277" s="104">
        <v>0</v>
      </c>
      <c r="AA277" s="34"/>
      <c r="AB277" s="72"/>
      <c r="AC277" s="104">
        <f>+[1]VOLKS!$L$274</f>
        <v>4.59</v>
      </c>
      <c r="AD277" s="34"/>
      <c r="AE277" s="72"/>
      <c r="AF277" s="104">
        <v>45.951533333333337</v>
      </c>
      <c r="AG277" s="34"/>
      <c r="AH277" s="72"/>
      <c r="AI277" s="104">
        <v>45.951533333333337</v>
      </c>
      <c r="AJ277" s="34"/>
      <c r="AK277" s="72"/>
      <c r="AL277" s="105">
        <v>45.951533333333337</v>
      </c>
      <c r="AM277" s="34"/>
      <c r="AN277" s="72"/>
      <c r="AO277" s="105">
        <v>45.951533333333337</v>
      </c>
      <c r="AQ277" s="53"/>
      <c r="AR277" s="74"/>
      <c r="AS277" s="108">
        <f t="shared" si="411"/>
        <v>4.59</v>
      </c>
      <c r="AU277" s="53"/>
      <c r="AV277" s="74"/>
      <c r="AW277" s="108">
        <f t="shared" si="412"/>
        <v>183.80613333333335</v>
      </c>
      <c r="AY277" s="53"/>
      <c r="AZ277" s="74"/>
      <c r="BA277" s="108">
        <f>+[2]VOLKS!$L$274</f>
        <v>4.59</v>
      </c>
      <c r="BC277" s="53"/>
      <c r="BD277" s="74"/>
      <c r="BE277" s="109">
        <f t="shared" si="413"/>
        <v>0</v>
      </c>
    </row>
    <row r="278" spans="1:57" s="15" customFormat="1" ht="20.25">
      <c r="A278" s="15" t="s">
        <v>79</v>
      </c>
      <c r="B278" s="128" t="s">
        <v>84</v>
      </c>
      <c r="C278" s="34"/>
      <c r="D278" s="72"/>
      <c r="E278" s="104">
        <f t="shared" si="410"/>
        <v>113.33333333333333</v>
      </c>
      <c r="F278" s="34"/>
      <c r="G278" s="72"/>
      <c r="H278" s="104">
        <v>0</v>
      </c>
      <c r="I278" s="34"/>
      <c r="J278" s="72"/>
      <c r="K278" s="104">
        <v>0</v>
      </c>
      <c r="L278" s="34"/>
      <c r="M278" s="72"/>
      <c r="N278" s="104">
        <v>0</v>
      </c>
      <c r="O278" s="34"/>
      <c r="P278" s="72"/>
      <c r="Q278" s="104">
        <v>0</v>
      </c>
      <c r="R278" s="34"/>
      <c r="S278" s="72"/>
      <c r="T278" s="104">
        <v>0</v>
      </c>
      <c r="U278" s="34"/>
      <c r="V278" s="72"/>
      <c r="W278" s="104">
        <v>0</v>
      </c>
      <c r="X278" s="34"/>
      <c r="Y278" s="72"/>
      <c r="Z278" s="104">
        <v>0</v>
      </c>
      <c r="AA278" s="34"/>
      <c r="AB278" s="72"/>
      <c r="AC278" s="104">
        <f>+[1]VOLKS!$L$275</f>
        <v>0</v>
      </c>
      <c r="AD278" s="34"/>
      <c r="AE278" s="72"/>
      <c r="AF278" s="104">
        <v>28.333333333333332</v>
      </c>
      <c r="AG278" s="34"/>
      <c r="AH278" s="72"/>
      <c r="AI278" s="104">
        <v>28.333333333333332</v>
      </c>
      <c r="AJ278" s="34"/>
      <c r="AK278" s="72"/>
      <c r="AL278" s="105">
        <v>28.333333333333332</v>
      </c>
      <c r="AM278" s="34"/>
      <c r="AN278" s="72"/>
      <c r="AO278" s="105">
        <v>28.333333333333332</v>
      </c>
      <c r="AQ278" s="53"/>
      <c r="AR278" s="74"/>
      <c r="AS278" s="108">
        <f t="shared" si="411"/>
        <v>0</v>
      </c>
      <c r="AU278" s="53"/>
      <c r="AV278" s="74"/>
      <c r="AW278" s="108">
        <f t="shared" si="412"/>
        <v>113.33333333333333</v>
      </c>
      <c r="AY278" s="53"/>
      <c r="AZ278" s="74"/>
      <c r="BA278" s="108">
        <f>+[2]VOLKS!$L$275</f>
        <v>0</v>
      </c>
      <c r="BC278" s="53"/>
      <c r="BD278" s="74"/>
      <c r="BE278" s="109">
        <f t="shared" si="413"/>
        <v>0</v>
      </c>
    </row>
    <row r="279" spans="1:57" s="15" customFormat="1" ht="20.25">
      <c r="A279" s="15" t="s">
        <v>79</v>
      </c>
      <c r="B279" s="128" t="s">
        <v>85</v>
      </c>
      <c r="C279" s="34"/>
      <c r="D279" s="72"/>
      <c r="E279" s="104">
        <f t="shared" si="410"/>
        <v>1518.1875882104798</v>
      </c>
      <c r="F279" s="34"/>
      <c r="G279" s="72"/>
      <c r="H279" s="104">
        <v>35.380000000000003</v>
      </c>
      <c r="I279" s="34"/>
      <c r="J279" s="72"/>
      <c r="K279" s="104">
        <v>227.94</v>
      </c>
      <c r="L279" s="34"/>
      <c r="M279" s="72"/>
      <c r="N279" s="104">
        <v>118.8</v>
      </c>
      <c r="O279" s="34"/>
      <c r="P279" s="72"/>
      <c r="Q279" s="104">
        <v>12.72</v>
      </c>
      <c r="R279" s="34"/>
      <c r="S279" s="72"/>
      <c r="T279" s="104">
        <v>229.11</v>
      </c>
      <c r="U279" s="34"/>
      <c r="V279" s="72"/>
      <c r="W279" s="104">
        <v>89.36</v>
      </c>
      <c r="X279" s="34"/>
      <c r="Y279" s="72"/>
      <c r="Z279" s="104">
        <v>47.8</v>
      </c>
      <c r="AA279" s="34"/>
      <c r="AB279" s="72"/>
      <c r="AC279" s="104">
        <f>+[1]VOLKS!$L$276</f>
        <v>172.13</v>
      </c>
      <c r="AD279" s="34"/>
      <c r="AE279" s="72"/>
      <c r="AF279" s="104">
        <v>146.23689705261995</v>
      </c>
      <c r="AG279" s="34"/>
      <c r="AH279" s="72"/>
      <c r="AI279" s="104">
        <v>146.23689705261995</v>
      </c>
      <c r="AJ279" s="34"/>
      <c r="AK279" s="72"/>
      <c r="AL279" s="105">
        <v>146.23689705261995</v>
      </c>
      <c r="AM279" s="34"/>
      <c r="AN279" s="72"/>
      <c r="AO279" s="105">
        <v>146.23689705261995</v>
      </c>
      <c r="AQ279" s="53"/>
      <c r="AR279" s="74"/>
      <c r="AS279" s="108">
        <f t="shared" si="411"/>
        <v>933.24</v>
      </c>
      <c r="AU279" s="53"/>
      <c r="AV279" s="74"/>
      <c r="AW279" s="108">
        <f t="shared" si="412"/>
        <v>584.94758821047981</v>
      </c>
      <c r="AY279" s="53"/>
      <c r="AZ279" s="74"/>
      <c r="BA279" s="108">
        <f>+[2]VOLKS!$L$276</f>
        <v>933.24</v>
      </c>
      <c r="BC279" s="53"/>
      <c r="BD279" s="74"/>
      <c r="BE279" s="109">
        <f t="shared" si="413"/>
        <v>0</v>
      </c>
    </row>
    <row r="280" spans="1:57" s="15" customFormat="1" ht="20.25">
      <c r="A280" s="15" t="s">
        <v>79</v>
      </c>
      <c r="B280" s="128" t="s">
        <v>86</v>
      </c>
      <c r="C280" s="34"/>
      <c r="D280" s="72"/>
      <c r="E280" s="104">
        <f t="shared" si="410"/>
        <v>351.84590130323443</v>
      </c>
      <c r="F280" s="34"/>
      <c r="G280" s="72"/>
      <c r="H280" s="104">
        <v>36.47</v>
      </c>
      <c r="I280" s="34"/>
      <c r="J280" s="72"/>
      <c r="K280" s="104">
        <v>33.880000000000003</v>
      </c>
      <c r="L280" s="34"/>
      <c r="M280" s="72"/>
      <c r="N280" s="104">
        <v>24.49</v>
      </c>
      <c r="O280" s="34"/>
      <c r="P280" s="72"/>
      <c r="Q280" s="104">
        <v>26.51</v>
      </c>
      <c r="R280" s="34"/>
      <c r="S280" s="72"/>
      <c r="T280" s="104">
        <v>24.76</v>
      </c>
      <c r="U280" s="34"/>
      <c r="V280" s="72"/>
      <c r="W280" s="104">
        <v>22.93</v>
      </c>
      <c r="X280" s="34"/>
      <c r="Y280" s="72"/>
      <c r="Z280" s="104">
        <v>17.43</v>
      </c>
      <c r="AA280" s="34"/>
      <c r="AB280" s="72"/>
      <c r="AC280" s="104">
        <f>+[1]VOLKS!$L$277</f>
        <v>35.9</v>
      </c>
      <c r="AD280" s="34"/>
      <c r="AE280" s="72"/>
      <c r="AF280" s="104">
        <v>32.368975325808613</v>
      </c>
      <c r="AG280" s="34"/>
      <c r="AH280" s="72"/>
      <c r="AI280" s="104">
        <v>32.368975325808613</v>
      </c>
      <c r="AJ280" s="34"/>
      <c r="AK280" s="72"/>
      <c r="AL280" s="105">
        <v>32.368975325808613</v>
      </c>
      <c r="AM280" s="34"/>
      <c r="AN280" s="72"/>
      <c r="AO280" s="105">
        <v>32.368975325808613</v>
      </c>
      <c r="AQ280" s="53"/>
      <c r="AR280" s="74"/>
      <c r="AS280" s="108">
        <f t="shared" si="411"/>
        <v>222.37</v>
      </c>
      <c r="AU280" s="53"/>
      <c r="AV280" s="74"/>
      <c r="AW280" s="108">
        <f t="shared" si="412"/>
        <v>129.47590130323445</v>
      </c>
      <c r="AY280" s="53"/>
      <c r="AZ280" s="74"/>
      <c r="BA280" s="108">
        <f>+[2]VOLKS!$L$277</f>
        <v>222.37</v>
      </c>
      <c r="BC280" s="53"/>
      <c r="BD280" s="74"/>
      <c r="BE280" s="109">
        <f t="shared" si="413"/>
        <v>0</v>
      </c>
    </row>
    <row r="281" spans="1:57" s="15" customFormat="1" ht="20.25">
      <c r="A281" s="15" t="s">
        <v>79</v>
      </c>
      <c r="B281" s="128" t="s">
        <v>87</v>
      </c>
      <c r="C281" s="34"/>
      <c r="D281" s="72"/>
      <c r="E281" s="104">
        <f t="shared" si="410"/>
        <v>586.30839532236564</v>
      </c>
      <c r="F281" s="34"/>
      <c r="G281" s="72"/>
      <c r="H281" s="104">
        <v>158.76</v>
      </c>
      <c r="I281" s="34"/>
      <c r="J281" s="72"/>
      <c r="K281" s="104">
        <v>97.98</v>
      </c>
      <c r="L281" s="34"/>
      <c r="M281" s="72"/>
      <c r="N281" s="104">
        <v>88.77</v>
      </c>
      <c r="O281" s="34"/>
      <c r="P281" s="72"/>
      <c r="Q281" s="104">
        <v>28.72</v>
      </c>
      <c r="R281" s="34"/>
      <c r="S281" s="72"/>
      <c r="T281" s="104">
        <v>46.19</v>
      </c>
      <c r="U281" s="34"/>
      <c r="V281" s="72"/>
      <c r="W281" s="104">
        <v>19.329999999999998</v>
      </c>
      <c r="X281" s="34"/>
      <c r="Y281" s="72"/>
      <c r="Z281" s="104">
        <v>11.94</v>
      </c>
      <c r="AA281" s="34"/>
      <c r="AB281" s="72"/>
      <c r="AC281" s="104">
        <f>+[1]VOLKS!$L$278</f>
        <v>44.65</v>
      </c>
      <c r="AD281" s="34"/>
      <c r="AE281" s="72"/>
      <c r="AF281" s="104">
        <v>22.492098830591392</v>
      </c>
      <c r="AG281" s="34"/>
      <c r="AH281" s="72"/>
      <c r="AI281" s="104">
        <v>22.492098830591392</v>
      </c>
      <c r="AJ281" s="34"/>
      <c r="AK281" s="72"/>
      <c r="AL281" s="105">
        <v>22.492098830591392</v>
      </c>
      <c r="AM281" s="34"/>
      <c r="AN281" s="72"/>
      <c r="AO281" s="105">
        <v>22.492098830591392</v>
      </c>
      <c r="AQ281" s="53"/>
      <c r="AR281" s="74"/>
      <c r="AS281" s="108">
        <f t="shared" si="411"/>
        <v>496.34</v>
      </c>
      <c r="AU281" s="53"/>
      <c r="AV281" s="74"/>
      <c r="AW281" s="108">
        <f t="shared" si="412"/>
        <v>89.968395322365566</v>
      </c>
      <c r="AY281" s="53"/>
      <c r="AZ281" s="74"/>
      <c r="BA281" s="108">
        <f>+[2]VOLKS!$L$278</f>
        <v>496.34</v>
      </c>
      <c r="BC281" s="53"/>
      <c r="BD281" s="74"/>
      <c r="BE281" s="109">
        <f t="shared" si="413"/>
        <v>0</v>
      </c>
    </row>
    <row r="282" spans="1:57" s="15" customFormat="1" ht="20.25">
      <c r="A282" s="15" t="s">
        <v>79</v>
      </c>
      <c r="B282" s="128" t="s">
        <v>88</v>
      </c>
      <c r="C282" s="34"/>
      <c r="D282" s="72"/>
      <c r="E282" s="104">
        <f t="shared" si="410"/>
        <v>554.43027002194549</v>
      </c>
      <c r="F282" s="34"/>
      <c r="G282" s="72"/>
      <c r="H282" s="104">
        <v>19.57</v>
      </c>
      <c r="I282" s="34"/>
      <c r="J282" s="72"/>
      <c r="K282" s="104">
        <v>15.58</v>
      </c>
      <c r="L282" s="34"/>
      <c r="M282" s="72"/>
      <c r="N282" s="104">
        <v>15.58</v>
      </c>
      <c r="O282" s="34"/>
      <c r="P282" s="72"/>
      <c r="Q282" s="104">
        <v>26.49</v>
      </c>
      <c r="R282" s="34"/>
      <c r="S282" s="72"/>
      <c r="T282" s="104">
        <v>24.43</v>
      </c>
      <c r="U282" s="34"/>
      <c r="V282" s="72"/>
      <c r="W282" s="104">
        <v>13.72</v>
      </c>
      <c r="X282" s="34"/>
      <c r="Y282" s="72"/>
      <c r="Z282" s="104">
        <v>13.72</v>
      </c>
      <c r="AA282" s="34"/>
      <c r="AB282" s="72"/>
      <c r="AC282" s="104">
        <f>+[1]VOLKS!$L$279</f>
        <v>13.72</v>
      </c>
      <c r="AD282" s="34"/>
      <c r="AE282" s="72"/>
      <c r="AF282" s="104">
        <v>102.90506750548639</v>
      </c>
      <c r="AG282" s="34"/>
      <c r="AH282" s="72"/>
      <c r="AI282" s="104">
        <v>102.90506750548639</v>
      </c>
      <c r="AJ282" s="34"/>
      <c r="AK282" s="72"/>
      <c r="AL282" s="105">
        <v>102.90506750548639</v>
      </c>
      <c r="AM282" s="34"/>
      <c r="AN282" s="72"/>
      <c r="AO282" s="105">
        <v>102.90506750548639</v>
      </c>
      <c r="AQ282" s="53"/>
      <c r="AR282" s="74"/>
      <c r="AS282" s="108">
        <f t="shared" si="411"/>
        <v>142.81</v>
      </c>
      <c r="AU282" s="53"/>
      <c r="AV282" s="74"/>
      <c r="AW282" s="108">
        <f t="shared" si="412"/>
        <v>411.62027002194554</v>
      </c>
      <c r="AY282" s="53"/>
      <c r="AZ282" s="74"/>
      <c r="BA282" s="108">
        <f>+[2]VOLKS!$L$279</f>
        <v>142.81</v>
      </c>
      <c r="BC282" s="53"/>
      <c r="BD282" s="74"/>
      <c r="BE282" s="109">
        <f t="shared" si="413"/>
        <v>0</v>
      </c>
    </row>
    <row r="283" spans="1:57" s="15" customFormat="1" ht="20.25">
      <c r="A283" s="15" t="s">
        <v>79</v>
      </c>
      <c r="B283" s="128" t="s">
        <v>89</v>
      </c>
      <c r="C283" s="34"/>
      <c r="D283" s="72"/>
      <c r="E283" s="104">
        <f t="shared" si="410"/>
        <v>1198.6748071479303</v>
      </c>
      <c r="F283" s="34"/>
      <c r="G283" s="72"/>
      <c r="H283" s="104">
        <v>22.33</v>
      </c>
      <c r="I283" s="34"/>
      <c r="J283" s="72"/>
      <c r="K283" s="104">
        <v>66.58</v>
      </c>
      <c r="L283" s="34"/>
      <c r="M283" s="72"/>
      <c r="N283" s="104">
        <v>148.75</v>
      </c>
      <c r="O283" s="34"/>
      <c r="P283" s="72"/>
      <c r="Q283" s="104">
        <v>22.33</v>
      </c>
      <c r="R283" s="34"/>
      <c r="S283" s="72"/>
      <c r="T283" s="104">
        <v>-9.5500000000000007</v>
      </c>
      <c r="U283" s="34"/>
      <c r="V283" s="72"/>
      <c r="W283" s="104">
        <v>22.33</v>
      </c>
      <c r="X283" s="34"/>
      <c r="Y283" s="72"/>
      <c r="Z283" s="104">
        <v>131.96</v>
      </c>
      <c r="AA283" s="34"/>
      <c r="AB283" s="72"/>
      <c r="AC283" s="104">
        <f>+[1]VOLKS!$L$280</f>
        <v>91.95</v>
      </c>
      <c r="AD283" s="34"/>
      <c r="AE283" s="72"/>
      <c r="AF283" s="104">
        <v>175.49870178698256</v>
      </c>
      <c r="AG283" s="34"/>
      <c r="AH283" s="72"/>
      <c r="AI283" s="104">
        <v>175.49870178698256</v>
      </c>
      <c r="AJ283" s="34"/>
      <c r="AK283" s="72"/>
      <c r="AL283" s="105">
        <v>175.49870178698256</v>
      </c>
      <c r="AM283" s="34"/>
      <c r="AN283" s="72"/>
      <c r="AO283" s="105">
        <v>175.49870178698256</v>
      </c>
      <c r="AQ283" s="53"/>
      <c r="AR283" s="74"/>
      <c r="AS283" s="108">
        <f t="shared" si="411"/>
        <v>496.68</v>
      </c>
      <c r="AU283" s="53"/>
      <c r="AV283" s="74"/>
      <c r="AW283" s="108">
        <f t="shared" si="412"/>
        <v>701.99480714793026</v>
      </c>
      <c r="AY283" s="53"/>
      <c r="AZ283" s="74"/>
      <c r="BA283" s="108">
        <f>+[2]VOLKS!$L$280</f>
        <v>496.68</v>
      </c>
      <c r="BC283" s="53"/>
      <c r="BD283" s="74"/>
      <c r="BE283" s="109">
        <f t="shared" si="413"/>
        <v>0</v>
      </c>
    </row>
    <row r="284" spans="1:57" s="15" customFormat="1" ht="20.25">
      <c r="A284" s="15" t="s">
        <v>79</v>
      </c>
      <c r="B284" s="128" t="s">
        <v>90</v>
      </c>
      <c r="C284" s="34"/>
      <c r="D284" s="72"/>
      <c r="E284" s="104">
        <f t="shared" si="410"/>
        <v>2503.8805523280316</v>
      </c>
      <c r="F284" s="34"/>
      <c r="G284" s="72"/>
      <c r="H284" s="104">
        <v>155.71</v>
      </c>
      <c r="I284" s="34"/>
      <c r="J284" s="72"/>
      <c r="K284" s="104">
        <v>120.3</v>
      </c>
      <c r="L284" s="34"/>
      <c r="M284" s="72"/>
      <c r="N284" s="104">
        <v>206.67</v>
      </c>
      <c r="O284" s="34"/>
      <c r="P284" s="72"/>
      <c r="Q284" s="104">
        <v>256.04000000000002</v>
      </c>
      <c r="R284" s="34"/>
      <c r="S284" s="72"/>
      <c r="T284" s="104">
        <v>253.32</v>
      </c>
      <c r="U284" s="34"/>
      <c r="V284" s="72"/>
      <c r="W284" s="104">
        <v>195.21</v>
      </c>
      <c r="X284" s="34"/>
      <c r="Y284" s="72"/>
      <c r="Z284" s="104">
        <v>216.81</v>
      </c>
      <c r="AA284" s="34"/>
      <c r="AB284" s="72"/>
      <c r="AC284" s="104">
        <f>+[1]VOLKS!$L$281</f>
        <v>210.56</v>
      </c>
      <c r="AD284" s="34"/>
      <c r="AE284" s="72"/>
      <c r="AF284" s="104">
        <v>181.82370823817581</v>
      </c>
      <c r="AG284" s="34"/>
      <c r="AH284" s="72"/>
      <c r="AI284" s="104">
        <v>245.49586925918246</v>
      </c>
      <c r="AJ284" s="34"/>
      <c r="AK284" s="72"/>
      <c r="AL284" s="105">
        <v>288.61067228747322</v>
      </c>
      <c r="AM284" s="34"/>
      <c r="AN284" s="72"/>
      <c r="AO284" s="105">
        <v>173.33030254320019</v>
      </c>
      <c r="AQ284" s="53"/>
      <c r="AR284" s="74"/>
      <c r="AS284" s="108">
        <f t="shared" si="411"/>
        <v>1614.62</v>
      </c>
      <c r="AU284" s="53"/>
      <c r="AV284" s="74"/>
      <c r="AW284" s="108">
        <f t="shared" si="412"/>
        <v>889.26055232803174</v>
      </c>
      <c r="AY284" s="53"/>
      <c r="AZ284" s="74"/>
      <c r="BA284" s="108">
        <f>+[2]VOLKS!$L$281</f>
        <v>1614.62</v>
      </c>
      <c r="BC284" s="53"/>
      <c r="BD284" s="74"/>
      <c r="BE284" s="109">
        <f t="shared" si="413"/>
        <v>0</v>
      </c>
    </row>
    <row r="285" spans="1:57" s="15" customFormat="1" ht="20.25" hidden="1" customHeight="1">
      <c r="B285" s="128"/>
      <c r="C285" s="34"/>
      <c r="D285" s="72"/>
      <c r="E285" s="73"/>
      <c r="F285" s="34"/>
      <c r="G285" s="72"/>
      <c r="H285" s="73"/>
      <c r="I285" s="34"/>
      <c r="J285" s="72"/>
      <c r="K285" s="73"/>
      <c r="L285" s="34"/>
      <c r="M285" s="72"/>
      <c r="N285" s="73"/>
      <c r="O285" s="34"/>
      <c r="P285" s="72"/>
      <c r="Q285" s="73"/>
      <c r="R285" s="34"/>
      <c r="S285" s="72"/>
      <c r="T285" s="73"/>
      <c r="U285" s="34"/>
      <c r="V285" s="72"/>
      <c r="W285" s="73"/>
      <c r="X285" s="34"/>
      <c r="Y285" s="72"/>
      <c r="Z285" s="73"/>
      <c r="AA285" s="34"/>
      <c r="AB285" s="72"/>
      <c r="AC285" s="73"/>
      <c r="AD285" s="34"/>
      <c r="AE285" s="72"/>
      <c r="AF285" s="73"/>
      <c r="AG285" s="34"/>
      <c r="AH285" s="72"/>
      <c r="AI285" s="73"/>
      <c r="AJ285" s="34"/>
      <c r="AK285" s="72"/>
      <c r="AL285" s="73"/>
      <c r="AM285" s="34"/>
      <c r="AN285" s="72"/>
      <c r="AO285" s="73"/>
      <c r="AQ285" s="53"/>
      <c r="AR285" s="74"/>
      <c r="AS285" s="75"/>
      <c r="AU285" s="53"/>
      <c r="AV285" s="74"/>
      <c r="AW285" s="75"/>
      <c r="AY285" s="53"/>
      <c r="AZ285" s="74"/>
      <c r="BA285" s="75"/>
      <c r="BC285" s="53"/>
      <c r="BD285" s="74"/>
      <c r="BE285" s="27"/>
    </row>
    <row r="286" spans="1:57" s="15" customFormat="1" ht="20.25" hidden="1" customHeight="1">
      <c r="B286" s="128"/>
      <c r="C286" s="34"/>
      <c r="D286" s="72"/>
      <c r="E286" s="73"/>
      <c r="F286" s="34"/>
      <c r="G286" s="72"/>
      <c r="H286" s="73"/>
      <c r="I286" s="34"/>
      <c r="J286" s="72"/>
      <c r="K286" s="73"/>
      <c r="L286" s="34"/>
      <c r="M286" s="72"/>
      <c r="N286" s="73"/>
      <c r="O286" s="34"/>
      <c r="P286" s="72"/>
      <c r="Q286" s="73"/>
      <c r="R286" s="34"/>
      <c r="S286" s="72"/>
      <c r="T286" s="73"/>
      <c r="U286" s="34"/>
      <c r="V286" s="72"/>
      <c r="W286" s="73"/>
      <c r="X286" s="34"/>
      <c r="Y286" s="72"/>
      <c r="Z286" s="73"/>
      <c r="AA286" s="34"/>
      <c r="AB286" s="72"/>
      <c r="AC286" s="73"/>
      <c r="AD286" s="34"/>
      <c r="AE286" s="72"/>
      <c r="AF286" s="73"/>
      <c r="AG286" s="34"/>
      <c r="AH286" s="72"/>
      <c r="AI286" s="73"/>
      <c r="AJ286" s="34"/>
      <c r="AK286" s="72"/>
      <c r="AL286" s="73"/>
      <c r="AM286" s="34"/>
      <c r="AN286" s="72"/>
      <c r="AO286" s="73"/>
      <c r="AQ286" s="53"/>
      <c r="AR286" s="74"/>
      <c r="AS286" s="75"/>
      <c r="AU286" s="53"/>
      <c r="AV286" s="74"/>
      <c r="AW286" s="75"/>
      <c r="AY286" s="53"/>
      <c r="AZ286" s="74"/>
      <c r="BA286" s="75"/>
      <c r="BC286" s="53"/>
      <c r="BD286" s="74"/>
      <c r="BE286" s="27"/>
    </row>
    <row r="287" spans="1:57" s="15" customFormat="1" ht="20.25" hidden="1" customHeight="1">
      <c r="B287" s="128"/>
      <c r="C287" s="34"/>
      <c r="D287" s="72"/>
      <c r="E287" s="73"/>
      <c r="F287" s="34"/>
      <c r="G287" s="72"/>
      <c r="H287" s="73"/>
      <c r="I287" s="34"/>
      <c r="J287" s="72"/>
      <c r="K287" s="73"/>
      <c r="L287" s="34"/>
      <c r="M287" s="72"/>
      <c r="N287" s="73"/>
      <c r="O287" s="34"/>
      <c r="P287" s="72"/>
      <c r="Q287" s="73"/>
      <c r="R287" s="34"/>
      <c r="S287" s="72"/>
      <c r="T287" s="73"/>
      <c r="U287" s="34"/>
      <c r="V287" s="72"/>
      <c r="W287" s="73"/>
      <c r="X287" s="34"/>
      <c r="Y287" s="72"/>
      <c r="Z287" s="73"/>
      <c r="AA287" s="34"/>
      <c r="AB287" s="72"/>
      <c r="AC287" s="73"/>
      <c r="AD287" s="34"/>
      <c r="AE287" s="72"/>
      <c r="AF287" s="73"/>
      <c r="AG287" s="34"/>
      <c r="AH287" s="72"/>
      <c r="AI287" s="73"/>
      <c r="AJ287" s="34"/>
      <c r="AK287" s="72"/>
      <c r="AL287" s="73"/>
      <c r="AM287" s="34"/>
      <c r="AN287" s="72"/>
      <c r="AO287" s="73"/>
      <c r="AQ287" s="53"/>
      <c r="AR287" s="74"/>
      <c r="AS287" s="75"/>
      <c r="AU287" s="53"/>
      <c r="AV287" s="74"/>
      <c r="AW287" s="75"/>
      <c r="AY287" s="53"/>
      <c r="AZ287" s="74"/>
      <c r="BA287" s="75"/>
      <c r="BC287" s="53"/>
      <c r="BD287" s="74"/>
      <c r="BE287" s="27"/>
    </row>
    <row r="288" spans="1:57" s="15" customFormat="1" ht="20.25">
      <c r="A288" s="15" t="s">
        <v>27</v>
      </c>
      <c r="B288" s="306" t="s">
        <v>91</v>
      </c>
      <c r="C288" s="157" t="s">
        <v>57</v>
      </c>
      <c r="D288" s="158">
        <f>IFERROR(E288/E$247,0)</f>
        <v>0</v>
      </c>
      <c r="E288" s="159">
        <f>+SUM(E270:E287)</f>
        <v>55379.54411533165</v>
      </c>
      <c r="F288" s="157" t="s">
        <v>57</v>
      </c>
      <c r="G288" s="158">
        <f>IFERROR(H288/H$246,0)</f>
        <v>0</v>
      </c>
      <c r="H288" s="159">
        <f>+SUM(H270:H287)</f>
        <v>15678.189999999997</v>
      </c>
      <c r="I288" s="157" t="s">
        <v>57</v>
      </c>
      <c r="J288" s="158">
        <f>IFERROR(K288/K$246,0)</f>
        <v>0</v>
      </c>
      <c r="K288" s="159">
        <f>+SUM(K270:K287)</f>
        <v>2950.36</v>
      </c>
      <c r="L288" s="157" t="s">
        <v>57</v>
      </c>
      <c r="M288" s="158">
        <f>IFERROR(N288/N$246,0)</f>
        <v>0</v>
      </c>
      <c r="N288" s="159">
        <f>+SUM(N270:N287)</f>
        <v>4025.41</v>
      </c>
      <c r="O288" s="157" t="s">
        <v>57</v>
      </c>
      <c r="P288" s="158">
        <f>IFERROR(Q288/Q$246,0)</f>
        <v>0</v>
      </c>
      <c r="Q288" s="159">
        <f>+SUM(Q270:Q287)</f>
        <v>4052.7599999999993</v>
      </c>
      <c r="R288" s="157" t="s">
        <v>57</v>
      </c>
      <c r="S288" s="158">
        <f>IFERROR(T288/T$246,0)</f>
        <v>0</v>
      </c>
      <c r="T288" s="159">
        <f>+SUM(T270:T287)</f>
        <v>3809.61</v>
      </c>
      <c r="U288" s="157" t="s">
        <v>57</v>
      </c>
      <c r="V288" s="158">
        <f>IFERROR(W288/W$246,0)</f>
        <v>0</v>
      </c>
      <c r="W288" s="160">
        <f>+SUM(W270:W287)</f>
        <v>2934.7399999999993</v>
      </c>
      <c r="X288" s="157" t="s">
        <v>57</v>
      </c>
      <c r="Y288" s="158">
        <f>IFERROR(Z288/Z$246,0)</f>
        <v>0</v>
      </c>
      <c r="Z288" s="160">
        <f>+SUM(Z270:Z287)</f>
        <v>3398.75</v>
      </c>
      <c r="AA288" s="157" t="s">
        <v>57</v>
      </c>
      <c r="AB288" s="158">
        <f>IFERROR(AC288/AC$246,0)</f>
        <v>0</v>
      </c>
      <c r="AC288" s="160">
        <f>+SUM(AC270:AC287)</f>
        <v>3080.8100000000004</v>
      </c>
      <c r="AD288" s="157" t="s">
        <v>57</v>
      </c>
      <c r="AE288" s="122">
        <v>0</v>
      </c>
      <c r="AF288" s="159">
        <v>3821.737098989076</v>
      </c>
      <c r="AG288" s="157" t="s">
        <v>57</v>
      </c>
      <c r="AH288" s="122">
        <v>0</v>
      </c>
      <c r="AI288" s="159">
        <v>3885.409260010083</v>
      </c>
      <c r="AJ288" s="157" t="s">
        <v>57</v>
      </c>
      <c r="AK288" s="122">
        <v>0</v>
      </c>
      <c r="AL288" s="159">
        <v>3928.5240630383737</v>
      </c>
      <c r="AM288" s="157" t="s">
        <v>57</v>
      </c>
      <c r="AN288" s="122">
        <v>0</v>
      </c>
      <c r="AO288" s="159">
        <v>3813.2436932941005</v>
      </c>
      <c r="AQ288" s="157" t="s">
        <v>57</v>
      </c>
      <c r="AR288" s="161">
        <f t="shared" ref="AR288" si="414">IFERROR(AS288/AS$247,0)</f>
        <v>0</v>
      </c>
      <c r="AS288" s="162">
        <f t="shared" ref="AS288" si="415">+SUM(AS270:AS287)</f>
        <v>39930.629999999997</v>
      </c>
      <c r="AU288" s="157" t="s">
        <v>57</v>
      </c>
      <c r="AV288" s="161">
        <f t="shared" ref="AV288" si="416">IFERROR(AW288/AW$247,0)</f>
        <v>0</v>
      </c>
      <c r="AW288" s="162">
        <f t="shared" ref="AW288" si="417">+SUM(AW270:AW287)</f>
        <v>15448.914115331634</v>
      </c>
      <c r="AY288" s="157" t="s">
        <v>57</v>
      </c>
      <c r="AZ288" s="161">
        <f>IFERROR(BA288/BA$246,0)</f>
        <v>0</v>
      </c>
      <c r="BA288" s="162">
        <f>+SUM(BA270:BA287)</f>
        <v>39930.62999999999</v>
      </c>
      <c r="BC288" s="157" t="s">
        <v>57</v>
      </c>
      <c r="BD288" s="161"/>
      <c r="BE288" s="163">
        <f t="shared" ref="BE288" si="418">+SUM(BE270:BE287)</f>
        <v>0</v>
      </c>
    </row>
    <row r="289" spans="1:57" s="15" customFormat="1" ht="20.25">
      <c r="A289" s="15" t="s">
        <v>27</v>
      </c>
      <c r="B289" s="28"/>
      <c r="C289" s="28"/>
      <c r="D289" s="138"/>
      <c r="E289" s="139"/>
      <c r="F289" s="28"/>
      <c r="G289" s="138"/>
      <c r="H289" s="139"/>
      <c r="I289" s="28"/>
      <c r="J289" s="138"/>
      <c r="K289" s="139"/>
      <c r="L289" s="28"/>
      <c r="M289" s="138"/>
      <c r="N289" s="139"/>
      <c r="O289" s="28"/>
      <c r="P289" s="138"/>
      <c r="Q289" s="139"/>
      <c r="R289" s="28"/>
      <c r="S289" s="138"/>
      <c r="T289" s="139"/>
      <c r="U289" s="28"/>
      <c r="V289" s="138"/>
      <c r="W289" s="139"/>
      <c r="X289" s="28"/>
      <c r="Y289" s="138"/>
      <c r="Z289" s="139"/>
      <c r="AA289" s="28"/>
      <c r="AB289" s="138"/>
      <c r="AC289" s="139"/>
      <c r="AD289" s="28"/>
      <c r="AE289" s="138"/>
      <c r="AF289" s="139"/>
      <c r="AG289" s="28"/>
      <c r="AH289" s="138"/>
      <c r="AI289" s="139"/>
      <c r="AJ289" s="28"/>
      <c r="AK289" s="138"/>
      <c r="AL289" s="139"/>
      <c r="AM289" s="28"/>
      <c r="AN289" s="138"/>
      <c r="AO289" s="139"/>
      <c r="AQ289" s="119"/>
      <c r="AR289" s="140"/>
      <c r="AS289" s="141"/>
      <c r="AU289" s="119"/>
      <c r="AV289" s="140"/>
      <c r="AW289" s="141"/>
      <c r="AY289" s="119"/>
      <c r="AZ289" s="140"/>
      <c r="BA289" s="141"/>
      <c r="BC289" s="119"/>
      <c r="BD289" s="140"/>
      <c r="BE289" s="142"/>
    </row>
    <row r="290" spans="1:57" s="15" customFormat="1" ht="20.25">
      <c r="A290" s="15" t="s">
        <v>27</v>
      </c>
      <c r="B290" s="150" t="s">
        <v>92</v>
      </c>
      <c r="C290" s="121" t="s">
        <v>57</v>
      </c>
      <c r="D290" s="213">
        <f>IFERROR(E290/E$247,0)</f>
        <v>0</v>
      </c>
      <c r="E290" s="151">
        <f>E269+E288</f>
        <v>141701.04297594703</v>
      </c>
      <c r="F290" s="121" t="s">
        <v>57</v>
      </c>
      <c r="G290" s="213">
        <f>IFERROR(H290/H$246,0)</f>
        <v>0</v>
      </c>
      <c r="H290" s="151">
        <f>H269+H288</f>
        <v>23078.189999999995</v>
      </c>
      <c r="I290" s="121" t="s">
        <v>57</v>
      </c>
      <c r="J290" s="213">
        <f>IFERROR(K290/K$246,0)</f>
        <v>0</v>
      </c>
      <c r="K290" s="151">
        <f>K269+K288</f>
        <v>9586.27</v>
      </c>
      <c r="L290" s="121" t="s">
        <v>57</v>
      </c>
      <c r="M290" s="213">
        <f>IFERROR(N290/N$246,0)</f>
        <v>0</v>
      </c>
      <c r="N290" s="151">
        <f>N269+N288</f>
        <v>11134.259999999998</v>
      </c>
      <c r="O290" s="121" t="s">
        <v>57</v>
      </c>
      <c r="P290" s="213">
        <f>IFERROR(Q290/Q$246,0)</f>
        <v>0</v>
      </c>
      <c r="Q290" s="151">
        <f>Q269+Q288</f>
        <v>11801.91</v>
      </c>
      <c r="R290" s="121" t="s">
        <v>57</v>
      </c>
      <c r="S290" s="213">
        <f>IFERROR(T290/T$246,0)</f>
        <v>0</v>
      </c>
      <c r="T290" s="151">
        <f>T269+T288</f>
        <v>12332.689999999999</v>
      </c>
      <c r="U290" s="121" t="s">
        <v>57</v>
      </c>
      <c r="V290" s="213">
        <f>IFERROR(W290/W$246,0)</f>
        <v>0</v>
      </c>
      <c r="W290" s="152">
        <f>W269+W288</f>
        <v>9252.6999999999989</v>
      </c>
      <c r="X290" s="121" t="s">
        <v>57</v>
      </c>
      <c r="Y290" s="213">
        <f>IFERROR(Z290/Z$246,0)</f>
        <v>0</v>
      </c>
      <c r="Z290" s="152">
        <f>Z269+Z288</f>
        <v>8318.99</v>
      </c>
      <c r="AA290" s="121" t="s">
        <v>57</v>
      </c>
      <c r="AB290" s="213">
        <f>IFERROR(AC290/AC$246,0)</f>
        <v>0</v>
      </c>
      <c r="AC290" s="152">
        <f>AC269+AC288</f>
        <v>10778.310000000001</v>
      </c>
      <c r="AD290" s="121" t="s">
        <v>57</v>
      </c>
      <c r="AE290" s="122">
        <v>0</v>
      </c>
      <c r="AF290" s="151">
        <v>10915.382195604459</v>
      </c>
      <c r="AG290" s="121" t="s">
        <v>57</v>
      </c>
      <c r="AH290" s="122">
        <v>0</v>
      </c>
      <c r="AI290" s="151">
        <v>12573.282830779312</v>
      </c>
      <c r="AJ290" s="121" t="s">
        <v>57</v>
      </c>
      <c r="AK290" s="122">
        <v>0</v>
      </c>
      <c r="AL290" s="151">
        <v>11022.169159653757</v>
      </c>
      <c r="AM290" s="121" t="s">
        <v>57</v>
      </c>
      <c r="AN290" s="122">
        <v>0</v>
      </c>
      <c r="AO290" s="151">
        <v>10906.888789909484</v>
      </c>
      <c r="AQ290" s="121" t="s">
        <v>57</v>
      </c>
      <c r="AR290" s="214">
        <f t="shared" ref="AR290" si="419">IFERROR(AS290/AS$247,0)</f>
        <v>0</v>
      </c>
      <c r="AS290" s="153">
        <f t="shared" ref="AS290" si="420">AS269+AS288</f>
        <v>96283.319999999992</v>
      </c>
      <c r="AU290" s="121" t="s">
        <v>57</v>
      </c>
      <c r="AV290" s="214">
        <f t="shared" ref="AV290" si="421">IFERROR(AW290/AW$247,0)</f>
        <v>0</v>
      </c>
      <c r="AW290" s="153">
        <f t="shared" ref="AW290" si="422">AW269+AW288</f>
        <v>45417.722975947021</v>
      </c>
      <c r="AY290" s="121" t="s">
        <v>57</v>
      </c>
      <c r="AZ290" s="214">
        <f>IFERROR(BA290/BA$246,0)</f>
        <v>0</v>
      </c>
      <c r="BA290" s="153">
        <f>BA269+BA288</f>
        <v>96283.319999999978</v>
      </c>
      <c r="BC290" s="121" t="s">
        <v>57</v>
      </c>
      <c r="BD290" s="214"/>
      <c r="BE290" s="154">
        <f t="shared" ref="BE290" si="423">BE269+BE288</f>
        <v>1.8189894035458565E-12</v>
      </c>
    </row>
    <row r="291" spans="1:57" s="15" customFormat="1" ht="20.25">
      <c r="A291" s="15" t="s">
        <v>27</v>
      </c>
      <c r="B291" s="34"/>
      <c r="C291" s="34"/>
      <c r="D291" s="72"/>
      <c r="E291" s="73"/>
      <c r="F291" s="34"/>
      <c r="G291" s="72"/>
      <c r="H291" s="73"/>
      <c r="I291" s="34"/>
      <c r="J291" s="72"/>
      <c r="K291" s="73"/>
      <c r="L291" s="34"/>
      <c r="M291" s="72"/>
      <c r="N291" s="73"/>
      <c r="O291" s="34"/>
      <c r="P291" s="72"/>
      <c r="Q291" s="73"/>
      <c r="R291" s="34"/>
      <c r="S291" s="72"/>
      <c r="T291" s="73"/>
      <c r="U291" s="34"/>
      <c r="V291" s="72"/>
      <c r="W291" s="73"/>
      <c r="X291" s="34"/>
      <c r="Y291" s="72"/>
      <c r="Z291" s="73"/>
      <c r="AA291" s="34"/>
      <c r="AB291" s="72"/>
      <c r="AC291" s="73"/>
      <c r="AD291" s="34"/>
      <c r="AE291" s="72"/>
      <c r="AF291" s="73"/>
      <c r="AG291" s="34"/>
      <c r="AH291" s="72"/>
      <c r="AI291" s="73"/>
      <c r="AJ291" s="34"/>
      <c r="AK291" s="72"/>
      <c r="AL291" s="73"/>
      <c r="AM291" s="34"/>
      <c r="AN291" s="72"/>
      <c r="AO291" s="73"/>
      <c r="AQ291" s="53"/>
      <c r="AR291" s="74"/>
      <c r="AS291" s="75"/>
      <c r="AU291" s="53"/>
      <c r="AV291" s="74"/>
      <c r="AW291" s="75"/>
      <c r="AY291" s="53"/>
      <c r="AZ291" s="74"/>
      <c r="BA291" s="75"/>
      <c r="BC291" s="53"/>
      <c r="BD291" s="74"/>
      <c r="BE291" s="27"/>
    </row>
    <row r="292" spans="1:57" s="15" customFormat="1" ht="21" thickBot="1">
      <c r="A292" s="15" t="s">
        <v>27</v>
      </c>
      <c r="B292" s="171" t="s">
        <v>99</v>
      </c>
      <c r="C292" s="171"/>
      <c r="D292" s="215"/>
      <c r="E292" s="174">
        <f>E253-E290</f>
        <v>-61787.752975947064</v>
      </c>
      <c r="F292" s="171"/>
      <c r="G292" s="215"/>
      <c r="H292" s="174">
        <f>H253-H290</f>
        <v>-20798.630000000005</v>
      </c>
      <c r="I292" s="171"/>
      <c r="J292" s="215"/>
      <c r="K292" s="174">
        <f>K253-K290</f>
        <v>-4680.3600000000006</v>
      </c>
      <c r="L292" s="171"/>
      <c r="M292" s="215"/>
      <c r="N292" s="174">
        <f>N253-N290</f>
        <v>-8391.4299999999985</v>
      </c>
      <c r="O292" s="171"/>
      <c r="P292" s="215"/>
      <c r="Q292" s="174">
        <f>Q253-Q290</f>
        <v>-7486.32</v>
      </c>
      <c r="R292" s="171"/>
      <c r="S292" s="215"/>
      <c r="T292" s="174">
        <f>T253-T290</f>
        <v>-10303.700000000008</v>
      </c>
      <c r="U292" s="171"/>
      <c r="V292" s="215"/>
      <c r="W292" s="175">
        <f>W253-W290</f>
        <v>-5667.7099999999991</v>
      </c>
      <c r="X292" s="171"/>
      <c r="Y292" s="215"/>
      <c r="Z292" s="175">
        <f>Z253-Z290</f>
        <v>1329.5999999999894</v>
      </c>
      <c r="AA292" s="171"/>
      <c r="AB292" s="215"/>
      <c r="AC292" s="175">
        <f>AC253-AC290</f>
        <v>-1291.4800000000105</v>
      </c>
      <c r="AD292" s="171"/>
      <c r="AE292" s="215"/>
      <c r="AF292" s="174">
        <v>964.61780439554059</v>
      </c>
      <c r="AG292" s="171"/>
      <c r="AH292" s="215"/>
      <c r="AI292" s="174">
        <v>-693.28283077931155</v>
      </c>
      <c r="AJ292" s="171"/>
      <c r="AK292" s="215"/>
      <c r="AL292" s="174">
        <v>-462.16915965375665</v>
      </c>
      <c r="AM292" s="171"/>
      <c r="AN292" s="215"/>
      <c r="AO292" s="174">
        <v>-4306.8887899094843</v>
      </c>
      <c r="AQ292" s="216"/>
      <c r="AR292" s="217"/>
      <c r="AS292" s="178">
        <f t="shared" ref="AS292" si="424">AS253-AS290</f>
        <v>-57290.030000000028</v>
      </c>
      <c r="AU292" s="216"/>
      <c r="AV292" s="217"/>
      <c r="AW292" s="178">
        <f t="shared" ref="AW292" si="425">AW253-AW290</f>
        <v>-4497.722975947021</v>
      </c>
      <c r="AY292" s="216"/>
      <c r="AZ292" s="217"/>
      <c r="BA292" s="178">
        <f>BA253-BA290</f>
        <v>-57290.029999999977</v>
      </c>
      <c r="BC292" s="216"/>
      <c r="BD292" s="217"/>
      <c r="BE292" s="179">
        <f t="shared" ref="BE292" si="426">BE253-BE290</f>
        <v>-1.8189894035458565E-12</v>
      </c>
    </row>
    <row r="293" spans="1:57" s="15" customFormat="1" ht="20.25">
      <c r="A293" s="15" t="s">
        <v>27</v>
      </c>
      <c r="B293" s="72"/>
      <c r="C293" s="72"/>
      <c r="D293" s="72"/>
      <c r="E293" s="103"/>
      <c r="F293" s="72"/>
      <c r="G293" s="72"/>
      <c r="H293" s="103"/>
      <c r="I293" s="72"/>
      <c r="J293" s="72"/>
      <c r="K293" s="103"/>
      <c r="L293" s="72"/>
      <c r="M293" s="72"/>
      <c r="N293" s="103"/>
      <c r="O293" s="72"/>
      <c r="P293" s="72"/>
      <c r="Q293" s="103"/>
      <c r="R293" s="72"/>
      <c r="S293" s="72"/>
      <c r="T293" s="103"/>
      <c r="U293" s="72"/>
      <c r="V293" s="72"/>
      <c r="W293" s="103"/>
      <c r="X293" s="72"/>
      <c r="Y293" s="72"/>
      <c r="Z293" s="103"/>
      <c r="AA293" s="72"/>
      <c r="AB293" s="72"/>
      <c r="AC293" s="103"/>
      <c r="AD293" s="72"/>
      <c r="AE293" s="72"/>
      <c r="AF293" s="103"/>
      <c r="AG293" s="72"/>
      <c r="AH293" s="72"/>
      <c r="AI293" s="103"/>
      <c r="AJ293" s="72"/>
      <c r="AK293" s="72"/>
      <c r="AL293" s="103"/>
      <c r="AM293" s="72"/>
      <c r="AN293" s="72"/>
      <c r="AO293" s="103"/>
      <c r="AQ293" s="74"/>
      <c r="AR293" s="74"/>
      <c r="AS293" s="107"/>
      <c r="AU293" s="74"/>
      <c r="AV293" s="74"/>
      <c r="AW293" s="107"/>
      <c r="AY293" s="74"/>
      <c r="AZ293" s="74"/>
      <c r="BA293" s="107"/>
      <c r="BC293" s="74"/>
      <c r="BD293" s="74"/>
      <c r="BE293" s="303"/>
    </row>
    <row r="294" spans="1:57" s="15" customFormat="1" ht="35.25">
      <c r="A294" s="15" t="s">
        <v>27</v>
      </c>
      <c r="B294" s="187" t="str">
        <f>B4</f>
        <v>Budget 2025</v>
      </c>
      <c r="C294" s="10" t="s">
        <v>130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Q294" s="9"/>
      <c r="AR294" s="9"/>
      <c r="AS294" s="9"/>
      <c r="AU294" s="9"/>
      <c r="AV294" s="9"/>
      <c r="AW294" s="9"/>
      <c r="AY294" s="9"/>
      <c r="AZ294" s="9"/>
      <c r="BA294" s="9"/>
      <c r="BC294" s="9"/>
      <c r="BD294" s="9"/>
      <c r="BE294" s="188"/>
    </row>
    <row r="295" spans="1:57" s="15" customFormat="1" ht="21" thickBot="1">
      <c r="A295" s="15" t="s">
        <v>27</v>
      </c>
      <c r="B295" s="189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Q295" s="13"/>
      <c r="AR295" s="13"/>
      <c r="AS295" s="13"/>
      <c r="AU295" s="13"/>
      <c r="AV295" s="13"/>
      <c r="AW295" s="13"/>
      <c r="AY295" s="13"/>
      <c r="AZ295" s="13"/>
      <c r="BA295" s="13"/>
      <c r="BC295" s="13"/>
      <c r="BD295" s="13"/>
      <c r="BE295" s="14"/>
    </row>
    <row r="296" spans="1:57" s="15" customFormat="1" ht="21" thickTop="1">
      <c r="A296" s="15" t="str">
        <f>+C294</f>
        <v>Pièces</v>
      </c>
      <c r="B296" s="16" t="s">
        <v>10</v>
      </c>
      <c r="C296" s="17">
        <v>2025</v>
      </c>
      <c r="D296" s="18"/>
      <c r="E296" s="19"/>
      <c r="F296" s="17" t="s">
        <v>11</v>
      </c>
      <c r="G296" s="18"/>
      <c r="H296" s="19"/>
      <c r="I296" s="17" t="s">
        <v>12</v>
      </c>
      <c r="J296" s="18"/>
      <c r="K296" s="19"/>
      <c r="L296" s="17" t="s">
        <v>13</v>
      </c>
      <c r="M296" s="18"/>
      <c r="N296" s="19"/>
      <c r="O296" s="17" t="s">
        <v>14</v>
      </c>
      <c r="P296" s="18"/>
      <c r="Q296" s="19"/>
      <c r="R296" s="17" t="s">
        <v>15</v>
      </c>
      <c r="S296" s="18"/>
      <c r="T296" s="19"/>
      <c r="U296" s="17" t="s">
        <v>16</v>
      </c>
      <c r="V296" s="18"/>
      <c r="W296" s="19"/>
      <c r="X296" s="17" t="s">
        <v>17</v>
      </c>
      <c r="Y296" s="18"/>
      <c r="Z296" s="19"/>
      <c r="AA296" s="17" t="s">
        <v>18</v>
      </c>
      <c r="AB296" s="18"/>
      <c r="AC296" s="19"/>
      <c r="AD296" s="17" t="s">
        <v>19</v>
      </c>
      <c r="AE296" s="18"/>
      <c r="AF296" s="19"/>
      <c r="AG296" s="17" t="s">
        <v>20</v>
      </c>
      <c r="AH296" s="18"/>
      <c r="AI296" s="19"/>
      <c r="AJ296" s="17" t="s">
        <v>21</v>
      </c>
      <c r="AK296" s="18"/>
      <c r="AL296" s="19"/>
      <c r="AM296" s="17" t="s">
        <v>22</v>
      </c>
      <c r="AN296" s="18"/>
      <c r="AO296" s="19"/>
      <c r="AQ296" s="16" t="s">
        <v>6</v>
      </c>
      <c r="AR296" s="20"/>
      <c r="AS296" s="21"/>
      <c r="AU296" s="16" t="s">
        <v>7</v>
      </c>
      <c r="AV296" s="20"/>
      <c r="AW296" s="21"/>
      <c r="AY296" s="16" t="s">
        <v>8</v>
      </c>
      <c r="AZ296" s="20"/>
      <c r="BA296" s="21"/>
      <c r="BC296" s="16" t="s">
        <v>23</v>
      </c>
      <c r="BD296" s="20"/>
      <c r="BE296" s="22"/>
    </row>
    <row r="297" spans="1:57" s="15" customFormat="1" ht="20.25" customHeight="1" outlineLevel="1">
      <c r="A297" s="15" t="s">
        <v>27</v>
      </c>
      <c r="B297" s="34"/>
      <c r="C297" s="53" t="s">
        <v>111</v>
      </c>
      <c r="D297" s="74" t="s">
        <v>131</v>
      </c>
      <c r="E297" s="54" t="s">
        <v>26</v>
      </c>
      <c r="F297" s="53" t="s">
        <v>111</v>
      </c>
      <c r="G297" s="74" t="s">
        <v>131</v>
      </c>
      <c r="H297" s="54" t="s">
        <v>26</v>
      </c>
      <c r="I297" s="53" t="s">
        <v>111</v>
      </c>
      <c r="J297" s="74" t="s">
        <v>131</v>
      </c>
      <c r="K297" s="54" t="s">
        <v>26</v>
      </c>
      <c r="L297" s="53" t="s">
        <v>111</v>
      </c>
      <c r="M297" s="74" t="s">
        <v>131</v>
      </c>
      <c r="N297" s="54" t="s">
        <v>26</v>
      </c>
      <c r="O297" s="53" t="s">
        <v>111</v>
      </c>
      <c r="P297" s="74" t="s">
        <v>131</v>
      </c>
      <c r="Q297" s="54" t="s">
        <v>26</v>
      </c>
      <c r="R297" s="53" t="s">
        <v>111</v>
      </c>
      <c r="S297" s="74" t="s">
        <v>131</v>
      </c>
      <c r="T297" s="54" t="s">
        <v>26</v>
      </c>
      <c r="U297" s="53" t="s">
        <v>111</v>
      </c>
      <c r="V297" s="74" t="s">
        <v>131</v>
      </c>
      <c r="W297" s="54" t="s">
        <v>26</v>
      </c>
      <c r="X297" s="53" t="s">
        <v>111</v>
      </c>
      <c r="Y297" s="74" t="s">
        <v>131</v>
      </c>
      <c r="Z297" s="54" t="s">
        <v>26</v>
      </c>
      <c r="AA297" s="53" t="str">
        <f>+[1]VOLKS!$J$294</f>
        <v>$VENTES</v>
      </c>
      <c r="AB297" s="74" t="s">
        <v>131</v>
      </c>
      <c r="AC297" s="54" t="str">
        <f>+[1]VOLKS!$L$294</f>
        <v>$PROFITS</v>
      </c>
      <c r="AD297" s="53" t="s">
        <v>111</v>
      </c>
      <c r="AE297" s="74" t="s">
        <v>131</v>
      </c>
      <c r="AF297" s="54" t="s">
        <v>26</v>
      </c>
      <c r="AG297" s="53" t="s">
        <v>111</v>
      </c>
      <c r="AH297" s="74" t="s">
        <v>131</v>
      </c>
      <c r="AI297" s="54" t="s">
        <v>26</v>
      </c>
      <c r="AJ297" s="53" t="s">
        <v>111</v>
      </c>
      <c r="AK297" s="74" t="s">
        <v>131</v>
      </c>
      <c r="AL297" s="54" t="s">
        <v>26</v>
      </c>
      <c r="AM297" s="53" t="s">
        <v>111</v>
      </c>
      <c r="AN297" s="74" t="s">
        <v>131</v>
      </c>
      <c r="AO297" s="54" t="s">
        <v>26</v>
      </c>
      <c r="AQ297" s="53" t="s">
        <v>111</v>
      </c>
      <c r="AR297" s="74" t="s">
        <v>131</v>
      </c>
      <c r="AS297" s="54" t="s">
        <v>26</v>
      </c>
      <c r="AU297" s="53" t="s">
        <v>111</v>
      </c>
      <c r="AV297" s="74" t="s">
        <v>131</v>
      </c>
      <c r="AW297" s="54" t="s">
        <v>26</v>
      </c>
      <c r="AY297" s="53" t="str">
        <f>+[2]VOLKS!$J$294</f>
        <v>$VENTES</v>
      </c>
      <c r="AZ297" s="74" t="e">
        <f t="shared" ref="AZ297:AZ307" si="427">IF(AY297&lt;=0,0,BA297/AY297)</f>
        <v>#VALUE!</v>
      </c>
      <c r="BA297" s="54" t="str">
        <f>+[2]VOLKS!$L$294</f>
        <v>$PROFITS</v>
      </c>
      <c r="BC297" s="53" t="s">
        <v>111</v>
      </c>
      <c r="BD297" s="74" t="s">
        <v>131</v>
      </c>
      <c r="BE297" s="27" t="s">
        <v>26</v>
      </c>
    </row>
    <row r="298" spans="1:57" s="15" customFormat="1" ht="20.25" customHeight="1" outlineLevel="1">
      <c r="A298" s="15" t="s">
        <v>27</v>
      </c>
      <c r="B298" s="34" t="s">
        <v>132</v>
      </c>
      <c r="C298" s="220">
        <f t="shared" ref="C298:C306" si="428">+SUM(F298,I298,L298,O298,R298,U298,X298,AA298,AD298,AG298,AJ298,AM298)</f>
        <v>1136989.7259199999</v>
      </c>
      <c r="D298" s="210">
        <f t="shared" ref="D298:D307" si="429">IF(C298&lt;=0,0,E298/C298)</f>
        <v>0.34107561254315644</v>
      </c>
      <c r="E298" s="104">
        <f t="shared" ref="E298:E306" si="430">+SUM(H298,K298,N298,Q298,T298,W298,Z298,AC298,AF298,AI298,AL298,AO298)</f>
        <v>387799.46722343948</v>
      </c>
      <c r="F298" s="220">
        <v>67070.5</v>
      </c>
      <c r="G298" s="210">
        <f t="shared" ref="G298:G307" si="431">IF(F298&lt;=0,0,H298/F298)</f>
        <v>0.32451867810736468</v>
      </c>
      <c r="H298" s="104">
        <v>21765.63</v>
      </c>
      <c r="I298" s="220">
        <v>60578.83</v>
      </c>
      <c r="J298" s="210">
        <f t="shared" ref="J298:J307" si="432">IF(I298&lt;=0,0,K298/I298)</f>
        <v>0.28341881148909609</v>
      </c>
      <c r="K298" s="104">
        <v>17169.18</v>
      </c>
      <c r="L298" s="220">
        <v>76633.429999999993</v>
      </c>
      <c r="M298" s="210">
        <f t="shared" ref="M298:M307" si="433">IF(L298&lt;=0,0,N298/L298)</f>
        <v>0.30231636506417503</v>
      </c>
      <c r="N298" s="104">
        <v>23167.539999999899</v>
      </c>
      <c r="O298" s="220">
        <v>79614.17</v>
      </c>
      <c r="P298" s="210">
        <f t="shared" ref="P298:P307" si="434">IF(O298&lt;=0,0,Q298/O298)</f>
        <v>0.33377638679144556</v>
      </c>
      <c r="Q298" s="104">
        <v>26573.3299999999</v>
      </c>
      <c r="R298" s="220">
        <v>118021.43</v>
      </c>
      <c r="S298" s="210">
        <f t="shared" ref="S298:S307" si="435">IF(R298&lt;=0,0,T298/R298)</f>
        <v>0.31805825433567364</v>
      </c>
      <c r="T298" s="104">
        <v>37537.6899999999</v>
      </c>
      <c r="U298" s="220">
        <v>86209.07</v>
      </c>
      <c r="V298" s="210">
        <f t="shared" ref="V298:V307" si="436">IF(U298&lt;=0,0,W298/U298)</f>
        <v>0.33914215754792387</v>
      </c>
      <c r="W298" s="104">
        <v>29237.13</v>
      </c>
      <c r="X298" s="220">
        <v>87058.76</v>
      </c>
      <c r="Y298" s="210">
        <f t="shared" ref="Y298:Y307" si="437">IF(X298&lt;=0,0,Z298/X298)</f>
        <v>0.34657282047205706</v>
      </c>
      <c r="Z298" s="104">
        <v>30172.199999999899</v>
      </c>
      <c r="AA298" s="220">
        <f>+[1]VOLKS!$J$295</f>
        <v>86794.299999999901</v>
      </c>
      <c r="AB298" s="210">
        <f t="shared" ref="AB298:AB307" si="438">IF(AA298&lt;=0,0,AC298/AA298)</f>
        <v>0.37558307400370688</v>
      </c>
      <c r="AC298" s="104">
        <f>+[1]VOLKS!$L$295</f>
        <v>32598.469999999899</v>
      </c>
      <c r="AD298" s="220">
        <v>75306.342279999997</v>
      </c>
      <c r="AE298" s="210">
        <v>0.35699999999999998</v>
      </c>
      <c r="AF298" s="104">
        <v>26884.364193959998</v>
      </c>
      <c r="AG298" s="220">
        <v>127441.50232</v>
      </c>
      <c r="AH298" s="210">
        <v>0.35699999999999998</v>
      </c>
      <c r="AI298" s="104">
        <v>45496.616328240001</v>
      </c>
      <c r="AJ298" s="220">
        <v>185369.45791999999</v>
      </c>
      <c r="AK298" s="210">
        <v>0.35699999999999998</v>
      </c>
      <c r="AL298" s="104">
        <v>66176.896477439994</v>
      </c>
      <c r="AM298" s="220">
        <v>86891.933399999994</v>
      </c>
      <c r="AN298" s="210">
        <v>0.35699999999999998</v>
      </c>
      <c r="AO298" s="104">
        <v>31020.420223799996</v>
      </c>
      <c r="AQ298" s="224">
        <f t="shared" ref="AQ298:AQ306" si="439">SUMIFS(F298:AO298,$F$7:$AO$7,"UNITE",$F$3:$AO$3,"RÉEL")</f>
        <v>661980.48999999987</v>
      </c>
      <c r="AR298" s="211">
        <f t="shared" ref="AR298:AR307" si="440">IF(AQ298&lt;=0,0,AS298/AQ298)</f>
        <v>0.32964894478989781</v>
      </c>
      <c r="AS298" s="155">
        <f t="shared" ref="AS298:AS306" si="441">SUMIFS(F298:AO298,$F$7:$AO$7,"$PROFITS",$F$3:$AO$3,"RÉEL")</f>
        <v>218221.16999999946</v>
      </c>
      <c r="AU298" s="224">
        <f t="shared" ref="AU298:AU306" si="442">SUMIFS(F298:AO298,$F$7:$AO$7,"UNITE",$F$3:$AO$3,"BUDGET")</f>
        <v>475009.23592000001</v>
      </c>
      <c r="AV298" s="211">
        <f t="shared" ref="AV298:AV307" si="443">IF(AU298&lt;=0,0,AW298/AU298)</f>
        <v>0.35699999999999998</v>
      </c>
      <c r="AW298" s="155">
        <f t="shared" ref="AW298:AW306" si="444">SUMIFS(F298:AO298,$F$7:$AO$7,"$PROFITS",$F$3:$AO$3,"BUDGET")</f>
        <v>169578.29722343999</v>
      </c>
      <c r="AY298" s="224">
        <f>+[2]VOLKS!$J$295</f>
        <v>661980.49</v>
      </c>
      <c r="AZ298" s="211">
        <f t="shared" si="427"/>
        <v>0.32964894478989704</v>
      </c>
      <c r="BA298" s="155">
        <f>+[2]VOLKS!$L$295</f>
        <v>218221.16999999899</v>
      </c>
      <c r="BC298" s="224">
        <f t="shared" ref="BC298:BC306" si="445">+AY298-AQ298</f>
        <v>0</v>
      </c>
      <c r="BD298" s="211"/>
      <c r="BE298" s="41">
        <f t="shared" ref="BE298:BE306" si="446">+BA298-AS298</f>
        <v>-4.6566128730773926E-10</v>
      </c>
    </row>
    <row r="299" spans="1:57" s="15" customFormat="1" ht="20.25" customHeight="1" outlineLevel="1">
      <c r="A299" s="15" t="s">
        <v>27</v>
      </c>
      <c r="B299" s="34" t="s">
        <v>133</v>
      </c>
      <c r="C299" s="220">
        <f t="shared" si="428"/>
        <v>169520.22</v>
      </c>
      <c r="D299" s="210">
        <f t="shared" si="429"/>
        <v>0.24340996018056124</v>
      </c>
      <c r="E299" s="104">
        <f t="shared" si="430"/>
        <v>41262.909999999982</v>
      </c>
      <c r="F299" s="220">
        <v>2353.8200000000002</v>
      </c>
      <c r="G299" s="210">
        <f t="shared" si="431"/>
        <v>0.27891682456602457</v>
      </c>
      <c r="H299" s="104">
        <v>656.52</v>
      </c>
      <c r="I299" s="220">
        <v>10964.62</v>
      </c>
      <c r="J299" s="210">
        <f t="shared" si="432"/>
        <v>0.23183931590880485</v>
      </c>
      <c r="K299" s="104">
        <v>2542.0300000000002</v>
      </c>
      <c r="L299" s="220">
        <v>4912.8599999999997</v>
      </c>
      <c r="M299" s="210">
        <f t="shared" si="433"/>
        <v>0.21582336968690133</v>
      </c>
      <c r="N299" s="104">
        <v>1060.3099999999899</v>
      </c>
      <c r="O299" s="220">
        <v>5388.62</v>
      </c>
      <c r="P299" s="210">
        <f t="shared" si="434"/>
        <v>0.25085829024870748</v>
      </c>
      <c r="Q299" s="104">
        <v>1351.77999999999</v>
      </c>
      <c r="R299" s="220">
        <v>1379.61</v>
      </c>
      <c r="S299" s="210">
        <f t="shared" si="435"/>
        <v>0.23078986090271819</v>
      </c>
      <c r="T299" s="104">
        <v>318.39999999999901</v>
      </c>
      <c r="U299" s="220">
        <v>6139.71</v>
      </c>
      <c r="V299" s="210">
        <f t="shared" si="436"/>
        <v>0.23077474343250742</v>
      </c>
      <c r="W299" s="104">
        <v>1416.89</v>
      </c>
      <c r="X299" s="220">
        <v>18886.29</v>
      </c>
      <c r="Y299" s="210">
        <f t="shared" si="437"/>
        <v>0.23393848130045655</v>
      </c>
      <c r="Z299" s="104">
        <v>4418.2299999999996</v>
      </c>
      <c r="AA299" s="220">
        <f>+[1]VOLKS!$J$296</f>
        <v>7894.69</v>
      </c>
      <c r="AB299" s="210">
        <f t="shared" si="438"/>
        <v>0.23078170263810233</v>
      </c>
      <c r="AC299" s="104">
        <f>+[1]VOLKS!$L$296</f>
        <v>1821.95</v>
      </c>
      <c r="AD299" s="220">
        <v>32400</v>
      </c>
      <c r="AE299" s="210">
        <v>0.248</v>
      </c>
      <c r="AF299" s="104">
        <v>8035.2</v>
      </c>
      <c r="AG299" s="220">
        <v>32400</v>
      </c>
      <c r="AH299" s="210">
        <v>0.248</v>
      </c>
      <c r="AI299" s="104">
        <v>8035.2</v>
      </c>
      <c r="AJ299" s="220">
        <v>28800</v>
      </c>
      <c r="AK299" s="210">
        <v>0.248</v>
      </c>
      <c r="AL299" s="104">
        <v>7142.4</v>
      </c>
      <c r="AM299" s="220">
        <v>18000</v>
      </c>
      <c r="AN299" s="210">
        <v>0.248</v>
      </c>
      <c r="AO299" s="104">
        <v>4464</v>
      </c>
      <c r="AQ299" s="224">
        <f t="shared" si="439"/>
        <v>57920.22</v>
      </c>
      <c r="AR299" s="211">
        <f t="shared" si="440"/>
        <v>0.23456592533660919</v>
      </c>
      <c r="AS299" s="155">
        <f t="shared" si="441"/>
        <v>13586.109999999979</v>
      </c>
      <c r="AU299" s="224">
        <f t="shared" si="442"/>
        <v>111600</v>
      </c>
      <c r="AV299" s="211">
        <f t="shared" si="443"/>
        <v>0.248</v>
      </c>
      <c r="AW299" s="155">
        <f t="shared" si="444"/>
        <v>27676.799999999999</v>
      </c>
      <c r="AY299" s="224">
        <f>+[2]VOLKS!$J$296</f>
        <v>57920.22</v>
      </c>
      <c r="AZ299" s="211">
        <f t="shared" si="427"/>
        <v>0.23456592533660958</v>
      </c>
      <c r="BA299" s="155">
        <f>+[2]VOLKS!$L$296</f>
        <v>13586.11</v>
      </c>
      <c r="BC299" s="224">
        <f t="shared" si="445"/>
        <v>0</v>
      </c>
      <c r="BD299" s="211"/>
      <c r="BE299" s="41">
        <f t="shared" si="446"/>
        <v>2.1827872842550278E-11</v>
      </c>
    </row>
    <row r="300" spans="1:57" s="15" customFormat="1" ht="20.25" customHeight="1" outlineLevel="1">
      <c r="A300" s="15" t="s">
        <v>27</v>
      </c>
      <c r="B300" s="34" t="s">
        <v>134</v>
      </c>
      <c r="C300" s="220">
        <f t="shared" si="428"/>
        <v>959123.73375000001</v>
      </c>
      <c r="D300" s="210">
        <f t="shared" si="429"/>
        <v>0.23420864145491146</v>
      </c>
      <c r="E300" s="104">
        <f t="shared" si="430"/>
        <v>224635.06666874973</v>
      </c>
      <c r="F300" s="220">
        <v>93363.8</v>
      </c>
      <c r="G300" s="210">
        <f t="shared" si="431"/>
        <v>0.2310724285001253</v>
      </c>
      <c r="H300" s="104">
        <v>21573.8</v>
      </c>
      <c r="I300" s="220">
        <v>81364.36</v>
      </c>
      <c r="J300" s="210">
        <f t="shared" si="432"/>
        <v>0.23102350955627257</v>
      </c>
      <c r="K300" s="104">
        <v>18797.080000000002</v>
      </c>
      <c r="L300" s="220">
        <v>136018.10999999999</v>
      </c>
      <c r="M300" s="210">
        <f t="shared" si="433"/>
        <v>0.23098468284848175</v>
      </c>
      <c r="N300" s="104">
        <v>31418.0999999999</v>
      </c>
      <c r="O300" s="220">
        <v>49369.33</v>
      </c>
      <c r="P300" s="210">
        <f t="shared" si="434"/>
        <v>0.24429944664025213</v>
      </c>
      <c r="Q300" s="104">
        <v>12060.9</v>
      </c>
      <c r="R300" s="220">
        <v>85718.31</v>
      </c>
      <c r="S300" s="210">
        <f t="shared" si="435"/>
        <v>0.2366525891609389</v>
      </c>
      <c r="T300" s="104">
        <v>20285.46</v>
      </c>
      <c r="U300" s="220">
        <v>73741.789999999994</v>
      </c>
      <c r="V300" s="210">
        <f t="shared" si="436"/>
        <v>0.23132961649018696</v>
      </c>
      <c r="W300" s="104">
        <v>17058.659999999902</v>
      </c>
      <c r="X300" s="220">
        <v>95506.71</v>
      </c>
      <c r="Y300" s="210">
        <f t="shared" si="437"/>
        <v>0.23560993777295858</v>
      </c>
      <c r="Z300" s="104">
        <v>22502.33</v>
      </c>
      <c r="AA300" s="220">
        <f>+[1]VOLKS!$J$297</f>
        <v>101671.38</v>
      </c>
      <c r="AB300" s="210">
        <f t="shared" si="438"/>
        <v>0.23110790863662811</v>
      </c>
      <c r="AC300" s="104">
        <f>+[1]VOLKS!$L$297</f>
        <v>23497.059999999899</v>
      </c>
      <c r="AD300" s="220">
        <v>58614.412499999999</v>
      </c>
      <c r="AE300" s="210">
        <v>0.23699999999999999</v>
      </c>
      <c r="AF300" s="104">
        <v>13891.6157625</v>
      </c>
      <c r="AG300" s="581">
        <f>AH178*1.25</f>
        <v>79798.21875</v>
      </c>
      <c r="AH300" s="210">
        <v>0.23700000000000002</v>
      </c>
      <c r="AI300" s="104">
        <f>AG300*AH300</f>
        <v>18912.17784375</v>
      </c>
      <c r="AJ300" s="581">
        <f>AK178*1.25</f>
        <v>60763.78125</v>
      </c>
      <c r="AK300" s="210">
        <v>0.23699999999999999</v>
      </c>
      <c r="AL300" s="104">
        <f>AJ300*AK300</f>
        <v>14401.01615625</v>
      </c>
      <c r="AM300" s="581">
        <f>AN178*1.25</f>
        <v>43193.531250000007</v>
      </c>
      <c r="AN300" s="210">
        <v>0.23699999999999999</v>
      </c>
      <c r="AO300" s="104">
        <f>AM300*AN300</f>
        <v>10236.866906250001</v>
      </c>
      <c r="AQ300" s="224">
        <f t="shared" si="439"/>
        <v>716753.79</v>
      </c>
      <c r="AR300" s="211">
        <f t="shared" si="440"/>
        <v>0.23326474492726396</v>
      </c>
      <c r="AS300" s="155">
        <f t="shared" si="441"/>
        <v>167193.38999999972</v>
      </c>
      <c r="AU300" s="224">
        <f t="shared" si="442"/>
        <v>242369.94375000001</v>
      </c>
      <c r="AV300" s="211">
        <f t="shared" si="443"/>
        <v>0.23700000000000002</v>
      </c>
      <c r="AW300" s="155">
        <f t="shared" si="444"/>
        <v>57441.676668750006</v>
      </c>
      <c r="AY300" s="224">
        <f>+[2]VOLKS!$J$297</f>
        <v>716753.79</v>
      </c>
      <c r="AZ300" s="211">
        <f t="shared" si="427"/>
        <v>0.23326474492726437</v>
      </c>
      <c r="BA300" s="155">
        <f>+[2]VOLKS!$L$297</f>
        <v>167193.39000000001</v>
      </c>
      <c r="BC300" s="224">
        <f t="shared" si="445"/>
        <v>0</v>
      </c>
      <c r="BD300" s="211"/>
      <c r="BE300" s="41">
        <f t="shared" si="446"/>
        <v>2.9103830456733704E-10</v>
      </c>
    </row>
    <row r="301" spans="1:57" s="15" customFormat="1" ht="20.25" customHeight="1" outlineLevel="1">
      <c r="A301" s="15" t="s">
        <v>27</v>
      </c>
      <c r="B301" s="34" t="s">
        <v>135</v>
      </c>
      <c r="C301" s="220">
        <f t="shared" si="428"/>
        <v>764480.01500000001</v>
      </c>
      <c r="D301" s="210">
        <f t="shared" si="429"/>
        <v>0.28754426846593195</v>
      </c>
      <c r="E301" s="104">
        <f t="shared" si="430"/>
        <v>219821.84666999968</v>
      </c>
      <c r="F301" s="220">
        <v>80439.509999999995</v>
      </c>
      <c r="G301" s="210">
        <f t="shared" si="431"/>
        <v>0.26709399398380101</v>
      </c>
      <c r="H301" s="104">
        <v>21484.909999999902</v>
      </c>
      <c r="I301" s="220">
        <v>63496.06</v>
      </c>
      <c r="J301" s="210">
        <f t="shared" si="432"/>
        <v>0.25951720468955081</v>
      </c>
      <c r="K301" s="104">
        <v>16478.32</v>
      </c>
      <c r="L301" s="220">
        <v>47434.68</v>
      </c>
      <c r="M301" s="210">
        <f t="shared" si="433"/>
        <v>0.278487385178945</v>
      </c>
      <c r="N301" s="104">
        <v>13209.96</v>
      </c>
      <c r="O301" s="220">
        <v>51699.32</v>
      </c>
      <c r="P301" s="210">
        <f t="shared" si="434"/>
        <v>0.32751823428238519</v>
      </c>
      <c r="Q301" s="104">
        <v>16932.47</v>
      </c>
      <c r="R301" s="220">
        <v>56839.72</v>
      </c>
      <c r="S301" s="210">
        <f t="shared" si="435"/>
        <v>0.28767435870549679</v>
      </c>
      <c r="T301" s="104">
        <v>16351.33</v>
      </c>
      <c r="U301" s="220">
        <v>66243.42</v>
      </c>
      <c r="V301" s="210">
        <f t="shared" si="436"/>
        <v>0.28202242577451314</v>
      </c>
      <c r="W301" s="104">
        <v>18682.129999999899</v>
      </c>
      <c r="X301" s="220">
        <v>73676.91</v>
      </c>
      <c r="Y301" s="210">
        <f t="shared" si="437"/>
        <v>0.28959995743578282</v>
      </c>
      <c r="Z301" s="104">
        <v>21336.83</v>
      </c>
      <c r="AA301" s="220">
        <f>+[1]VOLKS!$J$298</f>
        <v>70514.59</v>
      </c>
      <c r="AB301" s="210">
        <f t="shared" si="438"/>
        <v>0.29256314189729954</v>
      </c>
      <c r="AC301" s="104">
        <f>+[1]VOLKS!$L$298</f>
        <v>20629.969999999899</v>
      </c>
      <c r="AD301" s="220">
        <v>58088.183999999994</v>
      </c>
      <c r="AE301" s="210">
        <v>0.29399999999999993</v>
      </c>
      <c r="AF301" s="104">
        <v>17077.926095999996</v>
      </c>
      <c r="AG301" s="220">
        <v>65349.206999999995</v>
      </c>
      <c r="AH301" s="210">
        <v>0.29399999999999998</v>
      </c>
      <c r="AI301" s="104">
        <v>19212.666857999997</v>
      </c>
      <c r="AJ301" s="220">
        <v>79871.252999999997</v>
      </c>
      <c r="AK301" s="210">
        <v>0.29399999999999998</v>
      </c>
      <c r="AL301" s="104">
        <v>23482.148381999999</v>
      </c>
      <c r="AM301" s="220">
        <v>50827.161</v>
      </c>
      <c r="AN301" s="210">
        <v>0.29399999999999998</v>
      </c>
      <c r="AO301" s="104">
        <v>14943.185334</v>
      </c>
      <c r="AQ301" s="224">
        <f t="shared" si="439"/>
        <v>510344.20999999996</v>
      </c>
      <c r="AR301" s="211">
        <f t="shared" si="440"/>
        <v>0.284329511644699</v>
      </c>
      <c r="AS301" s="155">
        <f t="shared" si="441"/>
        <v>145105.91999999969</v>
      </c>
      <c r="AU301" s="224">
        <f t="shared" si="442"/>
        <v>254135.80499999996</v>
      </c>
      <c r="AV301" s="211">
        <f t="shared" si="443"/>
        <v>0.29399999999999998</v>
      </c>
      <c r="AW301" s="155">
        <f t="shared" si="444"/>
        <v>74715.926669999986</v>
      </c>
      <c r="AY301" s="224">
        <f>+[2]VOLKS!$J$298</f>
        <v>510344.21</v>
      </c>
      <c r="AZ301" s="211">
        <f t="shared" si="427"/>
        <v>0.28432951164469955</v>
      </c>
      <c r="BA301" s="155">
        <f>+[2]VOLKS!$L$298</f>
        <v>145105.92000000001</v>
      </c>
      <c r="BC301" s="224">
        <f t="shared" si="445"/>
        <v>0</v>
      </c>
      <c r="BD301" s="211"/>
      <c r="BE301" s="41">
        <f t="shared" si="446"/>
        <v>3.2014213502407074E-10</v>
      </c>
    </row>
    <row r="302" spans="1:57" s="15" customFormat="1" ht="20.25" customHeight="1" outlineLevel="1">
      <c r="A302" s="15" t="s">
        <v>27</v>
      </c>
      <c r="B302" s="34" t="s">
        <v>136</v>
      </c>
      <c r="C302" s="220">
        <f t="shared" si="428"/>
        <v>224034.02399999998</v>
      </c>
      <c r="D302" s="210">
        <f t="shared" si="429"/>
        <v>0.28538371804632656</v>
      </c>
      <c r="E302" s="104">
        <f t="shared" si="430"/>
        <v>63935.662737999948</v>
      </c>
      <c r="F302" s="220">
        <v>11490.9</v>
      </c>
      <c r="G302" s="210">
        <f t="shared" si="431"/>
        <v>0.34181569763900044</v>
      </c>
      <c r="H302" s="104">
        <v>3927.76999999999</v>
      </c>
      <c r="I302" s="220">
        <v>19021.86</v>
      </c>
      <c r="J302" s="210">
        <f t="shared" si="432"/>
        <v>0.28937180696314663</v>
      </c>
      <c r="K302" s="104">
        <v>5504.39</v>
      </c>
      <c r="L302" s="220">
        <v>13465.41</v>
      </c>
      <c r="M302" s="210">
        <f t="shared" si="433"/>
        <v>0.33371356683532105</v>
      </c>
      <c r="N302" s="104">
        <v>4493.59</v>
      </c>
      <c r="O302" s="220">
        <v>18999.689999999999</v>
      </c>
      <c r="P302" s="210">
        <f t="shared" si="434"/>
        <v>0.26101741659995453</v>
      </c>
      <c r="Q302" s="104">
        <v>4959.24999999999</v>
      </c>
      <c r="R302" s="220">
        <v>22502.2</v>
      </c>
      <c r="S302" s="210">
        <f t="shared" si="435"/>
        <v>0.24628525210868227</v>
      </c>
      <c r="T302" s="104">
        <v>5541.95999999999</v>
      </c>
      <c r="U302" s="220">
        <v>18169.66</v>
      </c>
      <c r="V302" s="210">
        <f t="shared" si="436"/>
        <v>0.29129438855762796</v>
      </c>
      <c r="W302" s="104">
        <v>5292.7199999999903</v>
      </c>
      <c r="X302" s="220">
        <v>15743.02</v>
      </c>
      <c r="Y302" s="210">
        <f t="shared" si="437"/>
        <v>0.29404713962124163</v>
      </c>
      <c r="Z302" s="104">
        <v>4629.1899999999996</v>
      </c>
      <c r="AA302" s="220">
        <f>+[1]VOLKS!$J$299</f>
        <v>14854.09</v>
      </c>
      <c r="AB302" s="210">
        <f t="shared" si="438"/>
        <v>0.31747081106954378</v>
      </c>
      <c r="AC302" s="104">
        <f>+[1]VOLKS!$L$299</f>
        <v>4715.74</v>
      </c>
      <c r="AD302" s="220">
        <v>21055.217999999997</v>
      </c>
      <c r="AE302" s="210">
        <v>0.27700000000000002</v>
      </c>
      <c r="AF302" s="104">
        <v>5832.2953859999998</v>
      </c>
      <c r="AG302" s="220">
        <v>21055.217999999997</v>
      </c>
      <c r="AH302" s="210">
        <v>0.27700000000000002</v>
      </c>
      <c r="AI302" s="104">
        <v>5832.2953859999998</v>
      </c>
      <c r="AJ302" s="220">
        <v>34123.973999999995</v>
      </c>
      <c r="AK302" s="210">
        <v>0.27700000000000002</v>
      </c>
      <c r="AL302" s="104">
        <v>9452.3407979999993</v>
      </c>
      <c r="AM302" s="220">
        <v>13552.784</v>
      </c>
      <c r="AN302" s="210">
        <v>0.27700000000000002</v>
      </c>
      <c r="AO302" s="104">
        <v>3754.1211680000001</v>
      </c>
      <c r="AQ302" s="224">
        <f t="shared" si="439"/>
        <v>134246.83000000002</v>
      </c>
      <c r="AR302" s="211">
        <f t="shared" si="440"/>
        <v>0.29099093066108117</v>
      </c>
      <c r="AS302" s="155">
        <f t="shared" si="441"/>
        <v>39064.609999999957</v>
      </c>
      <c r="AU302" s="224">
        <f t="shared" si="442"/>
        <v>89787.193999999989</v>
      </c>
      <c r="AV302" s="211">
        <f t="shared" si="443"/>
        <v>0.27700000000000008</v>
      </c>
      <c r="AW302" s="155">
        <f t="shared" si="444"/>
        <v>24871.052738000002</v>
      </c>
      <c r="AY302" s="224">
        <f>+[2]VOLKS!$J$299</f>
        <v>134246.82999999999</v>
      </c>
      <c r="AZ302" s="211">
        <f t="shared" si="427"/>
        <v>0.29099093066108078</v>
      </c>
      <c r="BA302" s="155">
        <f>+[2]VOLKS!$L$299</f>
        <v>39064.609999999899</v>
      </c>
      <c r="BC302" s="224">
        <f t="shared" si="445"/>
        <v>0</v>
      </c>
      <c r="BD302" s="211"/>
      <c r="BE302" s="41">
        <f t="shared" si="446"/>
        <v>-5.8207660913467407E-11</v>
      </c>
    </row>
    <row r="303" spans="1:57" s="15" customFormat="1" ht="20.25" customHeight="1" outlineLevel="1">
      <c r="A303" s="15" t="s">
        <v>27</v>
      </c>
      <c r="B303" s="34" t="s">
        <v>137</v>
      </c>
      <c r="C303" s="220">
        <f t="shared" si="428"/>
        <v>2283338.6359999995</v>
      </c>
      <c r="D303" s="210">
        <f t="shared" si="429"/>
        <v>0.1364279899829976</v>
      </c>
      <c r="E303" s="104">
        <f t="shared" si="430"/>
        <v>311511.3005599993</v>
      </c>
      <c r="F303" s="220">
        <v>197836.52</v>
      </c>
      <c r="G303" s="210">
        <f t="shared" si="431"/>
        <v>0.12331332961174156</v>
      </c>
      <c r="H303" s="104">
        <v>24395.879999999899</v>
      </c>
      <c r="I303" s="220">
        <v>198781.86</v>
      </c>
      <c r="J303" s="210">
        <f t="shared" si="432"/>
        <v>0.12800126731885847</v>
      </c>
      <c r="K303" s="104">
        <v>25444.3299999999</v>
      </c>
      <c r="L303" s="220">
        <v>219537.13</v>
      </c>
      <c r="M303" s="210">
        <f t="shared" si="433"/>
        <v>0.15792066699605664</v>
      </c>
      <c r="N303" s="104">
        <v>34669.449999999997</v>
      </c>
      <c r="O303" s="220">
        <v>185450.93</v>
      </c>
      <c r="P303" s="210">
        <f t="shared" si="434"/>
        <v>0.1377988236564783</v>
      </c>
      <c r="Q303" s="104">
        <v>25554.9199999999</v>
      </c>
      <c r="R303" s="220">
        <v>196342.46</v>
      </c>
      <c r="S303" s="210">
        <f t="shared" si="435"/>
        <v>0.13329399051025387</v>
      </c>
      <c r="T303" s="104">
        <v>26171.269999999899</v>
      </c>
      <c r="U303" s="220">
        <v>164152.71</v>
      </c>
      <c r="V303" s="210">
        <f t="shared" si="436"/>
        <v>0.13230771517570378</v>
      </c>
      <c r="W303" s="104">
        <v>21718.6699999999</v>
      </c>
      <c r="X303" s="220">
        <v>186492.61</v>
      </c>
      <c r="Y303" s="210">
        <f t="shared" si="437"/>
        <v>0.13094845956630616</v>
      </c>
      <c r="Z303" s="104">
        <v>24420.9199999999</v>
      </c>
      <c r="AA303" s="220">
        <f>+[1]VOLKS!$J$300</f>
        <v>199492.56</v>
      </c>
      <c r="AB303" s="210">
        <f t="shared" si="438"/>
        <v>0.14976428193612784</v>
      </c>
      <c r="AC303" s="104">
        <f>+[1]VOLKS!$L$300</f>
        <v>29876.859999999899</v>
      </c>
      <c r="AD303" s="220">
        <v>169827.19500000001</v>
      </c>
      <c r="AE303" s="210">
        <v>0.13500000000000001</v>
      </c>
      <c r="AF303" s="104">
        <v>22926.671325000003</v>
      </c>
      <c r="AG303" s="220">
        <v>219776.37</v>
      </c>
      <c r="AH303" s="210">
        <v>0.13500000000000001</v>
      </c>
      <c r="AI303" s="104">
        <v>29669.809950000003</v>
      </c>
      <c r="AJ303" s="220">
        <v>165831.261</v>
      </c>
      <c r="AK303" s="210">
        <v>0.13500000000000001</v>
      </c>
      <c r="AL303" s="104">
        <v>22387.220235000001</v>
      </c>
      <c r="AM303" s="220">
        <v>179817.03</v>
      </c>
      <c r="AN303" s="210">
        <v>0.13500000000000001</v>
      </c>
      <c r="AO303" s="104">
        <v>24275.299050000001</v>
      </c>
      <c r="AQ303" s="224">
        <f t="shared" si="439"/>
        <v>1548086.7799999998</v>
      </c>
      <c r="AR303" s="211">
        <f t="shared" si="440"/>
        <v>0.13710620279310137</v>
      </c>
      <c r="AS303" s="155">
        <f t="shared" si="441"/>
        <v>212252.29999999929</v>
      </c>
      <c r="AU303" s="224">
        <f t="shared" si="442"/>
        <v>735251.85600000003</v>
      </c>
      <c r="AV303" s="211">
        <f t="shared" si="443"/>
        <v>0.13500000000000001</v>
      </c>
      <c r="AW303" s="155">
        <f t="shared" si="444"/>
        <v>99259.000560000015</v>
      </c>
      <c r="AY303" s="224">
        <f>+[2]VOLKS!$J$300</f>
        <v>1548086.78</v>
      </c>
      <c r="AZ303" s="211">
        <f t="shared" si="427"/>
        <v>0.13710620279310118</v>
      </c>
      <c r="BA303" s="155">
        <f>+[2]VOLKS!$L$300</f>
        <v>212252.299999999</v>
      </c>
      <c r="BC303" s="224">
        <f t="shared" si="445"/>
        <v>0</v>
      </c>
      <c r="BD303" s="211"/>
      <c r="BE303" s="41">
        <f t="shared" si="446"/>
        <v>-2.9103830456733704E-10</v>
      </c>
    </row>
    <row r="304" spans="1:57" s="15" customFormat="1" ht="20.25" customHeight="1" outlineLevel="1">
      <c r="B304" s="34"/>
      <c r="C304" s="220"/>
      <c r="D304" s="210"/>
      <c r="E304" s="104"/>
      <c r="F304" s="220"/>
      <c r="G304" s="210"/>
      <c r="H304" s="104"/>
      <c r="I304" s="220"/>
      <c r="J304" s="210"/>
      <c r="K304" s="104"/>
      <c r="L304" s="220"/>
      <c r="M304" s="210"/>
      <c r="N304" s="104"/>
      <c r="O304" s="220"/>
      <c r="P304" s="210"/>
      <c r="Q304" s="104"/>
      <c r="R304" s="220"/>
      <c r="S304" s="210"/>
      <c r="T304" s="104"/>
      <c r="U304" s="220"/>
      <c r="V304" s="210"/>
      <c r="W304" s="104"/>
      <c r="X304" s="220"/>
      <c r="Y304" s="210"/>
      <c r="Z304" s="104"/>
      <c r="AA304" s="220"/>
      <c r="AB304" s="210"/>
      <c r="AC304" s="104"/>
      <c r="AD304" s="220"/>
      <c r="AE304" s="210"/>
      <c r="AF304" s="104"/>
      <c r="AG304" s="220"/>
      <c r="AH304" s="210"/>
      <c r="AI304" s="104"/>
      <c r="AJ304" s="220"/>
      <c r="AK304" s="210"/>
      <c r="AL304" s="104"/>
      <c r="AM304" s="220"/>
      <c r="AN304" s="210"/>
      <c r="AO304" s="104"/>
      <c r="AQ304" s="224"/>
      <c r="AR304" s="211"/>
      <c r="AS304" s="155"/>
      <c r="AU304" s="224"/>
      <c r="AV304" s="211"/>
      <c r="AW304" s="155"/>
      <c r="AY304" s="224"/>
      <c r="AZ304" s="211"/>
      <c r="BA304" s="155"/>
      <c r="BC304" s="224"/>
      <c r="BD304" s="211"/>
      <c r="BE304" s="41"/>
    </row>
    <row r="305" spans="1:59" s="15" customFormat="1" ht="20.25" customHeight="1" outlineLevel="1">
      <c r="A305" s="15" t="s">
        <v>27</v>
      </c>
      <c r="B305" s="34" t="s">
        <v>138</v>
      </c>
      <c r="C305" s="220">
        <f t="shared" si="428"/>
        <v>0</v>
      </c>
      <c r="D305" s="210">
        <f t="shared" si="429"/>
        <v>0</v>
      </c>
      <c r="E305" s="104">
        <f t="shared" si="430"/>
        <v>182204.45641954013</v>
      </c>
      <c r="F305" s="220">
        <v>0</v>
      </c>
      <c r="G305" s="210">
        <f t="shared" si="431"/>
        <v>0</v>
      </c>
      <c r="H305" s="104">
        <v>6625.76</v>
      </c>
      <c r="I305" s="220">
        <v>0</v>
      </c>
      <c r="J305" s="210">
        <f t="shared" si="432"/>
        <v>0</v>
      </c>
      <c r="K305" s="104">
        <v>5644.3099999999904</v>
      </c>
      <c r="L305" s="220">
        <v>0</v>
      </c>
      <c r="M305" s="210">
        <f t="shared" si="433"/>
        <v>0</v>
      </c>
      <c r="N305" s="104">
        <v>4948.08</v>
      </c>
      <c r="O305" s="220">
        <v>0</v>
      </c>
      <c r="P305" s="210">
        <f t="shared" si="434"/>
        <v>0</v>
      </c>
      <c r="Q305" s="104">
        <v>8155.1299999999901</v>
      </c>
      <c r="R305" s="220">
        <v>0</v>
      </c>
      <c r="S305" s="210">
        <f t="shared" si="435"/>
        <v>0</v>
      </c>
      <c r="T305" s="104">
        <v>22987.82</v>
      </c>
      <c r="U305" s="220">
        <v>0</v>
      </c>
      <c r="V305" s="210">
        <f t="shared" si="436"/>
        <v>0</v>
      </c>
      <c r="W305" s="104">
        <v>5450.69</v>
      </c>
      <c r="X305" s="220">
        <v>0</v>
      </c>
      <c r="Y305" s="210">
        <f t="shared" si="437"/>
        <v>0</v>
      </c>
      <c r="Z305" s="104">
        <v>4672.6899999999996</v>
      </c>
      <c r="AA305" s="220">
        <f>+[1]VOLKS!$J$302</f>
        <v>0</v>
      </c>
      <c r="AB305" s="210">
        <f t="shared" si="438"/>
        <v>0</v>
      </c>
      <c r="AC305" s="104">
        <f>+[1]VOLKS!$L$302</f>
        <v>75917.240000000005</v>
      </c>
      <c r="AD305" s="220">
        <v>0</v>
      </c>
      <c r="AE305" s="210">
        <v>0</v>
      </c>
      <c r="AF305" s="104">
        <v>10647.307480648535</v>
      </c>
      <c r="AG305" s="220">
        <v>0</v>
      </c>
      <c r="AH305" s="210">
        <v>0</v>
      </c>
      <c r="AI305" s="104">
        <v>13507.969846561695</v>
      </c>
      <c r="AJ305" s="220">
        <v>0</v>
      </c>
      <c r="AK305" s="210">
        <v>0</v>
      </c>
      <c r="AL305" s="104">
        <v>13853.049361178608</v>
      </c>
      <c r="AM305" s="220">
        <v>0</v>
      </c>
      <c r="AN305" s="210">
        <v>0</v>
      </c>
      <c r="AO305" s="104">
        <v>9794.4097311513451</v>
      </c>
      <c r="AQ305" s="224">
        <f t="shared" si="439"/>
        <v>0</v>
      </c>
      <c r="AR305" s="211">
        <f t="shared" si="440"/>
        <v>0</v>
      </c>
      <c r="AS305" s="155">
        <f t="shared" si="441"/>
        <v>134401.71999999997</v>
      </c>
      <c r="AU305" s="224">
        <f t="shared" si="442"/>
        <v>0</v>
      </c>
      <c r="AV305" s="211">
        <f t="shared" si="443"/>
        <v>0</v>
      </c>
      <c r="AW305" s="155">
        <f t="shared" si="444"/>
        <v>47802.736419540182</v>
      </c>
      <c r="AY305" s="224">
        <f>+[2]VOLKS!$J$302</f>
        <v>0</v>
      </c>
      <c r="AZ305" s="211">
        <f t="shared" si="427"/>
        <v>0</v>
      </c>
      <c r="BA305" s="155">
        <f>+[2]VOLKS!$L$302</f>
        <v>134401.72</v>
      </c>
      <c r="BC305" s="224">
        <f t="shared" si="445"/>
        <v>0</v>
      </c>
      <c r="BD305" s="211"/>
      <c r="BE305" s="41">
        <f t="shared" si="446"/>
        <v>0</v>
      </c>
    </row>
    <row r="306" spans="1:59" s="15" customFormat="1" ht="20.25" customHeight="1" outlineLevel="1">
      <c r="A306" s="15" t="s">
        <v>27</v>
      </c>
      <c r="B306" s="28" t="s">
        <v>139</v>
      </c>
      <c r="C306" s="220">
        <f t="shared" si="428"/>
        <v>0</v>
      </c>
      <c r="D306" s="210">
        <f t="shared" si="429"/>
        <v>0</v>
      </c>
      <c r="E306" s="104">
        <f t="shared" si="430"/>
        <v>0</v>
      </c>
      <c r="F306" s="220">
        <v>0</v>
      </c>
      <c r="G306" s="210">
        <f t="shared" si="431"/>
        <v>0</v>
      </c>
      <c r="H306" s="104">
        <v>0</v>
      </c>
      <c r="I306" s="220">
        <v>0</v>
      </c>
      <c r="J306" s="210">
        <f t="shared" si="432"/>
        <v>0</v>
      </c>
      <c r="K306" s="104">
        <v>0</v>
      </c>
      <c r="L306" s="220">
        <v>0</v>
      </c>
      <c r="M306" s="210">
        <f t="shared" si="433"/>
        <v>0</v>
      </c>
      <c r="N306" s="104">
        <v>0</v>
      </c>
      <c r="O306" s="220">
        <v>0</v>
      </c>
      <c r="P306" s="210">
        <f t="shared" si="434"/>
        <v>0</v>
      </c>
      <c r="Q306" s="104">
        <v>0</v>
      </c>
      <c r="R306" s="220">
        <v>0</v>
      </c>
      <c r="S306" s="210">
        <f t="shared" si="435"/>
        <v>0</v>
      </c>
      <c r="T306" s="104">
        <v>0</v>
      </c>
      <c r="U306" s="220">
        <v>0</v>
      </c>
      <c r="V306" s="210">
        <f t="shared" si="436"/>
        <v>0</v>
      </c>
      <c r="W306" s="104">
        <v>0</v>
      </c>
      <c r="X306" s="220">
        <v>0</v>
      </c>
      <c r="Y306" s="210">
        <f t="shared" si="437"/>
        <v>0</v>
      </c>
      <c r="Z306" s="104">
        <v>0</v>
      </c>
      <c r="AA306" s="220">
        <f>+[1]VOLKS!$J$302</f>
        <v>0</v>
      </c>
      <c r="AB306" s="210">
        <f t="shared" si="438"/>
        <v>0</v>
      </c>
      <c r="AC306" s="104">
        <f>+[1]VOLKS!$L$303</f>
        <v>0</v>
      </c>
      <c r="AD306" s="220">
        <v>0</v>
      </c>
      <c r="AE306" s="210">
        <v>0</v>
      </c>
      <c r="AF306" s="104">
        <v>0</v>
      </c>
      <c r="AG306" s="220">
        <v>0</v>
      </c>
      <c r="AH306" s="210">
        <v>0</v>
      </c>
      <c r="AI306" s="104">
        <v>0</v>
      </c>
      <c r="AJ306" s="220">
        <v>0</v>
      </c>
      <c r="AK306" s="210">
        <v>0</v>
      </c>
      <c r="AL306" s="104">
        <v>0</v>
      </c>
      <c r="AM306" s="220">
        <v>0</v>
      </c>
      <c r="AN306" s="210">
        <v>0</v>
      </c>
      <c r="AO306" s="104">
        <v>0</v>
      </c>
      <c r="AQ306" s="224">
        <f t="shared" si="439"/>
        <v>0</v>
      </c>
      <c r="AR306" s="211">
        <f t="shared" si="440"/>
        <v>0</v>
      </c>
      <c r="AS306" s="155">
        <f t="shared" si="441"/>
        <v>0</v>
      </c>
      <c r="AU306" s="224">
        <f t="shared" si="442"/>
        <v>0</v>
      </c>
      <c r="AV306" s="211">
        <f t="shared" si="443"/>
        <v>0</v>
      </c>
      <c r="AW306" s="155">
        <f t="shared" si="444"/>
        <v>0</v>
      </c>
      <c r="AY306" s="224">
        <f>+[2]VOLKS!$J$302</f>
        <v>0</v>
      </c>
      <c r="AZ306" s="211">
        <f t="shared" si="427"/>
        <v>0</v>
      </c>
      <c r="BA306" s="155">
        <f>+[2]VOLKS!$L$303</f>
        <v>0</v>
      </c>
      <c r="BC306" s="224">
        <f t="shared" si="445"/>
        <v>0</v>
      </c>
      <c r="BD306" s="211"/>
      <c r="BE306" s="41">
        <f t="shared" si="446"/>
        <v>0</v>
      </c>
    </row>
    <row r="307" spans="1:59" s="15" customFormat="1" ht="20.25" customHeight="1" outlineLevel="1">
      <c r="A307" s="15" t="s">
        <v>27</v>
      </c>
      <c r="B307" s="63" t="s">
        <v>140</v>
      </c>
      <c r="C307" s="307">
        <f>SUM(C298:C306)</f>
        <v>5537486.3546699993</v>
      </c>
      <c r="D307" s="308">
        <f t="shared" si="429"/>
        <v>0.25845132946878702</v>
      </c>
      <c r="E307" s="291">
        <f>SUM(E298:E306)</f>
        <v>1431170.7102797283</v>
      </c>
      <c r="F307" s="307">
        <f>SUM(F298:F306)</f>
        <v>452555.05</v>
      </c>
      <c r="G307" s="308">
        <f t="shared" si="431"/>
        <v>0.22191835004382293</v>
      </c>
      <c r="H307" s="291">
        <f>SUM(H298:H306)</f>
        <v>100430.26999999979</v>
      </c>
      <c r="I307" s="307">
        <f>SUM(I298:I306)</f>
        <v>434207.58999999997</v>
      </c>
      <c r="J307" s="308">
        <f t="shared" si="432"/>
        <v>0.21091211233778734</v>
      </c>
      <c r="K307" s="291">
        <f>SUM(K298:K306)</f>
        <v>91579.639999999898</v>
      </c>
      <c r="L307" s="307">
        <f>SUM(L298:L306)</f>
        <v>498001.61999999994</v>
      </c>
      <c r="M307" s="308">
        <f t="shared" si="433"/>
        <v>0.22684068778732047</v>
      </c>
      <c r="N307" s="291">
        <f>SUM(N298:N306)</f>
        <v>112967.0299999998</v>
      </c>
      <c r="O307" s="307">
        <f>SUM(O298:O306)</f>
        <v>390522.06</v>
      </c>
      <c r="P307" s="308">
        <f t="shared" si="434"/>
        <v>0.24476921995136403</v>
      </c>
      <c r="Q307" s="291">
        <f>SUM(Q298:Q306)</f>
        <v>95587.779999999781</v>
      </c>
      <c r="R307" s="307">
        <f>SUM(R298:R306)</f>
        <v>480803.73</v>
      </c>
      <c r="S307" s="308">
        <f t="shared" si="435"/>
        <v>0.26870409262423939</v>
      </c>
      <c r="T307" s="291">
        <f>SUM(T298:T306)</f>
        <v>129193.92999999979</v>
      </c>
      <c r="U307" s="307">
        <f>SUM(U298:U306)</f>
        <v>414656.36</v>
      </c>
      <c r="V307" s="308">
        <f t="shared" si="436"/>
        <v>0.23840678580210298</v>
      </c>
      <c r="W307" s="291">
        <f>SUM(W298:W306)</f>
        <v>98856.889999999694</v>
      </c>
      <c r="X307" s="307">
        <f>SUM(X298:X306)</f>
        <v>477364.30000000005</v>
      </c>
      <c r="Y307" s="308">
        <f t="shared" si="437"/>
        <v>0.23494088267597682</v>
      </c>
      <c r="Z307" s="291">
        <f>SUM(Z298:Z306)</f>
        <v>112152.38999999981</v>
      </c>
      <c r="AA307" s="307">
        <f>SUM(AA298:AA306)</f>
        <v>481221.60999999993</v>
      </c>
      <c r="AB307" s="308">
        <f t="shared" si="438"/>
        <v>0.39286949312188957</v>
      </c>
      <c r="AC307" s="291">
        <f>SUM(AC298:AC306)</f>
        <v>189057.2899999996</v>
      </c>
      <c r="AD307" s="307">
        <f t="shared" ref="AD307" si="447">SUM(AD298:AD306)</f>
        <v>415291.35177999997</v>
      </c>
      <c r="AE307" s="308">
        <f t="shared" ref="AE307" si="448">IF(AD307&lt;=0,0,AF307/AD307)</f>
        <v>0.25354580535519705</v>
      </c>
      <c r="AF307" s="291">
        <f t="shared" ref="AF307:AG307" si="449">SUM(AF298:AF306)</f>
        <v>105295.38024410853</v>
      </c>
      <c r="AG307" s="307">
        <f t="shared" si="449"/>
        <v>545820.51607000001</v>
      </c>
      <c r="AH307" s="308">
        <f t="shared" ref="AH307" si="450">IF(AG307&lt;=0,0,AI307/AG307)</f>
        <v>0.25771610276831652</v>
      </c>
      <c r="AI307" s="291">
        <f t="shared" ref="AI307:AJ307" si="451">SUM(AI298:AI306)</f>
        <v>140666.73621255168</v>
      </c>
      <c r="AJ307" s="307">
        <f t="shared" si="451"/>
        <v>554759.72716999997</v>
      </c>
      <c r="AK307" s="308">
        <f t="shared" ref="AK307" si="452">IF(AJ307&lt;=0,0,AL307/AJ307)</f>
        <v>0.28281626031189866</v>
      </c>
      <c r="AL307" s="291">
        <f t="shared" ref="AL307:AM307" si="453">SUM(AL298:AL306)</f>
        <v>156895.0714098686</v>
      </c>
      <c r="AM307" s="307">
        <f t="shared" si="453"/>
        <v>392282.43964999996</v>
      </c>
      <c r="AN307" s="308">
        <f t="shared" ref="AN307" si="454">IF(AM307&lt;=0,0,AO307/AM307)</f>
        <v>0.25106477491338647</v>
      </c>
      <c r="AO307" s="291">
        <f t="shared" ref="AO307" si="455">SUM(AO298:AO306)</f>
        <v>98488.302413201352</v>
      </c>
      <c r="AQ307" s="309">
        <f t="shared" ref="AQ307" si="456">SUM(AQ298:AQ306)</f>
        <v>3629332.32</v>
      </c>
      <c r="AR307" s="310">
        <f t="shared" si="440"/>
        <v>0.25619732171563669</v>
      </c>
      <c r="AS307" s="311">
        <f t="shared" ref="AS307" si="457">SUM(AS298:AS306)</f>
        <v>929825.21999999811</v>
      </c>
      <c r="AU307" s="309">
        <f t="shared" ref="AU307" si="458">SUM(AU298:AU306)</f>
        <v>1908154.03467</v>
      </c>
      <c r="AV307" s="310">
        <f t="shared" si="443"/>
        <v>0.26273847979281917</v>
      </c>
      <c r="AW307" s="311">
        <f t="shared" ref="AW307" si="459">SUM(AW298:AW306)</f>
        <v>501345.49027973018</v>
      </c>
      <c r="AY307" s="309">
        <f>SUM(AY298:AY306)</f>
        <v>3629332.3200000003</v>
      </c>
      <c r="AZ307" s="310">
        <f t="shared" si="427"/>
        <v>0.25619732171563658</v>
      </c>
      <c r="BA307" s="311">
        <f>SUM(BA298:BA306)</f>
        <v>929825.21999999788</v>
      </c>
      <c r="BC307" s="309">
        <f t="shared" ref="BC307" si="460">SUM(BC298:BC306)</f>
        <v>0</v>
      </c>
      <c r="BD307" s="310"/>
      <c r="BE307" s="51">
        <f t="shared" ref="BE307" si="461">SUM(BE298:BE306)</f>
        <v>-1.8189894035458565E-10</v>
      </c>
    </row>
    <row r="308" spans="1:59" s="15" customFormat="1" ht="20.25" customHeight="1" outlineLevel="1">
      <c r="A308" s="15" t="s">
        <v>27</v>
      </c>
      <c r="B308" s="34"/>
      <c r="C308" s="34"/>
      <c r="D308" s="72"/>
      <c r="E308" s="52"/>
      <c r="F308" s="34"/>
      <c r="G308" s="72"/>
      <c r="H308" s="52"/>
      <c r="I308" s="34"/>
      <c r="J308" s="72"/>
      <c r="K308" s="52"/>
      <c r="L308" s="34"/>
      <c r="M308" s="72"/>
      <c r="N308" s="52"/>
      <c r="O308" s="34"/>
      <c r="P308" s="72"/>
      <c r="Q308" s="52"/>
      <c r="R308" s="34"/>
      <c r="S308" s="72"/>
      <c r="T308" s="52"/>
      <c r="U308" s="34"/>
      <c r="V308" s="72"/>
      <c r="W308" s="52"/>
      <c r="X308" s="34"/>
      <c r="Y308" s="72"/>
      <c r="Z308" s="52"/>
      <c r="AA308" s="34"/>
      <c r="AB308" s="72"/>
      <c r="AC308" s="52"/>
      <c r="AD308" s="34"/>
      <c r="AE308" s="72"/>
      <c r="AF308" s="52"/>
      <c r="AG308" s="34"/>
      <c r="AH308" s="72"/>
      <c r="AI308" s="52"/>
      <c r="AJ308" s="34"/>
      <c r="AK308" s="72"/>
      <c r="AL308" s="52"/>
      <c r="AM308" s="34"/>
      <c r="AN308" s="72"/>
      <c r="AO308" s="52"/>
      <c r="AQ308" s="53"/>
      <c r="AR308" s="74"/>
      <c r="AS308" s="54"/>
      <c r="AU308" s="53"/>
      <c r="AV308" s="74"/>
      <c r="AW308" s="54"/>
      <c r="AY308" s="53"/>
      <c r="AZ308" s="74"/>
      <c r="BA308" s="54"/>
      <c r="BC308" s="53"/>
      <c r="BD308" s="74"/>
      <c r="BE308" s="27"/>
    </row>
    <row r="309" spans="1:59" s="15" customFormat="1" ht="20.25" customHeight="1" outlineLevel="1">
      <c r="A309" s="15" t="s">
        <v>27</v>
      </c>
      <c r="B309" s="28"/>
      <c r="C309" s="28"/>
      <c r="D309" s="138"/>
      <c r="E309" s="312"/>
      <c r="F309" s="28">
        <v>0</v>
      </c>
      <c r="G309" s="138">
        <f>IF(F309&lt;=0,0,H309/F309)</f>
        <v>0</v>
      </c>
      <c r="H309" s="312">
        <v>0</v>
      </c>
      <c r="I309" s="28">
        <v>0</v>
      </c>
      <c r="J309" s="138">
        <f>IF(I309&lt;=0,0,K309/I309)</f>
        <v>0</v>
      </c>
      <c r="K309" s="312">
        <v>0</v>
      </c>
      <c r="L309" s="28">
        <v>0</v>
      </c>
      <c r="M309" s="138">
        <f>IF(L309&lt;=0,0,N309/L309)</f>
        <v>0</v>
      </c>
      <c r="N309" s="312">
        <v>0</v>
      </c>
      <c r="O309" s="28">
        <v>0</v>
      </c>
      <c r="P309" s="138">
        <f>IF(O309&lt;=0,0,Q309/O309)</f>
        <v>0</v>
      </c>
      <c r="Q309" s="312">
        <v>0</v>
      </c>
      <c r="R309" s="28">
        <v>0</v>
      </c>
      <c r="S309" s="138">
        <f>IF(R309&lt;=0,0,T309/R309)</f>
        <v>0</v>
      </c>
      <c r="T309" s="312">
        <v>0</v>
      </c>
      <c r="U309" s="28">
        <v>0</v>
      </c>
      <c r="V309" s="138">
        <f>IF(U309&lt;=0,0,W309/U309)</f>
        <v>0</v>
      </c>
      <c r="W309" s="312">
        <v>0</v>
      </c>
      <c r="X309" s="28">
        <v>0</v>
      </c>
      <c r="Y309" s="138">
        <f>IF(X309&lt;=0,0,Z309/X309)</f>
        <v>0</v>
      </c>
      <c r="Z309" s="312">
        <v>0</v>
      </c>
      <c r="AA309" s="28">
        <f>+[1]VOLKS!$J$306</f>
        <v>0</v>
      </c>
      <c r="AB309" s="138">
        <f>IF(AA309&lt;=0,0,AC309/AA309)</f>
        <v>0</v>
      </c>
      <c r="AC309" s="312">
        <f>+[1]VOLKS!$L$306</f>
        <v>0</v>
      </c>
      <c r="AD309" s="28"/>
      <c r="AE309" s="138"/>
      <c r="AF309" s="312"/>
      <c r="AG309" s="28"/>
      <c r="AH309" s="138"/>
      <c r="AI309" s="312"/>
      <c r="AJ309" s="28"/>
      <c r="AK309" s="138"/>
      <c r="AL309" s="312"/>
      <c r="AM309" s="28"/>
      <c r="AN309" s="138"/>
      <c r="AO309" s="312"/>
      <c r="AQ309" s="119"/>
      <c r="AR309" s="140"/>
      <c r="AS309" s="313"/>
      <c r="AU309" s="119"/>
      <c r="AV309" s="140"/>
      <c r="AW309" s="313"/>
      <c r="AY309" s="119">
        <f>+[2]VOLKS!$J$306</f>
        <v>0</v>
      </c>
      <c r="AZ309" s="140">
        <f>IF(AY309&lt;=0,0,BA309/AY309)</f>
        <v>0</v>
      </c>
      <c r="BA309" s="313">
        <f>+[2]VOLKS!$L$306</f>
        <v>0</v>
      </c>
      <c r="BC309" s="119"/>
      <c r="BD309" s="140"/>
      <c r="BE309" s="142"/>
    </row>
    <row r="310" spans="1:59" s="15" customFormat="1" ht="20.25" customHeight="1" outlineLevel="1">
      <c r="A310" s="15" t="s">
        <v>27</v>
      </c>
      <c r="B310" s="34" t="s">
        <v>141</v>
      </c>
      <c r="C310" s="220">
        <f>+SUM(F310,I310,L310,O310,R310,U310,X310,AA310,AD310,AG310,AJ310,AM310)</f>
        <v>610655.71999999986</v>
      </c>
      <c r="D310" s="210">
        <f>IF(C310&lt;=0,0,E310/C310)</f>
        <v>0.16809680934455176</v>
      </c>
      <c r="E310" s="104">
        <f>+SUM(H310,K310,N310,Q310,T310,W310,Z310,AC310,AF310,AI310,AL310,AO310)</f>
        <v>102649.27813999997</v>
      </c>
      <c r="F310" s="220">
        <v>53714.22</v>
      </c>
      <c r="G310" s="210">
        <f>IF(F310&lt;=0,0,H310/F310)</f>
        <v>0.14131881650706274</v>
      </c>
      <c r="H310" s="104">
        <v>7590.83</v>
      </c>
      <c r="I310" s="220">
        <v>49338.75</v>
      </c>
      <c r="J310" s="210">
        <f>IF(I310&lt;=0,0,K310/I310)</f>
        <v>0.17106047477895145</v>
      </c>
      <c r="K310" s="104">
        <v>8439.9099999999908</v>
      </c>
      <c r="L310" s="220">
        <v>28787.21</v>
      </c>
      <c r="M310" s="210">
        <f>IF(L310&lt;=0,0,N310/L310)</f>
        <v>0.16886874414019248</v>
      </c>
      <c r="N310" s="104">
        <v>4861.2599999999902</v>
      </c>
      <c r="O310" s="220">
        <v>42082.239999999998</v>
      </c>
      <c r="P310" s="210">
        <f>IF(O310&lt;=0,0,Q310/O310)</f>
        <v>0.16357636855832769</v>
      </c>
      <c r="Q310" s="104">
        <v>6883.66</v>
      </c>
      <c r="R310" s="220">
        <v>41058.479999999901</v>
      </c>
      <c r="S310" s="210">
        <f>IF(R310&lt;=0,0,T310/R310)</f>
        <v>0.16683398898351828</v>
      </c>
      <c r="T310" s="104">
        <v>6849.9499999999898</v>
      </c>
      <c r="U310" s="220">
        <v>28187.74</v>
      </c>
      <c r="V310" s="210">
        <f>IF(U310&lt;=0,0,W310/U310)</f>
        <v>0.16461199088681816</v>
      </c>
      <c r="W310" s="104">
        <v>4640.04</v>
      </c>
      <c r="X310" s="220">
        <v>32612.16</v>
      </c>
      <c r="Y310" s="210">
        <f>IF(X310&lt;=0,0,Z310/X310)</f>
        <v>0.17193372042820837</v>
      </c>
      <c r="Z310" s="104">
        <v>5607.13</v>
      </c>
      <c r="AA310" s="220">
        <f>+[1]VOLKS!$J$307</f>
        <v>24174.58</v>
      </c>
      <c r="AB310" s="210">
        <f>IF(AA310&lt;=0,0,AC310/AA310)</f>
        <v>0.19221595576841458</v>
      </c>
      <c r="AC310" s="104">
        <f>+[1]VOLKS!$L$307</f>
        <v>4646.74</v>
      </c>
      <c r="AD310" s="220">
        <v>34522.26</v>
      </c>
      <c r="AE310" s="210">
        <v>0.17100000000000001</v>
      </c>
      <c r="AF310" s="104">
        <v>5903.3064600000007</v>
      </c>
      <c r="AG310" s="220">
        <v>80551.94</v>
      </c>
      <c r="AH310" s="210">
        <v>0.17100000000000001</v>
      </c>
      <c r="AI310" s="104">
        <v>13774.381740000001</v>
      </c>
      <c r="AJ310" s="220">
        <v>138089.04</v>
      </c>
      <c r="AK310" s="210">
        <v>0.17100000000000001</v>
      </c>
      <c r="AL310" s="104">
        <v>23613.225840000003</v>
      </c>
      <c r="AM310" s="220">
        <v>57537.100000000006</v>
      </c>
      <c r="AN310" s="210">
        <v>0.17100000000000001</v>
      </c>
      <c r="AO310" s="104">
        <v>9838.8441000000021</v>
      </c>
      <c r="AQ310" s="224">
        <f>SUMIFS(F310:AO310,$F$7:$AO$7,"UNITE",$F$3:$AO$3,"RÉEL")</f>
        <v>299955.37999999989</v>
      </c>
      <c r="AR310" s="211">
        <f t="shared" ref="AR310:AR312" si="462">IF(AQ310&lt;=0,0,AS310/AQ310)</f>
        <v>0.16508962099629615</v>
      </c>
      <c r="AS310" s="155">
        <f>SUMIFS(F310:AO310,$F$7:$AO$7,"$PROFITS",$F$3:$AO$3,"RÉEL")</f>
        <v>49519.519999999968</v>
      </c>
      <c r="AU310" s="224">
        <f>SUMIFS(F310:AO310,$F$7:$AO$7,"UNITE",$F$3:$AO$3,"BUDGET")</f>
        <v>310700.34000000003</v>
      </c>
      <c r="AV310" s="211">
        <f t="shared" ref="AV310:AV312" si="463">IF(AU310&lt;=0,0,AW310/AU310)</f>
        <v>0.17100000000000001</v>
      </c>
      <c r="AW310" s="155">
        <f>SUMIFS(F310:AO310,$F$7:$AO$7,"$PROFITS",$F$3:$AO$3,"BUDGET")</f>
        <v>53129.758140000005</v>
      </c>
      <c r="AY310" s="224">
        <f>+[2]VOLKS!$J$307</f>
        <v>299955.38</v>
      </c>
      <c r="AZ310" s="211">
        <f>IF(AY310&lt;=0,0,BA310/AY310)</f>
        <v>0.16508962099629618</v>
      </c>
      <c r="BA310" s="155">
        <f>+[2]VOLKS!$L$307</f>
        <v>49519.519999999997</v>
      </c>
      <c r="BC310" s="224">
        <f t="shared" ref="BC310:BC311" si="464">+AY310-AQ310</f>
        <v>0</v>
      </c>
      <c r="BD310" s="211"/>
      <c r="BE310" s="41">
        <f t="shared" ref="BE310:BE311" si="465">+BA310-AS310</f>
        <v>0</v>
      </c>
    </row>
    <row r="311" spans="1:59" s="15" customFormat="1" ht="20.25" customHeight="1" outlineLevel="1">
      <c r="A311" s="15" t="s">
        <v>27</v>
      </c>
      <c r="B311" s="28" t="s">
        <v>142</v>
      </c>
      <c r="C311" s="220">
        <f>+SUM(F311,I311,L311,O311,R311,U311,X311,AA311,AD311,AG311,AJ311,AM311)</f>
        <v>268261.31801200449</v>
      </c>
      <c r="D311" s="210">
        <f>IF(C311&lt;=0,0,E311/C311)</f>
        <v>0.26511758168537186</v>
      </c>
      <c r="E311" s="104">
        <f>+SUM(H311,K311,N311,Q311,T311,W311,Z311,AC311,AF311,AI311,AL311,AO311)</f>
        <v>71120.791891073124</v>
      </c>
      <c r="F311" s="220">
        <v>16409.46</v>
      </c>
      <c r="G311" s="210">
        <f>IF(F311&lt;=0,0,H311/F311)</f>
        <v>0.24421644587938848</v>
      </c>
      <c r="H311" s="104">
        <v>4007.45999999999</v>
      </c>
      <c r="I311" s="220">
        <v>16154.19</v>
      </c>
      <c r="J311" s="210">
        <f>IF(I311&lt;=0,0,K311/I311)</f>
        <v>0.25065199802651816</v>
      </c>
      <c r="K311" s="104">
        <v>4049.08</v>
      </c>
      <c r="L311" s="220">
        <v>16784.47</v>
      </c>
      <c r="M311" s="210">
        <f>IF(L311&lt;=0,0,N311/L311)</f>
        <v>0.26567058715586489</v>
      </c>
      <c r="N311" s="104">
        <v>4459.1400000000003</v>
      </c>
      <c r="O311" s="220">
        <v>27375.41</v>
      </c>
      <c r="P311" s="210">
        <f>IF(O311&lt;=0,0,Q311/O311)</f>
        <v>0.26588460227627642</v>
      </c>
      <c r="Q311" s="104">
        <v>7278.7</v>
      </c>
      <c r="R311" s="220">
        <v>30042.26</v>
      </c>
      <c r="S311" s="210">
        <f>IF(R311&lt;=0,0,T311/R311)</f>
        <v>0.26962452225631461</v>
      </c>
      <c r="T311" s="104">
        <v>8100.1299999999901</v>
      </c>
      <c r="U311" s="220">
        <v>21272.07</v>
      </c>
      <c r="V311" s="210">
        <f>IF(U311&lt;=0,0,W311/U311)</f>
        <v>0.27779854052755565</v>
      </c>
      <c r="W311" s="104">
        <v>5909.35</v>
      </c>
      <c r="X311" s="220">
        <v>25642.9</v>
      </c>
      <c r="Y311" s="210">
        <f>IF(X311&lt;=0,0,Z311/X311)</f>
        <v>0.28574459207031966</v>
      </c>
      <c r="Z311" s="104">
        <v>7327.32</v>
      </c>
      <c r="AA311" s="220">
        <f>+[1]VOLKS!$J$308</f>
        <v>22150.16</v>
      </c>
      <c r="AB311" s="210">
        <f>IF(AA311&lt;=0,0,AC311/AA311)</f>
        <v>0.28566069048711162</v>
      </c>
      <c r="AC311" s="104">
        <f>+[1]VOLKS!$L$308</f>
        <v>6327.43</v>
      </c>
      <c r="AD311" s="220">
        <v>25072.157744688273</v>
      </c>
      <c r="AE311" s="210">
        <v>0.25600000000000001</v>
      </c>
      <c r="AF311" s="104">
        <v>6418.4723826401978</v>
      </c>
      <c r="AG311" s="220">
        <v>25352.464100761106</v>
      </c>
      <c r="AH311" s="210">
        <v>0.25600000000000001</v>
      </c>
      <c r="AI311" s="104">
        <v>6490.2308097948435</v>
      </c>
      <c r="AJ311" s="220">
        <v>18945.283703949553</v>
      </c>
      <c r="AK311" s="210">
        <v>0.25600000000000001</v>
      </c>
      <c r="AL311" s="104">
        <v>4849.9926282110855</v>
      </c>
      <c r="AM311" s="220">
        <v>23060.492462605547</v>
      </c>
      <c r="AN311" s="210">
        <v>0.25600000000000001</v>
      </c>
      <c r="AO311" s="104">
        <v>5903.4860704270204</v>
      </c>
      <c r="AQ311" s="224">
        <f>SUMIFS(F311:AO311,$F$7:$AO$7,"UNITE",$F$3:$AO$3,"RÉEL")</f>
        <v>175830.91999999998</v>
      </c>
      <c r="AR311" s="211">
        <f t="shared" si="462"/>
        <v>0.2699104912833305</v>
      </c>
      <c r="AS311" s="155">
        <f>SUMIFS(F311:AO311,$F$7:$AO$7,"$PROFITS",$F$3:$AO$3,"RÉEL")</f>
        <v>47458.609999999979</v>
      </c>
      <c r="AU311" s="224">
        <f>SUMIFS(F311:AO311,$F$7:$AO$7,"UNITE",$F$3:$AO$3,"BUDGET")</f>
        <v>92430.398012004473</v>
      </c>
      <c r="AV311" s="211">
        <f t="shared" si="463"/>
        <v>0.25600000000000006</v>
      </c>
      <c r="AW311" s="155">
        <f>SUMIFS(F311:AO311,$F$7:$AO$7,"$PROFITS",$F$3:$AO$3,"BUDGET")</f>
        <v>23662.181891073149</v>
      </c>
      <c r="AY311" s="224">
        <f>+[2]VOLKS!$J$308</f>
        <v>175830.92</v>
      </c>
      <c r="AZ311" s="211">
        <f>IF(AY311&lt;=0,0,BA311/AY311)</f>
        <v>0.26991049128333056</v>
      </c>
      <c r="BA311" s="155">
        <f>+[2]VOLKS!$L$308</f>
        <v>47458.61</v>
      </c>
      <c r="BC311" s="224">
        <f t="shared" si="464"/>
        <v>0</v>
      </c>
      <c r="BD311" s="211"/>
      <c r="BE311" s="41">
        <f t="shared" si="465"/>
        <v>0</v>
      </c>
    </row>
    <row r="312" spans="1:59" s="15" customFormat="1" ht="20.25" customHeight="1" outlineLevel="1">
      <c r="A312" s="15" t="s">
        <v>27</v>
      </c>
      <c r="B312" s="63" t="s">
        <v>143</v>
      </c>
      <c r="C312" s="307">
        <f>C307+C310+C311</f>
        <v>6416403.3926820038</v>
      </c>
      <c r="D312" s="308">
        <f>IF(C312&lt;=0,0,E312/C312)</f>
        <v>0.25013090388632025</v>
      </c>
      <c r="E312" s="291">
        <f>E307+E310+E311</f>
        <v>1604940.7803108015</v>
      </c>
      <c r="F312" s="307">
        <f>F307+F310+F311</f>
        <v>522678.73000000004</v>
      </c>
      <c r="G312" s="308">
        <f>IF(F312&lt;=0,0,H312/F312)</f>
        <v>0.21433541020504082</v>
      </c>
      <c r="H312" s="291">
        <f>H307+H310+H311</f>
        <v>112028.55999999978</v>
      </c>
      <c r="I312" s="307">
        <f>I307+I310+I311</f>
        <v>499700.52999999997</v>
      </c>
      <c r="J312" s="308">
        <f>IF(I312&lt;=0,0,K312/I312)</f>
        <v>0.20826199644014765</v>
      </c>
      <c r="K312" s="291">
        <f>K307+K310+K311</f>
        <v>104068.62999999989</v>
      </c>
      <c r="L312" s="307">
        <f>L307+L310+L311</f>
        <v>543573.29999999993</v>
      </c>
      <c r="M312" s="308">
        <f>IF(L312&lt;=0,0,N312/L312)</f>
        <v>0.22496953032829206</v>
      </c>
      <c r="N312" s="291">
        <f>N307+N310+N311</f>
        <v>122287.42999999979</v>
      </c>
      <c r="O312" s="307">
        <f>O307+O310+O311</f>
        <v>459979.70999999996</v>
      </c>
      <c r="P312" s="308">
        <f>IF(O312&lt;=0,0,Q312/O312)</f>
        <v>0.23859778510665131</v>
      </c>
      <c r="Q312" s="291">
        <f>Q307+Q310+Q311</f>
        <v>109750.13999999978</v>
      </c>
      <c r="R312" s="307">
        <f>R307+R310+R311</f>
        <v>551904.46999999986</v>
      </c>
      <c r="S312" s="308">
        <f>IF(R312&lt;=0,0,T312/R312)</f>
        <v>0.26117565237331708</v>
      </c>
      <c r="T312" s="291">
        <f>T307+T310+T311</f>
        <v>144144.00999999978</v>
      </c>
      <c r="U312" s="307">
        <f>U307+U310+U311</f>
        <v>464116.17</v>
      </c>
      <c r="V312" s="308">
        <f>IF(U312&lt;=0,0,W312/U312)</f>
        <v>0.23573037759059268</v>
      </c>
      <c r="W312" s="291">
        <f>W307+W310+W311</f>
        <v>109406.27999999969</v>
      </c>
      <c r="X312" s="307">
        <f>X307+X310+X311</f>
        <v>535619.36</v>
      </c>
      <c r="Y312" s="308">
        <f>IF(X312&lt;=0,0,Z312/X312)</f>
        <v>0.23353681614495755</v>
      </c>
      <c r="Z312" s="291">
        <f>Z307+Z310+Z311</f>
        <v>125086.83999999982</v>
      </c>
      <c r="AA312" s="307">
        <f>AA307+AA310+AA311</f>
        <v>527546.35</v>
      </c>
      <c r="AB312" s="308">
        <f>IF(AA312&lt;=0,0,AC312/AA312)</f>
        <v>0.3791732423132102</v>
      </c>
      <c r="AC312" s="291">
        <f>AC307+AC310+AC311</f>
        <v>200031.45999999958</v>
      </c>
      <c r="AD312" s="307">
        <f t="shared" ref="AD312" si="466">AD307+AD310+AD311</f>
        <v>474885.76952468825</v>
      </c>
      <c r="AE312" s="308">
        <f t="shared" ref="AE312:AO312" si="467">IF(AD312&lt;=0,0,AF312/AD312)</f>
        <v>0.24767463384820185</v>
      </c>
      <c r="AF312" s="291">
        <f t="shared" ref="AF312:AG312" si="468">AF307+AF310+AF311</f>
        <v>117617.15908674874</v>
      </c>
      <c r="AG312" s="307">
        <f t="shared" si="468"/>
        <v>651724.92017076118</v>
      </c>
      <c r="AH312" s="308">
        <f t="shared" ref="AH312:AO312" si="469">IF(AG312&lt;=0,0,AI312/AG312)</f>
        <v>0.24693140277677314</v>
      </c>
      <c r="AI312" s="291">
        <f t="shared" ref="AI312:AJ312" si="470">AI307+AI310+AI311</f>
        <v>160931.34876234655</v>
      </c>
      <c r="AJ312" s="307">
        <f t="shared" si="470"/>
        <v>711794.05087394954</v>
      </c>
      <c r="AK312" s="308">
        <f t="shared" ref="AK312:AO312" si="471">IF(AJ312&lt;=0,0,AL312/AJ312)</f>
        <v>0.26041000153133409</v>
      </c>
      <c r="AL312" s="291">
        <f t="shared" ref="AL312:AM312" si="472">AL307+AL310+AL311</f>
        <v>185358.2898780797</v>
      </c>
      <c r="AM312" s="307">
        <f t="shared" si="472"/>
        <v>472880.03211260546</v>
      </c>
      <c r="AN312" s="308">
        <f t="shared" ref="AN312:AO312" si="473">IF(AM312&lt;=0,0,AO312/AM312)</f>
        <v>0.24156366271863852</v>
      </c>
      <c r="AO312" s="291">
        <f t="shared" ref="AO312" si="474">AO307+AO310+AO311</f>
        <v>114230.63258362838</v>
      </c>
      <c r="AQ312" s="309">
        <f t="shared" ref="AQ312" si="475">AQ307+AQ310+AQ311</f>
        <v>4105118.6199999996</v>
      </c>
      <c r="AR312" s="310">
        <f t="shared" si="462"/>
        <v>0.25012757122228985</v>
      </c>
      <c r="AS312" s="311">
        <f t="shared" ref="AS312" si="476">AS307+AS310+AS311</f>
        <v>1026803.3499999981</v>
      </c>
      <c r="AU312" s="309">
        <f t="shared" ref="AU312" si="477">AU307+AU310+AU311</f>
        <v>2311284.7726820041</v>
      </c>
      <c r="AV312" s="310">
        <f t="shared" si="463"/>
        <v>0.25013682309685076</v>
      </c>
      <c r="AW312" s="311">
        <f t="shared" ref="AW312" si="478">AW307+AW310+AW311</f>
        <v>578137.43031080335</v>
      </c>
      <c r="AY312" s="309">
        <f>AY307+AY310+AY311</f>
        <v>4105118.62</v>
      </c>
      <c r="AZ312" s="310">
        <f>IF(AY312&lt;=0,0,BA312/AY312)</f>
        <v>0.25012757122228974</v>
      </c>
      <c r="BA312" s="311">
        <f>BA307+BA310+BA311</f>
        <v>1026803.3499999979</v>
      </c>
      <c r="BC312" s="309">
        <f t="shared" ref="BC312" si="479">BC307+BC310+BC311</f>
        <v>0</v>
      </c>
      <c r="BD312" s="310"/>
      <c r="BE312" s="51">
        <f t="shared" ref="BE312" si="480">BE307+BE310+BE311</f>
        <v>-1.8189894035458565E-10</v>
      </c>
    </row>
    <row r="313" spans="1:59" s="15" customFormat="1" ht="20.25" customHeight="1" outlineLevel="1">
      <c r="A313" s="15" t="s">
        <v>27</v>
      </c>
      <c r="B313" s="34"/>
      <c r="C313" s="34"/>
      <c r="D313" s="72"/>
      <c r="E313" s="52"/>
      <c r="F313" s="34"/>
      <c r="G313" s="72"/>
      <c r="H313" s="52"/>
      <c r="I313" s="34"/>
      <c r="J313" s="72"/>
      <c r="K313" s="52"/>
      <c r="L313" s="34"/>
      <c r="M313" s="72"/>
      <c r="N313" s="52"/>
      <c r="O313" s="34"/>
      <c r="P313" s="72"/>
      <c r="Q313" s="52"/>
      <c r="R313" s="34"/>
      <c r="S313" s="72"/>
      <c r="T313" s="52"/>
      <c r="U313" s="34"/>
      <c r="V313" s="72"/>
      <c r="W313" s="52"/>
      <c r="X313" s="34"/>
      <c r="Y313" s="72"/>
      <c r="Z313" s="52"/>
      <c r="AA313" s="34"/>
      <c r="AB313" s="72"/>
      <c r="AC313" s="52"/>
      <c r="AD313" s="34"/>
      <c r="AE313" s="72"/>
      <c r="AF313" s="52"/>
      <c r="AG313" s="34"/>
      <c r="AH313" s="72"/>
      <c r="AI313" s="52"/>
      <c r="AJ313" s="34"/>
      <c r="AK313" s="72"/>
      <c r="AL313" s="52"/>
      <c r="AM313" s="34"/>
      <c r="AN313" s="72"/>
      <c r="AO313" s="52"/>
      <c r="AQ313" s="53"/>
      <c r="AR313" s="74"/>
      <c r="AS313" s="54"/>
      <c r="AU313" s="53"/>
      <c r="AV313" s="74"/>
      <c r="AW313" s="54"/>
      <c r="AY313" s="53"/>
      <c r="AZ313" s="74"/>
      <c r="BA313" s="54"/>
      <c r="BC313" s="53"/>
      <c r="BD313" s="74"/>
      <c r="BE313" s="27"/>
    </row>
    <row r="314" spans="1:59" s="15" customFormat="1" ht="20.25" customHeight="1" outlineLevel="1">
      <c r="A314" s="15" t="s">
        <v>27</v>
      </c>
      <c r="B314" s="34" t="s">
        <v>144</v>
      </c>
      <c r="C314" s="34">
        <f>+SUM(F314,I314,L314,O314,R314,U314,X314,AA314,AD314,AG314,AJ314,AM314)</f>
        <v>0</v>
      </c>
      <c r="D314" s="314">
        <f>IF(C314&lt;=0,0,E314/C314)</f>
        <v>0</v>
      </c>
      <c r="E314" s="52">
        <f>+SUM(H314,K314,N314,Q314,T314,W314,Z314,AC314,AF314,AI314,AL314,AO314)</f>
        <v>0</v>
      </c>
      <c r="F314" s="34"/>
      <c r="G314" s="314"/>
      <c r="H314" s="52"/>
      <c r="I314" s="34"/>
      <c r="J314" s="314"/>
      <c r="K314" s="52"/>
      <c r="L314" s="34"/>
      <c r="M314" s="314"/>
      <c r="N314" s="52"/>
      <c r="O314" s="34"/>
      <c r="P314" s="314"/>
      <c r="Q314" s="52"/>
      <c r="R314" s="34"/>
      <c r="S314" s="314"/>
      <c r="T314" s="52"/>
      <c r="U314" s="34"/>
      <c r="V314" s="314"/>
      <c r="W314" s="52"/>
      <c r="X314" s="34"/>
      <c r="Y314" s="314"/>
      <c r="Z314" s="52"/>
      <c r="AA314" s="34"/>
      <c r="AB314" s="314"/>
      <c r="AC314" s="52"/>
      <c r="AD314" s="34">
        <v>0</v>
      </c>
      <c r="AE314" s="210">
        <v>0</v>
      </c>
      <c r="AF314" s="52">
        <v>0</v>
      </c>
      <c r="AG314" s="34">
        <v>0</v>
      </c>
      <c r="AH314" s="210">
        <v>0</v>
      </c>
      <c r="AI314" s="52">
        <v>0</v>
      </c>
      <c r="AJ314" s="34">
        <v>0</v>
      </c>
      <c r="AK314" s="210">
        <v>0</v>
      </c>
      <c r="AL314" s="52">
        <v>0</v>
      </c>
      <c r="AM314" s="34">
        <v>0</v>
      </c>
      <c r="AN314" s="210">
        <v>0</v>
      </c>
      <c r="AO314" s="52">
        <v>0</v>
      </c>
      <c r="AQ314" s="224">
        <f>SUMIFS(F314:AO314,$F$7:$AO$7,"UNITE",$F$3:$AO$3,"RÉEL")</f>
        <v>0</v>
      </c>
      <c r="AR314" s="315">
        <f t="shared" ref="AR314:AR315" si="481">IF(AQ314&lt;=0,0,AS314/AQ314)</f>
        <v>0</v>
      </c>
      <c r="AS314" s="54">
        <f>SUMIFS(F314:AO314,$F$7:$AO$7,"$PROFITS",$F$3:$AO$3,"RÉEL")</f>
        <v>0</v>
      </c>
      <c r="AU314" s="53">
        <f>SUMIFS(F314:AO314,$F$7:$AO$7,"UNITE",$F$3:$AO$3,"BUDGET")</f>
        <v>0</v>
      </c>
      <c r="AV314" s="315">
        <f t="shared" ref="AV314:AV315" si="482">IF(AU314&lt;=0,0,AW314/AU314)</f>
        <v>0</v>
      </c>
      <c r="AW314" s="54">
        <f>SUMIFS(F314:AO314,$F$7:$AO$7,"$PROFITS",$F$3:$AO$3,"BUDGET")</f>
        <v>0</v>
      </c>
      <c r="AY314" s="224"/>
      <c r="AZ314" s="315"/>
      <c r="BA314" s="54"/>
      <c r="BC314" s="53">
        <f t="shared" ref="BC314:BC315" si="483">+AY314-AQ314</f>
        <v>0</v>
      </c>
      <c r="BD314" s="315"/>
      <c r="BE314" s="27">
        <f t="shared" ref="BE314:BE315" si="484">+BA314-AS314</f>
        <v>0</v>
      </c>
    </row>
    <row r="315" spans="1:59" s="15" customFormat="1" ht="20.25" customHeight="1" outlineLevel="1">
      <c r="A315" s="15" t="s">
        <v>27</v>
      </c>
      <c r="B315" s="28" t="s">
        <v>145</v>
      </c>
      <c r="C315" s="316">
        <f>+SUM(F315,I315,L315,O315,R315,U315,X315,AA315,AD315,AG315,AJ315,AM315)</f>
        <v>0</v>
      </c>
      <c r="D315" s="317">
        <f>IF(C315&lt;=0,0,E315/C315)</f>
        <v>0</v>
      </c>
      <c r="E315" s="145">
        <f>+SUM(H315,K315,N315,Q315,T315,W315,Z315,AC315,AF315,AI315,AL315,AO315)</f>
        <v>0</v>
      </c>
      <c r="F315" s="316">
        <v>0</v>
      </c>
      <c r="G315" s="317">
        <f>IF(F315&lt;=0,0,H315/F315)</f>
        <v>0</v>
      </c>
      <c r="H315" s="145">
        <v>0</v>
      </c>
      <c r="I315" s="316">
        <v>0</v>
      </c>
      <c r="J315" s="317">
        <f>IF(I315&lt;=0,0,K315/I315)</f>
        <v>0</v>
      </c>
      <c r="K315" s="145">
        <v>0</v>
      </c>
      <c r="L315" s="316">
        <v>0</v>
      </c>
      <c r="M315" s="317">
        <f>IF(L315&lt;=0,0,N315/L315)</f>
        <v>0</v>
      </c>
      <c r="N315" s="145">
        <v>0</v>
      </c>
      <c r="O315" s="316">
        <v>0</v>
      </c>
      <c r="P315" s="317">
        <f>IF(O315&lt;=0,0,Q315/O315)</f>
        <v>0</v>
      </c>
      <c r="Q315" s="145">
        <v>0</v>
      </c>
      <c r="R315" s="316">
        <v>0</v>
      </c>
      <c r="S315" s="317">
        <f>IF(R315&lt;=0,0,T315/R315)</f>
        <v>0</v>
      </c>
      <c r="T315" s="145">
        <v>0</v>
      </c>
      <c r="U315" s="316">
        <v>0</v>
      </c>
      <c r="V315" s="317">
        <f>IF(U315&lt;=0,0,W315/U315)</f>
        <v>0</v>
      </c>
      <c r="W315" s="145">
        <v>0</v>
      </c>
      <c r="X315" s="316">
        <v>0</v>
      </c>
      <c r="Y315" s="317">
        <f>IF(X315&lt;=0,0,Z315/X315)</f>
        <v>0</v>
      </c>
      <c r="Z315" s="145">
        <v>0</v>
      </c>
      <c r="AA315" s="316">
        <f>+[1]VOLKS!$J$312</f>
        <v>0</v>
      </c>
      <c r="AB315" s="317">
        <f>IF(AA315&lt;=0,0,AC315/AA315)</f>
        <v>0</v>
      </c>
      <c r="AC315" s="145">
        <f>+[1]VOLKS!$L$312</f>
        <v>0</v>
      </c>
      <c r="AD315" s="316">
        <v>0</v>
      </c>
      <c r="AE315" s="317">
        <v>0</v>
      </c>
      <c r="AF315" s="145">
        <v>0</v>
      </c>
      <c r="AG315" s="316">
        <v>0</v>
      </c>
      <c r="AH315" s="317">
        <v>0</v>
      </c>
      <c r="AI315" s="145">
        <v>0</v>
      </c>
      <c r="AJ315" s="316">
        <v>0</v>
      </c>
      <c r="AK315" s="317">
        <v>0</v>
      </c>
      <c r="AL315" s="145">
        <v>0</v>
      </c>
      <c r="AM315" s="316">
        <v>0</v>
      </c>
      <c r="AN315" s="317">
        <v>0</v>
      </c>
      <c r="AO315" s="145">
        <v>0</v>
      </c>
      <c r="AQ315" s="224">
        <f>SUMIFS(F315:AO315,$F$7:$AO$7,"UNITE",$F$3:$AO$3,"RÉEL")</f>
        <v>0</v>
      </c>
      <c r="AR315" s="318">
        <f t="shared" si="481"/>
        <v>0</v>
      </c>
      <c r="AS315" s="319">
        <f>SUMIFS(F315:AO315,$F$7:$AO$7,"$PROFITS",$F$3:$AO$3,"RÉEL")</f>
        <v>0</v>
      </c>
      <c r="AU315" s="320">
        <f>SUMIFS(F315:AO315,$F$7:$AO$7,"UNITE",$F$3:$AO$3,"BUDGET")</f>
        <v>0</v>
      </c>
      <c r="AV315" s="318">
        <f t="shared" si="482"/>
        <v>0</v>
      </c>
      <c r="AW315" s="319">
        <f>SUMIFS(F315:AO315,$F$7:$AO$7,"$PROFITS",$F$3:$AO$3,"BUDGET")</f>
        <v>0</v>
      </c>
      <c r="AY315" s="224">
        <f>+[2]VOLKS!$J$312</f>
        <v>0</v>
      </c>
      <c r="AZ315" s="318">
        <f>IF(AY315&lt;=0,0,BA315/AY315)</f>
        <v>0</v>
      </c>
      <c r="BA315" s="319">
        <f>+[2]VOLKS!$L$312</f>
        <v>0</v>
      </c>
      <c r="BC315" s="320">
        <f t="shared" si="483"/>
        <v>0</v>
      </c>
      <c r="BD315" s="318"/>
      <c r="BE315" s="62">
        <f t="shared" si="484"/>
        <v>0</v>
      </c>
    </row>
    <row r="316" spans="1:59" s="15" customFormat="1" ht="20.25" customHeight="1" outlineLevel="1" thickBot="1">
      <c r="A316" s="15" t="s">
        <v>27</v>
      </c>
      <c r="B316" s="34"/>
      <c r="C316" s="225"/>
      <c r="D316" s="210"/>
      <c r="E316" s="73"/>
      <c r="F316" s="225"/>
      <c r="G316" s="210"/>
      <c r="H316" s="73"/>
      <c r="I316" s="225"/>
      <c r="J316" s="210"/>
      <c r="K316" s="73"/>
      <c r="L316" s="225"/>
      <c r="M316" s="210"/>
      <c r="N316" s="73"/>
      <c r="O316" s="225"/>
      <c r="P316" s="210"/>
      <c r="Q316" s="73"/>
      <c r="R316" s="225"/>
      <c r="S316" s="210"/>
      <c r="T316" s="73"/>
      <c r="U316" s="225"/>
      <c r="V316" s="210"/>
      <c r="W316" s="73"/>
      <c r="X316" s="225"/>
      <c r="Y316" s="210"/>
      <c r="Z316" s="73"/>
      <c r="AA316" s="225"/>
      <c r="AB316" s="210"/>
      <c r="AC316" s="73"/>
      <c r="AD316" s="225"/>
      <c r="AE316" s="210"/>
      <c r="AF316" s="73"/>
      <c r="AG316" s="225"/>
      <c r="AH316" s="210"/>
      <c r="AI316" s="73"/>
      <c r="AJ316" s="225"/>
      <c r="AK316" s="210"/>
      <c r="AL316" s="73"/>
      <c r="AM316" s="225"/>
      <c r="AN316" s="210"/>
      <c r="AO316" s="73"/>
      <c r="AQ316" s="227"/>
      <c r="AR316" s="211"/>
      <c r="AS316" s="75"/>
      <c r="AU316" s="227"/>
      <c r="AV316" s="211"/>
      <c r="AW316" s="75"/>
      <c r="AY316" s="227"/>
      <c r="AZ316" s="211"/>
      <c r="BA316" s="75"/>
      <c r="BC316" s="227"/>
      <c r="BD316" s="211"/>
      <c r="BE316" s="27"/>
    </row>
    <row r="317" spans="1:59" s="15" customFormat="1" ht="21" customHeight="1" outlineLevel="1" thickTop="1">
      <c r="A317" s="15" t="s">
        <v>27</v>
      </c>
      <c r="B317" s="76" t="s">
        <v>146</v>
      </c>
      <c r="C317" s="77">
        <f>C312+C315+C314</f>
        <v>6416403.3926820038</v>
      </c>
      <c r="D317" s="321">
        <f>IF(C317&lt;=0,0,E317/C317)</f>
        <v>0.25013090388632025</v>
      </c>
      <c r="E317" s="79">
        <f>E312+E315+E314</f>
        <v>1604940.7803108015</v>
      </c>
      <c r="F317" s="77">
        <f>F312+F315+F314</f>
        <v>522678.73000000004</v>
      </c>
      <c r="G317" s="321">
        <f>IF(F317&lt;=0,0,H317/F317)</f>
        <v>0.21433541020504082</v>
      </c>
      <c r="H317" s="79">
        <f>H312+H315+H314</f>
        <v>112028.55999999978</v>
      </c>
      <c r="I317" s="77">
        <f>I312+I315+I314</f>
        <v>499700.52999999997</v>
      </c>
      <c r="J317" s="321">
        <f>IF(I317&lt;=0,0,K317/I317)</f>
        <v>0.20826199644014765</v>
      </c>
      <c r="K317" s="79">
        <f>K312+K315+K314</f>
        <v>104068.62999999989</v>
      </c>
      <c r="L317" s="77">
        <f>L312+L315+L314</f>
        <v>543573.29999999993</v>
      </c>
      <c r="M317" s="321">
        <f>IF(L317&lt;=0,0,N317/L317)</f>
        <v>0.22496953032829206</v>
      </c>
      <c r="N317" s="79">
        <f>N312+N315+N314</f>
        <v>122287.42999999979</v>
      </c>
      <c r="O317" s="77">
        <f>O312+O315+O314</f>
        <v>459979.70999999996</v>
      </c>
      <c r="P317" s="321">
        <f>IF(O317&lt;=0,0,Q317/O317)</f>
        <v>0.23859778510665131</v>
      </c>
      <c r="Q317" s="79">
        <f>Q312+Q315+Q314</f>
        <v>109750.13999999978</v>
      </c>
      <c r="R317" s="77">
        <f>R312+R315+R314</f>
        <v>551904.46999999986</v>
      </c>
      <c r="S317" s="321">
        <f>IF(R317&lt;=0,0,T317/R317)</f>
        <v>0.26117565237331708</v>
      </c>
      <c r="T317" s="79">
        <f>T312+T315+T314</f>
        <v>144144.00999999978</v>
      </c>
      <c r="U317" s="77">
        <f>U312+U315+U314</f>
        <v>464116.17</v>
      </c>
      <c r="V317" s="321">
        <f>IF(U317&lt;=0,0,W317/U317)</f>
        <v>0.23573037759059268</v>
      </c>
      <c r="W317" s="80">
        <f>W312+W315+W314</f>
        <v>109406.27999999969</v>
      </c>
      <c r="X317" s="77">
        <f>X312+X315+X314</f>
        <v>535619.36</v>
      </c>
      <c r="Y317" s="321">
        <f>IF(X317&lt;=0,0,Z317/X317)</f>
        <v>0.23353681614495755</v>
      </c>
      <c r="Z317" s="80">
        <f>Z312+Z315+Z314</f>
        <v>125086.83999999982</v>
      </c>
      <c r="AA317" s="77">
        <f>AA312+AA315+AA314</f>
        <v>527546.35</v>
      </c>
      <c r="AB317" s="321">
        <f>IF(AA317&lt;=0,0,AC317/AA317)</f>
        <v>0.3791732423132102</v>
      </c>
      <c r="AC317" s="80">
        <f>AC312+AC315+AC314</f>
        <v>200031.45999999958</v>
      </c>
      <c r="AD317" s="77">
        <f t="shared" ref="AD317:AO317" si="485">AD312+AD315+AD314</f>
        <v>474885.76952468825</v>
      </c>
      <c r="AE317" s="321">
        <f t="shared" ref="AE317:AO317" si="486">IF(AD317&lt;=0,0,AF317/AD317)</f>
        <v>0.24767463384820185</v>
      </c>
      <c r="AF317" s="80">
        <f t="shared" ref="AF317:AO317" si="487">AF312+AF315+AF314</f>
        <v>117617.15908674874</v>
      </c>
      <c r="AG317" s="77">
        <f t="shared" si="487"/>
        <v>651724.92017076118</v>
      </c>
      <c r="AH317" s="321">
        <f t="shared" ref="AH317:AO317" si="488">IF(AG317&lt;=0,0,AI317/AG317)</f>
        <v>0.24693140277677314</v>
      </c>
      <c r="AI317" s="80">
        <f t="shared" ref="AI317:AO317" si="489">AI312+AI315+AI314</f>
        <v>160931.34876234655</v>
      </c>
      <c r="AJ317" s="77">
        <f t="shared" si="489"/>
        <v>711794.05087394954</v>
      </c>
      <c r="AK317" s="321">
        <f t="shared" ref="AK317:AO317" si="490">IF(AJ317&lt;=0,0,AL317/AJ317)</f>
        <v>0.26041000153133409</v>
      </c>
      <c r="AL317" s="80">
        <f t="shared" ref="AL317:AO317" si="491">AL312+AL315+AL314</f>
        <v>185358.2898780797</v>
      </c>
      <c r="AM317" s="77">
        <f t="shared" si="491"/>
        <v>472880.03211260546</v>
      </c>
      <c r="AN317" s="321">
        <f t="shared" ref="AN317:AO317" si="492">IF(AM317&lt;=0,0,AO317/AM317)</f>
        <v>0.24156366271863852</v>
      </c>
      <c r="AO317" s="80">
        <f t="shared" ref="AO317" si="493">AO312+AO315+AO314</f>
        <v>114230.63258362838</v>
      </c>
      <c r="AQ317" s="81">
        <f>AQ312+AQ315+AQ314</f>
        <v>4105118.6199999996</v>
      </c>
      <c r="AR317" s="322">
        <f>IF(AQ317&lt;=0,0,AS317/AQ317)</f>
        <v>0.25012757122228985</v>
      </c>
      <c r="AS317" s="83">
        <f>AS312+AS315+AS314</f>
        <v>1026803.3499999981</v>
      </c>
      <c r="AU317" s="81">
        <f>AU312+AU315+AU314</f>
        <v>2311284.7726820041</v>
      </c>
      <c r="AV317" s="322">
        <f>IF(AU317&lt;=0,0,AW317/AU317)</f>
        <v>0.25013682309685076</v>
      </c>
      <c r="AW317" s="83">
        <f>AW312+AW315+AW314</f>
        <v>578137.43031080335</v>
      </c>
      <c r="AY317" s="81">
        <f>AY312+AY315+AY314</f>
        <v>4105118.62</v>
      </c>
      <c r="AZ317" s="322">
        <f>IF(AY317&lt;=0,0,BA317/AY317)</f>
        <v>0.25012757122228974</v>
      </c>
      <c r="BA317" s="83">
        <f>BA312+BA315+BA314</f>
        <v>1026803.3499999979</v>
      </c>
      <c r="BC317" s="81">
        <f>BC312+BC315+BC314</f>
        <v>0</v>
      </c>
      <c r="BD317" s="322"/>
      <c r="BE317" s="84">
        <f>BE312+BE315+BE314</f>
        <v>-1.8189894035458565E-10</v>
      </c>
      <c r="BG317" s="243">
        <f>+BA317-AS317-BE317</f>
        <v>-5.0931703299283981E-11</v>
      </c>
    </row>
    <row r="318" spans="1:59" s="15" customFormat="1" ht="21" customHeight="1" outlineLevel="1" thickBot="1">
      <c r="A318" s="15" t="s">
        <v>27</v>
      </c>
      <c r="B318" s="323"/>
      <c r="C318" s="324"/>
      <c r="D318" s="325"/>
      <c r="E318" s="326"/>
      <c r="F318" s="324"/>
      <c r="G318" s="325"/>
      <c r="H318" s="326"/>
      <c r="I318" s="324"/>
      <c r="J318" s="325"/>
      <c r="K318" s="326"/>
      <c r="L318" s="324"/>
      <c r="M318" s="325"/>
      <c r="N318" s="326"/>
      <c r="O318" s="324"/>
      <c r="P318" s="325"/>
      <c r="Q318" s="326"/>
      <c r="R318" s="324"/>
      <c r="S318" s="325"/>
      <c r="T318" s="326"/>
      <c r="U318" s="324"/>
      <c r="V318" s="325"/>
      <c r="W318" s="327"/>
      <c r="X318" s="324"/>
      <c r="Y318" s="325"/>
      <c r="Z318" s="327"/>
      <c r="AA318" s="324"/>
      <c r="AB318" s="325"/>
      <c r="AC318" s="327"/>
      <c r="AD318" s="324"/>
      <c r="AE318" s="325"/>
      <c r="AF318" s="326"/>
      <c r="AG318" s="324"/>
      <c r="AH318" s="325"/>
      <c r="AI318" s="326"/>
      <c r="AJ318" s="324"/>
      <c r="AK318" s="325"/>
      <c r="AL318" s="326"/>
      <c r="AM318" s="324"/>
      <c r="AN318" s="325"/>
      <c r="AO318" s="326"/>
      <c r="AQ318" s="328"/>
      <c r="AR318" s="329"/>
      <c r="AS318" s="330"/>
      <c r="AU318" s="328"/>
      <c r="AV318" s="329"/>
      <c r="AW318" s="330"/>
      <c r="AY318" s="328"/>
      <c r="AZ318" s="329"/>
      <c r="BA318" s="330"/>
      <c r="BC318" s="328"/>
      <c r="BD318" s="329"/>
      <c r="BE318" s="331"/>
    </row>
    <row r="319" spans="1:59" s="15" customFormat="1" ht="21" thickTop="1">
      <c r="A319" s="15" t="s">
        <v>27</v>
      </c>
      <c r="B319" s="93"/>
      <c r="C319" s="332"/>
      <c r="D319" s="333"/>
      <c r="E319" s="166"/>
      <c r="F319" s="332"/>
      <c r="G319" s="333"/>
      <c r="H319" s="166"/>
      <c r="I319" s="332"/>
      <c r="J319" s="333"/>
      <c r="K319" s="166"/>
      <c r="L319" s="332"/>
      <c r="M319" s="333"/>
      <c r="N319" s="166"/>
      <c r="O319" s="332"/>
      <c r="P319" s="333"/>
      <c r="Q319" s="166"/>
      <c r="R319" s="332"/>
      <c r="S319" s="333"/>
      <c r="T319" s="166"/>
      <c r="U319" s="332"/>
      <c r="V319" s="333"/>
      <c r="W319" s="167"/>
      <c r="X319" s="332"/>
      <c r="Y319" s="333"/>
      <c r="Z319" s="167"/>
      <c r="AA319" s="332"/>
      <c r="AB319" s="333"/>
      <c r="AC319" s="167"/>
      <c r="AD319" s="332"/>
      <c r="AE319" s="333"/>
      <c r="AF319" s="166"/>
      <c r="AG319" s="332"/>
      <c r="AH319" s="333"/>
      <c r="AI319" s="166"/>
      <c r="AJ319" s="332"/>
      <c r="AK319" s="333"/>
      <c r="AL319" s="166"/>
      <c r="AM319" s="332"/>
      <c r="AN319" s="333"/>
      <c r="AO319" s="166"/>
      <c r="AQ319" s="334"/>
      <c r="AR319" s="335"/>
      <c r="AS319" s="170"/>
      <c r="AU319" s="334"/>
      <c r="AV319" s="335"/>
      <c r="AW319" s="170"/>
      <c r="AY319" s="334"/>
      <c r="AZ319" s="335"/>
      <c r="BA319" s="170"/>
      <c r="BC319" s="334"/>
      <c r="BD319" s="335"/>
      <c r="BE319" s="100"/>
    </row>
    <row r="320" spans="1:59" s="15" customFormat="1" ht="20.25">
      <c r="A320" s="15" t="s">
        <v>27</v>
      </c>
      <c r="B320" s="101" t="s">
        <v>42</v>
      </c>
      <c r="C320" s="34"/>
      <c r="D320" s="72"/>
      <c r="E320" s="52"/>
      <c r="F320" s="34"/>
      <c r="G320" s="72"/>
      <c r="I320" s="34"/>
      <c r="J320" s="72"/>
      <c r="L320" s="34"/>
      <c r="M320" s="72"/>
      <c r="N320" s="52"/>
      <c r="O320" s="34"/>
      <c r="P320" s="72"/>
      <c r="Q320" s="52"/>
      <c r="R320" s="34"/>
      <c r="S320" s="72"/>
      <c r="T320" s="52"/>
      <c r="U320" s="34"/>
      <c r="V320" s="72"/>
      <c r="W320" s="52"/>
      <c r="X320" s="34"/>
      <c r="Y320" s="72"/>
      <c r="Z320" s="52"/>
      <c r="AA320" s="34"/>
      <c r="AB320" s="72"/>
      <c r="AC320" s="52"/>
      <c r="AD320" s="34"/>
      <c r="AE320" s="72"/>
      <c r="AF320" s="52"/>
      <c r="AG320" s="34"/>
      <c r="AH320" s="72"/>
      <c r="AI320" s="52"/>
      <c r="AJ320" s="34"/>
      <c r="AK320" s="72"/>
      <c r="AL320" s="52"/>
      <c r="AM320" s="34"/>
      <c r="AN320" s="72"/>
      <c r="AO320" s="52"/>
      <c r="AQ320" s="53"/>
      <c r="AR320" s="74"/>
      <c r="AS320" s="54"/>
      <c r="AU320" s="53"/>
      <c r="AV320" s="74"/>
      <c r="AW320" s="54"/>
      <c r="AY320" s="53"/>
      <c r="AZ320" s="74"/>
      <c r="BA320" s="54"/>
      <c r="BC320" s="53"/>
      <c r="BD320" s="74"/>
      <c r="BE320" s="27"/>
    </row>
    <row r="321" spans="1:57" s="15" customFormat="1" ht="20.25">
      <c r="A321" s="15" t="s">
        <v>58</v>
      </c>
      <c r="B321" s="128" t="s">
        <v>59</v>
      </c>
      <c r="C321" s="34"/>
      <c r="D321" s="72"/>
      <c r="E321" s="104">
        <f>+SUM(H321,K321,N321,Q321,T321,W321,Z321,AC321,AF321,AI321,AL321,AO321)</f>
        <v>101822.88384615383</v>
      </c>
      <c r="F321" s="34"/>
      <c r="G321" s="72"/>
      <c r="H321" s="104">
        <v>9997.7199999999993</v>
      </c>
      <c r="I321" s="34"/>
      <c r="J321" s="72"/>
      <c r="K321" s="104">
        <v>8533.68</v>
      </c>
      <c r="L321" s="34"/>
      <c r="M321" s="72"/>
      <c r="N321" s="104">
        <v>10126.49</v>
      </c>
      <c r="O321" s="34"/>
      <c r="P321" s="72"/>
      <c r="Q321" s="104">
        <v>7994.18</v>
      </c>
      <c r="R321" s="34"/>
      <c r="S321" s="72"/>
      <c r="T321" s="104">
        <v>9851.89</v>
      </c>
      <c r="U321" s="34"/>
      <c r="V321" s="72"/>
      <c r="W321" s="104">
        <v>9334.2999999999993</v>
      </c>
      <c r="X321" s="34"/>
      <c r="Y321" s="72"/>
      <c r="Z321" s="104">
        <v>8530.26</v>
      </c>
      <c r="AA321" s="34"/>
      <c r="AB321" s="72"/>
      <c r="AC321" s="104">
        <f>+[1]VOLKS!$L$318</f>
        <v>8454.76</v>
      </c>
      <c r="AD321" s="34"/>
      <c r="AE321" s="72"/>
      <c r="AF321" s="104">
        <v>6935.8538461538465</v>
      </c>
      <c r="AG321" s="34"/>
      <c r="AH321" s="72"/>
      <c r="AI321" s="104">
        <v>8192.0423076923089</v>
      </c>
      <c r="AJ321" s="34"/>
      <c r="AK321" s="72"/>
      <c r="AL321" s="105">
        <v>6935.8538461538465</v>
      </c>
      <c r="AM321" s="34"/>
      <c r="AN321" s="72"/>
      <c r="AO321" s="105">
        <v>6935.8538461538465</v>
      </c>
      <c r="AQ321" s="53"/>
      <c r="AR321" s="74"/>
      <c r="AS321" s="108">
        <f t="shared" ref="AS321:AS331" si="494">SUMIFS(F321:AO321,$F$7:$AO$7,"$PROFITS",$F$3:$AO$3,"RÉEL")</f>
        <v>72823.28</v>
      </c>
      <c r="AU321" s="53"/>
      <c r="AV321" s="74"/>
      <c r="AW321" s="108">
        <f t="shared" ref="AW321:AW331" si="495">SUMIFS(F321:AO321,$F$7:$AO$7,"$PROFITS",$F$3:$AO$3,"BUDGET")</f>
        <v>28999.603846153848</v>
      </c>
      <c r="AY321" s="53"/>
      <c r="AZ321" s="74"/>
      <c r="BA321" s="108">
        <f>+[2]VOLKS!$L$318</f>
        <v>72823.28</v>
      </c>
      <c r="BC321" s="53"/>
      <c r="BD321" s="74"/>
      <c r="BE321" s="109">
        <f t="shared" ref="BE321:BE331" si="496">+BA321-AS321</f>
        <v>0</v>
      </c>
    </row>
    <row r="322" spans="1:57" s="15" customFormat="1" ht="20.25">
      <c r="A322" s="15" t="s">
        <v>60</v>
      </c>
      <c r="B322" s="129" t="s">
        <v>61</v>
      </c>
      <c r="C322" s="34"/>
      <c r="D322" s="72"/>
      <c r="E322" s="104">
        <f>+SUM(H322,K322,N322,Q322,T322,W322,Z322,AC322,AF322,AI322,AL322,AO322)</f>
        <v>316642.44252307701</v>
      </c>
      <c r="F322" s="34"/>
      <c r="G322" s="72"/>
      <c r="H322" s="104">
        <v>27924.71</v>
      </c>
      <c r="I322" s="34"/>
      <c r="J322" s="72"/>
      <c r="K322" s="104">
        <v>25401.96</v>
      </c>
      <c r="L322" s="34"/>
      <c r="M322" s="72"/>
      <c r="N322" s="104">
        <v>25203.67</v>
      </c>
      <c r="O322" s="34"/>
      <c r="P322" s="72"/>
      <c r="Q322" s="104">
        <v>24736.400000000001</v>
      </c>
      <c r="R322" s="34"/>
      <c r="S322" s="72"/>
      <c r="T322" s="104">
        <v>30722.14</v>
      </c>
      <c r="U322" s="34"/>
      <c r="V322" s="72"/>
      <c r="W322" s="104">
        <v>23696.7</v>
      </c>
      <c r="X322" s="34"/>
      <c r="Y322" s="72"/>
      <c r="Z322" s="104">
        <v>22650.76</v>
      </c>
      <c r="AA322" s="34"/>
      <c r="AB322" s="72"/>
      <c r="AC322" s="104">
        <f>+[1]VOLKS!$L$319</f>
        <v>24603.3</v>
      </c>
      <c r="AD322" s="34"/>
      <c r="AE322" s="72"/>
      <c r="AF322" s="104">
        <v>26364.924123076926</v>
      </c>
      <c r="AG322" s="34"/>
      <c r="AH322" s="72"/>
      <c r="AI322" s="104">
        <v>32608.030153846154</v>
      </c>
      <c r="AJ322" s="34"/>
      <c r="AK322" s="72"/>
      <c r="AL322" s="105">
        <v>26364.924123076926</v>
      </c>
      <c r="AM322" s="34"/>
      <c r="AN322" s="72"/>
      <c r="AO322" s="105">
        <v>26364.924123076926</v>
      </c>
      <c r="AQ322" s="53"/>
      <c r="AR322" s="74"/>
      <c r="AS322" s="108">
        <f t="shared" si="494"/>
        <v>204939.64</v>
      </c>
      <c r="AU322" s="53"/>
      <c r="AV322" s="74"/>
      <c r="AW322" s="108">
        <f t="shared" si="495"/>
        <v>111702.80252307693</v>
      </c>
      <c r="AY322" s="53"/>
      <c r="AZ322" s="74"/>
      <c r="BA322" s="108">
        <f>+[2]VOLKS!$L$319</f>
        <v>204939.64</v>
      </c>
      <c r="BC322" s="53"/>
      <c r="BD322" s="74"/>
      <c r="BE322" s="109">
        <f t="shared" si="496"/>
        <v>0</v>
      </c>
    </row>
    <row r="323" spans="1:57" s="15" customFormat="1" ht="20.25">
      <c r="A323" s="15" t="s">
        <v>60</v>
      </c>
      <c r="B323" s="128" t="s">
        <v>62</v>
      </c>
      <c r="C323" s="23"/>
      <c r="D323" s="130"/>
      <c r="E323" s="131">
        <f>+SUM(H323,K323,N323,Q323,T323,W323,Z323,AC323,AF323,AI323,AL323,AO323)</f>
        <v>1507.406153846154</v>
      </c>
      <c r="F323" s="23"/>
      <c r="G323" s="130"/>
      <c r="H323" s="131">
        <v>113.92</v>
      </c>
      <c r="I323" s="23"/>
      <c r="J323" s="130"/>
      <c r="K323" s="131">
        <v>113.92</v>
      </c>
      <c r="L323" s="23"/>
      <c r="M323" s="130"/>
      <c r="N323" s="131">
        <v>113.92</v>
      </c>
      <c r="O323" s="23"/>
      <c r="P323" s="130"/>
      <c r="Q323" s="131">
        <v>113.92</v>
      </c>
      <c r="R323" s="23"/>
      <c r="S323" s="130"/>
      <c r="T323" s="131">
        <v>113.92</v>
      </c>
      <c r="U323" s="23"/>
      <c r="V323" s="130"/>
      <c r="W323" s="131">
        <v>113.92</v>
      </c>
      <c r="X323" s="23"/>
      <c r="Y323" s="130"/>
      <c r="Z323" s="131">
        <v>113.92</v>
      </c>
      <c r="AA323" s="23"/>
      <c r="AB323" s="130"/>
      <c r="AC323" s="131">
        <f>+[1]VOLKS!$L$320</f>
        <v>113.92</v>
      </c>
      <c r="AD323" s="23"/>
      <c r="AE323" s="130"/>
      <c r="AF323" s="131">
        <v>140.24615384615385</v>
      </c>
      <c r="AG323" s="23"/>
      <c r="AH323" s="130"/>
      <c r="AI323" s="131">
        <v>175.30769230769232</v>
      </c>
      <c r="AJ323" s="23"/>
      <c r="AK323" s="130"/>
      <c r="AL323" s="132">
        <v>140.24615384615385</v>
      </c>
      <c r="AM323" s="23"/>
      <c r="AN323" s="130"/>
      <c r="AO323" s="132">
        <v>140.24615384615385</v>
      </c>
      <c r="AQ323" s="133"/>
      <c r="AR323" s="134"/>
      <c r="AS323" s="135">
        <f t="shared" si="494"/>
        <v>911.3599999999999</v>
      </c>
      <c r="AU323" s="133"/>
      <c r="AV323" s="134"/>
      <c r="AW323" s="135">
        <f t="shared" si="495"/>
        <v>596.04615384615386</v>
      </c>
      <c r="AY323" s="133"/>
      <c r="AZ323" s="134"/>
      <c r="BA323" s="135">
        <f>+[2]VOLKS!$L$320</f>
        <v>911.36</v>
      </c>
      <c r="BC323" s="133"/>
      <c r="BD323" s="134"/>
      <c r="BE323" s="136">
        <f t="shared" si="496"/>
        <v>0</v>
      </c>
    </row>
    <row r="324" spans="1:57" s="15" customFormat="1" ht="20.25">
      <c r="A324" s="15" t="s">
        <v>60</v>
      </c>
      <c r="B324" s="128" t="s">
        <v>63</v>
      </c>
      <c r="C324" s="34"/>
      <c r="D324" s="72"/>
      <c r="E324" s="104">
        <f>+SUM(H324,K324,N324,Q324,T324,W324,Z324,AC324,AF324,AI324,AL324,AO324)</f>
        <v>0</v>
      </c>
      <c r="F324" s="34"/>
      <c r="G324" s="72"/>
      <c r="H324" s="104">
        <v>0</v>
      </c>
      <c r="I324" s="34"/>
      <c r="J324" s="72"/>
      <c r="K324" s="104">
        <v>0</v>
      </c>
      <c r="L324" s="34"/>
      <c r="M324" s="72"/>
      <c r="N324" s="104">
        <v>0</v>
      </c>
      <c r="O324" s="34"/>
      <c r="P324" s="72"/>
      <c r="Q324" s="104">
        <v>0</v>
      </c>
      <c r="R324" s="34"/>
      <c r="S324" s="72"/>
      <c r="T324" s="104">
        <v>0</v>
      </c>
      <c r="U324" s="34"/>
      <c r="V324" s="72"/>
      <c r="W324" s="104">
        <v>0</v>
      </c>
      <c r="X324" s="34"/>
      <c r="Y324" s="72"/>
      <c r="Z324" s="104">
        <v>0</v>
      </c>
      <c r="AA324" s="34"/>
      <c r="AB324" s="72"/>
      <c r="AC324" s="104">
        <f>+[1]VOLKS!$L$321</f>
        <v>0</v>
      </c>
      <c r="AD324" s="34"/>
      <c r="AE324" s="72"/>
      <c r="AF324" s="104">
        <v>0</v>
      </c>
      <c r="AG324" s="34"/>
      <c r="AH324" s="72"/>
      <c r="AI324" s="104">
        <v>0</v>
      </c>
      <c r="AJ324" s="34"/>
      <c r="AK324" s="72"/>
      <c r="AL324" s="105">
        <v>0</v>
      </c>
      <c r="AM324" s="34"/>
      <c r="AN324" s="72"/>
      <c r="AO324" s="105">
        <v>0</v>
      </c>
      <c r="AQ324" s="53"/>
      <c r="AR324" s="74"/>
      <c r="AS324" s="108">
        <f t="shared" si="494"/>
        <v>0</v>
      </c>
      <c r="AU324" s="53"/>
      <c r="AV324" s="74"/>
      <c r="AW324" s="108">
        <f t="shared" si="495"/>
        <v>0</v>
      </c>
      <c r="AY324" s="53"/>
      <c r="AZ324" s="74"/>
      <c r="BA324" s="108">
        <f>+[2]VOLKS!$L$321</f>
        <v>0</v>
      </c>
      <c r="BC324" s="53"/>
      <c r="BD324" s="74"/>
      <c r="BE324" s="109">
        <f t="shared" si="496"/>
        <v>0</v>
      </c>
    </row>
    <row r="325" spans="1:57" s="15" customFormat="1" ht="20.25" hidden="1" customHeight="1">
      <c r="B325" s="34"/>
      <c r="C325" s="34"/>
      <c r="D325" s="72"/>
      <c r="E325" s="104"/>
      <c r="F325" s="34"/>
      <c r="G325" s="72"/>
      <c r="H325" s="104"/>
      <c r="I325" s="34"/>
      <c r="J325" s="72"/>
      <c r="K325" s="104"/>
      <c r="L325" s="34"/>
      <c r="M325" s="72"/>
      <c r="N325" s="104"/>
      <c r="O325" s="34"/>
      <c r="P325" s="72"/>
      <c r="Q325" s="104"/>
      <c r="R325" s="34"/>
      <c r="S325" s="72"/>
      <c r="T325" s="104"/>
      <c r="U325" s="34"/>
      <c r="V325" s="72"/>
      <c r="W325" s="104"/>
      <c r="X325" s="34"/>
      <c r="Y325" s="72"/>
      <c r="Z325" s="104"/>
      <c r="AA325" s="34"/>
      <c r="AB325" s="72"/>
      <c r="AC325" s="104"/>
      <c r="AD325" s="34"/>
      <c r="AE325" s="72"/>
      <c r="AF325" s="104"/>
      <c r="AG325" s="34"/>
      <c r="AH325" s="72"/>
      <c r="AI325" s="104"/>
      <c r="AJ325" s="34"/>
      <c r="AK325" s="72"/>
      <c r="AL325" s="105"/>
      <c r="AM325" s="34"/>
      <c r="AN325" s="72"/>
      <c r="AO325" s="105"/>
      <c r="AQ325" s="53"/>
      <c r="AR325" s="74"/>
      <c r="AS325" s="108"/>
      <c r="AU325" s="53"/>
      <c r="AV325" s="74"/>
      <c r="AW325" s="108"/>
      <c r="AY325" s="53"/>
      <c r="AZ325" s="74"/>
      <c r="BA325" s="108"/>
      <c r="BC325" s="53"/>
      <c r="BD325" s="74"/>
      <c r="BE325" s="109"/>
    </row>
    <row r="326" spans="1:57" s="15" customFormat="1" ht="20.25" hidden="1" customHeight="1">
      <c r="B326" s="34"/>
      <c r="C326" s="34"/>
      <c r="D326" s="72"/>
      <c r="E326" s="104"/>
      <c r="F326" s="34"/>
      <c r="G326" s="72"/>
      <c r="H326" s="104"/>
      <c r="I326" s="34"/>
      <c r="J326" s="72"/>
      <c r="K326" s="104"/>
      <c r="L326" s="34"/>
      <c r="M326" s="72"/>
      <c r="N326" s="104"/>
      <c r="O326" s="34"/>
      <c r="P326" s="72"/>
      <c r="Q326" s="104"/>
      <c r="R326" s="34"/>
      <c r="S326" s="72"/>
      <c r="T326" s="104"/>
      <c r="U326" s="34"/>
      <c r="V326" s="72"/>
      <c r="W326" s="104"/>
      <c r="X326" s="34"/>
      <c r="Y326" s="72"/>
      <c r="Z326" s="104"/>
      <c r="AA326" s="34"/>
      <c r="AB326" s="72"/>
      <c r="AC326" s="104"/>
      <c r="AD326" s="34"/>
      <c r="AE326" s="72"/>
      <c r="AF326" s="104"/>
      <c r="AG326" s="34"/>
      <c r="AH326" s="72"/>
      <c r="AI326" s="104"/>
      <c r="AJ326" s="34"/>
      <c r="AK326" s="72"/>
      <c r="AL326" s="105"/>
      <c r="AM326" s="34"/>
      <c r="AN326" s="72"/>
      <c r="AO326" s="105"/>
      <c r="AQ326" s="53"/>
      <c r="AR326" s="74"/>
      <c r="AS326" s="108"/>
      <c r="AU326" s="53"/>
      <c r="AV326" s="74"/>
      <c r="AW326" s="108"/>
      <c r="AY326" s="53"/>
      <c r="AZ326" s="74"/>
      <c r="BA326" s="108"/>
      <c r="BC326" s="53"/>
      <c r="BD326" s="74"/>
      <c r="BE326" s="109"/>
    </row>
    <row r="327" spans="1:57" s="15" customFormat="1" ht="20.25" hidden="1" customHeight="1">
      <c r="B327" s="34"/>
      <c r="C327" s="34"/>
      <c r="D327" s="72"/>
      <c r="E327" s="104"/>
      <c r="F327" s="34"/>
      <c r="G327" s="72"/>
      <c r="H327" s="104"/>
      <c r="I327" s="34"/>
      <c r="J327" s="72"/>
      <c r="K327" s="104"/>
      <c r="L327" s="34"/>
      <c r="M327" s="72"/>
      <c r="N327" s="104"/>
      <c r="O327" s="34"/>
      <c r="P327" s="72"/>
      <c r="Q327" s="104"/>
      <c r="R327" s="34"/>
      <c r="S327" s="72"/>
      <c r="T327" s="104"/>
      <c r="U327" s="34"/>
      <c r="V327" s="72"/>
      <c r="W327" s="104"/>
      <c r="X327" s="34"/>
      <c r="Y327" s="72"/>
      <c r="Z327" s="104"/>
      <c r="AA327" s="34"/>
      <c r="AB327" s="72"/>
      <c r="AC327" s="104"/>
      <c r="AD327" s="34"/>
      <c r="AE327" s="72"/>
      <c r="AF327" s="104"/>
      <c r="AG327" s="34"/>
      <c r="AH327" s="72"/>
      <c r="AI327" s="104"/>
      <c r="AJ327" s="34"/>
      <c r="AK327" s="72"/>
      <c r="AL327" s="105"/>
      <c r="AM327" s="34"/>
      <c r="AN327" s="72"/>
      <c r="AO327" s="105"/>
      <c r="AQ327" s="53"/>
      <c r="AR327" s="74"/>
      <c r="AS327" s="108"/>
      <c r="AU327" s="53"/>
      <c r="AV327" s="74"/>
      <c r="AW327" s="108"/>
      <c r="AY327" s="53"/>
      <c r="AZ327" s="74"/>
      <c r="BA327" s="108"/>
      <c r="BC327" s="53"/>
      <c r="BD327" s="74"/>
      <c r="BE327" s="109"/>
    </row>
    <row r="328" spans="1:57" s="15" customFormat="1" ht="20.25">
      <c r="A328" s="15" t="s">
        <v>64</v>
      </c>
      <c r="B328" s="129" t="s">
        <v>65</v>
      </c>
      <c r="C328" s="34"/>
      <c r="D328" s="72"/>
      <c r="E328" s="104">
        <f>+SUM(H328,K328,N328,Q328,T328,W328,Z328,AC328,AF328,AI328,AL328,AO328)</f>
        <v>49499.943322907704</v>
      </c>
      <c r="F328" s="34"/>
      <c r="G328" s="72"/>
      <c r="H328" s="104">
        <v>5295.44</v>
      </c>
      <c r="I328" s="34"/>
      <c r="J328" s="72"/>
      <c r="K328" s="104">
        <v>3031.99</v>
      </c>
      <c r="L328" s="34"/>
      <c r="M328" s="72"/>
      <c r="N328" s="104">
        <v>3793.81</v>
      </c>
      <c r="O328" s="34"/>
      <c r="P328" s="72"/>
      <c r="Q328" s="104">
        <v>4453.74</v>
      </c>
      <c r="R328" s="34"/>
      <c r="S328" s="72"/>
      <c r="T328" s="104">
        <v>4518.67</v>
      </c>
      <c r="U328" s="34"/>
      <c r="V328" s="72"/>
      <c r="W328" s="104">
        <v>3502.47</v>
      </c>
      <c r="X328" s="34"/>
      <c r="Y328" s="72"/>
      <c r="Z328" s="104">
        <v>3917.79</v>
      </c>
      <c r="AA328" s="34"/>
      <c r="AB328" s="72"/>
      <c r="AC328" s="104">
        <f>+[1]VOLKS!$L$325</f>
        <v>3562.92</v>
      </c>
      <c r="AD328" s="34"/>
      <c r="AE328" s="72"/>
      <c r="AF328" s="104">
        <v>4125.0641995076921</v>
      </c>
      <c r="AG328" s="34"/>
      <c r="AH328" s="72"/>
      <c r="AI328" s="104">
        <v>5047.9207243846158</v>
      </c>
      <c r="AJ328" s="34"/>
      <c r="AK328" s="72"/>
      <c r="AL328" s="105">
        <v>4125.0641995076921</v>
      </c>
      <c r="AM328" s="34"/>
      <c r="AN328" s="72"/>
      <c r="AO328" s="105">
        <v>4125.0641995076921</v>
      </c>
      <c r="AQ328" s="53"/>
      <c r="AR328" s="74"/>
      <c r="AS328" s="108">
        <f t="shared" si="494"/>
        <v>32076.83</v>
      </c>
      <c r="AU328" s="53"/>
      <c r="AV328" s="74"/>
      <c r="AW328" s="108">
        <f t="shared" si="495"/>
        <v>17423.113322907691</v>
      </c>
      <c r="AY328" s="53"/>
      <c r="AZ328" s="74"/>
      <c r="BA328" s="108">
        <f>+[2]VOLKS!$L$325</f>
        <v>32076.83</v>
      </c>
      <c r="BC328" s="53"/>
      <c r="BD328" s="74"/>
      <c r="BE328" s="109">
        <f t="shared" si="496"/>
        <v>0</v>
      </c>
    </row>
    <row r="329" spans="1:57" s="15" customFormat="1" ht="20.25">
      <c r="A329" s="15" t="s">
        <v>66</v>
      </c>
      <c r="B329" s="128" t="s">
        <v>67</v>
      </c>
      <c r="C329" s="23"/>
      <c r="D329" s="130"/>
      <c r="E329" s="131">
        <f t="shared" ref="E329:E331" si="497">+SUM(H329,K329,N329,Q329,T329,W329,Z329,AC329,AF329,AI329,AL329,AO329)</f>
        <v>74435.129678953846</v>
      </c>
      <c r="F329" s="23"/>
      <c r="G329" s="130"/>
      <c r="H329" s="131">
        <v>9261.6</v>
      </c>
      <c r="I329" s="23"/>
      <c r="J329" s="130"/>
      <c r="K329" s="131">
        <v>8266.7199999999993</v>
      </c>
      <c r="L329" s="23"/>
      <c r="M329" s="130"/>
      <c r="N329" s="131">
        <v>4791.7</v>
      </c>
      <c r="O329" s="23"/>
      <c r="P329" s="130"/>
      <c r="Q329" s="131">
        <v>4954.4799999999996</v>
      </c>
      <c r="R329" s="23"/>
      <c r="S329" s="130"/>
      <c r="T329" s="336">
        <v>6165.28</v>
      </c>
      <c r="U329" s="23"/>
      <c r="V329" s="130"/>
      <c r="W329" s="131">
        <v>8011.01</v>
      </c>
      <c r="X329" s="23"/>
      <c r="Y329" s="130"/>
      <c r="Z329" s="131">
        <v>6835.35</v>
      </c>
      <c r="AA329" s="23"/>
      <c r="AB329" s="130"/>
      <c r="AC329" s="131">
        <f>+[1]VOLKS!$L$326</f>
        <v>4964.9399999999996</v>
      </c>
      <c r="AD329" s="23"/>
      <c r="AE329" s="130"/>
      <c r="AF329" s="131">
        <v>5015.4965597538467</v>
      </c>
      <c r="AG329" s="23"/>
      <c r="AH329" s="130"/>
      <c r="AI329" s="131">
        <v>6137.5599996923083</v>
      </c>
      <c r="AJ329" s="23"/>
      <c r="AK329" s="130"/>
      <c r="AL329" s="132">
        <v>5015.4965597538467</v>
      </c>
      <c r="AM329" s="23"/>
      <c r="AN329" s="130"/>
      <c r="AO329" s="132">
        <v>5015.4965597538467</v>
      </c>
      <c r="AQ329" s="133"/>
      <c r="AR329" s="134"/>
      <c r="AS329" s="135">
        <f t="shared" si="494"/>
        <v>53251.08</v>
      </c>
      <c r="AU329" s="133"/>
      <c r="AV329" s="134"/>
      <c r="AW329" s="135">
        <f t="shared" si="495"/>
        <v>21184.049678953848</v>
      </c>
      <c r="AY329" s="133"/>
      <c r="AZ329" s="134"/>
      <c r="BA329" s="135">
        <f>+[2]VOLKS!$L$326</f>
        <v>53251.08</v>
      </c>
      <c r="BC329" s="133"/>
      <c r="BD329" s="134"/>
      <c r="BE329" s="136">
        <f t="shared" si="496"/>
        <v>0</v>
      </c>
    </row>
    <row r="330" spans="1:57" s="15" customFormat="1" ht="20.25">
      <c r="A330" s="15" t="s">
        <v>68</v>
      </c>
      <c r="B330" s="137" t="s">
        <v>69</v>
      </c>
      <c r="C330" s="34"/>
      <c r="D330" s="72"/>
      <c r="E330" s="104">
        <f t="shared" si="497"/>
        <v>20828.020812852308</v>
      </c>
      <c r="F330" s="34"/>
      <c r="G330" s="72"/>
      <c r="H330" s="104">
        <v>2134.81</v>
      </c>
      <c r="I330" s="34"/>
      <c r="J330" s="72"/>
      <c r="K330" s="104">
        <v>1589.14</v>
      </c>
      <c r="L330" s="34"/>
      <c r="M330" s="72"/>
      <c r="N330" s="104">
        <v>1593.34</v>
      </c>
      <c r="O330" s="34"/>
      <c r="P330" s="72"/>
      <c r="Q330" s="104">
        <v>1601.67</v>
      </c>
      <c r="R330" s="34"/>
      <c r="S330" s="72"/>
      <c r="T330" s="104">
        <v>1705.62</v>
      </c>
      <c r="U330" s="34"/>
      <c r="V330" s="72"/>
      <c r="W330" s="104">
        <v>-1280.45</v>
      </c>
      <c r="X330" s="34"/>
      <c r="Y330" s="72"/>
      <c r="Z330" s="104">
        <v>756.55</v>
      </c>
      <c r="AA330" s="34"/>
      <c r="AB330" s="72"/>
      <c r="AC330" s="104">
        <f>+[1]VOLKS!$L$327</f>
        <v>1812.95</v>
      </c>
      <c r="AD330" s="34"/>
      <c r="AE330" s="72"/>
      <c r="AF330" s="104">
        <v>2584.0710536123074</v>
      </c>
      <c r="AG330" s="34"/>
      <c r="AH330" s="72"/>
      <c r="AI330" s="104">
        <v>3162.1776520153844</v>
      </c>
      <c r="AJ330" s="34"/>
      <c r="AK330" s="72"/>
      <c r="AL330" s="105">
        <v>2584.0710536123074</v>
      </c>
      <c r="AM330" s="34"/>
      <c r="AN330" s="72"/>
      <c r="AO330" s="105">
        <v>2584.0710536123074</v>
      </c>
      <c r="AQ330" s="53"/>
      <c r="AR330" s="74"/>
      <c r="AS330" s="108">
        <f t="shared" si="494"/>
        <v>9913.630000000001</v>
      </c>
      <c r="AU330" s="53"/>
      <c r="AV330" s="74"/>
      <c r="AW330" s="108">
        <f t="shared" si="495"/>
        <v>10914.390812852307</v>
      </c>
      <c r="AY330" s="53"/>
      <c r="AZ330" s="74"/>
      <c r="BA330" s="108">
        <f>+[2]VOLKS!$L$327</f>
        <v>9913.6299999999992</v>
      </c>
      <c r="BC330" s="53"/>
      <c r="BD330" s="74"/>
      <c r="BE330" s="109">
        <f t="shared" si="496"/>
        <v>0</v>
      </c>
    </row>
    <row r="331" spans="1:57" s="15" customFormat="1" ht="20.25">
      <c r="A331" s="15" t="s">
        <v>70</v>
      </c>
      <c r="B331" s="128" t="s">
        <v>71</v>
      </c>
      <c r="C331" s="34"/>
      <c r="D331" s="72"/>
      <c r="E331" s="104">
        <f t="shared" si="497"/>
        <v>14533.475797446152</v>
      </c>
      <c r="F331" s="34"/>
      <c r="G331" s="72"/>
      <c r="H331" s="104">
        <v>1160.49</v>
      </c>
      <c r="I331" s="34"/>
      <c r="J331" s="72"/>
      <c r="K331" s="104">
        <v>1613.73</v>
      </c>
      <c r="L331" s="34"/>
      <c r="M331" s="72"/>
      <c r="N331" s="104">
        <v>1136.6600000000001</v>
      </c>
      <c r="O331" s="34"/>
      <c r="P331" s="72"/>
      <c r="Q331" s="104">
        <v>1626.85</v>
      </c>
      <c r="R331" s="34"/>
      <c r="S331" s="72"/>
      <c r="T331" s="242">
        <v>1138</v>
      </c>
      <c r="U331" s="34"/>
      <c r="V331" s="72"/>
      <c r="W331" s="104">
        <v>839.5</v>
      </c>
      <c r="X331" s="34"/>
      <c r="Y331" s="72"/>
      <c r="Z331" s="104">
        <v>1425.7</v>
      </c>
      <c r="AA331" s="34"/>
      <c r="AB331" s="72"/>
      <c r="AC331" s="104">
        <f>+[1]VOLKS!$L$328</f>
        <v>833.81</v>
      </c>
      <c r="AD331" s="34"/>
      <c r="AE331" s="72"/>
      <c r="AF331" s="104">
        <v>1126.6695170461537</v>
      </c>
      <c r="AG331" s="34"/>
      <c r="AH331" s="72"/>
      <c r="AI331" s="104">
        <v>1378.7272463076922</v>
      </c>
      <c r="AJ331" s="34"/>
      <c r="AK331" s="72"/>
      <c r="AL331" s="105">
        <v>1126.6695170461537</v>
      </c>
      <c r="AM331" s="34"/>
      <c r="AN331" s="72"/>
      <c r="AO331" s="105">
        <v>1126.6695170461537</v>
      </c>
      <c r="AQ331" s="53"/>
      <c r="AR331" s="74"/>
      <c r="AS331" s="108">
        <f t="shared" si="494"/>
        <v>9774.74</v>
      </c>
      <c r="AU331" s="53"/>
      <c r="AV331" s="74"/>
      <c r="AW331" s="108">
        <f t="shared" si="495"/>
        <v>4758.7357974461529</v>
      </c>
      <c r="AY331" s="53"/>
      <c r="AZ331" s="74"/>
      <c r="BA331" s="108">
        <f>+[2]VOLKS!$L$328</f>
        <v>9774.74</v>
      </c>
      <c r="BC331" s="53"/>
      <c r="BD331" s="74"/>
      <c r="BE331" s="109">
        <f t="shared" si="496"/>
        <v>0</v>
      </c>
    </row>
    <row r="332" spans="1:57" s="15" customFormat="1" ht="20.25" customHeight="1">
      <c r="B332" s="34"/>
      <c r="C332" s="28"/>
      <c r="D332" s="138"/>
      <c r="E332" s="139"/>
      <c r="F332" s="28"/>
      <c r="G332" s="138"/>
      <c r="H332" s="139"/>
      <c r="I332" s="28"/>
      <c r="J332" s="138"/>
      <c r="K332" s="139"/>
      <c r="L332" s="28"/>
      <c r="M332" s="138"/>
      <c r="N332" s="139"/>
      <c r="O332" s="28"/>
      <c r="P332" s="138"/>
      <c r="Q332" s="139"/>
      <c r="R332" s="28"/>
      <c r="S332" s="138"/>
      <c r="T332" s="139"/>
      <c r="U332" s="28"/>
      <c r="V332" s="138"/>
      <c r="W332" s="139"/>
      <c r="X332" s="28"/>
      <c r="Y332" s="138"/>
      <c r="Z332" s="139"/>
      <c r="AA332" s="28"/>
      <c r="AB332" s="138"/>
      <c r="AC332" s="139"/>
      <c r="AD332" s="28"/>
      <c r="AE332" s="138"/>
      <c r="AF332" s="139"/>
      <c r="AG332" s="28"/>
      <c r="AH332" s="138"/>
      <c r="AI332" s="139"/>
      <c r="AJ332" s="28"/>
      <c r="AK332" s="138"/>
      <c r="AL332" s="337"/>
      <c r="AM332" s="28"/>
      <c r="AN332" s="138"/>
      <c r="AO332" s="337"/>
      <c r="AQ332" s="119"/>
      <c r="AR332" s="140"/>
      <c r="AS332" s="338"/>
      <c r="AU332" s="119"/>
      <c r="AV332" s="140"/>
      <c r="AW332" s="338"/>
      <c r="AY332" s="119"/>
      <c r="AZ332" s="140"/>
      <c r="BA332" s="338"/>
      <c r="BC332" s="119"/>
      <c r="BD332" s="140"/>
      <c r="BE332" s="339"/>
    </row>
    <row r="333" spans="1:57" s="15" customFormat="1" ht="20.25">
      <c r="A333" s="15" t="s">
        <v>27</v>
      </c>
      <c r="B333" s="120" t="s">
        <v>72</v>
      </c>
      <c r="C333" s="121" t="s">
        <v>57</v>
      </c>
      <c r="D333" s="122">
        <f>IFERROR(E333/E$317,0)</f>
        <v>0.36092877023354086</v>
      </c>
      <c r="E333" s="123">
        <f>+SUM(E321:E332)</f>
        <v>579269.30213523703</v>
      </c>
      <c r="F333" s="121"/>
      <c r="G333" s="122"/>
      <c r="H333" s="123">
        <v>55888.6899999999</v>
      </c>
      <c r="I333" s="121"/>
      <c r="J333" s="122"/>
      <c r="K333" s="123">
        <v>48551.14</v>
      </c>
      <c r="L333" s="121"/>
      <c r="M333" s="122"/>
      <c r="N333" s="123">
        <v>46759.589999999902</v>
      </c>
      <c r="O333" s="121"/>
      <c r="P333" s="122"/>
      <c r="Q333" s="123">
        <v>45481.24</v>
      </c>
      <c r="R333" s="121"/>
      <c r="S333" s="122"/>
      <c r="T333" s="123">
        <v>54215.519999999997</v>
      </c>
      <c r="U333" s="121"/>
      <c r="V333" s="122"/>
      <c r="W333" s="124">
        <v>44217.45</v>
      </c>
      <c r="X333" s="121"/>
      <c r="Y333" s="122"/>
      <c r="Z333" s="124">
        <v>44230.3299999999</v>
      </c>
      <c r="AA333" s="121"/>
      <c r="AB333" s="122"/>
      <c r="AC333" s="124">
        <f>+[1]VOLKS!$L$330</f>
        <v>44346.599999999897</v>
      </c>
      <c r="AD333" s="121" t="s">
        <v>57</v>
      </c>
      <c r="AE333" s="122">
        <v>0.39358479504554217</v>
      </c>
      <c r="AF333" s="123">
        <f>SUM(AF321:AF332)</f>
        <v>46292.325452996927</v>
      </c>
      <c r="AG333" s="121" t="s">
        <v>57</v>
      </c>
      <c r="AH333" s="122">
        <v>0.36245058172643441</v>
      </c>
      <c r="AI333" s="123">
        <f>SUM(AI321:AI332)</f>
        <v>56701.765776246168</v>
      </c>
      <c r="AJ333" s="121" t="s">
        <v>57</v>
      </c>
      <c r="AK333" s="122">
        <v>0.25443974303397004</v>
      </c>
      <c r="AL333" s="123">
        <f>SUM(AL321:AL332)</f>
        <v>46292.325452996927</v>
      </c>
      <c r="AM333" s="121" t="s">
        <v>57</v>
      </c>
      <c r="AN333" s="122">
        <v>0.41406547194652632</v>
      </c>
      <c r="AO333" s="123">
        <f>SUM(AO321:AO332)</f>
        <v>46292.325452996927</v>
      </c>
      <c r="AQ333" s="121" t="s">
        <v>57</v>
      </c>
      <c r="AR333" s="125">
        <f t="shared" ref="AR333" si="498">IFERROR(AS333/AS$317,0)</f>
        <v>0.37367482293469412</v>
      </c>
      <c r="AS333" s="126">
        <f>+SUM(AS321:AS332)</f>
        <v>383690.56000000006</v>
      </c>
      <c r="AU333" s="121" t="s">
        <v>57</v>
      </c>
      <c r="AV333" s="125">
        <f t="shared" ref="AV333" si="499">IFERROR(AW333/AW$317,0)</f>
        <v>0.33829109115127687</v>
      </c>
      <c r="AW333" s="126">
        <f>+SUM(AW321:AW332)</f>
        <v>195578.74213523694</v>
      </c>
      <c r="AY333" s="121"/>
      <c r="AZ333" s="125"/>
      <c r="BA333" s="126">
        <f>+[2]VOLKS!$L$330</f>
        <v>383690.56</v>
      </c>
      <c r="BC333" s="121" t="s">
        <v>57</v>
      </c>
      <c r="BD333" s="125"/>
      <c r="BE333" s="127">
        <f>+SUM(BE321:BE332)</f>
        <v>0</v>
      </c>
    </row>
    <row r="334" spans="1:57" s="15" customFormat="1" ht="20.25">
      <c r="A334" s="15" t="s">
        <v>52</v>
      </c>
      <c r="B334" s="304" t="s">
        <v>73</v>
      </c>
      <c r="C334" s="34"/>
      <c r="D334" s="72"/>
      <c r="E334" s="104">
        <f t="shared" ref="E334:E348" si="500">+SUM(H334,K334,N334,Q334,T334,W334,Z334,AC334,AF334,AI334,AL334,AO334)</f>
        <v>75838.671950501463</v>
      </c>
      <c r="F334" s="34"/>
      <c r="G334" s="72"/>
      <c r="H334" s="104">
        <v>7036.21</v>
      </c>
      <c r="I334" s="34"/>
      <c r="J334" s="72"/>
      <c r="K334" s="104">
        <v>2753.47</v>
      </c>
      <c r="L334" s="34"/>
      <c r="M334" s="72"/>
      <c r="N334" s="104">
        <v>5459.85</v>
      </c>
      <c r="O334" s="34"/>
      <c r="P334" s="72"/>
      <c r="Q334" s="104">
        <v>12743.83</v>
      </c>
      <c r="R334" s="34"/>
      <c r="S334" s="72"/>
      <c r="T334" s="104">
        <v>7263.68</v>
      </c>
      <c r="U334" s="34"/>
      <c r="V334" s="72"/>
      <c r="W334" s="104">
        <v>1697.62</v>
      </c>
      <c r="X334" s="34"/>
      <c r="Y334" s="72"/>
      <c r="Z334" s="104">
        <v>2995.28</v>
      </c>
      <c r="AA334" s="34"/>
      <c r="AB334" s="72"/>
      <c r="AC334" s="104">
        <f>+[1]VOLKS!$L$331</f>
        <v>5154.0600000000004</v>
      </c>
      <c r="AD334" s="34"/>
      <c r="AE334" s="72"/>
      <c r="AF334" s="242">
        <f>3927.96763628927+2000</f>
        <v>5927.9676362892696</v>
      </c>
      <c r="AG334" s="34"/>
      <c r="AH334" s="72"/>
      <c r="AI334" s="242">
        <f>5497.93792219322+2000</f>
        <v>7497.9379221932204</v>
      </c>
      <c r="AJ334" s="34"/>
      <c r="AK334" s="72"/>
      <c r="AL334" s="242">
        <f>9787.2583975729+2000</f>
        <v>11787.258397572899</v>
      </c>
      <c r="AM334" s="34"/>
      <c r="AN334" s="72"/>
      <c r="AO334" s="242">
        <f>3521.50799444607+2000</f>
        <v>5521.5079944460704</v>
      </c>
      <c r="AQ334" s="53"/>
      <c r="AR334" s="74"/>
      <c r="AS334" s="108">
        <f t="shared" ref="AS334:AS348" si="501">SUMIFS(F334:AO334,$F$7:$AO$7,"$PROFITS",$F$3:$AO$3,"RÉEL")</f>
        <v>45104</v>
      </c>
      <c r="AU334" s="53"/>
      <c r="AV334" s="74"/>
      <c r="AW334" s="108">
        <f t="shared" ref="AW334:AW348" si="502">SUMIFS(F334:AO334,$F$7:$AO$7,"$PROFITS",$F$3:$AO$3,"BUDGET")</f>
        <v>30734.671950501459</v>
      </c>
      <c r="AY334" s="53"/>
      <c r="AZ334" s="74"/>
      <c r="BA334" s="108">
        <f>+[2]VOLKS!$L$331</f>
        <v>45104</v>
      </c>
      <c r="BC334" s="53"/>
      <c r="BD334" s="74"/>
      <c r="BE334" s="109">
        <f t="shared" ref="BE334:BE348" si="503">+BA334-AS334</f>
        <v>0</v>
      </c>
    </row>
    <row r="335" spans="1:57" s="15" customFormat="1" ht="20.25">
      <c r="A335" s="15" t="s">
        <v>49</v>
      </c>
      <c r="B335" s="128" t="s">
        <v>74</v>
      </c>
      <c r="C335" s="34"/>
      <c r="D335" s="72"/>
      <c r="E335" s="104">
        <f t="shared" si="500"/>
        <v>14673.813112805708</v>
      </c>
      <c r="F335" s="34"/>
      <c r="G335" s="72"/>
      <c r="H335" s="104">
        <v>269.95</v>
      </c>
      <c r="I335" s="34"/>
      <c r="J335" s="72"/>
      <c r="K335" s="104">
        <v>6048.78</v>
      </c>
      <c r="L335" s="34"/>
      <c r="M335" s="72"/>
      <c r="N335" s="104">
        <v>271.33</v>
      </c>
      <c r="O335" s="34"/>
      <c r="P335" s="72"/>
      <c r="Q335" s="104">
        <v>669.47</v>
      </c>
      <c r="R335" s="34"/>
      <c r="S335" s="72"/>
      <c r="T335" s="104">
        <v>522.87</v>
      </c>
      <c r="U335" s="34"/>
      <c r="V335" s="72"/>
      <c r="W335" s="104">
        <v>4182.3</v>
      </c>
      <c r="X335" s="34"/>
      <c r="Y335" s="72"/>
      <c r="Z335" s="104">
        <v>517.6</v>
      </c>
      <c r="AA335" s="34"/>
      <c r="AB335" s="72"/>
      <c r="AC335" s="104">
        <f>+[1]VOLKS!$L$332</f>
        <v>-54.59</v>
      </c>
      <c r="AD335" s="34"/>
      <c r="AE335" s="72"/>
      <c r="AF335" s="104">
        <v>561.52577820142733</v>
      </c>
      <c r="AG335" s="34"/>
      <c r="AH335" s="72"/>
      <c r="AI335" s="104">
        <v>561.52577820142733</v>
      </c>
      <c r="AJ335" s="34"/>
      <c r="AK335" s="72"/>
      <c r="AL335" s="105">
        <v>561.52577820142733</v>
      </c>
      <c r="AM335" s="34"/>
      <c r="AN335" s="72"/>
      <c r="AO335" s="105">
        <v>561.52577820142733</v>
      </c>
      <c r="AQ335" s="53"/>
      <c r="AR335" s="74"/>
      <c r="AS335" s="108">
        <f t="shared" si="501"/>
        <v>12427.710000000001</v>
      </c>
      <c r="AU335" s="53"/>
      <c r="AV335" s="74"/>
      <c r="AW335" s="108">
        <f t="shared" si="502"/>
        <v>2246.1031128057093</v>
      </c>
      <c r="AY335" s="53"/>
      <c r="AZ335" s="74"/>
      <c r="BA335" s="108">
        <f>+[2]VOLKS!$L$332</f>
        <v>12427.71</v>
      </c>
      <c r="BC335" s="53"/>
      <c r="BD335" s="74"/>
      <c r="BE335" s="109">
        <f t="shared" si="503"/>
        <v>0</v>
      </c>
    </row>
    <row r="336" spans="1:57" s="15" customFormat="1" ht="20.25">
      <c r="A336" s="15" t="s">
        <v>75</v>
      </c>
      <c r="B336" s="129" t="s">
        <v>76</v>
      </c>
      <c r="C336" s="28"/>
      <c r="D336" s="138"/>
      <c r="E336" s="112">
        <f t="shared" si="500"/>
        <v>14779.761955555554</v>
      </c>
      <c r="F336" s="28"/>
      <c r="G336" s="138"/>
      <c r="H336" s="112">
        <v>1353.63</v>
      </c>
      <c r="I336" s="28"/>
      <c r="J336" s="138"/>
      <c r="K336" s="112">
        <v>1170.8399999999999</v>
      </c>
      <c r="L336" s="28"/>
      <c r="M336" s="138"/>
      <c r="N336" s="112">
        <v>1170.8399999999999</v>
      </c>
      <c r="O336" s="28"/>
      <c r="P336" s="138"/>
      <c r="Q336" s="112">
        <v>1170.8399999999999</v>
      </c>
      <c r="R336" s="28"/>
      <c r="S336" s="138"/>
      <c r="T336" s="112">
        <v>1353.63</v>
      </c>
      <c r="U336" s="28"/>
      <c r="V336" s="138"/>
      <c r="W336" s="112">
        <v>1142.53</v>
      </c>
      <c r="X336" s="28"/>
      <c r="Y336" s="138"/>
      <c r="Z336" s="112">
        <v>1088.69</v>
      </c>
      <c r="AA336" s="28"/>
      <c r="AB336" s="138"/>
      <c r="AC336" s="112">
        <f>+[1]VOLKS!$L$333</f>
        <v>1271.48</v>
      </c>
      <c r="AD336" s="28"/>
      <c r="AE336" s="138"/>
      <c r="AF336" s="112">
        <v>1264.3204888888893</v>
      </c>
      <c r="AG336" s="28"/>
      <c r="AH336" s="138"/>
      <c r="AI336" s="112">
        <v>1264.3204888888893</v>
      </c>
      <c r="AJ336" s="28"/>
      <c r="AK336" s="138"/>
      <c r="AL336" s="113">
        <v>1264.3204888888893</v>
      </c>
      <c r="AM336" s="28"/>
      <c r="AN336" s="138"/>
      <c r="AO336" s="113">
        <v>1264.3204888888893</v>
      </c>
      <c r="AQ336" s="119"/>
      <c r="AR336" s="140"/>
      <c r="AS336" s="117">
        <f t="shared" si="501"/>
        <v>9722.48</v>
      </c>
      <c r="AU336" s="119"/>
      <c r="AV336" s="140"/>
      <c r="AW336" s="117">
        <f t="shared" si="502"/>
        <v>5057.281955555557</v>
      </c>
      <c r="AY336" s="119"/>
      <c r="AZ336" s="140"/>
      <c r="BA336" s="117">
        <f>+[2]VOLKS!$L$333</f>
        <v>9722.48</v>
      </c>
      <c r="BC336" s="119"/>
      <c r="BD336" s="140"/>
      <c r="BE336" s="118">
        <f t="shared" si="503"/>
        <v>0</v>
      </c>
    </row>
    <row r="337" spans="1:57" s="15" customFormat="1" ht="20.25">
      <c r="A337" s="15" t="s">
        <v>77</v>
      </c>
      <c r="B337" s="128" t="s">
        <v>78</v>
      </c>
      <c r="C337" s="34"/>
      <c r="D337" s="72"/>
      <c r="E337" s="104">
        <f t="shared" si="500"/>
        <v>77178.336955777806</v>
      </c>
      <c r="F337" s="34"/>
      <c r="G337" s="72"/>
      <c r="H337" s="104">
        <v>4192.93</v>
      </c>
      <c r="I337" s="34"/>
      <c r="J337" s="72"/>
      <c r="K337" s="104">
        <v>9396.99</v>
      </c>
      <c r="L337" s="34"/>
      <c r="M337" s="72"/>
      <c r="N337" s="104">
        <v>6976.03</v>
      </c>
      <c r="O337" s="34"/>
      <c r="P337" s="72"/>
      <c r="Q337" s="104">
        <v>5543.45</v>
      </c>
      <c r="R337" s="34"/>
      <c r="S337" s="72"/>
      <c r="T337" s="104">
        <v>7804.67</v>
      </c>
      <c r="U337" s="34"/>
      <c r="V337" s="72"/>
      <c r="W337" s="104">
        <v>5549.46</v>
      </c>
      <c r="X337" s="34"/>
      <c r="Y337" s="72"/>
      <c r="Z337" s="104">
        <v>5753.09</v>
      </c>
      <c r="AA337" s="34"/>
      <c r="AB337" s="72"/>
      <c r="AC337" s="104">
        <f>+[1]VOLKS!$L$334</f>
        <v>6163.09</v>
      </c>
      <c r="AD337" s="34"/>
      <c r="AE337" s="72"/>
      <c r="AF337" s="242">
        <f>4449.65673894445+2000</f>
        <v>6449.6567389444499</v>
      </c>
      <c r="AG337" s="34"/>
      <c r="AH337" s="72"/>
      <c r="AI337" s="242">
        <f>4449.65673894445+2000</f>
        <v>6449.6567389444499</v>
      </c>
      <c r="AJ337" s="34"/>
      <c r="AK337" s="72"/>
      <c r="AL337" s="242">
        <f>4449.65673894445+2000</f>
        <v>6449.6567389444499</v>
      </c>
      <c r="AM337" s="34"/>
      <c r="AN337" s="72"/>
      <c r="AO337" s="242">
        <f>4449.65673894445+2000</f>
        <v>6449.6567389444499</v>
      </c>
      <c r="AQ337" s="53"/>
      <c r="AR337" s="74"/>
      <c r="AS337" s="108">
        <f t="shared" si="501"/>
        <v>51379.709999999992</v>
      </c>
      <c r="AU337" s="53"/>
      <c r="AV337" s="74"/>
      <c r="AW337" s="108">
        <f t="shared" si="502"/>
        <v>25798.6269557778</v>
      </c>
      <c r="AY337" s="53"/>
      <c r="AZ337" s="74"/>
      <c r="BA337" s="108">
        <f>+[2]VOLKS!$L$334</f>
        <v>51379.71</v>
      </c>
      <c r="BC337" s="53"/>
      <c r="BD337" s="74"/>
      <c r="BE337" s="109">
        <f t="shared" si="503"/>
        <v>0</v>
      </c>
    </row>
    <row r="338" spans="1:57" s="15" customFormat="1" ht="20.25">
      <c r="A338" s="15" t="s">
        <v>79</v>
      </c>
      <c r="B338" s="128" t="s">
        <v>80</v>
      </c>
      <c r="C338" s="34"/>
      <c r="D338" s="72"/>
      <c r="E338" s="104">
        <f t="shared" si="500"/>
        <v>10492.635875507236</v>
      </c>
      <c r="F338" s="34"/>
      <c r="G338" s="72"/>
      <c r="H338" s="104">
        <v>1043.31</v>
      </c>
      <c r="I338" s="34"/>
      <c r="J338" s="72"/>
      <c r="K338" s="104">
        <v>728.54</v>
      </c>
      <c r="L338" s="34"/>
      <c r="M338" s="72"/>
      <c r="N338" s="104">
        <v>684.84</v>
      </c>
      <c r="O338" s="34"/>
      <c r="P338" s="72"/>
      <c r="Q338" s="104">
        <v>1020.62</v>
      </c>
      <c r="R338" s="34"/>
      <c r="S338" s="72"/>
      <c r="T338" s="104">
        <v>945.81</v>
      </c>
      <c r="U338" s="34"/>
      <c r="V338" s="72"/>
      <c r="W338" s="104">
        <v>1557.1</v>
      </c>
      <c r="X338" s="34"/>
      <c r="Y338" s="72"/>
      <c r="Z338" s="104">
        <v>641.58000000000004</v>
      </c>
      <c r="AA338" s="34"/>
      <c r="AB338" s="72"/>
      <c r="AC338" s="104">
        <f>+[1]VOLKS!$L$335</f>
        <v>597.73</v>
      </c>
      <c r="AD338" s="34"/>
      <c r="AE338" s="72"/>
      <c r="AF338" s="104">
        <v>818.27646887680896</v>
      </c>
      <c r="AG338" s="34"/>
      <c r="AH338" s="72"/>
      <c r="AI338" s="104">
        <v>818.27646887680896</v>
      </c>
      <c r="AJ338" s="34"/>
      <c r="AK338" s="72"/>
      <c r="AL338" s="105">
        <v>818.27646887680896</v>
      </c>
      <c r="AM338" s="34"/>
      <c r="AN338" s="72"/>
      <c r="AO338" s="105">
        <v>818.27646887680896</v>
      </c>
      <c r="AQ338" s="53"/>
      <c r="AR338" s="74"/>
      <c r="AS338" s="108">
        <f t="shared" si="501"/>
        <v>7219.5299999999988</v>
      </c>
      <c r="AU338" s="53"/>
      <c r="AV338" s="74"/>
      <c r="AW338" s="108">
        <f t="shared" si="502"/>
        <v>3273.1058755072359</v>
      </c>
      <c r="AY338" s="53"/>
      <c r="AZ338" s="74"/>
      <c r="BA338" s="108">
        <f>+[2]VOLKS!$L$335</f>
        <v>7219.53</v>
      </c>
      <c r="BC338" s="53"/>
      <c r="BD338" s="74"/>
      <c r="BE338" s="109">
        <f t="shared" si="503"/>
        <v>0</v>
      </c>
    </row>
    <row r="339" spans="1:57" s="15" customFormat="1" ht="20.25">
      <c r="A339" s="15" t="s">
        <v>81</v>
      </c>
      <c r="B339" s="128" t="s">
        <v>82</v>
      </c>
      <c r="C339" s="28"/>
      <c r="D339" s="138"/>
      <c r="E339" s="112">
        <f t="shared" si="500"/>
        <v>170813.65350906082</v>
      </c>
      <c r="F339" s="28"/>
      <c r="G339" s="138"/>
      <c r="H339" s="112">
        <v>14123.46</v>
      </c>
      <c r="I339" s="28"/>
      <c r="J339" s="138"/>
      <c r="K339" s="112">
        <v>13220.71</v>
      </c>
      <c r="L339" s="28"/>
      <c r="M339" s="138"/>
      <c r="N339" s="112">
        <v>15726.58</v>
      </c>
      <c r="O339" s="28"/>
      <c r="P339" s="138"/>
      <c r="Q339" s="112">
        <v>13547.66</v>
      </c>
      <c r="R339" s="28"/>
      <c r="S339" s="138"/>
      <c r="T339" s="112">
        <v>14454.17</v>
      </c>
      <c r="U339" s="28"/>
      <c r="V339" s="138"/>
      <c r="W339" s="112">
        <v>12748.85</v>
      </c>
      <c r="X339" s="28"/>
      <c r="Y339" s="138"/>
      <c r="Z339" s="112">
        <v>15111.77</v>
      </c>
      <c r="AA339" s="28"/>
      <c r="AB339" s="138"/>
      <c r="AC339" s="112">
        <f>+[1]VOLKS!$L$336</f>
        <v>13928.11</v>
      </c>
      <c r="AD339" s="28"/>
      <c r="AE339" s="138"/>
      <c r="AF339" s="580">
        <f>12488.0858772652+2000</f>
        <v>14488.085877265201</v>
      </c>
      <c r="AG339" s="28"/>
      <c r="AH339" s="138"/>
      <c r="AI339" s="580">
        <f>12488.0858772652+2000</f>
        <v>14488.085877265201</v>
      </c>
      <c r="AJ339" s="28"/>
      <c r="AK339" s="138"/>
      <c r="AL339" s="580">
        <f>12488.0858772652+2000</f>
        <v>14488.085877265201</v>
      </c>
      <c r="AM339" s="28"/>
      <c r="AN339" s="138"/>
      <c r="AO339" s="580">
        <f>12488.0858772652+2000</f>
        <v>14488.085877265201</v>
      </c>
      <c r="AQ339" s="119"/>
      <c r="AR339" s="140"/>
      <c r="AS339" s="117">
        <f t="shared" si="501"/>
        <v>112861.31000000001</v>
      </c>
      <c r="AU339" s="119"/>
      <c r="AV339" s="140"/>
      <c r="AW339" s="117">
        <f t="shared" si="502"/>
        <v>57952.343509060804</v>
      </c>
      <c r="AY339" s="119"/>
      <c r="AZ339" s="140"/>
      <c r="BA339" s="117">
        <f>+[2]VOLKS!$L$336</f>
        <v>112861.31</v>
      </c>
      <c r="BC339" s="119"/>
      <c r="BD339" s="140"/>
      <c r="BE339" s="118">
        <f t="shared" si="503"/>
        <v>0</v>
      </c>
    </row>
    <row r="340" spans="1:57" s="15" customFormat="1" ht="20.25">
      <c r="A340" s="15" t="s">
        <v>79</v>
      </c>
      <c r="B340" s="305" t="s">
        <v>124</v>
      </c>
      <c r="C340" s="34"/>
      <c r="D340" s="72"/>
      <c r="E340" s="104">
        <f t="shared" si="500"/>
        <v>0</v>
      </c>
      <c r="F340" s="34"/>
      <c r="G340" s="72"/>
      <c r="H340" s="104">
        <v>0</v>
      </c>
      <c r="I340" s="34"/>
      <c r="J340" s="72"/>
      <c r="K340" s="104">
        <v>0</v>
      </c>
      <c r="L340" s="34"/>
      <c r="M340" s="72"/>
      <c r="N340" s="104">
        <v>0</v>
      </c>
      <c r="O340" s="34"/>
      <c r="P340" s="72"/>
      <c r="Q340" s="104">
        <v>0</v>
      </c>
      <c r="R340" s="34"/>
      <c r="S340" s="72"/>
      <c r="T340" s="104">
        <v>0</v>
      </c>
      <c r="U340" s="34"/>
      <c r="V340" s="72"/>
      <c r="W340" s="104">
        <v>0</v>
      </c>
      <c r="X340" s="34"/>
      <c r="Y340" s="72"/>
      <c r="Z340" s="104">
        <v>0</v>
      </c>
      <c r="AA340" s="34"/>
      <c r="AB340" s="72"/>
      <c r="AC340" s="104">
        <f>+[1]VOLKS!$L$337</f>
        <v>0</v>
      </c>
      <c r="AD340" s="34"/>
      <c r="AE340" s="72"/>
      <c r="AF340" s="104">
        <v>0</v>
      </c>
      <c r="AG340" s="34"/>
      <c r="AH340" s="72"/>
      <c r="AI340" s="104">
        <v>0</v>
      </c>
      <c r="AJ340" s="34"/>
      <c r="AK340" s="72"/>
      <c r="AL340" s="105">
        <v>0</v>
      </c>
      <c r="AM340" s="34"/>
      <c r="AN340" s="72"/>
      <c r="AO340" s="105">
        <v>0</v>
      </c>
      <c r="AQ340" s="53"/>
      <c r="AR340" s="74"/>
      <c r="AS340" s="108">
        <f t="shared" si="501"/>
        <v>0</v>
      </c>
      <c r="AU340" s="53"/>
      <c r="AV340" s="74"/>
      <c r="AW340" s="108">
        <f t="shared" si="502"/>
        <v>0</v>
      </c>
      <c r="AY340" s="53"/>
      <c r="AZ340" s="74"/>
      <c r="BA340" s="108">
        <f>+[2]VOLKS!$L$337</f>
        <v>0</v>
      </c>
      <c r="BC340" s="53"/>
      <c r="BD340" s="74"/>
      <c r="BE340" s="109">
        <f t="shared" si="503"/>
        <v>0</v>
      </c>
    </row>
    <row r="341" spans="1:57" s="15" customFormat="1" ht="20.25">
      <c r="A341" s="15" t="s">
        <v>79</v>
      </c>
      <c r="B341" s="128" t="s">
        <v>83</v>
      </c>
      <c r="C341" s="34"/>
      <c r="D341" s="72"/>
      <c r="E341" s="104">
        <f t="shared" si="500"/>
        <v>1154.0213333333334</v>
      </c>
      <c r="F341" s="34"/>
      <c r="G341" s="72"/>
      <c r="H341" s="104">
        <v>0</v>
      </c>
      <c r="I341" s="34"/>
      <c r="J341" s="72"/>
      <c r="K341" s="104">
        <v>0</v>
      </c>
      <c r="L341" s="34"/>
      <c r="M341" s="72"/>
      <c r="N341" s="104">
        <v>0</v>
      </c>
      <c r="O341" s="34"/>
      <c r="P341" s="72"/>
      <c r="Q341" s="104">
        <v>0</v>
      </c>
      <c r="R341" s="34"/>
      <c r="S341" s="72"/>
      <c r="T341" s="104">
        <v>0</v>
      </c>
      <c r="U341" s="34"/>
      <c r="V341" s="72"/>
      <c r="W341" s="104">
        <v>114.94</v>
      </c>
      <c r="X341" s="34"/>
      <c r="Y341" s="72"/>
      <c r="Z341" s="104">
        <v>0</v>
      </c>
      <c r="AA341" s="34"/>
      <c r="AB341" s="72"/>
      <c r="AC341" s="104">
        <f>+[1]VOLKS!$L$338</f>
        <v>16.38</v>
      </c>
      <c r="AD341" s="34"/>
      <c r="AE341" s="72"/>
      <c r="AF341" s="104">
        <v>255.67533333333333</v>
      </c>
      <c r="AG341" s="34"/>
      <c r="AH341" s="72"/>
      <c r="AI341" s="104">
        <v>255.67533333333333</v>
      </c>
      <c r="AJ341" s="34"/>
      <c r="AK341" s="72"/>
      <c r="AL341" s="105">
        <v>255.67533333333333</v>
      </c>
      <c r="AM341" s="34"/>
      <c r="AN341" s="72"/>
      <c r="AO341" s="105">
        <v>255.67533333333333</v>
      </c>
      <c r="AQ341" s="53"/>
      <c r="AR341" s="74"/>
      <c r="AS341" s="108">
        <f t="shared" si="501"/>
        <v>131.32</v>
      </c>
      <c r="AU341" s="53"/>
      <c r="AV341" s="74"/>
      <c r="AW341" s="108">
        <f t="shared" si="502"/>
        <v>1022.7013333333333</v>
      </c>
      <c r="AY341" s="53"/>
      <c r="AZ341" s="74"/>
      <c r="BA341" s="108">
        <f>+[2]VOLKS!$L$338</f>
        <v>131.32</v>
      </c>
      <c r="BC341" s="53"/>
      <c r="BD341" s="74"/>
      <c r="BE341" s="109">
        <f t="shared" si="503"/>
        <v>0</v>
      </c>
    </row>
    <row r="342" spans="1:57" s="15" customFormat="1" ht="20.25">
      <c r="A342" s="15" t="s">
        <v>79</v>
      </c>
      <c r="B342" s="128" t="s">
        <v>84</v>
      </c>
      <c r="C342" s="34"/>
      <c r="D342" s="72"/>
      <c r="E342" s="104">
        <f t="shared" si="500"/>
        <v>474.78333333333325</v>
      </c>
      <c r="F342" s="34"/>
      <c r="G342" s="72"/>
      <c r="H342" s="104">
        <v>0</v>
      </c>
      <c r="I342" s="34"/>
      <c r="J342" s="72"/>
      <c r="K342" s="104">
        <v>361.45</v>
      </c>
      <c r="L342" s="34"/>
      <c r="M342" s="72"/>
      <c r="N342" s="104">
        <v>0</v>
      </c>
      <c r="O342" s="34"/>
      <c r="P342" s="72"/>
      <c r="Q342" s="104">
        <v>0</v>
      </c>
      <c r="R342" s="34"/>
      <c r="S342" s="72"/>
      <c r="T342" s="104">
        <v>0</v>
      </c>
      <c r="U342" s="34"/>
      <c r="V342" s="72"/>
      <c r="W342" s="104">
        <v>0</v>
      </c>
      <c r="X342" s="34"/>
      <c r="Y342" s="72"/>
      <c r="Z342" s="104">
        <v>0</v>
      </c>
      <c r="AA342" s="34"/>
      <c r="AB342" s="72"/>
      <c r="AC342" s="104">
        <f>+[1]VOLKS!$L$339</f>
        <v>0</v>
      </c>
      <c r="AD342" s="34"/>
      <c r="AE342" s="72"/>
      <c r="AF342" s="104">
        <v>28.333333333333332</v>
      </c>
      <c r="AG342" s="34"/>
      <c r="AH342" s="72"/>
      <c r="AI342" s="104">
        <v>28.333333333333332</v>
      </c>
      <c r="AJ342" s="34"/>
      <c r="AK342" s="72"/>
      <c r="AL342" s="105">
        <v>28.333333333333332</v>
      </c>
      <c r="AM342" s="34"/>
      <c r="AN342" s="72"/>
      <c r="AO342" s="105">
        <v>28.333333333333332</v>
      </c>
      <c r="AQ342" s="53"/>
      <c r="AR342" s="74"/>
      <c r="AS342" s="108">
        <f t="shared" si="501"/>
        <v>361.45</v>
      </c>
      <c r="AU342" s="53"/>
      <c r="AV342" s="74"/>
      <c r="AW342" s="108">
        <f t="shared" si="502"/>
        <v>113.33333333333333</v>
      </c>
      <c r="AY342" s="53"/>
      <c r="AZ342" s="74"/>
      <c r="BA342" s="108">
        <f>+[2]VOLKS!$L$339</f>
        <v>361.45</v>
      </c>
      <c r="BC342" s="53"/>
      <c r="BD342" s="74"/>
      <c r="BE342" s="109">
        <f t="shared" si="503"/>
        <v>0</v>
      </c>
    </row>
    <row r="343" spans="1:57" s="15" customFormat="1" ht="20.25">
      <c r="A343" s="15" t="s">
        <v>79</v>
      </c>
      <c r="B343" s="128" t="s">
        <v>85</v>
      </c>
      <c r="C343" s="34"/>
      <c r="D343" s="72"/>
      <c r="E343" s="104">
        <f t="shared" si="500"/>
        <v>6827.3861864660003</v>
      </c>
      <c r="F343" s="34"/>
      <c r="G343" s="72"/>
      <c r="H343" s="104">
        <v>126.35</v>
      </c>
      <c r="I343" s="34"/>
      <c r="J343" s="72"/>
      <c r="K343" s="104">
        <v>814</v>
      </c>
      <c r="L343" s="34"/>
      <c r="M343" s="72"/>
      <c r="N343" s="104">
        <v>424.2</v>
      </c>
      <c r="O343" s="34"/>
      <c r="P343" s="72"/>
      <c r="Q343" s="104">
        <v>45.41</v>
      </c>
      <c r="R343" s="34"/>
      <c r="S343" s="72"/>
      <c r="T343" s="104">
        <v>818.22</v>
      </c>
      <c r="U343" s="34"/>
      <c r="V343" s="72"/>
      <c r="W343" s="104">
        <v>319.17</v>
      </c>
      <c r="X343" s="34"/>
      <c r="Y343" s="72"/>
      <c r="Z343" s="104">
        <v>799.65</v>
      </c>
      <c r="AA343" s="34"/>
      <c r="AB343" s="72"/>
      <c r="AC343" s="104">
        <f>+[1]VOLKS!$L$340</f>
        <v>614.75</v>
      </c>
      <c r="AD343" s="34"/>
      <c r="AE343" s="72"/>
      <c r="AF343" s="104">
        <v>716.40904661649995</v>
      </c>
      <c r="AG343" s="34"/>
      <c r="AH343" s="72"/>
      <c r="AI343" s="104">
        <v>716.40904661649995</v>
      </c>
      <c r="AJ343" s="34"/>
      <c r="AK343" s="72"/>
      <c r="AL343" s="105">
        <v>716.40904661649995</v>
      </c>
      <c r="AM343" s="34"/>
      <c r="AN343" s="72"/>
      <c r="AO343" s="105">
        <v>716.40904661649995</v>
      </c>
      <c r="AQ343" s="53"/>
      <c r="AR343" s="74"/>
      <c r="AS343" s="108">
        <f t="shared" si="501"/>
        <v>3961.7500000000005</v>
      </c>
      <c r="AU343" s="53"/>
      <c r="AV343" s="74"/>
      <c r="AW343" s="108">
        <f t="shared" si="502"/>
        <v>2865.6361864659998</v>
      </c>
      <c r="AY343" s="53"/>
      <c r="AZ343" s="74"/>
      <c r="BA343" s="108">
        <f>+[2]VOLKS!$L$340</f>
        <v>3961.75</v>
      </c>
      <c r="BC343" s="53"/>
      <c r="BD343" s="74"/>
      <c r="BE343" s="109">
        <f t="shared" si="503"/>
        <v>0</v>
      </c>
    </row>
    <row r="344" spans="1:57" s="15" customFormat="1" ht="20.25">
      <c r="A344" s="15" t="s">
        <v>79</v>
      </c>
      <c r="B344" s="128" t="s">
        <v>86</v>
      </c>
      <c r="C344" s="34"/>
      <c r="D344" s="72"/>
      <c r="E344" s="104">
        <f t="shared" si="500"/>
        <v>1256.4129743686944</v>
      </c>
      <c r="F344" s="34"/>
      <c r="G344" s="72"/>
      <c r="H344" s="104">
        <v>130.26</v>
      </c>
      <c r="I344" s="34"/>
      <c r="J344" s="72"/>
      <c r="K344" s="104">
        <v>120.99</v>
      </c>
      <c r="L344" s="34"/>
      <c r="M344" s="72"/>
      <c r="N344" s="104">
        <v>87.49</v>
      </c>
      <c r="O344" s="34"/>
      <c r="P344" s="72"/>
      <c r="Q344" s="104">
        <v>94.67</v>
      </c>
      <c r="R344" s="34"/>
      <c r="S344" s="72"/>
      <c r="T344" s="104">
        <v>88.45</v>
      </c>
      <c r="U344" s="34"/>
      <c r="V344" s="72"/>
      <c r="W344" s="104">
        <v>81.89</v>
      </c>
      <c r="X344" s="34"/>
      <c r="Y344" s="72"/>
      <c r="Z344" s="104">
        <v>62.25</v>
      </c>
      <c r="AA344" s="34"/>
      <c r="AB344" s="72"/>
      <c r="AC344" s="104">
        <f>+[1]VOLKS!$L$341</f>
        <v>128.25</v>
      </c>
      <c r="AD344" s="34"/>
      <c r="AE344" s="72"/>
      <c r="AF344" s="104">
        <v>115.54074359217363</v>
      </c>
      <c r="AG344" s="34"/>
      <c r="AH344" s="72"/>
      <c r="AI344" s="104">
        <v>115.54074359217363</v>
      </c>
      <c r="AJ344" s="34"/>
      <c r="AK344" s="72"/>
      <c r="AL344" s="105">
        <v>115.54074359217363</v>
      </c>
      <c r="AM344" s="34"/>
      <c r="AN344" s="72"/>
      <c r="AO344" s="105">
        <v>115.54074359217363</v>
      </c>
      <c r="AQ344" s="53"/>
      <c r="AR344" s="74"/>
      <c r="AS344" s="108">
        <f t="shared" si="501"/>
        <v>794.25</v>
      </c>
      <c r="AU344" s="53"/>
      <c r="AV344" s="74"/>
      <c r="AW344" s="108">
        <f t="shared" si="502"/>
        <v>462.16297436869451</v>
      </c>
      <c r="AY344" s="53"/>
      <c r="AZ344" s="74"/>
      <c r="BA344" s="108">
        <f>+[2]VOLKS!$L$341</f>
        <v>794.25</v>
      </c>
      <c r="BC344" s="53"/>
      <c r="BD344" s="74"/>
      <c r="BE344" s="109">
        <f t="shared" si="503"/>
        <v>0</v>
      </c>
    </row>
    <row r="345" spans="1:57" s="15" customFormat="1" ht="20.25">
      <c r="A345" s="15" t="s">
        <v>79</v>
      </c>
      <c r="B345" s="128" t="s">
        <v>87</v>
      </c>
      <c r="C345" s="34"/>
      <c r="D345" s="72"/>
      <c r="E345" s="104">
        <f t="shared" si="500"/>
        <v>-2464.4213898486951</v>
      </c>
      <c r="F345" s="34"/>
      <c r="G345" s="72"/>
      <c r="H345" s="104">
        <v>-581.91999999999996</v>
      </c>
      <c r="I345" s="34"/>
      <c r="J345" s="72"/>
      <c r="K345" s="104">
        <v>144.59</v>
      </c>
      <c r="L345" s="34"/>
      <c r="M345" s="72"/>
      <c r="N345" s="104">
        <v>31.58</v>
      </c>
      <c r="O345" s="34"/>
      <c r="P345" s="72"/>
      <c r="Q345" s="104">
        <v>-558.02</v>
      </c>
      <c r="R345" s="34"/>
      <c r="S345" s="72"/>
      <c r="T345" s="104">
        <v>-151.96</v>
      </c>
      <c r="U345" s="34"/>
      <c r="V345" s="72"/>
      <c r="W345" s="104">
        <v>-997.2</v>
      </c>
      <c r="X345" s="34"/>
      <c r="Y345" s="72"/>
      <c r="Z345" s="104">
        <v>-335.96</v>
      </c>
      <c r="AA345" s="34"/>
      <c r="AB345" s="72"/>
      <c r="AC345" s="104">
        <f>+[1]VOLKS!$L$342</f>
        <v>108.91</v>
      </c>
      <c r="AD345" s="34"/>
      <c r="AE345" s="72"/>
      <c r="AF345" s="104">
        <v>-31.110347462173621</v>
      </c>
      <c r="AG345" s="34"/>
      <c r="AH345" s="72"/>
      <c r="AI345" s="104">
        <v>-31.110347462173621</v>
      </c>
      <c r="AJ345" s="34"/>
      <c r="AK345" s="72"/>
      <c r="AL345" s="105">
        <v>-31.110347462173621</v>
      </c>
      <c r="AM345" s="34"/>
      <c r="AN345" s="72"/>
      <c r="AO345" s="105">
        <v>-31.110347462173621</v>
      </c>
      <c r="AQ345" s="53"/>
      <c r="AR345" s="74"/>
      <c r="AS345" s="108">
        <f t="shared" si="501"/>
        <v>-2339.9800000000005</v>
      </c>
      <c r="AU345" s="53"/>
      <c r="AV345" s="74"/>
      <c r="AW345" s="108">
        <f t="shared" si="502"/>
        <v>-124.44138984869448</v>
      </c>
      <c r="AY345" s="53"/>
      <c r="AZ345" s="74"/>
      <c r="BA345" s="108">
        <f>+[2]VOLKS!$L$342</f>
        <v>-2339.98</v>
      </c>
      <c r="BC345" s="53"/>
      <c r="BD345" s="74"/>
      <c r="BE345" s="109">
        <f t="shared" si="503"/>
        <v>0</v>
      </c>
    </row>
    <row r="346" spans="1:57" s="15" customFormat="1" ht="20.25">
      <c r="A346" s="15" t="s">
        <v>79</v>
      </c>
      <c r="B346" s="128" t="s">
        <v>88</v>
      </c>
      <c r="C346" s="34"/>
      <c r="D346" s="72"/>
      <c r="E346" s="104">
        <f t="shared" si="500"/>
        <v>1136.0047066498059</v>
      </c>
      <c r="F346" s="34"/>
      <c r="G346" s="72"/>
      <c r="H346" s="104">
        <v>69.86</v>
      </c>
      <c r="I346" s="34"/>
      <c r="J346" s="72"/>
      <c r="K346" s="104">
        <v>55.63</v>
      </c>
      <c r="L346" s="34"/>
      <c r="M346" s="72"/>
      <c r="N346" s="104">
        <v>55.63</v>
      </c>
      <c r="O346" s="34"/>
      <c r="P346" s="72"/>
      <c r="Q346" s="104">
        <v>94.59</v>
      </c>
      <c r="R346" s="34"/>
      <c r="S346" s="72"/>
      <c r="T346" s="104">
        <v>87.25</v>
      </c>
      <c r="U346" s="34"/>
      <c r="V346" s="72"/>
      <c r="W346" s="104">
        <v>49</v>
      </c>
      <c r="X346" s="34"/>
      <c r="Y346" s="72"/>
      <c r="Z346" s="104">
        <v>49</v>
      </c>
      <c r="AA346" s="34"/>
      <c r="AB346" s="72"/>
      <c r="AC346" s="104">
        <f>+[1]VOLKS!$L$343</f>
        <v>49</v>
      </c>
      <c r="AD346" s="34"/>
      <c r="AE346" s="72"/>
      <c r="AF346" s="104">
        <v>156.51117666245145</v>
      </c>
      <c r="AG346" s="34"/>
      <c r="AH346" s="72"/>
      <c r="AI346" s="104">
        <v>156.51117666245145</v>
      </c>
      <c r="AJ346" s="34"/>
      <c r="AK346" s="72"/>
      <c r="AL346" s="105">
        <v>156.51117666245145</v>
      </c>
      <c r="AM346" s="34"/>
      <c r="AN346" s="72"/>
      <c r="AO346" s="105">
        <v>156.51117666245145</v>
      </c>
      <c r="AQ346" s="53"/>
      <c r="AR346" s="74"/>
      <c r="AS346" s="108">
        <f t="shared" si="501"/>
        <v>509.96000000000004</v>
      </c>
      <c r="AU346" s="53"/>
      <c r="AV346" s="74"/>
      <c r="AW346" s="108">
        <f t="shared" si="502"/>
        <v>626.04470664980579</v>
      </c>
      <c r="AY346" s="53"/>
      <c r="AZ346" s="74"/>
      <c r="BA346" s="108">
        <f>+[2]VOLKS!$L$343</f>
        <v>509.96</v>
      </c>
      <c r="BC346" s="53"/>
      <c r="BD346" s="74"/>
      <c r="BE346" s="109">
        <f t="shared" si="503"/>
        <v>0</v>
      </c>
    </row>
    <row r="347" spans="1:57" ht="20.25">
      <c r="A347" s="15" t="s">
        <v>79</v>
      </c>
      <c r="B347" s="128" t="s">
        <v>89</v>
      </c>
      <c r="C347" s="34"/>
      <c r="D347" s="72"/>
      <c r="E347" s="104">
        <f t="shared" si="500"/>
        <v>3289.6472848572539</v>
      </c>
      <c r="F347" s="34"/>
      <c r="G347" s="72"/>
      <c r="H347" s="104">
        <v>79.75</v>
      </c>
      <c r="I347" s="34"/>
      <c r="J347" s="72"/>
      <c r="K347" s="104">
        <v>237.81</v>
      </c>
      <c r="L347" s="34"/>
      <c r="M347" s="72"/>
      <c r="N347" s="104">
        <v>531.23</v>
      </c>
      <c r="O347" s="34"/>
      <c r="P347" s="72"/>
      <c r="Q347" s="104">
        <v>79.75</v>
      </c>
      <c r="R347" s="34"/>
      <c r="S347" s="72"/>
      <c r="T347" s="104">
        <v>-34.119999999999997</v>
      </c>
      <c r="U347" s="34"/>
      <c r="V347" s="72"/>
      <c r="W347" s="104">
        <v>79.75</v>
      </c>
      <c r="X347" s="34"/>
      <c r="Y347" s="72"/>
      <c r="Z347" s="104">
        <v>471.28</v>
      </c>
      <c r="AA347" s="34"/>
      <c r="AB347" s="72"/>
      <c r="AC347" s="104">
        <f>+[1]VOLKS!$L$344</f>
        <v>328.38</v>
      </c>
      <c r="AD347" s="34"/>
      <c r="AE347" s="72"/>
      <c r="AF347" s="104">
        <v>378.95432121431327</v>
      </c>
      <c r="AG347" s="34"/>
      <c r="AH347" s="72"/>
      <c r="AI347" s="104">
        <v>378.95432121431327</v>
      </c>
      <c r="AJ347" s="34"/>
      <c r="AK347" s="72"/>
      <c r="AL347" s="105">
        <v>378.95432121431327</v>
      </c>
      <c r="AM347" s="34"/>
      <c r="AN347" s="72"/>
      <c r="AO347" s="105">
        <v>378.95432121431327</v>
      </c>
      <c r="AQ347" s="53"/>
      <c r="AR347" s="74"/>
      <c r="AS347" s="108">
        <f t="shared" si="501"/>
        <v>1773.83</v>
      </c>
      <c r="AU347" s="53"/>
      <c r="AV347" s="74"/>
      <c r="AW347" s="108">
        <f t="shared" si="502"/>
        <v>1515.8172848572531</v>
      </c>
      <c r="AY347" s="53"/>
      <c r="AZ347" s="74"/>
      <c r="BA347" s="108">
        <f>+[2]VOLKS!$L$344</f>
        <v>1773.83</v>
      </c>
      <c r="BC347" s="53"/>
      <c r="BD347" s="74"/>
      <c r="BE347" s="109">
        <f t="shared" si="503"/>
        <v>0</v>
      </c>
    </row>
    <row r="348" spans="1:57" ht="20.25">
      <c r="A348" s="15" t="s">
        <v>79</v>
      </c>
      <c r="B348" s="128" t="s">
        <v>90</v>
      </c>
      <c r="C348" s="34"/>
      <c r="D348" s="72"/>
      <c r="E348" s="104">
        <f t="shared" si="500"/>
        <v>19809.530498710174</v>
      </c>
      <c r="F348" s="34"/>
      <c r="G348" s="72"/>
      <c r="H348" s="104">
        <v>1255.17</v>
      </c>
      <c r="I348" s="34"/>
      <c r="J348" s="72"/>
      <c r="K348" s="104">
        <v>962.38</v>
      </c>
      <c r="L348" s="34"/>
      <c r="M348" s="72"/>
      <c r="N348" s="104">
        <v>1654.17</v>
      </c>
      <c r="O348" s="34"/>
      <c r="P348" s="72"/>
      <c r="Q348" s="104">
        <v>2048.8200000000002</v>
      </c>
      <c r="R348" s="34"/>
      <c r="S348" s="72"/>
      <c r="T348" s="104">
        <v>2026.49</v>
      </c>
      <c r="U348" s="34"/>
      <c r="V348" s="72"/>
      <c r="W348" s="104">
        <v>1568.94</v>
      </c>
      <c r="X348" s="34"/>
      <c r="Y348" s="72"/>
      <c r="Z348" s="104">
        <v>1733.14</v>
      </c>
      <c r="AA348" s="34"/>
      <c r="AB348" s="72"/>
      <c r="AC348" s="104">
        <f>+[1]VOLKS!$L$345</f>
        <v>1687.46</v>
      </c>
      <c r="AD348" s="34"/>
      <c r="AE348" s="72"/>
      <c r="AF348" s="104">
        <v>1405.2879790725349</v>
      </c>
      <c r="AG348" s="34"/>
      <c r="AH348" s="72"/>
      <c r="AI348" s="104">
        <v>1897.4004948242332</v>
      </c>
      <c r="AJ348" s="34"/>
      <c r="AK348" s="72"/>
      <c r="AL348" s="105">
        <v>2230.6282955484949</v>
      </c>
      <c r="AM348" s="34"/>
      <c r="AN348" s="72"/>
      <c r="AO348" s="105">
        <v>1339.6437292649105</v>
      </c>
      <c r="AQ348" s="53"/>
      <c r="AR348" s="74"/>
      <c r="AS348" s="108">
        <f t="shared" si="501"/>
        <v>12936.57</v>
      </c>
      <c r="AU348" s="53"/>
      <c r="AV348" s="74"/>
      <c r="AW348" s="108">
        <f t="shared" si="502"/>
        <v>6872.9604987101739</v>
      </c>
      <c r="AY348" s="53"/>
      <c r="AZ348" s="74"/>
      <c r="BA348" s="108">
        <f>+[2]VOLKS!$L$345</f>
        <v>12936.57</v>
      </c>
      <c r="BC348" s="53"/>
      <c r="BD348" s="74"/>
      <c r="BE348" s="109">
        <f t="shared" si="503"/>
        <v>0</v>
      </c>
    </row>
    <row r="349" spans="1:57" ht="20.25" hidden="1" customHeight="1">
      <c r="A349" s="15"/>
      <c r="B349" s="128"/>
      <c r="C349" s="34"/>
      <c r="D349" s="72"/>
      <c r="E349" s="73"/>
      <c r="F349" s="34"/>
      <c r="G349" s="72"/>
      <c r="H349" s="73"/>
      <c r="I349" s="34"/>
      <c r="J349" s="72"/>
      <c r="K349" s="73"/>
      <c r="L349" s="34"/>
      <c r="M349" s="72"/>
      <c r="N349" s="73"/>
      <c r="O349" s="34"/>
      <c r="P349" s="72"/>
      <c r="Q349" s="73"/>
      <c r="R349" s="34"/>
      <c r="S349" s="72"/>
      <c r="T349" s="73"/>
      <c r="U349" s="34"/>
      <c r="V349" s="72"/>
      <c r="W349" s="73"/>
      <c r="X349" s="34"/>
      <c r="Y349" s="72"/>
      <c r="Z349" s="73"/>
      <c r="AA349" s="34"/>
      <c r="AB349" s="72"/>
      <c r="AC349" s="73"/>
      <c r="AD349" s="34"/>
      <c r="AE349" s="72"/>
      <c r="AF349" s="73"/>
      <c r="AG349" s="34"/>
      <c r="AH349" s="72"/>
      <c r="AI349" s="73"/>
      <c r="AJ349" s="34"/>
      <c r="AK349" s="72"/>
      <c r="AL349" s="73"/>
      <c r="AM349" s="34"/>
      <c r="AN349" s="72"/>
      <c r="AO349" s="73"/>
      <c r="AQ349" s="53"/>
      <c r="AR349" s="74"/>
      <c r="AS349" s="75"/>
      <c r="AU349" s="53"/>
      <c r="AV349" s="74"/>
      <c r="AW349" s="75"/>
      <c r="AY349" s="53"/>
      <c r="AZ349" s="74"/>
      <c r="BA349" s="75"/>
      <c r="BC349" s="53"/>
      <c r="BD349" s="74"/>
      <c r="BE349" s="27"/>
    </row>
    <row r="350" spans="1:57" s="15" customFormat="1" ht="20.25" hidden="1" customHeight="1">
      <c r="B350" s="128"/>
      <c r="C350" s="34"/>
      <c r="D350" s="72"/>
      <c r="E350" s="73"/>
      <c r="F350" s="34"/>
      <c r="G350" s="72"/>
      <c r="H350" s="73"/>
      <c r="I350" s="34"/>
      <c r="J350" s="72"/>
      <c r="K350" s="73"/>
      <c r="L350" s="34"/>
      <c r="M350" s="72"/>
      <c r="N350" s="73"/>
      <c r="O350" s="34"/>
      <c r="P350" s="72"/>
      <c r="Q350" s="73"/>
      <c r="R350" s="34"/>
      <c r="S350" s="72"/>
      <c r="T350" s="73"/>
      <c r="U350" s="34"/>
      <c r="V350" s="72"/>
      <c r="W350" s="73"/>
      <c r="X350" s="34"/>
      <c r="Y350" s="72"/>
      <c r="Z350" s="73"/>
      <c r="AA350" s="34"/>
      <c r="AB350" s="72"/>
      <c r="AC350" s="73"/>
      <c r="AD350" s="34"/>
      <c r="AE350" s="72"/>
      <c r="AF350" s="73"/>
      <c r="AG350" s="34"/>
      <c r="AH350" s="72"/>
      <c r="AI350" s="73"/>
      <c r="AJ350" s="34"/>
      <c r="AK350" s="72"/>
      <c r="AL350" s="73"/>
      <c r="AM350" s="34"/>
      <c r="AN350" s="72"/>
      <c r="AO350" s="73"/>
      <c r="AQ350" s="53"/>
      <c r="AR350" s="74"/>
      <c r="AS350" s="75"/>
      <c r="AU350" s="53"/>
      <c r="AV350" s="74"/>
      <c r="AW350" s="75"/>
      <c r="AY350" s="53"/>
      <c r="AZ350" s="74"/>
      <c r="BA350" s="75"/>
      <c r="BC350" s="53"/>
      <c r="BD350" s="74"/>
      <c r="BE350" s="27"/>
    </row>
    <row r="351" spans="1:57" s="15" customFormat="1" ht="20.25" hidden="1" customHeight="1">
      <c r="B351" s="128"/>
      <c r="C351" s="34"/>
      <c r="D351" s="72"/>
      <c r="E351" s="73"/>
      <c r="F351" s="34"/>
      <c r="G351" s="72"/>
      <c r="H351" s="73"/>
      <c r="I351" s="34"/>
      <c r="J351" s="72"/>
      <c r="K351" s="73"/>
      <c r="L351" s="34"/>
      <c r="M351" s="72"/>
      <c r="N351" s="73"/>
      <c r="O351" s="34"/>
      <c r="P351" s="72"/>
      <c r="Q351" s="73"/>
      <c r="R351" s="34"/>
      <c r="S351" s="72"/>
      <c r="T351" s="73"/>
      <c r="U351" s="34"/>
      <c r="V351" s="72"/>
      <c r="W351" s="73"/>
      <c r="X351" s="34"/>
      <c r="Y351" s="72"/>
      <c r="Z351" s="73"/>
      <c r="AA351" s="34"/>
      <c r="AB351" s="72"/>
      <c r="AC351" s="73"/>
      <c r="AD351" s="34"/>
      <c r="AE351" s="72"/>
      <c r="AF351" s="73"/>
      <c r="AG351" s="34"/>
      <c r="AH351" s="72"/>
      <c r="AI351" s="73"/>
      <c r="AJ351" s="34"/>
      <c r="AK351" s="72"/>
      <c r="AL351" s="73"/>
      <c r="AM351" s="34"/>
      <c r="AN351" s="72"/>
      <c r="AO351" s="73"/>
      <c r="AQ351" s="53"/>
      <c r="AR351" s="74"/>
      <c r="AS351" s="75"/>
      <c r="AU351" s="53"/>
      <c r="AV351" s="74"/>
      <c r="AW351" s="75"/>
      <c r="AY351" s="53"/>
      <c r="AZ351" s="74"/>
      <c r="BA351" s="75"/>
      <c r="BC351" s="53"/>
      <c r="BD351" s="74"/>
      <c r="BE351" s="27"/>
    </row>
    <row r="352" spans="1:57" ht="20.25">
      <c r="A352" s="15" t="s">
        <v>27</v>
      </c>
      <c r="B352" s="120" t="s">
        <v>91</v>
      </c>
      <c r="C352" s="121" t="s">
        <v>57</v>
      </c>
      <c r="D352" s="122">
        <f>IFERROR(E352/E$317,0)</f>
        <v>0.24627714812663382</v>
      </c>
      <c r="E352" s="123">
        <f>+SUM(E334:E351)</f>
        <v>395260.23828707851</v>
      </c>
      <c r="F352" s="121" t="s">
        <v>57</v>
      </c>
      <c r="G352" s="122">
        <f>IFERROR(H352/H$317,0)</f>
        <v>0.25974590765069244</v>
      </c>
      <c r="H352" s="123">
        <f>+SUM(H334:H351)</f>
        <v>29098.959999999999</v>
      </c>
      <c r="I352" s="121" t="s">
        <v>57</v>
      </c>
      <c r="J352" s="122">
        <f>IFERROR(K352/K$317,0)</f>
        <v>0.34608104286565533</v>
      </c>
      <c r="K352" s="123">
        <f>+SUM(K334:K351)</f>
        <v>36016.179999999986</v>
      </c>
      <c r="L352" s="121" t="s">
        <v>57</v>
      </c>
      <c r="M352" s="122">
        <f>IFERROR(N352/N$317,0)</f>
        <v>0.27045927778513346</v>
      </c>
      <c r="N352" s="123">
        <f>+SUM(N334:N351)</f>
        <v>33073.770000000004</v>
      </c>
      <c r="O352" s="121" t="s">
        <v>57</v>
      </c>
      <c r="P352" s="122">
        <f>IFERROR(Q352/Q$317,0)</f>
        <v>0.33258353930118056</v>
      </c>
      <c r="Q352" s="123">
        <f>+SUM(Q334:Q351)</f>
        <v>36501.089999999997</v>
      </c>
      <c r="R352" s="121" t="s">
        <v>57</v>
      </c>
      <c r="S352" s="122">
        <f>IFERROR(T352/T$317,0)</f>
        <v>0.24405564962428927</v>
      </c>
      <c r="T352" s="123">
        <f>+SUM(T334:T351)</f>
        <v>35179.159999999996</v>
      </c>
      <c r="U352" s="121" t="s">
        <v>57</v>
      </c>
      <c r="V352" s="122">
        <f>IFERROR(W352/W$317,0)</f>
        <v>0.25678918979788062</v>
      </c>
      <c r="W352" s="124">
        <f>+SUM(W334:W351)</f>
        <v>28094.349999999995</v>
      </c>
      <c r="X352" s="121" t="s">
        <v>57</v>
      </c>
      <c r="Y352" s="122">
        <f>IFERROR(Z352/Z$317,0)</f>
        <v>0.23093852238972576</v>
      </c>
      <c r="Z352" s="124">
        <f>+SUM(Z334:Z351)</f>
        <v>28887.370000000003</v>
      </c>
      <c r="AA352" s="121" t="s">
        <v>57</v>
      </c>
      <c r="AB352" s="122">
        <f>IFERROR(AC352/AC$317,0)</f>
        <v>0.14994146420768045</v>
      </c>
      <c r="AC352" s="124">
        <f>+SUM(AC334:AC351)</f>
        <v>29993.010000000002</v>
      </c>
      <c r="AD352" s="121" t="s">
        <v>57</v>
      </c>
      <c r="AE352" s="122">
        <f t="shared" ref="AE352:AO352" si="504">IFERROR(AF352/AF$317,0)</f>
        <v>0.27662149662050539</v>
      </c>
      <c r="AF352" s="124">
        <f t="shared" ref="AF352" si="505">+SUM(AF334:AF351)</f>
        <v>32535.434574828509</v>
      </c>
      <c r="AG352" s="121" t="s">
        <v>57</v>
      </c>
      <c r="AH352" s="122">
        <f t="shared" ref="AH352:AO352" si="506">IFERROR(AI352/AI$317,0)</f>
        <v>0.21498308218105866</v>
      </c>
      <c r="AI352" s="124">
        <f t="shared" ref="AI352" si="507">+SUM(AI334:AI351)</f>
        <v>34597.51737648416</v>
      </c>
      <c r="AJ352" s="121" t="s">
        <v>57</v>
      </c>
      <c r="AK352" s="122">
        <f t="shared" ref="AK352:AO352" si="508">IFERROR(AL352/AL$317,0)</f>
        <v>0.21159056699533257</v>
      </c>
      <c r="AL352" s="124">
        <f t="shared" ref="AL352" si="509">+SUM(AL334:AL351)</f>
        <v>39220.065652588099</v>
      </c>
      <c r="AM352" s="121" t="s">
        <v>57</v>
      </c>
      <c r="AN352" s="122">
        <f t="shared" ref="AN352:AO352" si="510">IFERROR(AO352/AO$317,0)</f>
        <v>0.28068942592700852</v>
      </c>
      <c r="AO352" s="124">
        <f t="shared" ref="AO352" si="511">+SUM(AO334:AO351)</f>
        <v>32063.330683177686</v>
      </c>
      <c r="AQ352" s="121" t="s">
        <v>57</v>
      </c>
      <c r="AR352" s="125">
        <f t="shared" ref="AR352" si="512">IFERROR(AS352/AS$317,0)</f>
        <v>0.25013931830276992</v>
      </c>
      <c r="AS352" s="126">
        <f t="shared" ref="AS352" si="513">+SUM(AS334:AS351)</f>
        <v>256843.88999999998</v>
      </c>
      <c r="AU352" s="121" t="s">
        <v>57</v>
      </c>
      <c r="AV352" s="125">
        <f t="shared" ref="AV352" si="514">IFERROR(AW352/AW$317,0)</f>
        <v>0.23941772497357006</v>
      </c>
      <c r="AW352" s="126">
        <f t="shared" ref="AW352" si="515">+SUM(AW334:AW351)</f>
        <v>138416.34828707844</v>
      </c>
      <c r="AY352" s="121" t="s">
        <v>57</v>
      </c>
      <c r="AZ352" s="125">
        <f>IFERROR(BA352/BA$317,0)</f>
        <v>0.25013931830276998</v>
      </c>
      <c r="BA352" s="126">
        <f>+SUM(BA334:BA351)</f>
        <v>256843.88999999998</v>
      </c>
      <c r="BC352" s="121" t="s">
        <v>57</v>
      </c>
      <c r="BD352" s="125"/>
      <c r="BE352" s="127">
        <f t="shared" ref="BE352" si="516">+SUM(BE334:BE351)</f>
        <v>0</v>
      </c>
    </row>
    <row r="353" spans="1:57" ht="20.25">
      <c r="A353" s="15" t="s">
        <v>27</v>
      </c>
      <c r="B353" s="28"/>
      <c r="C353" s="28"/>
      <c r="D353" s="138"/>
      <c r="E353" s="139"/>
      <c r="F353" s="28"/>
      <c r="G353" s="138"/>
      <c r="H353" s="139"/>
      <c r="I353" s="28"/>
      <c r="J353" s="138"/>
      <c r="K353" s="139"/>
      <c r="L353" s="28"/>
      <c r="M353" s="138"/>
      <c r="N353" s="139"/>
      <c r="O353" s="28"/>
      <c r="P353" s="138"/>
      <c r="Q353" s="139"/>
      <c r="R353" s="28"/>
      <c r="S353" s="138"/>
      <c r="T353" s="139"/>
      <c r="U353" s="28"/>
      <c r="V353" s="138"/>
      <c r="W353" s="139"/>
      <c r="X353" s="28"/>
      <c r="Y353" s="138"/>
      <c r="Z353" s="139"/>
      <c r="AA353" s="28"/>
      <c r="AB353" s="138"/>
      <c r="AC353" s="139"/>
      <c r="AD353" s="28"/>
      <c r="AE353" s="138"/>
      <c r="AF353" s="139"/>
      <c r="AG353" s="28"/>
      <c r="AH353" s="138"/>
      <c r="AI353" s="139"/>
      <c r="AJ353" s="28"/>
      <c r="AK353" s="138"/>
      <c r="AL353" s="139"/>
      <c r="AM353" s="28"/>
      <c r="AN353" s="138"/>
      <c r="AO353" s="139"/>
      <c r="AQ353" s="119"/>
      <c r="AR353" s="140"/>
      <c r="AS353" s="141"/>
      <c r="AU353" s="119"/>
      <c r="AV353" s="140"/>
      <c r="AW353" s="141"/>
      <c r="AY353" s="119"/>
      <c r="AZ353" s="140"/>
      <c r="BA353" s="141"/>
      <c r="BC353" s="119"/>
      <c r="BD353" s="140"/>
      <c r="BE353" s="142"/>
    </row>
    <row r="354" spans="1:57" ht="20.25">
      <c r="A354" s="15" t="s">
        <v>27</v>
      </c>
      <c r="B354" s="150" t="s">
        <v>92</v>
      </c>
      <c r="C354" s="121" t="s">
        <v>57</v>
      </c>
      <c r="D354" s="213">
        <f>IFERROR(E354/E$317,0)</f>
        <v>0.60720591836017468</v>
      </c>
      <c r="E354" s="151">
        <f>E333+E352</f>
        <v>974529.54042231548</v>
      </c>
      <c r="F354" s="121" t="s">
        <v>57</v>
      </c>
      <c r="G354" s="213">
        <f>IFERROR(H354/H$317,0)</f>
        <v>0.75862485423359971</v>
      </c>
      <c r="H354" s="151">
        <f>H333+H352</f>
        <v>84987.649999999907</v>
      </c>
      <c r="I354" s="121" t="s">
        <v>57</v>
      </c>
      <c r="J354" s="213">
        <f>IFERROR(K354/K$317,0)</f>
        <v>0.81261106252671977</v>
      </c>
      <c r="K354" s="151">
        <f>K333+K352</f>
        <v>84567.319999999978</v>
      </c>
      <c r="L354" s="121" t="s">
        <v>57</v>
      </c>
      <c r="M354" s="213">
        <f>IFERROR(N354/N$317,0)</f>
        <v>0.65283373769487207</v>
      </c>
      <c r="N354" s="151">
        <f>N333+N352</f>
        <v>79833.359999999899</v>
      </c>
      <c r="O354" s="121" t="s">
        <v>57</v>
      </c>
      <c r="P354" s="213">
        <f>IFERROR(Q354/Q$317,0)</f>
        <v>0.74699066443104445</v>
      </c>
      <c r="Q354" s="151">
        <f>Q333+Q352</f>
        <v>81982.329999999987</v>
      </c>
      <c r="R354" s="121" t="s">
        <v>57</v>
      </c>
      <c r="S354" s="213">
        <f>IFERROR(T354/T$317,0)</f>
        <v>0.62017616965144884</v>
      </c>
      <c r="T354" s="151">
        <f>T333+T352</f>
        <v>89394.68</v>
      </c>
      <c r="U354" s="121" t="s">
        <v>57</v>
      </c>
      <c r="V354" s="213">
        <f>IFERROR(W354/W$317,0)</f>
        <v>0.66094743373049691</v>
      </c>
      <c r="W354" s="152">
        <f>W333+W352</f>
        <v>72311.799999999988</v>
      </c>
      <c r="X354" s="121" t="s">
        <v>57</v>
      </c>
      <c r="Y354" s="213">
        <f>IFERROR(Z354/Z$317,0)</f>
        <v>0.58453551148945804</v>
      </c>
      <c r="Z354" s="152">
        <f>Z333+Z352</f>
        <v>73117.699999999895</v>
      </c>
      <c r="AA354" s="121" t="s">
        <v>57</v>
      </c>
      <c r="AB354" s="213">
        <f>IFERROR(AC354/AC$317,0)</f>
        <v>0.37163959109232142</v>
      </c>
      <c r="AC354" s="152">
        <f>AC333+AC352</f>
        <v>74339.609999999899</v>
      </c>
      <c r="AD354" s="121" t="s">
        <v>57</v>
      </c>
      <c r="AE354" s="213">
        <f t="shared" ref="AE354:AO354" si="517">IFERROR(AF354/AF$317,0)</f>
        <v>0.6702062916660475</v>
      </c>
      <c r="AF354" s="152">
        <f t="shared" ref="AF354:AO354" si="518">AF333+AF352</f>
        <v>78827.760027825439</v>
      </c>
      <c r="AG354" s="121" t="s">
        <v>57</v>
      </c>
      <c r="AH354" s="213">
        <f t="shared" ref="AH354:AO354" si="519">IFERROR(AI354/AI$317,0)</f>
        <v>0.56731820030636448</v>
      </c>
      <c r="AI354" s="152">
        <f t="shared" ref="AI354:AO354" si="520">AI333+AI352</f>
        <v>91299.283152730321</v>
      </c>
      <c r="AJ354" s="121" t="s">
        <v>57</v>
      </c>
      <c r="AK354" s="213">
        <f t="shared" ref="AK354:AO354" si="521">IFERROR(AL354/AL$317,0)</f>
        <v>0.46133567137370129</v>
      </c>
      <c r="AL354" s="152">
        <f t="shared" ref="AL354:AO354" si="522">AL333+AL352</f>
        <v>85512.391105585033</v>
      </c>
      <c r="AM354" s="121" t="s">
        <v>57</v>
      </c>
      <c r="AN354" s="213">
        <f t="shared" ref="AN354:AO354" si="523">IFERROR(AO354/AO$317,0)</f>
        <v>0.68594259143938774</v>
      </c>
      <c r="AO354" s="152">
        <f t="shared" ref="AO354" si="524">AO333+AO352</f>
        <v>78355.656136174613</v>
      </c>
      <c r="AQ354" s="121" t="s">
        <v>57</v>
      </c>
      <c r="AR354" s="214">
        <f t="shared" ref="AR354" si="525">IFERROR(AS354/AS$317,0)</f>
        <v>0.62381414123746404</v>
      </c>
      <c r="AS354" s="153">
        <f t="shared" ref="AS354" si="526">AS333+AS352</f>
        <v>640534.45000000007</v>
      </c>
      <c r="AU354" s="121" t="s">
        <v>57</v>
      </c>
      <c r="AV354" s="214">
        <f t="shared" ref="AV354" si="527">IFERROR(AW354/AW$317,0)</f>
        <v>0.57770881612484692</v>
      </c>
      <c r="AW354" s="153">
        <f t="shared" ref="AW354" si="528">AW333+AW352</f>
        <v>333995.09042231541</v>
      </c>
      <c r="AY354" s="121" t="s">
        <v>57</v>
      </c>
      <c r="AZ354" s="214">
        <f>IFERROR(BA354/BA$317,0)</f>
        <v>0.62381414123746404</v>
      </c>
      <c r="BA354" s="153">
        <f>BA333+BA352</f>
        <v>640534.44999999995</v>
      </c>
      <c r="BC354" s="121" t="s">
        <v>57</v>
      </c>
      <c r="BD354" s="214"/>
      <c r="BE354" s="154">
        <f t="shared" ref="BE354" si="529">BE333+BE352</f>
        <v>0</v>
      </c>
    </row>
    <row r="355" spans="1:57" ht="20.25">
      <c r="A355" s="15" t="s">
        <v>27</v>
      </c>
      <c r="B355" s="34"/>
      <c r="C355" s="34"/>
      <c r="D355" s="72"/>
      <c r="E355" s="73"/>
      <c r="F355" s="34"/>
      <c r="G355" s="72"/>
      <c r="H355" s="73"/>
      <c r="I355" s="34"/>
      <c r="J355" s="72"/>
      <c r="K355" s="73"/>
      <c r="L355" s="34"/>
      <c r="M355" s="72"/>
      <c r="N355" s="73"/>
      <c r="O355" s="34"/>
      <c r="P355" s="72"/>
      <c r="Q355" s="73"/>
      <c r="R355" s="34"/>
      <c r="S355" s="72"/>
      <c r="T355" s="73"/>
      <c r="U355" s="34"/>
      <c r="V355" s="72"/>
      <c r="W355" s="73"/>
      <c r="X355" s="34"/>
      <c r="Y355" s="72"/>
      <c r="Z355" s="73"/>
      <c r="AA355" s="34"/>
      <c r="AB355" s="72"/>
      <c r="AC355" s="73"/>
      <c r="AD355" s="34"/>
      <c r="AE355" s="72"/>
      <c r="AF355" s="73"/>
      <c r="AG355" s="34"/>
      <c r="AH355" s="72"/>
      <c r="AI355" s="73"/>
      <c r="AJ355" s="34"/>
      <c r="AK355" s="72"/>
      <c r="AL355" s="73"/>
      <c r="AM355" s="34"/>
      <c r="AN355" s="72"/>
      <c r="AO355" s="73"/>
      <c r="AQ355" s="53"/>
      <c r="AR355" s="74"/>
      <c r="AS355" s="75"/>
      <c r="AU355" s="53"/>
      <c r="AV355" s="74"/>
      <c r="AW355" s="75"/>
      <c r="AY355" s="53"/>
      <c r="AZ355" s="74"/>
      <c r="BA355" s="75"/>
      <c r="BC355" s="53"/>
      <c r="BD355" s="74"/>
      <c r="BE355" s="27"/>
    </row>
    <row r="356" spans="1:57" ht="21" thickBot="1">
      <c r="A356" s="15" t="s">
        <v>27</v>
      </c>
      <c r="B356" s="171" t="s">
        <v>99</v>
      </c>
      <c r="C356" s="171"/>
      <c r="D356" s="215"/>
      <c r="E356" s="174">
        <f>E317-E354</f>
        <v>630411.23988848599</v>
      </c>
      <c r="F356" s="171"/>
      <c r="G356" s="215"/>
      <c r="H356" s="174">
        <f>H317-H354</f>
        <v>27040.909999999873</v>
      </c>
      <c r="I356" s="171"/>
      <c r="J356" s="215"/>
      <c r="K356" s="174">
        <f>K317-K354</f>
        <v>19501.30999999991</v>
      </c>
      <c r="L356" s="171"/>
      <c r="M356" s="215"/>
      <c r="N356" s="174">
        <f>N317-N354</f>
        <v>42454.069999999891</v>
      </c>
      <c r="O356" s="171"/>
      <c r="P356" s="215"/>
      <c r="Q356" s="174">
        <f>Q317-Q354</f>
        <v>27767.809999999794</v>
      </c>
      <c r="R356" s="171"/>
      <c r="S356" s="215"/>
      <c r="T356" s="174">
        <f>T317-T354</f>
        <v>54749.329999999783</v>
      </c>
      <c r="U356" s="171"/>
      <c r="V356" s="215"/>
      <c r="W356" s="175">
        <f>W317-W354</f>
        <v>37094.479999999705</v>
      </c>
      <c r="X356" s="171"/>
      <c r="Y356" s="215"/>
      <c r="Z356" s="175">
        <f>Z317-Z354</f>
        <v>51969.139999999927</v>
      </c>
      <c r="AA356" s="171"/>
      <c r="AB356" s="215"/>
      <c r="AC356" s="175">
        <f>AC317-AC354</f>
        <v>125691.84999999969</v>
      </c>
      <c r="AD356" s="171"/>
      <c r="AE356" s="215"/>
      <c r="AF356" s="175">
        <f t="shared" ref="AF356:AO356" si="530">AF317-AF354</f>
        <v>38789.3990589233</v>
      </c>
      <c r="AG356" s="171"/>
      <c r="AH356" s="215"/>
      <c r="AI356" s="175">
        <f t="shared" ref="AI356:AO356" si="531">AI317-AI354</f>
        <v>69632.065609616227</v>
      </c>
      <c r="AJ356" s="171"/>
      <c r="AK356" s="215"/>
      <c r="AL356" s="175">
        <f t="shared" ref="AL356:AO356" si="532">AL317-AL354</f>
        <v>99845.898772494664</v>
      </c>
      <c r="AM356" s="171"/>
      <c r="AN356" s="215"/>
      <c r="AO356" s="175">
        <f t="shared" ref="AO356" si="533">AO317-AO354</f>
        <v>35874.976447453766</v>
      </c>
      <c r="AQ356" s="216"/>
      <c r="AR356" s="217"/>
      <c r="AS356" s="178">
        <f t="shared" ref="AS356" si="534">AS317-AS354</f>
        <v>386268.89999999804</v>
      </c>
      <c r="AU356" s="216"/>
      <c r="AV356" s="217"/>
      <c r="AW356" s="178">
        <f t="shared" ref="AW356" si="535">AW317-AW354</f>
        <v>244142.33988848794</v>
      </c>
      <c r="AY356" s="216"/>
      <c r="AZ356" s="217"/>
      <c r="BA356" s="178">
        <f>BA317-BA354</f>
        <v>386268.89999999793</v>
      </c>
      <c r="BC356" s="216"/>
      <c r="BD356" s="217"/>
      <c r="BE356" s="179">
        <f t="shared" ref="BE356" si="536">BE317-BE354</f>
        <v>-1.8189894035458565E-10</v>
      </c>
    </row>
    <row r="357" spans="1:57" ht="20.25">
      <c r="A357" s="15" t="s">
        <v>27</v>
      </c>
      <c r="B357" s="201"/>
      <c r="C357" s="201"/>
      <c r="D357" s="201"/>
      <c r="E357" s="340">
        <f>+SUM(H356,K356,N356,Q356,T356,W356,Z356,AC356,AF356,AI356,AL356,AO356)</f>
        <v>630411.23988848645</v>
      </c>
      <c r="F357" s="201"/>
      <c r="G357" s="201"/>
      <c r="H357" s="340"/>
      <c r="I357" s="201"/>
      <c r="J357" s="201"/>
      <c r="K357" s="340"/>
      <c r="L357" s="201"/>
      <c r="M357" s="201"/>
      <c r="N357" s="340"/>
      <c r="O357" s="201"/>
      <c r="P357" s="201"/>
      <c r="Q357" s="340"/>
      <c r="R357" s="201"/>
      <c r="S357" s="201"/>
      <c r="T357" s="340"/>
      <c r="U357" s="201"/>
      <c r="V357" s="201"/>
      <c r="W357" s="340"/>
      <c r="X357" s="201"/>
      <c r="Y357" s="201"/>
      <c r="Z357" s="340"/>
      <c r="AA357" s="201"/>
      <c r="AB357" s="201"/>
      <c r="AC357" s="340"/>
      <c r="AD357" s="201"/>
      <c r="AE357" s="201"/>
      <c r="AF357" s="340"/>
      <c r="AG357" s="201"/>
      <c r="AH357" s="201"/>
      <c r="AI357" s="340"/>
      <c r="AJ357" s="201"/>
      <c r="AK357" s="201"/>
      <c r="AL357" s="340"/>
      <c r="AM357" s="201"/>
      <c r="AN357" s="201"/>
      <c r="AO357" s="340"/>
      <c r="AQ357" s="203"/>
      <c r="AR357" s="203"/>
      <c r="AS357" s="341"/>
      <c r="AU357" s="203"/>
      <c r="AV357" s="203"/>
      <c r="AW357" s="341"/>
      <c r="AY357" s="203"/>
      <c r="AZ357" s="203"/>
      <c r="BA357" s="341"/>
      <c r="BC357" s="203"/>
      <c r="BD357" s="203"/>
      <c r="BE357" s="342"/>
    </row>
    <row r="358" spans="1:57" ht="20.25">
      <c r="A358" s="15" t="s">
        <v>27</v>
      </c>
      <c r="B358" s="201"/>
      <c r="C358" s="201"/>
      <c r="D358" s="201"/>
      <c r="E358" s="340"/>
      <c r="F358" s="201"/>
      <c r="G358" s="201"/>
      <c r="H358" s="340"/>
      <c r="I358" s="201"/>
      <c r="J358" s="201"/>
      <c r="K358" s="340"/>
      <c r="L358" s="201"/>
      <c r="M358" s="201"/>
      <c r="N358" s="340"/>
      <c r="O358" s="201"/>
      <c r="P358" s="201"/>
      <c r="Q358" s="340"/>
      <c r="R358" s="201"/>
      <c r="S358" s="201"/>
      <c r="T358" s="340"/>
      <c r="U358" s="201"/>
      <c r="V358" s="201"/>
      <c r="W358" s="340"/>
      <c r="X358" s="201"/>
      <c r="Y358" s="201"/>
      <c r="Z358" s="340"/>
      <c r="AA358" s="201"/>
      <c r="AB358" s="201"/>
      <c r="AC358" s="340"/>
      <c r="AD358" s="201"/>
      <c r="AE358" s="201"/>
      <c r="AF358" s="340"/>
      <c r="AG358" s="201"/>
      <c r="AH358" s="201"/>
      <c r="AI358" s="340"/>
      <c r="AJ358" s="201"/>
      <c r="AK358" s="201"/>
      <c r="AL358" s="340"/>
      <c r="AM358" s="201"/>
      <c r="AN358" s="201"/>
      <c r="AO358" s="340"/>
      <c r="AQ358" s="203"/>
      <c r="AR358" s="203"/>
      <c r="AS358" s="341"/>
      <c r="AU358" s="203"/>
      <c r="AV358" s="203"/>
      <c r="AW358" s="341"/>
      <c r="AY358" s="203"/>
      <c r="AZ358" s="203"/>
      <c r="BA358" s="341"/>
      <c r="BC358" s="203"/>
      <c r="BD358" s="203"/>
      <c r="BE358" s="342"/>
    </row>
    <row r="359" spans="1:57" ht="35.25">
      <c r="A359" s="15" t="s">
        <v>27</v>
      </c>
      <c r="B359" s="187" t="str">
        <f>+B294</f>
        <v>Budget 2025</v>
      </c>
      <c r="C359" s="10" t="s">
        <v>147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Q359" s="9"/>
      <c r="AR359" s="9"/>
      <c r="AS359" s="9"/>
      <c r="AU359" s="9"/>
      <c r="AV359" s="9"/>
      <c r="AW359" s="9"/>
      <c r="AY359" s="9"/>
      <c r="AZ359" s="9"/>
      <c r="BA359" s="9"/>
      <c r="BC359" s="9"/>
      <c r="BD359" s="9"/>
      <c r="BE359" s="188"/>
    </row>
    <row r="360" spans="1:57" ht="21" thickBot="1">
      <c r="A360" s="15" t="s">
        <v>27</v>
      </c>
      <c r="B360" s="189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Q360" s="13"/>
      <c r="AR360" s="13"/>
      <c r="AS360" s="13"/>
      <c r="AU360" s="13"/>
      <c r="AV360" s="13"/>
      <c r="AW360" s="13"/>
      <c r="AY360" s="13"/>
      <c r="AZ360" s="13"/>
      <c r="BA360" s="13"/>
      <c r="BC360" s="13"/>
      <c r="BD360" s="13"/>
      <c r="BE360" s="14"/>
    </row>
    <row r="361" spans="1:57" ht="21" thickTop="1">
      <c r="A361" s="15" t="str">
        <f>+C359</f>
        <v>Boutique</v>
      </c>
      <c r="B361" s="16" t="s">
        <v>10</v>
      </c>
      <c r="C361" s="17">
        <v>2025</v>
      </c>
      <c r="D361" s="18"/>
      <c r="E361" s="19"/>
      <c r="F361" s="17" t="s">
        <v>11</v>
      </c>
      <c r="G361" s="18"/>
      <c r="H361" s="19"/>
      <c r="I361" s="17" t="s">
        <v>12</v>
      </c>
      <c r="J361" s="18"/>
      <c r="K361" s="19"/>
      <c r="L361" s="17" t="s">
        <v>13</v>
      </c>
      <c r="M361" s="18"/>
      <c r="N361" s="19"/>
      <c r="O361" s="17" t="s">
        <v>14</v>
      </c>
      <c r="P361" s="18"/>
      <c r="Q361" s="19"/>
      <c r="R361" s="17" t="s">
        <v>15</v>
      </c>
      <c r="S361" s="18"/>
      <c r="T361" s="19"/>
      <c r="U361" s="17" t="s">
        <v>16</v>
      </c>
      <c r="V361" s="18"/>
      <c r="W361" s="19"/>
      <c r="X361" s="17" t="s">
        <v>17</v>
      </c>
      <c r="Y361" s="18"/>
      <c r="Z361" s="19"/>
      <c r="AA361" s="17" t="s">
        <v>18</v>
      </c>
      <c r="AB361" s="18"/>
      <c r="AC361" s="19"/>
      <c r="AD361" s="17" t="s">
        <v>19</v>
      </c>
      <c r="AE361" s="18"/>
      <c r="AF361" s="19"/>
      <c r="AG361" s="17" t="s">
        <v>20</v>
      </c>
      <c r="AH361" s="18"/>
      <c r="AI361" s="19"/>
      <c r="AJ361" s="17" t="s">
        <v>21</v>
      </c>
      <c r="AK361" s="18"/>
      <c r="AL361" s="19"/>
      <c r="AM361" s="17" t="s">
        <v>22</v>
      </c>
      <c r="AN361" s="18"/>
      <c r="AO361" s="19"/>
      <c r="AQ361" s="16" t="s">
        <v>6</v>
      </c>
      <c r="AR361" s="20"/>
      <c r="AS361" s="21"/>
      <c r="AU361" s="16" t="s">
        <v>7</v>
      </c>
      <c r="AV361" s="20"/>
      <c r="AW361" s="21"/>
      <c r="AY361" s="16" t="s">
        <v>8</v>
      </c>
      <c r="AZ361" s="20"/>
      <c r="BA361" s="21"/>
      <c r="BC361" s="16" t="s">
        <v>23</v>
      </c>
      <c r="BD361" s="20"/>
      <c r="BE361" s="22"/>
    </row>
    <row r="362" spans="1:57" ht="20.25">
      <c r="A362" s="15" t="s">
        <v>27</v>
      </c>
      <c r="B362" s="34"/>
      <c r="C362" s="53" t="s">
        <v>111</v>
      </c>
      <c r="D362" s="74" t="s">
        <v>131</v>
      </c>
      <c r="E362" s="54" t="s">
        <v>26</v>
      </c>
      <c r="F362" s="53" t="s">
        <v>111</v>
      </c>
      <c r="G362" s="74" t="s">
        <v>131</v>
      </c>
      <c r="H362" s="54" t="s">
        <v>26</v>
      </c>
      <c r="I362" s="53" t="s">
        <v>111</v>
      </c>
      <c r="J362" s="74" t="s">
        <v>131</v>
      </c>
      <c r="K362" s="54" t="s">
        <v>26</v>
      </c>
      <c r="L362" s="53" t="s">
        <v>111</v>
      </c>
      <c r="M362" s="74" t="s">
        <v>131</v>
      </c>
      <c r="N362" s="54" t="s">
        <v>26</v>
      </c>
      <c r="O362" s="53" t="s">
        <v>111</v>
      </c>
      <c r="P362" s="74" t="s">
        <v>131</v>
      </c>
      <c r="Q362" s="54" t="s">
        <v>26</v>
      </c>
      <c r="R362" s="53" t="s">
        <v>111</v>
      </c>
      <c r="S362" s="74" t="s">
        <v>131</v>
      </c>
      <c r="T362" s="54" t="s">
        <v>26</v>
      </c>
      <c r="U362" s="53" t="s">
        <v>111</v>
      </c>
      <c r="V362" s="74" t="s">
        <v>131</v>
      </c>
      <c r="W362" s="54" t="s">
        <v>26</v>
      </c>
      <c r="X362" s="53" t="s">
        <v>111</v>
      </c>
      <c r="Y362" s="74" t="s">
        <v>131</v>
      </c>
      <c r="Z362" s="54" t="s">
        <v>26</v>
      </c>
      <c r="AA362" s="53" t="s">
        <v>111</v>
      </c>
      <c r="AB362" s="74" t="s">
        <v>131</v>
      </c>
      <c r="AC362" s="54" t="s">
        <v>26</v>
      </c>
      <c r="AD362" s="53" t="s">
        <v>111</v>
      </c>
      <c r="AE362" s="74" t="s">
        <v>131</v>
      </c>
      <c r="AF362" s="54" t="s">
        <v>26</v>
      </c>
      <c r="AG362" s="53" t="s">
        <v>111</v>
      </c>
      <c r="AH362" s="74" t="s">
        <v>131</v>
      </c>
      <c r="AI362" s="54" t="s">
        <v>26</v>
      </c>
      <c r="AJ362" s="53" t="s">
        <v>111</v>
      </c>
      <c r="AK362" s="74" t="s">
        <v>131</v>
      </c>
      <c r="AL362" s="54" t="s">
        <v>26</v>
      </c>
      <c r="AM362" s="53" t="s">
        <v>111</v>
      </c>
      <c r="AN362" s="74" t="s">
        <v>131</v>
      </c>
      <c r="AO362" s="54" t="s">
        <v>26</v>
      </c>
      <c r="AQ362" s="53" t="s">
        <v>111</v>
      </c>
      <c r="AR362" s="74" t="s">
        <v>131</v>
      </c>
      <c r="AS362" s="54" t="s">
        <v>26</v>
      </c>
      <c r="AU362" s="53" t="s">
        <v>111</v>
      </c>
      <c r="AV362" s="74" t="s">
        <v>131</v>
      </c>
      <c r="AW362" s="54" t="s">
        <v>26</v>
      </c>
      <c r="AY362" s="53" t="s">
        <v>111</v>
      </c>
      <c r="AZ362" s="74" t="s">
        <v>131</v>
      </c>
      <c r="BA362" s="54" t="s">
        <v>26</v>
      </c>
      <c r="BC362" s="53" t="s">
        <v>111</v>
      </c>
      <c r="BD362" s="74" t="s">
        <v>131</v>
      </c>
      <c r="BE362" s="27" t="s">
        <v>26</v>
      </c>
    </row>
    <row r="363" spans="1:57" ht="21" hidden="1" customHeight="1" outlineLevel="1" thickTop="1">
      <c r="A363" s="15" t="s">
        <v>27</v>
      </c>
      <c r="B363" s="76" t="s">
        <v>147</v>
      </c>
      <c r="C363" s="77">
        <f>+SUM(F363,I363,L363,O363,R363,U363,X363,AA363,AD363,AG363,AJ363,AM363)</f>
        <v>0</v>
      </c>
      <c r="D363" s="321">
        <f t="shared" ref="D363" si="537">IF(C363&lt;=0,0,E363/C363)</f>
        <v>0</v>
      </c>
      <c r="E363" s="79">
        <f>+SUM(H363,K363,N363,Q363,T363,W363,Z363,AC363,AF363,AI363,AL363,AO363)</f>
        <v>0</v>
      </c>
      <c r="F363" s="77">
        <v>0</v>
      </c>
      <c r="G363" s="321">
        <f t="shared" ref="G363" si="538">IF(F363&lt;=0,0,H363/F363)</f>
        <v>0</v>
      </c>
      <c r="H363" s="79">
        <v>0</v>
      </c>
      <c r="I363" s="77">
        <v>0</v>
      </c>
      <c r="J363" s="321">
        <f t="shared" ref="J363" si="539">IF(I363&lt;=0,0,K363/I363)</f>
        <v>0</v>
      </c>
      <c r="K363" s="79">
        <v>0</v>
      </c>
      <c r="L363" s="77">
        <v>0</v>
      </c>
      <c r="M363" s="321">
        <f t="shared" ref="M363" si="540">IF(L363&lt;=0,0,N363/L363)</f>
        <v>0</v>
      </c>
      <c r="N363" s="79">
        <v>0</v>
      </c>
      <c r="O363" s="77">
        <v>0</v>
      </c>
      <c r="P363" s="321">
        <f t="shared" ref="P363" si="541">IF(O363&lt;=0,0,Q363/O363)</f>
        <v>0</v>
      </c>
      <c r="Q363" s="79">
        <v>0</v>
      </c>
      <c r="R363" s="77">
        <v>0</v>
      </c>
      <c r="S363" s="321">
        <f t="shared" ref="S363" si="542">IF(R363&lt;=0,0,T363/R363)</f>
        <v>0</v>
      </c>
      <c r="T363" s="79">
        <v>0</v>
      </c>
      <c r="U363" s="77">
        <v>0</v>
      </c>
      <c r="V363" s="321">
        <f t="shared" ref="V363" si="543">IF(U363&lt;=0,0,W363/U363)</f>
        <v>0</v>
      </c>
      <c r="W363" s="80">
        <v>0</v>
      </c>
      <c r="X363" s="77">
        <v>0</v>
      </c>
      <c r="Y363" s="321">
        <f t="shared" ref="Y363" si="544">IF(X363&lt;=0,0,Z363/X363)</f>
        <v>0</v>
      </c>
      <c r="Z363" s="80">
        <v>0</v>
      </c>
      <c r="AA363" s="77">
        <f>[1]VOLKS!$J$360</f>
        <v>0</v>
      </c>
      <c r="AB363" s="321">
        <f t="shared" ref="AB363" si="545">IF(AA363&lt;=0,0,AC363/AA363)</f>
        <v>0</v>
      </c>
      <c r="AC363" s="80">
        <f>[1]VOLKS!$L$360</f>
        <v>0</v>
      </c>
      <c r="AD363" s="77">
        <v>0</v>
      </c>
      <c r="AE363" s="321">
        <v>0</v>
      </c>
      <c r="AF363" s="79">
        <v>0</v>
      </c>
      <c r="AG363" s="77">
        <v>0</v>
      </c>
      <c r="AH363" s="321">
        <v>0</v>
      </c>
      <c r="AI363" s="79">
        <v>0</v>
      </c>
      <c r="AJ363" s="77">
        <v>0</v>
      </c>
      <c r="AK363" s="321">
        <v>0</v>
      </c>
      <c r="AL363" s="79">
        <v>0</v>
      </c>
      <c r="AM363" s="77">
        <v>0</v>
      </c>
      <c r="AN363" s="321">
        <v>0</v>
      </c>
      <c r="AO363" s="79">
        <v>0</v>
      </c>
      <c r="AQ363" s="81">
        <f>SUMIFS(F363:AO363,$F$7:$AO$7,"UNITE",$F$3:$AO$3,"RÉEL")</f>
        <v>0</v>
      </c>
      <c r="AR363" s="322">
        <f t="shared" ref="AR363" si="546">IF(AQ363&lt;=0,0,AS363/AQ363)</f>
        <v>0</v>
      </c>
      <c r="AS363" s="83">
        <f>SUMIFS(F363:AO363,$F$7:$AO$7,"$PROFITS",$F$3:$AO$3,"RÉEL")</f>
        <v>0</v>
      </c>
      <c r="AU363" s="81">
        <f>SUMIFS(F363:AO363,$F$7:$AO$7,"UNITE",$F$3:$AO$3,"BUDGET")</f>
        <v>0</v>
      </c>
      <c r="AV363" s="322">
        <f t="shared" ref="AV363" si="547">IF(AU363&lt;=0,0,AW363/AU363)</f>
        <v>0</v>
      </c>
      <c r="AW363" s="83">
        <f>SUMIFS(F363:AO363,$F$7:$AO$7,"$PROFITS",$F$3:$AO$3,"BUDGET")</f>
        <v>0</v>
      </c>
      <c r="AY363" s="81">
        <f>[2]VOLKS!$J$360</f>
        <v>0</v>
      </c>
      <c r="AZ363" s="322">
        <f t="shared" ref="AZ363" si="548">IF(AY363&lt;=0,0,BA363/AY363)</f>
        <v>0</v>
      </c>
      <c r="BA363" s="83">
        <f>[2]VOLKS!$L$360</f>
        <v>0</v>
      </c>
      <c r="BC363" s="81">
        <f t="shared" ref="BC363" si="549">+AY363-AQ363</f>
        <v>0</v>
      </c>
      <c r="BD363" s="322"/>
      <c r="BE363" s="84">
        <f t="shared" ref="BE363" si="550">+BA363-AS363</f>
        <v>0</v>
      </c>
    </row>
    <row r="364" spans="1:57" ht="21" hidden="1" customHeight="1" outlineLevel="1" thickBot="1">
      <c r="A364" s="15" t="s">
        <v>27</v>
      </c>
      <c r="B364" s="323"/>
      <c r="C364" s="324"/>
      <c r="D364" s="325"/>
      <c r="E364" s="326"/>
      <c r="F364" s="324"/>
      <c r="G364" s="325"/>
      <c r="H364" s="326"/>
      <c r="I364" s="324"/>
      <c r="J364" s="325"/>
      <c r="K364" s="326"/>
      <c r="L364" s="324"/>
      <c r="M364" s="325"/>
      <c r="N364" s="326"/>
      <c r="O364" s="324"/>
      <c r="P364" s="325"/>
      <c r="Q364" s="326"/>
      <c r="R364" s="324"/>
      <c r="S364" s="325"/>
      <c r="T364" s="326"/>
      <c r="U364" s="324"/>
      <c r="V364" s="325"/>
      <c r="W364" s="327"/>
      <c r="X364" s="324"/>
      <c r="Y364" s="325"/>
      <c r="Z364" s="327"/>
      <c r="AA364" s="324"/>
      <c r="AB364" s="325"/>
      <c r="AC364" s="327"/>
      <c r="AD364" s="324"/>
      <c r="AE364" s="325"/>
      <c r="AF364" s="326"/>
      <c r="AG364" s="324"/>
      <c r="AH364" s="325"/>
      <c r="AI364" s="326"/>
      <c r="AJ364" s="324"/>
      <c r="AK364" s="325"/>
      <c r="AL364" s="326"/>
      <c r="AM364" s="324"/>
      <c r="AN364" s="325"/>
      <c r="AO364" s="326"/>
      <c r="AQ364" s="328"/>
      <c r="AR364" s="329"/>
      <c r="AS364" s="330"/>
      <c r="AU364" s="328"/>
      <c r="AV364" s="329"/>
      <c r="AW364" s="330"/>
      <c r="AY364" s="328"/>
      <c r="AZ364" s="329"/>
      <c r="BA364" s="330"/>
      <c r="BC364" s="328"/>
      <c r="BD364" s="329"/>
      <c r="BE364" s="331"/>
    </row>
    <row r="365" spans="1:57" ht="20.25" hidden="1" customHeight="1" outlineLevel="1">
      <c r="A365" s="15" t="s">
        <v>27</v>
      </c>
      <c r="B365" s="93" t="s">
        <v>148</v>
      </c>
      <c r="C365" s="332">
        <f>+C363</f>
        <v>0</v>
      </c>
      <c r="D365" s="333">
        <f>IF(C365&lt;=0,0,E365/C365)</f>
        <v>0</v>
      </c>
      <c r="E365" s="166">
        <f>+E363</f>
        <v>0</v>
      </c>
      <c r="F365" s="332">
        <f>+F363</f>
        <v>0</v>
      </c>
      <c r="G365" s="333">
        <f>IF(F365&lt;=0,0,H365/F365)</f>
        <v>0</v>
      </c>
      <c r="H365" s="166">
        <f>+H363</f>
        <v>0</v>
      </c>
      <c r="I365" s="332">
        <f>+I363</f>
        <v>0</v>
      </c>
      <c r="J365" s="333">
        <f>IF(I365&lt;=0,0,K365/I365)</f>
        <v>0</v>
      </c>
      <c r="K365" s="166">
        <f>+K363</f>
        <v>0</v>
      </c>
      <c r="L365" s="332">
        <f>+L363</f>
        <v>0</v>
      </c>
      <c r="M365" s="333">
        <f>IF(L365&lt;=0,0,N365/L365)</f>
        <v>0</v>
      </c>
      <c r="N365" s="166">
        <f>+N363</f>
        <v>0</v>
      </c>
      <c r="O365" s="332">
        <f>+O363</f>
        <v>0</v>
      </c>
      <c r="P365" s="333">
        <f>IF(O365&lt;=0,0,Q365/O365)</f>
        <v>0</v>
      </c>
      <c r="Q365" s="166">
        <f>+Q363</f>
        <v>0</v>
      </c>
      <c r="R365" s="332">
        <f>+R363</f>
        <v>0</v>
      </c>
      <c r="S365" s="333">
        <f>IF(R365&lt;=0,0,T365/R365)</f>
        <v>0</v>
      </c>
      <c r="T365" s="166">
        <f>+T363</f>
        <v>0</v>
      </c>
      <c r="U365" s="332">
        <f>+U363</f>
        <v>0</v>
      </c>
      <c r="V365" s="333">
        <f>IF(U365&lt;=0,0,W365/U365)</f>
        <v>0</v>
      </c>
      <c r="W365" s="167">
        <f>+W363</f>
        <v>0</v>
      </c>
      <c r="X365" s="332">
        <f>+X363</f>
        <v>0</v>
      </c>
      <c r="Y365" s="333">
        <f>IF(X365&lt;=0,0,Z365/X365)</f>
        <v>0</v>
      </c>
      <c r="Z365" s="167">
        <f>+Z363</f>
        <v>0</v>
      </c>
      <c r="AA365" s="332">
        <f>+AA363</f>
        <v>0</v>
      </c>
      <c r="AB365" s="333">
        <f>IF(AA365&lt;=0,0,AC365/AA365)</f>
        <v>0</v>
      </c>
      <c r="AC365" s="167">
        <f>+AC363</f>
        <v>0</v>
      </c>
      <c r="AD365" s="332">
        <v>0</v>
      </c>
      <c r="AE365" s="333">
        <v>0</v>
      </c>
      <c r="AF365" s="166">
        <v>0</v>
      </c>
      <c r="AG365" s="332">
        <v>0</v>
      </c>
      <c r="AH365" s="333">
        <v>0</v>
      </c>
      <c r="AI365" s="166">
        <v>0</v>
      </c>
      <c r="AJ365" s="332">
        <v>0</v>
      </c>
      <c r="AK365" s="333">
        <v>0</v>
      </c>
      <c r="AL365" s="166">
        <v>0</v>
      </c>
      <c r="AM365" s="332">
        <v>0</v>
      </c>
      <c r="AN365" s="333">
        <v>0</v>
      </c>
      <c r="AO365" s="166">
        <v>0</v>
      </c>
      <c r="AQ365" s="334">
        <f>+AQ363</f>
        <v>0</v>
      </c>
      <c r="AR365" s="335">
        <f t="shared" ref="AR365" si="551">IF(AQ365&lt;=0,0,AS365/AQ365)</f>
        <v>0</v>
      </c>
      <c r="AS365" s="170">
        <f t="shared" ref="AS365" si="552">+AS363</f>
        <v>0</v>
      </c>
      <c r="AU365" s="334">
        <f>SUMIFS(F365:AO365,$F$7:$AO$7,"UNITE",$F$3:$AO$3,"BUDGET")</f>
        <v>0</v>
      </c>
      <c r="AV365" s="335">
        <f t="shared" ref="AV365" si="553">IF(AU365&lt;=0,0,AW365/AU365)</f>
        <v>0</v>
      </c>
      <c r="AW365" s="170">
        <f>+AW363</f>
        <v>0</v>
      </c>
      <c r="AY365" s="334">
        <f>+AY363</f>
        <v>0</v>
      </c>
      <c r="AZ365" s="335">
        <f>IF(AY365&lt;=0,0,BA365/AY365)</f>
        <v>0</v>
      </c>
      <c r="BA365" s="170">
        <f>+BA363</f>
        <v>0</v>
      </c>
      <c r="BC365" s="334">
        <f t="shared" ref="BC365" si="554">+BC363</f>
        <v>0</v>
      </c>
      <c r="BD365" s="335"/>
      <c r="BE365" s="100">
        <f t="shared" ref="BE365" si="555">+BE363</f>
        <v>0</v>
      </c>
    </row>
    <row r="366" spans="1:57" ht="20.25" hidden="1" customHeight="1" outlineLevel="1">
      <c r="A366" s="15" t="s">
        <v>27</v>
      </c>
      <c r="B366" s="101"/>
      <c r="C366" s="34"/>
      <c r="D366" s="72"/>
      <c r="E366" s="52"/>
      <c r="F366" s="34"/>
      <c r="G366" s="72"/>
      <c r="H366" s="52"/>
      <c r="I366" s="34"/>
      <c r="J366" s="72"/>
      <c r="K366" s="52"/>
      <c r="L366" s="34"/>
      <c r="M366" s="72"/>
      <c r="N366" s="52"/>
      <c r="O366" s="34"/>
      <c r="P366" s="72"/>
      <c r="Q366" s="52"/>
      <c r="R366" s="34"/>
      <c r="S366" s="72"/>
      <c r="T366" s="52"/>
      <c r="U366" s="34"/>
      <c r="V366" s="72"/>
      <c r="W366" s="52"/>
      <c r="X366" s="34"/>
      <c r="Y366" s="72"/>
      <c r="Z366" s="52"/>
      <c r="AA366" s="34"/>
      <c r="AB366" s="72"/>
      <c r="AC366" s="52"/>
      <c r="AD366" s="34"/>
      <c r="AE366" s="72"/>
      <c r="AF366" s="52"/>
      <c r="AG366" s="34"/>
      <c r="AH366" s="72"/>
      <c r="AI366" s="52"/>
      <c r="AJ366" s="34"/>
      <c r="AK366" s="72"/>
      <c r="AL366" s="52"/>
      <c r="AM366" s="34"/>
      <c r="AN366" s="72"/>
      <c r="AO366" s="52"/>
      <c r="AQ366" s="53"/>
      <c r="AR366" s="74"/>
      <c r="AS366" s="54"/>
      <c r="AU366" s="53"/>
      <c r="AV366" s="74"/>
      <c r="AW366" s="54"/>
      <c r="AY366" s="53"/>
      <c r="AZ366" s="74"/>
      <c r="BA366" s="54"/>
      <c r="BC366" s="53"/>
      <c r="BD366" s="74"/>
      <c r="BE366" s="27"/>
    </row>
    <row r="367" spans="1:57" ht="20.25" collapsed="1">
      <c r="A367" s="15" t="s">
        <v>27</v>
      </c>
      <c r="B367" s="101" t="s">
        <v>42</v>
      </c>
      <c r="C367" s="34"/>
      <c r="D367" s="72"/>
      <c r="E367" s="52"/>
      <c r="F367" s="34"/>
      <c r="G367" s="72"/>
      <c r="H367" s="52"/>
      <c r="I367" s="34"/>
      <c r="J367" s="72"/>
      <c r="K367" s="52"/>
      <c r="L367" s="34"/>
      <c r="M367" s="72"/>
      <c r="N367" s="52"/>
      <c r="O367" s="34"/>
      <c r="P367" s="72"/>
      <c r="Q367" s="52"/>
      <c r="R367" s="34"/>
      <c r="S367" s="72"/>
      <c r="T367" s="52"/>
      <c r="U367" s="34"/>
      <c r="V367" s="72"/>
      <c r="W367" s="52"/>
      <c r="X367" s="34"/>
      <c r="Y367" s="72"/>
      <c r="Z367" s="52"/>
      <c r="AA367" s="34"/>
      <c r="AB367" s="72"/>
      <c r="AC367" s="52"/>
      <c r="AD367" s="34"/>
      <c r="AE367" s="72"/>
      <c r="AF367" s="52"/>
      <c r="AG367" s="34"/>
      <c r="AH367" s="72"/>
      <c r="AI367" s="52"/>
      <c r="AJ367" s="34"/>
      <c r="AK367" s="72"/>
      <c r="AL367" s="52"/>
      <c r="AM367" s="34"/>
      <c r="AN367" s="72"/>
      <c r="AO367" s="52"/>
      <c r="AQ367" s="53"/>
      <c r="AR367" s="74"/>
      <c r="AS367" s="54"/>
      <c r="AU367" s="53"/>
      <c r="AV367" s="74"/>
      <c r="AW367" s="54"/>
      <c r="AY367" s="53"/>
      <c r="AZ367" s="74"/>
      <c r="BA367" s="54"/>
      <c r="BC367" s="53"/>
      <c r="BD367" s="74"/>
      <c r="BE367" s="27"/>
    </row>
    <row r="368" spans="1:57" ht="20.25">
      <c r="A368" s="15" t="s">
        <v>58</v>
      </c>
      <c r="B368" s="128" t="s">
        <v>59</v>
      </c>
      <c r="C368" s="34"/>
      <c r="D368" s="72"/>
      <c r="E368" s="104">
        <f t="shared" ref="E368:E378" si="556">+SUM(H368,K368,N368,Q368,T368,W368,Z368,AC368,AF368,AI368,AL368,AO368)</f>
        <v>0</v>
      </c>
      <c r="F368" s="34"/>
      <c r="G368" s="72"/>
      <c r="H368" s="104">
        <v>0</v>
      </c>
      <c r="I368" s="34"/>
      <c r="J368" s="72"/>
      <c r="K368" s="104">
        <v>0</v>
      </c>
      <c r="L368" s="34"/>
      <c r="M368" s="72"/>
      <c r="N368" s="104">
        <v>0</v>
      </c>
      <c r="O368" s="34"/>
      <c r="P368" s="72"/>
      <c r="Q368" s="104">
        <v>0</v>
      </c>
      <c r="R368" s="34"/>
      <c r="S368" s="72"/>
      <c r="T368" s="104">
        <v>0</v>
      </c>
      <c r="U368" s="34"/>
      <c r="V368" s="72"/>
      <c r="W368" s="104">
        <v>0</v>
      </c>
      <c r="X368" s="34"/>
      <c r="Y368" s="72"/>
      <c r="Z368" s="104">
        <v>0</v>
      </c>
      <c r="AA368" s="34"/>
      <c r="AB368" s="72"/>
      <c r="AC368" s="104">
        <f>+[1]VOLKS!$L$365</f>
        <v>0</v>
      </c>
      <c r="AD368" s="34"/>
      <c r="AE368" s="72"/>
      <c r="AF368" s="104">
        <v>0</v>
      </c>
      <c r="AG368" s="34"/>
      <c r="AH368" s="72"/>
      <c r="AI368" s="104">
        <v>0</v>
      </c>
      <c r="AJ368" s="34"/>
      <c r="AK368" s="72"/>
      <c r="AL368" s="105">
        <v>0</v>
      </c>
      <c r="AM368" s="34"/>
      <c r="AN368" s="72"/>
      <c r="AO368" s="105">
        <v>0</v>
      </c>
      <c r="AQ368" s="53"/>
      <c r="AR368" s="74"/>
      <c r="AS368" s="108">
        <f t="shared" ref="AS368:AS378" si="557">SUMIFS(F368:AO368,$F$7:$AO$7,"$PROFITS",$F$3:$AO$3,"RÉEL")</f>
        <v>0</v>
      </c>
      <c r="AU368" s="53"/>
      <c r="AV368" s="74"/>
      <c r="AW368" s="108">
        <f t="shared" ref="AW368:AW378" si="558">SUMIFS(F368:AO368,$F$7:$AO$7,"$PROFITS",$F$3:$AO$3,"BUDGET")</f>
        <v>0</v>
      </c>
      <c r="AY368" s="53"/>
      <c r="AZ368" s="74"/>
      <c r="BA368" s="108">
        <f>+[2]VOLKS!$L$365</f>
        <v>0</v>
      </c>
      <c r="BC368" s="53"/>
      <c r="BD368" s="74"/>
      <c r="BE368" s="109">
        <f t="shared" ref="BE368:BE378" si="559">+BA368-AS368</f>
        <v>0</v>
      </c>
    </row>
    <row r="369" spans="1:57" ht="20.25">
      <c r="A369" s="15" t="s">
        <v>60</v>
      </c>
      <c r="B369" s="129" t="s">
        <v>61</v>
      </c>
      <c r="C369" s="34"/>
      <c r="D369" s="72"/>
      <c r="E369" s="104">
        <f t="shared" si="556"/>
        <v>0</v>
      </c>
      <c r="F369" s="34"/>
      <c r="G369" s="72"/>
      <c r="H369" s="104">
        <v>0</v>
      </c>
      <c r="I369" s="34"/>
      <c r="J369" s="72"/>
      <c r="K369" s="104">
        <v>0</v>
      </c>
      <c r="L369" s="34"/>
      <c r="M369" s="72"/>
      <c r="N369" s="104">
        <v>0</v>
      </c>
      <c r="O369" s="34"/>
      <c r="P369" s="72"/>
      <c r="Q369" s="104">
        <v>0</v>
      </c>
      <c r="R369" s="34"/>
      <c r="S369" s="72"/>
      <c r="T369" s="104">
        <v>0</v>
      </c>
      <c r="U369" s="34"/>
      <c r="V369" s="72"/>
      <c r="W369" s="104">
        <v>0</v>
      </c>
      <c r="X369" s="34"/>
      <c r="Y369" s="72"/>
      <c r="Z369" s="104">
        <v>0</v>
      </c>
      <c r="AA369" s="34"/>
      <c r="AB369" s="72"/>
      <c r="AC369" s="104">
        <f>+[1]VOLKS!$L$366</f>
        <v>0</v>
      </c>
      <c r="AD369" s="34"/>
      <c r="AE369" s="72"/>
      <c r="AF369" s="104">
        <v>0</v>
      </c>
      <c r="AG369" s="34"/>
      <c r="AH369" s="72"/>
      <c r="AI369" s="104">
        <v>0</v>
      </c>
      <c r="AJ369" s="34"/>
      <c r="AK369" s="72"/>
      <c r="AL369" s="105">
        <v>0</v>
      </c>
      <c r="AM369" s="34"/>
      <c r="AN369" s="72"/>
      <c r="AO369" s="105">
        <v>0</v>
      </c>
      <c r="AQ369" s="53"/>
      <c r="AR369" s="74"/>
      <c r="AS369" s="108">
        <f t="shared" si="557"/>
        <v>0</v>
      </c>
      <c r="AU369" s="53"/>
      <c r="AV369" s="74"/>
      <c r="AW369" s="108">
        <f t="shared" si="558"/>
        <v>0</v>
      </c>
      <c r="AY369" s="53"/>
      <c r="AZ369" s="74"/>
      <c r="BA369" s="108">
        <f>+[2]VOLKS!$L$366</f>
        <v>0</v>
      </c>
      <c r="BC369" s="53"/>
      <c r="BD369" s="74"/>
      <c r="BE369" s="109">
        <f t="shared" si="559"/>
        <v>0</v>
      </c>
    </row>
    <row r="370" spans="1:57" ht="20.25">
      <c r="A370" s="15" t="s">
        <v>60</v>
      </c>
      <c r="B370" s="128" t="s">
        <v>62</v>
      </c>
      <c r="C370" s="23"/>
      <c r="D370" s="130"/>
      <c r="E370" s="131">
        <f t="shared" si="556"/>
        <v>0</v>
      </c>
      <c r="F370" s="23"/>
      <c r="G370" s="130"/>
      <c r="H370" s="131">
        <v>0</v>
      </c>
      <c r="I370" s="23"/>
      <c r="J370" s="130"/>
      <c r="K370" s="131">
        <v>0</v>
      </c>
      <c r="L370" s="23"/>
      <c r="M370" s="130"/>
      <c r="N370" s="131">
        <v>0</v>
      </c>
      <c r="O370" s="23"/>
      <c r="P370" s="130"/>
      <c r="Q370" s="131">
        <v>0</v>
      </c>
      <c r="R370" s="23"/>
      <c r="S370" s="130"/>
      <c r="T370" s="131">
        <v>0</v>
      </c>
      <c r="U370" s="23"/>
      <c r="V370" s="130"/>
      <c r="W370" s="131">
        <v>0</v>
      </c>
      <c r="X370" s="23"/>
      <c r="Y370" s="130"/>
      <c r="Z370" s="131">
        <v>0</v>
      </c>
      <c r="AA370" s="23"/>
      <c r="AB370" s="130"/>
      <c r="AC370" s="131">
        <f>+[1]VOLKS!$L$367</f>
        <v>0</v>
      </c>
      <c r="AD370" s="23"/>
      <c r="AE370" s="130"/>
      <c r="AF370" s="131">
        <v>0</v>
      </c>
      <c r="AG370" s="23"/>
      <c r="AH370" s="130"/>
      <c r="AI370" s="131">
        <v>0</v>
      </c>
      <c r="AJ370" s="23"/>
      <c r="AK370" s="130"/>
      <c r="AL370" s="132">
        <v>0</v>
      </c>
      <c r="AM370" s="23"/>
      <c r="AN370" s="130"/>
      <c r="AO370" s="132">
        <v>0</v>
      </c>
      <c r="AQ370" s="133"/>
      <c r="AR370" s="134"/>
      <c r="AS370" s="135">
        <f t="shared" si="557"/>
        <v>0</v>
      </c>
      <c r="AU370" s="133"/>
      <c r="AV370" s="134"/>
      <c r="AW370" s="135">
        <f t="shared" si="558"/>
        <v>0</v>
      </c>
      <c r="AY370" s="133"/>
      <c r="AZ370" s="134"/>
      <c r="BA370" s="135">
        <f>+[2]VOLKS!$L$367</f>
        <v>0</v>
      </c>
      <c r="BC370" s="133"/>
      <c r="BD370" s="134"/>
      <c r="BE370" s="136">
        <f t="shared" si="559"/>
        <v>0</v>
      </c>
    </row>
    <row r="371" spans="1:57" ht="20.25">
      <c r="A371" s="15" t="s">
        <v>60</v>
      </c>
      <c r="B371" s="128" t="s">
        <v>63</v>
      </c>
      <c r="C371" s="34"/>
      <c r="D371" s="72"/>
      <c r="E371" s="104">
        <f t="shared" si="556"/>
        <v>0</v>
      </c>
      <c r="F371" s="34"/>
      <c r="G371" s="72"/>
      <c r="H371" s="104">
        <v>0</v>
      </c>
      <c r="I371" s="34"/>
      <c r="J371" s="72"/>
      <c r="K371" s="104">
        <v>0</v>
      </c>
      <c r="L371" s="34"/>
      <c r="M371" s="72"/>
      <c r="N371" s="104">
        <v>0</v>
      </c>
      <c r="O371" s="34"/>
      <c r="P371" s="72"/>
      <c r="Q371" s="104">
        <v>0</v>
      </c>
      <c r="R371" s="34"/>
      <c r="S371" s="72"/>
      <c r="T371" s="104">
        <v>0</v>
      </c>
      <c r="U371" s="34"/>
      <c r="V371" s="72"/>
      <c r="W371" s="104">
        <v>0</v>
      </c>
      <c r="X371" s="34"/>
      <c r="Y371" s="72"/>
      <c r="Z371" s="104">
        <v>0</v>
      </c>
      <c r="AA371" s="34"/>
      <c r="AB371" s="72"/>
      <c r="AC371" s="104">
        <f>+[1]VOLKS!$L$368</f>
        <v>0</v>
      </c>
      <c r="AD371" s="34"/>
      <c r="AE371" s="72"/>
      <c r="AF371" s="104">
        <v>0</v>
      </c>
      <c r="AG371" s="34"/>
      <c r="AH371" s="72"/>
      <c r="AI371" s="104">
        <v>0</v>
      </c>
      <c r="AJ371" s="34"/>
      <c r="AK371" s="72"/>
      <c r="AL371" s="105">
        <v>0</v>
      </c>
      <c r="AM371" s="34"/>
      <c r="AN371" s="72"/>
      <c r="AO371" s="105">
        <v>0</v>
      </c>
      <c r="AQ371" s="53"/>
      <c r="AR371" s="74"/>
      <c r="AS371" s="108">
        <f t="shared" si="557"/>
        <v>0</v>
      </c>
      <c r="AU371" s="53"/>
      <c r="AV371" s="74"/>
      <c r="AW371" s="108">
        <f t="shared" si="558"/>
        <v>0</v>
      </c>
      <c r="AY371" s="53"/>
      <c r="AZ371" s="74"/>
      <c r="BA371" s="108">
        <f>+[2]VOLKS!$L$368</f>
        <v>0</v>
      </c>
      <c r="BC371" s="53"/>
      <c r="BD371" s="74"/>
      <c r="BE371" s="109">
        <f t="shared" si="559"/>
        <v>0</v>
      </c>
    </row>
    <row r="372" spans="1:57" ht="20.25" hidden="1" customHeight="1">
      <c r="A372" s="15"/>
      <c r="B372" s="34"/>
      <c r="C372" s="34"/>
      <c r="D372" s="72"/>
      <c r="E372" s="104"/>
      <c r="F372" s="34"/>
      <c r="G372" s="72"/>
      <c r="H372" s="104"/>
      <c r="I372" s="34"/>
      <c r="J372" s="72"/>
      <c r="K372" s="104"/>
      <c r="L372" s="34"/>
      <c r="M372" s="72"/>
      <c r="N372" s="104"/>
      <c r="O372" s="34"/>
      <c r="P372" s="72"/>
      <c r="Q372" s="104"/>
      <c r="R372" s="34"/>
      <c r="S372" s="72"/>
      <c r="T372" s="104"/>
      <c r="U372" s="34"/>
      <c r="V372" s="72"/>
      <c r="W372" s="104"/>
      <c r="X372" s="34"/>
      <c r="Y372" s="72"/>
      <c r="Z372" s="104"/>
      <c r="AA372" s="34"/>
      <c r="AB372" s="72"/>
      <c r="AC372" s="104"/>
      <c r="AD372" s="34"/>
      <c r="AE372" s="72"/>
      <c r="AF372" s="104"/>
      <c r="AG372" s="34"/>
      <c r="AH372" s="72"/>
      <c r="AI372" s="104"/>
      <c r="AJ372" s="34"/>
      <c r="AK372" s="72"/>
      <c r="AL372" s="105"/>
      <c r="AM372" s="34"/>
      <c r="AN372" s="72"/>
      <c r="AO372" s="105"/>
      <c r="AQ372" s="53"/>
      <c r="AR372" s="74"/>
      <c r="AS372" s="108"/>
      <c r="AU372" s="53"/>
      <c r="AV372" s="74"/>
      <c r="AW372" s="108"/>
      <c r="AY372" s="53"/>
      <c r="AZ372" s="74"/>
      <c r="BA372" s="108"/>
      <c r="BC372" s="53"/>
      <c r="BD372" s="74"/>
      <c r="BE372" s="109"/>
    </row>
    <row r="373" spans="1:57" ht="20.25" hidden="1" customHeight="1">
      <c r="A373" s="15"/>
      <c r="B373" s="34"/>
      <c r="C373" s="34"/>
      <c r="D373" s="72"/>
      <c r="E373" s="104"/>
      <c r="F373" s="34"/>
      <c r="G373" s="72"/>
      <c r="H373" s="104"/>
      <c r="I373" s="34"/>
      <c r="J373" s="72"/>
      <c r="K373" s="104"/>
      <c r="L373" s="34"/>
      <c r="M373" s="72"/>
      <c r="N373" s="104"/>
      <c r="O373" s="34"/>
      <c r="P373" s="72"/>
      <c r="Q373" s="104"/>
      <c r="R373" s="34"/>
      <c r="S373" s="72"/>
      <c r="T373" s="104"/>
      <c r="U373" s="34"/>
      <c r="V373" s="72"/>
      <c r="W373" s="104"/>
      <c r="X373" s="34"/>
      <c r="Y373" s="72"/>
      <c r="Z373" s="104"/>
      <c r="AA373" s="34"/>
      <c r="AB373" s="72"/>
      <c r="AC373" s="104"/>
      <c r="AD373" s="34"/>
      <c r="AE373" s="72"/>
      <c r="AF373" s="104"/>
      <c r="AG373" s="34"/>
      <c r="AH373" s="72"/>
      <c r="AI373" s="104"/>
      <c r="AJ373" s="34"/>
      <c r="AK373" s="72"/>
      <c r="AL373" s="105"/>
      <c r="AM373" s="34"/>
      <c r="AN373" s="72"/>
      <c r="AO373" s="105"/>
      <c r="AQ373" s="53"/>
      <c r="AR373" s="74"/>
      <c r="AS373" s="108"/>
      <c r="AU373" s="53"/>
      <c r="AV373" s="74"/>
      <c r="AW373" s="108"/>
      <c r="AY373" s="53"/>
      <c r="AZ373" s="74"/>
      <c r="BA373" s="108"/>
      <c r="BC373" s="53"/>
      <c r="BD373" s="74"/>
      <c r="BE373" s="109"/>
    </row>
    <row r="374" spans="1:57" ht="20.25" hidden="1" customHeight="1">
      <c r="A374" s="15"/>
      <c r="B374" s="34"/>
      <c r="C374" s="34"/>
      <c r="D374" s="72"/>
      <c r="E374" s="104"/>
      <c r="F374" s="34"/>
      <c r="G374" s="72"/>
      <c r="H374" s="104"/>
      <c r="I374" s="34"/>
      <c r="J374" s="72"/>
      <c r="K374" s="104"/>
      <c r="L374" s="34"/>
      <c r="M374" s="72"/>
      <c r="N374" s="104"/>
      <c r="O374" s="34"/>
      <c r="P374" s="72"/>
      <c r="Q374" s="104"/>
      <c r="R374" s="34"/>
      <c r="S374" s="72"/>
      <c r="T374" s="104"/>
      <c r="U374" s="34"/>
      <c r="V374" s="72"/>
      <c r="W374" s="104"/>
      <c r="X374" s="34"/>
      <c r="Y374" s="72"/>
      <c r="Z374" s="104"/>
      <c r="AA374" s="34"/>
      <c r="AB374" s="72"/>
      <c r="AC374" s="104"/>
      <c r="AD374" s="34"/>
      <c r="AE374" s="72"/>
      <c r="AF374" s="104"/>
      <c r="AG374" s="34"/>
      <c r="AH374" s="72"/>
      <c r="AI374" s="104"/>
      <c r="AJ374" s="34"/>
      <c r="AK374" s="72"/>
      <c r="AL374" s="105"/>
      <c r="AM374" s="34"/>
      <c r="AN374" s="72"/>
      <c r="AO374" s="105"/>
      <c r="AQ374" s="53"/>
      <c r="AR374" s="74"/>
      <c r="AS374" s="108"/>
      <c r="AU374" s="53"/>
      <c r="AV374" s="74"/>
      <c r="AW374" s="108"/>
      <c r="AY374" s="53"/>
      <c r="AZ374" s="74"/>
      <c r="BA374" s="108"/>
      <c r="BC374" s="53"/>
      <c r="BD374" s="74"/>
      <c r="BE374" s="109"/>
    </row>
    <row r="375" spans="1:57" ht="20.25">
      <c r="A375" s="15" t="s">
        <v>64</v>
      </c>
      <c r="B375" s="129" t="s">
        <v>65</v>
      </c>
      <c r="C375" s="34"/>
      <c r="D375" s="72"/>
      <c r="E375" s="104">
        <f t="shared" si="556"/>
        <v>0</v>
      </c>
      <c r="F375" s="34"/>
      <c r="G375" s="72"/>
      <c r="H375" s="104">
        <v>0</v>
      </c>
      <c r="I375" s="34"/>
      <c r="J375" s="72"/>
      <c r="K375" s="104">
        <v>0</v>
      </c>
      <c r="L375" s="34"/>
      <c r="M375" s="72"/>
      <c r="N375" s="104">
        <v>0</v>
      </c>
      <c r="O375" s="34"/>
      <c r="P375" s="72"/>
      <c r="Q375" s="104">
        <v>0</v>
      </c>
      <c r="R375" s="34"/>
      <c r="S375" s="72"/>
      <c r="T375" s="104">
        <v>0</v>
      </c>
      <c r="U375" s="34"/>
      <c r="V375" s="72"/>
      <c r="W375" s="104">
        <v>0</v>
      </c>
      <c r="X375" s="34"/>
      <c r="Y375" s="72"/>
      <c r="Z375" s="104">
        <v>0</v>
      </c>
      <c r="AA375" s="34"/>
      <c r="AB375" s="72"/>
      <c r="AC375" s="104">
        <f>+[1]VOLKS!$L$372</f>
        <v>0</v>
      </c>
      <c r="AD375" s="34"/>
      <c r="AE375" s="72"/>
      <c r="AF375" s="104">
        <v>0</v>
      </c>
      <c r="AG375" s="34"/>
      <c r="AH375" s="72"/>
      <c r="AI375" s="104">
        <v>0</v>
      </c>
      <c r="AJ375" s="34"/>
      <c r="AK375" s="72"/>
      <c r="AL375" s="105">
        <v>0</v>
      </c>
      <c r="AM375" s="34"/>
      <c r="AN375" s="72"/>
      <c r="AO375" s="105">
        <v>0</v>
      </c>
      <c r="AQ375" s="53"/>
      <c r="AR375" s="74"/>
      <c r="AS375" s="108">
        <f t="shared" si="557"/>
        <v>0</v>
      </c>
      <c r="AU375" s="53"/>
      <c r="AV375" s="74"/>
      <c r="AW375" s="108">
        <f t="shared" si="558"/>
        <v>0</v>
      </c>
      <c r="AY375" s="53"/>
      <c r="AZ375" s="74"/>
      <c r="BA375" s="108">
        <f>+[2]VOLKS!$L$372</f>
        <v>0</v>
      </c>
      <c r="BC375" s="53"/>
      <c r="BD375" s="74"/>
      <c r="BE375" s="109">
        <f t="shared" si="559"/>
        <v>0</v>
      </c>
    </row>
    <row r="376" spans="1:57" ht="20.25">
      <c r="A376" s="15" t="s">
        <v>66</v>
      </c>
      <c r="B376" s="128" t="s">
        <v>67</v>
      </c>
      <c r="C376" s="23"/>
      <c r="D376" s="130"/>
      <c r="E376" s="131">
        <f t="shared" si="556"/>
        <v>0</v>
      </c>
      <c r="F376" s="23"/>
      <c r="G376" s="130"/>
      <c r="H376" s="131">
        <v>0</v>
      </c>
      <c r="I376" s="23"/>
      <c r="J376" s="130"/>
      <c r="K376" s="131">
        <v>0</v>
      </c>
      <c r="L376" s="23"/>
      <c r="M376" s="130"/>
      <c r="N376" s="131">
        <v>0</v>
      </c>
      <c r="O376" s="23"/>
      <c r="P376" s="130"/>
      <c r="Q376" s="131">
        <v>0</v>
      </c>
      <c r="R376" s="23"/>
      <c r="S376" s="130"/>
      <c r="T376" s="131">
        <v>0</v>
      </c>
      <c r="U376" s="23"/>
      <c r="V376" s="130"/>
      <c r="W376" s="131">
        <v>0</v>
      </c>
      <c r="X376" s="23"/>
      <c r="Y376" s="130"/>
      <c r="Z376" s="131">
        <v>0</v>
      </c>
      <c r="AA376" s="23"/>
      <c r="AB376" s="130"/>
      <c r="AC376" s="131">
        <f>+[1]VOLKS!$L$373</f>
        <v>0</v>
      </c>
      <c r="AD376" s="23"/>
      <c r="AE376" s="130"/>
      <c r="AF376" s="131">
        <v>0</v>
      </c>
      <c r="AG376" s="23"/>
      <c r="AH376" s="130"/>
      <c r="AI376" s="131">
        <v>0</v>
      </c>
      <c r="AJ376" s="23"/>
      <c r="AK376" s="130"/>
      <c r="AL376" s="132">
        <v>0</v>
      </c>
      <c r="AM376" s="23"/>
      <c r="AN376" s="130"/>
      <c r="AO376" s="132">
        <v>0</v>
      </c>
      <c r="AQ376" s="133"/>
      <c r="AR376" s="134"/>
      <c r="AS376" s="135">
        <f t="shared" si="557"/>
        <v>0</v>
      </c>
      <c r="AU376" s="133"/>
      <c r="AV376" s="134"/>
      <c r="AW376" s="135">
        <f t="shared" si="558"/>
        <v>0</v>
      </c>
      <c r="AY376" s="133"/>
      <c r="AZ376" s="134"/>
      <c r="BA376" s="135">
        <f>+[2]VOLKS!$L$373</f>
        <v>0</v>
      </c>
      <c r="BC376" s="133"/>
      <c r="BD376" s="134"/>
      <c r="BE376" s="136">
        <f t="shared" si="559"/>
        <v>0</v>
      </c>
    </row>
    <row r="377" spans="1:57" ht="20.25">
      <c r="A377" s="15" t="s">
        <v>68</v>
      </c>
      <c r="B377" s="137" t="s">
        <v>69</v>
      </c>
      <c r="C377" s="34"/>
      <c r="D377" s="72"/>
      <c r="E377" s="104">
        <f t="shared" si="556"/>
        <v>0</v>
      </c>
      <c r="F377" s="34"/>
      <c r="G377" s="72"/>
      <c r="H377" s="104">
        <v>0</v>
      </c>
      <c r="I377" s="34"/>
      <c r="J377" s="72"/>
      <c r="K377" s="104">
        <v>0</v>
      </c>
      <c r="L377" s="34"/>
      <c r="M377" s="72"/>
      <c r="N377" s="104">
        <v>0</v>
      </c>
      <c r="O377" s="34"/>
      <c r="P377" s="72"/>
      <c r="Q377" s="104">
        <v>0</v>
      </c>
      <c r="R377" s="34"/>
      <c r="S377" s="72"/>
      <c r="T377" s="104">
        <v>0</v>
      </c>
      <c r="U377" s="34"/>
      <c r="V377" s="72"/>
      <c r="W377" s="104">
        <v>0</v>
      </c>
      <c r="X377" s="34"/>
      <c r="Y377" s="72"/>
      <c r="Z377" s="104">
        <v>0</v>
      </c>
      <c r="AA377" s="34"/>
      <c r="AB377" s="72"/>
      <c r="AC377" s="104">
        <f>+[1]VOLKS!$L$374</f>
        <v>0</v>
      </c>
      <c r="AD377" s="34"/>
      <c r="AE377" s="72"/>
      <c r="AF377" s="104">
        <v>0</v>
      </c>
      <c r="AG377" s="34"/>
      <c r="AH377" s="72"/>
      <c r="AI377" s="104">
        <v>0</v>
      </c>
      <c r="AJ377" s="34"/>
      <c r="AK377" s="72"/>
      <c r="AL377" s="105">
        <v>0</v>
      </c>
      <c r="AM377" s="34"/>
      <c r="AN377" s="72"/>
      <c r="AO377" s="105">
        <v>0</v>
      </c>
      <c r="AQ377" s="53"/>
      <c r="AR377" s="74"/>
      <c r="AS377" s="108">
        <f t="shared" si="557"/>
        <v>0</v>
      </c>
      <c r="AU377" s="53"/>
      <c r="AV377" s="74"/>
      <c r="AW377" s="108">
        <f t="shared" si="558"/>
        <v>0</v>
      </c>
      <c r="AY377" s="53"/>
      <c r="AZ377" s="74"/>
      <c r="BA377" s="108">
        <f>+[2]VOLKS!$L$374</f>
        <v>0</v>
      </c>
      <c r="BC377" s="53"/>
      <c r="BD377" s="74"/>
      <c r="BE377" s="109">
        <f t="shared" si="559"/>
        <v>0</v>
      </c>
    </row>
    <row r="378" spans="1:57" ht="20.25">
      <c r="A378" s="15" t="s">
        <v>70</v>
      </c>
      <c r="B378" s="128" t="s">
        <v>71</v>
      </c>
      <c r="C378" s="34"/>
      <c r="D378" s="72"/>
      <c r="E378" s="104">
        <f t="shared" si="556"/>
        <v>0</v>
      </c>
      <c r="F378" s="34"/>
      <c r="G378" s="72"/>
      <c r="H378" s="104">
        <v>0</v>
      </c>
      <c r="I378" s="34"/>
      <c r="J378" s="72"/>
      <c r="K378" s="104">
        <v>0</v>
      </c>
      <c r="L378" s="34"/>
      <c r="M378" s="72"/>
      <c r="N378" s="104">
        <v>0</v>
      </c>
      <c r="O378" s="34"/>
      <c r="P378" s="72"/>
      <c r="Q378" s="104">
        <v>0</v>
      </c>
      <c r="R378" s="34"/>
      <c r="S378" s="72"/>
      <c r="T378" s="104">
        <v>0</v>
      </c>
      <c r="U378" s="34"/>
      <c r="V378" s="72"/>
      <c r="W378" s="104">
        <v>0</v>
      </c>
      <c r="X378" s="34"/>
      <c r="Y378" s="72"/>
      <c r="Z378" s="104">
        <v>0</v>
      </c>
      <c r="AA378" s="34"/>
      <c r="AB378" s="72"/>
      <c r="AC378" s="104">
        <f>+[1]VOLKS!$L$375</f>
        <v>0</v>
      </c>
      <c r="AD378" s="34"/>
      <c r="AE378" s="72"/>
      <c r="AF378" s="104">
        <v>0</v>
      </c>
      <c r="AG378" s="34"/>
      <c r="AH378" s="72"/>
      <c r="AI378" s="104">
        <v>0</v>
      </c>
      <c r="AJ378" s="34"/>
      <c r="AK378" s="72"/>
      <c r="AL378" s="105">
        <v>0</v>
      </c>
      <c r="AM378" s="34"/>
      <c r="AN378" s="72"/>
      <c r="AO378" s="105">
        <v>0</v>
      </c>
      <c r="AQ378" s="53"/>
      <c r="AR378" s="74"/>
      <c r="AS378" s="108">
        <f t="shared" si="557"/>
        <v>0</v>
      </c>
      <c r="AU378" s="53"/>
      <c r="AV378" s="74"/>
      <c r="AW378" s="108">
        <f t="shared" si="558"/>
        <v>0</v>
      </c>
      <c r="AY378" s="53"/>
      <c r="AZ378" s="74"/>
      <c r="BA378" s="108">
        <f>+[2]VOLKS!$L$375</f>
        <v>0</v>
      </c>
      <c r="BC378" s="53"/>
      <c r="BD378" s="74"/>
      <c r="BE378" s="109">
        <f t="shared" si="559"/>
        <v>0</v>
      </c>
    </row>
    <row r="379" spans="1:57" ht="20.25" customHeight="1">
      <c r="A379" s="15"/>
      <c r="B379" s="34"/>
      <c r="C379" s="28"/>
      <c r="D379" s="138"/>
      <c r="E379" s="139"/>
      <c r="F379" s="28"/>
      <c r="G379" s="138"/>
      <c r="H379" s="139"/>
      <c r="I379" s="28"/>
      <c r="J379" s="138"/>
      <c r="K379" s="139"/>
      <c r="L379" s="28"/>
      <c r="M379" s="138"/>
      <c r="N379" s="139"/>
      <c r="O379" s="28"/>
      <c r="P379" s="138"/>
      <c r="Q379" s="139"/>
      <c r="R379" s="28"/>
      <c r="S379" s="138"/>
      <c r="T379" s="139"/>
      <c r="U379" s="28"/>
      <c r="V379" s="138"/>
      <c r="W379" s="139"/>
      <c r="X379" s="28"/>
      <c r="Y379" s="138"/>
      <c r="Z379" s="139"/>
      <c r="AA379" s="28"/>
      <c r="AB379" s="138"/>
      <c r="AC379" s="139"/>
      <c r="AD379" s="28"/>
      <c r="AE379" s="138"/>
      <c r="AF379" s="139"/>
      <c r="AG379" s="28"/>
      <c r="AH379" s="138"/>
      <c r="AI379" s="139"/>
      <c r="AJ379" s="28"/>
      <c r="AK379" s="138"/>
      <c r="AL379" s="139"/>
      <c r="AM379" s="28"/>
      <c r="AN379" s="138"/>
      <c r="AO379" s="139"/>
      <c r="AQ379" s="119"/>
      <c r="AR379" s="140"/>
      <c r="AS379" s="141"/>
      <c r="AU379" s="119"/>
      <c r="AV379" s="140"/>
      <c r="AW379" s="141"/>
      <c r="AY379" s="119"/>
      <c r="AZ379" s="140"/>
      <c r="BA379" s="141"/>
      <c r="BC379" s="119"/>
      <c r="BD379" s="140"/>
      <c r="BE379" s="142"/>
    </row>
    <row r="380" spans="1:57" ht="20.25">
      <c r="A380" s="15" t="s">
        <v>27</v>
      </c>
      <c r="B380" s="120" t="s">
        <v>72</v>
      </c>
      <c r="C380" s="121" t="s">
        <v>57</v>
      </c>
      <c r="D380" s="122">
        <f>IFERROR(E380/E$363,0)</f>
        <v>0</v>
      </c>
      <c r="E380" s="123">
        <f>+SUM(E368:E379)</f>
        <v>0</v>
      </c>
      <c r="F380" s="121"/>
      <c r="G380" s="122"/>
      <c r="H380" s="123">
        <v>0</v>
      </c>
      <c r="I380" s="121"/>
      <c r="J380" s="122"/>
      <c r="K380" s="123">
        <v>0</v>
      </c>
      <c r="L380" s="121"/>
      <c r="M380" s="122"/>
      <c r="N380" s="123">
        <v>0</v>
      </c>
      <c r="O380" s="121"/>
      <c r="P380" s="122"/>
      <c r="Q380" s="123">
        <v>0</v>
      </c>
      <c r="R380" s="121"/>
      <c r="S380" s="122"/>
      <c r="T380" s="123">
        <v>0</v>
      </c>
      <c r="U380" s="121"/>
      <c r="V380" s="122"/>
      <c r="W380" s="124">
        <v>0</v>
      </c>
      <c r="X380" s="121"/>
      <c r="Y380" s="122"/>
      <c r="Z380" s="124">
        <v>0</v>
      </c>
      <c r="AA380" s="121"/>
      <c r="AB380" s="122"/>
      <c r="AC380" s="124">
        <f>+[1]VOLKS!$L$377</f>
        <v>0</v>
      </c>
      <c r="AD380" s="121" t="s">
        <v>57</v>
      </c>
      <c r="AE380" s="122">
        <v>0</v>
      </c>
      <c r="AF380" s="123">
        <v>0</v>
      </c>
      <c r="AG380" s="121" t="s">
        <v>57</v>
      </c>
      <c r="AH380" s="122">
        <v>0</v>
      </c>
      <c r="AI380" s="123">
        <v>0</v>
      </c>
      <c r="AJ380" s="121" t="s">
        <v>57</v>
      </c>
      <c r="AK380" s="122">
        <v>0</v>
      </c>
      <c r="AL380" s="123">
        <v>0</v>
      </c>
      <c r="AM380" s="121" t="s">
        <v>57</v>
      </c>
      <c r="AN380" s="122">
        <v>0</v>
      </c>
      <c r="AO380" s="123">
        <v>0</v>
      </c>
      <c r="AQ380" s="121" t="s">
        <v>57</v>
      </c>
      <c r="AR380" s="125">
        <f t="shared" ref="AR380" si="560">IFERROR(AS380/AS$363,0)</f>
        <v>0</v>
      </c>
      <c r="AS380" s="126">
        <v>0</v>
      </c>
      <c r="AU380" s="121" t="s">
        <v>57</v>
      </c>
      <c r="AV380" s="125">
        <f t="shared" ref="AV380" si="561">IFERROR(AW380/AW$363,0)</f>
        <v>0</v>
      </c>
      <c r="AW380" s="126">
        <v>0</v>
      </c>
      <c r="AY380" s="121"/>
      <c r="AZ380" s="125"/>
      <c r="BA380" s="126">
        <f>+[2]VOLKS!$L$377</f>
        <v>0</v>
      </c>
      <c r="BC380" s="121" t="s">
        <v>57</v>
      </c>
      <c r="BD380" s="125"/>
      <c r="BE380" s="127">
        <v>0</v>
      </c>
    </row>
    <row r="381" spans="1:57" ht="20.25">
      <c r="A381" s="15" t="s">
        <v>52</v>
      </c>
      <c r="B381" s="304" t="s">
        <v>73</v>
      </c>
      <c r="C381" s="34"/>
      <c r="D381" s="72"/>
      <c r="E381" s="104">
        <f t="shared" ref="E381:E394" si="562">+SUM(H381,K381,N381,Q381,T381,W381,Z381,AC381,AF381,AI381,AL381,AO381)</f>
        <v>0</v>
      </c>
      <c r="F381" s="34"/>
      <c r="G381" s="72"/>
      <c r="H381" s="104">
        <v>0</v>
      </c>
      <c r="I381" s="34"/>
      <c r="J381" s="72"/>
      <c r="K381" s="104">
        <v>0</v>
      </c>
      <c r="L381" s="34"/>
      <c r="M381" s="72"/>
      <c r="N381" s="104">
        <v>0</v>
      </c>
      <c r="O381" s="34"/>
      <c r="P381" s="72"/>
      <c r="Q381" s="104">
        <v>0</v>
      </c>
      <c r="R381" s="34"/>
      <c r="S381" s="72"/>
      <c r="T381" s="104">
        <v>0</v>
      </c>
      <c r="U381" s="34"/>
      <c r="V381" s="72"/>
      <c r="W381" s="104">
        <v>0</v>
      </c>
      <c r="X381" s="34"/>
      <c r="Y381" s="72"/>
      <c r="Z381" s="104">
        <v>0</v>
      </c>
      <c r="AA381" s="34"/>
      <c r="AB381" s="72"/>
      <c r="AC381" s="104">
        <f>+[1]VOLKS!$L$378</f>
        <v>0</v>
      </c>
      <c r="AD381" s="34"/>
      <c r="AE381" s="72"/>
      <c r="AF381" s="104">
        <v>0</v>
      </c>
      <c r="AG381" s="34"/>
      <c r="AH381" s="72"/>
      <c r="AI381" s="104">
        <v>0</v>
      </c>
      <c r="AJ381" s="34"/>
      <c r="AK381" s="72"/>
      <c r="AL381" s="105">
        <v>0</v>
      </c>
      <c r="AM381" s="34"/>
      <c r="AN381" s="72"/>
      <c r="AO381" s="105">
        <v>0</v>
      </c>
      <c r="AQ381" s="53"/>
      <c r="AR381" s="74"/>
      <c r="AS381" s="108">
        <f t="shared" ref="AS381:AS394" si="563">SUMIFS(F381:AO381,$F$7:$AO$7,"$PROFITS",$F$3:$AO$3,"RÉEL")</f>
        <v>0</v>
      </c>
      <c r="AU381" s="53"/>
      <c r="AV381" s="74"/>
      <c r="AW381" s="108">
        <f t="shared" ref="AW381:AW394" si="564">SUMIFS(F381:AO381,$F$7:$AO$7,"$PROFITS",$F$3:$AO$3,"BUDGET")</f>
        <v>0</v>
      </c>
      <c r="AY381" s="53"/>
      <c r="AZ381" s="74"/>
      <c r="BA381" s="108">
        <f>+[2]VOLKS!$L$378</f>
        <v>0</v>
      </c>
      <c r="BC381" s="53"/>
      <c r="BD381" s="74"/>
      <c r="BE381" s="109">
        <f t="shared" ref="BE381:BE394" si="565">+BA381-AS381</f>
        <v>0</v>
      </c>
    </row>
    <row r="382" spans="1:57" ht="20.25">
      <c r="A382" s="15" t="s">
        <v>49</v>
      </c>
      <c r="B382" s="128" t="s">
        <v>74</v>
      </c>
      <c r="C382" s="34"/>
      <c r="D382" s="72"/>
      <c r="E382" s="104">
        <f t="shared" si="562"/>
        <v>0</v>
      </c>
      <c r="F382" s="34"/>
      <c r="G382" s="72"/>
      <c r="H382" s="104">
        <v>0</v>
      </c>
      <c r="I382" s="34"/>
      <c r="J382" s="72"/>
      <c r="K382" s="104">
        <v>0</v>
      </c>
      <c r="L382" s="34"/>
      <c r="M382" s="72"/>
      <c r="N382" s="104">
        <v>0</v>
      </c>
      <c r="O382" s="34"/>
      <c r="P382" s="72"/>
      <c r="Q382" s="104">
        <v>0</v>
      </c>
      <c r="R382" s="34"/>
      <c r="S382" s="72"/>
      <c r="T382" s="104">
        <v>0</v>
      </c>
      <c r="U382" s="34"/>
      <c r="V382" s="72"/>
      <c r="W382" s="104">
        <v>0</v>
      </c>
      <c r="X382" s="34"/>
      <c r="Y382" s="72"/>
      <c r="Z382" s="104">
        <v>0</v>
      </c>
      <c r="AA382" s="34"/>
      <c r="AB382" s="72"/>
      <c r="AC382" s="104">
        <f>+[1]VOLKS!$L$379</f>
        <v>0</v>
      </c>
      <c r="AD382" s="34"/>
      <c r="AE382" s="72"/>
      <c r="AF382" s="104">
        <v>0</v>
      </c>
      <c r="AG382" s="34"/>
      <c r="AH382" s="72"/>
      <c r="AI382" s="104">
        <v>0</v>
      </c>
      <c r="AJ382" s="34"/>
      <c r="AK382" s="72"/>
      <c r="AL382" s="105">
        <v>0</v>
      </c>
      <c r="AM382" s="34"/>
      <c r="AN382" s="72"/>
      <c r="AO382" s="105">
        <v>0</v>
      </c>
      <c r="AQ382" s="53"/>
      <c r="AR382" s="74"/>
      <c r="AS382" s="108">
        <f t="shared" si="563"/>
        <v>0</v>
      </c>
      <c r="AU382" s="53"/>
      <c r="AV382" s="74"/>
      <c r="AW382" s="108">
        <f t="shared" si="564"/>
        <v>0</v>
      </c>
      <c r="AY382" s="53"/>
      <c r="AZ382" s="74"/>
      <c r="BA382" s="108">
        <f>+[2]VOLKS!$L$379</f>
        <v>0</v>
      </c>
      <c r="BC382" s="53"/>
      <c r="BD382" s="74"/>
      <c r="BE382" s="109">
        <f t="shared" si="565"/>
        <v>0</v>
      </c>
    </row>
    <row r="383" spans="1:57" ht="20.25">
      <c r="A383" s="15" t="s">
        <v>75</v>
      </c>
      <c r="B383" s="129" t="s">
        <v>76</v>
      </c>
      <c r="C383" s="28"/>
      <c r="D383" s="138"/>
      <c r="E383" s="112">
        <f t="shared" si="562"/>
        <v>0</v>
      </c>
      <c r="F383" s="28"/>
      <c r="G383" s="138"/>
      <c r="H383" s="112">
        <v>0</v>
      </c>
      <c r="I383" s="28"/>
      <c r="J383" s="138"/>
      <c r="K383" s="112">
        <v>0</v>
      </c>
      <c r="L383" s="28"/>
      <c r="M383" s="138"/>
      <c r="N383" s="112">
        <v>0</v>
      </c>
      <c r="O383" s="28"/>
      <c r="P383" s="138"/>
      <c r="Q383" s="112">
        <v>0</v>
      </c>
      <c r="R383" s="28"/>
      <c r="S383" s="138"/>
      <c r="T383" s="112">
        <v>0</v>
      </c>
      <c r="U383" s="28"/>
      <c r="V383" s="138"/>
      <c r="W383" s="112">
        <v>0</v>
      </c>
      <c r="X383" s="28"/>
      <c r="Y383" s="138"/>
      <c r="Z383" s="112">
        <v>0</v>
      </c>
      <c r="AA383" s="28"/>
      <c r="AB383" s="138"/>
      <c r="AC383" s="112">
        <f>+[1]VOLKS!$L$380</f>
        <v>0</v>
      </c>
      <c r="AD383" s="28"/>
      <c r="AE383" s="138"/>
      <c r="AF383" s="112">
        <v>0</v>
      </c>
      <c r="AG383" s="28"/>
      <c r="AH383" s="138"/>
      <c r="AI383" s="112">
        <v>0</v>
      </c>
      <c r="AJ383" s="28"/>
      <c r="AK383" s="138"/>
      <c r="AL383" s="113">
        <v>0</v>
      </c>
      <c r="AM383" s="28"/>
      <c r="AN383" s="138"/>
      <c r="AO383" s="113">
        <v>0</v>
      </c>
      <c r="AQ383" s="119"/>
      <c r="AR383" s="140"/>
      <c r="AS383" s="117">
        <f t="shared" si="563"/>
        <v>0</v>
      </c>
      <c r="AU383" s="119"/>
      <c r="AV383" s="140"/>
      <c r="AW383" s="117">
        <f t="shared" si="564"/>
        <v>0</v>
      </c>
      <c r="AY383" s="119"/>
      <c r="AZ383" s="140"/>
      <c r="BA383" s="117">
        <f>+[2]VOLKS!$L$380</f>
        <v>0</v>
      </c>
      <c r="BC383" s="119"/>
      <c r="BD383" s="140"/>
      <c r="BE383" s="118">
        <f t="shared" si="565"/>
        <v>0</v>
      </c>
    </row>
    <row r="384" spans="1:57" ht="20.25">
      <c r="A384" s="15" t="s">
        <v>77</v>
      </c>
      <c r="B384" s="128" t="s">
        <v>78</v>
      </c>
      <c r="C384" s="34"/>
      <c r="D384" s="72"/>
      <c r="E384" s="104">
        <f t="shared" si="562"/>
        <v>0</v>
      </c>
      <c r="F384" s="34"/>
      <c r="G384" s="72"/>
      <c r="H384" s="104">
        <v>0</v>
      </c>
      <c r="I384" s="34"/>
      <c r="J384" s="72"/>
      <c r="K384" s="104">
        <v>0</v>
      </c>
      <c r="L384" s="34"/>
      <c r="M384" s="72"/>
      <c r="N384" s="104">
        <v>0</v>
      </c>
      <c r="O384" s="34"/>
      <c r="P384" s="72"/>
      <c r="Q384" s="104">
        <v>0</v>
      </c>
      <c r="R384" s="34"/>
      <c r="S384" s="72"/>
      <c r="T384" s="104">
        <v>0</v>
      </c>
      <c r="U384" s="34"/>
      <c r="V384" s="72"/>
      <c r="W384" s="104">
        <v>0</v>
      </c>
      <c r="X384" s="34"/>
      <c r="Y384" s="72"/>
      <c r="Z384" s="104">
        <v>0</v>
      </c>
      <c r="AA384" s="34"/>
      <c r="AB384" s="72"/>
      <c r="AC384" s="104">
        <f>+[1]VOLKS!$L$381</f>
        <v>0</v>
      </c>
      <c r="AD384" s="34"/>
      <c r="AE384" s="72"/>
      <c r="AF384" s="104">
        <v>0</v>
      </c>
      <c r="AG384" s="34"/>
      <c r="AH384" s="72"/>
      <c r="AI384" s="104">
        <v>0</v>
      </c>
      <c r="AJ384" s="34"/>
      <c r="AK384" s="72"/>
      <c r="AL384" s="105">
        <v>0</v>
      </c>
      <c r="AM384" s="34"/>
      <c r="AN384" s="72"/>
      <c r="AO384" s="105">
        <v>0</v>
      </c>
      <c r="AQ384" s="53"/>
      <c r="AR384" s="74"/>
      <c r="AS384" s="108">
        <f t="shared" si="563"/>
        <v>0</v>
      </c>
      <c r="AU384" s="53"/>
      <c r="AV384" s="74"/>
      <c r="AW384" s="108">
        <f t="shared" si="564"/>
        <v>0</v>
      </c>
      <c r="AY384" s="53"/>
      <c r="AZ384" s="74"/>
      <c r="BA384" s="108">
        <f>+[2]VOLKS!$L$381</f>
        <v>0</v>
      </c>
      <c r="BC384" s="53"/>
      <c r="BD384" s="74"/>
      <c r="BE384" s="109">
        <f t="shared" si="565"/>
        <v>0</v>
      </c>
    </row>
    <row r="385" spans="1:57" ht="20.25">
      <c r="A385" s="15" t="s">
        <v>79</v>
      </c>
      <c r="B385" s="128" t="s">
        <v>80</v>
      </c>
      <c r="C385" s="34"/>
      <c r="D385" s="72"/>
      <c r="E385" s="104">
        <f t="shared" si="562"/>
        <v>0</v>
      </c>
      <c r="F385" s="34"/>
      <c r="G385" s="72"/>
      <c r="H385" s="104">
        <v>0</v>
      </c>
      <c r="I385" s="34"/>
      <c r="J385" s="72"/>
      <c r="K385" s="104">
        <v>0</v>
      </c>
      <c r="L385" s="34"/>
      <c r="M385" s="72"/>
      <c r="N385" s="104">
        <v>0</v>
      </c>
      <c r="O385" s="34"/>
      <c r="P385" s="72"/>
      <c r="Q385" s="104">
        <v>0</v>
      </c>
      <c r="R385" s="34"/>
      <c r="S385" s="72"/>
      <c r="T385" s="104">
        <v>0</v>
      </c>
      <c r="U385" s="34"/>
      <c r="V385" s="72"/>
      <c r="W385" s="104">
        <v>0</v>
      </c>
      <c r="X385" s="34"/>
      <c r="Y385" s="72"/>
      <c r="Z385" s="104">
        <v>0</v>
      </c>
      <c r="AA385" s="34"/>
      <c r="AB385" s="72"/>
      <c r="AC385" s="104">
        <f>+[1]VOLKS!$L$382</f>
        <v>0</v>
      </c>
      <c r="AD385" s="34"/>
      <c r="AE385" s="72"/>
      <c r="AF385" s="104">
        <v>0</v>
      </c>
      <c r="AG385" s="34"/>
      <c r="AH385" s="72"/>
      <c r="AI385" s="104">
        <v>0</v>
      </c>
      <c r="AJ385" s="34"/>
      <c r="AK385" s="72"/>
      <c r="AL385" s="105">
        <v>0</v>
      </c>
      <c r="AM385" s="34"/>
      <c r="AN385" s="72"/>
      <c r="AO385" s="105">
        <v>0</v>
      </c>
      <c r="AQ385" s="53"/>
      <c r="AR385" s="74"/>
      <c r="AS385" s="108">
        <f t="shared" si="563"/>
        <v>0</v>
      </c>
      <c r="AU385" s="53"/>
      <c r="AV385" s="74"/>
      <c r="AW385" s="108">
        <f t="shared" si="564"/>
        <v>0</v>
      </c>
      <c r="AY385" s="53"/>
      <c r="AZ385" s="74"/>
      <c r="BA385" s="108">
        <f>+[2]VOLKS!$L$382</f>
        <v>0</v>
      </c>
      <c r="BC385" s="53"/>
      <c r="BD385" s="74"/>
      <c r="BE385" s="109">
        <f t="shared" si="565"/>
        <v>0</v>
      </c>
    </row>
    <row r="386" spans="1:57" ht="20.25">
      <c r="A386" s="15" t="s">
        <v>81</v>
      </c>
      <c r="B386" s="128" t="s">
        <v>82</v>
      </c>
      <c r="C386" s="28"/>
      <c r="D386" s="138"/>
      <c r="E386" s="112">
        <f t="shared" si="562"/>
        <v>0</v>
      </c>
      <c r="F386" s="28"/>
      <c r="G386" s="138"/>
      <c r="H386" s="112">
        <v>0</v>
      </c>
      <c r="I386" s="28"/>
      <c r="J386" s="138"/>
      <c r="K386" s="112">
        <v>0</v>
      </c>
      <c r="L386" s="28"/>
      <c r="M386" s="138"/>
      <c r="N386" s="112">
        <v>0</v>
      </c>
      <c r="O386" s="28"/>
      <c r="P386" s="138"/>
      <c r="Q386" s="112">
        <v>0</v>
      </c>
      <c r="R386" s="28"/>
      <c r="S386" s="138"/>
      <c r="T386" s="112">
        <v>0</v>
      </c>
      <c r="U386" s="28"/>
      <c r="V386" s="138"/>
      <c r="W386" s="112">
        <v>0</v>
      </c>
      <c r="X386" s="28"/>
      <c r="Y386" s="138"/>
      <c r="Z386" s="112">
        <v>0</v>
      </c>
      <c r="AA386" s="28"/>
      <c r="AB386" s="138"/>
      <c r="AC386" s="112">
        <f>+[1]VOLKS!$L$383</f>
        <v>0</v>
      </c>
      <c r="AD386" s="28"/>
      <c r="AE386" s="138"/>
      <c r="AF386" s="112">
        <v>0</v>
      </c>
      <c r="AG386" s="28"/>
      <c r="AH386" s="138"/>
      <c r="AI386" s="112">
        <v>0</v>
      </c>
      <c r="AJ386" s="28"/>
      <c r="AK386" s="138"/>
      <c r="AL386" s="113">
        <v>0</v>
      </c>
      <c r="AM386" s="28"/>
      <c r="AN386" s="138"/>
      <c r="AO386" s="113">
        <v>0</v>
      </c>
      <c r="AQ386" s="119"/>
      <c r="AR386" s="140"/>
      <c r="AS386" s="117">
        <f t="shared" si="563"/>
        <v>0</v>
      </c>
      <c r="AU386" s="119"/>
      <c r="AV386" s="140"/>
      <c r="AW386" s="117">
        <f t="shared" si="564"/>
        <v>0</v>
      </c>
      <c r="AY386" s="119"/>
      <c r="AZ386" s="140"/>
      <c r="BA386" s="117">
        <f>+[2]VOLKS!$L$383</f>
        <v>0</v>
      </c>
      <c r="BC386" s="119"/>
      <c r="BD386" s="140"/>
      <c r="BE386" s="118">
        <f t="shared" si="565"/>
        <v>0</v>
      </c>
    </row>
    <row r="387" spans="1:57" ht="20.25">
      <c r="A387" s="15" t="s">
        <v>79</v>
      </c>
      <c r="B387" s="343" t="s">
        <v>83</v>
      </c>
      <c r="C387" s="34"/>
      <c r="D387" s="72"/>
      <c r="E387" s="104">
        <f t="shared" si="562"/>
        <v>0</v>
      </c>
      <c r="F387" s="34"/>
      <c r="G387" s="72"/>
      <c r="H387" s="104">
        <v>0</v>
      </c>
      <c r="I387" s="34"/>
      <c r="J387" s="72"/>
      <c r="K387" s="104">
        <v>0</v>
      </c>
      <c r="L387" s="34"/>
      <c r="M387" s="72"/>
      <c r="N387" s="104">
        <v>0</v>
      </c>
      <c r="O387" s="34"/>
      <c r="P387" s="72"/>
      <c r="Q387" s="104">
        <v>0</v>
      </c>
      <c r="R387" s="34"/>
      <c r="S387" s="72"/>
      <c r="T387" s="104">
        <v>0</v>
      </c>
      <c r="U387" s="34"/>
      <c r="V387" s="72"/>
      <c r="W387" s="104">
        <v>0</v>
      </c>
      <c r="X387" s="34"/>
      <c r="Y387" s="72"/>
      <c r="Z387" s="104">
        <v>0</v>
      </c>
      <c r="AA387" s="34"/>
      <c r="AB387" s="72"/>
      <c r="AC387" s="104">
        <f>+[1]VOLKS!$L$384</f>
        <v>0</v>
      </c>
      <c r="AD387" s="34"/>
      <c r="AE387" s="72"/>
      <c r="AF387" s="104">
        <v>0</v>
      </c>
      <c r="AG387" s="34"/>
      <c r="AH387" s="72"/>
      <c r="AI387" s="104">
        <v>0</v>
      </c>
      <c r="AJ387" s="34"/>
      <c r="AK387" s="72"/>
      <c r="AL387" s="105">
        <v>0</v>
      </c>
      <c r="AM387" s="34"/>
      <c r="AN387" s="72"/>
      <c r="AO387" s="105">
        <v>0</v>
      </c>
      <c r="AQ387" s="53"/>
      <c r="AR387" s="74"/>
      <c r="AS387" s="108">
        <f t="shared" si="563"/>
        <v>0</v>
      </c>
      <c r="AU387" s="53"/>
      <c r="AV387" s="74"/>
      <c r="AW387" s="108">
        <f t="shared" si="564"/>
        <v>0</v>
      </c>
      <c r="AY387" s="53"/>
      <c r="AZ387" s="74"/>
      <c r="BA387" s="108">
        <f>+[2]VOLKS!$L$384</f>
        <v>0</v>
      </c>
      <c r="BC387" s="53"/>
      <c r="BD387" s="74"/>
      <c r="BE387" s="109">
        <f t="shared" si="565"/>
        <v>0</v>
      </c>
    </row>
    <row r="388" spans="1:57" ht="20.25">
      <c r="A388" s="15" t="s">
        <v>79</v>
      </c>
      <c r="B388" s="128" t="s">
        <v>84</v>
      </c>
      <c r="C388" s="34"/>
      <c r="D388" s="72"/>
      <c r="E388" s="104">
        <f t="shared" si="562"/>
        <v>0</v>
      </c>
      <c r="F388" s="34"/>
      <c r="G388" s="72"/>
      <c r="H388" s="104">
        <v>0</v>
      </c>
      <c r="I388" s="34"/>
      <c r="J388" s="72"/>
      <c r="K388" s="104">
        <v>0</v>
      </c>
      <c r="L388" s="34"/>
      <c r="M388" s="72"/>
      <c r="N388" s="104">
        <v>0</v>
      </c>
      <c r="O388" s="34"/>
      <c r="P388" s="72"/>
      <c r="Q388" s="104">
        <v>0</v>
      </c>
      <c r="R388" s="34"/>
      <c r="S388" s="72"/>
      <c r="T388" s="104">
        <v>0</v>
      </c>
      <c r="U388" s="34"/>
      <c r="V388" s="72"/>
      <c r="W388" s="104">
        <v>0</v>
      </c>
      <c r="X388" s="34"/>
      <c r="Y388" s="72"/>
      <c r="Z388" s="104">
        <v>0</v>
      </c>
      <c r="AA388" s="34"/>
      <c r="AB388" s="72"/>
      <c r="AC388" s="104">
        <f>+[1]VOLKS!$L$385</f>
        <v>0</v>
      </c>
      <c r="AD388" s="34"/>
      <c r="AE388" s="72"/>
      <c r="AF388" s="104">
        <v>0</v>
      </c>
      <c r="AG388" s="34"/>
      <c r="AH388" s="72"/>
      <c r="AI388" s="104">
        <v>0</v>
      </c>
      <c r="AJ388" s="34"/>
      <c r="AK388" s="72"/>
      <c r="AL388" s="105">
        <v>0</v>
      </c>
      <c r="AM388" s="34"/>
      <c r="AN388" s="72"/>
      <c r="AO388" s="105">
        <v>0</v>
      </c>
      <c r="AQ388" s="53"/>
      <c r="AR388" s="74"/>
      <c r="AS388" s="108">
        <f t="shared" si="563"/>
        <v>0</v>
      </c>
      <c r="AU388" s="53"/>
      <c r="AV388" s="74"/>
      <c r="AW388" s="108">
        <f t="shared" si="564"/>
        <v>0</v>
      </c>
      <c r="AY388" s="53"/>
      <c r="AZ388" s="74"/>
      <c r="BA388" s="108">
        <f>+[2]VOLKS!$L$385</f>
        <v>0</v>
      </c>
      <c r="BC388" s="53"/>
      <c r="BD388" s="74"/>
      <c r="BE388" s="109">
        <f t="shared" si="565"/>
        <v>0</v>
      </c>
    </row>
    <row r="389" spans="1:57" ht="20.25">
      <c r="A389" s="15" t="s">
        <v>79</v>
      </c>
      <c r="B389" s="128" t="s">
        <v>85</v>
      </c>
      <c r="C389" s="34"/>
      <c r="D389" s="72"/>
      <c r="E389" s="104">
        <f t="shared" si="562"/>
        <v>0</v>
      </c>
      <c r="F389" s="34"/>
      <c r="G389" s="72"/>
      <c r="H389" s="104">
        <v>0</v>
      </c>
      <c r="I389" s="34"/>
      <c r="J389" s="72"/>
      <c r="K389" s="104">
        <v>0</v>
      </c>
      <c r="L389" s="34"/>
      <c r="M389" s="72"/>
      <c r="N389" s="104">
        <v>0</v>
      </c>
      <c r="O389" s="34"/>
      <c r="P389" s="72"/>
      <c r="Q389" s="104">
        <v>0</v>
      </c>
      <c r="R389" s="34"/>
      <c r="S389" s="72"/>
      <c r="T389" s="104">
        <v>0</v>
      </c>
      <c r="U389" s="34"/>
      <c r="V389" s="72"/>
      <c r="W389" s="104">
        <v>0</v>
      </c>
      <c r="X389" s="34"/>
      <c r="Y389" s="72"/>
      <c r="Z389" s="104">
        <v>0</v>
      </c>
      <c r="AA389" s="34"/>
      <c r="AB389" s="72"/>
      <c r="AC389" s="104">
        <f>+[1]VOLKS!$L$386</f>
        <v>0</v>
      </c>
      <c r="AD389" s="34"/>
      <c r="AE389" s="72"/>
      <c r="AF389" s="104">
        <v>0</v>
      </c>
      <c r="AG389" s="34"/>
      <c r="AH389" s="72"/>
      <c r="AI389" s="104">
        <v>0</v>
      </c>
      <c r="AJ389" s="34"/>
      <c r="AK389" s="72"/>
      <c r="AL389" s="105">
        <v>0</v>
      </c>
      <c r="AM389" s="34"/>
      <c r="AN389" s="72"/>
      <c r="AO389" s="105">
        <v>0</v>
      </c>
      <c r="AQ389" s="53"/>
      <c r="AR389" s="74"/>
      <c r="AS389" s="108">
        <f t="shared" si="563"/>
        <v>0</v>
      </c>
      <c r="AU389" s="53"/>
      <c r="AV389" s="74"/>
      <c r="AW389" s="108">
        <f t="shared" si="564"/>
        <v>0</v>
      </c>
      <c r="AY389" s="53"/>
      <c r="AZ389" s="74"/>
      <c r="BA389" s="108">
        <f>+[2]VOLKS!$L$386</f>
        <v>0</v>
      </c>
      <c r="BC389" s="53"/>
      <c r="BD389" s="74"/>
      <c r="BE389" s="109">
        <f t="shared" si="565"/>
        <v>0</v>
      </c>
    </row>
    <row r="390" spans="1:57" ht="20.25">
      <c r="A390" s="15" t="s">
        <v>79</v>
      </c>
      <c r="B390" s="128" t="s">
        <v>86</v>
      </c>
      <c r="C390" s="34"/>
      <c r="D390" s="72"/>
      <c r="E390" s="104">
        <f t="shared" si="562"/>
        <v>0</v>
      </c>
      <c r="F390" s="34"/>
      <c r="G390" s="72"/>
      <c r="H390" s="104">
        <v>0</v>
      </c>
      <c r="I390" s="34"/>
      <c r="J390" s="72"/>
      <c r="K390" s="104">
        <v>0</v>
      </c>
      <c r="L390" s="34"/>
      <c r="M390" s="72"/>
      <c r="N390" s="104">
        <v>0</v>
      </c>
      <c r="O390" s="34"/>
      <c r="P390" s="72"/>
      <c r="Q390" s="104">
        <v>0</v>
      </c>
      <c r="R390" s="34"/>
      <c r="S390" s="72"/>
      <c r="T390" s="104">
        <v>0</v>
      </c>
      <c r="U390" s="34"/>
      <c r="V390" s="72"/>
      <c r="W390" s="104">
        <v>0</v>
      </c>
      <c r="X390" s="34"/>
      <c r="Y390" s="72"/>
      <c r="Z390" s="104">
        <v>0</v>
      </c>
      <c r="AA390" s="34"/>
      <c r="AB390" s="72"/>
      <c r="AC390" s="104">
        <f>+[1]VOLKS!$L$387</f>
        <v>0</v>
      </c>
      <c r="AD390" s="34"/>
      <c r="AE390" s="72"/>
      <c r="AF390" s="104">
        <v>0</v>
      </c>
      <c r="AG390" s="34"/>
      <c r="AH390" s="72"/>
      <c r="AI390" s="104">
        <v>0</v>
      </c>
      <c r="AJ390" s="34"/>
      <c r="AK390" s="72"/>
      <c r="AL390" s="105">
        <v>0</v>
      </c>
      <c r="AM390" s="34"/>
      <c r="AN390" s="72"/>
      <c r="AO390" s="105">
        <v>0</v>
      </c>
      <c r="AQ390" s="53"/>
      <c r="AR390" s="74"/>
      <c r="AS390" s="108">
        <f t="shared" si="563"/>
        <v>0</v>
      </c>
      <c r="AU390" s="53"/>
      <c r="AV390" s="74"/>
      <c r="AW390" s="108">
        <f t="shared" si="564"/>
        <v>0</v>
      </c>
      <c r="AY390" s="53"/>
      <c r="AZ390" s="74"/>
      <c r="BA390" s="108">
        <f>+[2]VOLKS!$L$387</f>
        <v>0</v>
      </c>
      <c r="BC390" s="53"/>
      <c r="BD390" s="74"/>
      <c r="BE390" s="109">
        <f t="shared" si="565"/>
        <v>0</v>
      </c>
    </row>
    <row r="391" spans="1:57" ht="20.25">
      <c r="A391" s="15" t="s">
        <v>79</v>
      </c>
      <c r="B391" s="128" t="s">
        <v>87</v>
      </c>
      <c r="C391" s="34"/>
      <c r="D391" s="72"/>
      <c r="E391" s="104">
        <f t="shared" si="562"/>
        <v>0</v>
      </c>
      <c r="F391" s="34"/>
      <c r="G391" s="72"/>
      <c r="H391" s="104">
        <v>0</v>
      </c>
      <c r="I391" s="34"/>
      <c r="J391" s="72"/>
      <c r="K391" s="104">
        <v>0</v>
      </c>
      <c r="L391" s="34"/>
      <c r="M391" s="72"/>
      <c r="N391" s="104">
        <v>0</v>
      </c>
      <c r="O391" s="34"/>
      <c r="P391" s="72"/>
      <c r="Q391" s="104">
        <v>0</v>
      </c>
      <c r="R391" s="34"/>
      <c r="S391" s="72"/>
      <c r="T391" s="104">
        <v>0</v>
      </c>
      <c r="U391" s="34"/>
      <c r="V391" s="72"/>
      <c r="W391" s="104">
        <v>0</v>
      </c>
      <c r="X391" s="34"/>
      <c r="Y391" s="72"/>
      <c r="Z391" s="104">
        <v>0</v>
      </c>
      <c r="AA391" s="34"/>
      <c r="AB391" s="72"/>
      <c r="AC391" s="104">
        <f>+[1]VOLKS!$L$388</f>
        <v>0</v>
      </c>
      <c r="AD391" s="34"/>
      <c r="AE391" s="72"/>
      <c r="AF391" s="104">
        <v>0</v>
      </c>
      <c r="AG391" s="34"/>
      <c r="AH391" s="72"/>
      <c r="AI391" s="104">
        <v>0</v>
      </c>
      <c r="AJ391" s="34"/>
      <c r="AK391" s="72"/>
      <c r="AL391" s="105">
        <v>0</v>
      </c>
      <c r="AM391" s="34"/>
      <c r="AN391" s="72"/>
      <c r="AO391" s="105">
        <v>0</v>
      </c>
      <c r="AQ391" s="53"/>
      <c r="AR391" s="74"/>
      <c r="AS391" s="108">
        <f t="shared" si="563"/>
        <v>0</v>
      </c>
      <c r="AU391" s="53"/>
      <c r="AV391" s="74"/>
      <c r="AW391" s="108">
        <f t="shared" si="564"/>
        <v>0</v>
      </c>
      <c r="AY391" s="53"/>
      <c r="AZ391" s="74"/>
      <c r="BA391" s="108">
        <f>+[2]VOLKS!$L$388</f>
        <v>0</v>
      </c>
      <c r="BC391" s="53"/>
      <c r="BD391" s="74"/>
      <c r="BE391" s="109">
        <f t="shared" si="565"/>
        <v>0</v>
      </c>
    </row>
    <row r="392" spans="1:57" ht="20.25">
      <c r="A392" s="15" t="s">
        <v>79</v>
      </c>
      <c r="B392" s="128" t="s">
        <v>88</v>
      </c>
      <c r="C392" s="34"/>
      <c r="D392" s="72"/>
      <c r="E392" s="104">
        <f t="shared" si="562"/>
        <v>0</v>
      </c>
      <c r="F392" s="34"/>
      <c r="G392" s="72"/>
      <c r="H392" s="104">
        <v>0</v>
      </c>
      <c r="I392" s="34"/>
      <c r="J392" s="72"/>
      <c r="K392" s="104">
        <v>0</v>
      </c>
      <c r="L392" s="34"/>
      <c r="M392" s="72"/>
      <c r="N392" s="104">
        <v>0</v>
      </c>
      <c r="O392" s="34"/>
      <c r="P392" s="72"/>
      <c r="Q392" s="104">
        <v>0</v>
      </c>
      <c r="R392" s="34"/>
      <c r="S392" s="72"/>
      <c r="T392" s="104">
        <v>0</v>
      </c>
      <c r="U392" s="34"/>
      <c r="V392" s="72"/>
      <c r="W392" s="104">
        <v>0</v>
      </c>
      <c r="X392" s="34"/>
      <c r="Y392" s="72"/>
      <c r="Z392" s="104">
        <v>0</v>
      </c>
      <c r="AA392" s="34"/>
      <c r="AB392" s="72"/>
      <c r="AC392" s="104">
        <f>+[1]VOLKS!$L$389</f>
        <v>0</v>
      </c>
      <c r="AD392" s="34"/>
      <c r="AE392" s="72"/>
      <c r="AF392" s="104">
        <v>0</v>
      </c>
      <c r="AG392" s="34"/>
      <c r="AH392" s="72"/>
      <c r="AI392" s="104">
        <v>0</v>
      </c>
      <c r="AJ392" s="34"/>
      <c r="AK392" s="72"/>
      <c r="AL392" s="105">
        <v>0</v>
      </c>
      <c r="AM392" s="34"/>
      <c r="AN392" s="72"/>
      <c r="AO392" s="105">
        <v>0</v>
      </c>
      <c r="AQ392" s="53"/>
      <c r="AR392" s="74"/>
      <c r="AS392" s="108">
        <f t="shared" si="563"/>
        <v>0</v>
      </c>
      <c r="AU392" s="53"/>
      <c r="AV392" s="74"/>
      <c r="AW392" s="108">
        <f t="shared" si="564"/>
        <v>0</v>
      </c>
      <c r="AY392" s="53"/>
      <c r="AZ392" s="74"/>
      <c r="BA392" s="108">
        <f>+[2]VOLKS!$L$389</f>
        <v>0</v>
      </c>
      <c r="BC392" s="53"/>
      <c r="BD392" s="74"/>
      <c r="BE392" s="109">
        <f t="shared" si="565"/>
        <v>0</v>
      </c>
    </row>
    <row r="393" spans="1:57" ht="20.25">
      <c r="A393" s="15" t="s">
        <v>79</v>
      </c>
      <c r="B393" s="128" t="s">
        <v>89</v>
      </c>
      <c r="C393" s="34"/>
      <c r="D393" s="72"/>
      <c r="E393" s="104">
        <f t="shared" si="562"/>
        <v>0</v>
      </c>
      <c r="F393" s="34"/>
      <c r="G393" s="72"/>
      <c r="H393" s="104">
        <v>0</v>
      </c>
      <c r="I393" s="34"/>
      <c r="J393" s="72"/>
      <c r="K393" s="104">
        <v>0</v>
      </c>
      <c r="L393" s="34"/>
      <c r="M393" s="72"/>
      <c r="N393" s="104">
        <v>0</v>
      </c>
      <c r="O393" s="34"/>
      <c r="P393" s="72"/>
      <c r="Q393" s="104">
        <v>0</v>
      </c>
      <c r="R393" s="34"/>
      <c r="S393" s="72"/>
      <c r="T393" s="104">
        <v>0</v>
      </c>
      <c r="U393" s="34"/>
      <c r="V393" s="72"/>
      <c r="W393" s="104">
        <v>0</v>
      </c>
      <c r="X393" s="34"/>
      <c r="Y393" s="72"/>
      <c r="Z393" s="104">
        <v>0</v>
      </c>
      <c r="AA393" s="34"/>
      <c r="AB393" s="72"/>
      <c r="AC393" s="104">
        <f>+[1]VOLKS!$L$390</f>
        <v>0</v>
      </c>
      <c r="AD393" s="34"/>
      <c r="AE393" s="72"/>
      <c r="AF393" s="104">
        <v>0</v>
      </c>
      <c r="AG393" s="34"/>
      <c r="AH393" s="72"/>
      <c r="AI393" s="104">
        <v>0</v>
      </c>
      <c r="AJ393" s="34"/>
      <c r="AK393" s="72"/>
      <c r="AL393" s="105">
        <v>0</v>
      </c>
      <c r="AM393" s="34"/>
      <c r="AN393" s="72"/>
      <c r="AO393" s="105">
        <v>0</v>
      </c>
      <c r="AQ393" s="53"/>
      <c r="AR393" s="74"/>
      <c r="AS393" s="108">
        <f t="shared" si="563"/>
        <v>0</v>
      </c>
      <c r="AU393" s="53"/>
      <c r="AV393" s="74"/>
      <c r="AW393" s="108">
        <f t="shared" si="564"/>
        <v>0</v>
      </c>
      <c r="AY393" s="53"/>
      <c r="AZ393" s="74"/>
      <c r="BA393" s="108">
        <f>+[2]VOLKS!$L$390</f>
        <v>0</v>
      </c>
      <c r="BC393" s="53"/>
      <c r="BD393" s="74"/>
      <c r="BE393" s="109">
        <f t="shared" si="565"/>
        <v>0</v>
      </c>
    </row>
    <row r="394" spans="1:57" ht="20.25">
      <c r="A394" s="15" t="s">
        <v>79</v>
      </c>
      <c r="B394" s="128" t="s">
        <v>90</v>
      </c>
      <c r="C394" s="34"/>
      <c r="D394" s="72"/>
      <c r="E394" s="104">
        <f t="shared" si="562"/>
        <v>0</v>
      </c>
      <c r="F394" s="34"/>
      <c r="G394" s="72"/>
      <c r="H394" s="104"/>
      <c r="I394" s="34"/>
      <c r="J394" s="72"/>
      <c r="K394" s="104"/>
      <c r="L394" s="34"/>
      <c r="M394" s="72"/>
      <c r="N394" s="104"/>
      <c r="O394" s="34"/>
      <c r="P394" s="72"/>
      <c r="Q394" s="104"/>
      <c r="R394" s="34"/>
      <c r="S394" s="72"/>
      <c r="T394" s="104"/>
      <c r="U394" s="34"/>
      <c r="V394" s="72"/>
      <c r="W394" s="104"/>
      <c r="X394" s="34"/>
      <c r="Y394" s="72"/>
      <c r="Z394" s="104"/>
      <c r="AA394" s="34"/>
      <c r="AB394" s="72"/>
      <c r="AC394" s="104"/>
      <c r="AD394" s="34"/>
      <c r="AE394" s="72"/>
      <c r="AF394" s="104">
        <v>0</v>
      </c>
      <c r="AG394" s="34"/>
      <c r="AH394" s="72"/>
      <c r="AI394" s="104">
        <v>0</v>
      </c>
      <c r="AJ394" s="34"/>
      <c r="AK394" s="72"/>
      <c r="AL394" s="105">
        <v>0</v>
      </c>
      <c r="AM394" s="34"/>
      <c r="AN394" s="72"/>
      <c r="AO394" s="105">
        <v>0</v>
      </c>
      <c r="AQ394" s="53"/>
      <c r="AR394" s="74"/>
      <c r="AS394" s="108">
        <f t="shared" si="563"/>
        <v>0</v>
      </c>
      <c r="AU394" s="53"/>
      <c r="AV394" s="74"/>
      <c r="AW394" s="108">
        <f t="shared" si="564"/>
        <v>0</v>
      </c>
      <c r="AY394" s="53"/>
      <c r="AZ394" s="74"/>
      <c r="BA394" s="108"/>
      <c r="BC394" s="53"/>
      <c r="BD394" s="74"/>
      <c r="BE394" s="109">
        <f t="shared" si="565"/>
        <v>0</v>
      </c>
    </row>
    <row r="395" spans="1:57" ht="20.25" hidden="1" customHeight="1">
      <c r="A395" s="15"/>
      <c r="B395" s="128"/>
      <c r="C395" s="34"/>
      <c r="D395" s="72"/>
      <c r="E395" s="73"/>
      <c r="F395" s="34"/>
      <c r="G395" s="72"/>
      <c r="H395" s="73"/>
      <c r="I395" s="34"/>
      <c r="J395" s="72"/>
      <c r="K395" s="73"/>
      <c r="L395" s="34"/>
      <c r="M395" s="72"/>
      <c r="N395" s="73"/>
      <c r="O395" s="34"/>
      <c r="P395" s="72"/>
      <c r="Q395" s="73"/>
      <c r="R395" s="34"/>
      <c r="S395" s="72"/>
      <c r="T395" s="73"/>
      <c r="U395" s="34"/>
      <c r="V395" s="72"/>
      <c r="W395" s="73"/>
      <c r="X395" s="34"/>
      <c r="Y395" s="72"/>
      <c r="Z395" s="73"/>
      <c r="AA395" s="34"/>
      <c r="AB395" s="72"/>
      <c r="AC395" s="73"/>
      <c r="AD395" s="34"/>
      <c r="AE395" s="72"/>
      <c r="AF395" s="73"/>
      <c r="AG395" s="34"/>
      <c r="AH395" s="72"/>
      <c r="AI395" s="73"/>
      <c r="AJ395" s="34"/>
      <c r="AK395" s="72"/>
      <c r="AL395" s="73"/>
      <c r="AM395" s="34"/>
      <c r="AN395" s="72"/>
      <c r="AO395" s="73"/>
      <c r="AQ395" s="53"/>
      <c r="AR395" s="74"/>
      <c r="AS395" s="75"/>
      <c r="AU395" s="53"/>
      <c r="AV395" s="74"/>
      <c r="AW395" s="75"/>
      <c r="AY395" s="53"/>
      <c r="AZ395" s="74"/>
      <c r="BA395" s="75"/>
      <c r="BC395" s="53"/>
      <c r="BD395" s="74"/>
      <c r="BE395" s="27"/>
    </row>
    <row r="396" spans="1:57" ht="20.25" hidden="1" customHeight="1">
      <c r="A396" s="15"/>
      <c r="B396" s="128"/>
      <c r="C396" s="34"/>
      <c r="D396" s="72"/>
      <c r="E396" s="73"/>
      <c r="F396" s="34"/>
      <c r="G396" s="72"/>
      <c r="H396" s="73"/>
      <c r="I396" s="34"/>
      <c r="J396" s="72"/>
      <c r="K396" s="73"/>
      <c r="L396" s="34"/>
      <c r="M396" s="72"/>
      <c r="N396" s="73"/>
      <c r="O396" s="34"/>
      <c r="P396" s="72"/>
      <c r="Q396" s="73"/>
      <c r="R396" s="34"/>
      <c r="S396" s="72"/>
      <c r="T396" s="73"/>
      <c r="U396" s="34"/>
      <c r="V396" s="72"/>
      <c r="W396" s="73"/>
      <c r="X396" s="34"/>
      <c r="Y396" s="72"/>
      <c r="Z396" s="73"/>
      <c r="AA396" s="34"/>
      <c r="AB396" s="72"/>
      <c r="AC396" s="73"/>
      <c r="AD396" s="34"/>
      <c r="AE396" s="72"/>
      <c r="AF396" s="73"/>
      <c r="AG396" s="34"/>
      <c r="AH396" s="72"/>
      <c r="AI396" s="73"/>
      <c r="AJ396" s="34"/>
      <c r="AK396" s="72"/>
      <c r="AL396" s="73"/>
      <c r="AM396" s="34"/>
      <c r="AN396" s="72"/>
      <c r="AO396" s="73"/>
      <c r="AQ396" s="53"/>
      <c r="AR396" s="74"/>
      <c r="AS396" s="75"/>
      <c r="AU396" s="53"/>
      <c r="AV396" s="74"/>
      <c r="AW396" s="75"/>
      <c r="AY396" s="53"/>
      <c r="AZ396" s="74"/>
      <c r="BA396" s="75"/>
      <c r="BC396" s="53"/>
      <c r="BD396" s="74"/>
      <c r="BE396" s="27"/>
    </row>
    <row r="397" spans="1:57" ht="20.25" hidden="1" customHeight="1">
      <c r="A397" s="15"/>
      <c r="B397" s="128"/>
      <c r="C397" s="28"/>
      <c r="D397" s="138"/>
      <c r="E397" s="73"/>
      <c r="F397" s="28"/>
      <c r="G397" s="138"/>
      <c r="H397" s="73"/>
      <c r="I397" s="28"/>
      <c r="J397" s="138"/>
      <c r="K397" s="73"/>
      <c r="L397" s="28"/>
      <c r="M397" s="138"/>
      <c r="N397" s="73"/>
      <c r="O397" s="28"/>
      <c r="P397" s="138"/>
      <c r="Q397" s="73"/>
      <c r="R397" s="28"/>
      <c r="S397" s="138"/>
      <c r="T397" s="73"/>
      <c r="U397" s="28"/>
      <c r="V397" s="138"/>
      <c r="W397" s="73"/>
      <c r="X397" s="28"/>
      <c r="Y397" s="138"/>
      <c r="Z397" s="73"/>
      <c r="AA397" s="28"/>
      <c r="AB397" s="138"/>
      <c r="AC397" s="73"/>
      <c r="AD397" s="28"/>
      <c r="AE397" s="138"/>
      <c r="AF397" s="73"/>
      <c r="AG397" s="28"/>
      <c r="AH397" s="138"/>
      <c r="AI397" s="73"/>
      <c r="AJ397" s="28"/>
      <c r="AK397" s="138"/>
      <c r="AL397" s="73"/>
      <c r="AM397" s="28"/>
      <c r="AN397" s="138"/>
      <c r="AO397" s="73"/>
      <c r="AQ397" s="119"/>
      <c r="AR397" s="140"/>
      <c r="AS397" s="75"/>
      <c r="AU397" s="119"/>
      <c r="AV397" s="140"/>
      <c r="AW397" s="75"/>
      <c r="AY397" s="119"/>
      <c r="AZ397" s="140"/>
      <c r="BA397" s="75"/>
      <c r="BC397" s="119"/>
      <c r="BD397" s="140"/>
      <c r="BE397" s="27"/>
    </row>
    <row r="398" spans="1:57" ht="20.25">
      <c r="A398" s="15" t="s">
        <v>27</v>
      </c>
      <c r="B398" s="120" t="s">
        <v>91</v>
      </c>
      <c r="C398" s="121" t="s">
        <v>57</v>
      </c>
      <c r="D398" s="122">
        <f>IFERROR(E398/E$363,0)</f>
        <v>0</v>
      </c>
      <c r="E398" s="123">
        <f>+SUM(E381:E397)</f>
        <v>0</v>
      </c>
      <c r="F398" s="121" t="s">
        <v>57</v>
      </c>
      <c r="G398" s="122">
        <f>IFERROR(H398/H$363,0)</f>
        <v>0</v>
      </c>
      <c r="H398" s="123">
        <f>+SUM(H381:H397)</f>
        <v>0</v>
      </c>
      <c r="I398" s="121" t="s">
        <v>57</v>
      </c>
      <c r="J398" s="122">
        <f>IFERROR(K398/K$363,0)</f>
        <v>0</v>
      </c>
      <c r="K398" s="123">
        <f>+SUM(K381:K397)</f>
        <v>0</v>
      </c>
      <c r="L398" s="121" t="s">
        <v>57</v>
      </c>
      <c r="M398" s="122">
        <f>IFERROR(N398/N$363,0)</f>
        <v>0</v>
      </c>
      <c r="N398" s="123">
        <f>+SUM(N381:N397)</f>
        <v>0</v>
      </c>
      <c r="O398" s="121" t="s">
        <v>57</v>
      </c>
      <c r="P398" s="122">
        <f>IFERROR(Q398/Q$363,0)</f>
        <v>0</v>
      </c>
      <c r="Q398" s="123">
        <f>+SUM(Q381:Q397)</f>
        <v>0</v>
      </c>
      <c r="R398" s="121" t="s">
        <v>57</v>
      </c>
      <c r="S398" s="122">
        <f>IFERROR(T398/T$363,0)</f>
        <v>0</v>
      </c>
      <c r="T398" s="123">
        <f>+SUM(T381:T397)</f>
        <v>0</v>
      </c>
      <c r="U398" s="121" t="s">
        <v>57</v>
      </c>
      <c r="V398" s="122">
        <f>IFERROR(W398/W$363,0)</f>
        <v>0</v>
      </c>
      <c r="W398" s="124">
        <f>+SUM(W381:W397)</f>
        <v>0</v>
      </c>
      <c r="X398" s="121" t="s">
        <v>57</v>
      </c>
      <c r="Y398" s="122">
        <f>IFERROR(Z398/Z$363,0)</f>
        <v>0</v>
      </c>
      <c r="Z398" s="124">
        <f>+SUM(Z381:Z397)</f>
        <v>0</v>
      </c>
      <c r="AA398" s="121" t="s">
        <v>57</v>
      </c>
      <c r="AB398" s="122">
        <f>IFERROR(AC398/AC$363,0)</f>
        <v>0</v>
      </c>
      <c r="AC398" s="124">
        <f>+SUM(AC381:AC397)</f>
        <v>0</v>
      </c>
      <c r="AD398" s="121" t="s">
        <v>57</v>
      </c>
      <c r="AE398" s="122">
        <v>0</v>
      </c>
      <c r="AF398" s="123">
        <v>0</v>
      </c>
      <c r="AG398" s="121" t="s">
        <v>57</v>
      </c>
      <c r="AH398" s="122">
        <v>0</v>
      </c>
      <c r="AI398" s="123">
        <v>0</v>
      </c>
      <c r="AJ398" s="121" t="s">
        <v>57</v>
      </c>
      <c r="AK398" s="122">
        <v>0</v>
      </c>
      <c r="AL398" s="123">
        <v>0</v>
      </c>
      <c r="AM398" s="121" t="s">
        <v>57</v>
      </c>
      <c r="AN398" s="122">
        <v>0</v>
      </c>
      <c r="AO398" s="123">
        <v>0</v>
      </c>
      <c r="AQ398" s="121" t="s">
        <v>57</v>
      </c>
      <c r="AR398" s="125">
        <f t="shared" ref="AR398" si="566">IFERROR(AS398/AS$363,0)</f>
        <v>0</v>
      </c>
      <c r="AS398" s="126">
        <f t="shared" ref="AS398" si="567">+SUM(AS381:AS397)</f>
        <v>0</v>
      </c>
      <c r="AU398" s="121" t="s">
        <v>57</v>
      </c>
      <c r="AV398" s="125">
        <f t="shared" ref="AV398" si="568">IFERROR(AW398/AW$363,0)</f>
        <v>0</v>
      </c>
      <c r="AW398" s="126">
        <f t="shared" ref="AW398" si="569">+SUM(AW381:AW397)</f>
        <v>0</v>
      </c>
      <c r="AY398" s="121" t="s">
        <v>57</v>
      </c>
      <c r="AZ398" s="125">
        <f>IFERROR(BA398/BA$363,0)</f>
        <v>0</v>
      </c>
      <c r="BA398" s="126">
        <f>+SUM(BA381:BA397)</f>
        <v>0</v>
      </c>
      <c r="BC398" s="121" t="s">
        <v>57</v>
      </c>
      <c r="BD398" s="125"/>
      <c r="BE398" s="127">
        <f t="shared" ref="BE398" si="570">+SUM(BE381:BE397)</f>
        <v>0</v>
      </c>
    </row>
    <row r="399" spans="1:57" ht="20.25">
      <c r="A399" s="15" t="s">
        <v>27</v>
      </c>
      <c r="B399" s="34"/>
      <c r="C399" s="34"/>
      <c r="D399" s="72"/>
      <c r="E399" s="52"/>
      <c r="F399" s="34"/>
      <c r="G399" s="72"/>
      <c r="H399" s="52"/>
      <c r="I399" s="34"/>
      <c r="J399" s="72"/>
      <c r="K399" s="52"/>
      <c r="L399" s="34"/>
      <c r="M399" s="72"/>
      <c r="N399" s="52"/>
      <c r="O399" s="34"/>
      <c r="P399" s="72"/>
      <c r="Q399" s="52"/>
      <c r="R399" s="34"/>
      <c r="S399" s="72"/>
      <c r="T399" s="52"/>
      <c r="U399" s="34"/>
      <c r="V399" s="72"/>
      <c r="W399" s="52"/>
      <c r="X399" s="34"/>
      <c r="Y399" s="72"/>
      <c r="Z399" s="52"/>
      <c r="AA399" s="34"/>
      <c r="AB399" s="72"/>
      <c r="AC399" s="52"/>
      <c r="AD399" s="34"/>
      <c r="AE399" s="72"/>
      <c r="AF399" s="52"/>
      <c r="AG399" s="34"/>
      <c r="AH399" s="72"/>
      <c r="AI399" s="52"/>
      <c r="AJ399" s="34"/>
      <c r="AK399" s="72"/>
      <c r="AL399" s="52"/>
      <c r="AM399" s="34"/>
      <c r="AN399" s="72"/>
      <c r="AO399" s="52"/>
      <c r="AQ399" s="53"/>
      <c r="AR399" s="74"/>
      <c r="AS399" s="54"/>
      <c r="AU399" s="53"/>
      <c r="AV399" s="74"/>
      <c r="AW399" s="54"/>
      <c r="AY399" s="53"/>
      <c r="AZ399" s="74"/>
      <c r="BA399" s="54"/>
      <c r="BC399" s="53"/>
      <c r="BD399" s="74"/>
      <c r="BE399" s="27"/>
    </row>
    <row r="400" spans="1:57" ht="20.25">
      <c r="A400" s="15" t="s">
        <v>27</v>
      </c>
      <c r="B400" s="120" t="s">
        <v>92</v>
      </c>
      <c r="C400" s="121" t="s">
        <v>57</v>
      </c>
      <c r="D400" s="122">
        <f>IFERROR(E400/E$363,0)</f>
        <v>0</v>
      </c>
      <c r="E400" s="123">
        <f>E380+E398</f>
        <v>0</v>
      </c>
      <c r="F400" s="121" t="s">
        <v>57</v>
      </c>
      <c r="G400" s="122">
        <f>IFERROR(H400/H$363,0)</f>
        <v>0</v>
      </c>
      <c r="H400" s="123">
        <f>H380+H398</f>
        <v>0</v>
      </c>
      <c r="I400" s="121" t="s">
        <v>57</v>
      </c>
      <c r="J400" s="122">
        <f>IFERROR(K400/K$363,0)</f>
        <v>0</v>
      </c>
      <c r="K400" s="123">
        <f>K380+K398</f>
        <v>0</v>
      </c>
      <c r="L400" s="121" t="s">
        <v>57</v>
      </c>
      <c r="M400" s="122">
        <f>IFERROR(N400/N$363,0)</f>
        <v>0</v>
      </c>
      <c r="N400" s="123">
        <f>N380+N398</f>
        <v>0</v>
      </c>
      <c r="O400" s="121" t="s">
        <v>57</v>
      </c>
      <c r="P400" s="122">
        <f>IFERROR(Q400/Q$363,0)</f>
        <v>0</v>
      </c>
      <c r="Q400" s="123">
        <f>Q380+Q398</f>
        <v>0</v>
      </c>
      <c r="R400" s="121" t="s">
        <v>57</v>
      </c>
      <c r="S400" s="122">
        <f>IFERROR(T400/T$363,0)</f>
        <v>0</v>
      </c>
      <c r="T400" s="123">
        <f>T380+T398</f>
        <v>0</v>
      </c>
      <c r="U400" s="121" t="s">
        <v>57</v>
      </c>
      <c r="V400" s="122">
        <f>IFERROR(W400/W$363,0)</f>
        <v>0</v>
      </c>
      <c r="W400" s="124">
        <f>W380+W398</f>
        <v>0</v>
      </c>
      <c r="X400" s="121" t="s">
        <v>57</v>
      </c>
      <c r="Y400" s="122">
        <f>IFERROR(Z400/Z$363,0)</f>
        <v>0</v>
      </c>
      <c r="Z400" s="124">
        <f>Z380+Z398</f>
        <v>0</v>
      </c>
      <c r="AA400" s="121" t="s">
        <v>57</v>
      </c>
      <c r="AB400" s="122">
        <f>IFERROR(AC400/AC$363,0)</f>
        <v>0</v>
      </c>
      <c r="AC400" s="124">
        <f>AC380+AC398</f>
        <v>0</v>
      </c>
      <c r="AD400" s="121" t="s">
        <v>57</v>
      </c>
      <c r="AE400" s="122">
        <v>0</v>
      </c>
      <c r="AF400" s="123">
        <v>0</v>
      </c>
      <c r="AG400" s="121" t="s">
        <v>57</v>
      </c>
      <c r="AH400" s="122">
        <v>0</v>
      </c>
      <c r="AI400" s="123">
        <v>0</v>
      </c>
      <c r="AJ400" s="121" t="s">
        <v>57</v>
      </c>
      <c r="AK400" s="122">
        <v>0</v>
      </c>
      <c r="AL400" s="123">
        <v>0</v>
      </c>
      <c r="AM400" s="121" t="s">
        <v>57</v>
      </c>
      <c r="AN400" s="122">
        <v>0</v>
      </c>
      <c r="AO400" s="123">
        <v>0</v>
      </c>
      <c r="AQ400" s="121" t="s">
        <v>57</v>
      </c>
      <c r="AR400" s="125">
        <f t="shared" ref="AR400" si="571">IFERROR(AS400/AS$363,0)</f>
        <v>0</v>
      </c>
      <c r="AS400" s="126">
        <f t="shared" ref="AS400" si="572">AS380+AS398</f>
        <v>0</v>
      </c>
      <c r="AU400" s="121" t="s">
        <v>57</v>
      </c>
      <c r="AV400" s="125">
        <f t="shared" ref="AV400" si="573">IFERROR(AW400/AW$363,0)</f>
        <v>0</v>
      </c>
      <c r="AW400" s="126">
        <f t="shared" ref="AW400" si="574">AW380+AW398</f>
        <v>0</v>
      </c>
      <c r="AY400" s="121" t="s">
        <v>57</v>
      </c>
      <c r="AZ400" s="125">
        <f>IFERROR(BA400/BA$363,0)</f>
        <v>0</v>
      </c>
      <c r="BA400" s="126">
        <f>BA380+BA398</f>
        <v>0</v>
      </c>
      <c r="BC400" s="121" t="s">
        <v>57</v>
      </c>
      <c r="BD400" s="125"/>
      <c r="BE400" s="127">
        <f t="shared" ref="BE400" si="575">BE380+BE398</f>
        <v>0</v>
      </c>
    </row>
    <row r="401" spans="1:57" ht="21" thickBot="1">
      <c r="A401" s="15" t="s">
        <v>27</v>
      </c>
      <c r="B401" s="34"/>
      <c r="C401" s="34"/>
      <c r="D401" s="72"/>
      <c r="E401" s="73"/>
      <c r="F401" s="34"/>
      <c r="G401" s="72"/>
      <c r="H401" s="73"/>
      <c r="I401" s="34"/>
      <c r="J401" s="72"/>
      <c r="K401" s="73"/>
      <c r="L401" s="34"/>
      <c r="M401" s="72"/>
      <c r="N401" s="73"/>
      <c r="O401" s="34"/>
      <c r="P401" s="72"/>
      <c r="Q401" s="73"/>
      <c r="R401" s="34"/>
      <c r="S401" s="72"/>
      <c r="T401" s="73"/>
      <c r="U401" s="34"/>
      <c r="V401" s="72"/>
      <c r="W401" s="73"/>
      <c r="X401" s="34"/>
      <c r="Y401" s="72"/>
      <c r="Z401" s="73"/>
      <c r="AA401" s="34"/>
      <c r="AB401" s="72"/>
      <c r="AC401" s="73"/>
      <c r="AD401" s="34"/>
      <c r="AE401" s="72"/>
      <c r="AF401" s="73"/>
      <c r="AG401" s="34"/>
      <c r="AH401" s="72"/>
      <c r="AI401" s="73"/>
      <c r="AJ401" s="34"/>
      <c r="AK401" s="72"/>
      <c r="AL401" s="73"/>
      <c r="AM401" s="34"/>
      <c r="AN401" s="72"/>
      <c r="AO401" s="73"/>
      <c r="AQ401" s="53"/>
      <c r="AR401" s="74"/>
      <c r="AS401" s="75"/>
      <c r="AU401" s="53"/>
      <c r="AV401" s="74"/>
      <c r="AW401" s="75"/>
      <c r="AY401" s="53"/>
      <c r="AZ401" s="74"/>
      <c r="BA401" s="75"/>
      <c r="BC401" s="53"/>
      <c r="BD401" s="74"/>
      <c r="BE401" s="27"/>
    </row>
    <row r="402" spans="1:57" ht="21.75" thickTop="1" thickBot="1">
      <c r="A402" s="15" t="s">
        <v>27</v>
      </c>
      <c r="B402" s="344" t="s">
        <v>99</v>
      </c>
      <c r="C402" s="345"/>
      <c r="D402" s="346"/>
      <c r="E402" s="347">
        <f>E365-E400</f>
        <v>0</v>
      </c>
      <c r="F402" s="345"/>
      <c r="G402" s="346"/>
      <c r="H402" s="347">
        <f>H365-H400</f>
        <v>0</v>
      </c>
      <c r="I402" s="345"/>
      <c r="J402" s="346"/>
      <c r="K402" s="347">
        <f>K365-K400</f>
        <v>0</v>
      </c>
      <c r="L402" s="345"/>
      <c r="M402" s="346"/>
      <c r="N402" s="347">
        <f>N365-N400</f>
        <v>0</v>
      </c>
      <c r="O402" s="345"/>
      <c r="P402" s="346"/>
      <c r="Q402" s="347">
        <f>Q365-Q400</f>
        <v>0</v>
      </c>
      <c r="R402" s="345"/>
      <c r="S402" s="346"/>
      <c r="T402" s="347">
        <f>T365-T400</f>
        <v>0</v>
      </c>
      <c r="U402" s="345"/>
      <c r="V402" s="346"/>
      <c r="W402" s="348">
        <f>W365-W400</f>
        <v>0</v>
      </c>
      <c r="X402" s="345"/>
      <c r="Y402" s="346"/>
      <c r="Z402" s="348">
        <f>Z365-Z400</f>
        <v>0</v>
      </c>
      <c r="AA402" s="345"/>
      <c r="AB402" s="346"/>
      <c r="AC402" s="348">
        <f>AC365-AC400</f>
        <v>0</v>
      </c>
      <c r="AD402" s="345"/>
      <c r="AE402" s="346"/>
      <c r="AF402" s="347">
        <v>0</v>
      </c>
      <c r="AG402" s="345"/>
      <c r="AH402" s="346"/>
      <c r="AI402" s="347">
        <v>0</v>
      </c>
      <c r="AJ402" s="345"/>
      <c r="AK402" s="346"/>
      <c r="AL402" s="347">
        <v>0</v>
      </c>
      <c r="AM402" s="345"/>
      <c r="AN402" s="346"/>
      <c r="AO402" s="347">
        <v>0</v>
      </c>
      <c r="AQ402" s="349"/>
      <c r="AR402" s="350"/>
      <c r="AS402" s="351">
        <f t="shared" ref="AS402" si="576">AS365-AS400</f>
        <v>0</v>
      </c>
      <c r="AU402" s="349"/>
      <c r="AV402" s="350"/>
      <c r="AW402" s="351">
        <f t="shared" ref="AW402" si="577">AW365-AW400</f>
        <v>0</v>
      </c>
      <c r="AY402" s="349"/>
      <c r="AZ402" s="350"/>
      <c r="BA402" s="351">
        <f>BA365-BA400</f>
        <v>0</v>
      </c>
      <c r="BC402" s="349"/>
      <c r="BD402" s="350"/>
      <c r="BE402" s="352">
        <f t="shared" ref="BE402" si="578">BE365-BE400</f>
        <v>0</v>
      </c>
    </row>
    <row r="403" spans="1:57" ht="21" thickTop="1">
      <c r="A403" s="15" t="s">
        <v>27</v>
      </c>
      <c r="B403" s="201"/>
      <c r="C403" s="201"/>
      <c r="D403" s="201"/>
      <c r="E403" s="340">
        <f>+SUM(H402,K402,N402,Q402,T402,W402,Z402,AC402,AF402,AI402,AL402,AO402)</f>
        <v>0</v>
      </c>
      <c r="F403" s="201"/>
      <c r="G403" s="201"/>
      <c r="H403" s="340"/>
      <c r="I403" s="201"/>
      <c r="J403" s="201"/>
      <c r="K403" s="340"/>
      <c r="L403" s="201"/>
      <c r="M403" s="201"/>
      <c r="N403" s="340"/>
      <c r="O403" s="201"/>
      <c r="P403" s="201"/>
      <c r="Q403" s="340"/>
      <c r="R403" s="201"/>
      <c r="S403" s="201"/>
      <c r="T403" s="340"/>
      <c r="U403" s="201"/>
      <c r="V403" s="201"/>
      <c r="W403" s="340"/>
      <c r="X403" s="201"/>
      <c r="Y403" s="201"/>
      <c r="Z403" s="340"/>
      <c r="AA403" s="201"/>
      <c r="AB403" s="201"/>
      <c r="AC403" s="340"/>
      <c r="AD403" s="201"/>
      <c r="AE403" s="201"/>
      <c r="AF403" s="340"/>
      <c r="AG403" s="201"/>
      <c r="AH403" s="201"/>
      <c r="AI403" s="340"/>
      <c r="AJ403" s="201"/>
      <c r="AK403" s="201"/>
      <c r="AL403" s="340"/>
      <c r="AM403" s="201"/>
      <c r="AN403" s="201"/>
      <c r="AO403" s="340"/>
      <c r="AQ403" s="203"/>
      <c r="AR403" s="203"/>
      <c r="AS403" s="341"/>
      <c r="AU403" s="203"/>
      <c r="AV403" s="203"/>
      <c r="AW403" s="341"/>
      <c r="AY403" s="203"/>
      <c r="AZ403" s="203"/>
      <c r="BA403" s="341"/>
      <c r="BC403" s="203"/>
      <c r="BD403" s="203"/>
      <c r="BE403" s="342"/>
    </row>
    <row r="404" spans="1:57" ht="20.25">
      <c r="A404" s="15" t="s">
        <v>27</v>
      </c>
      <c r="B404" s="72"/>
      <c r="C404" s="72"/>
      <c r="D404" s="72"/>
      <c r="E404" s="103"/>
      <c r="F404" s="72"/>
      <c r="G404" s="72"/>
      <c r="H404" s="103">
        <v>0</v>
      </c>
      <c r="I404" s="72"/>
      <c r="J404" s="72"/>
      <c r="K404" s="103">
        <v>0</v>
      </c>
      <c r="L404" s="72"/>
      <c r="M404" s="72"/>
      <c r="N404" s="103">
        <v>0</v>
      </c>
      <c r="O404" s="72"/>
      <c r="P404" s="72"/>
      <c r="Q404" s="103">
        <v>0</v>
      </c>
      <c r="R404" s="72"/>
      <c r="S404" s="72"/>
      <c r="T404" s="103">
        <v>0</v>
      </c>
      <c r="U404" s="72"/>
      <c r="V404" s="72"/>
      <c r="W404" s="103">
        <v>0</v>
      </c>
      <c r="X404" s="72"/>
      <c r="Y404" s="72"/>
      <c r="Z404" s="103">
        <v>0</v>
      </c>
      <c r="AA404" s="72"/>
      <c r="AB404" s="72"/>
      <c r="AC404" s="103">
        <v>0</v>
      </c>
      <c r="AD404" s="72"/>
      <c r="AE404" s="72"/>
      <c r="AF404" s="103">
        <v>0</v>
      </c>
      <c r="AG404" s="72"/>
      <c r="AH404" s="72"/>
      <c r="AI404" s="103">
        <v>0</v>
      </c>
      <c r="AJ404" s="72"/>
      <c r="AK404" s="72"/>
      <c r="AL404" s="103">
        <v>0</v>
      </c>
      <c r="AM404" s="72"/>
      <c r="AN404" s="72"/>
      <c r="AO404" s="103">
        <v>0</v>
      </c>
      <c r="AQ404" s="74"/>
      <c r="AR404" s="74"/>
      <c r="AS404" s="107">
        <f t="shared" ref="AS404" si="579">+AS409-AS406</f>
        <v>0</v>
      </c>
      <c r="AU404" s="74"/>
      <c r="AV404" s="74"/>
      <c r="AW404" s="107">
        <f t="shared" ref="AW404" si="580">+AW409-AW406</f>
        <v>0</v>
      </c>
      <c r="AY404" s="74"/>
      <c r="AZ404" s="74"/>
      <c r="BA404" s="107">
        <f>+BA409-BA406</f>
        <v>0</v>
      </c>
      <c r="BC404" s="74"/>
      <c r="BD404" s="74"/>
      <c r="BE404" s="303">
        <f t="shared" ref="BE404" si="581">+BE409-BE406</f>
        <v>0</v>
      </c>
    </row>
    <row r="405" spans="1:57" ht="35.25">
      <c r="A405" s="15" t="s">
        <v>27</v>
      </c>
      <c r="B405" s="187" t="str">
        <f>B4</f>
        <v>Budget 2025</v>
      </c>
      <c r="C405" s="10" t="s">
        <v>149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Q405" s="9"/>
      <c r="AR405" s="9"/>
      <c r="AS405" s="9"/>
      <c r="AU405" s="9"/>
      <c r="AV405" s="9"/>
      <c r="AW405" s="9"/>
      <c r="AY405" s="9"/>
      <c r="AZ405" s="9"/>
      <c r="BA405" s="9"/>
      <c r="BC405" s="9"/>
      <c r="BD405" s="9"/>
      <c r="BE405" s="188"/>
    </row>
    <row r="406" spans="1:57" ht="21" thickBot="1">
      <c r="A406" s="15" t="s">
        <v>27</v>
      </c>
      <c r="B406" s="353"/>
      <c r="C406" s="354"/>
      <c r="D406" s="354"/>
      <c r="E406" s="354"/>
      <c r="F406" s="354"/>
      <c r="G406" s="354"/>
      <c r="H406" s="355">
        <v>7055316.1389505528</v>
      </c>
      <c r="I406" s="354"/>
      <c r="J406" s="354"/>
      <c r="K406" s="355">
        <v>7055316.1389505528</v>
      </c>
      <c r="L406" s="354"/>
      <c r="M406" s="354"/>
      <c r="N406" s="355">
        <v>7055316.1389505528</v>
      </c>
      <c r="O406" s="354"/>
      <c r="P406" s="354"/>
      <c r="Q406" s="355">
        <v>7055316.1389505528</v>
      </c>
      <c r="R406" s="354"/>
      <c r="S406" s="354"/>
      <c r="T406" s="355">
        <v>7055316.1389505528</v>
      </c>
      <c r="U406" s="354"/>
      <c r="V406" s="354"/>
      <c r="W406" s="355">
        <v>7055316.1389505528</v>
      </c>
      <c r="X406" s="354"/>
      <c r="Y406" s="354"/>
      <c r="Z406" s="355">
        <v>7055316.1389505528</v>
      </c>
      <c r="AA406" s="354"/>
      <c r="AB406" s="354"/>
      <c r="AC406" s="355">
        <v>7055316.1389505528</v>
      </c>
      <c r="AD406" s="354"/>
      <c r="AE406" s="354"/>
      <c r="AF406" s="355">
        <v>5391184.2165118074</v>
      </c>
      <c r="AG406" s="354"/>
      <c r="AH406" s="354"/>
      <c r="AI406" s="355">
        <v>7025011.4297198504</v>
      </c>
      <c r="AJ406" s="354"/>
      <c r="AK406" s="354"/>
      <c r="AL406" s="355">
        <v>7681153.0316782119</v>
      </c>
      <c r="AM406" s="354"/>
      <c r="AN406" s="354"/>
      <c r="AO406" s="355">
        <v>5294550.2992112022</v>
      </c>
      <c r="AQ406" s="354"/>
      <c r="AR406" s="354"/>
      <c r="AS406" s="355">
        <f>+AQ363+AQ317+AR253+AR197+AS96+AS8</f>
        <v>40338011.49999997</v>
      </c>
      <c r="AU406" s="354"/>
      <c r="AV406" s="354"/>
      <c r="AW406" s="355">
        <f>+AU363+AU317+AV253+AV197+AW96+AW8</f>
        <v>25489697.675871074</v>
      </c>
      <c r="AY406" s="354"/>
      <c r="AZ406" s="354"/>
      <c r="BA406" s="355">
        <f>+AY363+AY317+AZ253+AZ197+BA96+BA8</f>
        <v>40338011.5</v>
      </c>
      <c r="BC406" s="354"/>
      <c r="BD406" s="354"/>
      <c r="BE406" s="356">
        <f>+BC363+BC317+BD253+BD197+BE96+BE8</f>
        <v>0</v>
      </c>
    </row>
    <row r="407" spans="1:57" ht="21" thickTop="1">
      <c r="A407" s="15" t="s">
        <v>27</v>
      </c>
      <c r="B407" s="357" t="s">
        <v>10</v>
      </c>
      <c r="C407" s="17">
        <v>2025</v>
      </c>
      <c r="D407" s="18"/>
      <c r="E407" s="19"/>
      <c r="F407" s="17" t="s">
        <v>11</v>
      </c>
      <c r="G407" s="18"/>
      <c r="H407" s="19"/>
      <c r="I407" s="17" t="s">
        <v>12</v>
      </c>
      <c r="J407" s="18"/>
      <c r="K407" s="19"/>
      <c r="L407" s="17" t="s">
        <v>13</v>
      </c>
      <c r="M407" s="18"/>
      <c r="N407" s="19"/>
      <c r="O407" s="17" t="s">
        <v>14</v>
      </c>
      <c r="P407" s="18"/>
      <c r="Q407" s="19"/>
      <c r="R407" s="17" t="s">
        <v>15</v>
      </c>
      <c r="S407" s="18"/>
      <c r="T407" s="19"/>
      <c r="U407" s="17" t="s">
        <v>16</v>
      </c>
      <c r="V407" s="18"/>
      <c r="W407" s="19"/>
      <c r="X407" s="17" t="s">
        <v>17</v>
      </c>
      <c r="Y407" s="18"/>
      <c r="Z407" s="19"/>
      <c r="AA407" s="17" t="s">
        <v>18</v>
      </c>
      <c r="AB407" s="18"/>
      <c r="AC407" s="19"/>
      <c r="AD407" s="16" t="s">
        <v>19</v>
      </c>
      <c r="AE407" s="18"/>
      <c r="AF407" s="19"/>
      <c r="AG407" s="17" t="s">
        <v>20</v>
      </c>
      <c r="AH407" s="18"/>
      <c r="AI407" s="19"/>
      <c r="AJ407" s="17" t="s">
        <v>21</v>
      </c>
      <c r="AK407" s="18"/>
      <c r="AL407" s="19"/>
      <c r="AM407" s="17" t="s">
        <v>22</v>
      </c>
      <c r="AN407" s="18"/>
      <c r="AO407" s="19"/>
      <c r="AQ407" s="16" t="s">
        <v>6</v>
      </c>
      <c r="AR407" s="20"/>
      <c r="AS407" s="21"/>
      <c r="AU407" s="16" t="s">
        <v>7</v>
      </c>
      <c r="AV407" s="20"/>
      <c r="AW407" s="21"/>
      <c r="AY407" s="16" t="s">
        <v>8</v>
      </c>
      <c r="AZ407" s="20"/>
      <c r="BA407" s="21"/>
      <c r="BC407" s="16" t="s">
        <v>23</v>
      </c>
      <c r="BD407" s="20"/>
      <c r="BE407" s="22"/>
    </row>
    <row r="408" spans="1:57" ht="20.25">
      <c r="A408" s="15" t="s">
        <v>27</v>
      </c>
      <c r="B408" s="358"/>
      <c r="C408" s="359" t="s">
        <v>150</v>
      </c>
      <c r="D408" s="140" t="s">
        <v>151</v>
      </c>
      <c r="E408" s="360" t="s">
        <v>152</v>
      </c>
      <c r="F408" s="359" t="s">
        <v>150</v>
      </c>
      <c r="G408" s="140" t="s">
        <v>151</v>
      </c>
      <c r="H408" s="360" t="s">
        <v>152</v>
      </c>
      <c r="I408" s="359" t="s">
        <v>150</v>
      </c>
      <c r="J408" s="140" t="s">
        <v>151</v>
      </c>
      <c r="K408" s="360" t="s">
        <v>152</v>
      </c>
      <c r="L408" s="359" t="s">
        <v>150</v>
      </c>
      <c r="M408" s="140" t="s">
        <v>151</v>
      </c>
      <c r="N408" s="360" t="s">
        <v>152</v>
      </c>
      <c r="O408" s="359" t="s">
        <v>150</v>
      </c>
      <c r="P408" s="140" t="s">
        <v>151</v>
      </c>
      <c r="Q408" s="360" t="s">
        <v>152</v>
      </c>
      <c r="R408" s="359" t="s">
        <v>150</v>
      </c>
      <c r="S408" s="140" t="s">
        <v>151</v>
      </c>
      <c r="T408" s="360" t="s">
        <v>152</v>
      </c>
      <c r="U408" s="359" t="s">
        <v>150</v>
      </c>
      <c r="V408" s="140" t="s">
        <v>151</v>
      </c>
      <c r="W408" s="360" t="s">
        <v>152</v>
      </c>
      <c r="X408" s="359" t="s">
        <v>150</v>
      </c>
      <c r="Y408" s="140" t="s">
        <v>151</v>
      </c>
      <c r="Z408" s="360" t="s">
        <v>152</v>
      </c>
      <c r="AA408" s="359" t="s">
        <v>150</v>
      </c>
      <c r="AB408" s="140" t="s">
        <v>151</v>
      </c>
      <c r="AC408" s="360" t="s">
        <v>152</v>
      </c>
      <c r="AD408" s="359" t="s">
        <v>150</v>
      </c>
      <c r="AE408" s="140" t="s">
        <v>151</v>
      </c>
      <c r="AF408" s="360" t="s">
        <v>152</v>
      </c>
      <c r="AG408" s="359" t="s">
        <v>150</v>
      </c>
      <c r="AH408" s="140" t="s">
        <v>151</v>
      </c>
      <c r="AI408" s="360" t="s">
        <v>152</v>
      </c>
      <c r="AJ408" s="359" t="s">
        <v>150</v>
      </c>
      <c r="AK408" s="140" t="s">
        <v>151</v>
      </c>
      <c r="AL408" s="360" t="s">
        <v>152</v>
      </c>
      <c r="AM408" s="359" t="s">
        <v>150</v>
      </c>
      <c r="AN408" s="140" t="s">
        <v>151</v>
      </c>
      <c r="AO408" s="360" t="s">
        <v>152</v>
      </c>
      <c r="AQ408" s="359" t="s">
        <v>150</v>
      </c>
      <c r="AR408" s="140" t="s">
        <v>151</v>
      </c>
      <c r="AS408" s="360" t="s">
        <v>152</v>
      </c>
      <c r="AU408" s="359" t="s">
        <v>150</v>
      </c>
      <c r="AV408" s="140" t="s">
        <v>151</v>
      </c>
      <c r="AW408" s="360" t="s">
        <v>152</v>
      </c>
      <c r="AY408" s="359" t="s">
        <v>150</v>
      </c>
      <c r="AZ408" s="140" t="s">
        <v>151</v>
      </c>
      <c r="BA408" s="360" t="s">
        <v>152</v>
      </c>
      <c r="BC408" s="359" t="s">
        <v>150</v>
      </c>
      <c r="BD408" s="140" t="s">
        <v>151</v>
      </c>
      <c r="BE408" s="361" t="s">
        <v>152</v>
      </c>
    </row>
    <row r="409" spans="1:57" ht="20.25">
      <c r="A409" s="15" t="s">
        <v>27</v>
      </c>
      <c r="B409" s="362" t="s">
        <v>28</v>
      </c>
      <c r="C409" s="363"/>
      <c r="D409" s="364"/>
      <c r="E409" s="365">
        <f>+SUM(H409,K409,N409,Q409,T409,W409,Z409,AC409,AF409,AI409,AL409,AO409)</f>
        <v>65827709.175871059</v>
      </c>
      <c r="F409" s="363"/>
      <c r="G409" s="364"/>
      <c r="H409" s="365">
        <f>+F363+F317+G253+G197+H96+H8</f>
        <v>4565178.7199999895</v>
      </c>
      <c r="I409" s="363"/>
      <c r="J409" s="364"/>
      <c r="K409" s="365">
        <f>+I363+I317+J253+J197+K96+K8</f>
        <v>3468713.25</v>
      </c>
      <c r="L409" s="363"/>
      <c r="M409" s="364"/>
      <c r="N409" s="365">
        <f>+L363+L317+M253+M197+N96+N8</f>
        <v>4561965.3799999896</v>
      </c>
      <c r="O409" s="363"/>
      <c r="P409" s="364"/>
      <c r="Q409" s="365">
        <f>+O363+O317+P253+P197+Q96+Q8</f>
        <v>4734872.03</v>
      </c>
      <c r="R409" s="363"/>
      <c r="S409" s="364"/>
      <c r="T409" s="365">
        <f>+R363+R317+S253+S197+T96+T8</f>
        <v>5431944.5899999999</v>
      </c>
      <c r="U409" s="363"/>
      <c r="V409" s="364"/>
      <c r="W409" s="365">
        <f>+U363+U317+V253+V197+W96+W8</f>
        <v>4676764.22</v>
      </c>
      <c r="X409" s="363"/>
      <c r="Y409" s="364"/>
      <c r="Z409" s="365">
        <f>+X363+X317+Y253+Y197+Z96+Z8</f>
        <v>6749179.25</v>
      </c>
      <c r="AA409" s="363"/>
      <c r="AB409" s="364"/>
      <c r="AC409" s="365">
        <f>+AA363+AA317+AB253+AB197+AC96+AC8</f>
        <v>6149394.0600000005</v>
      </c>
      <c r="AD409" s="363"/>
      <c r="AE409" s="364"/>
      <c r="AF409" s="365">
        <f t="shared" ref="AF409" si="582">+AD363+AD317+AE253+AE197+AF96+AF8</f>
        <v>5391184.2165118074</v>
      </c>
      <c r="AG409" s="363"/>
      <c r="AH409" s="364"/>
      <c r="AI409" s="365">
        <f t="shared" ref="AI409" si="583">+AG363+AG317+AH253+AH197+AI96+AI8</f>
        <v>7067481.7809698507</v>
      </c>
      <c r="AJ409" s="363"/>
      <c r="AK409" s="364"/>
      <c r="AL409" s="365">
        <f t="shared" ref="AL409" si="584">+AJ363+AJ317+AK253+AK197+AL96+AL8</f>
        <v>7713492.8404282117</v>
      </c>
      <c r="AM409" s="363"/>
      <c r="AN409" s="364"/>
      <c r="AO409" s="365">
        <f t="shared" ref="AO409" si="585">+AM363+AM317+AN253+AN197+AO96+AO8</f>
        <v>5317538.8379612025</v>
      </c>
      <c r="AQ409" s="366"/>
      <c r="AR409" s="367"/>
      <c r="AS409" s="368">
        <f>SUMIFS(F409:AO409,$F$7:$AO$7,"$PROFITS",$F$3:$AO$3,"RÉEL")</f>
        <v>40338011.499999985</v>
      </c>
      <c r="AU409" s="366"/>
      <c r="AV409" s="367"/>
      <c r="AW409" s="368">
        <f>SUMIFS(F409:AO409,$F$7:$AO$7,"$PROFITS",$F$3:$AO$3,"BUDGET")</f>
        <v>25489697.675871074</v>
      </c>
      <c r="AY409" s="366"/>
      <c r="AZ409" s="367"/>
      <c r="BA409" s="368">
        <f>+AY363+AY317+AZ253+AZ197+BA96+BA8</f>
        <v>40338011.5</v>
      </c>
      <c r="BC409" s="366"/>
      <c r="BD409" s="367"/>
      <c r="BE409" s="369">
        <f t="shared" ref="BE409" si="586">+BA409-AS409</f>
        <v>0</v>
      </c>
    </row>
    <row r="410" spans="1:57" ht="20.25">
      <c r="A410" s="15" t="s">
        <v>27</v>
      </c>
      <c r="B410" s="370" t="s">
        <v>153</v>
      </c>
      <c r="C410" s="371"/>
      <c r="D410" s="372"/>
      <c r="E410" s="373">
        <f>E30+E111+E197+E253+E317+E365</f>
        <v>8432143.4089524392</v>
      </c>
      <c r="F410" s="371"/>
      <c r="G410" s="372"/>
      <c r="H410" s="373">
        <f>H30+H111+H197+H253+H317+H365</f>
        <v>577633.46999999869</v>
      </c>
      <c r="I410" s="371"/>
      <c r="J410" s="372"/>
      <c r="K410" s="373">
        <f>K30+K111+K197+K253+K317+K365</f>
        <v>480766.95999999956</v>
      </c>
      <c r="L410" s="371"/>
      <c r="M410" s="372"/>
      <c r="N410" s="373">
        <f>N30+N111+N197+N253+N317+N365</f>
        <v>607778.62999999942</v>
      </c>
      <c r="O410" s="371"/>
      <c r="P410" s="372"/>
      <c r="Q410" s="373">
        <f>Q30+Q111+Q197+Q253+Q317+Q365</f>
        <v>694816.60999999964</v>
      </c>
      <c r="R410" s="371"/>
      <c r="S410" s="372"/>
      <c r="T410" s="373">
        <f>T30+T111+T197+T253+T317+T365</f>
        <v>753774.05999999982</v>
      </c>
      <c r="U410" s="371"/>
      <c r="V410" s="372"/>
      <c r="W410" s="374">
        <f>W30+W111+W197+W253+W317+W365</f>
        <v>647043.10999999952</v>
      </c>
      <c r="X410" s="371"/>
      <c r="Y410" s="372"/>
      <c r="Z410" s="374">
        <f>Z30+Z111+Z197+Z253+Z317+Z365</f>
        <v>777546.92999999947</v>
      </c>
      <c r="AA410" s="371"/>
      <c r="AB410" s="372"/>
      <c r="AC410" s="374">
        <f>AC30+AC111+AC197+AC253+AC317+AC365</f>
        <v>780636.27999999933</v>
      </c>
      <c r="AD410" s="371"/>
      <c r="AE410" s="372"/>
      <c r="AF410" s="374">
        <f t="shared" ref="AF410:AO410" si="587">AF30+AF111+AF197+AF253+AF317+AF365</f>
        <v>631136.47431081475</v>
      </c>
      <c r="AG410" s="371"/>
      <c r="AH410" s="372"/>
      <c r="AI410" s="374">
        <f t="shared" ref="AI410:AO410" si="588">AI30+AI111+AI197+AI253+AI317+AI365</f>
        <v>871695.60585523129</v>
      </c>
      <c r="AJ410" s="371"/>
      <c r="AK410" s="372"/>
      <c r="AL410" s="374">
        <f t="shared" ref="AL410:AO410" si="589">AL30+AL111+AL197+AL253+AL317+AL365</f>
        <v>1005229.5461957587</v>
      </c>
      <c r="AM410" s="371"/>
      <c r="AN410" s="372"/>
      <c r="AO410" s="374">
        <f t="shared" ref="AO410" si="590">AO30+AO111+AO197+AO253+AO317+AO365</f>
        <v>604085.7325906381</v>
      </c>
      <c r="AQ410" s="375"/>
      <c r="AR410" s="376"/>
      <c r="AS410" s="377">
        <f>SUMIFS(F410:AO410,$F$7:$AO$7,"$PROFITS",$F$3:$AO$3,"RÉEL")</f>
        <v>5319996.0499999952</v>
      </c>
      <c r="AU410" s="375"/>
      <c r="AV410" s="376"/>
      <c r="AW410" s="377">
        <f>AW30+AW111+AW197+AW253+AW317+AW365</f>
        <v>3112147.3589524431</v>
      </c>
      <c r="AY410" s="375"/>
      <c r="AZ410" s="376"/>
      <c r="BA410" s="377">
        <f>BA30+BA111+BA197+BA253+BA317+BA365</f>
        <v>5319996.0499999933</v>
      </c>
      <c r="BC410" s="375"/>
      <c r="BD410" s="376"/>
      <c r="BE410" s="378">
        <f>BE30+BE111+BE197+BE253+BE317+BE365</f>
        <v>-2.5156623451039195E-9</v>
      </c>
    </row>
    <row r="411" spans="1:57" ht="20.25">
      <c r="A411" s="15" t="s">
        <v>27</v>
      </c>
      <c r="B411" s="379" t="s">
        <v>154</v>
      </c>
      <c r="C411" s="380"/>
      <c r="D411" s="381"/>
      <c r="E411" s="382"/>
      <c r="F411" s="380"/>
      <c r="G411" s="381">
        <f t="shared" ref="G411:G417" si="591">IF(H411=0,0,H411/(F$16+F$99))</f>
        <v>0</v>
      </c>
      <c r="H411" s="382"/>
      <c r="I411" s="380"/>
      <c r="J411" s="381">
        <f t="shared" ref="J411:J417" si="592">IF(K411=0,0,K411/(I$16+I$99))</f>
        <v>0</v>
      </c>
      <c r="K411" s="382"/>
      <c r="L411" s="380"/>
      <c r="M411" s="381">
        <f t="shared" ref="M411:M417" si="593">IF(N411=0,0,N411/(L$16+L$99))</f>
        <v>0</v>
      </c>
      <c r="N411" s="382"/>
      <c r="O411" s="380"/>
      <c r="P411" s="381">
        <f t="shared" ref="P411:P417" si="594">IF(Q411=0,0,Q411/(O$16+O$99))</f>
        <v>0</v>
      </c>
      <c r="Q411" s="382"/>
      <c r="R411" s="380"/>
      <c r="S411" s="381">
        <f t="shared" ref="S411:S417" si="595">IF(T411=0,0,T411/(R$16+R$99))</f>
        <v>0</v>
      </c>
      <c r="T411" s="382"/>
      <c r="U411" s="380"/>
      <c r="V411" s="381">
        <f t="shared" ref="V411:V417" si="596">IF(W411=0,0,W411/(U$16+U$99))</f>
        <v>0</v>
      </c>
      <c r="W411" s="382"/>
      <c r="X411" s="380"/>
      <c r="Y411" s="381">
        <f t="shared" ref="Y411:Y417" si="597">IF(Z411=0,0,Z411/(X$16+X$99))</f>
        <v>0</v>
      </c>
      <c r="Z411" s="382"/>
      <c r="AA411" s="380"/>
      <c r="AB411" s="381">
        <f t="shared" ref="AB411:AB417" si="598">IF(AC411=0,0,AC411/(AA$16+AA$99))</f>
        <v>0</v>
      </c>
      <c r="AC411" s="382"/>
      <c r="AD411" s="380"/>
      <c r="AE411" s="381">
        <f t="shared" ref="AE411:AE417" si="599">IF(AF411=0,0,AF411/(AD$16+AD$99))</f>
        <v>0</v>
      </c>
      <c r="AF411" s="382"/>
      <c r="AG411" s="380"/>
      <c r="AH411" s="381">
        <f t="shared" ref="AH411:AH417" si="600">IF(AI411=0,0,AI411/(AG$16+AG$99))</f>
        <v>0</v>
      </c>
      <c r="AI411" s="382"/>
      <c r="AJ411" s="380"/>
      <c r="AK411" s="381">
        <f t="shared" ref="AK411:AK417" si="601">IF(AL411=0,0,AL411/(AJ$16+AJ$99))</f>
        <v>0</v>
      </c>
      <c r="AL411" s="382"/>
      <c r="AM411" s="380"/>
      <c r="AN411" s="381"/>
      <c r="AO411" s="382"/>
      <c r="AQ411" s="383"/>
      <c r="AR411" s="384"/>
      <c r="AS411" s="385"/>
      <c r="AU411" s="383"/>
      <c r="AV411" s="384"/>
      <c r="AW411" s="385"/>
      <c r="AY411" s="383"/>
      <c r="AZ411" s="384">
        <f t="shared" ref="AZ411:AZ417" si="602">IF(BA411=0,0,BA411/(AY$16+AY$99))</f>
        <v>0</v>
      </c>
      <c r="BA411" s="385"/>
      <c r="BC411" s="383"/>
      <c r="BD411" s="384"/>
      <c r="BE411" s="386"/>
    </row>
    <row r="412" spans="1:57" ht="20.25">
      <c r="A412" s="15" t="s">
        <v>43</v>
      </c>
      <c r="B412" s="387" t="s">
        <v>44</v>
      </c>
      <c r="C412" s="387">
        <f>E412/(E100+E20+E18+E16)</f>
        <v>0.32713736265762561</v>
      </c>
      <c r="D412" s="388">
        <f>IF(E412=0,0,E412/(C$16+C$100+C18+C20))</f>
        <v>636.23686848245484</v>
      </c>
      <c r="E412" s="382">
        <f t="shared" ref="E412:E418" si="603">+SUM(H412,K412,N412,Q412,T412,W412,Z412,AC412,AF412,AI412,AL412,AO412)</f>
        <v>692861.94977739337</v>
      </c>
      <c r="F412" s="387"/>
      <c r="G412" s="388">
        <f t="shared" si="591"/>
        <v>1161.5337999999999</v>
      </c>
      <c r="H412" s="382">
        <f>+SUMIF($B$4:$B$401,$B412,H$4:H$401)</f>
        <v>58076.689999999995</v>
      </c>
      <c r="I412" s="387"/>
      <c r="J412" s="388">
        <f t="shared" si="592"/>
        <v>1125.0318749999999</v>
      </c>
      <c r="K412" s="382">
        <f>+SUMIF($B$4:$B$401,$B412,K$4:K$401)</f>
        <v>36001.019999999997</v>
      </c>
      <c r="L412" s="387"/>
      <c r="M412" s="388">
        <f t="shared" si="593"/>
        <v>864.53499999999997</v>
      </c>
      <c r="N412" s="382">
        <f>+SUMIF($B$4:$B$401,$B412,N$4:N$401)</f>
        <v>44955.82</v>
      </c>
      <c r="O412" s="387"/>
      <c r="P412" s="388">
        <f t="shared" si="594"/>
        <v>863.06310344827591</v>
      </c>
      <c r="Q412" s="382">
        <f>+SUMIF($B$4:$B$401,$B412,Q$4:Q$401)</f>
        <v>50057.66</v>
      </c>
      <c r="R412" s="387"/>
      <c r="S412" s="388">
        <f t="shared" si="595"/>
        <v>1162.1319230769232</v>
      </c>
      <c r="T412" s="382">
        <f>+SUMIF($B$4:$B$401,$B412,T$4:T$401)</f>
        <v>60430.86</v>
      </c>
      <c r="U412" s="387"/>
      <c r="V412" s="388">
        <f t="shared" si="596"/>
        <v>1173.4717073170732</v>
      </c>
      <c r="W412" s="382">
        <f>+SUMIF($B$4:$B$401,$B412,W$4:W$401)</f>
        <v>48112.34</v>
      </c>
      <c r="X412" s="387"/>
      <c r="Y412" s="388">
        <f t="shared" si="597"/>
        <v>845.97315789473691</v>
      </c>
      <c r="Z412" s="382">
        <f>+SUMIF($B$4:$B$401,$B412,Z$4:Z$401)</f>
        <v>64293.960000000006</v>
      </c>
      <c r="AA412" s="387"/>
      <c r="AB412" s="388">
        <f t="shared" si="598"/>
        <v>946.68484375000003</v>
      </c>
      <c r="AC412" s="382">
        <f>+SUMIF($B$4:$B$401,$B412,AC$4:AC$401)</f>
        <v>60587.83</v>
      </c>
      <c r="AD412" s="387"/>
      <c r="AE412" s="388">
        <f t="shared" si="599"/>
        <v>951.91917922716948</v>
      </c>
      <c r="AF412" s="382">
        <f>+SUMIF($B$4:$B$401,$B412,AF$4:AF$401)</f>
        <v>59970.90829131168</v>
      </c>
      <c r="AG412" s="387"/>
      <c r="AH412" s="388">
        <f t="shared" si="600"/>
        <v>1014.620745319259</v>
      </c>
      <c r="AI412" s="382">
        <f>+SUMIF($B$4:$B$401,$B412,AI$4:AI$401)</f>
        <v>75081.935153625163</v>
      </c>
      <c r="AJ412" s="387"/>
      <c r="AK412" s="388">
        <f t="shared" si="601"/>
        <v>904.96047389912928</v>
      </c>
      <c r="AL412" s="382">
        <f>+SUMIF($B$4:$B$401,$B412,AL$4:AL$401)</f>
        <v>79636.521703123377</v>
      </c>
      <c r="AM412" s="387"/>
      <c r="AN412" s="388">
        <v>704.51145100421672</v>
      </c>
      <c r="AO412" s="382">
        <v>55656.404629333119</v>
      </c>
      <c r="AQ412" s="389"/>
      <c r="AR412" s="390">
        <f t="shared" ref="AR412:AR418" si="604">IF(AS412=0,0,AS412/(AQ$16+AQ$100))</f>
        <v>666.42930599369095</v>
      </c>
      <c r="AS412" s="385">
        <f t="shared" ref="AS412:AS418" si="605">SUMIFS(F412:AO412,$F$7:$AO$7,"$PROFITS",$F$3:$AO$3,"RÉEL")</f>
        <v>422516.18000000005</v>
      </c>
      <c r="AU412" s="389"/>
      <c r="AV412" s="390">
        <f t="shared" ref="AV412:AV418" si="606">IF(AW412=0,0,AW412/(AU$16+AU$100))</f>
        <v>689.65757596273806</v>
      </c>
      <c r="AW412" s="385">
        <f t="shared" ref="AW412:AW418" si="607">SUMIFS(F412:AO412,$F$7:$AO$7,"$PROFITS",$F$3:$AO$3,"BUDGET")</f>
        <v>270345.76977739332</v>
      </c>
      <c r="AY412" s="389"/>
      <c r="AZ412" s="390">
        <f t="shared" si="602"/>
        <v>994.15571764705885</v>
      </c>
      <c r="BA412" s="385">
        <f>+SUMIF($B$4:$B$401,$B412,BA$4:BA$401)</f>
        <v>422516.18</v>
      </c>
      <c r="BC412" s="389"/>
      <c r="BD412" s="390">
        <f t="shared" ref="BD412:BD418" si="608">IF(BE412=0,0,BE412/(BC$16+BC$100))</f>
        <v>0</v>
      </c>
      <c r="BE412" s="386">
        <f t="shared" ref="BE412:BE418" si="609">+BA412-AS412</f>
        <v>0</v>
      </c>
    </row>
    <row r="413" spans="1:57" ht="20.25">
      <c r="A413" s="15" t="s">
        <v>45</v>
      </c>
      <c r="B413" s="362" t="s">
        <v>46</v>
      </c>
      <c r="C413" s="362">
        <f>E413/(E108+E27)</f>
        <v>0.28387081436557204</v>
      </c>
      <c r="D413" s="391">
        <f t="shared" ref="D413:D418" si="610">IF(E413=0,0,E413/(C$16+C$100))</f>
        <v>384.29109161793377</v>
      </c>
      <c r="E413" s="365">
        <f t="shared" si="603"/>
        <v>394282.66000000003</v>
      </c>
      <c r="F413" s="362"/>
      <c r="G413" s="391">
        <f t="shared" si="591"/>
        <v>618.21539999999993</v>
      </c>
      <c r="H413" s="365">
        <f t="shared" ref="H413:H418" si="611">+SUMIF($B$4:$B$401,$B413,H$4:H$401)</f>
        <v>30910.769999999997</v>
      </c>
      <c r="I413" s="362"/>
      <c r="J413" s="391">
        <f t="shared" si="592"/>
        <v>464.35500000000002</v>
      </c>
      <c r="K413" s="365">
        <f t="shared" ref="K413:K418" si="612">+SUMIF($B$4:$B$401,$B413,K$4:K$401)</f>
        <v>14859.36</v>
      </c>
      <c r="L413" s="362"/>
      <c r="M413" s="391">
        <f t="shared" si="593"/>
        <v>500.49461538461543</v>
      </c>
      <c r="N413" s="365">
        <f t="shared" ref="N413:N418" si="613">+SUMIF($B$4:$B$401,$B413,N$4:N$401)</f>
        <v>26025.72</v>
      </c>
      <c r="O413" s="362"/>
      <c r="P413" s="391">
        <f t="shared" si="594"/>
        <v>503.81</v>
      </c>
      <c r="Q413" s="365">
        <f t="shared" ref="Q413:Q418" si="614">+SUMIF($B$4:$B$401,$B413,Q$4:Q$401)</f>
        <v>29220.98</v>
      </c>
      <c r="R413" s="362"/>
      <c r="S413" s="391">
        <f t="shared" si="595"/>
        <v>714.7726923076923</v>
      </c>
      <c r="T413" s="365">
        <f t="shared" ref="T413:T418" si="615">+SUMIF($B$4:$B$401,$B413,T$4:T$401)</f>
        <v>37168.18</v>
      </c>
      <c r="U413" s="362"/>
      <c r="V413" s="391">
        <f t="shared" si="596"/>
        <v>774.44073170731701</v>
      </c>
      <c r="W413" s="365">
        <f t="shared" ref="W413:W418" si="616">+SUMIF($B$4:$B$401,$B413,W$4:W$401)</f>
        <v>31752.07</v>
      </c>
      <c r="X413" s="362"/>
      <c r="Y413" s="391">
        <f t="shared" si="597"/>
        <v>530.47210526315791</v>
      </c>
      <c r="Z413" s="365">
        <f t="shared" ref="Z413:Z418" si="617">+SUMIF($B$4:$B$401,$B413,Z$4:Z$401)</f>
        <v>40315.880000000005</v>
      </c>
      <c r="AA413" s="362"/>
      <c r="AB413" s="391">
        <f t="shared" si="598"/>
        <v>528.12031249999995</v>
      </c>
      <c r="AC413" s="365">
        <f t="shared" ref="AC413:AC418" si="618">+SUMIF($B$4:$B$401,$B413,AC$4:AC$401)</f>
        <v>33799.699999999997</v>
      </c>
      <c r="AD413" s="362"/>
      <c r="AE413" s="391">
        <f t="shared" si="599"/>
        <v>497.14285714285717</v>
      </c>
      <c r="AF413" s="365">
        <f t="shared" ref="AF413:AF418" si="619">+SUMIF($B$4:$B$401,$B413,AF$4:AF$401)</f>
        <v>31320</v>
      </c>
      <c r="AG413" s="362"/>
      <c r="AH413" s="391">
        <f t="shared" si="600"/>
        <v>595.94594594594594</v>
      </c>
      <c r="AI413" s="365">
        <f t="shared" ref="AI413:AI418" si="620">+SUMIF($B$4:$B$401,$B413,AI$4:AI$401)</f>
        <v>44100</v>
      </c>
      <c r="AJ413" s="362"/>
      <c r="AK413" s="391">
        <f t="shared" si="601"/>
        <v>503.52272727272725</v>
      </c>
      <c r="AL413" s="365">
        <f t="shared" ref="AL413:AL418" si="621">+SUMIF($B$4:$B$401,$B413,AL$4:AL$401)</f>
        <v>44310</v>
      </c>
      <c r="AM413" s="362"/>
      <c r="AN413" s="391">
        <v>386.07594936708858</v>
      </c>
      <c r="AO413" s="365">
        <v>30500</v>
      </c>
      <c r="AQ413" s="392"/>
      <c r="AR413" s="393">
        <f t="shared" si="604"/>
        <v>384.9411041009464</v>
      </c>
      <c r="AS413" s="368">
        <f t="shared" si="605"/>
        <v>244052.66000000003</v>
      </c>
      <c r="AU413" s="392"/>
      <c r="AV413" s="393">
        <f t="shared" si="606"/>
        <v>383.23979591836735</v>
      </c>
      <c r="AW413" s="368">
        <f t="shared" si="607"/>
        <v>150230</v>
      </c>
      <c r="AY413" s="392"/>
      <c r="AZ413" s="393">
        <f t="shared" si="602"/>
        <v>574.24155294117645</v>
      </c>
      <c r="BA413" s="368">
        <f t="shared" ref="BA413:BA418" si="622">+SUMIF($B$4:$B$401,$B413,BA$4:BA$401)</f>
        <v>244052.66</v>
      </c>
      <c r="BC413" s="392"/>
      <c r="BD413" s="393">
        <f t="shared" si="608"/>
        <v>0</v>
      </c>
      <c r="BE413" s="369">
        <f t="shared" si="609"/>
        <v>0</v>
      </c>
    </row>
    <row r="414" spans="1:57" ht="20.25">
      <c r="A414" s="15" t="s">
        <v>47</v>
      </c>
      <c r="B414" s="387" t="s">
        <v>48</v>
      </c>
      <c r="C414" s="387"/>
      <c r="D414" s="388">
        <f t="shared" si="610"/>
        <v>66.928313840155937</v>
      </c>
      <c r="E414" s="382">
        <f t="shared" si="603"/>
        <v>68668.45</v>
      </c>
      <c r="F414" s="387"/>
      <c r="G414" s="388">
        <f t="shared" si="591"/>
        <v>80.542000000000002</v>
      </c>
      <c r="H414" s="382">
        <f t="shared" si="611"/>
        <v>4027.1</v>
      </c>
      <c r="I414" s="387"/>
      <c r="J414" s="388">
        <f t="shared" si="592"/>
        <v>77.366250000000008</v>
      </c>
      <c r="K414" s="382">
        <f t="shared" si="612"/>
        <v>2475.7200000000003</v>
      </c>
      <c r="L414" s="387"/>
      <c r="M414" s="388">
        <f t="shared" si="593"/>
        <v>-14.469038461538458</v>
      </c>
      <c r="N414" s="382">
        <f t="shared" si="613"/>
        <v>-752.38999999999987</v>
      </c>
      <c r="O414" s="387"/>
      <c r="P414" s="388">
        <f t="shared" si="594"/>
        <v>122.43948275862068</v>
      </c>
      <c r="Q414" s="382">
        <f t="shared" si="614"/>
        <v>7101.49</v>
      </c>
      <c r="R414" s="387"/>
      <c r="S414" s="388">
        <f t="shared" si="595"/>
        <v>116.65576923076924</v>
      </c>
      <c r="T414" s="382">
        <f t="shared" si="615"/>
        <v>6066.1</v>
      </c>
      <c r="U414" s="387"/>
      <c r="V414" s="388">
        <f t="shared" si="596"/>
        <v>109.16585365853659</v>
      </c>
      <c r="W414" s="382">
        <f t="shared" si="616"/>
        <v>4475.8</v>
      </c>
      <c r="X414" s="387"/>
      <c r="Y414" s="388">
        <f t="shared" si="597"/>
        <v>96.930921052631575</v>
      </c>
      <c r="Z414" s="382">
        <f t="shared" si="617"/>
        <v>7366.75</v>
      </c>
      <c r="AA414" s="387"/>
      <c r="AB414" s="388">
        <f t="shared" si="598"/>
        <v>76.904375000000002</v>
      </c>
      <c r="AC414" s="382">
        <f t="shared" si="618"/>
        <v>4921.88</v>
      </c>
      <c r="AD414" s="387"/>
      <c r="AE414" s="388">
        <f t="shared" si="599"/>
        <v>118.04761904761905</v>
      </c>
      <c r="AF414" s="382">
        <f t="shared" si="619"/>
        <v>7437</v>
      </c>
      <c r="AG414" s="387"/>
      <c r="AH414" s="388">
        <f t="shared" si="600"/>
        <v>116.43243243243244</v>
      </c>
      <c r="AI414" s="382">
        <f t="shared" si="620"/>
        <v>8616</v>
      </c>
      <c r="AJ414" s="387"/>
      <c r="AK414" s="388">
        <f t="shared" si="601"/>
        <v>116.875</v>
      </c>
      <c r="AL414" s="382">
        <f t="shared" si="621"/>
        <v>10285</v>
      </c>
      <c r="AM414" s="387"/>
      <c r="AN414" s="388">
        <v>84.151898734177209</v>
      </c>
      <c r="AO414" s="382">
        <v>6648</v>
      </c>
      <c r="AQ414" s="389"/>
      <c r="AR414" s="390">
        <f t="shared" si="604"/>
        <v>56.281466876971606</v>
      </c>
      <c r="AS414" s="385">
        <f t="shared" si="605"/>
        <v>35682.449999999997</v>
      </c>
      <c r="AU414" s="389"/>
      <c r="AV414" s="390">
        <f t="shared" si="606"/>
        <v>84.147959183673464</v>
      </c>
      <c r="AW414" s="385">
        <f t="shared" si="607"/>
        <v>32986</v>
      </c>
      <c r="AY414" s="389"/>
      <c r="AZ414" s="390">
        <f t="shared" si="602"/>
        <v>83.95870588235293</v>
      </c>
      <c r="BA414" s="385">
        <f t="shared" si="622"/>
        <v>35682.449999999997</v>
      </c>
      <c r="BC414" s="389"/>
      <c r="BD414" s="390">
        <f t="shared" si="608"/>
        <v>0</v>
      </c>
      <c r="BE414" s="386">
        <f t="shared" si="609"/>
        <v>0</v>
      </c>
    </row>
    <row r="415" spans="1:57" ht="20.25">
      <c r="A415" s="15" t="s">
        <v>49</v>
      </c>
      <c r="B415" s="387" t="s">
        <v>50</v>
      </c>
      <c r="C415" s="387"/>
      <c r="D415" s="388">
        <f t="shared" si="610"/>
        <v>24.649337231968811</v>
      </c>
      <c r="E415" s="382">
        <f t="shared" si="603"/>
        <v>25290.22</v>
      </c>
      <c r="F415" s="387"/>
      <c r="G415" s="388">
        <f t="shared" si="591"/>
        <v>20.831599999999998</v>
      </c>
      <c r="H415" s="382">
        <f t="shared" si="611"/>
        <v>1041.58</v>
      </c>
      <c r="I415" s="387"/>
      <c r="J415" s="388">
        <f t="shared" si="592"/>
        <v>43.9690625</v>
      </c>
      <c r="K415" s="382">
        <f t="shared" si="612"/>
        <v>1407.01</v>
      </c>
      <c r="L415" s="387"/>
      <c r="M415" s="388">
        <f t="shared" si="593"/>
        <v>33.359423076923079</v>
      </c>
      <c r="N415" s="382">
        <f t="shared" si="613"/>
        <v>1734.69</v>
      </c>
      <c r="O415" s="387"/>
      <c r="P415" s="388">
        <f t="shared" si="594"/>
        <v>21.487241379310344</v>
      </c>
      <c r="Q415" s="382">
        <f t="shared" si="614"/>
        <v>1246.26</v>
      </c>
      <c r="R415" s="387"/>
      <c r="S415" s="388">
        <f t="shared" si="595"/>
        <v>51.835961538461547</v>
      </c>
      <c r="T415" s="382">
        <f t="shared" si="615"/>
        <v>2695.4700000000003</v>
      </c>
      <c r="U415" s="387"/>
      <c r="V415" s="388">
        <f t="shared" si="596"/>
        <v>61.878048780487802</v>
      </c>
      <c r="W415" s="382">
        <f t="shared" si="616"/>
        <v>2537</v>
      </c>
      <c r="X415" s="387"/>
      <c r="Y415" s="388">
        <f t="shared" si="597"/>
        <v>65.573289473684213</v>
      </c>
      <c r="Z415" s="382">
        <f t="shared" si="617"/>
        <v>4983.57</v>
      </c>
      <c r="AA415" s="387"/>
      <c r="AB415" s="388">
        <f t="shared" si="598"/>
        <v>17.963124999999998</v>
      </c>
      <c r="AC415" s="382">
        <f t="shared" si="618"/>
        <v>1149.6399999999999</v>
      </c>
      <c r="AD415" s="387"/>
      <c r="AE415" s="388">
        <f t="shared" si="599"/>
        <v>27.142857142857142</v>
      </c>
      <c r="AF415" s="382">
        <f t="shared" si="619"/>
        <v>1710</v>
      </c>
      <c r="AG415" s="387"/>
      <c r="AH415" s="388">
        <f t="shared" si="600"/>
        <v>35.270270270270274</v>
      </c>
      <c r="AI415" s="382">
        <f t="shared" si="620"/>
        <v>2610</v>
      </c>
      <c r="AJ415" s="387"/>
      <c r="AK415" s="388">
        <f t="shared" si="601"/>
        <v>27.78409090909091</v>
      </c>
      <c r="AL415" s="382">
        <f t="shared" si="621"/>
        <v>2445</v>
      </c>
      <c r="AM415" s="387"/>
      <c r="AN415" s="388">
        <v>21.898734177215189</v>
      </c>
      <c r="AO415" s="382">
        <v>1730</v>
      </c>
      <c r="AQ415" s="389"/>
      <c r="AR415" s="390">
        <f t="shared" si="604"/>
        <v>26.4908832807571</v>
      </c>
      <c r="AS415" s="385">
        <f t="shared" si="605"/>
        <v>16795.22</v>
      </c>
      <c r="AU415" s="389"/>
      <c r="AV415" s="390">
        <f t="shared" si="606"/>
        <v>21.670918367346939</v>
      </c>
      <c r="AW415" s="385">
        <f t="shared" si="607"/>
        <v>8495</v>
      </c>
      <c r="AY415" s="389"/>
      <c r="AZ415" s="390">
        <f t="shared" si="602"/>
        <v>39.518164705882356</v>
      </c>
      <c r="BA415" s="385">
        <f t="shared" si="622"/>
        <v>16795.22</v>
      </c>
      <c r="BC415" s="389"/>
      <c r="BD415" s="390">
        <f t="shared" si="608"/>
        <v>0</v>
      </c>
      <c r="BE415" s="386">
        <f t="shared" si="609"/>
        <v>0</v>
      </c>
    </row>
    <row r="416" spans="1:57" ht="20.25">
      <c r="A416" s="15" t="s">
        <v>47</v>
      </c>
      <c r="B416" s="362" t="s">
        <v>51</v>
      </c>
      <c r="C416" s="362"/>
      <c r="D416" s="391">
        <f t="shared" si="610"/>
        <v>139.91436647173489</v>
      </c>
      <c r="E416" s="365">
        <f t="shared" si="603"/>
        <v>143552.14000000001</v>
      </c>
      <c r="F416" s="362"/>
      <c r="G416" s="391">
        <f t="shared" si="591"/>
        <v>182.43739999999997</v>
      </c>
      <c r="H416" s="365">
        <f t="shared" si="611"/>
        <v>9121.869999999999</v>
      </c>
      <c r="I416" s="362"/>
      <c r="J416" s="391">
        <f t="shared" si="592"/>
        <v>325.03156250000001</v>
      </c>
      <c r="K416" s="365">
        <f t="shared" si="612"/>
        <v>10401.01</v>
      </c>
      <c r="L416" s="362"/>
      <c r="M416" s="391">
        <f t="shared" si="593"/>
        <v>250.30615384615385</v>
      </c>
      <c r="N416" s="365">
        <f t="shared" si="613"/>
        <v>13015.92</v>
      </c>
      <c r="O416" s="362"/>
      <c r="P416" s="391">
        <f t="shared" si="594"/>
        <v>195.60775862068965</v>
      </c>
      <c r="Q416" s="365">
        <f t="shared" si="614"/>
        <v>11345.25</v>
      </c>
      <c r="R416" s="362"/>
      <c r="S416" s="391">
        <f t="shared" si="595"/>
        <v>266.93692307692305</v>
      </c>
      <c r="T416" s="365">
        <f t="shared" si="615"/>
        <v>13880.72</v>
      </c>
      <c r="U416" s="362"/>
      <c r="V416" s="391">
        <f t="shared" si="596"/>
        <v>429.1465853658537</v>
      </c>
      <c r="W416" s="365">
        <f t="shared" si="616"/>
        <v>17595.010000000002</v>
      </c>
      <c r="X416" s="362"/>
      <c r="Y416" s="391">
        <f t="shared" si="597"/>
        <v>96.436710526315792</v>
      </c>
      <c r="Z416" s="365">
        <f t="shared" si="617"/>
        <v>7329.1900000000005</v>
      </c>
      <c r="AA416" s="362"/>
      <c r="AB416" s="391">
        <f t="shared" si="598"/>
        <v>108.97921875</v>
      </c>
      <c r="AC416" s="365">
        <f t="shared" si="618"/>
        <v>6974.67</v>
      </c>
      <c r="AD416" s="362"/>
      <c r="AE416" s="391">
        <f t="shared" si="599"/>
        <v>181.70238095238096</v>
      </c>
      <c r="AF416" s="365">
        <f t="shared" si="619"/>
        <v>11447.25</v>
      </c>
      <c r="AG416" s="362"/>
      <c r="AH416" s="391">
        <f t="shared" si="600"/>
        <v>208.29729729729729</v>
      </c>
      <c r="AI416" s="365">
        <f t="shared" si="620"/>
        <v>15414</v>
      </c>
      <c r="AJ416" s="362"/>
      <c r="AK416" s="391">
        <f t="shared" si="601"/>
        <v>183.01420454545453</v>
      </c>
      <c r="AL416" s="365">
        <f t="shared" si="621"/>
        <v>16105.25</v>
      </c>
      <c r="AM416" s="362"/>
      <c r="AN416" s="391">
        <v>138.25316455696202</v>
      </c>
      <c r="AO416" s="365">
        <v>10922</v>
      </c>
      <c r="AQ416" s="392"/>
      <c r="AR416" s="393">
        <f t="shared" si="604"/>
        <v>141.42529968454258</v>
      </c>
      <c r="AS416" s="368">
        <f t="shared" si="605"/>
        <v>89663.64</v>
      </c>
      <c r="AU416" s="392"/>
      <c r="AV416" s="393">
        <f t="shared" si="606"/>
        <v>137.47066326530611</v>
      </c>
      <c r="AW416" s="368">
        <f t="shared" si="607"/>
        <v>53888.5</v>
      </c>
      <c r="AY416" s="392"/>
      <c r="AZ416" s="393">
        <f t="shared" si="602"/>
        <v>210.97327058823529</v>
      </c>
      <c r="BA416" s="368">
        <f t="shared" si="622"/>
        <v>89663.64</v>
      </c>
      <c r="BC416" s="392"/>
      <c r="BD416" s="393">
        <f t="shared" si="608"/>
        <v>0</v>
      </c>
      <c r="BE416" s="369">
        <f t="shared" si="609"/>
        <v>0</v>
      </c>
    </row>
    <row r="417" spans="1:57" ht="20.25">
      <c r="A417" s="15" t="s">
        <v>52</v>
      </c>
      <c r="B417" s="387" t="s">
        <v>53</v>
      </c>
      <c r="C417" s="387"/>
      <c r="D417" s="388">
        <f t="shared" si="610"/>
        <v>222.67675438596495</v>
      </c>
      <c r="E417" s="382">
        <f t="shared" si="603"/>
        <v>228466.35000000003</v>
      </c>
      <c r="F417" s="387"/>
      <c r="G417" s="388">
        <f t="shared" si="591"/>
        <v>335.93440000000004</v>
      </c>
      <c r="H417" s="382">
        <f t="shared" si="611"/>
        <v>16796.72</v>
      </c>
      <c r="I417" s="387"/>
      <c r="J417" s="388">
        <f t="shared" si="592"/>
        <v>356.83937500000002</v>
      </c>
      <c r="K417" s="382">
        <f t="shared" si="612"/>
        <v>11418.86</v>
      </c>
      <c r="L417" s="387"/>
      <c r="M417" s="388">
        <f t="shared" si="593"/>
        <v>593.36269230769233</v>
      </c>
      <c r="N417" s="382">
        <f t="shared" si="613"/>
        <v>30854.86</v>
      </c>
      <c r="O417" s="387"/>
      <c r="P417" s="388">
        <f t="shared" si="594"/>
        <v>468.53896551724142</v>
      </c>
      <c r="Q417" s="382">
        <f t="shared" si="614"/>
        <v>27175.260000000002</v>
      </c>
      <c r="R417" s="387"/>
      <c r="S417" s="388">
        <f t="shared" si="595"/>
        <v>412.69038461538463</v>
      </c>
      <c r="T417" s="382">
        <f t="shared" si="615"/>
        <v>21459.9</v>
      </c>
      <c r="U417" s="387"/>
      <c r="V417" s="388">
        <f t="shared" si="596"/>
        <v>307.2192682926829</v>
      </c>
      <c r="W417" s="382">
        <f t="shared" si="616"/>
        <v>12595.99</v>
      </c>
      <c r="X417" s="387"/>
      <c r="Y417" s="388">
        <f t="shared" si="597"/>
        <v>169.31657894736844</v>
      </c>
      <c r="Z417" s="382">
        <f t="shared" si="617"/>
        <v>12868.060000000001</v>
      </c>
      <c r="AA417" s="387"/>
      <c r="AB417" s="388">
        <f t="shared" si="598"/>
        <v>262.82343749999995</v>
      </c>
      <c r="AC417" s="382">
        <f t="shared" si="618"/>
        <v>16820.699999999997</v>
      </c>
      <c r="AD417" s="387"/>
      <c r="AE417" s="388">
        <f t="shared" si="599"/>
        <v>286.41269841269843</v>
      </c>
      <c r="AF417" s="382">
        <f t="shared" si="619"/>
        <v>18044</v>
      </c>
      <c r="AG417" s="387"/>
      <c r="AH417" s="388">
        <f t="shared" si="600"/>
        <v>369.51351351351349</v>
      </c>
      <c r="AI417" s="382">
        <f t="shared" si="620"/>
        <v>27344</v>
      </c>
      <c r="AJ417" s="387"/>
      <c r="AK417" s="388">
        <f t="shared" si="601"/>
        <v>165.27272727272728</v>
      </c>
      <c r="AL417" s="382">
        <f t="shared" si="621"/>
        <v>14544</v>
      </c>
      <c r="AM417" s="387"/>
      <c r="AN417" s="388">
        <v>234.73417721518987</v>
      </c>
      <c r="AO417" s="382">
        <v>18544</v>
      </c>
      <c r="AQ417" s="389"/>
      <c r="AR417" s="390">
        <f t="shared" si="604"/>
        <v>236.5778391167193</v>
      </c>
      <c r="AS417" s="385">
        <f t="shared" si="605"/>
        <v>149990.35000000003</v>
      </c>
      <c r="AU417" s="389"/>
      <c r="AV417" s="390">
        <f t="shared" si="606"/>
        <v>200.19387755102042</v>
      </c>
      <c r="AW417" s="385">
        <f t="shared" si="607"/>
        <v>78476</v>
      </c>
      <c r="AY417" s="389"/>
      <c r="AZ417" s="390">
        <f t="shared" si="602"/>
        <v>352.91847058823527</v>
      </c>
      <c r="BA417" s="385">
        <f t="shared" si="622"/>
        <v>149990.34999999998</v>
      </c>
      <c r="BC417" s="389"/>
      <c r="BD417" s="390">
        <f t="shared" si="608"/>
        <v>0</v>
      </c>
      <c r="BE417" s="386">
        <f t="shared" si="609"/>
        <v>0</v>
      </c>
    </row>
    <row r="418" spans="1:57" ht="20.25">
      <c r="A418" s="15" t="s">
        <v>54</v>
      </c>
      <c r="B418" s="387" t="s">
        <v>55</v>
      </c>
      <c r="C418" s="387"/>
      <c r="D418" s="388">
        <f t="shared" si="610"/>
        <v>280.66234927445572</v>
      </c>
      <c r="E418" s="382">
        <f t="shared" si="603"/>
        <v>287959.5703555916</v>
      </c>
      <c r="F418" s="387"/>
      <c r="G418" s="388"/>
      <c r="H418" s="382">
        <f t="shared" si="611"/>
        <v>29528.35</v>
      </c>
      <c r="I418" s="387"/>
      <c r="J418" s="388"/>
      <c r="K418" s="382">
        <f t="shared" si="612"/>
        <v>-9194.7100000000009</v>
      </c>
      <c r="L418" s="387"/>
      <c r="M418" s="388"/>
      <c r="N418" s="382">
        <f t="shared" si="613"/>
        <v>26082.329999999998</v>
      </c>
      <c r="O418" s="387"/>
      <c r="P418" s="388"/>
      <c r="Q418" s="382">
        <f t="shared" si="614"/>
        <v>-2001.2399999999998</v>
      </c>
      <c r="R418" s="387"/>
      <c r="S418" s="388"/>
      <c r="T418" s="382">
        <f t="shared" si="615"/>
        <v>17032.379999999997</v>
      </c>
      <c r="U418" s="387"/>
      <c r="V418" s="388"/>
      <c r="W418" s="382">
        <f t="shared" si="616"/>
        <v>18183.760000000002</v>
      </c>
      <c r="X418" s="387"/>
      <c r="Y418" s="388"/>
      <c r="Z418" s="382">
        <f t="shared" si="617"/>
        <v>26209.15</v>
      </c>
      <c r="AA418" s="387"/>
      <c r="AB418" s="388"/>
      <c r="AC418" s="382">
        <f t="shared" si="618"/>
        <v>3626.3999999999996</v>
      </c>
      <c r="AD418" s="387"/>
      <c r="AE418" s="388"/>
      <c r="AF418" s="382">
        <f t="shared" si="619"/>
        <v>46800.067070655386</v>
      </c>
      <c r="AG418" s="387"/>
      <c r="AH418" s="388"/>
      <c r="AI418" s="382">
        <f t="shared" si="620"/>
        <v>48647.254556702515</v>
      </c>
      <c r="AJ418" s="387"/>
      <c r="AK418" s="388"/>
      <c r="AL418" s="382">
        <f t="shared" si="621"/>
        <v>42103.922168356883</v>
      </c>
      <c r="AM418" s="387"/>
      <c r="AN418" s="388">
        <v>518.25198177059281</v>
      </c>
      <c r="AO418" s="382">
        <v>40941.906559876836</v>
      </c>
      <c r="AQ418" s="389"/>
      <c r="AR418" s="390">
        <f t="shared" si="604"/>
        <v>172.65996845425866</v>
      </c>
      <c r="AS418" s="385">
        <f t="shared" si="605"/>
        <v>109466.41999999998</v>
      </c>
      <c r="AU418" s="389"/>
      <c r="AV418" s="390">
        <f t="shared" si="606"/>
        <v>455.33966927446841</v>
      </c>
      <c r="AW418" s="385">
        <f t="shared" si="607"/>
        <v>178493.15035559161</v>
      </c>
      <c r="AY418" s="389"/>
      <c r="AZ418" s="390"/>
      <c r="BA418" s="385">
        <f t="shared" si="622"/>
        <v>109466.42</v>
      </c>
      <c r="BC418" s="389"/>
      <c r="BD418" s="390">
        <f t="shared" si="608"/>
        <v>0</v>
      </c>
      <c r="BE418" s="386">
        <f t="shared" si="609"/>
        <v>0</v>
      </c>
    </row>
    <row r="419" spans="1:57" ht="20.25" hidden="1" customHeight="1">
      <c r="A419" s="15"/>
      <c r="B419" s="394"/>
      <c r="C419" s="387"/>
      <c r="D419" s="388"/>
      <c r="E419" s="382"/>
      <c r="F419" s="387"/>
      <c r="G419" s="388"/>
      <c r="H419" s="382"/>
      <c r="I419" s="387"/>
      <c r="J419" s="388"/>
      <c r="K419" s="382"/>
      <c r="L419" s="387"/>
      <c r="M419" s="388"/>
      <c r="N419" s="382"/>
      <c r="O419" s="387"/>
      <c r="P419" s="388"/>
      <c r="Q419" s="382"/>
      <c r="R419" s="387"/>
      <c r="S419" s="388"/>
      <c r="T419" s="382"/>
      <c r="U419" s="387"/>
      <c r="V419" s="388"/>
      <c r="W419" s="382"/>
      <c r="X419" s="387"/>
      <c r="Y419" s="388"/>
      <c r="Z419" s="382"/>
      <c r="AA419" s="387"/>
      <c r="AB419" s="388"/>
      <c r="AC419" s="382"/>
      <c r="AD419" s="387"/>
      <c r="AE419" s="388"/>
      <c r="AF419" s="382"/>
      <c r="AG419" s="387"/>
      <c r="AH419" s="388"/>
      <c r="AI419" s="382"/>
      <c r="AJ419" s="387"/>
      <c r="AK419" s="388"/>
      <c r="AL419" s="382"/>
      <c r="AM419" s="387"/>
      <c r="AN419" s="388"/>
      <c r="AO419" s="382"/>
      <c r="AQ419" s="389"/>
      <c r="AR419" s="390"/>
      <c r="AS419" s="385"/>
      <c r="AU419" s="389"/>
      <c r="AV419" s="390"/>
      <c r="AW419" s="385"/>
      <c r="AY419" s="389"/>
      <c r="AZ419" s="390"/>
      <c r="BA419" s="385"/>
      <c r="BC419" s="389"/>
      <c r="BD419" s="390"/>
      <c r="BE419" s="386"/>
    </row>
    <row r="420" spans="1:57" ht="20.25" hidden="1" customHeight="1">
      <c r="A420" s="15"/>
      <c r="B420" s="394"/>
      <c r="C420" s="387"/>
      <c r="D420" s="388"/>
      <c r="E420" s="382"/>
      <c r="F420" s="387"/>
      <c r="G420" s="388"/>
      <c r="H420" s="382"/>
      <c r="I420" s="387"/>
      <c r="J420" s="388"/>
      <c r="K420" s="382"/>
      <c r="L420" s="387"/>
      <c r="M420" s="388"/>
      <c r="N420" s="382"/>
      <c r="O420" s="387"/>
      <c r="P420" s="388"/>
      <c r="Q420" s="382"/>
      <c r="R420" s="387"/>
      <c r="S420" s="388"/>
      <c r="T420" s="382"/>
      <c r="U420" s="387"/>
      <c r="V420" s="388"/>
      <c r="W420" s="382"/>
      <c r="X420" s="387"/>
      <c r="Y420" s="388"/>
      <c r="Z420" s="382"/>
      <c r="AA420" s="387"/>
      <c r="AB420" s="388"/>
      <c r="AC420" s="382"/>
      <c r="AD420" s="387"/>
      <c r="AE420" s="388"/>
      <c r="AF420" s="382"/>
      <c r="AG420" s="387"/>
      <c r="AH420" s="388"/>
      <c r="AI420" s="382"/>
      <c r="AJ420" s="387"/>
      <c r="AK420" s="388"/>
      <c r="AL420" s="382"/>
      <c r="AM420" s="387"/>
      <c r="AN420" s="388"/>
      <c r="AO420" s="382"/>
      <c r="AQ420" s="389"/>
      <c r="AR420" s="390"/>
      <c r="AS420" s="385"/>
      <c r="AU420" s="389"/>
      <c r="AV420" s="390"/>
      <c r="AW420" s="385"/>
      <c r="AY420" s="389"/>
      <c r="AZ420" s="390"/>
      <c r="BA420" s="385"/>
      <c r="BC420" s="389"/>
      <c r="BD420" s="390"/>
      <c r="BE420" s="386"/>
    </row>
    <row r="421" spans="1:57" ht="20.25" hidden="1" customHeight="1">
      <c r="A421" s="15"/>
      <c r="B421" s="358"/>
      <c r="C421" s="387"/>
      <c r="D421" s="388"/>
      <c r="E421" s="382"/>
      <c r="F421" s="387"/>
      <c r="G421" s="388"/>
      <c r="H421" s="382"/>
      <c r="I421" s="387"/>
      <c r="J421" s="388"/>
      <c r="K421" s="382"/>
      <c r="L421" s="387"/>
      <c r="M421" s="388"/>
      <c r="N421" s="382"/>
      <c r="O421" s="387"/>
      <c r="P421" s="388"/>
      <c r="Q421" s="382"/>
      <c r="R421" s="387"/>
      <c r="S421" s="388"/>
      <c r="T421" s="382"/>
      <c r="U421" s="387"/>
      <c r="V421" s="388"/>
      <c r="W421" s="382"/>
      <c r="X421" s="387"/>
      <c r="Y421" s="388"/>
      <c r="Z421" s="382"/>
      <c r="AA421" s="387"/>
      <c r="AB421" s="388"/>
      <c r="AC421" s="382"/>
      <c r="AD421" s="387"/>
      <c r="AE421" s="388"/>
      <c r="AF421" s="382"/>
      <c r="AG421" s="387"/>
      <c r="AH421" s="388"/>
      <c r="AI421" s="382"/>
      <c r="AJ421" s="387"/>
      <c r="AK421" s="388"/>
      <c r="AL421" s="382"/>
      <c r="AM421" s="387"/>
      <c r="AN421" s="388"/>
      <c r="AO421" s="382"/>
      <c r="AQ421" s="389"/>
      <c r="AR421" s="390"/>
      <c r="AS421" s="385"/>
      <c r="AU421" s="389"/>
      <c r="AV421" s="390"/>
      <c r="AW421" s="385"/>
      <c r="AY421" s="389"/>
      <c r="AZ421" s="390"/>
      <c r="BA421" s="385"/>
      <c r="BC421" s="389"/>
      <c r="BD421" s="390"/>
      <c r="BE421" s="386"/>
    </row>
    <row r="422" spans="1:57" ht="20.25">
      <c r="A422" s="15" t="s">
        <v>27</v>
      </c>
      <c r="B422" s="395" t="s">
        <v>56</v>
      </c>
      <c r="C422" s="396">
        <f>IFERROR(E422/E410,0)</f>
        <v>0.21834084773490711</v>
      </c>
      <c r="D422" s="397">
        <f>SUM(D412:D418)</f>
        <v>1755.3590813046685</v>
      </c>
      <c r="E422" s="398">
        <f>SUM(E412:E418)</f>
        <v>1841081.340132985</v>
      </c>
      <c r="F422" s="396"/>
      <c r="G422" s="397"/>
      <c r="H422" s="398">
        <v>149503.07999999999</v>
      </c>
      <c r="I422" s="396"/>
      <c r="J422" s="397"/>
      <c r="K422" s="398">
        <v>67368.27</v>
      </c>
      <c r="L422" s="396"/>
      <c r="M422" s="397"/>
      <c r="N422" s="398">
        <v>141916.95000000001</v>
      </c>
      <c r="O422" s="396"/>
      <c r="P422" s="397"/>
      <c r="Q422" s="398">
        <v>124145.659999999</v>
      </c>
      <c r="R422" s="396"/>
      <c r="S422" s="397"/>
      <c r="T422" s="398">
        <v>158733.60999999999</v>
      </c>
      <c r="U422" s="396"/>
      <c r="V422" s="397"/>
      <c r="W422" s="399">
        <v>135251.97</v>
      </c>
      <c r="X422" s="396"/>
      <c r="Y422" s="397"/>
      <c r="Z422" s="399">
        <v>163366.56</v>
      </c>
      <c r="AA422" s="396"/>
      <c r="AB422" s="397"/>
      <c r="AC422" s="399">
        <f>+[1]VOLKS!$AF$419</f>
        <v>127880.819999999</v>
      </c>
      <c r="AD422" s="396">
        <v>0.28001744876961981</v>
      </c>
      <c r="AE422" s="397"/>
      <c r="AF422" s="398">
        <f>SUM(AF412:AF418)</f>
        <v>176729.22536196705</v>
      </c>
      <c r="AG422" s="396">
        <v>0.2602977472173405</v>
      </c>
      <c r="AH422" s="397"/>
      <c r="AI422" s="398">
        <f>SUM(AI412:AI418)</f>
        <v>221813.18971032766</v>
      </c>
      <c r="AJ422" s="396">
        <v>0.20905141083913428</v>
      </c>
      <c r="AK422" s="397"/>
      <c r="AL422" s="398">
        <f>SUM(AL412:AL418)</f>
        <v>209429.69387148027</v>
      </c>
      <c r="AM422" s="396">
        <v>0.27414782960876477</v>
      </c>
      <c r="AN422" s="397"/>
      <c r="AO422" s="398">
        <f>SUM(AO412:AO418)</f>
        <v>164942.31118920996</v>
      </c>
      <c r="AQ422" s="400">
        <f>IFERROR(AS422/AS410,0)</f>
        <v>0.20078340471700179</v>
      </c>
      <c r="AR422" s="401"/>
      <c r="AS422" s="402">
        <f t="shared" ref="AS422" si="623">SUM(AS412:AS418)</f>
        <v>1068166.92</v>
      </c>
      <c r="AU422" s="400">
        <f t="shared" ref="AU422" si="624">IFERROR(AW422/AW410,0)</f>
        <v>0.24835405621446854</v>
      </c>
      <c r="AV422" s="401"/>
      <c r="AW422" s="402">
        <f t="shared" ref="AW422" si="625">SUM(AW412:AW418)</f>
        <v>772914.42013298487</v>
      </c>
      <c r="AY422" s="400"/>
      <c r="AZ422" s="401"/>
      <c r="BA422" s="402">
        <f>+[2]VOLKS!$AF$419</f>
        <v>1068166.92</v>
      </c>
      <c r="BC422" s="400"/>
      <c r="BD422" s="401"/>
      <c r="BE422" s="403">
        <f t="shared" ref="BE422" si="626">SUM(BE412:BE418)</f>
        <v>0</v>
      </c>
    </row>
    <row r="423" spans="1:57" ht="20.25">
      <c r="A423" s="15" t="s">
        <v>155</v>
      </c>
      <c r="B423" s="387" t="s">
        <v>156</v>
      </c>
      <c r="C423" s="387"/>
      <c r="D423" s="388"/>
      <c r="E423" s="404">
        <f t="shared" ref="E423:E434" si="627">+SUM(H423,K423,N423,Q423,T423,W423,Z423,AC423,AF423,AI423,AL423,AO423)</f>
        <v>178334.18923076891</v>
      </c>
      <c r="F423" s="387"/>
      <c r="G423" s="388"/>
      <c r="H423" s="404">
        <v>15557.82</v>
      </c>
      <c r="I423" s="387"/>
      <c r="J423" s="388"/>
      <c r="K423" s="404">
        <v>16663.66</v>
      </c>
      <c r="L423" s="387"/>
      <c r="M423" s="388"/>
      <c r="N423" s="404">
        <v>10888.7599999999</v>
      </c>
      <c r="O423" s="387"/>
      <c r="P423" s="388"/>
      <c r="Q423" s="404">
        <v>13074.76</v>
      </c>
      <c r="R423" s="387"/>
      <c r="S423" s="388"/>
      <c r="T423" s="404">
        <v>18425.95</v>
      </c>
      <c r="U423" s="387"/>
      <c r="V423" s="388"/>
      <c r="W423" s="404">
        <v>15260.7599999999</v>
      </c>
      <c r="X423" s="387"/>
      <c r="Y423" s="388"/>
      <c r="Z423" s="404">
        <v>12528.2599999999</v>
      </c>
      <c r="AA423" s="387"/>
      <c r="AB423" s="388"/>
      <c r="AC423" s="404">
        <f>+[1]VOLKS!$AF$420</f>
        <v>15146.95</v>
      </c>
      <c r="AD423" s="387"/>
      <c r="AE423" s="388"/>
      <c r="AF423" s="404">
        <v>14451.14423076923</v>
      </c>
      <c r="AG423" s="387"/>
      <c r="AH423" s="388"/>
      <c r="AI423" s="404">
        <v>17433.836538461539</v>
      </c>
      <c r="AJ423" s="387"/>
      <c r="AK423" s="388"/>
      <c r="AL423" s="405">
        <v>14451.14423076923</v>
      </c>
      <c r="AM423" s="387"/>
      <c r="AN423" s="388"/>
      <c r="AO423" s="405">
        <v>14451.14423076923</v>
      </c>
      <c r="AQ423" s="389"/>
      <c r="AR423" s="390"/>
      <c r="AS423" s="406">
        <f t="shared" ref="AS423:AS434" si="628">SUMIFS(F423:AO423,$F$7:$AO$7,"$PROFITS",$F$3:$AO$3,"RÉEL")</f>
        <v>117546.91999999971</v>
      </c>
      <c r="AU423" s="389"/>
      <c r="AV423" s="390"/>
      <c r="AW423" s="406">
        <f t="shared" ref="AW423:AW434" si="629">SUMIFS(F423:AO423,$F$7:$AO$7,"$PROFITS",$F$3:$AO$3,"BUDGET")</f>
        <v>60787.269230769234</v>
      </c>
      <c r="AY423" s="389"/>
      <c r="AZ423" s="390"/>
      <c r="BA423" s="406">
        <f>+[2]VOLKS!$AF$420</f>
        <v>117546.92</v>
      </c>
      <c r="BC423" s="389"/>
      <c r="BD423" s="390"/>
      <c r="BE423" s="407">
        <f t="shared" ref="BE423:BE434" si="630">+BA423-AS423</f>
        <v>2.9103830456733704E-10</v>
      </c>
    </row>
    <row r="424" spans="1:57" ht="20.25">
      <c r="A424" s="15" t="s">
        <v>58</v>
      </c>
      <c r="B424" s="387" t="s">
        <v>59</v>
      </c>
      <c r="C424" s="387"/>
      <c r="D424" s="388"/>
      <c r="E424" s="382">
        <f t="shared" si="627"/>
        <v>682769.24051282031</v>
      </c>
      <c r="F424" s="387"/>
      <c r="G424" s="388"/>
      <c r="H424" s="382">
        <v>62227.09</v>
      </c>
      <c r="I424" s="387"/>
      <c r="J424" s="388"/>
      <c r="K424" s="382">
        <v>50318.89</v>
      </c>
      <c r="L424" s="387"/>
      <c r="M424" s="388"/>
      <c r="N424" s="382">
        <v>61274.819999999898</v>
      </c>
      <c r="O424" s="387"/>
      <c r="P424" s="388"/>
      <c r="Q424" s="382">
        <v>55266.27</v>
      </c>
      <c r="R424" s="387"/>
      <c r="S424" s="388"/>
      <c r="T424" s="382">
        <v>53221.929999999898</v>
      </c>
      <c r="U424" s="387"/>
      <c r="V424" s="388"/>
      <c r="W424" s="382">
        <v>51728.91</v>
      </c>
      <c r="X424" s="387"/>
      <c r="Y424" s="388"/>
      <c r="Z424" s="382">
        <v>56644.17</v>
      </c>
      <c r="AA424" s="387"/>
      <c r="AB424" s="388"/>
      <c r="AC424" s="382">
        <f>+[1]VOLKS!$AF$421</f>
        <v>56195.59</v>
      </c>
      <c r="AD424" s="387"/>
      <c r="AE424" s="388"/>
      <c r="AF424" s="382">
        <f>+SUMIF($B$7:$B$402,$B424,AF$7:AF$402)</f>
        <v>56603.570512820515</v>
      </c>
      <c r="AG424" s="387"/>
      <c r="AH424" s="388"/>
      <c r="AI424" s="382">
        <f>+SUMIF($B$7:$B$402,$B424,AI$7:AI$402)</f>
        <v>66080.858974358984</v>
      </c>
      <c r="AJ424" s="387"/>
      <c r="AK424" s="388"/>
      <c r="AL424" s="382">
        <f>+SUMIF($B$7:$B$402,$B424,AL$7:AL$402)</f>
        <v>56603.570512820515</v>
      </c>
      <c r="AM424" s="387"/>
      <c r="AN424" s="388"/>
      <c r="AO424" s="382">
        <f>+SUMIF($B$7:$B$402,$B424,AO$7:AO$402)</f>
        <v>56603.570512820515</v>
      </c>
      <c r="AQ424" s="389"/>
      <c r="AR424" s="390"/>
      <c r="AS424" s="385">
        <f t="shared" si="628"/>
        <v>446877.66999999981</v>
      </c>
      <c r="AU424" s="389"/>
      <c r="AV424" s="390"/>
      <c r="AW424" s="385">
        <f t="shared" si="629"/>
        <v>235891.5705128205</v>
      </c>
      <c r="AY424" s="389"/>
      <c r="AZ424" s="390"/>
      <c r="BA424" s="385">
        <f>+[2]VOLKS!$AF$421</f>
        <v>446877.67</v>
      </c>
      <c r="BC424" s="389"/>
      <c r="BD424" s="390"/>
      <c r="BE424" s="386">
        <f t="shared" si="630"/>
        <v>0</v>
      </c>
    </row>
    <row r="425" spans="1:57" ht="20.25">
      <c r="A425" s="15" t="s">
        <v>60</v>
      </c>
      <c r="B425" s="362" t="s">
        <v>61</v>
      </c>
      <c r="C425" s="362"/>
      <c r="D425" s="391"/>
      <c r="E425" s="365">
        <f t="shared" si="627"/>
        <v>696622.33861538442</v>
      </c>
      <c r="F425" s="362"/>
      <c r="G425" s="391"/>
      <c r="H425" s="365">
        <v>59926.03</v>
      </c>
      <c r="I425" s="362"/>
      <c r="J425" s="391"/>
      <c r="K425" s="365">
        <v>54584.88</v>
      </c>
      <c r="L425" s="362"/>
      <c r="M425" s="391"/>
      <c r="N425" s="365">
        <v>55941.2</v>
      </c>
      <c r="O425" s="362"/>
      <c r="P425" s="391"/>
      <c r="Q425" s="365">
        <v>51908.4</v>
      </c>
      <c r="R425" s="362"/>
      <c r="S425" s="391"/>
      <c r="T425" s="365">
        <v>58764.26</v>
      </c>
      <c r="U425" s="362"/>
      <c r="V425" s="391"/>
      <c r="W425" s="365">
        <v>50528.21</v>
      </c>
      <c r="X425" s="362"/>
      <c r="Y425" s="391"/>
      <c r="Z425" s="365">
        <v>46191.1</v>
      </c>
      <c r="AA425" s="362"/>
      <c r="AB425" s="391"/>
      <c r="AC425" s="365">
        <f>+[1]VOLKS!$AF$422</f>
        <v>56150.229999999901</v>
      </c>
      <c r="AD425" s="362"/>
      <c r="AE425" s="391"/>
      <c r="AF425" s="365">
        <f>+SUMIF($B$7:$B$402,$B425,AF$7:AF$402)</f>
        <v>62004.212615384618</v>
      </c>
      <c r="AG425" s="362"/>
      <c r="AH425" s="391"/>
      <c r="AI425" s="365">
        <f>+SUMIF($B$7:$B$402,$B425,AI$7:AI$402)</f>
        <v>76615.390769230769</v>
      </c>
      <c r="AJ425" s="362"/>
      <c r="AK425" s="391"/>
      <c r="AL425" s="365">
        <f>+SUMIF($B$7:$B$402,$B425,AL$7:AL$402)</f>
        <v>62004.212615384618</v>
      </c>
      <c r="AM425" s="362"/>
      <c r="AN425" s="391"/>
      <c r="AO425" s="365">
        <f>+SUMIF($B$7:$B$402,$B425,AO$7:AO$402)</f>
        <v>62004.212615384618</v>
      </c>
      <c r="AQ425" s="392"/>
      <c r="AR425" s="393"/>
      <c r="AS425" s="368">
        <f t="shared" si="628"/>
        <v>433994.30999999988</v>
      </c>
      <c r="AU425" s="392"/>
      <c r="AV425" s="393"/>
      <c r="AW425" s="368">
        <f t="shared" si="629"/>
        <v>262628.0286153846</v>
      </c>
      <c r="AY425" s="392"/>
      <c r="AZ425" s="393"/>
      <c r="BA425" s="368">
        <f>+[2]VOLKS!$AF$422</f>
        <v>433994.31</v>
      </c>
      <c r="BC425" s="392"/>
      <c r="BD425" s="393"/>
      <c r="BE425" s="369">
        <f t="shared" si="630"/>
        <v>0</v>
      </c>
    </row>
    <row r="426" spans="1:57" ht="20.25">
      <c r="A426" s="15" t="s">
        <v>60</v>
      </c>
      <c r="B426" s="387" t="s">
        <v>62</v>
      </c>
      <c r="C426" s="387"/>
      <c r="D426" s="388"/>
      <c r="E426" s="382">
        <f t="shared" si="627"/>
        <v>278209.79000000004</v>
      </c>
      <c r="F426" s="387"/>
      <c r="G426" s="388"/>
      <c r="H426" s="382">
        <v>23150.27</v>
      </c>
      <c r="I426" s="387"/>
      <c r="J426" s="388"/>
      <c r="K426" s="382">
        <v>23093.05</v>
      </c>
      <c r="L426" s="387"/>
      <c r="M426" s="388"/>
      <c r="N426" s="382">
        <v>19347.16</v>
      </c>
      <c r="O426" s="387"/>
      <c r="P426" s="388"/>
      <c r="Q426" s="382">
        <v>29993.91</v>
      </c>
      <c r="R426" s="387"/>
      <c r="S426" s="388"/>
      <c r="T426" s="382">
        <v>32775.370000000003</v>
      </c>
      <c r="U426" s="387"/>
      <c r="V426" s="388"/>
      <c r="W426" s="382">
        <v>22172.1</v>
      </c>
      <c r="X426" s="387"/>
      <c r="Y426" s="388"/>
      <c r="Z426" s="382">
        <v>21825.15</v>
      </c>
      <c r="AA426" s="387"/>
      <c r="AB426" s="388"/>
      <c r="AC426" s="382">
        <f>+[1]VOLKS!$AF$423</f>
        <v>23037.279999999999</v>
      </c>
      <c r="AD426" s="387"/>
      <c r="AE426" s="388"/>
      <c r="AF426" s="382">
        <f t="shared" ref="AF426:AF434" si="631">+SUMIF($B$7:$B$402,$B426,AF$7:AF$402)</f>
        <v>19486</v>
      </c>
      <c r="AG426" s="387"/>
      <c r="AH426" s="388"/>
      <c r="AI426" s="382">
        <f t="shared" ref="AI426:AI434" si="632">+SUMIF($B$7:$B$402,$B426,AI$7:AI$402)</f>
        <v>24357.5</v>
      </c>
      <c r="AJ426" s="387"/>
      <c r="AK426" s="388"/>
      <c r="AL426" s="382">
        <f t="shared" ref="AL426:AL434" si="633">+SUMIF($B$7:$B$402,$B426,AL$7:AL$402)</f>
        <v>19486</v>
      </c>
      <c r="AM426" s="387"/>
      <c r="AN426" s="388"/>
      <c r="AO426" s="382">
        <f t="shared" ref="AO426:AO434" si="634">+SUMIF($B$7:$B$402,$B426,AO$7:AO$402)</f>
        <v>19486</v>
      </c>
      <c r="AQ426" s="389"/>
      <c r="AR426" s="390"/>
      <c r="AS426" s="385">
        <f t="shared" si="628"/>
        <v>195394.29</v>
      </c>
      <c r="AU426" s="389"/>
      <c r="AV426" s="390"/>
      <c r="AW426" s="385">
        <f t="shared" si="629"/>
        <v>82815.5</v>
      </c>
      <c r="AY426" s="389"/>
      <c r="AZ426" s="390"/>
      <c r="BA426" s="385">
        <f>+[2]VOLKS!$AF$423</f>
        <v>195394.28999999899</v>
      </c>
      <c r="BC426" s="389"/>
      <c r="BD426" s="390"/>
      <c r="BE426" s="386">
        <f t="shared" si="630"/>
        <v>-1.0186340659856796E-9</v>
      </c>
    </row>
    <row r="427" spans="1:57" ht="20.25">
      <c r="A427" s="15" t="s">
        <v>60</v>
      </c>
      <c r="B427" s="387" t="s">
        <v>63</v>
      </c>
      <c r="C427" s="387"/>
      <c r="D427" s="388"/>
      <c r="E427" s="382">
        <f t="shared" si="627"/>
        <v>311877.72336615383</v>
      </c>
      <c r="F427" s="387"/>
      <c r="G427" s="388"/>
      <c r="H427" s="382">
        <v>15854.86</v>
      </c>
      <c r="I427" s="387"/>
      <c r="J427" s="388"/>
      <c r="K427" s="382">
        <v>14700.61</v>
      </c>
      <c r="L427" s="387"/>
      <c r="M427" s="388"/>
      <c r="N427" s="382">
        <v>16437.28</v>
      </c>
      <c r="O427" s="387"/>
      <c r="P427" s="388"/>
      <c r="Q427" s="382">
        <v>24877.040000000001</v>
      </c>
      <c r="R427" s="387"/>
      <c r="S427" s="388"/>
      <c r="T427" s="382">
        <v>30524.63</v>
      </c>
      <c r="U427" s="387"/>
      <c r="V427" s="388"/>
      <c r="W427" s="382">
        <v>23505.88</v>
      </c>
      <c r="X427" s="387"/>
      <c r="Y427" s="388"/>
      <c r="Z427" s="382">
        <v>23437.83</v>
      </c>
      <c r="AA427" s="387"/>
      <c r="AB427" s="388"/>
      <c r="AC427" s="382">
        <f>+[1]VOLKS!$AF$424</f>
        <v>27254.48</v>
      </c>
      <c r="AD427" s="387"/>
      <c r="AE427" s="388"/>
      <c r="AF427" s="382">
        <f t="shared" si="631"/>
        <v>25713.623526153846</v>
      </c>
      <c r="AG427" s="387"/>
      <c r="AH427" s="388"/>
      <c r="AI427" s="382">
        <f t="shared" si="632"/>
        <v>37731.290227692305</v>
      </c>
      <c r="AJ427" s="387"/>
      <c r="AK427" s="388"/>
      <c r="AL427" s="382">
        <f t="shared" si="633"/>
        <v>44182.485366153844</v>
      </c>
      <c r="AM427" s="387"/>
      <c r="AN427" s="388"/>
      <c r="AO427" s="382">
        <f t="shared" si="634"/>
        <v>27657.714246153846</v>
      </c>
      <c r="AQ427" s="389"/>
      <c r="AR427" s="390"/>
      <c r="AS427" s="385">
        <f t="shared" si="628"/>
        <v>176592.61000000002</v>
      </c>
      <c r="AU427" s="389"/>
      <c r="AV427" s="390"/>
      <c r="AW427" s="385">
        <f t="shared" si="629"/>
        <v>135285.11336615385</v>
      </c>
      <c r="AY427" s="389"/>
      <c r="AZ427" s="390"/>
      <c r="BA427" s="385">
        <f>+[2]VOLKS!$AF$424</f>
        <v>176592.61</v>
      </c>
      <c r="BC427" s="389"/>
      <c r="BD427" s="390"/>
      <c r="BE427" s="386">
        <f t="shared" si="630"/>
        <v>0</v>
      </c>
    </row>
    <row r="428" spans="1:57" ht="20.25" hidden="1" customHeight="1">
      <c r="A428" s="15"/>
      <c r="B428" s="394"/>
      <c r="C428" s="387"/>
      <c r="D428" s="388"/>
      <c r="E428" s="382"/>
      <c r="F428" s="387"/>
      <c r="G428" s="388"/>
      <c r="H428" s="382"/>
      <c r="I428" s="387"/>
      <c r="J428" s="388"/>
      <c r="K428" s="382"/>
      <c r="L428" s="387"/>
      <c r="M428" s="388"/>
      <c r="N428" s="382"/>
      <c r="O428" s="387"/>
      <c r="P428" s="388"/>
      <c r="Q428" s="382"/>
      <c r="R428" s="387"/>
      <c r="S428" s="388"/>
      <c r="T428" s="382"/>
      <c r="U428" s="387"/>
      <c r="V428" s="388"/>
      <c r="W428" s="382"/>
      <c r="X428" s="387"/>
      <c r="Y428" s="388"/>
      <c r="Z428" s="382"/>
      <c r="AA428" s="387"/>
      <c r="AB428" s="388"/>
      <c r="AC428" s="382"/>
      <c r="AD428" s="387"/>
      <c r="AE428" s="388"/>
      <c r="AF428" s="382">
        <f t="shared" si="631"/>
        <v>0</v>
      </c>
      <c r="AG428" s="387"/>
      <c r="AH428" s="388"/>
      <c r="AI428" s="382">
        <f t="shared" si="632"/>
        <v>0</v>
      </c>
      <c r="AJ428" s="387"/>
      <c r="AK428" s="388"/>
      <c r="AL428" s="382">
        <f t="shared" si="633"/>
        <v>0</v>
      </c>
      <c r="AM428" s="387"/>
      <c r="AN428" s="388"/>
      <c r="AO428" s="382">
        <f t="shared" si="634"/>
        <v>0</v>
      </c>
      <c r="AQ428" s="389"/>
      <c r="AR428" s="390"/>
      <c r="AS428" s="385"/>
      <c r="AU428" s="389"/>
      <c r="AV428" s="390"/>
      <c r="AW428" s="385"/>
      <c r="AY428" s="389"/>
      <c r="AZ428" s="390"/>
      <c r="BA428" s="385"/>
      <c r="BC428" s="389"/>
      <c r="BD428" s="390"/>
      <c r="BE428" s="386"/>
    </row>
    <row r="429" spans="1:57" ht="20.25" hidden="1" customHeight="1">
      <c r="A429" s="15"/>
      <c r="B429" s="394"/>
      <c r="C429" s="387"/>
      <c r="D429" s="388"/>
      <c r="E429" s="382"/>
      <c r="F429" s="387"/>
      <c r="G429" s="388"/>
      <c r="H429" s="382"/>
      <c r="I429" s="387"/>
      <c r="J429" s="388"/>
      <c r="K429" s="382"/>
      <c r="L429" s="387"/>
      <c r="M429" s="388"/>
      <c r="N429" s="382"/>
      <c r="O429" s="387"/>
      <c r="P429" s="388"/>
      <c r="Q429" s="382"/>
      <c r="R429" s="387"/>
      <c r="S429" s="388"/>
      <c r="T429" s="382"/>
      <c r="U429" s="387"/>
      <c r="V429" s="388"/>
      <c r="W429" s="382"/>
      <c r="X429" s="387"/>
      <c r="Y429" s="388"/>
      <c r="Z429" s="382"/>
      <c r="AA429" s="387"/>
      <c r="AB429" s="388"/>
      <c r="AC429" s="382"/>
      <c r="AD429" s="387"/>
      <c r="AE429" s="388"/>
      <c r="AF429" s="382">
        <f t="shared" si="631"/>
        <v>0</v>
      </c>
      <c r="AG429" s="387"/>
      <c r="AH429" s="388"/>
      <c r="AI429" s="382">
        <f t="shared" si="632"/>
        <v>0</v>
      </c>
      <c r="AJ429" s="387"/>
      <c r="AK429" s="388"/>
      <c r="AL429" s="382">
        <f t="shared" si="633"/>
        <v>0</v>
      </c>
      <c r="AM429" s="387"/>
      <c r="AN429" s="388"/>
      <c r="AO429" s="382">
        <f t="shared" si="634"/>
        <v>0</v>
      </c>
      <c r="AQ429" s="389"/>
      <c r="AR429" s="390"/>
      <c r="AS429" s="385"/>
      <c r="AU429" s="389"/>
      <c r="AV429" s="390"/>
      <c r="AW429" s="385"/>
      <c r="AY429" s="389"/>
      <c r="AZ429" s="390"/>
      <c r="BA429" s="385"/>
      <c r="BC429" s="389"/>
      <c r="BD429" s="390"/>
      <c r="BE429" s="386"/>
    </row>
    <row r="430" spans="1:57" ht="20.25" hidden="1" customHeight="1">
      <c r="A430" s="15"/>
      <c r="B430" s="394"/>
      <c r="C430" s="387"/>
      <c r="D430" s="388"/>
      <c r="E430" s="382"/>
      <c r="F430" s="387"/>
      <c r="G430" s="388"/>
      <c r="H430" s="382"/>
      <c r="I430" s="387"/>
      <c r="J430" s="388"/>
      <c r="K430" s="382"/>
      <c r="L430" s="387"/>
      <c r="M430" s="388"/>
      <c r="N430" s="382"/>
      <c r="O430" s="387"/>
      <c r="P430" s="388"/>
      <c r="Q430" s="382"/>
      <c r="R430" s="387"/>
      <c r="S430" s="388"/>
      <c r="T430" s="382"/>
      <c r="U430" s="387"/>
      <c r="V430" s="388"/>
      <c r="W430" s="382"/>
      <c r="X430" s="387"/>
      <c r="Y430" s="388"/>
      <c r="Z430" s="382"/>
      <c r="AA430" s="387"/>
      <c r="AB430" s="388"/>
      <c r="AC430" s="382"/>
      <c r="AD430" s="387"/>
      <c r="AE430" s="388"/>
      <c r="AF430" s="382">
        <f t="shared" si="631"/>
        <v>0</v>
      </c>
      <c r="AG430" s="387"/>
      <c r="AH430" s="388"/>
      <c r="AI430" s="382">
        <f t="shared" si="632"/>
        <v>0</v>
      </c>
      <c r="AJ430" s="387"/>
      <c r="AK430" s="388"/>
      <c r="AL430" s="382">
        <f t="shared" si="633"/>
        <v>0</v>
      </c>
      <c r="AM430" s="387"/>
      <c r="AN430" s="388"/>
      <c r="AO430" s="382">
        <f t="shared" si="634"/>
        <v>0</v>
      </c>
      <c r="AQ430" s="389"/>
      <c r="AR430" s="390"/>
      <c r="AS430" s="385"/>
      <c r="AU430" s="389"/>
      <c r="AV430" s="390"/>
      <c r="AW430" s="385"/>
      <c r="AY430" s="389"/>
      <c r="AZ430" s="390"/>
      <c r="BA430" s="385"/>
      <c r="BC430" s="389"/>
      <c r="BD430" s="390"/>
      <c r="BE430" s="386"/>
    </row>
    <row r="431" spans="1:57" ht="20.25">
      <c r="A431" s="15" t="s">
        <v>64</v>
      </c>
      <c r="B431" s="362" t="s">
        <v>65</v>
      </c>
      <c r="C431" s="362"/>
      <c r="D431" s="408">
        <f>+E431/(SUM(E$423:E$427,E$412:E$413)+D$197-E$197)</f>
        <v>0.11160462648747151</v>
      </c>
      <c r="E431" s="365">
        <f t="shared" si="627"/>
        <v>494834.87908046908</v>
      </c>
      <c r="F431" s="362"/>
      <c r="G431" s="408">
        <f t="shared" ref="G431:G432" si="635">+H431/(SUM(H$422:H$426,H$411:H$412)+G$196-H$196)</f>
        <v>0.11078626487205628</v>
      </c>
      <c r="H431" s="365">
        <v>40818.199999999997</v>
      </c>
      <c r="I431" s="362"/>
      <c r="J431" s="408">
        <f t="shared" ref="J431:J432" si="636">+K431/(SUM(K$422:K$426,K$411:K$412)+J$196-K$196)</f>
        <v>0.12816739700238405</v>
      </c>
      <c r="K431" s="365">
        <v>31789.33</v>
      </c>
      <c r="L431" s="362"/>
      <c r="M431" s="408">
        <f t="shared" ref="M431:M432" si="637">+N431/(SUM(N$422:N$426,N$411:N$412)+M$196-N$196)</f>
        <v>0.11249605211651877</v>
      </c>
      <c r="N431" s="365">
        <v>37610.21</v>
      </c>
      <c r="O431" s="362"/>
      <c r="P431" s="408">
        <f t="shared" ref="P431:P432" si="638">+Q431/(SUM(Q$422:Q$426,Q$411:Q$412)+P$196-Q$196)</f>
        <v>0.13626020992171728</v>
      </c>
      <c r="Q431" s="365">
        <v>44209.169999999896</v>
      </c>
      <c r="R431" s="362"/>
      <c r="S431" s="408">
        <f t="shared" ref="S431:S432" si="639">+T431/(SUM(T$422:T$426,T$411:T$412)+S$196-T$196)</f>
        <v>0.12905156133884782</v>
      </c>
      <c r="T431" s="365">
        <v>49343.119999999901</v>
      </c>
      <c r="U431" s="362"/>
      <c r="V431" s="408">
        <f t="shared" ref="V431:V432" si="640">+W431/(SUM(W$422:W$426,W$411:W$412)+V$196-W$196)</f>
        <v>0.11985223907721519</v>
      </c>
      <c r="W431" s="365">
        <v>38718.78</v>
      </c>
      <c r="X431" s="362"/>
      <c r="Y431" s="408">
        <f t="shared" ref="Y431:Y432" si="641">+Z431/(SUM(Z$422:Z$426,Z$411:Z$412)+Y$196-Z$196)</f>
        <v>0.10576048953923979</v>
      </c>
      <c r="Z431" s="365">
        <v>38586.629999999997</v>
      </c>
      <c r="AA431" s="362"/>
      <c r="AB431" s="408">
        <f t="shared" ref="AB431:AB432" si="642">+AC431/(SUM(AC$422:AC$426,AC$411:AC$412)+AB$196-AC$196)</f>
        <v>0.11306618579953293</v>
      </c>
      <c r="AC431" s="365">
        <f>+[1]VOLKS!$AF$428</f>
        <v>38329.29</v>
      </c>
      <c r="AD431" s="362"/>
      <c r="AE431" s="408">
        <f t="shared" ref="AE431:AE432" si="643">+AF431/(SUM(AF$422:AF$426,AF$411:AF$412)+AE$196-AF$196)</f>
        <v>0.10333938716644146</v>
      </c>
      <c r="AF431" s="365">
        <f t="shared" si="631"/>
        <v>40224.346062570352</v>
      </c>
      <c r="AG431" s="362"/>
      <c r="AH431" s="408">
        <f t="shared" ref="AH431:AH432" si="644">+AI431/(SUM(AI$422:AI$426,AI$411:AI$412)+AH$196-AI$196)</f>
        <v>0.10251250439853862</v>
      </c>
      <c r="AI431" s="365">
        <f t="shared" si="632"/>
        <v>49347.747293735192</v>
      </c>
      <c r="AJ431" s="362"/>
      <c r="AK431" s="408">
        <f t="shared" ref="AK431:AK432" si="645">+AL431/(SUM(AL$422:AL$426,AL$411:AL$412)+AK$196-AL$196)</f>
        <v>0.11255128475309022</v>
      </c>
      <c r="AL431" s="365">
        <f t="shared" si="633"/>
        <v>49703.901498454761</v>
      </c>
      <c r="AM431" s="362"/>
      <c r="AN431" s="408">
        <f t="shared" ref="AN431:AN432" si="646">+AO431/(SUM(AO$422:AO$426,AO$411:AO$412)+AN$196-AO$196)</f>
        <v>9.689071457264313E-2</v>
      </c>
      <c r="AO431" s="365">
        <f t="shared" si="634"/>
        <v>36154.154225709033</v>
      </c>
      <c r="AQ431" s="392"/>
      <c r="AR431" s="409">
        <f>+AS431/(SUM(AS$423:AS$427,AS$412:AS$413)+AR$197-AS$197)</f>
        <v>0.11489270827426609</v>
      </c>
      <c r="AS431" s="368">
        <f t="shared" si="628"/>
        <v>319404.72999999975</v>
      </c>
      <c r="AU431" s="392"/>
      <c r="AV431" s="409">
        <f>+AW431/(SUM(AW$423:AW$427,AW$412:AW$413)+AV$197-AW$197)</f>
        <v>0.10607736539115059</v>
      </c>
      <c r="AW431" s="368">
        <f t="shared" si="629"/>
        <v>175430.14908046933</v>
      </c>
      <c r="AY431" s="392"/>
      <c r="AZ431" s="409">
        <f t="shared" ref="AZ431:AZ432" si="647">+BA431/(SUM(BA$422:BA$426,BA$411:BA$412)+AZ$196-BA$196)</f>
        <v>0.11898125215885476</v>
      </c>
      <c r="BA431" s="368">
        <f>+[2]VOLKS!$AF$428</f>
        <v>319404.73</v>
      </c>
      <c r="BC431" s="392"/>
      <c r="BD431" s="409">
        <f>+BE431/(SUM(BE$423:BE$427,BE$412:BE$413)+BD$197-BE$197)</f>
        <v>0</v>
      </c>
      <c r="BE431" s="369">
        <f t="shared" si="630"/>
        <v>0</v>
      </c>
    </row>
    <row r="432" spans="1:57" ht="20.25">
      <c r="A432" s="15" t="s">
        <v>66</v>
      </c>
      <c r="B432" s="387" t="s">
        <v>67</v>
      </c>
      <c r="C432" s="387"/>
      <c r="D432" s="410">
        <f t="shared" ref="D432:D433" si="648">+E432/(SUM(E$423:E$427,E$412:E$413)+D$197-E$197)</f>
        <v>0.1407591045303267</v>
      </c>
      <c r="E432" s="382">
        <f t="shared" si="627"/>
        <v>624100.6010405703</v>
      </c>
      <c r="F432" s="387"/>
      <c r="G432" s="410">
        <f t="shared" si="635"/>
        <v>0.14194862363030272</v>
      </c>
      <c r="H432" s="382">
        <v>52299.6899999999</v>
      </c>
      <c r="I432" s="387"/>
      <c r="J432" s="410">
        <f t="shared" si="636"/>
        <v>0.18654514738291295</v>
      </c>
      <c r="K432" s="382">
        <v>46268.75</v>
      </c>
      <c r="L432" s="387"/>
      <c r="M432" s="410">
        <f t="shared" si="637"/>
        <v>0.13826354623922363</v>
      </c>
      <c r="N432" s="382">
        <v>46224.92</v>
      </c>
      <c r="O432" s="387"/>
      <c r="P432" s="410">
        <f t="shared" si="638"/>
        <v>0.17100949659953402</v>
      </c>
      <c r="Q432" s="382">
        <v>55483.46</v>
      </c>
      <c r="R432" s="387"/>
      <c r="S432" s="410">
        <f t="shared" si="639"/>
        <v>0.15975052620363028</v>
      </c>
      <c r="T432" s="411">
        <v>61080.929999999898</v>
      </c>
      <c r="U432" s="387"/>
      <c r="V432" s="410">
        <f t="shared" si="640"/>
        <v>0.15887927072567279</v>
      </c>
      <c r="W432" s="382">
        <v>51326.63</v>
      </c>
      <c r="X432" s="387"/>
      <c r="Y432" s="410">
        <f t="shared" si="641"/>
        <v>0.13667386416086402</v>
      </c>
      <c r="Z432" s="382">
        <v>49865.349999999897</v>
      </c>
      <c r="AA432" s="387"/>
      <c r="AB432" s="410">
        <f t="shared" si="642"/>
        <v>0.14233842194675128</v>
      </c>
      <c r="AC432" s="382">
        <f>+[1]VOLKS!$AF$429</f>
        <v>48252.54</v>
      </c>
      <c r="AD432" s="387"/>
      <c r="AE432" s="410">
        <f t="shared" si="643"/>
        <v>0.12564612712747947</v>
      </c>
      <c r="AF432" s="382">
        <f t="shared" si="631"/>
        <v>48907.134419689057</v>
      </c>
      <c r="AG432" s="387"/>
      <c r="AH432" s="410">
        <f t="shared" si="644"/>
        <v>0.12464075424668133</v>
      </c>
      <c r="AI432" s="382">
        <f t="shared" si="632"/>
        <v>59999.904198550284</v>
      </c>
      <c r="AJ432" s="387"/>
      <c r="AK432" s="410">
        <f t="shared" si="645"/>
        <v>0.13684649599935197</v>
      </c>
      <c r="AL432" s="382">
        <f t="shared" si="633"/>
        <v>60432.937504729132</v>
      </c>
      <c r="AM432" s="387"/>
      <c r="AN432" s="410">
        <f t="shared" si="646"/>
        <v>0.11780545031739868</v>
      </c>
      <c r="AO432" s="382">
        <f t="shared" si="634"/>
        <v>43958.35491760217</v>
      </c>
      <c r="AQ432" s="389"/>
      <c r="AR432" s="412">
        <f t="shared" ref="AR432:AR433" si="649">+AS432/(SUM(AS$423:AS$427,AS$412:AS$413)+AR$197-AS$197)</f>
        <v>0.14776921232668122</v>
      </c>
      <c r="AS432" s="385">
        <f t="shared" si="628"/>
        <v>410802.26999999967</v>
      </c>
      <c r="AU432" s="389"/>
      <c r="AV432" s="412">
        <f t="shared" ref="AV432:AV433" si="650">+AW432/(SUM(AW$423:AW$427,AW$412:AW$413)+AV$197-AW$197)</f>
        <v>0.12897512267822717</v>
      </c>
      <c r="AW432" s="385">
        <f t="shared" si="629"/>
        <v>213298.33104057066</v>
      </c>
      <c r="AY432" s="389"/>
      <c r="AZ432" s="412">
        <f t="shared" si="647"/>
        <v>0.15302769146311621</v>
      </c>
      <c r="BA432" s="385">
        <f>+[2]VOLKS!$AF$429</f>
        <v>410802.27</v>
      </c>
      <c r="BC432" s="389"/>
      <c r="BD432" s="412">
        <f>+BE432/(SUM(BE$423:BE$427,BE$412:BE$413)+BD$197-BE$197)</f>
        <v>0</v>
      </c>
      <c r="BE432" s="386">
        <f t="shared" si="630"/>
        <v>0</v>
      </c>
    </row>
    <row r="433" spans="1:57" ht="20.25">
      <c r="A433" s="15" t="s">
        <v>68</v>
      </c>
      <c r="B433" s="413" t="s">
        <v>69</v>
      </c>
      <c r="C433" s="387"/>
      <c r="D433" s="410">
        <f t="shared" si="648"/>
        <v>6.6823995406862333E-2</v>
      </c>
      <c r="E433" s="382">
        <f t="shared" si="627"/>
        <v>296285.59968829388</v>
      </c>
      <c r="F433" s="387"/>
      <c r="G433" s="410">
        <f>+H433/(SUM(H$422:H$426,H$411:H$412)+G$196-H$196)</f>
        <v>6.348786174654078E-2</v>
      </c>
      <c r="H433" s="382">
        <v>23391.53</v>
      </c>
      <c r="I433" s="387"/>
      <c r="J433" s="410">
        <f>+K433/(SUM(K$422:K$426,K$411:K$412)+J$196-K$196)</f>
        <v>7.9376116826621254E-2</v>
      </c>
      <c r="K433" s="382">
        <v>19687.64</v>
      </c>
      <c r="L433" s="387"/>
      <c r="M433" s="410">
        <f>+N433/(SUM(N$422:N$426,N$411:N$412)+M$196-N$196)</f>
        <v>6.8997263169688877E-2</v>
      </c>
      <c r="N433" s="382">
        <v>23067.4899999999</v>
      </c>
      <c r="O433" s="387"/>
      <c r="P433" s="410">
        <f>+Q433/(SUM(Q$422:Q$426,Q$411:Q$412)+P$196-Q$196)</f>
        <v>8.3336718584189104E-2</v>
      </c>
      <c r="Q433" s="382">
        <v>27038.32</v>
      </c>
      <c r="R433" s="387"/>
      <c r="S433" s="410">
        <f>+T433/(SUM(T$422:T$426,T$411:T$412)+S$196-T$196)</f>
        <v>7.5414831119744716E-2</v>
      </c>
      <c r="T433" s="382">
        <v>28835.01</v>
      </c>
      <c r="U433" s="387"/>
      <c r="V433" s="410">
        <f>+W433/(SUM(W$422:W$426,W$411:W$412)+V$196-W$196)</f>
        <v>5.7296159106879546E-2</v>
      </c>
      <c r="W433" s="382">
        <v>18509.77</v>
      </c>
      <c r="X433" s="387"/>
      <c r="Y433" s="410">
        <f>+Z433/(SUM(Z$422:Z$426,Z$411:Z$412)+Y$196-Z$196)</f>
        <v>5.7990698622883113E-2</v>
      </c>
      <c r="Z433" s="382">
        <v>21157.86</v>
      </c>
      <c r="AA433" s="387"/>
      <c r="AB433" s="410">
        <f>+AC433/(SUM(AC$422:AC$426,AC$411:AC$412)+AB$196-AC$196)</f>
        <v>7.2870397438102502E-2</v>
      </c>
      <c r="AC433" s="382">
        <f>+[1]VOLKS!$AF$430</f>
        <v>24702.97</v>
      </c>
      <c r="AD433" s="387"/>
      <c r="AE433" s="410">
        <f>+AF433/(SUM(AF$422:AF$426,AF$411:AF$412)+AE$196-AF$196)</f>
        <v>6.4735069846114421E-2</v>
      </c>
      <c r="AF433" s="382">
        <f t="shared" si="631"/>
        <v>25197.806211883275</v>
      </c>
      <c r="AG433" s="387"/>
      <c r="AH433" s="410">
        <f>+AI433/(SUM(AI$422:AI$426,AI$411:AI$412)+AH$196-AI$196)</f>
        <v>6.4217084253181456E-2</v>
      </c>
      <c r="AI433" s="382">
        <f t="shared" si="632"/>
        <v>30912.994119687857</v>
      </c>
      <c r="AJ433" s="387"/>
      <c r="AK433" s="410">
        <f>+AL433/(SUM(AL$422:AL$426,AL$411:AL$412)+AK$196-AL$196)</f>
        <v>7.0505694677926986E-2</v>
      </c>
      <c r="AL433" s="382">
        <f t="shared" si="633"/>
        <v>31136.100410045223</v>
      </c>
      <c r="AM433" s="387"/>
      <c r="AN433" s="410">
        <f>+AO433/(SUM(AO$422:AO$426,AO$411:AO$412)+AN$196-AO$196)</f>
        <v>6.0695416793964105E-2</v>
      </c>
      <c r="AO433" s="382">
        <f t="shared" si="634"/>
        <v>22648.108946677639</v>
      </c>
      <c r="AQ433" s="389"/>
      <c r="AR433" s="412">
        <f t="shared" si="649"/>
        <v>6.7046344873910729E-2</v>
      </c>
      <c r="AS433" s="385">
        <f t="shared" si="628"/>
        <v>186390.58999999988</v>
      </c>
      <c r="AU433" s="389"/>
      <c r="AV433" s="412">
        <f t="shared" si="650"/>
        <v>6.6450226249434419E-2</v>
      </c>
      <c r="AW433" s="385">
        <f t="shared" si="629"/>
        <v>109895.009688294</v>
      </c>
      <c r="AY433" s="389"/>
      <c r="AZ433" s="412">
        <f>+BA433/(SUM(BA$422:BA$426,BA$411:BA$412)+AZ$196-BA$196)</f>
        <v>6.9432239744313465E-2</v>
      </c>
      <c r="BA433" s="385">
        <f>+[2]VOLKS!$AF$430</f>
        <v>186390.59</v>
      </c>
      <c r="BC433" s="389"/>
      <c r="BD433" s="412">
        <f t="shared" ref="BD433" si="651">+BE433/(SUM(BE$423:BE$427,BE$412:BE$413)+BD$197-BE$197)</f>
        <v>0</v>
      </c>
      <c r="BE433" s="386">
        <f t="shared" si="630"/>
        <v>0</v>
      </c>
    </row>
    <row r="434" spans="1:57" ht="20.25">
      <c r="A434" s="15" t="s">
        <v>70</v>
      </c>
      <c r="B434" s="387" t="s">
        <v>71</v>
      </c>
      <c r="C434" s="387"/>
      <c r="D434" s="410">
        <f>+E434/(SUM(E$423:E$427,E$412:E$413)+D$197-E$197)</f>
        <v>2.8289077764827961E-2</v>
      </c>
      <c r="E434" s="382">
        <f t="shared" si="627"/>
        <v>125428.69248012817</v>
      </c>
      <c r="F434" s="387"/>
      <c r="G434" s="410"/>
      <c r="H434" s="382">
        <f t="shared" ref="H434" si="652">+SUMIF($B$4:$B$401,$B434,H$4:H$401)</f>
        <v>9384.119999999999</v>
      </c>
      <c r="I434" s="387"/>
      <c r="J434" s="410"/>
      <c r="K434" s="382">
        <f t="shared" ref="K434" si="653">+SUMIF($B$4:$B$401,$B434,K$4:K$401)</f>
        <v>10755.45</v>
      </c>
      <c r="L434" s="387"/>
      <c r="M434" s="410"/>
      <c r="N434" s="382">
        <f t="shared" ref="N434" si="654">+SUMIF($B$4:$B$401,$B434,N$4:N$401)</f>
        <v>8379.69</v>
      </c>
      <c r="O434" s="387"/>
      <c r="P434" s="410"/>
      <c r="Q434" s="382">
        <f t="shared" ref="Q434" si="655">+SUMIF($B$4:$B$401,$B434,Q$4:Q$401)</f>
        <v>10989.42</v>
      </c>
      <c r="R434" s="387"/>
      <c r="S434" s="410"/>
      <c r="T434" s="411">
        <f t="shared" ref="T434" si="656">+SUMIF($B$4:$B$401,$B434,T$4:T$401)</f>
        <v>10448.16</v>
      </c>
      <c r="U434" s="387"/>
      <c r="V434" s="410"/>
      <c r="W434" s="382">
        <f t="shared" ref="W434" si="657">+SUMIF($B$4:$B$401,$B434,W$4:W$401)</f>
        <v>8525</v>
      </c>
      <c r="X434" s="387"/>
      <c r="Y434" s="410"/>
      <c r="Z434" s="382">
        <f t="shared" ref="Z434" si="658">+SUMIF($B$4:$B$401,$B434,Z$4:Z$401)</f>
        <v>10128.049999999999</v>
      </c>
      <c r="AA434" s="387"/>
      <c r="AB434" s="410"/>
      <c r="AC434" s="382">
        <f t="shared" ref="AC434" si="659">+SUMIF($B$4:$B$401,$B434,AC$4:AC$401)</f>
        <v>8903.9600000000009</v>
      </c>
      <c r="AD434" s="387"/>
      <c r="AE434" s="410">
        <f>+AF434/(SUM(AF$422:AF$426,AF$411:AF$412)+AE$196-AF$196)</f>
        <v>2.8224854644578721E-2</v>
      </c>
      <c r="AF434" s="382">
        <f t="shared" si="631"/>
        <v>10986.385268191019</v>
      </c>
      <c r="AG434" s="387"/>
      <c r="AH434" s="410">
        <f>+AI434/(SUM(AI$422:AI$426,AI$411:AI$412)+AH$196-AI$196)</f>
        <v>2.7999010011935652E-2</v>
      </c>
      <c r="AI434" s="382">
        <f t="shared" si="632"/>
        <v>13478.239348949697</v>
      </c>
      <c r="AJ434" s="387"/>
      <c r="AK434" s="410">
        <f>+AL434/(SUM(AL$422:AL$426,AL$411:AL$412)+AK$196-AL$196)</f>
        <v>3.0740879536086306E-2</v>
      </c>
      <c r="AL434" s="382">
        <f t="shared" si="633"/>
        <v>13575.514946714513</v>
      </c>
      <c r="AM434" s="387"/>
      <c r="AN434" s="410">
        <f>+AO434/(SUM(AO$422:AO$426,AO$411:AO$412)+AN$196-AO$196)</f>
        <v>2.6463543187241728E-2</v>
      </c>
      <c r="AO434" s="382">
        <f t="shared" si="634"/>
        <v>9874.7029162729486</v>
      </c>
      <c r="AQ434" s="389"/>
      <c r="AR434" s="412">
        <f>+AS434/(SUM(AS$423:AS$427,AS$412:AS$413)+AR$197-AS$197)</f>
        <v>2.788241788174279E-2</v>
      </c>
      <c r="AS434" s="385">
        <f t="shared" si="628"/>
        <v>77513.850000000006</v>
      </c>
      <c r="AU434" s="389"/>
      <c r="AV434" s="412">
        <f>+AW434/(SUM(AW$423:AW$427,AW$412:AW$413)+AV$197-AW$197)</f>
        <v>2.8972672485688706E-2</v>
      </c>
      <c r="AW434" s="385">
        <f t="shared" si="629"/>
        <v>47914.84248012818</v>
      </c>
      <c r="AY434" s="389"/>
      <c r="AZ434" s="412"/>
      <c r="BA434" s="385">
        <f t="shared" ref="BA434" si="660">+SUMIF($B$4:$B$401,$B434,BA$4:BA$401)</f>
        <v>77513.850000000006</v>
      </c>
      <c r="BC434" s="389"/>
      <c r="BD434" s="412">
        <f>+BE434/(SUM(BE$423:BE$427,BE$412:BE$413)+BD$197-BE$197)</f>
        <v>0</v>
      </c>
      <c r="BE434" s="386">
        <f t="shared" si="630"/>
        <v>0</v>
      </c>
    </row>
    <row r="435" spans="1:57" ht="20.25" hidden="1" customHeight="1">
      <c r="A435" s="15"/>
      <c r="B435" s="394"/>
      <c r="C435" s="387"/>
      <c r="D435" s="388"/>
      <c r="E435" s="382"/>
      <c r="F435" s="387"/>
      <c r="G435" s="388"/>
      <c r="H435" s="382"/>
      <c r="I435" s="387"/>
      <c r="J435" s="388"/>
      <c r="K435" s="382"/>
      <c r="L435" s="387"/>
      <c r="M435" s="388"/>
      <c r="N435" s="382"/>
      <c r="O435" s="387"/>
      <c r="P435" s="388"/>
      <c r="Q435" s="382"/>
      <c r="R435" s="387"/>
      <c r="S435" s="388"/>
      <c r="T435" s="382"/>
      <c r="U435" s="387"/>
      <c r="V435" s="388"/>
      <c r="W435" s="382"/>
      <c r="X435" s="387"/>
      <c r="Y435" s="388"/>
      <c r="Z435" s="382"/>
      <c r="AA435" s="387"/>
      <c r="AB435" s="388"/>
      <c r="AC435" s="382"/>
      <c r="AD435" s="387"/>
      <c r="AE435" s="388"/>
      <c r="AF435" s="382">
        <v>0</v>
      </c>
      <c r="AG435" s="387"/>
      <c r="AH435" s="388"/>
      <c r="AI435" s="382">
        <v>0</v>
      </c>
      <c r="AJ435" s="387"/>
      <c r="AK435" s="388"/>
      <c r="AL435" s="382">
        <v>0</v>
      </c>
      <c r="AM435" s="387"/>
      <c r="AN435" s="388"/>
      <c r="AO435" s="382">
        <v>0</v>
      </c>
      <c r="AQ435" s="389"/>
      <c r="AR435" s="390"/>
      <c r="AS435" s="385"/>
      <c r="AU435" s="389"/>
      <c r="AV435" s="390"/>
      <c r="AW435" s="385"/>
      <c r="AY435" s="389"/>
      <c r="AZ435" s="390"/>
      <c r="BA435" s="385"/>
      <c r="BC435" s="389"/>
      <c r="BD435" s="390"/>
      <c r="BE435" s="386"/>
    </row>
    <row r="436" spans="1:57" ht="20.25">
      <c r="A436" s="15" t="s">
        <v>27</v>
      </c>
      <c r="B436" s="395" t="s">
        <v>72</v>
      </c>
      <c r="C436" s="396">
        <f>IFERROR(E436/E410,0)</f>
        <v>0.43742888078712389</v>
      </c>
      <c r="D436" s="414"/>
      <c r="E436" s="398">
        <f>SUM(E423:E434)</f>
        <v>3688463.0540145892</v>
      </c>
      <c r="F436" s="396"/>
      <c r="G436" s="414"/>
      <c r="H436" s="398">
        <v>302609.61</v>
      </c>
      <c r="I436" s="396"/>
      <c r="J436" s="414"/>
      <c r="K436" s="398">
        <v>267862.26</v>
      </c>
      <c r="L436" s="396"/>
      <c r="M436" s="414"/>
      <c r="N436" s="398">
        <v>279171.52999999898</v>
      </c>
      <c r="O436" s="396"/>
      <c r="P436" s="414"/>
      <c r="Q436" s="398">
        <v>312840.75</v>
      </c>
      <c r="R436" s="396"/>
      <c r="S436" s="414"/>
      <c r="T436" s="398">
        <v>343419.359999999</v>
      </c>
      <c r="U436" s="396"/>
      <c r="V436" s="414"/>
      <c r="W436" s="399">
        <v>280276.03999999998</v>
      </c>
      <c r="X436" s="396"/>
      <c r="Y436" s="414"/>
      <c r="Z436" s="399">
        <v>280364.39999999898</v>
      </c>
      <c r="AA436" s="396"/>
      <c r="AB436" s="414"/>
      <c r="AC436" s="399">
        <f>+[1]VOLKS!$AF$433</f>
        <v>297973.28999999998</v>
      </c>
      <c r="AD436" s="396">
        <f>+AF436/AF$410</f>
        <v>0.48099616359355135</v>
      </c>
      <c r="AE436" s="414"/>
      <c r="AF436" s="398">
        <f>+SUM(AF423:AF434)</f>
        <v>303574.22284746188</v>
      </c>
      <c r="AG436" s="396">
        <f>+AI436/AI$410</f>
        <v>0.43129477646248982</v>
      </c>
      <c r="AH436" s="414"/>
      <c r="AI436" s="398">
        <f>+SUM(AI423:AI434)</f>
        <v>375957.76147066662</v>
      </c>
      <c r="AJ436" s="396">
        <f>+AL436/AL$410</f>
        <v>0.34974684977734016</v>
      </c>
      <c r="AK436" s="414"/>
      <c r="AL436" s="398">
        <f>+SUM(AL423:AL434)</f>
        <v>351575.86708507186</v>
      </c>
      <c r="AM436" s="396">
        <f>+AO436/AO$410</f>
        <v>0.48476225610485191</v>
      </c>
      <c r="AN436" s="414"/>
      <c r="AO436" s="398">
        <f>+SUM(AO423:AO434)</f>
        <v>292837.96261138999</v>
      </c>
      <c r="AQ436" s="400">
        <f>IFERROR(AS436/AS410,0)</f>
        <v>0.44445845782159948</v>
      </c>
      <c r="AR436" s="415"/>
      <c r="AS436" s="402">
        <f t="shared" ref="AS436" si="661">SUM(AS423:AS434)</f>
        <v>2364517.2399999988</v>
      </c>
      <c r="AU436" s="400">
        <f t="shared" ref="AU436" si="662">IFERROR(AW436/AW410,0)</f>
        <v>0.42541231545675717</v>
      </c>
      <c r="AV436" s="415"/>
      <c r="AW436" s="402">
        <f t="shared" ref="AW436" si="663">SUM(AW423:AW434)</f>
        <v>1323945.8140145903</v>
      </c>
      <c r="AY436" s="400"/>
      <c r="AZ436" s="415"/>
      <c r="BA436" s="402">
        <f>+[2]VOLKS!$AF$433</f>
        <v>2364517.2400000002</v>
      </c>
      <c r="BC436" s="400"/>
      <c r="BD436" s="415"/>
      <c r="BE436" s="403">
        <f t="shared" ref="BE436" si="664">SUM(BE423:BE434)</f>
        <v>-7.2759576141834259E-10</v>
      </c>
    </row>
    <row r="437" spans="1:57" ht="20.25">
      <c r="A437" s="15" t="s">
        <v>52</v>
      </c>
      <c r="B437" s="416" t="s">
        <v>73</v>
      </c>
      <c r="C437" s="416"/>
      <c r="D437" s="417"/>
      <c r="E437" s="418">
        <f t="shared" ref="E437:E453" si="665">+SUM(H437,K437,N437,Q437,T437,W437,Z437,AC437,AF437,AI437,AL437,AO437)</f>
        <v>247881.81729800679</v>
      </c>
      <c r="F437" s="416"/>
      <c r="G437" s="417"/>
      <c r="H437" s="418">
        <v>22331.040000000001</v>
      </c>
      <c r="I437" s="416"/>
      <c r="J437" s="417"/>
      <c r="K437" s="418">
        <v>13701.99</v>
      </c>
      <c r="L437" s="416"/>
      <c r="M437" s="417"/>
      <c r="N437" s="418">
        <v>19234.12</v>
      </c>
      <c r="O437" s="416"/>
      <c r="P437" s="417"/>
      <c r="Q437" s="418">
        <v>33630.42</v>
      </c>
      <c r="R437" s="416"/>
      <c r="S437" s="417"/>
      <c r="T437" s="418">
        <v>22624.880000000001</v>
      </c>
      <c r="U437" s="416"/>
      <c r="V437" s="417"/>
      <c r="W437" s="418">
        <v>12184.25</v>
      </c>
      <c r="X437" s="416"/>
      <c r="Y437" s="417"/>
      <c r="Z437" s="418">
        <v>14038.38</v>
      </c>
      <c r="AA437" s="416"/>
      <c r="AB437" s="417"/>
      <c r="AC437" s="418">
        <f>+[1]VOLKS!$AF$434</f>
        <v>16818.759999999998</v>
      </c>
      <c r="AD437" s="416"/>
      <c r="AE437" s="417"/>
      <c r="AF437" s="418">
        <f t="shared" ref="AF437:AF451" si="666">+SUMIF($B$7:$B$402,$B437,AF$7:AF$402)</f>
        <v>19848.680537501303</v>
      </c>
      <c r="AG437" s="416"/>
      <c r="AH437" s="417"/>
      <c r="AI437" s="418">
        <f t="shared" ref="AI437:AI451" si="667">+SUMIF($B$7:$B$402,$B437,AI$7:AI$402)</f>
        <v>22961.269888068255</v>
      </c>
      <c r="AJ437" s="416"/>
      <c r="AK437" s="417"/>
      <c r="AL437" s="418">
        <f t="shared" ref="AL437:AL451" si="668">+SUMIF($B$7:$B$402,$B437,AL$7:AL$402)</f>
        <v>31465.184486138831</v>
      </c>
      <c r="AM437" s="416"/>
      <c r="AN437" s="417"/>
      <c r="AO437" s="418">
        <f t="shared" ref="AO437:AO451" si="669">+SUMIF($B$7:$B$402,$B437,AO$7:AO$402)</f>
        <v>19042.842386298405</v>
      </c>
      <c r="AQ437" s="419"/>
      <c r="AR437" s="420"/>
      <c r="AS437" s="421">
        <f t="shared" ref="AS437:AS451" si="670">SUMIFS(F437:AO437,$F$7:$AO$7,"$PROFITS",$F$3:$AO$3,"RÉEL")</f>
        <v>154563.84</v>
      </c>
      <c r="AU437" s="419"/>
      <c r="AV437" s="420"/>
      <c r="AW437" s="421">
        <f t="shared" ref="AW437:AW451" si="671">SUMIFS(F437:AO437,$F$7:$AO$7,"$PROFITS",$F$3:$AO$3,"BUDGET")</f>
        <v>93317.977298006794</v>
      </c>
      <c r="AY437" s="419"/>
      <c r="AZ437" s="420"/>
      <c r="BA437" s="421">
        <f>+[2]VOLKS!$AF$434</f>
        <v>154563.84</v>
      </c>
      <c r="BC437" s="419"/>
      <c r="BD437" s="420"/>
      <c r="BE437" s="422">
        <f t="shared" ref="BE437:BE453" si="672">+BA437-AS437</f>
        <v>0</v>
      </c>
    </row>
    <row r="438" spans="1:57" ht="20.25">
      <c r="A438" s="15" t="s">
        <v>49</v>
      </c>
      <c r="B438" s="387" t="s">
        <v>74</v>
      </c>
      <c r="C438" s="387"/>
      <c r="D438" s="388"/>
      <c r="E438" s="382">
        <f t="shared" si="665"/>
        <v>71307.584651222831</v>
      </c>
      <c r="F438" s="387"/>
      <c r="G438" s="388"/>
      <c r="H438" s="382">
        <v>13807.6</v>
      </c>
      <c r="I438" s="387"/>
      <c r="J438" s="388"/>
      <c r="K438" s="382">
        <v>9465.3699999999899</v>
      </c>
      <c r="L438" s="387"/>
      <c r="M438" s="388"/>
      <c r="N438" s="382">
        <v>5050.9399999999996</v>
      </c>
      <c r="O438" s="387"/>
      <c r="P438" s="388"/>
      <c r="Q438" s="382">
        <v>5140.28</v>
      </c>
      <c r="R438" s="387"/>
      <c r="S438" s="388"/>
      <c r="T438" s="382">
        <v>5109.3</v>
      </c>
      <c r="U438" s="387"/>
      <c r="V438" s="388"/>
      <c r="W438" s="382">
        <v>8329.58</v>
      </c>
      <c r="X438" s="387"/>
      <c r="Y438" s="388"/>
      <c r="Z438" s="382">
        <v>1819.6599999999901</v>
      </c>
      <c r="AA438" s="387"/>
      <c r="AB438" s="388"/>
      <c r="AC438" s="382">
        <f>+[1]VOLKS!$AF$435</f>
        <v>4403.33</v>
      </c>
      <c r="AD438" s="387"/>
      <c r="AE438" s="388"/>
      <c r="AF438" s="382">
        <f t="shared" si="666"/>
        <v>4545.3811628057083</v>
      </c>
      <c r="AG438" s="387"/>
      <c r="AH438" s="388"/>
      <c r="AI438" s="382">
        <f t="shared" si="667"/>
        <v>4545.3811628057083</v>
      </c>
      <c r="AJ438" s="387"/>
      <c r="AK438" s="388"/>
      <c r="AL438" s="382">
        <f t="shared" si="668"/>
        <v>4545.3811628057083</v>
      </c>
      <c r="AM438" s="387"/>
      <c r="AN438" s="388"/>
      <c r="AO438" s="382">
        <f t="shared" si="669"/>
        <v>4545.3811628057083</v>
      </c>
      <c r="AQ438" s="389"/>
      <c r="AR438" s="390"/>
      <c r="AS438" s="385">
        <f t="shared" si="670"/>
        <v>53126.059999999983</v>
      </c>
      <c r="AU438" s="389"/>
      <c r="AV438" s="390"/>
      <c r="AW438" s="385">
        <f t="shared" si="671"/>
        <v>18181.524651222833</v>
      </c>
      <c r="AY438" s="389"/>
      <c r="AZ438" s="390"/>
      <c r="BA438" s="385">
        <f>+[2]VOLKS!$AF$435</f>
        <v>53126.06</v>
      </c>
      <c r="BC438" s="389"/>
      <c r="BD438" s="390"/>
      <c r="BE438" s="386">
        <f t="shared" si="672"/>
        <v>0</v>
      </c>
    </row>
    <row r="439" spans="1:57" ht="20.25">
      <c r="A439" s="15" t="s">
        <v>75</v>
      </c>
      <c r="B439" s="362" t="s">
        <v>76</v>
      </c>
      <c r="C439" s="362"/>
      <c r="D439" s="391"/>
      <c r="E439" s="365">
        <f t="shared" si="665"/>
        <v>290350.52866666653</v>
      </c>
      <c r="F439" s="362"/>
      <c r="G439" s="391"/>
      <c r="H439" s="365">
        <v>22198.26</v>
      </c>
      <c r="I439" s="362"/>
      <c r="J439" s="391"/>
      <c r="K439" s="365">
        <v>24402.18</v>
      </c>
      <c r="L439" s="362"/>
      <c r="M439" s="391"/>
      <c r="N439" s="365">
        <v>21704.23</v>
      </c>
      <c r="O439" s="362"/>
      <c r="P439" s="391"/>
      <c r="Q439" s="365">
        <v>20967.38</v>
      </c>
      <c r="R439" s="362"/>
      <c r="S439" s="391"/>
      <c r="T439" s="365">
        <v>29334.55</v>
      </c>
      <c r="U439" s="362"/>
      <c r="V439" s="391"/>
      <c r="W439" s="365">
        <v>23912.94</v>
      </c>
      <c r="X439" s="362"/>
      <c r="Y439" s="391"/>
      <c r="Z439" s="365">
        <v>23078.729999999901</v>
      </c>
      <c r="AA439" s="362"/>
      <c r="AB439" s="391"/>
      <c r="AC439" s="365">
        <f>+[1]VOLKS!$AF$436</f>
        <v>22915.199999999899</v>
      </c>
      <c r="AD439" s="362"/>
      <c r="AE439" s="391"/>
      <c r="AF439" s="365">
        <f>+SUMIF($B$7:$B$402,$B439,AF$7:AF$402)</f>
        <v>22709.26466666667</v>
      </c>
      <c r="AG439" s="362"/>
      <c r="AH439" s="391"/>
      <c r="AI439" s="365">
        <f>+SUMIF($B$7:$B$402,$B439,AI$7:AI$402)</f>
        <v>25709.26466666667</v>
      </c>
      <c r="AJ439" s="362"/>
      <c r="AK439" s="391"/>
      <c r="AL439" s="365">
        <f>+SUMIF($B$7:$B$402,$B439,AL$7:AL$402)</f>
        <v>30709.264666666666</v>
      </c>
      <c r="AM439" s="362"/>
      <c r="AN439" s="391"/>
      <c r="AO439" s="365">
        <f>+SUMIF($B$7:$B$402,$B439,AO$7:AO$402)</f>
        <v>22709.26466666667</v>
      </c>
      <c r="AQ439" s="392"/>
      <c r="AR439" s="393"/>
      <c r="AS439" s="368">
        <f t="shared" si="670"/>
        <v>188513.4699999998</v>
      </c>
      <c r="AU439" s="392"/>
      <c r="AV439" s="393"/>
      <c r="AW439" s="368">
        <f t="shared" si="671"/>
        <v>101837.05866666668</v>
      </c>
      <c r="AY439" s="392"/>
      <c r="AZ439" s="393"/>
      <c r="BA439" s="368">
        <f>+[2]VOLKS!$AF$436</f>
        <v>188513.47</v>
      </c>
      <c r="BC439" s="392"/>
      <c r="BD439" s="393"/>
      <c r="BE439" s="369">
        <f t="shared" si="672"/>
        <v>0</v>
      </c>
    </row>
    <row r="440" spans="1:57" ht="20.25">
      <c r="A440" s="15" t="s">
        <v>77</v>
      </c>
      <c r="B440" s="379" t="s">
        <v>78</v>
      </c>
      <c r="C440" s="387"/>
      <c r="D440" s="388"/>
      <c r="E440" s="382">
        <f t="shared" si="665"/>
        <v>286745.38057511102</v>
      </c>
      <c r="F440" s="387"/>
      <c r="G440" s="388"/>
      <c r="H440" s="382">
        <v>20272.469999999899</v>
      </c>
      <c r="I440" s="387"/>
      <c r="J440" s="388"/>
      <c r="K440" s="382">
        <v>24573.200000000001</v>
      </c>
      <c r="L440" s="387"/>
      <c r="M440" s="388"/>
      <c r="N440" s="382">
        <v>24782.19</v>
      </c>
      <c r="O440" s="387"/>
      <c r="P440" s="388"/>
      <c r="Q440" s="382">
        <v>24320.58</v>
      </c>
      <c r="R440" s="387"/>
      <c r="S440" s="388"/>
      <c r="T440" s="382">
        <v>29728.79</v>
      </c>
      <c r="U440" s="387"/>
      <c r="V440" s="388"/>
      <c r="W440" s="382">
        <v>19706.759999999998</v>
      </c>
      <c r="X440" s="387"/>
      <c r="Y440" s="388"/>
      <c r="Z440" s="382">
        <v>24085.59</v>
      </c>
      <c r="AA440" s="387"/>
      <c r="AB440" s="388"/>
      <c r="AC440" s="382">
        <f>+[1]VOLKS!$AF$437</f>
        <v>21667.48</v>
      </c>
      <c r="AD440" s="387"/>
      <c r="AE440" s="388"/>
      <c r="AF440" s="382">
        <f t="shared" si="666"/>
        <v>24402.080143777781</v>
      </c>
      <c r="AG440" s="387"/>
      <c r="AH440" s="388"/>
      <c r="AI440" s="382">
        <f t="shared" si="667"/>
        <v>24402.080143777781</v>
      </c>
      <c r="AJ440" s="387"/>
      <c r="AK440" s="388"/>
      <c r="AL440" s="382">
        <f t="shared" si="668"/>
        <v>24402.080143777781</v>
      </c>
      <c r="AM440" s="387"/>
      <c r="AN440" s="388"/>
      <c r="AO440" s="382">
        <f t="shared" si="669"/>
        <v>24402.080143777781</v>
      </c>
      <c r="AQ440" s="389"/>
      <c r="AR440" s="390"/>
      <c r="AS440" s="385">
        <f t="shared" si="670"/>
        <v>189137.05999999991</v>
      </c>
      <c r="AU440" s="389"/>
      <c r="AV440" s="390"/>
      <c r="AW440" s="385">
        <f t="shared" si="671"/>
        <v>97608.320575111124</v>
      </c>
      <c r="AY440" s="389"/>
      <c r="AZ440" s="390"/>
      <c r="BA440" s="385">
        <f>+[2]VOLKS!$AF$437</f>
        <v>189137.06</v>
      </c>
      <c r="BC440" s="389"/>
      <c r="BD440" s="390"/>
      <c r="BE440" s="386">
        <f t="shared" si="672"/>
        <v>0</v>
      </c>
    </row>
    <row r="441" spans="1:57" ht="20.25">
      <c r="A441" s="15" t="s">
        <v>79</v>
      </c>
      <c r="B441" s="379" t="s">
        <v>80</v>
      </c>
      <c r="C441" s="387"/>
      <c r="D441" s="388"/>
      <c r="E441" s="382">
        <f t="shared" si="665"/>
        <v>49932.71052994443</v>
      </c>
      <c r="F441" s="387"/>
      <c r="G441" s="388"/>
      <c r="H441" s="382">
        <v>5200.3099999999904</v>
      </c>
      <c r="I441" s="387"/>
      <c r="J441" s="388"/>
      <c r="K441" s="382">
        <v>3147.93</v>
      </c>
      <c r="L441" s="387"/>
      <c r="M441" s="388"/>
      <c r="N441" s="382">
        <v>3076.33</v>
      </c>
      <c r="O441" s="387"/>
      <c r="P441" s="388"/>
      <c r="Q441" s="382">
        <v>5632.16</v>
      </c>
      <c r="R441" s="387"/>
      <c r="S441" s="388"/>
      <c r="T441" s="382">
        <v>4762</v>
      </c>
      <c r="U441" s="387"/>
      <c r="V441" s="388"/>
      <c r="W441" s="382">
        <v>6656.17</v>
      </c>
      <c r="X441" s="387"/>
      <c r="Y441" s="388"/>
      <c r="Z441" s="382">
        <v>3092.1</v>
      </c>
      <c r="AA441" s="387"/>
      <c r="AB441" s="388"/>
      <c r="AC441" s="382">
        <f>+[1]VOLKS!$AF$438</f>
        <v>2743.48</v>
      </c>
      <c r="AD441" s="387"/>
      <c r="AE441" s="388"/>
      <c r="AF441" s="382">
        <f t="shared" si="666"/>
        <v>3905.5576324861113</v>
      </c>
      <c r="AG441" s="387"/>
      <c r="AH441" s="388"/>
      <c r="AI441" s="382">
        <f t="shared" si="667"/>
        <v>3905.5576324861113</v>
      </c>
      <c r="AJ441" s="387"/>
      <c r="AK441" s="388"/>
      <c r="AL441" s="382">
        <f t="shared" si="668"/>
        <v>3905.5576324861113</v>
      </c>
      <c r="AM441" s="387"/>
      <c r="AN441" s="388"/>
      <c r="AO441" s="382">
        <f t="shared" si="669"/>
        <v>3905.5576324861113</v>
      </c>
      <c r="AQ441" s="389"/>
      <c r="AR441" s="390"/>
      <c r="AS441" s="385">
        <f t="shared" si="670"/>
        <v>34310.479999999989</v>
      </c>
      <c r="AU441" s="389"/>
      <c r="AV441" s="390"/>
      <c r="AW441" s="385">
        <f t="shared" si="671"/>
        <v>15622.230529944445</v>
      </c>
      <c r="AY441" s="389"/>
      <c r="AZ441" s="390"/>
      <c r="BA441" s="385">
        <f>+[2]VOLKS!$AF$438</f>
        <v>34310.480000000003</v>
      </c>
      <c r="BC441" s="389"/>
      <c r="BD441" s="390"/>
      <c r="BE441" s="386">
        <f t="shared" si="672"/>
        <v>0</v>
      </c>
    </row>
    <row r="442" spans="1:57" ht="20.25">
      <c r="A442" s="15" t="s">
        <v>81</v>
      </c>
      <c r="B442" s="423" t="s">
        <v>82</v>
      </c>
      <c r="C442" s="423"/>
      <c r="D442" s="424"/>
      <c r="E442" s="425">
        <f t="shared" si="665"/>
        <v>492195.93839043687</v>
      </c>
      <c r="F442" s="423"/>
      <c r="G442" s="424"/>
      <c r="H442" s="425">
        <v>38117.619999999901</v>
      </c>
      <c r="I442" s="423"/>
      <c r="J442" s="424"/>
      <c r="K442" s="425">
        <v>39617.289999999899</v>
      </c>
      <c r="L442" s="423"/>
      <c r="M442" s="424"/>
      <c r="N442" s="425">
        <v>49023.11</v>
      </c>
      <c r="O442" s="423"/>
      <c r="P442" s="424"/>
      <c r="Q442" s="425">
        <v>43461.11</v>
      </c>
      <c r="R442" s="423"/>
      <c r="S442" s="424"/>
      <c r="T442" s="425">
        <v>42256.72</v>
      </c>
      <c r="U442" s="423"/>
      <c r="V442" s="424"/>
      <c r="W442" s="425">
        <v>33962.620000000003</v>
      </c>
      <c r="X442" s="423"/>
      <c r="Y442" s="424"/>
      <c r="Z442" s="425">
        <v>44790.42</v>
      </c>
      <c r="AA442" s="423"/>
      <c r="AB442" s="424"/>
      <c r="AC442" s="425">
        <f>+[1]VOLKS!$AF$439</f>
        <v>37294.83</v>
      </c>
      <c r="AD442" s="423"/>
      <c r="AE442" s="424"/>
      <c r="AF442" s="425">
        <f t="shared" si="666"/>
        <v>38918.054597609269</v>
      </c>
      <c r="AG442" s="423"/>
      <c r="AH442" s="424"/>
      <c r="AI442" s="425">
        <f t="shared" si="667"/>
        <v>42918.054597609269</v>
      </c>
      <c r="AJ442" s="423"/>
      <c r="AK442" s="424"/>
      <c r="AL442" s="425">
        <f t="shared" si="668"/>
        <v>42918.054597609269</v>
      </c>
      <c r="AM442" s="423"/>
      <c r="AN442" s="424"/>
      <c r="AO442" s="425">
        <f t="shared" si="669"/>
        <v>38918.054597609269</v>
      </c>
      <c r="AQ442" s="426"/>
      <c r="AR442" s="427"/>
      <c r="AS442" s="428">
        <f t="shared" si="670"/>
        <v>328523.7199999998</v>
      </c>
      <c r="AU442" s="426"/>
      <c r="AV442" s="427"/>
      <c r="AW442" s="428">
        <f t="shared" si="671"/>
        <v>163672.21839043708</v>
      </c>
      <c r="AY442" s="426"/>
      <c r="AZ442" s="427"/>
      <c r="BA442" s="428">
        <f>+[2]VOLKS!$AF$439</f>
        <v>328523.71999999997</v>
      </c>
      <c r="BC442" s="426"/>
      <c r="BD442" s="427"/>
      <c r="BE442" s="429">
        <f t="shared" si="672"/>
        <v>0</v>
      </c>
    </row>
    <row r="443" spans="1:57" ht="20.25">
      <c r="A443" s="15" t="s">
        <v>79</v>
      </c>
      <c r="B443" s="430" t="s">
        <v>124</v>
      </c>
      <c r="C443" s="387"/>
      <c r="D443" s="388"/>
      <c r="E443" s="382">
        <f t="shared" si="665"/>
        <v>0</v>
      </c>
      <c r="F443" s="387"/>
      <c r="G443" s="388"/>
      <c r="H443" s="382">
        <v>0</v>
      </c>
      <c r="I443" s="387"/>
      <c r="J443" s="388"/>
      <c r="K443" s="382">
        <v>0</v>
      </c>
      <c r="L443" s="387"/>
      <c r="M443" s="388"/>
      <c r="N443" s="382">
        <v>0</v>
      </c>
      <c r="O443" s="387"/>
      <c r="P443" s="388"/>
      <c r="Q443" s="382">
        <v>0</v>
      </c>
      <c r="R443" s="387"/>
      <c r="S443" s="388"/>
      <c r="T443" s="382">
        <v>0</v>
      </c>
      <c r="U443" s="387"/>
      <c r="V443" s="388"/>
      <c r="W443" s="382">
        <v>0</v>
      </c>
      <c r="X443" s="387"/>
      <c r="Y443" s="388"/>
      <c r="Z443" s="382">
        <v>0</v>
      </c>
      <c r="AA443" s="387"/>
      <c r="AB443" s="388"/>
      <c r="AC443" s="382">
        <f>+[1]VOLKS!$AF$440</f>
        <v>0</v>
      </c>
      <c r="AD443" s="387"/>
      <c r="AE443" s="388"/>
      <c r="AF443" s="382">
        <f t="shared" si="666"/>
        <v>0</v>
      </c>
      <c r="AG443" s="387"/>
      <c r="AH443" s="388"/>
      <c r="AI443" s="382">
        <f t="shared" si="667"/>
        <v>0</v>
      </c>
      <c r="AJ443" s="387"/>
      <c r="AK443" s="388"/>
      <c r="AL443" s="382">
        <f t="shared" si="668"/>
        <v>0</v>
      </c>
      <c r="AM443" s="387"/>
      <c r="AN443" s="388"/>
      <c r="AO443" s="382">
        <f t="shared" si="669"/>
        <v>0</v>
      </c>
      <c r="AQ443" s="389"/>
      <c r="AR443" s="390"/>
      <c r="AS443" s="385">
        <f t="shared" si="670"/>
        <v>0</v>
      </c>
      <c r="AU443" s="389"/>
      <c r="AV443" s="390"/>
      <c r="AW443" s="385">
        <f t="shared" si="671"/>
        <v>0</v>
      </c>
      <c r="AY443" s="389"/>
      <c r="AZ443" s="390"/>
      <c r="BA443" s="385">
        <f>+[2]VOLKS!$AF$440</f>
        <v>0</v>
      </c>
      <c r="BC443" s="389"/>
      <c r="BD443" s="390"/>
      <c r="BE443" s="386">
        <f t="shared" si="672"/>
        <v>0</v>
      </c>
    </row>
    <row r="444" spans="1:57" ht="20.25">
      <c r="A444" s="15" t="s">
        <v>79</v>
      </c>
      <c r="B444" s="387" t="s">
        <v>83</v>
      </c>
      <c r="C444" s="387"/>
      <c r="D444" s="388"/>
      <c r="E444" s="382">
        <f t="shared" si="665"/>
        <v>62170.150622222231</v>
      </c>
      <c r="F444" s="387"/>
      <c r="G444" s="388"/>
      <c r="H444" s="382">
        <v>3709.05</v>
      </c>
      <c r="I444" s="387"/>
      <c r="J444" s="388"/>
      <c r="K444" s="382">
        <v>7186.12</v>
      </c>
      <c r="L444" s="387"/>
      <c r="M444" s="388"/>
      <c r="N444" s="382">
        <v>4874.7699999999904</v>
      </c>
      <c r="O444" s="387"/>
      <c r="P444" s="388"/>
      <c r="Q444" s="382">
        <v>5855.42</v>
      </c>
      <c r="R444" s="387"/>
      <c r="S444" s="388"/>
      <c r="T444" s="382">
        <v>6967.67</v>
      </c>
      <c r="U444" s="387"/>
      <c r="V444" s="388"/>
      <c r="W444" s="382">
        <v>2070.06</v>
      </c>
      <c r="X444" s="387"/>
      <c r="Y444" s="388"/>
      <c r="Z444" s="382">
        <v>3095.58</v>
      </c>
      <c r="AA444" s="387"/>
      <c r="AB444" s="388"/>
      <c r="AC444" s="382">
        <f>+[1]VOLKS!$AF$441</f>
        <v>7400.72</v>
      </c>
      <c r="AD444" s="387"/>
      <c r="AE444" s="388"/>
      <c r="AF444" s="382">
        <f t="shared" si="666"/>
        <v>5252.6901555555569</v>
      </c>
      <c r="AG444" s="387"/>
      <c r="AH444" s="388"/>
      <c r="AI444" s="382">
        <f t="shared" si="667"/>
        <v>5252.6901555555569</v>
      </c>
      <c r="AJ444" s="387"/>
      <c r="AK444" s="388"/>
      <c r="AL444" s="382">
        <f t="shared" si="668"/>
        <v>5252.6901555555569</v>
      </c>
      <c r="AM444" s="387"/>
      <c r="AN444" s="388"/>
      <c r="AO444" s="382">
        <f t="shared" si="669"/>
        <v>5252.6901555555569</v>
      </c>
      <c r="AQ444" s="389"/>
      <c r="AR444" s="390"/>
      <c r="AS444" s="385">
        <f t="shared" si="670"/>
        <v>41159.389999999992</v>
      </c>
      <c r="AU444" s="389"/>
      <c r="AV444" s="390"/>
      <c r="AW444" s="385">
        <f t="shared" si="671"/>
        <v>21010.760622222228</v>
      </c>
      <c r="AY444" s="389"/>
      <c r="AZ444" s="390"/>
      <c r="BA444" s="385">
        <f>+[2]VOLKS!$AF$441</f>
        <v>41159.39</v>
      </c>
      <c r="BC444" s="389"/>
      <c r="BD444" s="390"/>
      <c r="BE444" s="386">
        <f t="shared" si="672"/>
        <v>0</v>
      </c>
    </row>
    <row r="445" spans="1:57" ht="20.25">
      <c r="A445" s="15" t="s">
        <v>79</v>
      </c>
      <c r="B445" s="387" t="s">
        <v>84</v>
      </c>
      <c r="C445" s="387"/>
      <c r="D445" s="388"/>
      <c r="E445" s="382">
        <f t="shared" si="665"/>
        <v>12832.154960479</v>
      </c>
      <c r="F445" s="387"/>
      <c r="G445" s="388"/>
      <c r="H445" s="382">
        <v>1201.17</v>
      </c>
      <c r="I445" s="387"/>
      <c r="J445" s="388"/>
      <c r="K445" s="382">
        <v>967.33999999999901</v>
      </c>
      <c r="L445" s="387"/>
      <c r="M445" s="388"/>
      <c r="N445" s="382">
        <v>510.87</v>
      </c>
      <c r="O445" s="387"/>
      <c r="P445" s="388"/>
      <c r="Q445" s="382">
        <v>793.22</v>
      </c>
      <c r="R445" s="387"/>
      <c r="S445" s="388"/>
      <c r="T445" s="382">
        <v>785.83</v>
      </c>
      <c r="U445" s="387"/>
      <c r="V445" s="388"/>
      <c r="W445" s="382">
        <v>1429.5</v>
      </c>
      <c r="X445" s="387"/>
      <c r="Y445" s="388"/>
      <c r="Z445" s="382">
        <v>699.73</v>
      </c>
      <c r="AA445" s="387"/>
      <c r="AB445" s="388"/>
      <c r="AC445" s="382">
        <f>+[1]VOLKS!$AF$442</f>
        <v>1109.3</v>
      </c>
      <c r="AD445" s="387"/>
      <c r="AE445" s="388"/>
      <c r="AF445" s="382">
        <f t="shared" si="666"/>
        <v>1333.7987401197504</v>
      </c>
      <c r="AG445" s="387"/>
      <c r="AH445" s="388"/>
      <c r="AI445" s="382">
        <f t="shared" si="667"/>
        <v>1333.7987401197504</v>
      </c>
      <c r="AJ445" s="387"/>
      <c r="AK445" s="388"/>
      <c r="AL445" s="382">
        <f t="shared" si="668"/>
        <v>1333.7987401197504</v>
      </c>
      <c r="AM445" s="387"/>
      <c r="AN445" s="388"/>
      <c r="AO445" s="382">
        <f t="shared" si="669"/>
        <v>1333.7987401197504</v>
      </c>
      <c r="AQ445" s="389"/>
      <c r="AR445" s="390"/>
      <c r="AS445" s="385">
        <f t="shared" si="670"/>
        <v>7496.96</v>
      </c>
      <c r="AU445" s="389"/>
      <c r="AV445" s="390"/>
      <c r="AW445" s="385">
        <f t="shared" si="671"/>
        <v>5335.1949604790016</v>
      </c>
      <c r="AY445" s="389"/>
      <c r="AZ445" s="390"/>
      <c r="BA445" s="385">
        <f>+[2]VOLKS!$AF$442</f>
        <v>7496.96</v>
      </c>
      <c r="BC445" s="389"/>
      <c r="BD445" s="390"/>
      <c r="BE445" s="386">
        <f t="shared" si="672"/>
        <v>0</v>
      </c>
    </row>
    <row r="446" spans="1:57" ht="20.25">
      <c r="A446" s="15" t="s">
        <v>79</v>
      </c>
      <c r="B446" s="379" t="s">
        <v>85</v>
      </c>
      <c r="C446" s="387"/>
      <c r="D446" s="388"/>
      <c r="E446" s="382">
        <f t="shared" si="665"/>
        <v>30367.811541863994</v>
      </c>
      <c r="F446" s="387"/>
      <c r="G446" s="388"/>
      <c r="H446" s="382">
        <v>505.41999999999899</v>
      </c>
      <c r="I446" s="387"/>
      <c r="J446" s="388"/>
      <c r="K446" s="382">
        <v>3256.09</v>
      </c>
      <c r="L446" s="387"/>
      <c r="M446" s="388"/>
      <c r="N446" s="382">
        <v>2621.99</v>
      </c>
      <c r="O446" s="387"/>
      <c r="P446" s="388"/>
      <c r="Q446" s="382">
        <v>181.67</v>
      </c>
      <c r="R446" s="387"/>
      <c r="S446" s="388"/>
      <c r="T446" s="382">
        <v>3272.95</v>
      </c>
      <c r="U446" s="387"/>
      <c r="V446" s="388"/>
      <c r="W446" s="382">
        <v>2218.54</v>
      </c>
      <c r="X446" s="387"/>
      <c r="Y446" s="388"/>
      <c r="Z446" s="382">
        <v>4141.9799999999996</v>
      </c>
      <c r="AA446" s="387"/>
      <c r="AB446" s="388"/>
      <c r="AC446" s="382">
        <f>+[1]VOLKS!$AF$443</f>
        <v>3126.17</v>
      </c>
      <c r="AD446" s="387"/>
      <c r="AE446" s="388"/>
      <c r="AF446" s="382">
        <f t="shared" si="666"/>
        <v>2760.7503854659999</v>
      </c>
      <c r="AG446" s="387"/>
      <c r="AH446" s="388"/>
      <c r="AI446" s="382">
        <f t="shared" si="667"/>
        <v>2760.7503854659999</v>
      </c>
      <c r="AJ446" s="387"/>
      <c r="AK446" s="388"/>
      <c r="AL446" s="382">
        <f t="shared" si="668"/>
        <v>2760.7503854659999</v>
      </c>
      <c r="AM446" s="387"/>
      <c r="AN446" s="388"/>
      <c r="AO446" s="382">
        <f t="shared" si="669"/>
        <v>2760.7503854659999</v>
      </c>
      <c r="AQ446" s="389"/>
      <c r="AR446" s="390"/>
      <c r="AS446" s="385">
        <f t="shared" si="670"/>
        <v>19324.809999999998</v>
      </c>
      <c r="AU446" s="389"/>
      <c r="AV446" s="390"/>
      <c r="AW446" s="385">
        <f t="shared" si="671"/>
        <v>11043.001541864</v>
      </c>
      <c r="AY446" s="389"/>
      <c r="AZ446" s="390"/>
      <c r="BA446" s="385">
        <f>+[2]VOLKS!$AF$443</f>
        <v>19324.809999999899</v>
      </c>
      <c r="BC446" s="389"/>
      <c r="BD446" s="390"/>
      <c r="BE446" s="386">
        <f t="shared" si="672"/>
        <v>-9.822542779147625E-11</v>
      </c>
    </row>
    <row r="447" spans="1:57" ht="20.25">
      <c r="A447" s="15" t="s">
        <v>79</v>
      </c>
      <c r="B447" s="379" t="s">
        <v>86</v>
      </c>
      <c r="C447" s="387"/>
      <c r="D447" s="388"/>
      <c r="E447" s="382">
        <f t="shared" si="665"/>
        <v>9722.1530414747776</v>
      </c>
      <c r="F447" s="387"/>
      <c r="G447" s="388"/>
      <c r="H447" s="382">
        <v>1008.77</v>
      </c>
      <c r="I447" s="387"/>
      <c r="J447" s="388"/>
      <c r="K447" s="382">
        <v>916.31</v>
      </c>
      <c r="L447" s="387"/>
      <c r="M447" s="388"/>
      <c r="N447" s="382">
        <v>773.05</v>
      </c>
      <c r="O447" s="387"/>
      <c r="P447" s="388"/>
      <c r="Q447" s="382">
        <v>801.81</v>
      </c>
      <c r="R447" s="387"/>
      <c r="S447" s="388"/>
      <c r="T447" s="382">
        <v>878.44</v>
      </c>
      <c r="U447" s="387"/>
      <c r="V447" s="388"/>
      <c r="W447" s="382">
        <v>750.67</v>
      </c>
      <c r="X447" s="387"/>
      <c r="Y447" s="388"/>
      <c r="Z447" s="382">
        <v>662.9</v>
      </c>
      <c r="AA447" s="387"/>
      <c r="AB447" s="388"/>
      <c r="AC447" s="382">
        <f>+[1]VOLKS!$AF$444</f>
        <v>991.48</v>
      </c>
      <c r="AD447" s="387"/>
      <c r="AE447" s="388"/>
      <c r="AF447" s="382">
        <f t="shared" si="666"/>
        <v>734.68076036869445</v>
      </c>
      <c r="AG447" s="387"/>
      <c r="AH447" s="388"/>
      <c r="AI447" s="382">
        <f t="shared" si="667"/>
        <v>734.68076036869445</v>
      </c>
      <c r="AJ447" s="387"/>
      <c r="AK447" s="388"/>
      <c r="AL447" s="382">
        <f t="shared" si="668"/>
        <v>734.68076036869445</v>
      </c>
      <c r="AM447" s="387"/>
      <c r="AN447" s="388"/>
      <c r="AO447" s="382">
        <f t="shared" si="669"/>
        <v>734.68076036869445</v>
      </c>
      <c r="AQ447" s="389"/>
      <c r="AR447" s="390"/>
      <c r="AS447" s="385">
        <f t="shared" si="670"/>
        <v>6783.43</v>
      </c>
      <c r="AU447" s="389"/>
      <c r="AV447" s="390"/>
      <c r="AW447" s="385">
        <f t="shared" si="671"/>
        <v>2938.7230414747778</v>
      </c>
      <c r="AY447" s="389"/>
      <c r="AZ447" s="390"/>
      <c r="BA447" s="385">
        <f>+[2]VOLKS!$AF$444</f>
        <v>6783.43</v>
      </c>
      <c r="BC447" s="389"/>
      <c r="BD447" s="390"/>
      <c r="BE447" s="386">
        <f t="shared" si="672"/>
        <v>0</v>
      </c>
    </row>
    <row r="448" spans="1:57" ht="20.25">
      <c r="A448" s="15" t="s">
        <v>79</v>
      </c>
      <c r="B448" s="387" t="s">
        <v>87</v>
      </c>
      <c r="C448" s="387"/>
      <c r="D448" s="388"/>
      <c r="E448" s="382">
        <f t="shared" si="665"/>
        <v>4686.3862486052221</v>
      </c>
      <c r="F448" s="387"/>
      <c r="G448" s="388"/>
      <c r="H448" s="382">
        <v>1136.93</v>
      </c>
      <c r="I448" s="387"/>
      <c r="J448" s="388"/>
      <c r="K448" s="382">
        <v>1194.3599999999999</v>
      </c>
      <c r="L448" s="387"/>
      <c r="M448" s="388"/>
      <c r="N448" s="382">
        <v>1197.54</v>
      </c>
      <c r="O448" s="387"/>
      <c r="P448" s="388"/>
      <c r="Q448" s="382">
        <v>202.68</v>
      </c>
      <c r="R448" s="387"/>
      <c r="S448" s="388"/>
      <c r="T448" s="382">
        <v>342.94</v>
      </c>
      <c r="U448" s="387"/>
      <c r="V448" s="388"/>
      <c r="W448" s="382">
        <v>-708.26</v>
      </c>
      <c r="X448" s="387"/>
      <c r="Y448" s="388"/>
      <c r="Z448" s="382">
        <v>-207.98999999999899</v>
      </c>
      <c r="AA448" s="387"/>
      <c r="AB448" s="388"/>
      <c r="AC448" s="382">
        <f>+[1]VOLKS!$AF$445</f>
        <v>587.33999999999901</v>
      </c>
      <c r="AD448" s="387"/>
      <c r="AE448" s="388"/>
      <c r="AF448" s="382">
        <f t="shared" si="666"/>
        <v>235.21156215130546</v>
      </c>
      <c r="AG448" s="387"/>
      <c r="AH448" s="388"/>
      <c r="AI448" s="382">
        <f t="shared" si="667"/>
        <v>235.21156215130546</v>
      </c>
      <c r="AJ448" s="387"/>
      <c r="AK448" s="388"/>
      <c r="AL448" s="382">
        <f t="shared" si="668"/>
        <v>235.21156215130546</v>
      </c>
      <c r="AM448" s="387"/>
      <c r="AN448" s="388"/>
      <c r="AO448" s="382">
        <f t="shared" si="669"/>
        <v>235.21156215130546</v>
      </c>
      <c r="AQ448" s="389"/>
      <c r="AR448" s="390"/>
      <c r="AS448" s="385">
        <f t="shared" si="670"/>
        <v>3745.54</v>
      </c>
      <c r="AU448" s="389"/>
      <c r="AV448" s="390"/>
      <c r="AW448" s="385">
        <f t="shared" si="671"/>
        <v>940.84624860522183</v>
      </c>
      <c r="AY448" s="389"/>
      <c r="AZ448" s="390"/>
      <c r="BA448" s="385">
        <f>+[2]VOLKS!$AF$445</f>
        <v>3745.54</v>
      </c>
      <c r="BC448" s="389"/>
      <c r="BD448" s="390"/>
      <c r="BE448" s="386">
        <f t="shared" si="672"/>
        <v>0</v>
      </c>
    </row>
    <row r="449" spans="1:57" ht="20.25">
      <c r="A449" s="15" t="s">
        <v>79</v>
      </c>
      <c r="B449" s="379" t="s">
        <v>88</v>
      </c>
      <c r="C449" s="387"/>
      <c r="D449" s="388"/>
      <c r="E449" s="382">
        <f t="shared" si="665"/>
        <v>4921.4367945992226</v>
      </c>
      <c r="F449" s="387"/>
      <c r="G449" s="388"/>
      <c r="H449" s="382">
        <v>279.45</v>
      </c>
      <c r="I449" s="387"/>
      <c r="J449" s="388"/>
      <c r="K449" s="382">
        <v>222.52</v>
      </c>
      <c r="L449" s="387"/>
      <c r="M449" s="388"/>
      <c r="N449" s="382">
        <v>222.53</v>
      </c>
      <c r="O449" s="387"/>
      <c r="P449" s="388"/>
      <c r="Q449" s="382">
        <v>378.38</v>
      </c>
      <c r="R449" s="387"/>
      <c r="S449" s="388"/>
      <c r="T449" s="382">
        <v>349</v>
      </c>
      <c r="U449" s="387"/>
      <c r="V449" s="388"/>
      <c r="W449" s="382">
        <v>196</v>
      </c>
      <c r="X449" s="387"/>
      <c r="Y449" s="388"/>
      <c r="Z449" s="382">
        <v>196</v>
      </c>
      <c r="AA449" s="387"/>
      <c r="AB449" s="388"/>
      <c r="AC449" s="382">
        <f>+[1]VOLKS!$AF$446</f>
        <v>196</v>
      </c>
      <c r="AD449" s="387"/>
      <c r="AE449" s="388"/>
      <c r="AF449" s="382">
        <f t="shared" si="666"/>
        <v>720.38919864980562</v>
      </c>
      <c r="AG449" s="387"/>
      <c r="AH449" s="388"/>
      <c r="AI449" s="382">
        <f t="shared" si="667"/>
        <v>720.38919864980562</v>
      </c>
      <c r="AJ449" s="387"/>
      <c r="AK449" s="388"/>
      <c r="AL449" s="382">
        <f t="shared" si="668"/>
        <v>720.38919864980562</v>
      </c>
      <c r="AM449" s="387"/>
      <c r="AN449" s="388"/>
      <c r="AO449" s="382">
        <f t="shared" si="669"/>
        <v>720.38919864980562</v>
      </c>
      <c r="AQ449" s="389"/>
      <c r="AR449" s="390"/>
      <c r="AS449" s="385">
        <f t="shared" si="670"/>
        <v>2039.88</v>
      </c>
      <c r="AU449" s="389"/>
      <c r="AV449" s="390"/>
      <c r="AW449" s="385">
        <f t="shared" si="671"/>
        <v>2881.5567945992225</v>
      </c>
      <c r="AY449" s="389"/>
      <c r="AZ449" s="390"/>
      <c r="BA449" s="385">
        <f>+[2]VOLKS!$AF$446</f>
        <v>2039.8799999999901</v>
      </c>
      <c r="BC449" s="389"/>
      <c r="BD449" s="390"/>
      <c r="BE449" s="386">
        <f t="shared" si="672"/>
        <v>-1.0004441719502211E-11</v>
      </c>
    </row>
    <row r="450" spans="1:57" ht="20.25">
      <c r="A450" s="15" t="s">
        <v>79</v>
      </c>
      <c r="B450" s="387" t="s">
        <v>89</v>
      </c>
      <c r="C450" s="387"/>
      <c r="D450" s="388"/>
      <c r="E450" s="382">
        <f t="shared" si="665"/>
        <v>53456.458174203013</v>
      </c>
      <c r="F450" s="387"/>
      <c r="G450" s="388"/>
      <c r="H450" s="382">
        <v>2782.3</v>
      </c>
      <c r="I450" s="387"/>
      <c r="J450" s="388"/>
      <c r="K450" s="382">
        <v>2184.52</v>
      </c>
      <c r="L450" s="387"/>
      <c r="M450" s="388"/>
      <c r="N450" s="382">
        <v>6179.78</v>
      </c>
      <c r="O450" s="387"/>
      <c r="P450" s="388"/>
      <c r="Q450" s="382">
        <v>6582.0099999999902</v>
      </c>
      <c r="R450" s="387"/>
      <c r="S450" s="388"/>
      <c r="T450" s="382">
        <v>314.8</v>
      </c>
      <c r="U450" s="387"/>
      <c r="V450" s="388"/>
      <c r="W450" s="382">
        <v>3800.6699999999901</v>
      </c>
      <c r="X450" s="387"/>
      <c r="Y450" s="388"/>
      <c r="Z450" s="382">
        <v>5885.7999999999902</v>
      </c>
      <c r="AA450" s="387"/>
      <c r="AB450" s="388"/>
      <c r="AC450" s="382">
        <f>+[1]VOLKS!$AF$447</f>
        <v>2630.0299999999902</v>
      </c>
      <c r="AD450" s="387"/>
      <c r="AE450" s="388"/>
      <c r="AF450" s="382">
        <f t="shared" si="666"/>
        <v>5774.1370435507661</v>
      </c>
      <c r="AG450" s="387"/>
      <c r="AH450" s="388"/>
      <c r="AI450" s="382">
        <f t="shared" si="667"/>
        <v>5774.1370435507661</v>
      </c>
      <c r="AJ450" s="387"/>
      <c r="AK450" s="388"/>
      <c r="AL450" s="382">
        <f t="shared" si="668"/>
        <v>5774.1370435507661</v>
      </c>
      <c r="AM450" s="387"/>
      <c r="AN450" s="388"/>
      <c r="AO450" s="382">
        <f t="shared" si="669"/>
        <v>5774.1370435507661</v>
      </c>
      <c r="AQ450" s="389"/>
      <c r="AR450" s="390"/>
      <c r="AS450" s="385">
        <f t="shared" si="670"/>
        <v>30359.90999999996</v>
      </c>
      <c r="AU450" s="389"/>
      <c r="AV450" s="390"/>
      <c r="AW450" s="385">
        <f t="shared" si="671"/>
        <v>23096.548174203064</v>
      </c>
      <c r="AY450" s="389"/>
      <c r="AZ450" s="390"/>
      <c r="BA450" s="385">
        <f>+[2]VOLKS!$AF$447</f>
        <v>30359.91</v>
      </c>
      <c r="BC450" s="389"/>
      <c r="BD450" s="390"/>
      <c r="BE450" s="386">
        <f t="shared" si="672"/>
        <v>4.0017766878008842E-11</v>
      </c>
    </row>
    <row r="451" spans="1:57" ht="20.25">
      <c r="A451" s="15" t="s">
        <v>79</v>
      </c>
      <c r="B451" s="379" t="s">
        <v>90</v>
      </c>
      <c r="C451" s="387"/>
      <c r="D451" s="388"/>
      <c r="E451" s="382">
        <f t="shared" si="665"/>
        <v>99641.006654215904</v>
      </c>
      <c r="F451" s="387"/>
      <c r="G451" s="388"/>
      <c r="H451" s="382">
        <v>6237.92</v>
      </c>
      <c r="I451" s="387"/>
      <c r="J451" s="388"/>
      <c r="K451" s="382">
        <v>4811.93</v>
      </c>
      <c r="L451" s="387"/>
      <c r="M451" s="388"/>
      <c r="N451" s="382">
        <v>8311.6</v>
      </c>
      <c r="O451" s="387"/>
      <c r="P451" s="388"/>
      <c r="Q451" s="382">
        <v>10241.870000000001</v>
      </c>
      <c r="R451" s="387"/>
      <c r="S451" s="388"/>
      <c r="T451" s="382">
        <v>10132.540000000001</v>
      </c>
      <c r="U451" s="387"/>
      <c r="V451" s="388"/>
      <c r="W451" s="382">
        <v>7830.32</v>
      </c>
      <c r="X451" s="387"/>
      <c r="Y451" s="388"/>
      <c r="Z451" s="382">
        <v>8670.7099999999991</v>
      </c>
      <c r="AA451" s="387"/>
      <c r="AB451" s="388"/>
      <c r="AC451" s="382">
        <f>+[1]VOLKS!$AF$448</f>
        <v>8440.16</v>
      </c>
      <c r="AD451" s="387"/>
      <c r="AE451" s="388"/>
      <c r="AF451" s="382">
        <f t="shared" si="666"/>
        <v>7148.9466578781667</v>
      </c>
      <c r="AG451" s="387"/>
      <c r="AH451" s="388"/>
      <c r="AI451" s="382">
        <f t="shared" si="667"/>
        <v>9652.4094193720739</v>
      </c>
      <c r="AJ451" s="387"/>
      <c r="AK451" s="388"/>
      <c r="AL451" s="382">
        <f t="shared" si="668"/>
        <v>11347.597742175512</v>
      </c>
      <c r="AM451" s="387"/>
      <c r="AN451" s="388"/>
      <c r="AO451" s="382">
        <f t="shared" si="669"/>
        <v>6815.0028347901361</v>
      </c>
      <c r="AQ451" s="389"/>
      <c r="AR451" s="390"/>
      <c r="AS451" s="385">
        <f t="shared" si="670"/>
        <v>64677.05</v>
      </c>
      <c r="AU451" s="389"/>
      <c r="AV451" s="390"/>
      <c r="AW451" s="385">
        <f t="shared" si="671"/>
        <v>34963.956654215886</v>
      </c>
      <c r="AY451" s="389"/>
      <c r="AZ451" s="390"/>
      <c r="BA451" s="385">
        <f>+[2]VOLKS!$AF$448</f>
        <v>64677.05</v>
      </c>
      <c r="BC451" s="389"/>
      <c r="BD451" s="390"/>
      <c r="BE451" s="386">
        <f t="shared" si="672"/>
        <v>0</v>
      </c>
    </row>
    <row r="452" spans="1:57" ht="20.25" hidden="1" customHeight="1">
      <c r="A452" s="15" t="s">
        <v>27</v>
      </c>
      <c r="B452" s="387" t="s">
        <v>129</v>
      </c>
      <c r="C452" s="387"/>
      <c r="D452" s="388"/>
      <c r="E452" s="382">
        <f t="shared" si="665"/>
        <v>0</v>
      </c>
      <c r="F452" s="387"/>
      <c r="G452" s="388"/>
      <c r="H452" s="382"/>
      <c r="I452" s="387"/>
      <c r="J452" s="388"/>
      <c r="K452" s="382"/>
      <c r="L452" s="387"/>
      <c r="M452" s="388"/>
      <c r="N452" s="382"/>
      <c r="O452" s="387"/>
      <c r="P452" s="388"/>
      <c r="Q452" s="382"/>
      <c r="R452" s="387"/>
      <c r="S452" s="388"/>
      <c r="T452" s="382"/>
      <c r="U452" s="387"/>
      <c r="V452" s="388"/>
      <c r="W452" s="382"/>
      <c r="X452" s="387"/>
      <c r="Y452" s="388"/>
      <c r="Z452" s="382"/>
      <c r="AA452" s="387"/>
      <c r="AB452" s="388"/>
      <c r="AC452" s="382"/>
      <c r="AD452" s="387"/>
      <c r="AE452" s="388"/>
      <c r="AF452" s="382">
        <v>0</v>
      </c>
      <c r="AG452" s="387"/>
      <c r="AH452" s="388"/>
      <c r="AI452" s="382">
        <v>0</v>
      </c>
      <c r="AJ452" s="387"/>
      <c r="AK452" s="388"/>
      <c r="AL452" s="382">
        <v>0</v>
      </c>
      <c r="AM452" s="387"/>
      <c r="AN452" s="388"/>
      <c r="AO452" s="382">
        <v>0</v>
      </c>
      <c r="AQ452" s="389"/>
      <c r="AR452" s="390"/>
      <c r="AS452" s="385"/>
      <c r="AU452" s="389"/>
      <c r="AV452" s="390"/>
      <c r="AW452" s="385"/>
      <c r="AY452" s="389"/>
      <c r="AZ452" s="390"/>
      <c r="BA452" s="385"/>
      <c r="BC452" s="389"/>
      <c r="BD452" s="390"/>
      <c r="BE452" s="386">
        <f t="shared" si="672"/>
        <v>0</v>
      </c>
    </row>
    <row r="453" spans="1:57" ht="20.25" hidden="1" customHeight="1">
      <c r="A453" s="15" t="s">
        <v>27</v>
      </c>
      <c r="B453" s="387" t="s">
        <v>129</v>
      </c>
      <c r="C453" s="387"/>
      <c r="D453" s="388"/>
      <c r="E453" s="382">
        <f t="shared" si="665"/>
        <v>0</v>
      </c>
      <c r="F453" s="387"/>
      <c r="G453" s="388"/>
      <c r="H453" s="382"/>
      <c r="I453" s="387"/>
      <c r="J453" s="388"/>
      <c r="K453" s="382"/>
      <c r="L453" s="387"/>
      <c r="M453" s="388"/>
      <c r="N453" s="382"/>
      <c r="O453" s="387"/>
      <c r="P453" s="388"/>
      <c r="Q453" s="382"/>
      <c r="R453" s="387"/>
      <c r="S453" s="388"/>
      <c r="T453" s="382"/>
      <c r="U453" s="387"/>
      <c r="V453" s="388"/>
      <c r="W453" s="382"/>
      <c r="X453" s="387"/>
      <c r="Y453" s="388"/>
      <c r="Z453" s="382"/>
      <c r="AA453" s="387"/>
      <c r="AB453" s="388"/>
      <c r="AC453" s="382"/>
      <c r="AD453" s="387"/>
      <c r="AE453" s="388"/>
      <c r="AF453" s="382">
        <v>0</v>
      </c>
      <c r="AG453" s="387"/>
      <c r="AH453" s="388"/>
      <c r="AI453" s="382">
        <v>0</v>
      </c>
      <c r="AJ453" s="387"/>
      <c r="AK453" s="388"/>
      <c r="AL453" s="382">
        <v>0</v>
      </c>
      <c r="AM453" s="387"/>
      <c r="AN453" s="388"/>
      <c r="AO453" s="382">
        <v>0</v>
      </c>
      <c r="AQ453" s="389"/>
      <c r="AR453" s="390"/>
      <c r="AS453" s="385"/>
      <c r="AU453" s="389"/>
      <c r="AV453" s="390"/>
      <c r="AW453" s="385"/>
      <c r="AY453" s="389"/>
      <c r="AZ453" s="390"/>
      <c r="BA453" s="385"/>
      <c r="BC453" s="389"/>
      <c r="BD453" s="390"/>
      <c r="BE453" s="386">
        <f t="shared" si="672"/>
        <v>0</v>
      </c>
    </row>
    <row r="454" spans="1:57" ht="20.25" hidden="1" customHeight="1">
      <c r="A454" s="15"/>
      <c r="B454" s="387"/>
      <c r="C454" s="387"/>
      <c r="D454" s="388"/>
      <c r="E454" s="382"/>
      <c r="F454" s="387"/>
      <c r="G454" s="388"/>
      <c r="H454" s="382"/>
      <c r="I454" s="387"/>
      <c r="J454" s="388"/>
      <c r="K454" s="382"/>
      <c r="L454" s="387"/>
      <c r="M454" s="388"/>
      <c r="N454" s="382"/>
      <c r="O454" s="387"/>
      <c r="P454" s="388"/>
      <c r="Q454" s="382"/>
      <c r="R454" s="387"/>
      <c r="S454" s="388"/>
      <c r="T454" s="382"/>
      <c r="U454" s="387"/>
      <c r="V454" s="388"/>
      <c r="W454" s="382"/>
      <c r="X454" s="387"/>
      <c r="Y454" s="388"/>
      <c r="Z454" s="382"/>
      <c r="AA454" s="387"/>
      <c r="AB454" s="388"/>
      <c r="AC454" s="382"/>
      <c r="AD454" s="387"/>
      <c r="AE454" s="388"/>
      <c r="AF454" s="382"/>
      <c r="AG454" s="387"/>
      <c r="AH454" s="388"/>
      <c r="AI454" s="382"/>
      <c r="AJ454" s="387"/>
      <c r="AK454" s="388"/>
      <c r="AL454" s="382"/>
      <c r="AM454" s="387"/>
      <c r="AN454" s="388"/>
      <c r="AO454" s="382"/>
      <c r="AQ454" s="389"/>
      <c r="AR454" s="390"/>
      <c r="AS454" s="385"/>
      <c r="AU454" s="389"/>
      <c r="AV454" s="390"/>
      <c r="AW454" s="385"/>
      <c r="AY454" s="389">
        <f>IFERROR(BA454/BA409,0)</f>
        <v>8.6476222061665095E-2</v>
      </c>
      <c r="AZ454" s="390"/>
      <c r="BA454" s="385">
        <f>+SUM(BA436:BA453)</f>
        <v>3488278.8400000003</v>
      </c>
      <c r="BC454" s="389"/>
      <c r="BD454" s="390"/>
      <c r="BE454" s="386"/>
    </row>
    <row r="455" spans="1:57" ht="20.25">
      <c r="A455" s="15" t="s">
        <v>27</v>
      </c>
      <c r="B455" s="395" t="s">
        <v>91</v>
      </c>
      <c r="C455" s="396">
        <f>IFERROR(E455/E410,0)</f>
        <v>0.20353205998927196</v>
      </c>
      <c r="D455" s="397"/>
      <c r="E455" s="398">
        <f>+SUM(E437:E454)</f>
        <v>1716211.518149052</v>
      </c>
      <c r="F455" s="396"/>
      <c r="G455" s="397"/>
      <c r="H455" s="398">
        <v>138788.31</v>
      </c>
      <c r="I455" s="396"/>
      <c r="J455" s="397"/>
      <c r="K455" s="398">
        <v>135647.15</v>
      </c>
      <c r="L455" s="396"/>
      <c r="M455" s="397"/>
      <c r="N455" s="398">
        <v>147563.04999999999</v>
      </c>
      <c r="O455" s="396"/>
      <c r="P455" s="397"/>
      <c r="Q455" s="398">
        <v>158188.99</v>
      </c>
      <c r="R455" s="396"/>
      <c r="S455" s="397"/>
      <c r="T455" s="398">
        <v>156860.41</v>
      </c>
      <c r="U455" s="396"/>
      <c r="V455" s="397"/>
      <c r="W455" s="399">
        <v>122339.82</v>
      </c>
      <c r="X455" s="396"/>
      <c r="Y455" s="397"/>
      <c r="Z455" s="399">
        <v>134049.59</v>
      </c>
      <c r="AA455" s="396"/>
      <c r="AB455" s="397"/>
      <c r="AC455" s="399">
        <f>+[1]VOLKS!$AF$452</f>
        <v>130324.28</v>
      </c>
      <c r="AD455" s="396">
        <f>+AF455/AF$410</f>
        <v>0.21911207618858616</v>
      </c>
      <c r="AE455" s="397"/>
      <c r="AF455" s="398">
        <f>+SUM(AF437:AF451)</f>
        <v>138289.6232445869</v>
      </c>
      <c r="AG455" s="396">
        <f>+AI455/AI$410</f>
        <v>0.17311739825577332</v>
      </c>
      <c r="AH455" s="397"/>
      <c r="AI455" s="398">
        <f>+SUM(AI437:AI451)</f>
        <v>150905.6753566477</v>
      </c>
      <c r="AJ455" s="396">
        <f>+AL455/AL$410</f>
        <v>0.1652406446926844</v>
      </c>
      <c r="AK455" s="397"/>
      <c r="AL455" s="398">
        <f>+SUM(AL437:AL451)</f>
        <v>166104.77827752175</v>
      </c>
      <c r="AM455" s="396">
        <f>+AO455/AO$410</f>
        <v>0.22703704767554289</v>
      </c>
      <c r="AN455" s="397"/>
      <c r="AO455" s="398">
        <f>+SUM(AO437:AO451)</f>
        <v>137149.84127029596</v>
      </c>
      <c r="AQ455" s="400">
        <f>IFERROR(AS455/AS410,0)</f>
        <v>0.21123354029557981</v>
      </c>
      <c r="AR455" s="401"/>
      <c r="AS455" s="402">
        <f t="shared" ref="AS455" si="673">+SUM(AS437:AS454)</f>
        <v>1123761.5999999994</v>
      </c>
      <c r="AU455" s="400">
        <f t="shared" ref="AU455" si="674">IFERROR(AW455/AW410,0)</f>
        <v>0.19036692348284964</v>
      </c>
      <c r="AV455" s="401"/>
      <c r="AW455" s="402">
        <f t="shared" ref="AW455" si="675">+SUM(AW437:AW454)</f>
        <v>592449.9181490523</v>
      </c>
      <c r="AY455" s="400"/>
      <c r="AZ455" s="401"/>
      <c r="BA455" s="402">
        <f>+[2]VOLKS!$AF$452</f>
        <v>1123761.5999999901</v>
      </c>
      <c r="BC455" s="400"/>
      <c r="BD455" s="401"/>
      <c r="BE455" s="403">
        <f t="shared" ref="BE455" si="676">+SUM(BE437:BE454)</f>
        <v>-6.8212102632969618E-11</v>
      </c>
    </row>
    <row r="456" spans="1:57" ht="20.25">
      <c r="A456" s="15" t="s">
        <v>157</v>
      </c>
      <c r="B456" s="387" t="s">
        <v>158</v>
      </c>
      <c r="C456" s="387"/>
      <c r="D456" s="388"/>
      <c r="E456" s="404">
        <f t="shared" ref="E456:E465" si="677">+SUM(H456,K456,N456,Q456,T456,W456,Z456,AC456,AF456,AI456,AL456,AO456)</f>
        <v>432000</v>
      </c>
      <c r="F456" s="387"/>
      <c r="G456" s="388"/>
      <c r="H456" s="404">
        <v>36000</v>
      </c>
      <c r="I456" s="387"/>
      <c r="J456" s="388"/>
      <c r="K456" s="404">
        <v>36000</v>
      </c>
      <c r="L456" s="387"/>
      <c r="M456" s="388"/>
      <c r="N456" s="404">
        <v>36000</v>
      </c>
      <c r="O456" s="387"/>
      <c r="P456" s="388"/>
      <c r="Q456" s="404">
        <v>36000</v>
      </c>
      <c r="R456" s="387"/>
      <c r="S456" s="388"/>
      <c r="T456" s="404">
        <v>36000</v>
      </c>
      <c r="U456" s="387"/>
      <c r="V456" s="388"/>
      <c r="W456" s="404">
        <v>36000</v>
      </c>
      <c r="X456" s="387"/>
      <c r="Y456" s="388"/>
      <c r="Z456" s="404">
        <v>36000</v>
      </c>
      <c r="AA456" s="387"/>
      <c r="AB456" s="388"/>
      <c r="AC456" s="404">
        <f>+[1]VOLKS!$AF$453</f>
        <v>36000</v>
      </c>
      <c r="AD456" s="387"/>
      <c r="AE456" s="388"/>
      <c r="AF456" s="431">
        <v>36000</v>
      </c>
      <c r="AG456" s="387"/>
      <c r="AH456" s="388"/>
      <c r="AI456" s="431">
        <v>36000</v>
      </c>
      <c r="AJ456" s="387"/>
      <c r="AK456" s="388"/>
      <c r="AL456" s="431">
        <v>36000</v>
      </c>
      <c r="AM456" s="387"/>
      <c r="AN456" s="388"/>
      <c r="AO456" s="431">
        <v>36000</v>
      </c>
      <c r="AQ456" s="389"/>
      <c r="AR456" s="390"/>
      <c r="AS456" s="406">
        <f t="shared" ref="AS456:AS465" si="678">SUMIFS(F456:AO456,$F$7:$AO$7,"$PROFITS",$F$3:$AO$3,"RÉEL")</f>
        <v>288000</v>
      </c>
      <c r="AU456" s="389"/>
      <c r="AV456" s="390"/>
      <c r="AW456" s="406">
        <f t="shared" ref="AW456:AW465" si="679">SUMIFS(F456:AO456,$F$7:$AO$7,"$PROFITS",$F$3:$AO$3,"BUDGET")</f>
        <v>144000</v>
      </c>
      <c r="AY456" s="389"/>
      <c r="AZ456" s="390"/>
      <c r="BA456" s="406">
        <f>+[2]VOLKS!$AF$453</f>
        <v>288000</v>
      </c>
      <c r="BC456" s="389"/>
      <c r="BD456" s="390"/>
      <c r="BE456" s="407">
        <f t="shared" ref="BE456:BE465" si="680">+BA456-AS456</f>
        <v>0</v>
      </c>
    </row>
    <row r="457" spans="1:57" ht="20.25">
      <c r="A457" s="15" t="s">
        <v>159</v>
      </c>
      <c r="B457" s="387" t="s">
        <v>160</v>
      </c>
      <c r="C457" s="387"/>
      <c r="D457" s="388"/>
      <c r="E457" s="404">
        <f t="shared" si="677"/>
        <v>174766.39</v>
      </c>
      <c r="F457" s="387"/>
      <c r="G457" s="388"/>
      <c r="H457" s="404">
        <v>5423</v>
      </c>
      <c r="I457" s="387"/>
      <c r="J457" s="388"/>
      <c r="K457" s="404">
        <v>5423</v>
      </c>
      <c r="L457" s="387"/>
      <c r="M457" s="388"/>
      <c r="N457" s="404">
        <v>5423</v>
      </c>
      <c r="O457" s="387"/>
      <c r="P457" s="388"/>
      <c r="Q457" s="404">
        <v>5423</v>
      </c>
      <c r="R457" s="387"/>
      <c r="S457" s="388"/>
      <c r="T457" s="404">
        <v>5423</v>
      </c>
      <c r="U457" s="387"/>
      <c r="V457" s="388"/>
      <c r="W457" s="404">
        <v>5423</v>
      </c>
      <c r="X457" s="387"/>
      <c r="Y457" s="388"/>
      <c r="Z457" s="404">
        <v>5423</v>
      </c>
      <c r="AA457" s="387"/>
      <c r="AB457" s="388"/>
      <c r="AC457" s="404">
        <f>+[1]VOLKS!$AF$454</f>
        <v>115111.63</v>
      </c>
      <c r="AD457" s="387"/>
      <c r="AE457" s="388"/>
      <c r="AF457" s="431">
        <v>5423.4400000000005</v>
      </c>
      <c r="AG457" s="387"/>
      <c r="AH457" s="388"/>
      <c r="AI457" s="431">
        <v>5423.4400000000005</v>
      </c>
      <c r="AJ457" s="387"/>
      <c r="AK457" s="388"/>
      <c r="AL457" s="431">
        <v>5423.4400000000005</v>
      </c>
      <c r="AM457" s="387"/>
      <c r="AN457" s="388"/>
      <c r="AO457" s="431">
        <v>5423.4400000000005</v>
      </c>
      <c r="AQ457" s="389"/>
      <c r="AR457" s="390"/>
      <c r="AS457" s="406">
        <f t="shared" si="678"/>
        <v>153072.63</v>
      </c>
      <c r="AU457" s="389"/>
      <c r="AV457" s="390"/>
      <c r="AW457" s="406">
        <f t="shared" si="679"/>
        <v>21693.760000000002</v>
      </c>
      <c r="AY457" s="389"/>
      <c r="AZ457" s="390"/>
      <c r="BA457" s="406">
        <f>+[2]VOLKS!$AF$454</f>
        <v>153072.63</v>
      </c>
      <c r="BC457" s="389"/>
      <c r="BD457" s="390"/>
      <c r="BE457" s="407">
        <f t="shared" si="680"/>
        <v>0</v>
      </c>
    </row>
    <row r="458" spans="1:57" ht="20.25">
      <c r="A458" s="15" t="s">
        <v>159</v>
      </c>
      <c r="B458" s="362" t="s">
        <v>161</v>
      </c>
      <c r="C458" s="362"/>
      <c r="D458" s="391"/>
      <c r="E458" s="432">
        <f t="shared" si="677"/>
        <v>45907.51999999999</v>
      </c>
      <c r="F458" s="362"/>
      <c r="G458" s="391"/>
      <c r="H458" s="432">
        <v>3609</v>
      </c>
      <c r="I458" s="362"/>
      <c r="J458" s="391"/>
      <c r="K458" s="432">
        <v>4909</v>
      </c>
      <c r="L458" s="362"/>
      <c r="M458" s="391"/>
      <c r="N458" s="432">
        <v>4909</v>
      </c>
      <c r="O458" s="362"/>
      <c r="P458" s="391"/>
      <c r="Q458" s="432">
        <v>3609</v>
      </c>
      <c r="R458" s="362"/>
      <c r="S458" s="391"/>
      <c r="T458" s="432">
        <v>3609</v>
      </c>
      <c r="U458" s="362"/>
      <c r="V458" s="391"/>
      <c r="W458" s="432">
        <v>3609</v>
      </c>
      <c r="X458" s="362"/>
      <c r="Y458" s="391"/>
      <c r="Z458" s="432">
        <v>3609</v>
      </c>
      <c r="AA458" s="362"/>
      <c r="AB458" s="391"/>
      <c r="AC458" s="432">
        <f>+[1]VOLKS!$AF$455</f>
        <v>3609</v>
      </c>
      <c r="AD458" s="362"/>
      <c r="AE458" s="391"/>
      <c r="AF458" s="433">
        <v>3608.8800000000006</v>
      </c>
      <c r="AG458" s="362"/>
      <c r="AH458" s="391"/>
      <c r="AI458" s="433">
        <v>3608.8800000000006</v>
      </c>
      <c r="AJ458" s="362"/>
      <c r="AK458" s="391"/>
      <c r="AL458" s="433">
        <v>3608.8800000000006</v>
      </c>
      <c r="AM458" s="362"/>
      <c r="AN458" s="391"/>
      <c r="AO458" s="433">
        <v>3608.8800000000006</v>
      </c>
      <c r="AQ458" s="392"/>
      <c r="AR458" s="393"/>
      <c r="AS458" s="434">
        <f t="shared" si="678"/>
        <v>31472</v>
      </c>
      <c r="AU458" s="392"/>
      <c r="AV458" s="393"/>
      <c r="AW458" s="434">
        <f t="shared" si="679"/>
        <v>14435.520000000002</v>
      </c>
      <c r="AY458" s="392"/>
      <c r="AZ458" s="393"/>
      <c r="BA458" s="434">
        <f>+[2]VOLKS!$AF$455</f>
        <v>31472</v>
      </c>
      <c r="BC458" s="392"/>
      <c r="BD458" s="393"/>
      <c r="BE458" s="435">
        <f t="shared" si="680"/>
        <v>0</v>
      </c>
    </row>
    <row r="459" spans="1:57" ht="20.25">
      <c r="A459" s="15" t="s">
        <v>159</v>
      </c>
      <c r="B459" s="387" t="s">
        <v>162</v>
      </c>
      <c r="C459" s="387"/>
      <c r="D459" s="388"/>
      <c r="E459" s="404">
        <f t="shared" si="677"/>
        <v>0</v>
      </c>
      <c r="F459" s="387"/>
      <c r="G459" s="388"/>
      <c r="H459" s="404">
        <v>0</v>
      </c>
      <c r="I459" s="387"/>
      <c r="J459" s="388"/>
      <c r="K459" s="404">
        <v>0</v>
      </c>
      <c r="L459" s="387"/>
      <c r="M459" s="388"/>
      <c r="N459" s="404">
        <v>0</v>
      </c>
      <c r="O459" s="387"/>
      <c r="P459" s="388"/>
      <c r="Q459" s="404">
        <v>0</v>
      </c>
      <c r="R459" s="387"/>
      <c r="S459" s="388"/>
      <c r="T459" s="404">
        <v>0</v>
      </c>
      <c r="U459" s="387"/>
      <c r="V459" s="388"/>
      <c r="W459" s="404">
        <v>0</v>
      </c>
      <c r="X459" s="387"/>
      <c r="Y459" s="388"/>
      <c r="Z459" s="404">
        <v>0</v>
      </c>
      <c r="AA459" s="387"/>
      <c r="AB459" s="388"/>
      <c r="AC459" s="404">
        <f>+[1]VOLKS!$AF$456</f>
        <v>0</v>
      </c>
      <c r="AD459" s="387"/>
      <c r="AE459" s="388"/>
      <c r="AF459" s="431">
        <v>0</v>
      </c>
      <c r="AG459" s="387"/>
      <c r="AH459" s="388"/>
      <c r="AI459" s="431">
        <v>0</v>
      </c>
      <c r="AJ459" s="387"/>
      <c r="AK459" s="388"/>
      <c r="AL459" s="431">
        <v>0</v>
      </c>
      <c r="AM459" s="387"/>
      <c r="AN459" s="388"/>
      <c r="AO459" s="431">
        <v>0</v>
      </c>
      <c r="AQ459" s="389"/>
      <c r="AR459" s="390"/>
      <c r="AS459" s="406">
        <f t="shared" si="678"/>
        <v>0</v>
      </c>
      <c r="AU459" s="389"/>
      <c r="AV459" s="390"/>
      <c r="AW459" s="406">
        <f t="shared" si="679"/>
        <v>0</v>
      </c>
      <c r="AY459" s="389"/>
      <c r="AZ459" s="390"/>
      <c r="BA459" s="406">
        <f>+[2]VOLKS!$AF$456</f>
        <v>0</v>
      </c>
      <c r="BC459" s="389"/>
      <c r="BD459" s="390"/>
      <c r="BE459" s="407">
        <f t="shared" si="680"/>
        <v>0</v>
      </c>
    </row>
    <row r="460" spans="1:57" ht="20.25">
      <c r="A460" s="15" t="s">
        <v>159</v>
      </c>
      <c r="B460" s="362" t="s">
        <v>163</v>
      </c>
      <c r="C460" s="362"/>
      <c r="D460" s="391"/>
      <c r="E460" s="432">
        <f t="shared" si="677"/>
        <v>52131</v>
      </c>
      <c r="F460" s="362"/>
      <c r="G460" s="391"/>
      <c r="H460" s="432">
        <v>4344.25</v>
      </c>
      <c r="I460" s="362"/>
      <c r="J460" s="391"/>
      <c r="K460" s="432">
        <v>4344.25</v>
      </c>
      <c r="L460" s="362"/>
      <c r="M460" s="391"/>
      <c r="N460" s="432">
        <v>4344.25</v>
      </c>
      <c r="O460" s="362"/>
      <c r="P460" s="391"/>
      <c r="Q460" s="432">
        <v>4344.25</v>
      </c>
      <c r="R460" s="362"/>
      <c r="S460" s="391"/>
      <c r="T460" s="432">
        <v>4344.25</v>
      </c>
      <c r="U460" s="362"/>
      <c r="V460" s="391"/>
      <c r="W460" s="432">
        <v>4344.25</v>
      </c>
      <c r="X460" s="362"/>
      <c r="Y460" s="391"/>
      <c r="Z460" s="432">
        <v>4344.25</v>
      </c>
      <c r="AA460" s="362"/>
      <c r="AB460" s="391"/>
      <c r="AC460" s="432">
        <f>+[1]VOLKS!$AF$457</f>
        <v>4344.25</v>
      </c>
      <c r="AD460" s="362"/>
      <c r="AE460" s="391"/>
      <c r="AF460" s="433">
        <v>4344.25</v>
      </c>
      <c r="AG460" s="362"/>
      <c r="AH460" s="391"/>
      <c r="AI460" s="433">
        <v>4344.25</v>
      </c>
      <c r="AJ460" s="362"/>
      <c r="AK460" s="391"/>
      <c r="AL460" s="433">
        <v>4344.25</v>
      </c>
      <c r="AM460" s="362"/>
      <c r="AN460" s="391"/>
      <c r="AO460" s="433">
        <v>4344.25</v>
      </c>
      <c r="AQ460" s="392"/>
      <c r="AR460" s="393"/>
      <c r="AS460" s="434">
        <f t="shared" si="678"/>
        <v>34754</v>
      </c>
      <c r="AU460" s="392"/>
      <c r="AV460" s="393"/>
      <c r="AW460" s="434">
        <f t="shared" si="679"/>
        <v>17377</v>
      </c>
      <c r="AY460" s="392"/>
      <c r="AZ460" s="393"/>
      <c r="BA460" s="434">
        <f>+[2]VOLKS!$AF$457</f>
        <v>34754</v>
      </c>
      <c r="BC460" s="392"/>
      <c r="BD460" s="393"/>
      <c r="BE460" s="435">
        <f t="shared" si="680"/>
        <v>0</v>
      </c>
    </row>
    <row r="461" spans="1:57" ht="20.25">
      <c r="A461" s="15" t="s">
        <v>159</v>
      </c>
      <c r="B461" s="387" t="s">
        <v>164</v>
      </c>
      <c r="C461" s="387"/>
      <c r="D461" s="388"/>
      <c r="E461" s="404">
        <f t="shared" si="677"/>
        <v>76736.95</v>
      </c>
      <c r="F461" s="387"/>
      <c r="G461" s="388"/>
      <c r="H461" s="404">
        <v>10274.790000000001</v>
      </c>
      <c r="I461" s="387"/>
      <c r="J461" s="388"/>
      <c r="K461" s="404">
        <v>8639.25</v>
      </c>
      <c r="L461" s="387"/>
      <c r="M461" s="388"/>
      <c r="N461" s="404">
        <v>7750.01</v>
      </c>
      <c r="O461" s="387"/>
      <c r="P461" s="388"/>
      <c r="Q461" s="404">
        <v>5719.9699999999903</v>
      </c>
      <c r="R461" s="387"/>
      <c r="S461" s="388"/>
      <c r="T461" s="404">
        <v>5868.07</v>
      </c>
      <c r="U461" s="387"/>
      <c r="V461" s="388"/>
      <c r="W461" s="404">
        <v>4379.12</v>
      </c>
      <c r="X461" s="387"/>
      <c r="Y461" s="388"/>
      <c r="Z461" s="404">
        <v>4921.3999999999996</v>
      </c>
      <c r="AA461" s="387"/>
      <c r="AB461" s="388"/>
      <c r="AC461" s="404">
        <f>+[1]VOLKS!$AF$458</f>
        <v>4884.34</v>
      </c>
      <c r="AD461" s="387"/>
      <c r="AE461" s="388"/>
      <c r="AF461" s="431">
        <f>3700+1500</f>
        <v>5200</v>
      </c>
      <c r="AG461" s="387"/>
      <c r="AH461" s="388"/>
      <c r="AI461" s="431">
        <f>3700+4000</f>
        <v>7700</v>
      </c>
      <c r="AJ461" s="387"/>
      <c r="AK461" s="388"/>
      <c r="AL461" s="431">
        <f>3700+4000</f>
        <v>7700</v>
      </c>
      <c r="AM461" s="387"/>
      <c r="AN461" s="388"/>
      <c r="AO461" s="431">
        <v>3700</v>
      </c>
      <c r="AQ461" s="389"/>
      <c r="AR461" s="390"/>
      <c r="AS461" s="406">
        <f t="shared" si="678"/>
        <v>52436.95</v>
      </c>
      <c r="AU461" s="389"/>
      <c r="AV461" s="390"/>
      <c r="AW461" s="406">
        <f t="shared" si="679"/>
        <v>24300</v>
      </c>
      <c r="AY461" s="389"/>
      <c r="AZ461" s="390"/>
      <c r="BA461" s="406">
        <f>+[2]VOLKS!$AF$458</f>
        <v>52436.95</v>
      </c>
      <c r="BC461" s="389"/>
      <c r="BD461" s="390"/>
      <c r="BE461" s="407">
        <f t="shared" si="680"/>
        <v>0</v>
      </c>
    </row>
    <row r="462" spans="1:57" ht="20.25">
      <c r="A462" s="15" t="s">
        <v>81</v>
      </c>
      <c r="B462" s="387" t="s">
        <v>165</v>
      </c>
      <c r="C462" s="387"/>
      <c r="D462" s="388"/>
      <c r="E462" s="404">
        <f t="shared" si="677"/>
        <v>85947.869999999981</v>
      </c>
      <c r="F462" s="387"/>
      <c r="G462" s="388"/>
      <c r="H462" s="404">
        <v>7323.95</v>
      </c>
      <c r="I462" s="387"/>
      <c r="J462" s="388"/>
      <c r="K462" s="404">
        <v>6940.67</v>
      </c>
      <c r="L462" s="387"/>
      <c r="M462" s="388"/>
      <c r="N462" s="404">
        <v>6423.3299999999899</v>
      </c>
      <c r="O462" s="387"/>
      <c r="P462" s="388"/>
      <c r="Q462" s="404">
        <v>6423.3299999999899</v>
      </c>
      <c r="R462" s="387"/>
      <c r="S462" s="388"/>
      <c r="T462" s="404">
        <v>7014.57</v>
      </c>
      <c r="U462" s="387"/>
      <c r="V462" s="388"/>
      <c r="W462" s="404">
        <v>7310.21</v>
      </c>
      <c r="X462" s="387"/>
      <c r="Y462" s="388"/>
      <c r="Z462" s="404">
        <v>10733.28</v>
      </c>
      <c r="AA462" s="387"/>
      <c r="AB462" s="388"/>
      <c r="AC462" s="404">
        <f>+[1]VOLKS!$AF$459</f>
        <v>6642.33</v>
      </c>
      <c r="AD462" s="387"/>
      <c r="AE462" s="388"/>
      <c r="AF462" s="431">
        <v>6784.05</v>
      </c>
      <c r="AG462" s="387"/>
      <c r="AH462" s="388"/>
      <c r="AI462" s="431">
        <v>6784.05</v>
      </c>
      <c r="AJ462" s="387"/>
      <c r="AK462" s="388"/>
      <c r="AL462" s="431">
        <v>6784.05</v>
      </c>
      <c r="AM462" s="387"/>
      <c r="AN462" s="388"/>
      <c r="AO462" s="431">
        <v>6784.05</v>
      </c>
      <c r="AQ462" s="389"/>
      <c r="AR462" s="390"/>
      <c r="AS462" s="406">
        <f t="shared" si="678"/>
        <v>58811.669999999976</v>
      </c>
      <c r="AU462" s="389"/>
      <c r="AV462" s="390"/>
      <c r="AW462" s="406">
        <f t="shared" si="679"/>
        <v>27136.2</v>
      </c>
      <c r="AY462" s="389"/>
      <c r="AZ462" s="390"/>
      <c r="BA462" s="406">
        <f>+[2]VOLKS!$AF$459</f>
        <v>58811.67</v>
      </c>
      <c r="BC462" s="389"/>
      <c r="BD462" s="390"/>
      <c r="BE462" s="407">
        <f t="shared" si="680"/>
        <v>0</v>
      </c>
    </row>
    <row r="463" spans="1:57" ht="20.25">
      <c r="A463" s="15" t="s">
        <v>159</v>
      </c>
      <c r="B463" s="362" t="s">
        <v>166</v>
      </c>
      <c r="C463" s="362"/>
      <c r="D463" s="391"/>
      <c r="E463" s="432">
        <f t="shared" si="677"/>
        <v>11119.539363058146</v>
      </c>
      <c r="F463" s="362"/>
      <c r="G463" s="391"/>
      <c r="H463" s="432">
        <v>0</v>
      </c>
      <c r="I463" s="362"/>
      <c r="J463" s="391"/>
      <c r="K463" s="432">
        <v>486.24</v>
      </c>
      <c r="L463" s="362"/>
      <c r="M463" s="391"/>
      <c r="N463" s="432">
        <v>1668.09</v>
      </c>
      <c r="O463" s="362"/>
      <c r="P463" s="391"/>
      <c r="Q463" s="432">
        <v>74.7</v>
      </c>
      <c r="R463" s="362"/>
      <c r="S463" s="391"/>
      <c r="T463" s="432">
        <v>1660.02</v>
      </c>
      <c r="U463" s="362"/>
      <c r="V463" s="391"/>
      <c r="W463" s="432">
        <v>979.94</v>
      </c>
      <c r="X463" s="362"/>
      <c r="Y463" s="391"/>
      <c r="Z463" s="432">
        <v>764.9</v>
      </c>
      <c r="AA463" s="362"/>
      <c r="AB463" s="391"/>
      <c r="AC463" s="432">
        <f>+[1]VOLKS!$AF$460</f>
        <v>27.4</v>
      </c>
      <c r="AD463" s="362"/>
      <c r="AE463" s="391"/>
      <c r="AF463" s="433">
        <v>1364.5623407645369</v>
      </c>
      <c r="AG463" s="362"/>
      <c r="AH463" s="391"/>
      <c r="AI463" s="433">
        <v>1364.5623407645369</v>
      </c>
      <c r="AJ463" s="362"/>
      <c r="AK463" s="391"/>
      <c r="AL463" s="433">
        <v>1364.5623407645369</v>
      </c>
      <c r="AM463" s="362"/>
      <c r="AN463" s="391"/>
      <c r="AO463" s="433">
        <v>1364.5623407645369</v>
      </c>
      <c r="AQ463" s="392"/>
      <c r="AR463" s="393"/>
      <c r="AS463" s="434">
        <f t="shared" si="678"/>
        <v>5661.2899999999991</v>
      </c>
      <c r="AU463" s="392"/>
      <c r="AV463" s="393"/>
      <c r="AW463" s="434">
        <f t="shared" si="679"/>
        <v>5458.2493630581475</v>
      </c>
      <c r="AY463" s="392"/>
      <c r="AZ463" s="393"/>
      <c r="BA463" s="434">
        <f>+[2]VOLKS!$AF$460</f>
        <v>5661.29</v>
      </c>
      <c r="BC463" s="392"/>
      <c r="BD463" s="393"/>
      <c r="BE463" s="435">
        <f t="shared" si="680"/>
        <v>0</v>
      </c>
    </row>
    <row r="464" spans="1:57" ht="20.25">
      <c r="A464" s="15" t="s">
        <v>159</v>
      </c>
      <c r="B464" s="387" t="s">
        <v>167</v>
      </c>
      <c r="C464" s="387"/>
      <c r="D464" s="388"/>
      <c r="E464" s="404">
        <f t="shared" si="677"/>
        <v>12861.130000000001</v>
      </c>
      <c r="F464" s="387"/>
      <c r="G464" s="388"/>
      <c r="H464" s="404">
        <v>1566.26</v>
      </c>
      <c r="I464" s="387"/>
      <c r="J464" s="388"/>
      <c r="K464" s="404">
        <v>805.57</v>
      </c>
      <c r="L464" s="387"/>
      <c r="M464" s="388"/>
      <c r="N464" s="404">
        <v>868.6</v>
      </c>
      <c r="O464" s="387"/>
      <c r="P464" s="388"/>
      <c r="Q464" s="404">
        <v>862.14</v>
      </c>
      <c r="R464" s="387"/>
      <c r="S464" s="388"/>
      <c r="T464" s="404">
        <v>843.96</v>
      </c>
      <c r="U464" s="387"/>
      <c r="V464" s="388"/>
      <c r="W464" s="404">
        <v>843.96</v>
      </c>
      <c r="X464" s="387"/>
      <c r="Y464" s="388"/>
      <c r="Z464" s="404">
        <v>1794.64</v>
      </c>
      <c r="AA464" s="387"/>
      <c r="AB464" s="388"/>
      <c r="AC464" s="404">
        <f>+[1]VOLKS!$AF$461</f>
        <v>1276</v>
      </c>
      <c r="AD464" s="387"/>
      <c r="AE464" s="388"/>
      <c r="AF464" s="431">
        <v>1000</v>
      </c>
      <c r="AG464" s="387"/>
      <c r="AH464" s="388"/>
      <c r="AI464" s="431">
        <v>1000</v>
      </c>
      <c r="AJ464" s="387"/>
      <c r="AK464" s="388"/>
      <c r="AL464" s="431">
        <v>1000</v>
      </c>
      <c r="AM464" s="387"/>
      <c r="AN464" s="388"/>
      <c r="AO464" s="431">
        <v>1000</v>
      </c>
      <c r="AQ464" s="389"/>
      <c r="AR464" s="390"/>
      <c r="AS464" s="406">
        <f t="shared" si="678"/>
        <v>8861.130000000001</v>
      </c>
      <c r="AU464" s="389"/>
      <c r="AV464" s="390"/>
      <c r="AW464" s="406">
        <f t="shared" si="679"/>
        <v>4000</v>
      </c>
      <c r="AY464" s="389"/>
      <c r="AZ464" s="390"/>
      <c r="BA464" s="406">
        <f>+[2]VOLKS!$AF$461</f>
        <v>8861.1299999999992</v>
      </c>
      <c r="BC464" s="389"/>
      <c r="BD464" s="390"/>
      <c r="BE464" s="407">
        <f t="shared" si="680"/>
        <v>0</v>
      </c>
    </row>
    <row r="465" spans="1:57" ht="20.25">
      <c r="A465" s="15" t="s">
        <v>79</v>
      </c>
      <c r="B465" s="387" t="s">
        <v>168</v>
      </c>
      <c r="C465" s="387"/>
      <c r="D465" s="388"/>
      <c r="E465" s="404">
        <f t="shared" si="677"/>
        <v>0</v>
      </c>
      <c r="F465" s="387"/>
      <c r="G465" s="388"/>
      <c r="H465" s="404">
        <v>0</v>
      </c>
      <c r="I465" s="387"/>
      <c r="J465" s="388"/>
      <c r="K465" s="404">
        <v>0</v>
      </c>
      <c r="L465" s="387"/>
      <c r="M465" s="388"/>
      <c r="N465" s="404">
        <v>0</v>
      </c>
      <c r="O465" s="387"/>
      <c r="P465" s="388"/>
      <c r="Q465" s="404">
        <v>0</v>
      </c>
      <c r="R465" s="387"/>
      <c r="S465" s="388"/>
      <c r="T465" s="404">
        <v>0</v>
      </c>
      <c r="U465" s="387"/>
      <c r="V465" s="388"/>
      <c r="W465" s="404">
        <v>0</v>
      </c>
      <c r="X465" s="387"/>
      <c r="Y465" s="388"/>
      <c r="Z465" s="404">
        <v>0</v>
      </c>
      <c r="AA465" s="387"/>
      <c r="AB465" s="388"/>
      <c r="AC465" s="404">
        <f>+[1]VOLKS!$AF$462</f>
        <v>0</v>
      </c>
      <c r="AD465" s="387"/>
      <c r="AE465" s="388"/>
      <c r="AF465" s="431">
        <v>0</v>
      </c>
      <c r="AG465" s="387"/>
      <c r="AH465" s="388"/>
      <c r="AI465" s="431">
        <v>0</v>
      </c>
      <c r="AJ465" s="387"/>
      <c r="AK465" s="388"/>
      <c r="AL465" s="431">
        <v>0</v>
      </c>
      <c r="AM465" s="387"/>
      <c r="AN465" s="388"/>
      <c r="AO465" s="431">
        <v>0</v>
      </c>
      <c r="AQ465" s="389"/>
      <c r="AR465" s="390"/>
      <c r="AS465" s="406">
        <f t="shared" si="678"/>
        <v>0</v>
      </c>
      <c r="AU465" s="389"/>
      <c r="AV465" s="390"/>
      <c r="AW465" s="406">
        <f t="shared" si="679"/>
        <v>0</v>
      </c>
      <c r="AY465" s="389"/>
      <c r="AZ465" s="390"/>
      <c r="BA465" s="406"/>
      <c r="BC465" s="389"/>
      <c r="BD465" s="390"/>
      <c r="BE465" s="407">
        <f t="shared" si="680"/>
        <v>0</v>
      </c>
    </row>
    <row r="466" spans="1:57" ht="20.25" hidden="1" customHeight="1">
      <c r="A466" s="15"/>
      <c r="B466" s="387"/>
      <c r="C466" s="387"/>
      <c r="D466" s="388"/>
      <c r="E466" s="382"/>
      <c r="F466" s="387"/>
      <c r="G466" s="388"/>
      <c r="H466" s="382"/>
      <c r="I466" s="387"/>
      <c r="J466" s="388"/>
      <c r="K466" s="382"/>
      <c r="L466" s="387"/>
      <c r="M466" s="388"/>
      <c r="N466" s="382"/>
      <c r="O466" s="387"/>
      <c r="P466" s="388"/>
      <c r="Q466" s="382"/>
      <c r="R466" s="387"/>
      <c r="S466" s="388"/>
      <c r="T466" s="382"/>
      <c r="U466" s="387"/>
      <c r="V466" s="388"/>
      <c r="W466" s="382"/>
      <c r="X466" s="387"/>
      <c r="Y466" s="388"/>
      <c r="Z466" s="382"/>
      <c r="AA466" s="387"/>
      <c r="AB466" s="388"/>
      <c r="AC466" s="382"/>
      <c r="AD466" s="387"/>
      <c r="AE466" s="388"/>
      <c r="AF466" s="382"/>
      <c r="AG466" s="387"/>
      <c r="AH466" s="388"/>
      <c r="AI466" s="382"/>
      <c r="AJ466" s="387"/>
      <c r="AK466" s="388"/>
      <c r="AL466" s="382"/>
      <c r="AM466" s="387"/>
      <c r="AN466" s="388"/>
      <c r="AO466" s="382"/>
      <c r="AQ466" s="389"/>
      <c r="AR466" s="390"/>
      <c r="AS466" s="385"/>
      <c r="AU466" s="389"/>
      <c r="AV466" s="390"/>
      <c r="AW466" s="385"/>
      <c r="AY466" s="389"/>
      <c r="AZ466" s="390"/>
      <c r="BA466" s="385"/>
      <c r="BC466" s="389"/>
      <c r="BD466" s="390"/>
      <c r="BE466" s="386"/>
    </row>
    <row r="467" spans="1:57" ht="20.25" hidden="1" customHeight="1">
      <c r="A467" s="15"/>
      <c r="B467" s="387"/>
      <c r="C467" s="387"/>
      <c r="D467" s="388"/>
      <c r="E467" s="382"/>
      <c r="F467" s="387"/>
      <c r="G467" s="388"/>
      <c r="H467" s="382"/>
      <c r="I467" s="387"/>
      <c r="J467" s="388"/>
      <c r="K467" s="382"/>
      <c r="L467" s="387"/>
      <c r="M467" s="388"/>
      <c r="N467" s="382"/>
      <c r="O467" s="387"/>
      <c r="P467" s="388"/>
      <c r="Q467" s="382"/>
      <c r="R467" s="387"/>
      <c r="S467" s="388"/>
      <c r="T467" s="382"/>
      <c r="U467" s="387"/>
      <c r="V467" s="388"/>
      <c r="W467" s="382"/>
      <c r="X467" s="387"/>
      <c r="Y467" s="388"/>
      <c r="Z467" s="382"/>
      <c r="AA467" s="387"/>
      <c r="AB467" s="388"/>
      <c r="AC467" s="382"/>
      <c r="AD467" s="387"/>
      <c r="AE467" s="388"/>
      <c r="AF467" s="382"/>
      <c r="AG467" s="387"/>
      <c r="AH467" s="388"/>
      <c r="AI467" s="382"/>
      <c r="AJ467" s="387"/>
      <c r="AK467" s="388"/>
      <c r="AL467" s="382"/>
      <c r="AM467" s="387"/>
      <c r="AN467" s="388"/>
      <c r="AO467" s="382"/>
      <c r="AQ467" s="389"/>
      <c r="AR467" s="390"/>
      <c r="AS467" s="385"/>
      <c r="AU467" s="389"/>
      <c r="AV467" s="390"/>
      <c r="AW467" s="385"/>
      <c r="AY467" s="389"/>
      <c r="AZ467" s="390"/>
      <c r="BA467" s="385"/>
      <c r="BC467" s="389"/>
      <c r="BD467" s="390"/>
      <c r="BE467" s="386"/>
    </row>
    <row r="468" spans="1:57" ht="20.25" hidden="1" customHeight="1">
      <c r="A468" s="15"/>
      <c r="B468" s="387"/>
      <c r="C468" s="387"/>
      <c r="D468" s="388"/>
      <c r="E468" s="382"/>
      <c r="F468" s="387"/>
      <c r="G468" s="388"/>
      <c r="H468" s="382"/>
      <c r="I468" s="387"/>
      <c r="J468" s="388"/>
      <c r="K468" s="382"/>
      <c r="L468" s="387"/>
      <c r="M468" s="388"/>
      <c r="N468" s="382"/>
      <c r="O468" s="387"/>
      <c r="P468" s="388"/>
      <c r="Q468" s="382"/>
      <c r="R468" s="387"/>
      <c r="S468" s="388"/>
      <c r="T468" s="382"/>
      <c r="U468" s="387"/>
      <c r="V468" s="388"/>
      <c r="W468" s="382"/>
      <c r="X468" s="387"/>
      <c r="Y468" s="388"/>
      <c r="Z468" s="382"/>
      <c r="AA468" s="387"/>
      <c r="AB468" s="388"/>
      <c r="AC468" s="382"/>
      <c r="AD468" s="387"/>
      <c r="AE468" s="388"/>
      <c r="AF468" s="382"/>
      <c r="AG468" s="387"/>
      <c r="AH468" s="388"/>
      <c r="AI468" s="382"/>
      <c r="AJ468" s="387"/>
      <c r="AK468" s="388"/>
      <c r="AL468" s="382"/>
      <c r="AM468" s="387"/>
      <c r="AN468" s="388"/>
      <c r="AO468" s="382"/>
      <c r="AQ468" s="389"/>
      <c r="AR468" s="390"/>
      <c r="AS468" s="385"/>
      <c r="AU468" s="389"/>
      <c r="AV468" s="390"/>
      <c r="AW468" s="385"/>
      <c r="AY468" s="389"/>
      <c r="AZ468" s="390"/>
      <c r="BA468" s="385"/>
      <c r="BC468" s="389"/>
      <c r="BD468" s="390"/>
      <c r="BE468" s="386"/>
    </row>
    <row r="469" spans="1:57" ht="20.25">
      <c r="A469" s="15" t="s">
        <v>27</v>
      </c>
      <c r="B469" s="395" t="s">
        <v>169</v>
      </c>
      <c r="C469" s="396">
        <f>IFERROR(E469/E410,0)</f>
        <v>0.10572286975297178</v>
      </c>
      <c r="D469" s="397"/>
      <c r="E469" s="398">
        <f>SUM(E456:E468)</f>
        <v>891470.39936305815</v>
      </c>
      <c r="F469" s="396"/>
      <c r="G469" s="397"/>
      <c r="H469" s="398">
        <f>SUM(H456:H468)</f>
        <v>68541.25</v>
      </c>
      <c r="I469" s="396"/>
      <c r="J469" s="397"/>
      <c r="K469" s="398">
        <f>SUM(K456:K468)</f>
        <v>67547.98000000001</v>
      </c>
      <c r="L469" s="396"/>
      <c r="M469" s="397"/>
      <c r="N469" s="398">
        <f>SUM(N456:N468)</f>
        <v>67386.28</v>
      </c>
      <c r="O469" s="396"/>
      <c r="P469" s="397"/>
      <c r="Q469" s="398">
        <f>SUM(Q456:Q468)</f>
        <v>62456.38999999997</v>
      </c>
      <c r="R469" s="396"/>
      <c r="S469" s="397"/>
      <c r="T469" s="398">
        <f>SUM(T456:T468)</f>
        <v>64762.869999999995</v>
      </c>
      <c r="U469" s="396"/>
      <c r="V469" s="397"/>
      <c r="W469" s="399">
        <f>SUM(W456:W468)</f>
        <v>62889.48</v>
      </c>
      <c r="X469" s="396"/>
      <c r="Y469" s="397"/>
      <c r="Z469" s="399">
        <f>SUM(Z456:Z468)</f>
        <v>67590.47</v>
      </c>
      <c r="AA469" s="396"/>
      <c r="AB469" s="397"/>
      <c r="AC469" s="399">
        <f>SUM(AC456:AC468)</f>
        <v>171894.94999999998</v>
      </c>
      <c r="AD469" s="396">
        <f>+AF469/AF$410</f>
        <v>0.10096894243095497</v>
      </c>
      <c r="AE469" s="397"/>
      <c r="AF469" s="399">
        <f>SUM(AF456:AF468)</f>
        <v>63725.182340764542</v>
      </c>
      <c r="AG469" s="396">
        <f>+AI469/AI$410</f>
        <v>7.5972830304438896E-2</v>
      </c>
      <c r="AH469" s="397"/>
      <c r="AI469" s="399">
        <f>SUM(AI456:AI468)</f>
        <v>66225.182340764542</v>
      </c>
      <c r="AJ469" s="396">
        <f>+AL469/AL$410</f>
        <v>6.5880656404689306E-2</v>
      </c>
      <c r="AK469" s="397"/>
      <c r="AL469" s="399">
        <f>SUM(AL456:AL468)</f>
        <v>66225.182340764542</v>
      </c>
      <c r="AM469" s="396">
        <f>+AO469/AO$410</f>
        <v>0.10300720408328493</v>
      </c>
      <c r="AN469" s="397"/>
      <c r="AO469" s="399">
        <f>SUM(AO456:AO468)</f>
        <v>62225.182340764542</v>
      </c>
      <c r="AQ469" s="400">
        <f t="shared" ref="AQ469" si="681">IFERROR(AS469/AS410,0)</f>
        <v>0.11899814662456384</v>
      </c>
      <c r="AR469" s="401"/>
      <c r="AS469" s="402">
        <f t="shared" ref="AS469" si="682">SUM(AS456:AS468)</f>
        <v>633069.66999999993</v>
      </c>
      <c r="AU469" s="400">
        <f t="shared" ref="AU469" si="683">IFERROR(AW469/AW410,0)</f>
        <v>8.3029721783494381E-2</v>
      </c>
      <c r="AV469" s="401"/>
      <c r="AW469" s="402">
        <f t="shared" ref="AW469" si="684">SUM(AW456:AW468)</f>
        <v>258400.72936305817</v>
      </c>
      <c r="AY469" s="400"/>
      <c r="AZ469" s="401"/>
      <c r="BA469" s="402">
        <f>SUM(BA456:BA468)</f>
        <v>633069.67000000004</v>
      </c>
      <c r="BC469" s="400"/>
      <c r="BD469" s="401"/>
      <c r="BE469" s="403">
        <f t="shared" ref="BE469" si="685">SUM(BE456:BE468)</f>
        <v>0</v>
      </c>
    </row>
    <row r="470" spans="1:57" s="440" customFormat="1" ht="20.25">
      <c r="A470" s="436" t="s">
        <v>27</v>
      </c>
      <c r="B470" s="437"/>
      <c r="C470" s="437"/>
      <c r="D470" s="438"/>
      <c r="E470" s="439">
        <f>+E465+SUM(E443:E451,E441)</f>
        <v>327730.26856760785</v>
      </c>
      <c r="F470" s="437"/>
      <c r="G470" s="438"/>
      <c r="H470" s="439"/>
      <c r="I470" s="437"/>
      <c r="J470" s="438"/>
      <c r="K470" s="439"/>
      <c r="L470" s="437"/>
      <c r="M470" s="438"/>
      <c r="N470" s="439"/>
      <c r="O470" s="437"/>
      <c r="P470" s="438"/>
      <c r="Q470" s="439"/>
      <c r="R470" s="437"/>
      <c r="S470" s="438"/>
      <c r="T470" s="439"/>
      <c r="U470" s="437"/>
      <c r="V470" s="438"/>
      <c r="W470" s="439"/>
      <c r="X470" s="437"/>
      <c r="Y470" s="438"/>
      <c r="Z470" s="439"/>
      <c r="AA470" s="437"/>
      <c r="AB470" s="438"/>
      <c r="AC470" s="439"/>
      <c r="AD470" s="437"/>
      <c r="AE470" s="438"/>
      <c r="AF470" s="439">
        <v>63520.800020151568</v>
      </c>
      <c r="AG470" s="437"/>
      <c r="AH470" s="438"/>
      <c r="AI470" s="439">
        <v>58520.800020151582</v>
      </c>
      <c r="AJ470" s="437"/>
      <c r="AK470" s="438"/>
      <c r="AL470" s="439">
        <v>58520.800020151582</v>
      </c>
      <c r="AM470" s="437"/>
      <c r="AN470" s="438"/>
      <c r="AO470" s="439">
        <v>58520.800020151582</v>
      </c>
      <c r="AQ470" s="441"/>
      <c r="AR470" s="442"/>
      <c r="AS470" s="443">
        <f>+AS465+SUM(AS443:AS451,AS441)</f>
        <v>209897.44999999995</v>
      </c>
      <c r="AU470" s="441"/>
      <c r="AV470" s="442"/>
      <c r="AW470" s="443">
        <f>+AW465+SUM(AW443:AW451,AW441)</f>
        <v>117832.81856760784</v>
      </c>
      <c r="AY470" s="441"/>
      <c r="AZ470" s="442"/>
      <c r="BA470" s="443"/>
      <c r="BC470" s="441"/>
      <c r="BD470" s="442"/>
      <c r="BE470" s="444">
        <f t="shared" ref="BE470" si="686">+BA470-AS470</f>
        <v>-209897.44999999995</v>
      </c>
    </row>
    <row r="471" spans="1:57" ht="20.25">
      <c r="A471" s="15" t="s">
        <v>27</v>
      </c>
      <c r="B471" s="395" t="s">
        <v>92</v>
      </c>
      <c r="C471" s="396">
        <f>IFERROR(E471/E410,0)</f>
        <v>0.96502465826427475</v>
      </c>
      <c r="D471" s="397"/>
      <c r="E471" s="398">
        <f>E422+E436+E455+E469</f>
        <v>8137226.3116596844</v>
      </c>
      <c r="F471" s="396"/>
      <c r="G471" s="397"/>
      <c r="H471" s="398">
        <v>659442.25</v>
      </c>
      <c r="I471" s="396"/>
      <c r="J471" s="397"/>
      <c r="K471" s="398">
        <v>538425.66</v>
      </c>
      <c r="L471" s="396"/>
      <c r="M471" s="397"/>
      <c r="N471" s="398">
        <v>636037.81000000006</v>
      </c>
      <c r="O471" s="396"/>
      <c r="P471" s="397"/>
      <c r="Q471" s="398">
        <v>657631.79</v>
      </c>
      <c r="R471" s="396"/>
      <c r="S471" s="397"/>
      <c r="T471" s="398">
        <v>723776.25</v>
      </c>
      <c r="U471" s="396"/>
      <c r="V471" s="397"/>
      <c r="W471" s="399">
        <v>600757.31000000006</v>
      </c>
      <c r="X471" s="396"/>
      <c r="Y471" s="397"/>
      <c r="Z471" s="399">
        <v>645371.01999999897</v>
      </c>
      <c r="AA471" s="396"/>
      <c r="AB471" s="397"/>
      <c r="AC471" s="399">
        <f>+[1]VOLKS!$AF$468</f>
        <v>728073.34</v>
      </c>
      <c r="AD471" s="396">
        <f>+AF471/AF$410</f>
        <v>1.0810946309827123</v>
      </c>
      <c r="AE471" s="397"/>
      <c r="AF471" s="399">
        <f>+AF469+AF455+AF436+AF422</f>
        <v>682318.25379478035</v>
      </c>
      <c r="AG471" s="396">
        <f>+AI471/AI$410</f>
        <v>0.93484675545530183</v>
      </c>
      <c r="AH471" s="397"/>
      <c r="AI471" s="399">
        <f>+AI469+AI455+AI436+AI422</f>
        <v>814901.80887840653</v>
      </c>
      <c r="AJ471" s="396">
        <f>+AL471/AL$410</f>
        <v>0.78920832020624276</v>
      </c>
      <c r="AK471" s="397"/>
      <c r="AL471" s="399">
        <f>+AL469+AL455+AL436+AL422</f>
        <v>793335.52157483844</v>
      </c>
      <c r="AM471" s="396">
        <f>+AO471/AO$410</f>
        <v>1.0878510482170007</v>
      </c>
      <c r="AN471" s="397"/>
      <c r="AO471" s="399">
        <f>+AO469+AO455+AO436+AO422</f>
        <v>657155.29741166043</v>
      </c>
      <c r="AQ471" s="400">
        <f t="shared" ref="AQ471" si="687">IFERROR(AS471/AS410,0)</f>
        <v>0.97547354945874487</v>
      </c>
      <c r="AR471" s="401"/>
      <c r="AS471" s="402">
        <f t="shared" ref="AS471" si="688">AS422+AS436+AS455+AS469</f>
        <v>5189515.4299999978</v>
      </c>
      <c r="AU471" s="400">
        <f t="shared" ref="AU471" si="689">IFERROR(AW471/AW410,0)</f>
        <v>0.94716301693756966</v>
      </c>
      <c r="AV471" s="401"/>
      <c r="AW471" s="402">
        <f>AW422+AW436+AW455+AW469</f>
        <v>2947710.8816596856</v>
      </c>
      <c r="AY471" s="400"/>
      <c r="AZ471" s="401"/>
      <c r="BA471" s="402">
        <f>+[2]VOLKS!$AF$468</f>
        <v>5189515.43</v>
      </c>
      <c r="BC471" s="400"/>
      <c r="BD471" s="401"/>
      <c r="BE471" s="403">
        <f t="shared" ref="BE471" si="690">BE422+BE436+BE455+BE469</f>
        <v>-7.9580786405131221E-10</v>
      </c>
    </row>
    <row r="472" spans="1:57" ht="20.25" customHeight="1" outlineLevel="1">
      <c r="A472" s="15" t="s">
        <v>27</v>
      </c>
      <c r="B472" s="387" t="s">
        <v>170</v>
      </c>
      <c r="C472" s="445"/>
      <c r="D472" s="446"/>
      <c r="E472" s="447">
        <f t="shared" ref="E472:E483" si="691">+SUM(H472,K472,N472,Q472,T472,W472,Z472,AC472,AF472,AI472,AL472,AO472)</f>
        <v>179409.18</v>
      </c>
      <c r="F472" s="445"/>
      <c r="G472" s="446"/>
      <c r="H472" s="447">
        <v>1410.6</v>
      </c>
      <c r="I472" s="445"/>
      <c r="J472" s="446"/>
      <c r="K472" s="447">
        <v>26653.53</v>
      </c>
      <c r="L472" s="445"/>
      <c r="M472" s="446"/>
      <c r="N472" s="447">
        <v>42727.95</v>
      </c>
      <c r="O472" s="445"/>
      <c r="P472" s="446"/>
      <c r="Q472" s="447">
        <v>1302.69</v>
      </c>
      <c r="R472" s="445"/>
      <c r="S472" s="446"/>
      <c r="T472" s="447">
        <v>7299.74</v>
      </c>
      <c r="U472" s="445"/>
      <c r="V472" s="446"/>
      <c r="W472" s="418">
        <v>22949.040000000001</v>
      </c>
      <c r="X472" s="445"/>
      <c r="Y472" s="446"/>
      <c r="Z472" s="418">
        <v>67.010000000000005</v>
      </c>
      <c r="AA472" s="445"/>
      <c r="AB472" s="446"/>
      <c r="AC472" s="418">
        <f>+[1]VOLKS!$AF$469</f>
        <v>16998.62</v>
      </c>
      <c r="AD472" s="445"/>
      <c r="AE472" s="446"/>
      <c r="AF472" s="448">
        <v>30000</v>
      </c>
      <c r="AG472" s="445"/>
      <c r="AH472" s="446"/>
      <c r="AI472" s="448">
        <v>0</v>
      </c>
      <c r="AJ472" s="445"/>
      <c r="AK472" s="446"/>
      <c r="AL472" s="448">
        <v>0</v>
      </c>
      <c r="AM472" s="445"/>
      <c r="AN472" s="446"/>
      <c r="AO472" s="448">
        <v>30000</v>
      </c>
      <c r="AQ472" s="449"/>
      <c r="AR472" s="450"/>
      <c r="AS472" s="451">
        <f t="shared" ref="AS472:AS483" si="692">SUMIFS(F472:AO472,$F$7:$AO$7,"$PROFITS",$F$3:$AO$3,"RÉEL")</f>
        <v>119409.17999999998</v>
      </c>
      <c r="AU472" s="449"/>
      <c r="AV472" s="450"/>
      <c r="AW472" s="451">
        <f t="shared" ref="AW472:AW483" si="693">SUMIFS(F472:AO472,$F$7:$AO$7,"$PROFITS",$F$3:$AO$3,"BUDGET")</f>
        <v>60000</v>
      </c>
      <c r="AY472" s="449"/>
      <c r="AZ472" s="450"/>
      <c r="BA472" s="451">
        <f>+[2]VOLKS!$AF$469</f>
        <v>119409.18</v>
      </c>
      <c r="BC472" s="449"/>
      <c r="BD472" s="450"/>
      <c r="BE472" s="452">
        <f t="shared" ref="BE472:BE483" si="694">+BA472-AS472</f>
        <v>0</v>
      </c>
    </row>
    <row r="473" spans="1:57" ht="20.25" customHeight="1" outlineLevel="1">
      <c r="A473" s="15" t="s">
        <v>27</v>
      </c>
      <c r="B473" s="387" t="s">
        <v>96</v>
      </c>
      <c r="C473" s="453"/>
      <c r="D473" s="454"/>
      <c r="E473" s="382">
        <f t="shared" si="691"/>
        <v>983236.72234541096</v>
      </c>
      <c r="F473" s="453"/>
      <c r="G473" s="454"/>
      <c r="H473" s="382">
        <v>82565</v>
      </c>
      <c r="I473" s="453"/>
      <c r="J473" s="454"/>
      <c r="K473" s="382">
        <v>47635</v>
      </c>
      <c r="L473" s="453"/>
      <c r="M473" s="454"/>
      <c r="N473" s="382">
        <v>69794</v>
      </c>
      <c r="O473" s="453"/>
      <c r="P473" s="454"/>
      <c r="Q473" s="382">
        <v>77555</v>
      </c>
      <c r="R473" s="453"/>
      <c r="S473" s="454"/>
      <c r="T473" s="382">
        <v>69529</v>
      </c>
      <c r="U473" s="453"/>
      <c r="V473" s="454"/>
      <c r="W473" s="382">
        <v>61215.55</v>
      </c>
      <c r="X473" s="453"/>
      <c r="Y473" s="454"/>
      <c r="Z473" s="382">
        <v>94826.85</v>
      </c>
      <c r="AA473" s="453"/>
      <c r="AB473" s="454"/>
      <c r="AC473" s="382">
        <f>+[1]VOLKS!$AF$470</f>
        <v>80559</v>
      </c>
      <c r="AD473" s="453"/>
      <c r="AE473" s="454"/>
      <c r="AF473" s="411">
        <v>90465.808832923241</v>
      </c>
      <c r="AG473" s="453"/>
      <c r="AH473" s="454"/>
      <c r="AI473" s="411">
        <v>104035.68015786173</v>
      </c>
      <c r="AJ473" s="453"/>
      <c r="AK473" s="454"/>
      <c r="AL473" s="411">
        <v>126652.13236609256</v>
      </c>
      <c r="AM473" s="453"/>
      <c r="AN473" s="454"/>
      <c r="AO473" s="411">
        <v>78403.70098853347</v>
      </c>
      <c r="AQ473" s="455"/>
      <c r="AR473" s="456"/>
      <c r="AS473" s="385">
        <f t="shared" si="692"/>
        <v>583679.4</v>
      </c>
      <c r="AU473" s="455"/>
      <c r="AV473" s="456"/>
      <c r="AW473" s="385">
        <f t="shared" si="693"/>
        <v>399557.32234541094</v>
      </c>
      <c r="AY473" s="455"/>
      <c r="AZ473" s="456"/>
      <c r="BA473" s="385">
        <f>+[2]VOLKS!$AF$470</f>
        <v>583679.4</v>
      </c>
      <c r="BC473" s="455"/>
      <c r="BD473" s="456"/>
      <c r="BE473" s="386">
        <f t="shared" si="694"/>
        <v>0</v>
      </c>
    </row>
    <row r="474" spans="1:57" ht="20.25" customHeight="1" outlineLevel="1">
      <c r="A474" s="15" t="s">
        <v>27</v>
      </c>
      <c r="B474" s="387" t="s">
        <v>93</v>
      </c>
      <c r="C474" s="453"/>
      <c r="D474" s="454"/>
      <c r="E474" s="382">
        <f t="shared" si="691"/>
        <v>81414.2</v>
      </c>
      <c r="F474" s="453"/>
      <c r="G474" s="454"/>
      <c r="H474" s="382">
        <v>0</v>
      </c>
      <c r="I474" s="453"/>
      <c r="J474" s="454"/>
      <c r="K474" s="382">
        <v>0</v>
      </c>
      <c r="L474" s="453"/>
      <c r="M474" s="454"/>
      <c r="N474" s="382">
        <v>0</v>
      </c>
      <c r="O474" s="453"/>
      <c r="P474" s="454"/>
      <c r="Q474" s="382">
        <v>0</v>
      </c>
      <c r="R474" s="453"/>
      <c r="S474" s="454"/>
      <c r="T474" s="382">
        <v>0</v>
      </c>
      <c r="U474" s="453"/>
      <c r="V474" s="454"/>
      <c r="W474" s="382">
        <v>12000</v>
      </c>
      <c r="X474" s="453"/>
      <c r="Y474" s="454"/>
      <c r="Z474" s="382">
        <v>0</v>
      </c>
      <c r="AA474" s="453"/>
      <c r="AB474" s="454"/>
      <c r="AC474" s="382">
        <f>+[1]VOLKS!$AF$471</f>
        <v>19414.2</v>
      </c>
      <c r="AD474" s="453"/>
      <c r="AE474" s="454"/>
      <c r="AF474" s="411">
        <v>25000</v>
      </c>
      <c r="AG474" s="453"/>
      <c r="AH474" s="454"/>
      <c r="AI474" s="411">
        <v>0</v>
      </c>
      <c r="AJ474" s="453"/>
      <c r="AK474" s="454"/>
      <c r="AL474" s="411">
        <v>0</v>
      </c>
      <c r="AM474" s="453"/>
      <c r="AN474" s="454"/>
      <c r="AO474" s="411">
        <v>25000</v>
      </c>
      <c r="AQ474" s="455"/>
      <c r="AR474" s="456"/>
      <c r="AS474" s="385">
        <f t="shared" si="692"/>
        <v>31414.2</v>
      </c>
      <c r="AU474" s="455"/>
      <c r="AV474" s="456"/>
      <c r="AW474" s="385">
        <f t="shared" si="693"/>
        <v>50000</v>
      </c>
      <c r="AY474" s="455"/>
      <c r="AZ474" s="456"/>
      <c r="BA474" s="385">
        <f>+[2]VOLKS!$AF$471</f>
        <v>31414.2</v>
      </c>
      <c r="BC474" s="455"/>
      <c r="BD474" s="456"/>
      <c r="BE474" s="386">
        <f t="shared" si="694"/>
        <v>0</v>
      </c>
    </row>
    <row r="475" spans="1:57" ht="20.25" customHeight="1" outlineLevel="1">
      <c r="A475" s="15" t="s">
        <v>27</v>
      </c>
      <c r="B475" s="387" t="s">
        <v>94</v>
      </c>
      <c r="C475" s="453"/>
      <c r="D475" s="454"/>
      <c r="E475" s="382">
        <f t="shared" si="691"/>
        <v>0</v>
      </c>
      <c r="F475" s="453"/>
      <c r="G475" s="454"/>
      <c r="H475" s="382">
        <v>0</v>
      </c>
      <c r="I475" s="453"/>
      <c r="J475" s="454"/>
      <c r="K475" s="382">
        <v>0</v>
      </c>
      <c r="L475" s="453"/>
      <c r="M475" s="454"/>
      <c r="N475" s="382">
        <v>0</v>
      </c>
      <c r="O475" s="453"/>
      <c r="P475" s="454"/>
      <c r="Q475" s="382">
        <v>0</v>
      </c>
      <c r="R475" s="453"/>
      <c r="S475" s="454"/>
      <c r="T475" s="382">
        <v>0</v>
      </c>
      <c r="U475" s="453"/>
      <c r="V475" s="454"/>
      <c r="W475" s="382">
        <v>0</v>
      </c>
      <c r="X475" s="453"/>
      <c r="Y475" s="454"/>
      <c r="Z475" s="382">
        <v>0</v>
      </c>
      <c r="AA475" s="453"/>
      <c r="AB475" s="454"/>
      <c r="AC475" s="382">
        <f>+[1]VOLKS!$AF$472</f>
        <v>0</v>
      </c>
      <c r="AD475" s="453"/>
      <c r="AE475" s="454"/>
      <c r="AF475" s="411">
        <v>0</v>
      </c>
      <c r="AG475" s="453"/>
      <c r="AH475" s="454"/>
      <c r="AI475" s="411">
        <v>0</v>
      </c>
      <c r="AJ475" s="453"/>
      <c r="AK475" s="454"/>
      <c r="AL475" s="411">
        <v>0</v>
      </c>
      <c r="AM475" s="453"/>
      <c r="AN475" s="454"/>
      <c r="AO475" s="411">
        <v>0</v>
      </c>
      <c r="AQ475" s="455"/>
      <c r="AR475" s="456"/>
      <c r="AS475" s="385">
        <f t="shared" si="692"/>
        <v>0</v>
      </c>
      <c r="AU475" s="455"/>
      <c r="AV475" s="456"/>
      <c r="AW475" s="385">
        <f t="shared" si="693"/>
        <v>0</v>
      </c>
      <c r="AY475" s="455"/>
      <c r="AZ475" s="456"/>
      <c r="BA475" s="385">
        <f>+[2]VOLKS!$AF$472</f>
        <v>0</v>
      </c>
      <c r="BC475" s="455"/>
      <c r="BD475" s="456"/>
      <c r="BE475" s="386">
        <f t="shared" si="694"/>
        <v>0</v>
      </c>
    </row>
    <row r="476" spans="1:57" ht="20.25" customHeight="1" outlineLevel="1">
      <c r="A476" s="15" t="s">
        <v>27</v>
      </c>
      <c r="B476" s="387" t="s">
        <v>95</v>
      </c>
      <c r="C476" s="453"/>
      <c r="D476" s="454"/>
      <c r="E476" s="382">
        <f t="shared" si="691"/>
        <v>0</v>
      </c>
      <c r="F476" s="453"/>
      <c r="G476" s="454"/>
      <c r="H476" s="382">
        <v>0</v>
      </c>
      <c r="I476" s="453"/>
      <c r="J476" s="454"/>
      <c r="K476" s="382">
        <v>0</v>
      </c>
      <c r="L476" s="453"/>
      <c r="M476" s="454"/>
      <c r="N476" s="382">
        <v>0</v>
      </c>
      <c r="O476" s="453"/>
      <c r="P476" s="454"/>
      <c r="Q476" s="382">
        <v>0</v>
      </c>
      <c r="R476" s="453"/>
      <c r="S476" s="454"/>
      <c r="T476" s="382">
        <v>0</v>
      </c>
      <c r="U476" s="453"/>
      <c r="V476" s="454"/>
      <c r="W476" s="382">
        <v>0</v>
      </c>
      <c r="X476" s="453"/>
      <c r="Y476" s="454"/>
      <c r="Z476" s="382">
        <v>0</v>
      </c>
      <c r="AA476" s="453"/>
      <c r="AB476" s="454"/>
      <c r="AC476" s="382">
        <f>+[1]VOLKS!$AF$473</f>
        <v>0</v>
      </c>
      <c r="AD476" s="453"/>
      <c r="AE476" s="454"/>
      <c r="AF476" s="411">
        <v>0</v>
      </c>
      <c r="AG476" s="453"/>
      <c r="AH476" s="454"/>
      <c r="AI476" s="411">
        <v>0</v>
      </c>
      <c r="AJ476" s="453"/>
      <c r="AK476" s="454"/>
      <c r="AL476" s="411">
        <v>0</v>
      </c>
      <c r="AM476" s="453"/>
      <c r="AN476" s="454"/>
      <c r="AO476" s="411">
        <v>0</v>
      </c>
      <c r="AQ476" s="455"/>
      <c r="AR476" s="456"/>
      <c r="AS476" s="385">
        <f t="shared" si="692"/>
        <v>0</v>
      </c>
      <c r="AU476" s="455"/>
      <c r="AV476" s="456"/>
      <c r="AW476" s="385">
        <f t="shared" si="693"/>
        <v>0</v>
      </c>
      <c r="AY476" s="455"/>
      <c r="AZ476" s="456"/>
      <c r="BA476" s="385">
        <f>+[2]VOLKS!$AF$473</f>
        <v>0</v>
      </c>
      <c r="BC476" s="455"/>
      <c r="BD476" s="456"/>
      <c r="BE476" s="386">
        <f t="shared" si="694"/>
        <v>0</v>
      </c>
    </row>
    <row r="477" spans="1:57" ht="20.25" customHeight="1" outlineLevel="1">
      <c r="A477" s="15" t="s">
        <v>27</v>
      </c>
      <c r="B477" s="387" t="s">
        <v>106</v>
      </c>
      <c r="C477" s="453"/>
      <c r="D477" s="454"/>
      <c r="E477" s="382">
        <f t="shared" si="691"/>
        <v>0</v>
      </c>
      <c r="F477" s="453"/>
      <c r="G477" s="454"/>
      <c r="H477" s="382">
        <v>0</v>
      </c>
      <c r="I477" s="453"/>
      <c r="J477" s="454"/>
      <c r="K477" s="382">
        <v>0</v>
      </c>
      <c r="L477" s="453"/>
      <c r="M477" s="454"/>
      <c r="N477" s="382">
        <v>0</v>
      </c>
      <c r="O477" s="453"/>
      <c r="P477" s="454"/>
      <c r="Q477" s="382">
        <v>0</v>
      </c>
      <c r="R477" s="453"/>
      <c r="S477" s="454"/>
      <c r="T477" s="382">
        <v>0</v>
      </c>
      <c r="U477" s="453"/>
      <c r="V477" s="454"/>
      <c r="W477" s="382">
        <v>0</v>
      </c>
      <c r="X477" s="453"/>
      <c r="Y477" s="454"/>
      <c r="Z477" s="382">
        <v>0</v>
      </c>
      <c r="AA477" s="453"/>
      <c r="AB477" s="454"/>
      <c r="AC477" s="382">
        <f>+[1]VOLKS!$AF$474</f>
        <v>0</v>
      </c>
      <c r="AD477" s="453"/>
      <c r="AE477" s="454"/>
      <c r="AF477" s="411">
        <v>0</v>
      </c>
      <c r="AG477" s="453"/>
      <c r="AH477" s="454"/>
      <c r="AI477" s="411">
        <v>0</v>
      </c>
      <c r="AJ477" s="453"/>
      <c r="AK477" s="454"/>
      <c r="AL477" s="411">
        <v>0</v>
      </c>
      <c r="AM477" s="453"/>
      <c r="AN477" s="454"/>
      <c r="AO477" s="411">
        <v>0</v>
      </c>
      <c r="AQ477" s="455"/>
      <c r="AR477" s="456"/>
      <c r="AS477" s="385">
        <f t="shared" si="692"/>
        <v>0</v>
      </c>
      <c r="AU477" s="455"/>
      <c r="AV477" s="456"/>
      <c r="AW477" s="385">
        <f t="shared" si="693"/>
        <v>0</v>
      </c>
      <c r="AY477" s="455"/>
      <c r="AZ477" s="456"/>
      <c r="BA477" s="385">
        <f>+[2]VOLKS!$AF$474</f>
        <v>0</v>
      </c>
      <c r="BC477" s="455"/>
      <c r="BD477" s="456"/>
      <c r="BE477" s="386">
        <f t="shared" si="694"/>
        <v>0</v>
      </c>
    </row>
    <row r="478" spans="1:57" ht="20.25" customHeight="1" outlineLevel="1">
      <c r="A478" s="15" t="s">
        <v>27</v>
      </c>
      <c r="B478" s="387" t="s">
        <v>107</v>
      </c>
      <c r="C478" s="453"/>
      <c r="D478" s="454"/>
      <c r="E478" s="382">
        <f t="shared" si="691"/>
        <v>0</v>
      </c>
      <c r="F478" s="453"/>
      <c r="G478" s="454"/>
      <c r="H478" s="382">
        <v>0</v>
      </c>
      <c r="I478" s="453"/>
      <c r="J478" s="454"/>
      <c r="K478" s="382">
        <v>0</v>
      </c>
      <c r="L478" s="453"/>
      <c r="M478" s="454"/>
      <c r="N478" s="382">
        <v>0</v>
      </c>
      <c r="O478" s="453"/>
      <c r="P478" s="454"/>
      <c r="Q478" s="382">
        <v>0</v>
      </c>
      <c r="R478" s="453"/>
      <c r="S478" s="454"/>
      <c r="T478" s="382">
        <v>0</v>
      </c>
      <c r="U478" s="453"/>
      <c r="V478" s="454"/>
      <c r="W478" s="382">
        <v>0</v>
      </c>
      <c r="X478" s="453"/>
      <c r="Y478" s="454"/>
      <c r="Z478" s="382">
        <v>0</v>
      </c>
      <c r="AA478" s="453"/>
      <c r="AB478" s="454"/>
      <c r="AC478" s="382">
        <f>+[1]VOLKS!$AF$475</f>
        <v>0</v>
      </c>
      <c r="AD478" s="453"/>
      <c r="AE478" s="454"/>
      <c r="AF478" s="411">
        <v>0</v>
      </c>
      <c r="AG478" s="453"/>
      <c r="AH478" s="454"/>
      <c r="AI478" s="411">
        <v>0</v>
      </c>
      <c r="AJ478" s="453"/>
      <c r="AK478" s="454"/>
      <c r="AL478" s="411">
        <v>0</v>
      </c>
      <c r="AM478" s="453"/>
      <c r="AN478" s="454"/>
      <c r="AO478" s="411">
        <v>0</v>
      </c>
      <c r="AQ478" s="455"/>
      <c r="AR478" s="456"/>
      <c r="AS478" s="385">
        <f t="shared" si="692"/>
        <v>0</v>
      </c>
      <c r="AU478" s="455"/>
      <c r="AV478" s="456"/>
      <c r="AW478" s="385">
        <f t="shared" si="693"/>
        <v>0</v>
      </c>
      <c r="AY478" s="455"/>
      <c r="AZ478" s="456"/>
      <c r="BA478" s="385">
        <f>+[2]VOLKS!$AF$475</f>
        <v>0</v>
      </c>
      <c r="BC478" s="455"/>
      <c r="BD478" s="456"/>
      <c r="BE478" s="386">
        <f t="shared" si="694"/>
        <v>0</v>
      </c>
    </row>
    <row r="479" spans="1:57" ht="20.25" customHeight="1" outlineLevel="1">
      <c r="A479" s="15" t="s">
        <v>27</v>
      </c>
      <c r="B479" s="387" t="s">
        <v>108</v>
      </c>
      <c r="C479" s="453"/>
      <c r="D479" s="454"/>
      <c r="E479" s="382">
        <f t="shared" si="691"/>
        <v>0</v>
      </c>
      <c r="F479" s="453"/>
      <c r="G479" s="454"/>
      <c r="H479" s="382">
        <v>0</v>
      </c>
      <c r="I479" s="453"/>
      <c r="J479" s="454"/>
      <c r="K479" s="382">
        <v>0</v>
      </c>
      <c r="L479" s="453"/>
      <c r="M479" s="454"/>
      <c r="N479" s="382">
        <v>0</v>
      </c>
      <c r="O479" s="453"/>
      <c r="P479" s="454"/>
      <c r="Q479" s="382">
        <v>0</v>
      </c>
      <c r="R479" s="453"/>
      <c r="S479" s="454"/>
      <c r="T479" s="382">
        <v>0</v>
      </c>
      <c r="U479" s="453"/>
      <c r="V479" s="454"/>
      <c r="W479" s="382">
        <v>0</v>
      </c>
      <c r="X479" s="453"/>
      <c r="Y479" s="454"/>
      <c r="Z479" s="382">
        <v>0</v>
      </c>
      <c r="AA479" s="453"/>
      <c r="AB479" s="454"/>
      <c r="AC479" s="382">
        <f>+[1]VOLKS!$AF$476</f>
        <v>0</v>
      </c>
      <c r="AD479" s="453"/>
      <c r="AE479" s="454"/>
      <c r="AF479" s="411">
        <v>0</v>
      </c>
      <c r="AG479" s="453"/>
      <c r="AH479" s="454"/>
      <c r="AI479" s="411">
        <v>0</v>
      </c>
      <c r="AJ479" s="453"/>
      <c r="AK479" s="454"/>
      <c r="AL479" s="411">
        <v>0</v>
      </c>
      <c r="AM479" s="453"/>
      <c r="AN479" s="454"/>
      <c r="AO479" s="411">
        <v>0</v>
      </c>
      <c r="AQ479" s="455"/>
      <c r="AR479" s="456"/>
      <c r="AS479" s="385">
        <f t="shared" si="692"/>
        <v>0</v>
      </c>
      <c r="AU479" s="455"/>
      <c r="AV479" s="456"/>
      <c r="AW479" s="385">
        <f t="shared" si="693"/>
        <v>0</v>
      </c>
      <c r="AY479" s="455"/>
      <c r="AZ479" s="456"/>
      <c r="BA479" s="385">
        <f>+[2]VOLKS!$AF$476</f>
        <v>0</v>
      </c>
      <c r="BC479" s="455"/>
      <c r="BD479" s="456"/>
      <c r="BE479" s="386">
        <f t="shared" si="694"/>
        <v>0</v>
      </c>
    </row>
    <row r="480" spans="1:57" ht="20.25" customHeight="1" outlineLevel="1">
      <c r="A480" s="15" t="s">
        <v>27</v>
      </c>
      <c r="B480" s="394" t="s">
        <v>129</v>
      </c>
      <c r="C480" s="453"/>
      <c r="D480" s="454"/>
      <c r="E480" s="382">
        <f t="shared" si="691"/>
        <v>0</v>
      </c>
      <c r="F480" s="453"/>
      <c r="G480" s="454"/>
      <c r="H480" s="382">
        <v>0</v>
      </c>
      <c r="I480" s="453"/>
      <c r="J480" s="454"/>
      <c r="K480" s="382">
        <v>0</v>
      </c>
      <c r="L480" s="453"/>
      <c r="M480" s="454"/>
      <c r="N480" s="382">
        <v>0</v>
      </c>
      <c r="O480" s="453"/>
      <c r="P480" s="454"/>
      <c r="Q480" s="382">
        <v>0</v>
      </c>
      <c r="R480" s="453"/>
      <c r="S480" s="454"/>
      <c r="T480" s="382">
        <v>0</v>
      </c>
      <c r="U480" s="453"/>
      <c r="V480" s="454"/>
      <c r="W480" s="382">
        <v>0</v>
      </c>
      <c r="X480" s="453"/>
      <c r="Y480" s="454"/>
      <c r="Z480" s="382">
        <v>0</v>
      </c>
      <c r="AA480" s="453"/>
      <c r="AB480" s="454"/>
      <c r="AC480" s="382">
        <f>+[1]VOLKS!$AF$477</f>
        <v>0</v>
      </c>
      <c r="AD480" s="453"/>
      <c r="AE480" s="454"/>
      <c r="AF480" s="411">
        <v>0</v>
      </c>
      <c r="AG480" s="453"/>
      <c r="AH480" s="454"/>
      <c r="AI480" s="411">
        <v>0</v>
      </c>
      <c r="AJ480" s="453"/>
      <c r="AK480" s="454"/>
      <c r="AL480" s="411">
        <v>0</v>
      </c>
      <c r="AM480" s="453"/>
      <c r="AN480" s="454"/>
      <c r="AO480" s="411">
        <v>0</v>
      </c>
      <c r="AQ480" s="455"/>
      <c r="AR480" s="456"/>
      <c r="AS480" s="385">
        <f t="shared" si="692"/>
        <v>0</v>
      </c>
      <c r="AU480" s="455"/>
      <c r="AV480" s="456"/>
      <c r="AW480" s="385">
        <f t="shared" si="693"/>
        <v>0</v>
      </c>
      <c r="AY480" s="455"/>
      <c r="AZ480" s="456"/>
      <c r="BA480" s="385">
        <f>+[2]VOLKS!$AF$477</f>
        <v>0</v>
      </c>
      <c r="BC480" s="455"/>
      <c r="BD480" s="456"/>
      <c r="BE480" s="386">
        <f t="shared" si="694"/>
        <v>0</v>
      </c>
    </row>
    <row r="481" spans="1:59" ht="20.25" customHeight="1" outlineLevel="1">
      <c r="A481" s="15"/>
      <c r="B481" s="394"/>
      <c r="C481" s="453"/>
      <c r="D481" s="454"/>
      <c r="E481" s="382"/>
      <c r="F481" s="453"/>
      <c r="G481" s="454"/>
      <c r="H481" s="382"/>
      <c r="I481" s="453"/>
      <c r="J481" s="454"/>
      <c r="K481" s="382"/>
      <c r="L481" s="453"/>
      <c r="M481" s="454"/>
      <c r="N481" s="382"/>
      <c r="O481" s="453"/>
      <c r="P481" s="454"/>
      <c r="Q481" s="382"/>
      <c r="R481" s="453"/>
      <c r="S481" s="454"/>
      <c r="T481" s="382"/>
      <c r="U481" s="453"/>
      <c r="V481" s="454"/>
      <c r="W481" s="382"/>
      <c r="X481" s="453"/>
      <c r="Y481" s="454"/>
      <c r="Z481" s="382"/>
      <c r="AA481" s="453"/>
      <c r="AB481" s="454"/>
      <c r="AC481" s="382"/>
      <c r="AD481" s="453"/>
      <c r="AE481" s="454"/>
      <c r="AF481" s="411"/>
      <c r="AG481" s="453"/>
      <c r="AH481" s="454"/>
      <c r="AI481" s="411"/>
      <c r="AJ481" s="453"/>
      <c r="AK481" s="454"/>
      <c r="AL481" s="411"/>
      <c r="AM481" s="453"/>
      <c r="AN481" s="454"/>
      <c r="AO481" s="411"/>
      <c r="AQ481" s="455"/>
      <c r="AR481" s="456"/>
      <c r="AS481" s="385"/>
      <c r="AU481" s="455"/>
      <c r="AV481" s="456"/>
      <c r="AW481" s="385"/>
      <c r="AY481" s="455"/>
      <c r="AZ481" s="456"/>
      <c r="BA481" s="385"/>
      <c r="BC481" s="455"/>
      <c r="BD481" s="456"/>
      <c r="BE481" s="386"/>
    </row>
    <row r="482" spans="1:59" ht="20.25" customHeight="1" outlineLevel="1">
      <c r="A482" s="15"/>
      <c r="B482" s="394"/>
      <c r="C482" s="453"/>
      <c r="D482" s="454"/>
      <c r="E482" s="382"/>
      <c r="F482" s="453"/>
      <c r="G482" s="454"/>
      <c r="H482" s="382"/>
      <c r="I482" s="453"/>
      <c r="J482" s="454"/>
      <c r="K482" s="382"/>
      <c r="L482" s="453"/>
      <c r="M482" s="454"/>
      <c r="N482" s="382"/>
      <c r="O482" s="453"/>
      <c r="P482" s="454"/>
      <c r="Q482" s="382"/>
      <c r="R482" s="453"/>
      <c r="S482" s="454"/>
      <c r="T482" s="382"/>
      <c r="U482" s="453"/>
      <c r="V482" s="454"/>
      <c r="W482" s="382"/>
      <c r="X482" s="453"/>
      <c r="Y482" s="454"/>
      <c r="Z482" s="382"/>
      <c r="AA482" s="453"/>
      <c r="AB482" s="454"/>
      <c r="AC482" s="382"/>
      <c r="AD482" s="453"/>
      <c r="AE482" s="454"/>
      <c r="AF482" s="411"/>
      <c r="AG482" s="453"/>
      <c r="AH482" s="454"/>
      <c r="AI482" s="411"/>
      <c r="AJ482" s="453"/>
      <c r="AK482" s="454"/>
      <c r="AL482" s="411"/>
      <c r="AM482" s="453"/>
      <c r="AN482" s="454"/>
      <c r="AO482" s="411"/>
      <c r="AQ482" s="455"/>
      <c r="AR482" s="456"/>
      <c r="AS482" s="385"/>
      <c r="AU482" s="455"/>
      <c r="AV482" s="456"/>
      <c r="AW482" s="385"/>
      <c r="AY482" s="455"/>
      <c r="AZ482" s="456"/>
      <c r="BA482" s="385"/>
      <c r="BC482" s="455"/>
      <c r="BD482" s="456"/>
      <c r="BE482" s="386"/>
    </row>
    <row r="483" spans="1:59" ht="20.25" customHeight="1" outlineLevel="1">
      <c r="A483" s="15" t="s">
        <v>27</v>
      </c>
      <c r="B483" s="362" t="s">
        <v>97</v>
      </c>
      <c r="C483" s="457"/>
      <c r="D483" s="454"/>
      <c r="E483" s="382">
        <f t="shared" si="691"/>
        <v>492675.24999999994</v>
      </c>
      <c r="F483" s="457"/>
      <c r="G483" s="454"/>
      <c r="H483" s="382">
        <v>35733</v>
      </c>
      <c r="I483" s="457"/>
      <c r="J483" s="454"/>
      <c r="K483" s="382">
        <v>24144</v>
      </c>
      <c r="L483" s="457"/>
      <c r="M483" s="454"/>
      <c r="N483" s="382">
        <v>37728</v>
      </c>
      <c r="O483" s="457"/>
      <c r="P483" s="454"/>
      <c r="Q483" s="382">
        <v>38946</v>
      </c>
      <c r="R483" s="457"/>
      <c r="S483" s="454"/>
      <c r="T483" s="382">
        <v>40557</v>
      </c>
      <c r="U483" s="457"/>
      <c r="V483" s="454"/>
      <c r="W483" s="382">
        <v>37332</v>
      </c>
      <c r="X483" s="457"/>
      <c r="Y483" s="454"/>
      <c r="Z483" s="382">
        <v>52152</v>
      </c>
      <c r="AA483" s="457"/>
      <c r="AB483" s="454"/>
      <c r="AC483" s="382">
        <f>+[1]VOLKS!$AF$480</f>
        <v>46158</v>
      </c>
      <c r="AD483" s="457"/>
      <c r="AE483" s="454"/>
      <c r="AF483" s="411">
        <v>38962.35</v>
      </c>
      <c r="AG483" s="457"/>
      <c r="AH483" s="454"/>
      <c r="AI483" s="411">
        <v>50051.7</v>
      </c>
      <c r="AJ483" s="457"/>
      <c r="AK483" s="454"/>
      <c r="AL483" s="411">
        <v>54509.1</v>
      </c>
      <c r="AM483" s="457"/>
      <c r="AN483" s="454"/>
      <c r="AO483" s="411">
        <v>36402.099999999991</v>
      </c>
      <c r="AQ483" s="458"/>
      <c r="AR483" s="456"/>
      <c r="AS483" s="385">
        <f t="shared" si="692"/>
        <v>312750</v>
      </c>
      <c r="AU483" s="458"/>
      <c r="AV483" s="456"/>
      <c r="AW483" s="385">
        <f t="shared" si="693"/>
        <v>179925.25</v>
      </c>
      <c r="AY483" s="458"/>
      <c r="AZ483" s="456"/>
      <c r="BA483" s="385">
        <f>+[2]VOLKS!$AF$480</f>
        <v>312750</v>
      </c>
      <c r="BC483" s="458"/>
      <c r="BD483" s="456"/>
      <c r="BE483" s="386">
        <f t="shared" si="694"/>
        <v>0</v>
      </c>
    </row>
    <row r="484" spans="1:59" ht="20.25" customHeight="1" outlineLevel="1">
      <c r="A484" s="15" t="s">
        <v>27</v>
      </c>
      <c r="B484" s="395" t="s">
        <v>171</v>
      </c>
      <c r="C484" s="396">
        <f>IFERROR(E484/+E410,0)</f>
        <v>0.20596605964997136</v>
      </c>
      <c r="D484" s="459"/>
      <c r="E484" s="398">
        <f>SUM(E472:E483)</f>
        <v>1736735.352345411</v>
      </c>
      <c r="F484" s="396"/>
      <c r="G484" s="459"/>
      <c r="H484" s="398">
        <f>SUM(H472:H483)</f>
        <v>119708.6</v>
      </c>
      <c r="I484" s="396"/>
      <c r="J484" s="459"/>
      <c r="K484" s="398">
        <f>SUM(K472:K483)</f>
        <v>98432.53</v>
      </c>
      <c r="L484" s="396"/>
      <c r="M484" s="459"/>
      <c r="N484" s="398">
        <f>SUM(N472:N483)</f>
        <v>150249.95000000001</v>
      </c>
      <c r="O484" s="396"/>
      <c r="P484" s="459"/>
      <c r="Q484" s="398">
        <f>SUM(Q472:Q483)</f>
        <v>117803.69</v>
      </c>
      <c r="R484" s="396"/>
      <c r="S484" s="459"/>
      <c r="T484" s="398">
        <f>SUM(T472:T483)</f>
        <v>117385.74</v>
      </c>
      <c r="U484" s="396"/>
      <c r="V484" s="459"/>
      <c r="W484" s="399">
        <f>SUM(W472:W483)</f>
        <v>133496.59</v>
      </c>
      <c r="X484" s="396"/>
      <c r="Y484" s="459"/>
      <c r="Z484" s="399">
        <f>SUM(Z472:Z483)</f>
        <v>147045.85999999999</v>
      </c>
      <c r="AA484" s="396"/>
      <c r="AB484" s="459"/>
      <c r="AC484" s="399">
        <f>SUM(AC472:AC483)</f>
        <v>163129.82</v>
      </c>
      <c r="AD484" s="396">
        <f>+AF484/AF$410</f>
        <v>0.2922159728358501</v>
      </c>
      <c r="AE484" s="459"/>
      <c r="AF484" s="399">
        <f>SUM(AF472:AF483)</f>
        <v>184428.15883292325</v>
      </c>
      <c r="AG484" s="396">
        <f>+AI484/AI$410</f>
        <v>0.17676741642707344</v>
      </c>
      <c r="AH484" s="459"/>
      <c r="AI484" s="399">
        <f>SUM(AI472:AI483)</f>
        <v>154087.38015786174</v>
      </c>
      <c r="AJ484" s="396">
        <f>+AL484/AL$410</f>
        <v>0.180218769983123</v>
      </c>
      <c r="AK484" s="459"/>
      <c r="AL484" s="399">
        <f>SUM(AL472:AL483)</f>
        <v>181161.23236609256</v>
      </c>
      <c r="AM484" s="396">
        <f>+AO484/AO$410</f>
        <v>0.28109553301369439</v>
      </c>
      <c r="AN484" s="459"/>
      <c r="AO484" s="399">
        <f>SUM(AO472:AO483)</f>
        <v>169805.80098853348</v>
      </c>
      <c r="AQ484" s="400">
        <f t="shared" ref="AQ484" si="695">IFERROR(AS484/+AS410,0)</f>
        <v>0.19685217247482747</v>
      </c>
      <c r="AR484" s="460"/>
      <c r="AS484" s="402">
        <f>SUM(AS472:AS483)</f>
        <v>1047252.7799999999</v>
      </c>
      <c r="AU484" s="400">
        <f t="shared" ref="AU484" si="696">IFERROR(AW484/+AW410,0)</f>
        <v>0.22154560591806058</v>
      </c>
      <c r="AV484" s="460"/>
      <c r="AW484" s="402">
        <f>SUM(AW472:AW483)</f>
        <v>689482.57234541094</v>
      </c>
      <c r="AY484" s="400"/>
      <c r="AZ484" s="460"/>
      <c r="BA484" s="402">
        <f>SUM(BA472:BA483)</f>
        <v>1047252.78</v>
      </c>
      <c r="BC484" s="400"/>
      <c r="BD484" s="460"/>
      <c r="BE484" s="403">
        <f t="shared" ref="BE484" si="697">SUM(BE472:BE483)</f>
        <v>0</v>
      </c>
    </row>
    <row r="485" spans="1:59" s="440" customFormat="1" ht="20.25" customHeight="1" outlineLevel="1" thickBot="1">
      <c r="A485" s="436" t="s">
        <v>27</v>
      </c>
      <c r="B485" s="461"/>
      <c r="C485" s="461"/>
      <c r="D485" s="462"/>
      <c r="E485" s="463">
        <f>+E464+E463+E461+E460+E459+E458+E457</f>
        <v>373522.52936305816</v>
      </c>
      <c r="F485" s="461"/>
      <c r="G485" s="462"/>
      <c r="H485" s="463"/>
      <c r="I485" s="461"/>
      <c r="J485" s="462"/>
      <c r="K485" s="463"/>
      <c r="L485" s="461"/>
      <c r="M485" s="462"/>
      <c r="N485" s="463"/>
      <c r="O485" s="461"/>
      <c r="P485" s="462"/>
      <c r="Q485" s="463"/>
      <c r="R485" s="461"/>
      <c r="S485" s="462"/>
      <c r="T485" s="463"/>
      <c r="U485" s="461"/>
      <c r="V485" s="462"/>
      <c r="W485" s="464"/>
      <c r="X485" s="461"/>
      <c r="Y485" s="462"/>
      <c r="Z485" s="464"/>
      <c r="AA485" s="461"/>
      <c r="AB485" s="462"/>
      <c r="AC485" s="464"/>
      <c r="AD485" s="461"/>
      <c r="AE485" s="462"/>
      <c r="AF485" s="463">
        <v>58703.454410021703</v>
      </c>
      <c r="AG485" s="461"/>
      <c r="AH485" s="462"/>
      <c r="AI485" s="463">
        <v>58703.454410021703</v>
      </c>
      <c r="AJ485" s="461"/>
      <c r="AK485" s="462"/>
      <c r="AL485" s="463">
        <v>58703.454410021703</v>
      </c>
      <c r="AM485" s="461"/>
      <c r="AN485" s="462"/>
      <c r="AO485" s="463">
        <v>58703.454410021703</v>
      </c>
      <c r="AQ485" s="465"/>
      <c r="AR485" s="466"/>
      <c r="AS485" s="467">
        <f>+AS464+AS463+AS461+AS460+AS459+AS458+AS457</f>
        <v>286258</v>
      </c>
      <c r="AU485" s="465"/>
      <c r="AV485" s="466"/>
      <c r="AW485" s="467">
        <f>+AW464+AW463+AW461+AW460+AW459+AW458+AW457</f>
        <v>87264.529363058158</v>
      </c>
      <c r="AY485" s="465"/>
      <c r="AZ485" s="466"/>
      <c r="BA485" s="467"/>
      <c r="BC485" s="465"/>
      <c r="BD485" s="466"/>
      <c r="BE485" s="468">
        <f>+BE464+BE463+BE461+BE460+BE459+BE458+BE457</f>
        <v>0</v>
      </c>
    </row>
    <row r="486" spans="1:59" ht="21.75" customHeight="1" outlineLevel="1" thickTop="1" thickBot="1">
      <c r="A486" s="15" t="s">
        <v>27</v>
      </c>
      <c r="B486" s="469" t="s">
        <v>172</v>
      </c>
      <c r="C486" s="470" t="s">
        <v>173</v>
      </c>
      <c r="D486" s="471">
        <f>IFERROR(E486/E409,0)</f>
        <v>3.086318018769612E-2</v>
      </c>
      <c r="E486" s="472">
        <f>E410-E471+E484</f>
        <v>2031652.4496381658</v>
      </c>
      <c r="F486" s="470" t="s">
        <v>173</v>
      </c>
      <c r="G486" s="471">
        <f>IFERROR(H486/H409,0)</f>
        <v>8.3019356578440343E-3</v>
      </c>
      <c r="H486" s="472">
        <f>H410-H471+H484</f>
        <v>37899.819999998697</v>
      </c>
      <c r="I486" s="470" t="s">
        <v>173</v>
      </c>
      <c r="J486" s="471">
        <f>IFERROR(K486/K409,0)</f>
        <v>1.1754742194385633E-2</v>
      </c>
      <c r="K486" s="472">
        <f>K410-K471+K484</f>
        <v>40773.829999999522</v>
      </c>
      <c r="L486" s="470" t="s">
        <v>173</v>
      </c>
      <c r="M486" s="471">
        <f>IFERROR(N486/N409,0)</f>
        <v>2.6740836424321936E-2</v>
      </c>
      <c r="N486" s="472">
        <f>N410-N471+N484</f>
        <v>121990.76999999938</v>
      </c>
      <c r="O486" s="470" t="s">
        <v>173</v>
      </c>
      <c r="P486" s="471">
        <f>IFERROR(Q486/Q409,0)</f>
        <v>3.2733410537390935E-2</v>
      </c>
      <c r="Q486" s="472">
        <f>Q410-Q471+Q484</f>
        <v>154988.5099999996</v>
      </c>
      <c r="R486" s="470" t="s">
        <v>173</v>
      </c>
      <c r="S486" s="471">
        <f>IFERROR(T486/T409,0)</f>
        <v>2.713274179403951E-2</v>
      </c>
      <c r="T486" s="472">
        <f>T410-T471+T484</f>
        <v>147383.54999999981</v>
      </c>
      <c r="U486" s="470" t="s">
        <v>173</v>
      </c>
      <c r="V486" s="471">
        <f>IFERROR(W486/W409,0)</f>
        <v>3.8441619363911286E-2</v>
      </c>
      <c r="W486" s="473">
        <f>W410-W471+W484</f>
        <v>179782.38999999946</v>
      </c>
      <c r="X486" s="470" t="s">
        <v>173</v>
      </c>
      <c r="Y486" s="471">
        <f>IFERROR(Z486/Z409,0)</f>
        <v>4.1371218581874307E-2</v>
      </c>
      <c r="Z486" s="473">
        <f>Z410-Z471+Z484</f>
        <v>279221.77000000048</v>
      </c>
      <c r="AA486" s="470" t="s">
        <v>173</v>
      </c>
      <c r="AB486" s="471">
        <f>IFERROR(AC486/AC409,0)</f>
        <v>3.507544936874632E-2</v>
      </c>
      <c r="AC486" s="473">
        <f>AC410-AC471+AC484</f>
        <v>215692.75999999937</v>
      </c>
      <c r="AD486" s="470" t="s">
        <v>173</v>
      </c>
      <c r="AE486" s="471">
        <f>IFERROR(AF486/AF409,0)</f>
        <v>2.4715604957600657E-2</v>
      </c>
      <c r="AF486" s="472">
        <f>AF410-AF471+AF484</f>
        <v>133246.37934895765</v>
      </c>
      <c r="AG486" s="470" t="s">
        <v>173</v>
      </c>
      <c r="AH486" s="471">
        <f>IFERROR(AI486/AI409,0)</f>
        <v>2.9838234277803525E-2</v>
      </c>
      <c r="AI486" s="472">
        <f>AI410-AI471+AI484</f>
        <v>210881.1771346865</v>
      </c>
      <c r="AJ486" s="470" t="s">
        <v>173</v>
      </c>
      <c r="AK486" s="471">
        <f>IFERROR(AL486/AL409,0)</f>
        <v>5.0956844728878042E-2</v>
      </c>
      <c r="AL486" s="472">
        <f>AL410-AL471+AL484</f>
        <v>393055.25698701286</v>
      </c>
      <c r="AM486" s="470" t="s">
        <v>173</v>
      </c>
      <c r="AN486" s="471">
        <f>IFERROR(AO486/AO409,0)</f>
        <v>2.1953057556278983E-2</v>
      </c>
      <c r="AO486" s="472">
        <f>AO410-AO471+AO484</f>
        <v>116736.23616751115</v>
      </c>
      <c r="AQ486" s="470" t="s">
        <v>173</v>
      </c>
      <c r="AR486" s="474">
        <f t="shared" ref="AR486" si="698">IFERROR(AS486/AS409,0)</f>
        <v>2.9196615207469946E-2</v>
      </c>
      <c r="AS486" s="475">
        <f t="shared" ref="AS486" si="699">AS410-AS471+AS484</f>
        <v>1177733.3999999971</v>
      </c>
      <c r="AU486" s="470" t="s">
        <v>173</v>
      </c>
      <c r="AV486" s="474">
        <f t="shared" ref="AV486" si="700">IFERROR(AW486/AW409,0)</f>
        <v>3.3500556204968286E-2</v>
      </c>
      <c r="AW486" s="475">
        <f>AW410-AW471+AW484</f>
        <v>853919.04963816842</v>
      </c>
      <c r="AY486" s="470" t="s">
        <v>173</v>
      </c>
      <c r="AZ486" s="474">
        <f>IFERROR(BA486/BA409,0)</f>
        <v>2.9196615207469849E-2</v>
      </c>
      <c r="BA486" s="475">
        <f>BA410-BA471+BA484</f>
        <v>1177733.3999999936</v>
      </c>
      <c r="BC486" s="470" t="s">
        <v>173</v>
      </c>
      <c r="BD486" s="474"/>
      <c r="BE486" s="476">
        <f>BE410-BE471+BE484</f>
        <v>-1.7198544810526073E-9</v>
      </c>
      <c r="BG486" s="477">
        <f>+BA486-AS486-BE486</f>
        <v>-1.7726051737554371E-9</v>
      </c>
    </row>
    <row r="487" spans="1:59" ht="36" thickTop="1">
      <c r="A487" s="15" t="s">
        <v>27</v>
      </c>
      <c r="B487" s="187"/>
      <c r="C487" s="72"/>
      <c r="D487" s="72"/>
      <c r="E487" s="478">
        <f>+SUM(H486,K486,N486,Q486,T486,W486,Z486,AC486,AF486,AI486,AL486,AO486)</f>
        <v>2031652.4496381648</v>
      </c>
      <c r="F487" s="72"/>
      <c r="G487" s="72"/>
      <c r="H487" s="478"/>
      <c r="I487" s="72"/>
      <c r="J487" s="72"/>
      <c r="K487" s="478"/>
      <c r="L487" s="72"/>
      <c r="M487" s="72"/>
      <c r="N487" s="478"/>
      <c r="O487" s="72"/>
      <c r="P487" s="72"/>
      <c r="Q487" s="478"/>
      <c r="R487" s="72"/>
      <c r="S487" s="72"/>
      <c r="T487" s="478"/>
      <c r="U487" s="72"/>
      <c r="V487" s="72"/>
      <c r="W487" s="478"/>
      <c r="X487" s="72"/>
      <c r="Y487" s="72"/>
      <c r="Z487" s="478"/>
      <c r="AA487" s="72"/>
      <c r="AB487" s="72"/>
      <c r="AC487" s="478"/>
      <c r="AD487" s="72"/>
      <c r="AE487" s="72"/>
      <c r="AF487" s="478"/>
      <c r="AG487" s="72"/>
      <c r="AH487" s="72"/>
      <c r="AI487" s="478"/>
      <c r="AJ487" s="72"/>
      <c r="AK487" s="72"/>
      <c r="AL487" s="478"/>
      <c r="AM487" s="72"/>
      <c r="AN487" s="72"/>
      <c r="AO487" s="478"/>
      <c r="AQ487" s="74"/>
      <c r="AR487" s="74"/>
      <c r="AS487" s="479"/>
      <c r="AU487" s="74"/>
      <c r="AV487" s="74"/>
      <c r="AW487" s="479"/>
      <c r="AY487" s="74"/>
      <c r="AZ487" s="74"/>
      <c r="BA487" s="479"/>
      <c r="BC487" s="74"/>
      <c r="BD487" s="74"/>
      <c r="BE487" s="479"/>
    </row>
    <row r="488" spans="1:59" ht="35.25">
      <c r="A488" s="15" t="s">
        <v>27</v>
      </c>
      <c r="B488" s="187" t="str">
        <f>B4</f>
        <v>Budget 2025</v>
      </c>
      <c r="C488" s="10" t="s">
        <v>174</v>
      </c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Q488" s="9"/>
      <c r="AR488" s="9"/>
      <c r="AS488" s="9"/>
      <c r="AU488" s="9"/>
      <c r="AV488" s="9"/>
      <c r="AW488" s="9"/>
      <c r="AY488" s="9"/>
      <c r="AZ488" s="9"/>
      <c r="BA488" s="9"/>
      <c r="BC488" s="9"/>
      <c r="BD488" s="9"/>
      <c r="BE488" s="188"/>
    </row>
    <row r="489" spans="1:59" ht="35.25">
      <c r="A489" s="15" t="s">
        <v>27</v>
      </c>
      <c r="B489" s="187"/>
      <c r="C489" s="72"/>
      <c r="D489" s="72"/>
      <c r="E489" s="478"/>
      <c r="F489" s="72"/>
      <c r="G489" s="72"/>
      <c r="H489" s="478"/>
      <c r="I489" s="72"/>
      <c r="J489" s="72"/>
      <c r="K489" s="478"/>
      <c r="L489" s="72"/>
      <c r="M489" s="72"/>
      <c r="N489" s="478"/>
      <c r="O489" s="72"/>
      <c r="P489" s="72"/>
      <c r="Q489" s="478"/>
      <c r="R489" s="72"/>
      <c r="S489" s="72"/>
      <c r="T489" s="478"/>
      <c r="U489" s="72"/>
      <c r="V489" s="72"/>
      <c r="W489" s="478"/>
      <c r="X489" s="72"/>
      <c r="Y489" s="72"/>
      <c r="Z489" s="478"/>
      <c r="AA489" s="72"/>
      <c r="AB489" s="72"/>
      <c r="AC489" s="478"/>
      <c r="AD489" s="72"/>
      <c r="AE489" s="72"/>
      <c r="AF489" s="478"/>
      <c r="AG489" s="72"/>
      <c r="AH489" s="72"/>
      <c r="AI489" s="478"/>
      <c r="AJ489" s="72"/>
      <c r="AK489" s="72"/>
      <c r="AL489" s="478"/>
      <c r="AM489" s="72"/>
      <c r="AN489" s="72"/>
      <c r="AO489" s="478"/>
      <c r="AQ489" s="74"/>
      <c r="AR489" s="74"/>
      <c r="AS489" s="479"/>
      <c r="AU489" s="74"/>
      <c r="AV489" s="74"/>
      <c r="AW489" s="479"/>
      <c r="AY489" s="74"/>
      <c r="AZ489" s="74"/>
      <c r="BA489" s="479"/>
      <c r="BC489" s="74"/>
      <c r="BD489" s="74"/>
      <c r="BE489" s="479"/>
    </row>
    <row r="490" spans="1:59" ht="36" thickBot="1">
      <c r="A490" s="15" t="s">
        <v>27</v>
      </c>
      <c r="B490" s="187"/>
      <c r="C490" s="72"/>
      <c r="D490" s="72"/>
      <c r="E490" s="478"/>
      <c r="F490" s="72"/>
      <c r="G490" s="72"/>
      <c r="H490" s="478"/>
      <c r="I490" s="72"/>
      <c r="J490" s="72"/>
      <c r="K490" s="478"/>
      <c r="L490" s="72"/>
      <c r="M490" s="72"/>
      <c r="N490" s="478"/>
      <c r="O490" s="72"/>
      <c r="P490" s="72"/>
      <c r="Q490" s="478"/>
      <c r="R490" s="72"/>
      <c r="S490" s="72"/>
      <c r="T490" s="478"/>
      <c r="U490" s="72"/>
      <c r="V490" s="72"/>
      <c r="W490" s="478"/>
      <c r="X490" s="72"/>
      <c r="Y490" s="72"/>
      <c r="Z490" s="478"/>
      <c r="AA490" s="72"/>
      <c r="AB490" s="72"/>
      <c r="AC490" s="478"/>
      <c r="AD490" s="72"/>
      <c r="AE490" s="72"/>
      <c r="AF490" s="478"/>
      <c r="AG490" s="72"/>
      <c r="AH490" s="72"/>
      <c r="AI490" s="478"/>
      <c r="AJ490" s="72"/>
      <c r="AK490" s="72"/>
      <c r="AL490" s="478"/>
      <c r="AM490" s="72"/>
      <c r="AN490" s="72"/>
      <c r="AO490" s="478"/>
      <c r="AQ490" s="74"/>
      <c r="AR490" s="74"/>
      <c r="AS490" s="479"/>
      <c r="AU490" s="74"/>
      <c r="AV490" s="74"/>
      <c r="AW490" s="479"/>
      <c r="AY490" s="74"/>
      <c r="AZ490" s="74"/>
      <c r="BA490" s="479"/>
      <c r="BC490" s="74"/>
      <c r="BD490" s="74"/>
      <c r="BE490" s="479"/>
    </row>
    <row r="491" spans="1:59" ht="21.75" thickTop="1" thickBot="1">
      <c r="A491" s="15" t="s">
        <v>27</v>
      </c>
      <c r="B491" s="480" t="s">
        <v>175</v>
      </c>
      <c r="C491" s="481" t="s">
        <v>173</v>
      </c>
      <c r="D491" s="482">
        <f>IFERROR(E491/E409,0)</f>
        <v>3.5237623320545447E-2</v>
      </c>
      <c r="E491" s="483">
        <f>+E492+E418</f>
        <v>2319612.0199937574</v>
      </c>
      <c r="F491" s="481" t="s">
        <v>173</v>
      </c>
      <c r="G491" s="482">
        <f>IFERROR(H491/H409,0)</f>
        <v>1.4770105210689069E-2</v>
      </c>
      <c r="H491" s="483">
        <f>+H492+H418</f>
        <v>67428.169999998703</v>
      </c>
      <c r="I491" s="481" t="s">
        <v>173</v>
      </c>
      <c r="J491" s="482">
        <f>IFERROR(K491/K409,0)</f>
        <v>9.1039869035007496E-3</v>
      </c>
      <c r="K491" s="483">
        <f>+K492+K418</f>
        <v>31579.119999999522</v>
      </c>
      <c r="L491" s="481" t="s">
        <v>173</v>
      </c>
      <c r="M491" s="482">
        <f>IFERROR(N491/N409,0)</f>
        <v>3.2458181434072982E-2</v>
      </c>
      <c r="N491" s="483">
        <f>+N492+N418</f>
        <v>148073.09999999937</v>
      </c>
      <c r="O491" s="481" t="s">
        <v>173</v>
      </c>
      <c r="P491" s="482">
        <f>IFERROR(Q491/Q409,0)</f>
        <v>3.2310750751166468E-2</v>
      </c>
      <c r="Q491" s="483">
        <f>+Q492+Q418</f>
        <v>152987.26999999961</v>
      </c>
      <c r="R491" s="481" t="s">
        <v>173</v>
      </c>
      <c r="S491" s="482">
        <f>IFERROR(T491/T409,0)</f>
        <v>3.0268337107613945E-2</v>
      </c>
      <c r="T491" s="483">
        <f>+T492+T418</f>
        <v>164415.92999999982</v>
      </c>
      <c r="U491" s="481" t="s">
        <v>173</v>
      </c>
      <c r="V491" s="482">
        <f>IFERROR(W491/W409,0)</f>
        <v>4.232972642781626E-2</v>
      </c>
      <c r="W491" s="484">
        <f>+W492+W418</f>
        <v>197966.14999999947</v>
      </c>
      <c r="X491" s="481" t="s">
        <v>173</v>
      </c>
      <c r="Y491" s="482">
        <f>IFERROR(Z491/Z409,0)</f>
        <v>4.5254527800547083E-2</v>
      </c>
      <c r="Z491" s="484">
        <f>+Z492+Z418</f>
        <v>305430.92000000051</v>
      </c>
      <c r="AA491" s="481" t="s">
        <v>173</v>
      </c>
      <c r="AB491" s="482">
        <f>IFERROR(AC491/AC409,0)</f>
        <v>3.5665166008242336E-2</v>
      </c>
      <c r="AC491" s="484">
        <f>+AC492+AC418</f>
        <v>219319.15999999936</v>
      </c>
      <c r="AD491" s="481" t="s">
        <v>173</v>
      </c>
      <c r="AE491" s="482">
        <f t="shared" ref="AE491" si="701">IFERROR(AF491/AF409,0)</f>
        <v>3.3396455989794814E-2</v>
      </c>
      <c r="AF491" s="484">
        <f t="shared" ref="AF491" si="702">+AF492+AF418</f>
        <v>180046.44641961303</v>
      </c>
      <c r="AG491" s="481" t="s">
        <v>173</v>
      </c>
      <c r="AH491" s="482">
        <f t="shared" ref="AH491" si="703">IFERROR(AI491/AI409,0)</f>
        <v>3.6721485775910223E-2</v>
      </c>
      <c r="AI491" s="484">
        <f t="shared" ref="AI491" si="704">+AI492+AI418</f>
        <v>259528.43169138901</v>
      </c>
      <c r="AJ491" s="481" t="s">
        <v>173</v>
      </c>
      <c r="AK491" s="482">
        <f t="shared" ref="AK491" si="705">IFERROR(AL491/AL409,0)</f>
        <v>5.6415321587465435E-2</v>
      </c>
      <c r="AL491" s="484">
        <f t="shared" ref="AL491" si="706">+AL492+AL418</f>
        <v>435159.17915536975</v>
      </c>
      <c r="AM491" s="481" t="s">
        <v>173</v>
      </c>
      <c r="AN491" s="482">
        <f t="shared" ref="AN491" si="707">IFERROR(AO491/AO409,0)</f>
        <v>2.965246658881825E-2</v>
      </c>
      <c r="AO491" s="484">
        <f t="shared" ref="AO491" si="708">+AO492+AO418</f>
        <v>157678.14272738798</v>
      </c>
      <c r="AQ491" s="481" t="s">
        <v>173</v>
      </c>
      <c r="AR491" s="482">
        <f>IFERROR(AS491/AS409,0)</f>
        <v>3.1910343919654978E-2</v>
      </c>
      <c r="AS491" s="483">
        <f>+AS492+AS418</f>
        <v>1287199.819999997</v>
      </c>
      <c r="AU491" s="481" t="s">
        <v>173</v>
      </c>
      <c r="AV491" s="482">
        <f>IFERROR(AW491/AW409,0)</f>
        <v>4.0503116714917214E-2</v>
      </c>
      <c r="AW491" s="483">
        <f>+AW492+AW418</f>
        <v>1032412.1999937601</v>
      </c>
      <c r="AY491" s="481" t="s">
        <v>173</v>
      </c>
      <c r="AZ491" s="482">
        <f>IFERROR(BA491/BA409,0)</f>
        <v>3.1910343919654881E-2</v>
      </c>
      <c r="BA491" s="483">
        <f>+BA492+BA418</f>
        <v>1287199.8199999935</v>
      </c>
      <c r="BC491" s="481"/>
      <c r="BD491" s="485"/>
      <c r="BE491" s="486">
        <f t="shared" ref="BE491" si="709">+BA491-AS491</f>
        <v>-3.4924596548080444E-9</v>
      </c>
    </row>
    <row r="492" spans="1:59" ht="21" customHeight="1" thickTop="1">
      <c r="A492" s="15" t="s">
        <v>27</v>
      </c>
      <c r="B492" s="480" t="s">
        <v>172</v>
      </c>
      <c r="C492" s="481" t="s">
        <v>173</v>
      </c>
      <c r="D492" s="482">
        <f>IFERROR(E492/E409,0)</f>
        <v>3.086318018769612E-2</v>
      </c>
      <c r="E492" s="483">
        <f>E486</f>
        <v>2031652.4496381658</v>
      </c>
      <c r="F492" s="481" t="s">
        <v>173</v>
      </c>
      <c r="G492" s="482">
        <f>IFERROR(H492/H409,0)</f>
        <v>8.3019356578440343E-3</v>
      </c>
      <c r="H492" s="483">
        <f>H486</f>
        <v>37899.819999998697</v>
      </c>
      <c r="I492" s="481" t="s">
        <v>173</v>
      </c>
      <c r="J492" s="482">
        <f>IFERROR(K492/K409,0)</f>
        <v>1.1754742194385633E-2</v>
      </c>
      <c r="K492" s="483">
        <f>K486</f>
        <v>40773.829999999522</v>
      </c>
      <c r="L492" s="481" t="s">
        <v>173</v>
      </c>
      <c r="M492" s="482">
        <f>IFERROR(N492/N409,0)</f>
        <v>2.6740836424321936E-2</v>
      </c>
      <c r="N492" s="483">
        <f>N486</f>
        <v>121990.76999999938</v>
      </c>
      <c r="O492" s="481" t="s">
        <v>173</v>
      </c>
      <c r="P492" s="482">
        <f>IFERROR(Q492/Q409,0)</f>
        <v>3.2733410537390935E-2</v>
      </c>
      <c r="Q492" s="483">
        <f>Q486</f>
        <v>154988.5099999996</v>
      </c>
      <c r="R492" s="481" t="s">
        <v>173</v>
      </c>
      <c r="S492" s="482">
        <f>IFERROR(T492/T409,0)</f>
        <v>2.713274179403951E-2</v>
      </c>
      <c r="T492" s="483">
        <f>T486</f>
        <v>147383.54999999981</v>
      </c>
      <c r="U492" s="481" t="s">
        <v>173</v>
      </c>
      <c r="V492" s="482">
        <f>IFERROR(W492/W409,0)</f>
        <v>3.8441619363911286E-2</v>
      </c>
      <c r="W492" s="484">
        <f>W486</f>
        <v>179782.38999999946</v>
      </c>
      <c r="X492" s="481" t="s">
        <v>173</v>
      </c>
      <c r="Y492" s="482">
        <f>IFERROR(Z492/Z409,0)</f>
        <v>4.1371218581874307E-2</v>
      </c>
      <c r="Z492" s="484">
        <f>Z486</f>
        <v>279221.77000000048</v>
      </c>
      <c r="AA492" s="481" t="s">
        <v>173</v>
      </c>
      <c r="AB492" s="482">
        <f>IFERROR(AC492/AC409,0)</f>
        <v>3.507544936874632E-2</v>
      </c>
      <c r="AC492" s="484">
        <f>AC486</f>
        <v>215692.75999999937</v>
      </c>
      <c r="AD492" s="481" t="s">
        <v>173</v>
      </c>
      <c r="AE492" s="482">
        <f>AE486</f>
        <v>2.4715604957600657E-2</v>
      </c>
      <c r="AF492" s="483">
        <f>AF486</f>
        <v>133246.37934895765</v>
      </c>
      <c r="AG492" s="481" t="s">
        <v>173</v>
      </c>
      <c r="AH492" s="482">
        <f>AH486</f>
        <v>2.9838234277803525E-2</v>
      </c>
      <c r="AI492" s="483">
        <f>AI486</f>
        <v>210881.1771346865</v>
      </c>
      <c r="AJ492" s="481" t="s">
        <v>173</v>
      </c>
      <c r="AK492" s="482">
        <f>AK486</f>
        <v>5.0956844728878042E-2</v>
      </c>
      <c r="AL492" s="483">
        <f>AL486</f>
        <v>393055.25698701286</v>
      </c>
      <c r="AM492" s="481" t="s">
        <v>173</v>
      </c>
      <c r="AN492" s="482">
        <f>AN486</f>
        <v>2.1953057556278983E-2</v>
      </c>
      <c r="AO492" s="483">
        <f>AO486</f>
        <v>116736.23616751115</v>
      </c>
      <c r="AQ492" s="481" t="s">
        <v>173</v>
      </c>
      <c r="AR492" s="485">
        <f>IFERROR(AS492/AS409,0)</f>
        <v>2.9196615207469946E-2</v>
      </c>
      <c r="AS492" s="487">
        <f>AS486</f>
        <v>1177733.3999999971</v>
      </c>
      <c r="AU492" s="481" t="s">
        <v>173</v>
      </c>
      <c r="AV492" s="485">
        <f>IFERROR(AW492/AW409,0)</f>
        <v>3.3500556204968286E-2</v>
      </c>
      <c r="AW492" s="487">
        <f>AW486</f>
        <v>853919.04963816842</v>
      </c>
      <c r="AY492" s="481" t="s">
        <v>173</v>
      </c>
      <c r="AZ492" s="485">
        <f>IFERROR(BA492/BA409,0)</f>
        <v>2.9196615207469849E-2</v>
      </c>
      <c r="BA492" s="487">
        <f>BA486</f>
        <v>1177733.3999999936</v>
      </c>
      <c r="BC492" s="481" t="s">
        <v>173</v>
      </c>
      <c r="BD492" s="485"/>
      <c r="BE492" s="488">
        <f>BE486</f>
        <v>-1.7198544810526073E-9</v>
      </c>
    </row>
    <row r="493" spans="1:59" ht="20.25">
      <c r="A493" s="15" t="s">
        <v>27</v>
      </c>
      <c r="B493" s="489"/>
      <c r="C493" s="490"/>
      <c r="D493" s="491"/>
      <c r="E493" s="492"/>
      <c r="F493" s="490"/>
      <c r="G493" s="491"/>
      <c r="H493" s="492"/>
      <c r="I493" s="490"/>
      <c r="J493" s="491"/>
      <c r="K493" s="492"/>
      <c r="L493" s="490"/>
      <c r="M493" s="491"/>
      <c r="N493" s="492"/>
      <c r="O493" s="490"/>
      <c r="P493" s="491"/>
      <c r="Q493" s="492"/>
      <c r="R493" s="490"/>
      <c r="S493" s="491"/>
      <c r="T493" s="492"/>
      <c r="U493" s="490"/>
      <c r="V493" s="491"/>
      <c r="W493" s="492"/>
      <c r="X493" s="490"/>
      <c r="Y493" s="491"/>
      <c r="Z493" s="492"/>
      <c r="AA493" s="490"/>
      <c r="AB493" s="491"/>
      <c r="AC493" s="492"/>
      <c r="AD493" s="490"/>
      <c r="AE493" s="491"/>
      <c r="AF493" s="492"/>
      <c r="AG493" s="490"/>
      <c r="AH493" s="491"/>
      <c r="AI493" s="492"/>
      <c r="AJ493" s="490"/>
      <c r="AK493" s="491"/>
      <c r="AL493" s="492"/>
      <c r="AM493" s="490"/>
      <c r="AN493" s="491"/>
      <c r="AO493" s="492"/>
      <c r="AQ493" s="493"/>
      <c r="AR493" s="494"/>
      <c r="AS493" s="495"/>
      <c r="AU493" s="493"/>
      <c r="AV493" s="494"/>
      <c r="AW493" s="495"/>
      <c r="AY493" s="493"/>
      <c r="AZ493" s="494"/>
      <c r="BA493" s="495"/>
      <c r="BC493" s="493"/>
      <c r="BD493" s="494"/>
      <c r="BE493" s="496"/>
    </row>
    <row r="494" spans="1:59" ht="20.25">
      <c r="A494" s="15" t="s">
        <v>176</v>
      </c>
      <c r="B494" s="497" t="s">
        <v>177</v>
      </c>
      <c r="C494" s="387"/>
      <c r="D494" s="388"/>
      <c r="E494" s="404">
        <f t="shared" ref="E494:E499" si="710">+SUM(H494,K494,N494,Q494,T494,W494,Z494,AC494,AF494,AI494,AL494,AO494)</f>
        <v>515776</v>
      </c>
      <c r="F494" s="387"/>
      <c r="G494" s="388"/>
      <c r="H494" s="404">
        <v>42648</v>
      </c>
      <c r="I494" s="387"/>
      <c r="J494" s="388"/>
      <c r="K494" s="404">
        <v>42648</v>
      </c>
      <c r="L494" s="387"/>
      <c r="M494" s="388"/>
      <c r="N494" s="404">
        <v>42648</v>
      </c>
      <c r="O494" s="387"/>
      <c r="P494" s="388"/>
      <c r="Q494" s="404">
        <v>42648</v>
      </c>
      <c r="R494" s="387"/>
      <c r="S494" s="388"/>
      <c r="T494" s="404">
        <v>42648</v>
      </c>
      <c r="U494" s="387"/>
      <c r="V494" s="388"/>
      <c r="W494" s="404">
        <v>42648</v>
      </c>
      <c r="X494" s="387"/>
      <c r="Y494" s="388"/>
      <c r="Z494" s="404">
        <v>42648</v>
      </c>
      <c r="AA494" s="387"/>
      <c r="AB494" s="388"/>
      <c r="AC494" s="404">
        <f>+[1]VOLKS!$AF$491</f>
        <v>42648</v>
      </c>
      <c r="AD494" s="387"/>
      <c r="AE494" s="388"/>
      <c r="AF494" s="404">
        <v>43648</v>
      </c>
      <c r="AG494" s="387"/>
      <c r="AH494" s="388"/>
      <c r="AI494" s="404">
        <v>43648</v>
      </c>
      <c r="AJ494" s="387"/>
      <c r="AK494" s="388"/>
      <c r="AL494" s="405">
        <v>43648</v>
      </c>
      <c r="AM494" s="387"/>
      <c r="AN494" s="388"/>
      <c r="AO494" s="405">
        <v>43648</v>
      </c>
      <c r="AQ494" s="389"/>
      <c r="AR494" s="390"/>
      <c r="AS494" s="406">
        <f t="shared" ref="AS494:AS499" si="711">SUMIFS(F494:AO494,$F$7:$AO$7,"$PROFITS",$F$3:$AO$3,"RÉEL")</f>
        <v>341184</v>
      </c>
      <c r="AU494" s="389"/>
      <c r="AV494" s="390"/>
      <c r="AW494" s="406">
        <f t="shared" ref="AW494:AW499" si="712">SUMIFS(F494:AO494,$F$7:$AO$7,"$PROFITS",$F$3:$AO$3,"BUDGET")</f>
        <v>174592</v>
      </c>
      <c r="AY494" s="389"/>
      <c r="AZ494" s="390"/>
      <c r="BA494" s="406">
        <f>+[2]VOLKS!$AF$491</f>
        <v>341184</v>
      </c>
      <c r="BC494" s="389"/>
      <c r="BD494" s="390"/>
      <c r="BE494" s="407">
        <f t="shared" ref="BE494:BE498" si="713">+BA494-AS494</f>
        <v>0</v>
      </c>
    </row>
    <row r="495" spans="1:59" ht="20.25">
      <c r="A495" s="15" t="s">
        <v>178</v>
      </c>
      <c r="B495" s="497" t="s">
        <v>179</v>
      </c>
      <c r="C495" s="498"/>
      <c r="D495" s="72"/>
      <c r="E495" s="404">
        <f t="shared" si="710"/>
        <v>0</v>
      </c>
      <c r="F495" s="498"/>
      <c r="G495" s="72"/>
      <c r="H495" s="404">
        <v>0</v>
      </c>
      <c r="I495" s="498"/>
      <c r="J495" s="72"/>
      <c r="K495" s="404">
        <v>0</v>
      </c>
      <c r="L495" s="498"/>
      <c r="M495" s="72"/>
      <c r="N495" s="404">
        <v>0</v>
      </c>
      <c r="O495" s="498"/>
      <c r="P495" s="72"/>
      <c r="Q495" s="404">
        <v>0</v>
      </c>
      <c r="R495" s="498"/>
      <c r="S495" s="72"/>
      <c r="T495" s="404">
        <v>0</v>
      </c>
      <c r="U495" s="498"/>
      <c r="V495" s="72"/>
      <c r="W495" s="404">
        <v>0</v>
      </c>
      <c r="X495" s="498"/>
      <c r="Y495" s="72"/>
      <c r="Z495" s="404">
        <v>0</v>
      </c>
      <c r="AA495" s="498"/>
      <c r="AB495" s="72"/>
      <c r="AC495" s="404">
        <f>+[1]VOLKS!$AF$492</f>
        <v>0</v>
      </c>
      <c r="AD495" s="498"/>
      <c r="AE495" s="72"/>
      <c r="AF495" s="404">
        <v>0</v>
      </c>
      <c r="AG495" s="498"/>
      <c r="AH495" s="72"/>
      <c r="AI495" s="404">
        <v>0</v>
      </c>
      <c r="AJ495" s="498"/>
      <c r="AK495" s="72"/>
      <c r="AL495" s="405">
        <v>0</v>
      </c>
      <c r="AM495" s="498"/>
      <c r="AN495" s="72"/>
      <c r="AO495" s="405">
        <v>0</v>
      </c>
      <c r="AQ495" s="499"/>
      <c r="AR495" s="74"/>
      <c r="AS495" s="406">
        <f t="shared" si="711"/>
        <v>0</v>
      </c>
      <c r="AU495" s="499"/>
      <c r="AV495" s="74"/>
      <c r="AW495" s="406">
        <f t="shared" si="712"/>
        <v>0</v>
      </c>
      <c r="AY495" s="499"/>
      <c r="AZ495" s="74"/>
      <c r="BA495" s="406">
        <f>+[2]VOLKS!$AF$492</f>
        <v>0</v>
      </c>
      <c r="BC495" s="499"/>
      <c r="BD495" s="74"/>
      <c r="BE495" s="407">
        <f t="shared" si="713"/>
        <v>0</v>
      </c>
    </row>
    <row r="496" spans="1:59" ht="20.25">
      <c r="A496" s="15" t="s">
        <v>180</v>
      </c>
      <c r="B496" s="497" t="s">
        <v>181</v>
      </c>
      <c r="C496" s="394"/>
      <c r="D496" s="72"/>
      <c r="E496" s="404">
        <f t="shared" si="710"/>
        <v>0</v>
      </c>
      <c r="F496" s="394"/>
      <c r="G496" s="72"/>
      <c r="H496" s="404">
        <v>0</v>
      </c>
      <c r="I496" s="394"/>
      <c r="J496" s="72"/>
      <c r="K496" s="404">
        <v>0</v>
      </c>
      <c r="L496" s="394"/>
      <c r="M496" s="72"/>
      <c r="N496" s="404">
        <v>0</v>
      </c>
      <c r="O496" s="394"/>
      <c r="P496" s="72"/>
      <c r="Q496" s="404">
        <v>0</v>
      </c>
      <c r="R496" s="394"/>
      <c r="S496" s="72"/>
      <c r="T496" s="404">
        <v>0</v>
      </c>
      <c r="U496" s="394"/>
      <c r="V496" s="72"/>
      <c r="W496" s="404">
        <v>0</v>
      </c>
      <c r="X496" s="394"/>
      <c r="Y496" s="72"/>
      <c r="Z496" s="404">
        <v>0</v>
      </c>
      <c r="AA496" s="394"/>
      <c r="AB496" s="72"/>
      <c r="AC496" s="404">
        <f>+[1]VOLKS!$AF$493</f>
        <v>0</v>
      </c>
      <c r="AD496" s="394"/>
      <c r="AE496" s="72"/>
      <c r="AF496" s="404">
        <v>0</v>
      </c>
      <c r="AG496" s="394"/>
      <c r="AH496" s="72"/>
      <c r="AI496" s="404">
        <v>0</v>
      </c>
      <c r="AJ496" s="394"/>
      <c r="AK496" s="72"/>
      <c r="AL496" s="405">
        <v>0</v>
      </c>
      <c r="AM496" s="394"/>
      <c r="AN496" s="72"/>
      <c r="AO496" s="405">
        <v>0</v>
      </c>
      <c r="AQ496" s="500"/>
      <c r="AR496" s="74"/>
      <c r="AS496" s="406">
        <f t="shared" si="711"/>
        <v>0</v>
      </c>
      <c r="AU496" s="500"/>
      <c r="AV496" s="74"/>
      <c r="AW496" s="406">
        <f t="shared" si="712"/>
        <v>0</v>
      </c>
      <c r="AY496" s="500"/>
      <c r="AZ496" s="74"/>
      <c r="BA496" s="406">
        <f>+[2]VOLKS!$AF$493</f>
        <v>0</v>
      </c>
      <c r="BC496" s="500"/>
      <c r="BD496" s="74"/>
      <c r="BE496" s="407">
        <f t="shared" si="713"/>
        <v>0</v>
      </c>
    </row>
    <row r="497" spans="1:59" ht="20.25">
      <c r="A497" s="15" t="s">
        <v>182</v>
      </c>
      <c r="B497" s="497" t="s">
        <v>183</v>
      </c>
      <c r="C497" s="501"/>
      <c r="D497" s="201"/>
      <c r="E497" s="404">
        <f t="shared" si="710"/>
        <v>0</v>
      </c>
      <c r="F497" s="501"/>
      <c r="G497" s="201"/>
      <c r="H497" s="404">
        <v>0</v>
      </c>
      <c r="I497" s="501"/>
      <c r="J497" s="201"/>
      <c r="K497" s="404">
        <v>0</v>
      </c>
      <c r="L497" s="501"/>
      <c r="M497" s="201"/>
      <c r="N497" s="404">
        <v>0</v>
      </c>
      <c r="O497" s="501"/>
      <c r="P497" s="201"/>
      <c r="Q497" s="404">
        <v>0</v>
      </c>
      <c r="R497" s="501"/>
      <c r="S497" s="201"/>
      <c r="T497" s="404">
        <v>0</v>
      </c>
      <c r="U497" s="501"/>
      <c r="V497" s="201"/>
      <c r="W497" s="404">
        <v>0</v>
      </c>
      <c r="X497" s="501"/>
      <c r="Y497" s="201"/>
      <c r="Z497" s="404">
        <v>0</v>
      </c>
      <c r="AA497" s="501"/>
      <c r="AB497" s="201"/>
      <c r="AC497" s="404">
        <f>+[1]VOLKS!$AF$494</f>
        <v>0</v>
      </c>
      <c r="AD497" s="501"/>
      <c r="AE497" s="201"/>
      <c r="AF497" s="404">
        <v>0</v>
      </c>
      <c r="AG497" s="501"/>
      <c r="AH497" s="201"/>
      <c r="AI497" s="404">
        <v>0</v>
      </c>
      <c r="AJ497" s="501"/>
      <c r="AK497" s="201"/>
      <c r="AL497" s="405">
        <v>0</v>
      </c>
      <c r="AM497" s="501"/>
      <c r="AN497" s="201"/>
      <c r="AO497" s="405">
        <v>0</v>
      </c>
      <c r="AQ497" s="502"/>
      <c r="AR497" s="203"/>
      <c r="AS497" s="406">
        <f t="shared" si="711"/>
        <v>0</v>
      </c>
      <c r="AU497" s="502"/>
      <c r="AV497" s="203"/>
      <c r="AW497" s="406">
        <f t="shared" si="712"/>
        <v>0</v>
      </c>
      <c r="AY497" s="502"/>
      <c r="AZ497" s="203"/>
      <c r="BA497" s="406">
        <f>+[2]VOLKS!$AF$494</f>
        <v>0</v>
      </c>
      <c r="BC497" s="502"/>
      <c r="BD497" s="203"/>
      <c r="BE497" s="407">
        <f t="shared" si="713"/>
        <v>0</v>
      </c>
    </row>
    <row r="498" spans="1:59" ht="20.25">
      <c r="A498" s="15" t="s">
        <v>180</v>
      </c>
      <c r="B498" s="503" t="s">
        <v>184</v>
      </c>
      <c r="C498" s="501"/>
      <c r="D498" s="201"/>
      <c r="E498" s="404">
        <f t="shared" si="710"/>
        <v>0</v>
      </c>
      <c r="F498" s="501"/>
      <c r="G498" s="201"/>
      <c r="H498" s="404">
        <v>0</v>
      </c>
      <c r="I498" s="501"/>
      <c r="J498" s="201"/>
      <c r="K498" s="404">
        <v>0</v>
      </c>
      <c r="L498" s="501"/>
      <c r="M498" s="201"/>
      <c r="N498" s="404">
        <v>0</v>
      </c>
      <c r="O498" s="501"/>
      <c r="P498" s="201"/>
      <c r="Q498" s="404">
        <v>0</v>
      </c>
      <c r="R498" s="501"/>
      <c r="S498" s="201"/>
      <c r="T498" s="404">
        <v>0</v>
      </c>
      <c r="U498" s="501"/>
      <c r="V498" s="201"/>
      <c r="W498" s="404">
        <v>0</v>
      </c>
      <c r="X498" s="501"/>
      <c r="Y498" s="201"/>
      <c r="Z498" s="404">
        <v>0</v>
      </c>
      <c r="AA498" s="501"/>
      <c r="AB498" s="201"/>
      <c r="AC498" s="404">
        <f>+[1]VOLKS!$AF$495</f>
        <v>0</v>
      </c>
      <c r="AD498" s="501"/>
      <c r="AE498" s="201"/>
      <c r="AF498" s="404">
        <v>0</v>
      </c>
      <c r="AG498" s="501"/>
      <c r="AH498" s="201"/>
      <c r="AI498" s="404">
        <v>0</v>
      </c>
      <c r="AJ498" s="501"/>
      <c r="AK498" s="201"/>
      <c r="AL498" s="404">
        <v>0</v>
      </c>
      <c r="AM498" s="501"/>
      <c r="AN498" s="201"/>
      <c r="AO498" s="404">
        <v>0</v>
      </c>
      <c r="AQ498" s="502"/>
      <c r="AR498" s="203"/>
      <c r="AS498" s="406">
        <f t="shared" si="711"/>
        <v>0</v>
      </c>
      <c r="AU498" s="502"/>
      <c r="AV498" s="203"/>
      <c r="AW498" s="406">
        <f t="shared" si="712"/>
        <v>0</v>
      </c>
      <c r="AY498" s="502"/>
      <c r="AZ498" s="203"/>
      <c r="BA498" s="406">
        <f>+[2]VOLKS!$AF$495</f>
        <v>0</v>
      </c>
      <c r="BC498" s="502"/>
      <c r="BD498" s="203"/>
      <c r="BE498" s="504">
        <f t="shared" si="713"/>
        <v>0</v>
      </c>
    </row>
    <row r="499" spans="1:59" ht="21" customHeight="1">
      <c r="A499" s="15" t="s">
        <v>185</v>
      </c>
      <c r="B499" s="503" t="s">
        <v>186</v>
      </c>
      <c r="C499" s="501"/>
      <c r="D499" s="201"/>
      <c r="E499" s="404">
        <f t="shared" si="710"/>
        <v>-12948.666666666664</v>
      </c>
      <c r="F499" s="501"/>
      <c r="G499" s="201"/>
      <c r="H499" s="382">
        <v>-1079</v>
      </c>
      <c r="I499" s="501"/>
      <c r="J499" s="201"/>
      <c r="K499" s="382">
        <v>-1079</v>
      </c>
      <c r="L499" s="501"/>
      <c r="M499" s="201"/>
      <c r="N499" s="382">
        <v>-1079</v>
      </c>
      <c r="O499" s="501"/>
      <c r="P499" s="201"/>
      <c r="Q499" s="382">
        <v>-1079</v>
      </c>
      <c r="R499" s="501"/>
      <c r="S499" s="201"/>
      <c r="T499" s="382">
        <v>-1079</v>
      </c>
      <c r="U499" s="501"/>
      <c r="V499" s="201"/>
      <c r="W499" s="382">
        <v>-1079</v>
      </c>
      <c r="X499" s="501"/>
      <c r="Y499" s="201"/>
      <c r="Z499" s="382">
        <v>-1079</v>
      </c>
      <c r="AA499" s="501"/>
      <c r="AB499" s="201"/>
      <c r="AC499" s="382">
        <f>+[1]VOLKS!$AF$496</f>
        <v>-1079</v>
      </c>
      <c r="AD499" s="501"/>
      <c r="AE499" s="201"/>
      <c r="AF499" s="382">
        <v>-1079.1666666666667</v>
      </c>
      <c r="AG499" s="501"/>
      <c r="AH499" s="201"/>
      <c r="AI499" s="382">
        <v>-1079.1666666666667</v>
      </c>
      <c r="AJ499" s="501"/>
      <c r="AK499" s="201"/>
      <c r="AL499" s="382">
        <v>-1079.1666666666667</v>
      </c>
      <c r="AM499" s="501"/>
      <c r="AN499" s="201"/>
      <c r="AO499" s="382">
        <v>-1079.1666666666667</v>
      </c>
      <c r="AQ499" s="502"/>
      <c r="AR499" s="203"/>
      <c r="AS499" s="406">
        <f t="shared" si="711"/>
        <v>-8632</v>
      </c>
      <c r="AU499" s="502"/>
      <c r="AV499" s="203"/>
      <c r="AW499" s="406">
        <f t="shared" si="712"/>
        <v>-4316.666666666667</v>
      </c>
      <c r="AY499" s="502"/>
      <c r="AZ499" s="203"/>
      <c r="BA499" s="385">
        <f>+[2]VOLKS!$AF$496</f>
        <v>-8632</v>
      </c>
      <c r="BC499" s="502"/>
      <c r="BD499" s="203"/>
      <c r="BE499" s="504">
        <f>+BA499-AS499</f>
        <v>0</v>
      </c>
    </row>
    <row r="500" spans="1:59" ht="21" customHeight="1" thickBot="1">
      <c r="A500" s="15"/>
      <c r="B500" s="505"/>
      <c r="C500" s="501"/>
      <c r="D500" s="201"/>
      <c r="E500" s="382"/>
      <c r="F500" s="501"/>
      <c r="G500" s="201"/>
      <c r="H500" s="382"/>
      <c r="I500" s="501"/>
      <c r="J500" s="201"/>
      <c r="K500" s="382"/>
      <c r="L500" s="501"/>
      <c r="M500" s="201"/>
      <c r="N500" s="382"/>
      <c r="O500" s="501"/>
      <c r="P500" s="201"/>
      <c r="Q500" s="382"/>
      <c r="R500" s="501"/>
      <c r="S500" s="201"/>
      <c r="T500" s="382"/>
      <c r="U500" s="501"/>
      <c r="V500" s="201"/>
      <c r="W500" s="382"/>
      <c r="X500" s="501"/>
      <c r="Y500" s="201"/>
      <c r="Z500" s="382"/>
      <c r="AA500" s="501"/>
      <c r="AB500" s="201"/>
      <c r="AC500" s="382"/>
      <c r="AD500" s="501"/>
      <c r="AE500" s="201"/>
      <c r="AF500" s="382"/>
      <c r="AG500" s="501"/>
      <c r="AH500" s="201"/>
      <c r="AI500" s="382"/>
      <c r="AJ500" s="501"/>
      <c r="AK500" s="201"/>
      <c r="AL500" s="382"/>
      <c r="AM500" s="501"/>
      <c r="AN500" s="201"/>
      <c r="AO500" s="382"/>
      <c r="AQ500" s="502"/>
      <c r="AR500" s="203"/>
      <c r="AS500" s="385"/>
      <c r="AU500" s="502"/>
      <c r="AV500" s="203"/>
      <c r="AW500" s="385"/>
      <c r="AY500" s="502"/>
      <c r="AZ500" s="203"/>
      <c r="BA500" s="385"/>
      <c r="BC500" s="502"/>
      <c r="BD500" s="203"/>
      <c r="BE500" s="386"/>
    </row>
    <row r="501" spans="1:59" ht="19.5" thickTop="1" thickBot="1">
      <c r="B501" s="506" t="s">
        <v>187</v>
      </c>
      <c r="C501" s="507" t="s">
        <v>173</v>
      </c>
      <c r="D501" s="508">
        <f>IFERROR(E501/E409,0)</f>
        <v>2.3224644081420026E-2</v>
      </c>
      <c r="E501" s="509">
        <f>E492-E494-E495-E496-E497-E498-E499</f>
        <v>1528825.1163048325</v>
      </c>
      <c r="F501" s="507" t="s">
        <v>173</v>
      </c>
      <c r="G501" s="508">
        <v>3.0090147187851302</v>
      </c>
      <c r="H501" s="509">
        <f>H492-H494-H495-H496-H497-H498-H499</f>
        <v>-3669.1800000013027</v>
      </c>
      <c r="I501" s="507" t="s">
        <v>173</v>
      </c>
      <c r="J501" s="508">
        <v>3.0090147187851302</v>
      </c>
      <c r="K501" s="509">
        <f>K492-K494-K495-K496-K497-K498-K499</f>
        <v>-795.17000000047847</v>
      </c>
      <c r="L501" s="507" t="s">
        <v>173</v>
      </c>
      <c r="M501" s="508">
        <v>3.0090147187851302</v>
      </c>
      <c r="N501" s="509">
        <f>N492-N494-N495-N496-N497-N498-N499</f>
        <v>80421.769999999378</v>
      </c>
      <c r="O501" s="507" t="s">
        <v>173</v>
      </c>
      <c r="P501" s="508">
        <v>3.0090147187851302</v>
      </c>
      <c r="Q501" s="509">
        <f>Q492-Q494-Q495-Q496-Q497-Q498-Q499</f>
        <v>113419.5099999996</v>
      </c>
      <c r="R501" s="507" t="s">
        <v>173</v>
      </c>
      <c r="S501" s="508">
        <v>3.0090147187851302</v>
      </c>
      <c r="T501" s="509">
        <f>T492-T494-T495-T496-T497-T498-T499</f>
        <v>105814.54999999981</v>
      </c>
      <c r="U501" s="507" t="s">
        <v>173</v>
      </c>
      <c r="V501" s="508">
        <v>3.0090147187851302</v>
      </c>
      <c r="W501" s="510">
        <f>W492-W494-W495-W496-W497-W498-W499</f>
        <v>138213.38999999946</v>
      </c>
      <c r="X501" s="507" t="s">
        <v>173</v>
      </c>
      <c r="Y501" s="508">
        <v>3.0090147187851302</v>
      </c>
      <c r="Z501" s="510">
        <f>Z492-Z494-Z495-Z496-Z497-Z498-Z499</f>
        <v>237652.77000000048</v>
      </c>
      <c r="AA501" s="507" t="s">
        <v>173</v>
      </c>
      <c r="AB501" s="508">
        <v>3.0090147187851302</v>
      </c>
      <c r="AC501" s="510">
        <f>AC492-AC494-AC495-AC496-AC497-AC498-AC499</f>
        <v>174123.75999999937</v>
      </c>
      <c r="AD501" s="507" t="s">
        <v>173</v>
      </c>
      <c r="AE501" s="508">
        <f>+AF501/AF409</f>
        <v>1.6819597026178846E-2</v>
      </c>
      <c r="AF501" s="509">
        <f>AF492-AF494-AF495-AF496-AF497-AF498-AF499</f>
        <v>90677.546015624321</v>
      </c>
      <c r="AG501" s="507" t="s">
        <v>173</v>
      </c>
      <c r="AH501" s="508">
        <f>+AI501/AI409</f>
        <v>2.3815037522212916E-2</v>
      </c>
      <c r="AI501" s="509">
        <f>AI492-AI494-AI495-AI496-AI497-AI498-AI499</f>
        <v>168312.34380135316</v>
      </c>
      <c r="AJ501" s="507" t="s">
        <v>173</v>
      </c>
      <c r="AK501" s="508">
        <f>+AL501/AL409</f>
        <v>4.5438095413364306E-2</v>
      </c>
      <c r="AL501" s="509">
        <f>AL492-AL494-AL495-AL496-AL497-AL498-AL499</f>
        <v>350486.42365367955</v>
      </c>
      <c r="AM501" s="507" t="s">
        <v>173</v>
      </c>
      <c r="AN501" s="508">
        <f>+AO501/AO409</f>
        <v>1.3947693678268336E-2</v>
      </c>
      <c r="AO501" s="509">
        <f>AO492-AO494-AO495-AO496-AO497-AO498-AO499</f>
        <v>74167.402834177818</v>
      </c>
      <c r="AQ501" s="507" t="s">
        <v>173</v>
      </c>
      <c r="AR501" s="511">
        <f t="shared" ref="AR501" si="714">IFERROR(AS501/AS409,0)</f>
        <v>2.095248051580325E-2</v>
      </c>
      <c r="AS501" s="512">
        <f>AS492-AS494-AS495-AS496-AS497-AS498-AS499</f>
        <v>845181.39999999711</v>
      </c>
      <c r="AU501" s="507" t="s">
        <v>173</v>
      </c>
      <c r="AV501" s="511">
        <f t="shared" ref="AV501" si="715">IFERROR(AW501/AW409,0)</f>
        <v>2.6820393281948664E-2</v>
      </c>
      <c r="AW501" s="512">
        <f>AW492-AW494-AW495-AW496-AW497-AW498-AW499</f>
        <v>683643.71630483505</v>
      </c>
      <c r="AY501" s="507" t="s">
        <v>173</v>
      </c>
      <c r="AZ501" s="511">
        <v>9.0147187851284342E-3</v>
      </c>
      <c r="BA501" s="512">
        <f>BA492-BA494-BA495-BA496-BA497-BA498-BA499</f>
        <v>845181.39999999362</v>
      </c>
      <c r="BC501" s="507" t="s">
        <v>173</v>
      </c>
      <c r="BD501" s="511"/>
      <c r="BE501" s="513">
        <f>BE492-BE494-BE495-BE496-BE497-BE498-BE499</f>
        <v>-1.7198544810526073E-9</v>
      </c>
    </row>
    <row r="502" spans="1:59" ht="16.5" thickTop="1">
      <c r="B502" s="491"/>
      <c r="C502" s="491"/>
      <c r="D502" s="491"/>
      <c r="E502" s="491"/>
      <c r="F502" s="491"/>
      <c r="G502" s="491"/>
      <c r="H502" s="491"/>
      <c r="I502" s="491"/>
      <c r="J502" s="491"/>
      <c r="K502" s="491"/>
      <c r="L502" s="491"/>
      <c r="M502" s="491"/>
      <c r="N502" s="491"/>
      <c r="O502" s="491"/>
      <c r="P502" s="491"/>
      <c r="Q502" s="491"/>
      <c r="R502" s="491"/>
      <c r="S502" s="491"/>
      <c r="T502" s="491"/>
      <c r="U502" s="491"/>
      <c r="V502" s="491"/>
      <c r="W502" s="491"/>
      <c r="X502" s="491"/>
      <c r="Y502" s="491"/>
      <c r="Z502" s="491"/>
      <c r="AA502" s="491"/>
      <c r="AB502" s="491"/>
      <c r="AC502" s="491"/>
      <c r="AD502" s="491"/>
      <c r="AE502" s="491"/>
      <c r="AF502" s="491"/>
      <c r="AG502" s="491"/>
      <c r="AH502" s="491"/>
      <c r="AI502" s="491"/>
      <c r="AJ502" s="491"/>
      <c r="AK502" s="491"/>
      <c r="AL502" s="491"/>
      <c r="AM502" s="491"/>
      <c r="AN502" s="491"/>
      <c r="AO502" s="491"/>
      <c r="AQ502" s="494"/>
      <c r="AR502" s="494"/>
      <c r="AS502" s="494"/>
      <c r="AU502" s="494"/>
      <c r="AV502" s="494"/>
      <c r="AW502" s="494"/>
      <c r="AY502" s="494"/>
      <c r="AZ502" s="494"/>
      <c r="BA502" s="494"/>
      <c r="BC502" s="494"/>
      <c r="BD502" s="494"/>
      <c r="BE502" s="514"/>
    </row>
    <row r="503" spans="1:59" ht="15.75">
      <c r="B503" s="491"/>
      <c r="C503" s="491"/>
      <c r="D503" s="491"/>
      <c r="E503" s="491"/>
      <c r="F503" s="491"/>
      <c r="G503" s="491"/>
      <c r="H503" s="491"/>
      <c r="I503" s="491"/>
      <c r="J503" s="491"/>
      <c r="K503" s="491"/>
      <c r="L503" s="491"/>
      <c r="M503" s="491"/>
      <c r="N503" s="491"/>
      <c r="O503" s="491"/>
      <c r="P503" s="491"/>
      <c r="Q503" s="491"/>
      <c r="R503" s="491"/>
      <c r="S503" s="491"/>
      <c r="T503" s="491"/>
      <c r="U503" s="491"/>
      <c r="V503" s="491"/>
      <c r="W503" s="491"/>
      <c r="X503" s="491"/>
      <c r="Y503" s="491"/>
      <c r="Z503" s="491"/>
      <c r="AA503" s="491"/>
      <c r="AB503" s="491"/>
      <c r="AC503" s="491"/>
      <c r="AD503" s="491"/>
      <c r="AE503" s="491"/>
      <c r="AF503" s="491"/>
      <c r="AG503" s="491"/>
      <c r="AH503" s="491"/>
      <c r="AI503" s="491"/>
      <c r="AJ503" s="491"/>
      <c r="AK503" s="491"/>
      <c r="AL503" s="491"/>
      <c r="AM503" s="491"/>
      <c r="AN503" s="491"/>
      <c r="AO503" s="491"/>
      <c r="AQ503" s="494"/>
      <c r="AR503" s="494"/>
      <c r="AS503" s="494"/>
      <c r="AU503" s="494"/>
      <c r="AV503" s="494"/>
      <c r="AW503" s="494"/>
      <c r="AY503" s="494"/>
      <c r="AZ503" s="494"/>
      <c r="BA503" s="494"/>
      <c r="BC503" s="494"/>
      <c r="BD503" s="494"/>
      <c r="BE503" s="514"/>
      <c r="BG503" s="1">
        <f>+BA503-AS503-BE503</f>
        <v>0</v>
      </c>
    </row>
    <row r="504" spans="1:59" ht="15.75">
      <c r="B504" s="491"/>
      <c r="C504" s="491"/>
      <c r="D504" s="491"/>
      <c r="E504" s="515"/>
      <c r="F504" s="491"/>
      <c r="G504" s="491"/>
      <c r="H504" s="491"/>
      <c r="I504" s="491"/>
      <c r="J504" s="491"/>
      <c r="K504" s="491"/>
      <c r="L504" s="491"/>
      <c r="M504" s="491"/>
      <c r="N504" s="491"/>
      <c r="O504" s="491"/>
      <c r="P504" s="491"/>
      <c r="Q504" s="491"/>
      <c r="R504" s="491"/>
      <c r="S504" s="491"/>
      <c r="T504" s="491"/>
      <c r="U504" s="491"/>
      <c r="V504" s="491"/>
      <c r="W504" s="491"/>
      <c r="X504" s="491"/>
      <c r="Y504" s="491"/>
      <c r="Z504" s="491"/>
      <c r="AA504" s="491"/>
      <c r="AB504" s="491"/>
      <c r="AC504" s="491"/>
      <c r="AD504" s="491"/>
      <c r="AE504" s="491"/>
      <c r="AF504" s="491"/>
      <c r="AG504" s="491"/>
      <c r="AH504" s="491"/>
      <c r="AI504" s="491"/>
      <c r="AJ504" s="491"/>
      <c r="AK504" s="491"/>
      <c r="AL504" s="491"/>
      <c r="AM504" s="491"/>
      <c r="AN504" s="491"/>
      <c r="AO504" s="491"/>
      <c r="AQ504" s="494"/>
      <c r="AR504" s="494"/>
      <c r="AS504" s="494"/>
      <c r="AU504" s="494"/>
      <c r="AV504" s="494"/>
      <c r="AW504" s="494"/>
      <c r="AY504" s="494"/>
      <c r="AZ504" s="494"/>
      <c r="BA504" s="494"/>
      <c r="BC504" s="494"/>
      <c r="BD504" s="494"/>
      <c r="BE504" s="514"/>
    </row>
    <row r="505" spans="1:59" ht="15.75">
      <c r="B505" s="491"/>
      <c r="C505" s="491"/>
      <c r="D505" s="491"/>
      <c r="E505" s="515">
        <f>+E501</f>
        <v>1528825.1163048325</v>
      </c>
      <c r="F505" s="491"/>
      <c r="G505" s="491"/>
      <c r="H505" s="515">
        <f>+H501</f>
        <v>-3669.1800000013027</v>
      </c>
      <c r="I505" s="491"/>
      <c r="J505" s="491"/>
      <c r="K505" s="515">
        <f>+K501</f>
        <v>-795.17000000047847</v>
      </c>
      <c r="L505" s="491"/>
      <c r="M505" s="491"/>
      <c r="N505" s="515">
        <f>+N501</f>
        <v>80421.769999999378</v>
      </c>
      <c r="O505" s="491"/>
      <c r="P505" s="491"/>
      <c r="Q505" s="515">
        <f>+Q501</f>
        <v>113419.5099999996</v>
      </c>
      <c r="R505" s="491"/>
      <c r="S505" s="491"/>
      <c r="T505" s="515">
        <f>+T501</f>
        <v>105814.54999999981</v>
      </c>
      <c r="U505" s="491"/>
      <c r="V505" s="491"/>
      <c r="W505" s="515">
        <f>+W501</f>
        <v>138213.38999999946</v>
      </c>
      <c r="X505" s="491"/>
      <c r="Y505" s="491"/>
      <c r="Z505" s="515">
        <f>+Z501</f>
        <v>237652.77000000048</v>
      </c>
      <c r="AA505" s="491"/>
      <c r="AB505" s="491"/>
      <c r="AC505" s="515">
        <f>+AC501</f>
        <v>174123.75999999937</v>
      </c>
      <c r="AD505" s="491"/>
      <c r="AE505" s="491"/>
      <c r="AF505" s="515">
        <f>+AF501</f>
        <v>90677.546015624321</v>
      </c>
      <c r="AG505" s="491"/>
      <c r="AH505" s="491"/>
      <c r="AI505" s="515">
        <f>+AI501</f>
        <v>168312.34380135316</v>
      </c>
      <c r="AJ505" s="491"/>
      <c r="AK505" s="491"/>
      <c r="AL505" s="515">
        <v>171108.61999999848</v>
      </c>
      <c r="AM505" s="491"/>
      <c r="AN505" s="491"/>
      <c r="AO505" s="515">
        <f>+AO501</f>
        <v>74167.402834177818</v>
      </c>
      <c r="AQ505" s="494"/>
      <c r="AR505" s="494"/>
      <c r="AS505" s="516">
        <f>+AS501</f>
        <v>845181.39999999711</v>
      </c>
      <c r="AU505" s="494"/>
      <c r="AV505" s="494"/>
      <c r="AW505" s="516">
        <f>+AW501</f>
        <v>683643.71630483505</v>
      </c>
      <c r="AY505" s="494"/>
      <c r="AZ505" s="494"/>
      <c r="BA505" s="516">
        <f>+BA501</f>
        <v>845181.39999999362</v>
      </c>
      <c r="BC505" s="494"/>
      <c r="BD505" s="494"/>
      <c r="BE505" s="514">
        <f>+BE501</f>
        <v>-1.7198544810526073E-9</v>
      </c>
    </row>
    <row r="506" spans="1:59" ht="15.75">
      <c r="B506" s="491"/>
      <c r="C506" s="491"/>
      <c r="D506" s="491"/>
      <c r="E506" s="491"/>
      <c r="F506" s="491"/>
      <c r="G506" s="491"/>
      <c r="H506" s="515"/>
      <c r="I506" s="491"/>
      <c r="J506" s="491"/>
      <c r="K506" s="491"/>
      <c r="L506" s="491"/>
      <c r="M506" s="491"/>
      <c r="N506" s="515"/>
      <c r="O506" s="491"/>
      <c r="P506" s="491"/>
      <c r="Q506" s="515"/>
      <c r="R506" s="491"/>
      <c r="S506" s="491"/>
      <c r="T506" s="491"/>
      <c r="U506" s="491"/>
      <c r="V506" s="491"/>
      <c r="W506" s="491"/>
      <c r="X506" s="491"/>
      <c r="Y506" s="491"/>
      <c r="Z506" s="491"/>
      <c r="AA506" s="491"/>
      <c r="AB506" s="491"/>
      <c r="AC506" s="491"/>
      <c r="AD506" s="491"/>
      <c r="AE506" s="491"/>
      <c r="AF506" s="491"/>
      <c r="AG506" s="491"/>
      <c r="AH506" s="491"/>
      <c r="AI506" s="491"/>
      <c r="AJ506" s="491"/>
      <c r="AK506" s="491"/>
      <c r="AL506" s="491"/>
      <c r="AM506" s="491"/>
      <c r="AN506" s="491"/>
      <c r="AO506" s="491"/>
      <c r="AQ506" s="494"/>
      <c r="AR506" s="494"/>
      <c r="AS506" s="494"/>
      <c r="AU506" s="494"/>
      <c r="AV506" s="494"/>
      <c r="AW506" s="494"/>
      <c r="AY506" s="494"/>
      <c r="AZ506" s="494"/>
      <c r="BA506" s="494"/>
      <c r="BC506" s="494"/>
      <c r="BD506" s="494"/>
      <c r="BE506" s="514">
        <f>+BA503-AS503</f>
        <v>0</v>
      </c>
    </row>
    <row r="507" spans="1:59" ht="15.75">
      <c r="B507" s="491"/>
      <c r="C507" s="491"/>
      <c r="D507" s="491"/>
      <c r="E507" s="491"/>
      <c r="F507" s="491"/>
      <c r="G507" s="491"/>
      <c r="H507" s="491"/>
      <c r="I507" s="491"/>
      <c r="J507" s="491"/>
      <c r="K507" s="491"/>
      <c r="L507" s="491"/>
      <c r="M507" s="491"/>
      <c r="N507" s="491"/>
      <c r="O507" s="491"/>
      <c r="P507" s="491"/>
      <c r="Q507" s="491"/>
      <c r="R507" s="491"/>
      <c r="S507" s="491"/>
      <c r="T507" s="491"/>
      <c r="U507" s="491"/>
      <c r="V507" s="491"/>
      <c r="W507" s="491"/>
      <c r="X507" s="491"/>
      <c r="Y507" s="491"/>
      <c r="Z507" s="491"/>
      <c r="AA507" s="491"/>
      <c r="AB507" s="491"/>
      <c r="AC507" s="491"/>
      <c r="AD507" s="491"/>
      <c r="AE507" s="491"/>
      <c r="AF507" s="491"/>
      <c r="AG507" s="491"/>
      <c r="AH507" s="491"/>
      <c r="AI507" s="491"/>
      <c r="AJ507" s="491"/>
      <c r="AK507" s="491"/>
      <c r="AL507" s="491"/>
      <c r="AM507" s="491"/>
      <c r="AN507" s="491"/>
      <c r="AO507" s="491"/>
      <c r="AQ507" s="494"/>
      <c r="AR507" s="494"/>
      <c r="AS507" s="494"/>
      <c r="AU507" s="494"/>
      <c r="AV507" s="494"/>
      <c r="AW507" s="494"/>
      <c r="AY507" s="494"/>
      <c r="AZ507" s="494"/>
      <c r="BA507" s="494"/>
      <c r="BC507" s="494"/>
      <c r="BD507" s="494"/>
      <c r="BE507" s="514"/>
    </row>
    <row r="508" spans="1:59" ht="15.75">
      <c r="B508" s="491"/>
      <c r="C508" s="491"/>
      <c r="D508" s="491"/>
      <c r="E508" s="491"/>
      <c r="F508" s="491"/>
      <c r="G508" s="491"/>
      <c r="H508" s="491"/>
      <c r="I508" s="491"/>
      <c r="J508" s="491"/>
      <c r="K508" s="491"/>
      <c r="L508" s="491"/>
      <c r="M508" s="491"/>
      <c r="N508" s="491"/>
      <c r="O508" s="491"/>
      <c r="P508" s="491"/>
      <c r="Q508" s="491"/>
      <c r="R508" s="491"/>
      <c r="S508" s="491"/>
      <c r="T508" s="491"/>
      <c r="U508" s="491"/>
      <c r="V508" s="491"/>
      <c r="W508" s="491"/>
      <c r="X508" s="491"/>
      <c r="Y508" s="491"/>
      <c r="Z508" s="491"/>
      <c r="AA508" s="491"/>
      <c r="AB508" s="491"/>
      <c r="AC508" s="491"/>
      <c r="AD508" s="491"/>
      <c r="AE508" s="491"/>
      <c r="AF508" s="491"/>
      <c r="AG508" s="491"/>
      <c r="AH508" s="491"/>
      <c r="AI508" s="491"/>
      <c r="AJ508" s="491"/>
      <c r="AK508" s="491"/>
      <c r="AL508" s="491"/>
      <c r="AM508" s="491"/>
      <c r="AN508" s="491"/>
      <c r="AO508" s="491"/>
      <c r="AQ508" s="494"/>
      <c r="AR508" s="494"/>
      <c r="AS508" s="494"/>
      <c r="AU508" s="494"/>
      <c r="AV508" s="494"/>
      <c r="AW508" s="494"/>
      <c r="AY508" s="494"/>
      <c r="AZ508" s="494"/>
      <c r="BA508" s="494"/>
      <c r="BC508" s="494"/>
      <c r="BD508" s="494"/>
      <c r="BE508" s="514"/>
    </row>
    <row r="509" spans="1:59" ht="15.75">
      <c r="B509" s="491"/>
      <c r="C509" s="491"/>
      <c r="D509" s="491"/>
      <c r="E509" s="491"/>
      <c r="F509" s="491"/>
      <c r="G509" s="491"/>
      <c r="H509" s="491"/>
      <c r="I509" s="491"/>
      <c r="J509" s="491"/>
      <c r="K509" s="491"/>
      <c r="L509" s="491"/>
      <c r="M509" s="491"/>
      <c r="N509" s="491"/>
      <c r="O509" s="491"/>
      <c r="P509" s="491"/>
      <c r="Q509" s="491"/>
      <c r="R509" s="491"/>
      <c r="S509" s="491"/>
      <c r="T509" s="491"/>
      <c r="U509" s="491"/>
      <c r="V509" s="491"/>
      <c r="W509" s="491"/>
      <c r="X509" s="491"/>
      <c r="Y509" s="491"/>
      <c r="Z509" s="491"/>
      <c r="AA509" s="491"/>
      <c r="AB509" s="491"/>
      <c r="AC509" s="491"/>
      <c r="AD509" s="491"/>
      <c r="AE509" s="491"/>
      <c r="AF509" s="491"/>
      <c r="AG509" s="491"/>
      <c r="AH509" s="491"/>
      <c r="AI509" s="491"/>
      <c r="AJ509" s="491"/>
      <c r="AK509" s="491"/>
      <c r="AL509" s="491"/>
      <c r="AM509" s="491"/>
      <c r="AN509" s="491"/>
      <c r="AO509" s="491"/>
      <c r="AQ509" s="494"/>
      <c r="AR509" s="494"/>
      <c r="AS509" s="494"/>
      <c r="AU509" s="494"/>
      <c r="AV509" s="494"/>
      <c r="AW509" s="494"/>
      <c r="AY509" s="494"/>
      <c r="AZ509" s="494"/>
      <c r="BA509" s="494"/>
      <c r="BC509" s="494"/>
      <c r="BD509" s="494"/>
      <c r="BE509" s="514"/>
    </row>
    <row r="510" spans="1:59" ht="16.5" thickBot="1">
      <c r="B510" s="491"/>
      <c r="C510" s="491"/>
      <c r="D510" s="491"/>
      <c r="E510" s="491"/>
      <c r="F510" s="491"/>
      <c r="G510" s="491"/>
      <c r="H510" s="491"/>
      <c r="I510" s="491"/>
      <c r="J510" s="491"/>
      <c r="K510" s="491"/>
      <c r="L510" s="491"/>
      <c r="M510" s="491"/>
      <c r="N510" s="491"/>
      <c r="O510" s="491"/>
      <c r="P510" s="491"/>
      <c r="Q510" s="491"/>
      <c r="R510" s="491"/>
      <c r="S510" s="491"/>
      <c r="T510" s="491"/>
      <c r="U510" s="491"/>
      <c r="V510" s="491"/>
      <c r="W510" s="491"/>
      <c r="X510" s="491"/>
      <c r="Y510" s="491"/>
      <c r="Z510" s="491"/>
      <c r="AA510" s="491"/>
      <c r="AB510" s="491"/>
      <c r="AC510" s="491"/>
      <c r="AD510" s="491"/>
      <c r="AE510" s="491"/>
      <c r="AF510" s="491"/>
      <c r="AG510" s="491"/>
      <c r="AH510" s="491"/>
      <c r="AI510" s="491"/>
      <c r="AJ510" s="491"/>
      <c r="AK510" s="491"/>
      <c r="AL510" s="491"/>
      <c r="AM510" s="491"/>
      <c r="AN510" s="491"/>
      <c r="AO510" s="491"/>
      <c r="AQ510" s="494"/>
      <c r="AR510" s="494"/>
      <c r="AS510" s="494"/>
      <c r="AU510" s="494"/>
      <c r="AV510" s="494"/>
      <c r="AW510" s="494"/>
      <c r="AY510" s="494"/>
      <c r="AZ510" s="494"/>
      <c r="BA510" s="494"/>
      <c r="BC510" s="494"/>
      <c r="BD510" s="494"/>
      <c r="BE510" s="514"/>
    </row>
    <row r="511" spans="1:59" ht="18">
      <c r="A511" s="517"/>
      <c r="B511" s="518" t="s">
        <v>188</v>
      </c>
      <c r="C511" s="519"/>
      <c r="D511" s="520"/>
      <c r="E511" s="521">
        <f>+SUM(E512:E517)</f>
        <v>2162661.7003932898</v>
      </c>
      <c r="F511" s="522"/>
      <c r="G511" s="520"/>
      <c r="H511" s="521">
        <f>+SUM(H512:H517)</f>
        <v>178311.63</v>
      </c>
      <c r="I511" s="522"/>
      <c r="J511" s="520"/>
      <c r="K511" s="521">
        <f>+SUM(K512:K517)</f>
        <v>124132.51999999999</v>
      </c>
      <c r="L511" s="522"/>
      <c r="M511" s="520"/>
      <c r="N511" s="521">
        <f>+SUM(N512:N517)</f>
        <v>161823.91</v>
      </c>
      <c r="O511" s="522"/>
      <c r="P511" s="520"/>
      <c r="Q511" s="521">
        <f>+SUM(Q512:Q517)</f>
        <v>185884.98</v>
      </c>
      <c r="R511" s="522"/>
      <c r="S511" s="520"/>
      <c r="T511" s="521">
        <f>+SUM(T512:T517)</f>
        <v>198769.96000000002</v>
      </c>
      <c r="U511" s="522"/>
      <c r="V511" s="520"/>
      <c r="W511" s="521">
        <f>+SUM(W512:W517)</f>
        <v>161494.98000000001</v>
      </c>
      <c r="X511" s="522"/>
      <c r="Y511" s="520"/>
      <c r="Z511" s="521">
        <f>+SUM(Z512:Z517)</f>
        <v>176094.17999999991</v>
      </c>
      <c r="AA511" s="522"/>
      <c r="AB511" s="520"/>
      <c r="AC511" s="521">
        <f>+SUM(AC512:AC517)</f>
        <v>168391.7099999999</v>
      </c>
      <c r="AD511" s="522"/>
      <c r="AE511" s="520"/>
      <c r="AF511" s="521">
        <f>+SUM(AF512:AF517)</f>
        <v>177032.48465828539</v>
      </c>
      <c r="AG511" s="522"/>
      <c r="AH511" s="520"/>
      <c r="AI511" s="521">
        <f>+SUM(AI512:AI517)</f>
        <v>226381.85087116581</v>
      </c>
      <c r="AJ511" s="522"/>
      <c r="AK511" s="520"/>
      <c r="AL511" s="521">
        <v>189099.92</v>
      </c>
      <c r="AM511" s="522"/>
      <c r="AN511" s="520"/>
      <c r="AO511" s="521">
        <f>+SUM(AO512:AO517)</f>
        <v>170297.89284510392</v>
      </c>
      <c r="AQ511" s="523"/>
      <c r="AR511" s="524"/>
      <c r="AS511" s="525">
        <f>+SUM(AS512:AS517)</f>
        <v>1354903.8699999999</v>
      </c>
      <c r="AU511" s="523"/>
      <c r="AV511" s="524"/>
      <c r="AW511" s="525">
        <f>+SUM(AW512:AW517)</f>
        <v>807757.83039328968</v>
      </c>
      <c r="AY511" s="523"/>
      <c r="AZ511" s="524"/>
      <c r="BA511" s="525">
        <f>+SUM(BA512:BA517)</f>
        <v>1354903.8699999999</v>
      </c>
      <c r="BC511" s="523"/>
      <c r="BD511" s="524"/>
      <c r="BE511" s="526">
        <f>+SUM(BE512:BE517)</f>
        <v>0</v>
      </c>
    </row>
    <row r="512" spans="1:59" ht="18.75">
      <c r="A512" s="527"/>
      <c r="B512" s="528" t="s">
        <v>43</v>
      </c>
      <c r="C512" s="529"/>
      <c r="D512" s="491"/>
      <c r="E512" s="530">
        <f>+SUMIF($A$412:$A$498,$B512,E$412:E$498)</f>
        <v>692861.94977739337</v>
      </c>
      <c r="F512" s="531"/>
      <c r="G512" s="491"/>
      <c r="H512" s="530">
        <f>+SUMIF($A$412:$A$498,$B512,H$412:H$498)</f>
        <v>58076.689999999995</v>
      </c>
      <c r="I512" s="531"/>
      <c r="J512" s="491"/>
      <c r="K512" s="530">
        <f>+SUMIF($A$412:$A$498,$B512,K$412:K$498)</f>
        <v>36001.019999999997</v>
      </c>
      <c r="L512" s="531"/>
      <c r="M512" s="491"/>
      <c r="N512" s="530">
        <f>+SUMIF($A$412:$A$498,$B512,N$412:N$498)</f>
        <v>44955.82</v>
      </c>
      <c r="O512" s="531"/>
      <c r="P512" s="491"/>
      <c r="Q512" s="530">
        <f>+SUMIF($A$412:$A$498,$B512,Q$412:Q$498)</f>
        <v>50057.66</v>
      </c>
      <c r="R512" s="531"/>
      <c r="S512" s="491"/>
      <c r="T512" s="530">
        <f>+SUMIF($A$412:$A$498,$B512,T$412:T$498)</f>
        <v>60430.86</v>
      </c>
      <c r="U512" s="531"/>
      <c r="V512" s="491"/>
      <c r="W512" s="530">
        <f>+SUMIF($A$412:$A$498,$B512,W$412:W$498)</f>
        <v>48112.34</v>
      </c>
      <c r="X512" s="531"/>
      <c r="Y512" s="491"/>
      <c r="Z512" s="530">
        <f>+SUMIF($A$412:$A$498,$B512,Z$412:Z$498)</f>
        <v>64293.960000000006</v>
      </c>
      <c r="AA512" s="531"/>
      <c r="AB512" s="491"/>
      <c r="AC512" s="530">
        <f>+SUMIF($A$412:$A$498,$B512,AC$412:AC$498)</f>
        <v>60587.83</v>
      </c>
      <c r="AD512" s="531"/>
      <c r="AE512" s="491"/>
      <c r="AF512" s="530">
        <f>+SUMIF($A$412:$A$498,$B512,AF$412:AF$498)</f>
        <v>59970.90829131168</v>
      </c>
      <c r="AG512" s="531"/>
      <c r="AH512" s="491"/>
      <c r="AI512" s="530">
        <f>+SUMIF($A$412:$A$498,$B512,AI$412:AI$498)</f>
        <v>75081.935153625163</v>
      </c>
      <c r="AJ512" s="531"/>
      <c r="AK512" s="491"/>
      <c r="AL512" s="530">
        <v>49665.71</v>
      </c>
      <c r="AM512" s="531"/>
      <c r="AN512" s="491"/>
      <c r="AO512" s="530">
        <f>+SUMIF($A$412:$A$498,$B512,AO$412:AO$498)</f>
        <v>55656.404629333119</v>
      </c>
      <c r="AQ512" s="532"/>
      <c r="AR512" s="494"/>
      <c r="AS512" s="533">
        <f>+SUMIF($A$412:$A$498,$B512,AS$412:AS$498)</f>
        <v>422516.18000000005</v>
      </c>
      <c r="AU512" s="532"/>
      <c r="AV512" s="494"/>
      <c r="AW512" s="533">
        <f>+SUMIF($A$412:$A$498,$B512,AW$412:AW$498)</f>
        <v>270345.76977739332</v>
      </c>
      <c r="AY512" s="532"/>
      <c r="AZ512" s="494"/>
      <c r="BA512" s="533">
        <f>+SUMIF($A$412:$A$498,$B512,BA$412:BA$498)</f>
        <v>422516.18</v>
      </c>
      <c r="BC512" s="532"/>
      <c r="BD512" s="494"/>
      <c r="BE512" s="534">
        <f>+SUMIF($A$412:$A$498,$B512,BE$412:BE$498)</f>
        <v>0</v>
      </c>
    </row>
    <row r="513" spans="1:57" ht="18.75">
      <c r="A513" s="527"/>
      <c r="B513" s="528" t="s">
        <v>45</v>
      </c>
      <c r="C513" s="529"/>
      <c r="D513" s="491"/>
      <c r="E513" s="530">
        <f t="shared" ref="E513:E517" si="716">+SUMIF($A$412:$A$498,$B513,E$412:E$498)</f>
        <v>394282.66000000003</v>
      </c>
      <c r="F513" s="531"/>
      <c r="G513" s="491"/>
      <c r="H513" s="530">
        <f t="shared" ref="H513:H517" si="717">+SUMIF($A$412:$A$498,$B513,H$412:H$498)</f>
        <v>30910.769999999997</v>
      </c>
      <c r="I513" s="531"/>
      <c r="J513" s="491"/>
      <c r="K513" s="530">
        <f t="shared" ref="K513:K517" si="718">+SUMIF($A$412:$A$498,$B513,K$412:K$498)</f>
        <v>14859.36</v>
      </c>
      <c r="L513" s="531"/>
      <c r="M513" s="491"/>
      <c r="N513" s="530">
        <f t="shared" ref="N513:N517" si="719">+SUMIF($A$412:$A$498,$B513,N$412:N$498)</f>
        <v>26025.72</v>
      </c>
      <c r="O513" s="531"/>
      <c r="P513" s="491"/>
      <c r="Q513" s="530">
        <f t="shared" ref="Q513:Q517" si="720">+SUMIF($A$412:$A$498,$B513,Q$412:Q$498)</f>
        <v>29220.98</v>
      </c>
      <c r="R513" s="531"/>
      <c r="S513" s="491"/>
      <c r="T513" s="530">
        <f t="shared" ref="T513:T517" si="721">+SUMIF($A$412:$A$498,$B513,T$412:T$498)</f>
        <v>37168.18</v>
      </c>
      <c r="U513" s="531"/>
      <c r="V513" s="491"/>
      <c r="W513" s="530">
        <f t="shared" ref="W513:W517" si="722">+SUMIF($A$412:$A$498,$B513,W$412:W$498)</f>
        <v>31752.07</v>
      </c>
      <c r="X513" s="531"/>
      <c r="Y513" s="491"/>
      <c r="Z513" s="530">
        <f t="shared" ref="Z513:Z517" si="723">+SUMIF($A$412:$A$498,$B513,Z$412:Z$498)</f>
        <v>40315.880000000005</v>
      </c>
      <c r="AA513" s="531"/>
      <c r="AB513" s="491"/>
      <c r="AC513" s="530">
        <f t="shared" ref="AC513:AC517" si="724">+SUMIF($A$412:$A$498,$B513,AC$412:AC$498)</f>
        <v>33799.699999999997</v>
      </c>
      <c r="AD513" s="531"/>
      <c r="AE513" s="491"/>
      <c r="AF513" s="530">
        <f t="shared" ref="AF513:AF517" si="725">+SUMIF($A$412:$A$498,$B513,AF$412:AF$498)</f>
        <v>31320</v>
      </c>
      <c r="AG513" s="531"/>
      <c r="AH513" s="491"/>
      <c r="AI513" s="530">
        <f t="shared" ref="AI513:AI517" si="726">+SUMIF($A$412:$A$498,$B513,AI$412:AI$498)</f>
        <v>44100</v>
      </c>
      <c r="AJ513" s="531"/>
      <c r="AK513" s="491"/>
      <c r="AL513" s="530">
        <v>25474.55</v>
      </c>
      <c r="AM513" s="531"/>
      <c r="AN513" s="491"/>
      <c r="AO513" s="530">
        <f t="shared" ref="AO513:AO517" si="727">+SUMIF($A$412:$A$498,$B513,AO$412:AO$498)</f>
        <v>30500</v>
      </c>
      <c r="AQ513" s="532"/>
      <c r="AR513" s="494"/>
      <c r="AS513" s="533">
        <f t="shared" ref="AS513:AS517" si="728">+SUMIF($A$412:$A$498,$B513,AS$412:AS$498)</f>
        <v>244052.66000000003</v>
      </c>
      <c r="AU513" s="532"/>
      <c r="AV513" s="494"/>
      <c r="AW513" s="533">
        <f t="shared" ref="AW513:AW517" si="729">+SUMIF($A$412:$A$498,$B513,AW$412:AW$498)</f>
        <v>150230</v>
      </c>
      <c r="AY513" s="532"/>
      <c r="AZ513" s="494"/>
      <c r="BA513" s="533">
        <f t="shared" ref="BA513:BA517" si="730">+SUMIF($A$412:$A$498,$B513,BA$412:BA$498)</f>
        <v>244052.66</v>
      </c>
      <c r="BC513" s="532"/>
      <c r="BD513" s="494"/>
      <c r="BE513" s="534">
        <f t="shared" ref="BE513:BE517" si="731">+SUMIF($A$412:$A$498,$B513,BE$412:BE$498)</f>
        <v>0</v>
      </c>
    </row>
    <row r="514" spans="1:57" ht="18.75">
      <c r="A514" s="527"/>
      <c r="B514" s="528" t="s">
        <v>47</v>
      </c>
      <c r="C514" s="529"/>
      <c r="D514" s="491"/>
      <c r="E514" s="530">
        <f t="shared" si="716"/>
        <v>212220.59000000003</v>
      </c>
      <c r="F514" s="531"/>
      <c r="G514" s="491"/>
      <c r="H514" s="530">
        <f t="shared" si="717"/>
        <v>13148.97</v>
      </c>
      <c r="I514" s="531"/>
      <c r="J514" s="491"/>
      <c r="K514" s="530">
        <f t="shared" si="718"/>
        <v>12876.73</v>
      </c>
      <c r="L514" s="531"/>
      <c r="M514" s="491"/>
      <c r="N514" s="530">
        <f t="shared" si="719"/>
        <v>12263.53</v>
      </c>
      <c r="O514" s="531"/>
      <c r="P514" s="491"/>
      <c r="Q514" s="530">
        <f t="shared" si="720"/>
        <v>18446.739999999998</v>
      </c>
      <c r="R514" s="531"/>
      <c r="S514" s="491"/>
      <c r="T514" s="530">
        <f t="shared" si="721"/>
        <v>19946.82</v>
      </c>
      <c r="U514" s="531"/>
      <c r="V514" s="491"/>
      <c r="W514" s="530">
        <f t="shared" si="722"/>
        <v>22070.81</v>
      </c>
      <c r="X514" s="531"/>
      <c r="Y514" s="491"/>
      <c r="Z514" s="530">
        <f t="shared" si="723"/>
        <v>14695.94</v>
      </c>
      <c r="AA514" s="531"/>
      <c r="AB514" s="491"/>
      <c r="AC514" s="530">
        <f t="shared" si="724"/>
        <v>11896.55</v>
      </c>
      <c r="AD514" s="531"/>
      <c r="AE514" s="491"/>
      <c r="AF514" s="530">
        <f t="shared" si="725"/>
        <v>18884.25</v>
      </c>
      <c r="AG514" s="531"/>
      <c r="AH514" s="491"/>
      <c r="AI514" s="530">
        <f t="shared" si="726"/>
        <v>24030</v>
      </c>
      <c r="AJ514" s="531"/>
      <c r="AK514" s="491"/>
      <c r="AL514" s="530">
        <v>20220.75</v>
      </c>
      <c r="AM514" s="531"/>
      <c r="AN514" s="491"/>
      <c r="AO514" s="530">
        <f t="shared" si="727"/>
        <v>17570</v>
      </c>
      <c r="AQ514" s="532"/>
      <c r="AR514" s="494"/>
      <c r="AS514" s="533">
        <f t="shared" si="728"/>
        <v>125346.09</v>
      </c>
      <c r="AU514" s="532"/>
      <c r="AV514" s="494"/>
      <c r="AW514" s="533">
        <f t="shared" si="729"/>
        <v>86874.5</v>
      </c>
      <c r="AY514" s="532"/>
      <c r="AZ514" s="494"/>
      <c r="BA514" s="533">
        <f t="shared" si="730"/>
        <v>125346.09</v>
      </c>
      <c r="BC514" s="532"/>
      <c r="BD514" s="494"/>
      <c r="BE514" s="534">
        <f t="shared" si="731"/>
        <v>0</v>
      </c>
    </row>
    <row r="515" spans="1:57" ht="18.75">
      <c r="A515" s="527"/>
      <c r="B515" s="528" t="s">
        <v>49</v>
      </c>
      <c r="C515" s="529"/>
      <c r="D515" s="535"/>
      <c r="E515" s="530">
        <f t="shared" si="716"/>
        <v>96597.804651222832</v>
      </c>
      <c r="F515" s="536"/>
      <c r="G515" s="535"/>
      <c r="H515" s="530">
        <f t="shared" si="717"/>
        <v>14849.18</v>
      </c>
      <c r="I515" s="536"/>
      <c r="J515" s="535"/>
      <c r="K515" s="530">
        <f t="shared" si="718"/>
        <v>10872.37999999999</v>
      </c>
      <c r="L515" s="536"/>
      <c r="M515" s="535"/>
      <c r="N515" s="530">
        <f t="shared" si="719"/>
        <v>6785.6299999999992</v>
      </c>
      <c r="O515" s="536"/>
      <c r="P515" s="535"/>
      <c r="Q515" s="530">
        <f t="shared" si="720"/>
        <v>6386.54</v>
      </c>
      <c r="R515" s="536"/>
      <c r="S515" s="535"/>
      <c r="T515" s="530">
        <f t="shared" si="721"/>
        <v>7804.77</v>
      </c>
      <c r="U515" s="536"/>
      <c r="V515" s="535"/>
      <c r="W515" s="530">
        <f t="shared" si="722"/>
        <v>10866.58</v>
      </c>
      <c r="X515" s="536"/>
      <c r="Y515" s="535"/>
      <c r="Z515" s="530">
        <f t="shared" si="723"/>
        <v>6803.2299999999896</v>
      </c>
      <c r="AA515" s="536"/>
      <c r="AB515" s="535"/>
      <c r="AC515" s="530">
        <f t="shared" si="724"/>
        <v>5552.9699999999993</v>
      </c>
      <c r="AD515" s="536"/>
      <c r="AE515" s="535"/>
      <c r="AF515" s="530">
        <f t="shared" si="725"/>
        <v>6255.3811628057083</v>
      </c>
      <c r="AG515" s="536"/>
      <c r="AH515" s="535"/>
      <c r="AI515" s="530">
        <f t="shared" si="726"/>
        <v>7155.3811628057083</v>
      </c>
      <c r="AJ515" s="536"/>
      <c r="AK515" s="535"/>
      <c r="AL515" s="530">
        <v>16178.099999999989</v>
      </c>
      <c r="AM515" s="536"/>
      <c r="AN515" s="535"/>
      <c r="AO515" s="530">
        <f t="shared" si="727"/>
        <v>6275.3811628057083</v>
      </c>
      <c r="AQ515" s="537"/>
      <c r="AR515" s="538"/>
      <c r="AS515" s="533">
        <f t="shared" si="728"/>
        <v>69921.279999999984</v>
      </c>
      <c r="AU515" s="537"/>
      <c r="AV515" s="538"/>
      <c r="AW515" s="533">
        <f t="shared" si="729"/>
        <v>26676.524651222833</v>
      </c>
      <c r="AY515" s="537"/>
      <c r="AZ515" s="538"/>
      <c r="BA515" s="533">
        <f t="shared" si="730"/>
        <v>69921.279999999999</v>
      </c>
      <c r="BC515" s="537"/>
      <c r="BD515" s="538"/>
      <c r="BE515" s="534">
        <f t="shared" si="731"/>
        <v>0</v>
      </c>
    </row>
    <row r="516" spans="1:57" ht="18.75">
      <c r="A516" s="527"/>
      <c r="B516" s="528" t="s">
        <v>52</v>
      </c>
      <c r="C516" s="529"/>
      <c r="D516" s="539"/>
      <c r="E516" s="530">
        <f t="shared" si="716"/>
        <v>476348.16729800683</v>
      </c>
      <c r="F516" s="540"/>
      <c r="G516" s="539"/>
      <c r="H516" s="530">
        <f t="shared" si="717"/>
        <v>39127.760000000002</v>
      </c>
      <c r="I516" s="540"/>
      <c r="J516" s="539"/>
      <c r="K516" s="530">
        <f t="shared" si="718"/>
        <v>25120.85</v>
      </c>
      <c r="L516" s="540"/>
      <c r="M516" s="539"/>
      <c r="N516" s="530">
        <f t="shared" si="719"/>
        <v>50088.979999999996</v>
      </c>
      <c r="O516" s="540"/>
      <c r="P516" s="539"/>
      <c r="Q516" s="530">
        <f t="shared" si="720"/>
        <v>60805.68</v>
      </c>
      <c r="R516" s="540"/>
      <c r="S516" s="539"/>
      <c r="T516" s="530">
        <f t="shared" si="721"/>
        <v>44084.78</v>
      </c>
      <c r="U516" s="540"/>
      <c r="V516" s="539"/>
      <c r="W516" s="530">
        <f t="shared" si="722"/>
        <v>24780.239999999998</v>
      </c>
      <c r="X516" s="540"/>
      <c r="Y516" s="539"/>
      <c r="Z516" s="530">
        <f t="shared" si="723"/>
        <v>26906.440000000002</v>
      </c>
      <c r="AA516" s="540"/>
      <c r="AB516" s="539"/>
      <c r="AC516" s="530">
        <f t="shared" si="724"/>
        <v>33639.459999999992</v>
      </c>
      <c r="AD516" s="540"/>
      <c r="AE516" s="539"/>
      <c r="AF516" s="530">
        <f t="shared" si="725"/>
        <v>37892.680537501306</v>
      </c>
      <c r="AG516" s="540"/>
      <c r="AH516" s="539"/>
      <c r="AI516" s="530">
        <f t="shared" si="726"/>
        <v>50305.269888068258</v>
      </c>
      <c r="AJ516" s="540"/>
      <c r="AK516" s="539"/>
      <c r="AL516" s="530">
        <v>46389.020000000004</v>
      </c>
      <c r="AM516" s="540"/>
      <c r="AN516" s="539"/>
      <c r="AO516" s="530">
        <f t="shared" si="727"/>
        <v>37586.842386298405</v>
      </c>
      <c r="AQ516" s="541"/>
      <c r="AR516" s="542"/>
      <c r="AS516" s="533">
        <f t="shared" si="728"/>
        <v>304554.19000000006</v>
      </c>
      <c r="AU516" s="541"/>
      <c r="AV516" s="542"/>
      <c r="AW516" s="533">
        <f t="shared" si="729"/>
        <v>171793.97729800679</v>
      </c>
      <c r="AY516" s="541"/>
      <c r="AZ516" s="542"/>
      <c r="BA516" s="533">
        <f t="shared" si="730"/>
        <v>304554.18999999994</v>
      </c>
      <c r="BC516" s="541"/>
      <c r="BD516" s="542"/>
      <c r="BE516" s="534">
        <f t="shared" si="731"/>
        <v>0</v>
      </c>
    </row>
    <row r="517" spans="1:57" ht="18.75">
      <c r="A517" s="527"/>
      <c r="B517" s="528" t="s">
        <v>75</v>
      </c>
      <c r="C517" s="529"/>
      <c r="D517" s="539"/>
      <c r="E517" s="530">
        <f t="shared" si="716"/>
        <v>290350.52866666653</v>
      </c>
      <c r="F517" s="540"/>
      <c r="G517" s="539"/>
      <c r="H517" s="530">
        <f t="shared" si="717"/>
        <v>22198.26</v>
      </c>
      <c r="I517" s="540"/>
      <c r="J517" s="539"/>
      <c r="K517" s="530">
        <f t="shared" si="718"/>
        <v>24402.18</v>
      </c>
      <c r="L517" s="540"/>
      <c r="M517" s="539"/>
      <c r="N517" s="530">
        <f t="shared" si="719"/>
        <v>21704.23</v>
      </c>
      <c r="O517" s="540"/>
      <c r="P517" s="539"/>
      <c r="Q517" s="530">
        <f t="shared" si="720"/>
        <v>20967.38</v>
      </c>
      <c r="R517" s="540"/>
      <c r="S517" s="539"/>
      <c r="T517" s="530">
        <f t="shared" si="721"/>
        <v>29334.55</v>
      </c>
      <c r="U517" s="540"/>
      <c r="V517" s="539"/>
      <c r="W517" s="530">
        <f t="shared" si="722"/>
        <v>23912.94</v>
      </c>
      <c r="X517" s="540"/>
      <c r="Y517" s="539"/>
      <c r="Z517" s="530">
        <f t="shared" si="723"/>
        <v>23078.729999999901</v>
      </c>
      <c r="AA517" s="540"/>
      <c r="AB517" s="539"/>
      <c r="AC517" s="530">
        <f t="shared" si="724"/>
        <v>22915.199999999899</v>
      </c>
      <c r="AD517" s="540"/>
      <c r="AE517" s="539"/>
      <c r="AF517" s="530">
        <f t="shared" si="725"/>
        <v>22709.26466666667</v>
      </c>
      <c r="AG517" s="540"/>
      <c r="AH517" s="539"/>
      <c r="AI517" s="530">
        <f t="shared" si="726"/>
        <v>25709.26466666667</v>
      </c>
      <c r="AJ517" s="540"/>
      <c r="AK517" s="539"/>
      <c r="AL517" s="530">
        <v>31171.79</v>
      </c>
      <c r="AM517" s="540"/>
      <c r="AN517" s="539"/>
      <c r="AO517" s="530">
        <f t="shared" si="727"/>
        <v>22709.26466666667</v>
      </c>
      <c r="AQ517" s="541"/>
      <c r="AR517" s="542"/>
      <c r="AS517" s="533">
        <f t="shared" si="728"/>
        <v>188513.4699999998</v>
      </c>
      <c r="AU517" s="541"/>
      <c r="AV517" s="542"/>
      <c r="AW517" s="533">
        <f t="shared" si="729"/>
        <v>101837.05866666668</v>
      </c>
      <c r="AY517" s="541"/>
      <c r="AZ517" s="542"/>
      <c r="BA517" s="533">
        <f t="shared" si="730"/>
        <v>188513.47</v>
      </c>
      <c r="BC517" s="541"/>
      <c r="BD517" s="542"/>
      <c r="BE517" s="534">
        <f t="shared" si="731"/>
        <v>0</v>
      </c>
    </row>
    <row r="518" spans="1:57" ht="18.75">
      <c r="A518" s="527"/>
      <c r="B518" s="528"/>
      <c r="C518" s="529"/>
      <c r="D518" s="539"/>
      <c r="E518" s="530"/>
      <c r="F518" s="540"/>
      <c r="G518" s="539"/>
      <c r="H518" s="530"/>
      <c r="I518" s="540"/>
      <c r="J518" s="539"/>
      <c r="K518" s="530"/>
      <c r="L518" s="540"/>
      <c r="M518" s="539"/>
      <c r="N518" s="530"/>
      <c r="O518" s="540"/>
      <c r="P518" s="539"/>
      <c r="Q518" s="530"/>
      <c r="R518" s="540"/>
      <c r="S518" s="539"/>
      <c r="T518" s="530"/>
      <c r="U518" s="540"/>
      <c r="V518" s="539"/>
      <c r="W518" s="530"/>
      <c r="X518" s="540"/>
      <c r="Y518" s="539"/>
      <c r="Z518" s="530"/>
      <c r="AA518" s="540"/>
      <c r="AB518" s="539"/>
      <c r="AC518" s="530"/>
      <c r="AD518" s="540"/>
      <c r="AE518" s="539"/>
      <c r="AF518" s="530"/>
      <c r="AG518" s="540"/>
      <c r="AH518" s="539"/>
      <c r="AI518" s="530"/>
      <c r="AJ518" s="540"/>
      <c r="AK518" s="539"/>
      <c r="AL518" s="530"/>
      <c r="AM518" s="540"/>
      <c r="AN518" s="539"/>
      <c r="AO518" s="530"/>
      <c r="AQ518" s="541"/>
      <c r="AR518" s="542"/>
      <c r="AS518" s="533"/>
      <c r="AU518" s="541"/>
      <c r="AV518" s="542"/>
      <c r="AW518" s="533"/>
      <c r="AY518" s="541"/>
      <c r="AZ518" s="542"/>
      <c r="BA518" s="533"/>
      <c r="BC518" s="541"/>
      <c r="BD518" s="542"/>
      <c r="BE518" s="534"/>
    </row>
    <row r="519" spans="1:57" ht="18">
      <c r="A519" s="517"/>
      <c r="B519" s="543" t="s">
        <v>189</v>
      </c>
      <c r="C519" s="529"/>
      <c r="D519" s="539"/>
      <c r="E519" s="544">
        <f>+SUM(E520:E531)</f>
        <v>5686605.0409108037</v>
      </c>
      <c r="F519" s="540"/>
      <c r="G519" s="539"/>
      <c r="H519" s="544">
        <f>+SUM(H520:H531)</f>
        <v>451602.26999999973</v>
      </c>
      <c r="I519" s="540"/>
      <c r="J519" s="539"/>
      <c r="K519" s="544">
        <f>+SUM(K520:K531)</f>
        <v>423487.84999999992</v>
      </c>
      <c r="L519" s="540"/>
      <c r="M519" s="539"/>
      <c r="N519" s="544">
        <f>+SUM(N520:N531)</f>
        <v>448131.56999999966</v>
      </c>
      <c r="O519" s="540"/>
      <c r="P519" s="539"/>
      <c r="Q519" s="544">
        <f>+SUM(Q520:Q531)</f>
        <v>473748.04999999987</v>
      </c>
      <c r="R519" s="540"/>
      <c r="S519" s="539"/>
      <c r="T519" s="544">
        <f>+SUM(T520:T531)</f>
        <v>507973.90999999957</v>
      </c>
      <c r="U519" s="540"/>
      <c r="V519" s="539"/>
      <c r="W519" s="544">
        <f>+SUM(W520:W531)</f>
        <v>421078.56999999989</v>
      </c>
      <c r="X519" s="540"/>
      <c r="Y519" s="539"/>
      <c r="Z519" s="544">
        <f>+SUM(Z520:Z531)</f>
        <v>443067.68999999983</v>
      </c>
      <c r="AA519" s="540"/>
      <c r="AB519" s="539"/>
      <c r="AC519" s="544">
        <f>+SUM(AC520:AC531)</f>
        <v>556055.22999999986</v>
      </c>
      <c r="AD519" s="540"/>
      <c r="AE519" s="539"/>
      <c r="AF519" s="544">
        <f>+SUM(AF520:AF531)</f>
        <v>458485.70206583955</v>
      </c>
      <c r="AG519" s="540"/>
      <c r="AH519" s="539"/>
      <c r="AI519" s="544">
        <f>+SUM(AI520:AI531)</f>
        <v>539872.70345053822</v>
      </c>
      <c r="AJ519" s="540"/>
      <c r="AK519" s="539"/>
      <c r="AL519" s="544">
        <v>485834.8599999994</v>
      </c>
      <c r="AM519" s="540"/>
      <c r="AN519" s="539"/>
      <c r="AO519" s="544">
        <f>+SUM(AO520:AO531)</f>
        <v>445915.4980066797</v>
      </c>
      <c r="AQ519" s="541"/>
      <c r="AR519" s="542"/>
      <c r="AS519" s="545">
        <f>+SUM(AS520:AS531)</f>
        <v>3725145.1399999983</v>
      </c>
      <c r="AU519" s="541"/>
      <c r="AV519" s="542"/>
      <c r="AW519" s="545">
        <f>+SUM(AW520:AW531)</f>
        <v>1961459.9009108043</v>
      </c>
      <c r="AY519" s="541"/>
      <c r="AZ519" s="542"/>
      <c r="BA519" s="545">
        <f>+SUM(BA520:BA531)</f>
        <v>3725145.1399999987</v>
      </c>
      <c r="BC519" s="541"/>
      <c r="BD519" s="542"/>
      <c r="BE519" s="546">
        <f>+SUM(BE520:BE531)</f>
        <v>-7.9580786405131221E-10</v>
      </c>
    </row>
    <row r="520" spans="1:57" ht="18.75">
      <c r="A520" s="527"/>
      <c r="B520" s="528" t="s">
        <v>155</v>
      </c>
      <c r="C520" s="529"/>
      <c r="D520" s="535"/>
      <c r="E520" s="530">
        <f t="shared" ref="E520:E533" si="732">+SUMIF($A$412:$A$498,$B520,E$412:E$498)</f>
        <v>178334.18923076891</v>
      </c>
      <c r="F520" s="536"/>
      <c r="G520" s="535"/>
      <c r="H520" s="530">
        <f t="shared" ref="H520:H533" si="733">+SUMIF($A$412:$A$498,$B520,H$412:H$498)</f>
        <v>15557.82</v>
      </c>
      <c r="I520" s="536"/>
      <c r="J520" s="535"/>
      <c r="K520" s="530">
        <f t="shared" ref="K520:K533" si="734">+SUMIF($A$412:$A$498,$B520,K$412:K$498)</f>
        <v>16663.66</v>
      </c>
      <c r="L520" s="536"/>
      <c r="M520" s="535"/>
      <c r="N520" s="530">
        <f t="shared" ref="N520:N533" si="735">+SUMIF($A$412:$A$498,$B520,N$412:N$498)</f>
        <v>10888.7599999999</v>
      </c>
      <c r="O520" s="536"/>
      <c r="P520" s="535"/>
      <c r="Q520" s="530">
        <f t="shared" ref="Q520:Q533" si="736">+SUMIF($A$412:$A$498,$B520,Q$412:Q$498)</f>
        <v>13074.76</v>
      </c>
      <c r="R520" s="536"/>
      <c r="S520" s="535"/>
      <c r="T520" s="530">
        <f t="shared" ref="T520:T533" si="737">+SUMIF($A$412:$A$498,$B520,T$412:T$498)</f>
        <v>18425.95</v>
      </c>
      <c r="U520" s="536"/>
      <c r="V520" s="535"/>
      <c r="W520" s="530">
        <f t="shared" ref="W520:W533" si="738">+SUMIF($A$412:$A$498,$B520,W$412:W$498)</f>
        <v>15260.7599999999</v>
      </c>
      <c r="X520" s="536"/>
      <c r="Y520" s="535"/>
      <c r="Z520" s="530">
        <f t="shared" ref="Z520:Z533" si="739">+SUMIF($A$412:$A$498,$B520,Z$412:Z$498)</f>
        <v>12528.2599999999</v>
      </c>
      <c r="AA520" s="536"/>
      <c r="AB520" s="535"/>
      <c r="AC520" s="530">
        <f t="shared" ref="AC520:AC533" si="740">+SUMIF($A$412:$A$498,$B520,AC$412:AC$498)</f>
        <v>15146.95</v>
      </c>
      <c r="AD520" s="536"/>
      <c r="AE520" s="535"/>
      <c r="AF520" s="530">
        <f t="shared" ref="AF520:AF533" si="741">+SUMIF($A$412:$A$498,$B520,AF$412:AF$498)</f>
        <v>14451.14423076923</v>
      </c>
      <c r="AG520" s="536"/>
      <c r="AH520" s="535"/>
      <c r="AI520" s="530">
        <f t="shared" ref="AI520:AI533" si="742">+SUMIF($A$412:$A$498,$B520,AI$412:AI$498)</f>
        <v>17433.836538461539</v>
      </c>
      <c r="AJ520" s="536"/>
      <c r="AK520" s="535"/>
      <c r="AL520" s="530">
        <v>18548.379999999899</v>
      </c>
      <c r="AM520" s="536"/>
      <c r="AN520" s="535"/>
      <c r="AO520" s="530">
        <f t="shared" ref="AO520:AO533" si="743">+SUMIF($A$412:$A$498,$B520,AO$412:AO$498)</f>
        <v>14451.14423076923</v>
      </c>
      <c r="AQ520" s="537"/>
      <c r="AR520" s="538"/>
      <c r="AS520" s="533">
        <f t="shared" ref="AS520:AS533" si="744">+SUMIF($A$412:$A$498,$B520,AS$412:AS$498)</f>
        <v>117546.91999999971</v>
      </c>
      <c r="AU520" s="537"/>
      <c r="AV520" s="538"/>
      <c r="AW520" s="533">
        <f t="shared" ref="AW520:AW533" si="745">+SUMIF($A$412:$A$498,$B520,AW$412:AW$498)</f>
        <v>60787.269230769234</v>
      </c>
      <c r="AY520" s="537"/>
      <c r="AZ520" s="538"/>
      <c r="BA520" s="533">
        <f t="shared" ref="BA520:BA533" si="746">+SUMIF($A$412:$A$498,$B520,BA$412:BA$498)</f>
        <v>117546.92</v>
      </c>
      <c r="BC520" s="537"/>
      <c r="BD520" s="538"/>
      <c r="BE520" s="534">
        <f t="shared" ref="BE520:BE533" si="747">+SUMIF($A$412:$A$498,$B520,BE$412:BE$498)</f>
        <v>2.9103830456733704E-10</v>
      </c>
    </row>
    <row r="521" spans="1:57" ht="18.75">
      <c r="A521" s="527"/>
      <c r="B521" s="528" t="s">
        <v>58</v>
      </c>
      <c r="C521" s="529"/>
      <c r="D521" s="535"/>
      <c r="E521" s="530">
        <f t="shared" si="732"/>
        <v>682769.24051282031</v>
      </c>
      <c r="F521" s="536"/>
      <c r="G521" s="535"/>
      <c r="H521" s="530">
        <f t="shared" si="733"/>
        <v>62227.09</v>
      </c>
      <c r="I521" s="536"/>
      <c r="J521" s="535"/>
      <c r="K521" s="530">
        <f t="shared" si="734"/>
        <v>50318.89</v>
      </c>
      <c r="L521" s="536"/>
      <c r="M521" s="535"/>
      <c r="N521" s="530">
        <f t="shared" si="735"/>
        <v>61274.819999999898</v>
      </c>
      <c r="O521" s="536"/>
      <c r="P521" s="535"/>
      <c r="Q521" s="530">
        <f t="shared" si="736"/>
        <v>55266.27</v>
      </c>
      <c r="R521" s="536"/>
      <c r="S521" s="535"/>
      <c r="T521" s="530">
        <f t="shared" si="737"/>
        <v>53221.929999999898</v>
      </c>
      <c r="U521" s="536"/>
      <c r="V521" s="535"/>
      <c r="W521" s="530">
        <f t="shared" si="738"/>
        <v>51728.91</v>
      </c>
      <c r="X521" s="536"/>
      <c r="Y521" s="535"/>
      <c r="Z521" s="530">
        <f t="shared" si="739"/>
        <v>56644.17</v>
      </c>
      <c r="AA521" s="536"/>
      <c r="AB521" s="535"/>
      <c r="AC521" s="530">
        <f t="shared" si="740"/>
        <v>56195.59</v>
      </c>
      <c r="AD521" s="536"/>
      <c r="AE521" s="535"/>
      <c r="AF521" s="530">
        <f t="shared" si="741"/>
        <v>56603.570512820515</v>
      </c>
      <c r="AG521" s="536"/>
      <c r="AH521" s="535"/>
      <c r="AI521" s="530">
        <f t="shared" si="742"/>
        <v>66080.858974358984</v>
      </c>
      <c r="AJ521" s="536"/>
      <c r="AK521" s="535"/>
      <c r="AL521" s="530">
        <v>62349.029999999897</v>
      </c>
      <c r="AM521" s="536"/>
      <c r="AN521" s="535"/>
      <c r="AO521" s="530">
        <f t="shared" si="743"/>
        <v>56603.570512820515</v>
      </c>
      <c r="AQ521" s="537"/>
      <c r="AR521" s="538"/>
      <c r="AS521" s="533">
        <f t="shared" si="744"/>
        <v>446877.66999999981</v>
      </c>
      <c r="AU521" s="537"/>
      <c r="AV521" s="538"/>
      <c r="AW521" s="533">
        <f t="shared" si="745"/>
        <v>235891.5705128205</v>
      </c>
      <c r="AY521" s="537"/>
      <c r="AZ521" s="538"/>
      <c r="BA521" s="533">
        <f t="shared" si="746"/>
        <v>446877.67</v>
      </c>
      <c r="BC521" s="537"/>
      <c r="BD521" s="538"/>
      <c r="BE521" s="534">
        <f t="shared" si="747"/>
        <v>0</v>
      </c>
    </row>
    <row r="522" spans="1:57" ht="18.75">
      <c r="A522" s="527"/>
      <c r="B522" s="528" t="s">
        <v>60</v>
      </c>
      <c r="C522" s="529"/>
      <c r="D522" s="535"/>
      <c r="E522" s="530">
        <f t="shared" si="732"/>
        <v>1286709.8519815383</v>
      </c>
      <c r="F522" s="536"/>
      <c r="G522" s="535"/>
      <c r="H522" s="530">
        <f t="shared" si="733"/>
        <v>98931.16</v>
      </c>
      <c r="I522" s="536"/>
      <c r="J522" s="535"/>
      <c r="K522" s="530">
        <f t="shared" si="734"/>
        <v>92378.54</v>
      </c>
      <c r="L522" s="536"/>
      <c r="M522" s="535"/>
      <c r="N522" s="530">
        <f t="shared" si="735"/>
        <v>91725.64</v>
      </c>
      <c r="O522" s="536"/>
      <c r="P522" s="535"/>
      <c r="Q522" s="530">
        <f t="shared" si="736"/>
        <v>106779.35</v>
      </c>
      <c r="R522" s="536"/>
      <c r="S522" s="535"/>
      <c r="T522" s="530">
        <f t="shared" si="737"/>
        <v>122064.26000000001</v>
      </c>
      <c r="U522" s="536"/>
      <c r="V522" s="535"/>
      <c r="W522" s="530">
        <f t="shared" si="738"/>
        <v>96206.19</v>
      </c>
      <c r="X522" s="536"/>
      <c r="Y522" s="535"/>
      <c r="Z522" s="530">
        <f t="shared" si="739"/>
        <v>91454.080000000002</v>
      </c>
      <c r="AA522" s="536"/>
      <c r="AB522" s="535"/>
      <c r="AC522" s="530">
        <f t="shared" si="740"/>
        <v>106441.98999999989</v>
      </c>
      <c r="AD522" s="536"/>
      <c r="AE522" s="535"/>
      <c r="AF522" s="530">
        <f t="shared" si="741"/>
        <v>107203.83614153846</v>
      </c>
      <c r="AG522" s="536"/>
      <c r="AH522" s="535"/>
      <c r="AI522" s="530">
        <f t="shared" si="742"/>
        <v>138704.18099692307</v>
      </c>
      <c r="AJ522" s="536"/>
      <c r="AK522" s="535"/>
      <c r="AL522" s="530">
        <v>155109.42999999991</v>
      </c>
      <c r="AM522" s="536"/>
      <c r="AN522" s="535"/>
      <c r="AO522" s="530">
        <f t="shared" si="743"/>
        <v>109147.92686153846</v>
      </c>
      <c r="AQ522" s="537"/>
      <c r="AR522" s="538"/>
      <c r="AS522" s="533">
        <f t="shared" si="744"/>
        <v>805981.20999999985</v>
      </c>
      <c r="AU522" s="537"/>
      <c r="AV522" s="538"/>
      <c r="AW522" s="533">
        <f>+SUMIF($A$412:$A$498,$B522,AW$412:AW$498)</f>
        <v>480728.64198153844</v>
      </c>
      <c r="AY522" s="537"/>
      <c r="AZ522" s="538"/>
      <c r="BA522" s="533">
        <f t="shared" si="746"/>
        <v>805981.20999999892</v>
      </c>
      <c r="BC522" s="537"/>
      <c r="BD522" s="538"/>
      <c r="BE522" s="534">
        <f t="shared" si="747"/>
        <v>-1.0186340659856796E-9</v>
      </c>
    </row>
    <row r="523" spans="1:57" ht="18.75">
      <c r="A523" s="527"/>
      <c r="B523" s="528" t="s">
        <v>64</v>
      </c>
      <c r="C523" s="529"/>
      <c r="D523" s="535"/>
      <c r="E523" s="530">
        <f t="shared" si="732"/>
        <v>494834.87908046908</v>
      </c>
      <c r="F523" s="536"/>
      <c r="G523" s="535"/>
      <c r="H523" s="530">
        <f t="shared" si="733"/>
        <v>40818.199999999997</v>
      </c>
      <c r="I523" s="536"/>
      <c r="J523" s="535"/>
      <c r="K523" s="530">
        <f t="shared" si="734"/>
        <v>31789.33</v>
      </c>
      <c r="L523" s="536"/>
      <c r="M523" s="535"/>
      <c r="N523" s="530">
        <f t="shared" si="735"/>
        <v>37610.21</v>
      </c>
      <c r="O523" s="536"/>
      <c r="P523" s="535"/>
      <c r="Q523" s="530">
        <f t="shared" si="736"/>
        <v>44209.169999999896</v>
      </c>
      <c r="R523" s="536"/>
      <c r="S523" s="535"/>
      <c r="T523" s="530">
        <f t="shared" si="737"/>
        <v>49343.119999999901</v>
      </c>
      <c r="U523" s="536"/>
      <c r="V523" s="535"/>
      <c r="W523" s="530">
        <f t="shared" si="738"/>
        <v>38718.78</v>
      </c>
      <c r="X523" s="536"/>
      <c r="Y523" s="535"/>
      <c r="Z523" s="530">
        <f t="shared" si="739"/>
        <v>38586.629999999997</v>
      </c>
      <c r="AA523" s="536"/>
      <c r="AB523" s="535"/>
      <c r="AC523" s="530">
        <f t="shared" si="740"/>
        <v>38329.29</v>
      </c>
      <c r="AD523" s="536"/>
      <c r="AE523" s="535"/>
      <c r="AF523" s="530">
        <f t="shared" si="741"/>
        <v>40224.346062570352</v>
      </c>
      <c r="AG523" s="536"/>
      <c r="AH523" s="535"/>
      <c r="AI523" s="530">
        <f t="shared" si="742"/>
        <v>49347.747293735192</v>
      </c>
      <c r="AJ523" s="536"/>
      <c r="AK523" s="535"/>
      <c r="AL523" s="530">
        <v>30858.44</v>
      </c>
      <c r="AM523" s="536"/>
      <c r="AN523" s="535"/>
      <c r="AO523" s="530">
        <f t="shared" si="743"/>
        <v>36154.154225709033</v>
      </c>
      <c r="AQ523" s="537"/>
      <c r="AR523" s="538"/>
      <c r="AS523" s="533">
        <f t="shared" si="744"/>
        <v>319404.72999999975</v>
      </c>
      <c r="AU523" s="537"/>
      <c r="AV523" s="538"/>
      <c r="AW523" s="533">
        <f t="shared" si="745"/>
        <v>175430.14908046933</v>
      </c>
      <c r="AY523" s="537"/>
      <c r="AZ523" s="538"/>
      <c r="BA523" s="533">
        <f t="shared" si="746"/>
        <v>319404.73</v>
      </c>
      <c r="BC523" s="537"/>
      <c r="BD523" s="538"/>
      <c r="BE523" s="534">
        <f t="shared" si="747"/>
        <v>0</v>
      </c>
    </row>
    <row r="524" spans="1:57" ht="18.75">
      <c r="A524" s="527"/>
      <c r="B524" s="528" t="s">
        <v>68</v>
      </c>
      <c r="C524" s="529"/>
      <c r="D524" s="535"/>
      <c r="E524" s="530">
        <f t="shared" si="732"/>
        <v>296285.59968829388</v>
      </c>
      <c r="F524" s="536"/>
      <c r="G524" s="535"/>
      <c r="H524" s="530">
        <f t="shared" si="733"/>
        <v>23391.53</v>
      </c>
      <c r="I524" s="536"/>
      <c r="J524" s="535"/>
      <c r="K524" s="530">
        <f t="shared" si="734"/>
        <v>19687.64</v>
      </c>
      <c r="L524" s="536"/>
      <c r="M524" s="535"/>
      <c r="N524" s="530">
        <f t="shared" si="735"/>
        <v>23067.4899999999</v>
      </c>
      <c r="O524" s="536"/>
      <c r="P524" s="535"/>
      <c r="Q524" s="530">
        <f t="shared" si="736"/>
        <v>27038.32</v>
      </c>
      <c r="R524" s="536"/>
      <c r="S524" s="535"/>
      <c r="T524" s="530">
        <f t="shared" si="737"/>
        <v>28835.01</v>
      </c>
      <c r="U524" s="536"/>
      <c r="V524" s="535"/>
      <c r="W524" s="530">
        <f t="shared" si="738"/>
        <v>18509.77</v>
      </c>
      <c r="X524" s="536"/>
      <c r="Y524" s="535"/>
      <c r="Z524" s="530">
        <f t="shared" si="739"/>
        <v>21157.86</v>
      </c>
      <c r="AA524" s="536"/>
      <c r="AB524" s="535"/>
      <c r="AC524" s="530">
        <f t="shared" si="740"/>
        <v>24702.97</v>
      </c>
      <c r="AD524" s="536"/>
      <c r="AE524" s="535"/>
      <c r="AF524" s="530">
        <f t="shared" si="741"/>
        <v>25197.806211883275</v>
      </c>
      <c r="AG524" s="536"/>
      <c r="AH524" s="535"/>
      <c r="AI524" s="530">
        <f t="shared" si="742"/>
        <v>30912.994119687857</v>
      </c>
      <c r="AJ524" s="536"/>
      <c r="AK524" s="535"/>
      <c r="AL524" s="530">
        <v>1624.61</v>
      </c>
      <c r="AM524" s="536"/>
      <c r="AN524" s="535"/>
      <c r="AO524" s="530">
        <f t="shared" si="743"/>
        <v>22648.108946677639</v>
      </c>
      <c r="AQ524" s="537"/>
      <c r="AR524" s="538"/>
      <c r="AS524" s="533">
        <f t="shared" si="744"/>
        <v>186390.58999999988</v>
      </c>
      <c r="AU524" s="537"/>
      <c r="AV524" s="538"/>
      <c r="AW524" s="533">
        <f t="shared" si="745"/>
        <v>109895.009688294</v>
      </c>
      <c r="AY524" s="537"/>
      <c r="AZ524" s="538"/>
      <c r="BA524" s="533">
        <f t="shared" si="746"/>
        <v>186390.59</v>
      </c>
      <c r="BC524" s="537"/>
      <c r="BD524" s="538"/>
      <c r="BE524" s="534">
        <f t="shared" si="747"/>
        <v>0</v>
      </c>
    </row>
    <row r="525" spans="1:57" ht="18.75">
      <c r="A525" s="527"/>
      <c r="B525" s="528" t="s">
        <v>66</v>
      </c>
      <c r="C525" s="529"/>
      <c r="D525" s="535"/>
      <c r="E525" s="530">
        <f t="shared" si="732"/>
        <v>624100.6010405703</v>
      </c>
      <c r="F525" s="536"/>
      <c r="G525" s="535"/>
      <c r="H525" s="530">
        <f t="shared" si="733"/>
        <v>52299.6899999999</v>
      </c>
      <c r="I525" s="536"/>
      <c r="J525" s="535"/>
      <c r="K525" s="530">
        <f t="shared" si="734"/>
        <v>46268.75</v>
      </c>
      <c r="L525" s="536"/>
      <c r="M525" s="535"/>
      <c r="N525" s="530">
        <f t="shared" si="735"/>
        <v>46224.92</v>
      </c>
      <c r="O525" s="536"/>
      <c r="P525" s="535"/>
      <c r="Q525" s="530">
        <f t="shared" si="736"/>
        <v>55483.46</v>
      </c>
      <c r="R525" s="536"/>
      <c r="S525" s="535"/>
      <c r="T525" s="530">
        <f t="shared" si="737"/>
        <v>61080.929999999898</v>
      </c>
      <c r="U525" s="536"/>
      <c r="V525" s="535"/>
      <c r="W525" s="530">
        <f t="shared" si="738"/>
        <v>51326.63</v>
      </c>
      <c r="X525" s="536"/>
      <c r="Y525" s="535"/>
      <c r="Z525" s="530">
        <f t="shared" si="739"/>
        <v>49865.349999999897</v>
      </c>
      <c r="AA525" s="536"/>
      <c r="AB525" s="535"/>
      <c r="AC525" s="530">
        <f t="shared" si="740"/>
        <v>48252.54</v>
      </c>
      <c r="AD525" s="536"/>
      <c r="AE525" s="535"/>
      <c r="AF525" s="530">
        <f t="shared" si="741"/>
        <v>48907.134419689057</v>
      </c>
      <c r="AG525" s="536"/>
      <c r="AH525" s="535"/>
      <c r="AI525" s="530">
        <f t="shared" si="742"/>
        <v>59999.904198550284</v>
      </c>
      <c r="AJ525" s="536"/>
      <c r="AK525" s="535"/>
      <c r="AL525" s="530">
        <v>51518.049999999901</v>
      </c>
      <c r="AM525" s="536"/>
      <c r="AN525" s="535"/>
      <c r="AO525" s="530">
        <f t="shared" si="743"/>
        <v>43958.35491760217</v>
      </c>
      <c r="AQ525" s="537"/>
      <c r="AR525" s="538"/>
      <c r="AS525" s="533">
        <f t="shared" si="744"/>
        <v>410802.26999999967</v>
      </c>
      <c r="AU525" s="537"/>
      <c r="AV525" s="538"/>
      <c r="AW525" s="533">
        <f t="shared" si="745"/>
        <v>213298.33104057066</v>
      </c>
      <c r="AY525" s="537"/>
      <c r="AZ525" s="538"/>
      <c r="BA525" s="533">
        <f t="shared" si="746"/>
        <v>410802.27</v>
      </c>
      <c r="BC525" s="537"/>
      <c r="BD525" s="538"/>
      <c r="BE525" s="534">
        <f t="shared" si="747"/>
        <v>0</v>
      </c>
    </row>
    <row r="526" spans="1:57" ht="18.75">
      <c r="A526" s="527"/>
      <c r="B526" s="528" t="s">
        <v>70</v>
      </c>
      <c r="C526" s="529"/>
      <c r="D526" s="535"/>
      <c r="E526" s="530">
        <f t="shared" si="732"/>
        <v>125428.69248012817</v>
      </c>
      <c r="F526" s="536"/>
      <c r="G526" s="535"/>
      <c r="H526" s="530">
        <f t="shared" si="733"/>
        <v>9384.119999999999</v>
      </c>
      <c r="I526" s="536"/>
      <c r="J526" s="535"/>
      <c r="K526" s="530">
        <f t="shared" si="734"/>
        <v>10755.45</v>
      </c>
      <c r="L526" s="536"/>
      <c r="M526" s="535"/>
      <c r="N526" s="530">
        <f t="shared" si="735"/>
        <v>8379.69</v>
      </c>
      <c r="O526" s="536"/>
      <c r="P526" s="535"/>
      <c r="Q526" s="530">
        <f t="shared" si="736"/>
        <v>10989.42</v>
      </c>
      <c r="R526" s="536"/>
      <c r="S526" s="535"/>
      <c r="T526" s="530">
        <f t="shared" si="737"/>
        <v>10448.16</v>
      </c>
      <c r="U526" s="536"/>
      <c r="V526" s="535"/>
      <c r="W526" s="530">
        <f t="shared" si="738"/>
        <v>8525</v>
      </c>
      <c r="X526" s="536"/>
      <c r="Y526" s="535"/>
      <c r="Z526" s="530">
        <f t="shared" si="739"/>
        <v>10128.049999999999</v>
      </c>
      <c r="AA526" s="536"/>
      <c r="AB526" s="535"/>
      <c r="AC526" s="530">
        <f t="shared" si="740"/>
        <v>8903.9600000000009</v>
      </c>
      <c r="AD526" s="536"/>
      <c r="AE526" s="535"/>
      <c r="AF526" s="530">
        <f t="shared" si="741"/>
        <v>10986.385268191019</v>
      </c>
      <c r="AG526" s="536"/>
      <c r="AH526" s="535"/>
      <c r="AI526" s="530">
        <f t="shared" si="742"/>
        <v>13478.239348949697</v>
      </c>
      <c r="AJ526" s="536"/>
      <c r="AK526" s="535"/>
      <c r="AL526" s="530">
        <v>8487.58</v>
      </c>
      <c r="AM526" s="536"/>
      <c r="AN526" s="535"/>
      <c r="AO526" s="530">
        <f t="shared" si="743"/>
        <v>9874.7029162729486</v>
      </c>
      <c r="AQ526" s="537"/>
      <c r="AR526" s="538"/>
      <c r="AS526" s="533">
        <f t="shared" si="744"/>
        <v>77513.850000000006</v>
      </c>
      <c r="AU526" s="537"/>
      <c r="AV526" s="538"/>
      <c r="AW526" s="533">
        <f t="shared" si="745"/>
        <v>47914.84248012818</v>
      </c>
      <c r="AY526" s="537"/>
      <c r="AZ526" s="538"/>
      <c r="BA526" s="533">
        <f t="shared" si="746"/>
        <v>77513.850000000006</v>
      </c>
      <c r="BC526" s="537"/>
      <c r="BD526" s="538"/>
      <c r="BE526" s="534">
        <f t="shared" si="747"/>
        <v>0</v>
      </c>
    </row>
    <row r="527" spans="1:57" ht="18.75">
      <c r="A527" s="527"/>
      <c r="B527" s="528" t="s">
        <v>79</v>
      </c>
      <c r="C527" s="529"/>
      <c r="D527" s="535"/>
      <c r="E527" s="530">
        <f t="shared" si="732"/>
        <v>327730.2685676078</v>
      </c>
      <c r="F527" s="536"/>
      <c r="G527" s="535"/>
      <c r="H527" s="530">
        <f t="shared" si="733"/>
        <v>22061.319999999992</v>
      </c>
      <c r="I527" s="536"/>
      <c r="J527" s="535"/>
      <c r="K527" s="530">
        <f t="shared" si="734"/>
        <v>23887.119999999999</v>
      </c>
      <c r="L527" s="536"/>
      <c r="M527" s="535"/>
      <c r="N527" s="530">
        <f t="shared" si="735"/>
        <v>27768.459999999992</v>
      </c>
      <c r="O527" s="536"/>
      <c r="P527" s="535"/>
      <c r="Q527" s="530">
        <f t="shared" si="736"/>
        <v>30669.219999999987</v>
      </c>
      <c r="R527" s="536"/>
      <c r="S527" s="535"/>
      <c r="T527" s="530">
        <f t="shared" si="737"/>
        <v>27806.17</v>
      </c>
      <c r="U527" s="536"/>
      <c r="V527" s="535"/>
      <c r="W527" s="530">
        <f t="shared" si="738"/>
        <v>24243.669999999991</v>
      </c>
      <c r="X527" s="536"/>
      <c r="Y527" s="535"/>
      <c r="Z527" s="530">
        <f t="shared" si="739"/>
        <v>26236.80999999999</v>
      </c>
      <c r="AA527" s="536"/>
      <c r="AB527" s="535"/>
      <c r="AC527" s="530">
        <f t="shared" si="740"/>
        <v>27224.679999999989</v>
      </c>
      <c r="AD527" s="536"/>
      <c r="AE527" s="535"/>
      <c r="AF527" s="530">
        <f t="shared" si="741"/>
        <v>27866.162136226158</v>
      </c>
      <c r="AG527" s="536"/>
      <c r="AH527" s="535"/>
      <c r="AI527" s="530">
        <f t="shared" si="742"/>
        <v>30369.624897720063</v>
      </c>
      <c r="AJ527" s="536"/>
      <c r="AK527" s="535"/>
      <c r="AL527" s="530">
        <v>37563.789999999892</v>
      </c>
      <c r="AM527" s="536"/>
      <c r="AN527" s="535"/>
      <c r="AO527" s="530">
        <f t="shared" si="743"/>
        <v>27532.218313138124</v>
      </c>
      <c r="AQ527" s="537"/>
      <c r="AR527" s="538"/>
      <c r="AS527" s="533">
        <f t="shared" si="744"/>
        <v>209897.44999999995</v>
      </c>
      <c r="AU527" s="537"/>
      <c r="AV527" s="538"/>
      <c r="AW527" s="533">
        <f t="shared" si="745"/>
        <v>117832.81856760784</v>
      </c>
      <c r="AY527" s="537"/>
      <c r="AZ527" s="538"/>
      <c r="BA527" s="533">
        <f t="shared" si="746"/>
        <v>209897.4499999999</v>
      </c>
      <c r="BC527" s="537"/>
      <c r="BD527" s="538"/>
      <c r="BE527" s="534">
        <f t="shared" si="747"/>
        <v>-6.8212102632969618E-11</v>
      </c>
    </row>
    <row r="528" spans="1:57" ht="18.75">
      <c r="A528" s="527"/>
      <c r="B528" s="528" t="s">
        <v>157</v>
      </c>
      <c r="C528" s="529"/>
      <c r="D528" s="535"/>
      <c r="E528" s="530">
        <f t="shared" si="732"/>
        <v>432000</v>
      </c>
      <c r="F528" s="536"/>
      <c r="G528" s="535"/>
      <c r="H528" s="530">
        <f t="shared" si="733"/>
        <v>36000</v>
      </c>
      <c r="I528" s="536"/>
      <c r="J528" s="535"/>
      <c r="K528" s="530">
        <f t="shared" si="734"/>
        <v>36000</v>
      </c>
      <c r="L528" s="536"/>
      <c r="M528" s="535"/>
      <c r="N528" s="530">
        <f t="shared" si="735"/>
        <v>36000</v>
      </c>
      <c r="O528" s="536"/>
      <c r="P528" s="535"/>
      <c r="Q528" s="530">
        <f t="shared" si="736"/>
        <v>36000</v>
      </c>
      <c r="R528" s="536"/>
      <c r="S528" s="535"/>
      <c r="T528" s="530">
        <f t="shared" si="737"/>
        <v>36000</v>
      </c>
      <c r="U528" s="536"/>
      <c r="V528" s="535"/>
      <c r="W528" s="530">
        <f t="shared" si="738"/>
        <v>36000</v>
      </c>
      <c r="X528" s="536"/>
      <c r="Y528" s="535"/>
      <c r="Z528" s="530">
        <f t="shared" si="739"/>
        <v>36000</v>
      </c>
      <c r="AA528" s="536"/>
      <c r="AB528" s="535"/>
      <c r="AC528" s="530">
        <f t="shared" si="740"/>
        <v>36000</v>
      </c>
      <c r="AD528" s="536"/>
      <c r="AE528" s="535"/>
      <c r="AF528" s="530">
        <f t="shared" si="741"/>
        <v>36000</v>
      </c>
      <c r="AG528" s="536"/>
      <c r="AH528" s="535"/>
      <c r="AI528" s="530">
        <f t="shared" si="742"/>
        <v>36000</v>
      </c>
      <c r="AJ528" s="536"/>
      <c r="AK528" s="535"/>
      <c r="AL528" s="530">
        <v>36000</v>
      </c>
      <c r="AM528" s="536"/>
      <c r="AN528" s="535"/>
      <c r="AO528" s="530">
        <f t="shared" si="743"/>
        <v>36000</v>
      </c>
      <c r="AQ528" s="537"/>
      <c r="AR528" s="538"/>
      <c r="AS528" s="533">
        <f t="shared" si="744"/>
        <v>288000</v>
      </c>
      <c r="AU528" s="537"/>
      <c r="AV528" s="538"/>
      <c r="AW528" s="533">
        <f t="shared" si="745"/>
        <v>144000</v>
      </c>
      <c r="AY528" s="537"/>
      <c r="AZ528" s="538"/>
      <c r="BA528" s="533">
        <f t="shared" si="746"/>
        <v>288000</v>
      </c>
      <c r="BC528" s="537"/>
      <c r="BD528" s="538"/>
      <c r="BE528" s="534">
        <f t="shared" si="747"/>
        <v>0</v>
      </c>
    </row>
    <row r="529" spans="1:57" ht="18.75">
      <c r="A529" s="527"/>
      <c r="B529" s="528" t="s">
        <v>77</v>
      </c>
      <c r="C529" s="529"/>
      <c r="D529" s="535"/>
      <c r="E529" s="530">
        <f t="shared" si="732"/>
        <v>286745.38057511102</v>
      </c>
      <c r="F529" s="536"/>
      <c r="G529" s="535"/>
      <c r="H529" s="530">
        <f t="shared" si="733"/>
        <v>20272.469999999899</v>
      </c>
      <c r="I529" s="536"/>
      <c r="J529" s="535"/>
      <c r="K529" s="530">
        <f t="shared" si="734"/>
        <v>24573.200000000001</v>
      </c>
      <c r="L529" s="536"/>
      <c r="M529" s="535"/>
      <c r="N529" s="530">
        <f t="shared" si="735"/>
        <v>24782.19</v>
      </c>
      <c r="O529" s="536"/>
      <c r="P529" s="535"/>
      <c r="Q529" s="530">
        <f t="shared" si="736"/>
        <v>24320.58</v>
      </c>
      <c r="R529" s="536"/>
      <c r="S529" s="535"/>
      <c r="T529" s="530">
        <f t="shared" si="737"/>
        <v>29728.79</v>
      </c>
      <c r="U529" s="536"/>
      <c r="V529" s="535"/>
      <c r="W529" s="530">
        <f t="shared" si="738"/>
        <v>19706.759999999998</v>
      </c>
      <c r="X529" s="536"/>
      <c r="Y529" s="535"/>
      <c r="Z529" s="530">
        <f t="shared" si="739"/>
        <v>24085.59</v>
      </c>
      <c r="AA529" s="536"/>
      <c r="AB529" s="535"/>
      <c r="AC529" s="530">
        <f t="shared" si="740"/>
        <v>21667.48</v>
      </c>
      <c r="AD529" s="536"/>
      <c r="AE529" s="535"/>
      <c r="AF529" s="530">
        <f t="shared" si="741"/>
        <v>24402.080143777781</v>
      </c>
      <c r="AG529" s="536"/>
      <c r="AH529" s="535"/>
      <c r="AI529" s="530">
        <f t="shared" si="742"/>
        <v>24402.080143777781</v>
      </c>
      <c r="AJ529" s="536"/>
      <c r="AK529" s="535"/>
      <c r="AL529" s="530">
        <v>20276.379999999899</v>
      </c>
      <c r="AM529" s="536"/>
      <c r="AN529" s="535"/>
      <c r="AO529" s="530">
        <f t="shared" si="743"/>
        <v>24402.080143777781</v>
      </c>
      <c r="AQ529" s="537"/>
      <c r="AR529" s="538"/>
      <c r="AS529" s="533">
        <f t="shared" si="744"/>
        <v>189137.05999999991</v>
      </c>
      <c r="AU529" s="537"/>
      <c r="AV529" s="538"/>
      <c r="AW529" s="533">
        <f t="shared" si="745"/>
        <v>97608.320575111124</v>
      </c>
      <c r="AY529" s="537"/>
      <c r="AZ529" s="538"/>
      <c r="BA529" s="533">
        <f t="shared" si="746"/>
        <v>189137.06</v>
      </c>
      <c r="BC529" s="537"/>
      <c r="BD529" s="538"/>
      <c r="BE529" s="534">
        <f t="shared" si="747"/>
        <v>0</v>
      </c>
    </row>
    <row r="530" spans="1:57" ht="18.75">
      <c r="A530" s="527"/>
      <c r="B530" s="528" t="s">
        <v>81</v>
      </c>
      <c r="C530" s="529"/>
      <c r="D530" s="535"/>
      <c r="E530" s="530">
        <f t="shared" si="732"/>
        <v>578143.80839043681</v>
      </c>
      <c r="F530" s="536"/>
      <c r="G530" s="535"/>
      <c r="H530" s="530">
        <f t="shared" si="733"/>
        <v>45441.569999999898</v>
      </c>
      <c r="I530" s="536"/>
      <c r="J530" s="535"/>
      <c r="K530" s="530">
        <f t="shared" si="734"/>
        <v>46557.959999999897</v>
      </c>
      <c r="L530" s="536"/>
      <c r="M530" s="535"/>
      <c r="N530" s="530">
        <f t="shared" si="735"/>
        <v>55446.439999999988</v>
      </c>
      <c r="O530" s="536"/>
      <c r="P530" s="535"/>
      <c r="Q530" s="530">
        <f t="shared" si="736"/>
        <v>49884.439999999988</v>
      </c>
      <c r="R530" s="536"/>
      <c r="S530" s="535"/>
      <c r="T530" s="530">
        <f t="shared" si="737"/>
        <v>49271.29</v>
      </c>
      <c r="U530" s="536"/>
      <c r="V530" s="535"/>
      <c r="W530" s="530">
        <f t="shared" si="738"/>
        <v>41272.83</v>
      </c>
      <c r="X530" s="536"/>
      <c r="Y530" s="535"/>
      <c r="Z530" s="530">
        <f t="shared" si="739"/>
        <v>55523.7</v>
      </c>
      <c r="AA530" s="536"/>
      <c r="AB530" s="535"/>
      <c r="AC530" s="530">
        <f t="shared" si="740"/>
        <v>43937.16</v>
      </c>
      <c r="AD530" s="536"/>
      <c r="AE530" s="535"/>
      <c r="AF530" s="530">
        <f t="shared" si="741"/>
        <v>45702.104597609272</v>
      </c>
      <c r="AG530" s="536"/>
      <c r="AH530" s="535"/>
      <c r="AI530" s="530">
        <f t="shared" si="742"/>
        <v>49702.104597609272</v>
      </c>
      <c r="AJ530" s="536"/>
      <c r="AK530" s="535"/>
      <c r="AL530" s="530">
        <v>44279.28</v>
      </c>
      <c r="AM530" s="536"/>
      <c r="AN530" s="535"/>
      <c r="AO530" s="530">
        <f t="shared" si="743"/>
        <v>45702.104597609272</v>
      </c>
      <c r="AQ530" s="537"/>
      <c r="AR530" s="538"/>
      <c r="AS530" s="533">
        <f t="shared" si="744"/>
        <v>387335.38999999978</v>
      </c>
      <c r="AU530" s="537"/>
      <c r="AV530" s="538"/>
      <c r="AW530" s="533">
        <f t="shared" si="745"/>
        <v>190808.41839043709</v>
      </c>
      <c r="AY530" s="537"/>
      <c r="AZ530" s="538"/>
      <c r="BA530" s="533">
        <f t="shared" si="746"/>
        <v>387335.38999999996</v>
      </c>
      <c r="BC530" s="537"/>
      <c r="BD530" s="538"/>
      <c r="BE530" s="534">
        <f t="shared" si="747"/>
        <v>0</v>
      </c>
    </row>
    <row r="531" spans="1:57" ht="18.75">
      <c r="A531" s="527"/>
      <c r="B531" s="528" t="s">
        <v>159</v>
      </c>
      <c r="C531" s="529"/>
      <c r="D531" s="535"/>
      <c r="E531" s="530">
        <f t="shared" si="732"/>
        <v>373522.52936305822</v>
      </c>
      <c r="F531" s="536"/>
      <c r="G531" s="535"/>
      <c r="H531" s="530">
        <f t="shared" si="733"/>
        <v>25217.3</v>
      </c>
      <c r="I531" s="536"/>
      <c r="J531" s="535"/>
      <c r="K531" s="530">
        <f t="shared" si="734"/>
        <v>24607.31</v>
      </c>
      <c r="L531" s="536"/>
      <c r="M531" s="535"/>
      <c r="N531" s="530">
        <f t="shared" si="735"/>
        <v>24962.95</v>
      </c>
      <c r="O531" s="536"/>
      <c r="P531" s="535"/>
      <c r="Q531" s="530">
        <f t="shared" si="736"/>
        <v>20033.05999999999</v>
      </c>
      <c r="R531" s="536"/>
      <c r="S531" s="535"/>
      <c r="T531" s="530">
        <f t="shared" si="737"/>
        <v>21748.3</v>
      </c>
      <c r="U531" s="536"/>
      <c r="V531" s="535"/>
      <c r="W531" s="530">
        <f t="shared" si="738"/>
        <v>19579.269999999997</v>
      </c>
      <c r="X531" s="536"/>
      <c r="Y531" s="535"/>
      <c r="Z531" s="530">
        <f t="shared" si="739"/>
        <v>20857.190000000002</v>
      </c>
      <c r="AA531" s="536"/>
      <c r="AB531" s="535"/>
      <c r="AC531" s="530">
        <f t="shared" si="740"/>
        <v>129252.62</v>
      </c>
      <c r="AD531" s="536"/>
      <c r="AE531" s="535"/>
      <c r="AF531" s="530">
        <f t="shared" si="741"/>
        <v>20941.132340764536</v>
      </c>
      <c r="AG531" s="536"/>
      <c r="AH531" s="535"/>
      <c r="AI531" s="530">
        <f t="shared" si="742"/>
        <v>23441.132340764536</v>
      </c>
      <c r="AJ531" s="536"/>
      <c r="AK531" s="535"/>
      <c r="AL531" s="530">
        <v>19219.889999999996</v>
      </c>
      <c r="AM531" s="536"/>
      <c r="AN531" s="535"/>
      <c r="AO531" s="530">
        <f t="shared" si="743"/>
        <v>19441.132340764536</v>
      </c>
      <c r="AQ531" s="537"/>
      <c r="AR531" s="538"/>
      <c r="AS531" s="533">
        <f t="shared" si="744"/>
        <v>286258</v>
      </c>
      <c r="AU531" s="537"/>
      <c r="AV531" s="538"/>
      <c r="AW531" s="533">
        <f t="shared" si="745"/>
        <v>87264.529363058144</v>
      </c>
      <c r="AY531" s="537"/>
      <c r="AZ531" s="538"/>
      <c r="BA531" s="533">
        <f t="shared" si="746"/>
        <v>286258</v>
      </c>
      <c r="BC531" s="537"/>
      <c r="BD531" s="538"/>
      <c r="BE531" s="534">
        <f t="shared" si="747"/>
        <v>0</v>
      </c>
    </row>
    <row r="532" spans="1:57" ht="15.75">
      <c r="B532" s="547"/>
      <c r="C532" s="536"/>
      <c r="D532" s="535"/>
      <c r="E532" s="548"/>
      <c r="F532" s="536"/>
      <c r="G532" s="535"/>
      <c r="H532" s="548"/>
      <c r="I532" s="536"/>
      <c r="J532" s="535"/>
      <c r="K532" s="548"/>
      <c r="L532" s="536"/>
      <c r="M532" s="535"/>
      <c r="N532" s="548"/>
      <c r="O532" s="536"/>
      <c r="P532" s="535"/>
      <c r="Q532" s="548"/>
      <c r="R532" s="536"/>
      <c r="S532" s="535"/>
      <c r="T532" s="548"/>
      <c r="U532" s="536"/>
      <c r="V532" s="535"/>
      <c r="W532" s="549"/>
      <c r="X532" s="536"/>
      <c r="Y532" s="535"/>
      <c r="Z532" s="549"/>
      <c r="AA532" s="536"/>
      <c r="AB532" s="535"/>
      <c r="AC532" s="549"/>
      <c r="AD532" s="536"/>
      <c r="AE532" s="535"/>
      <c r="AF532" s="548"/>
      <c r="AG532" s="536"/>
      <c r="AH532" s="535"/>
      <c r="AI532" s="548"/>
      <c r="AJ532" s="536"/>
      <c r="AK532" s="535"/>
      <c r="AL532" s="548"/>
      <c r="AM532" s="536"/>
      <c r="AN532" s="535"/>
      <c r="AO532" s="548"/>
      <c r="AQ532" s="537"/>
      <c r="AR532" s="538"/>
      <c r="AS532" s="550"/>
      <c r="AU532" s="537"/>
      <c r="AV532" s="538"/>
      <c r="AW532" s="550"/>
      <c r="AY532" s="537"/>
      <c r="AZ532" s="538"/>
      <c r="BA532" s="550"/>
      <c r="BC532" s="537"/>
      <c r="BD532" s="538"/>
      <c r="BE532" s="551"/>
    </row>
    <row r="533" spans="1:57" ht="18.75">
      <c r="B533" s="547" t="s">
        <v>176</v>
      </c>
      <c r="C533" s="536"/>
      <c r="D533" s="535"/>
      <c r="E533" s="530">
        <f t="shared" si="732"/>
        <v>515776</v>
      </c>
      <c r="F533" s="536"/>
      <c r="G533" s="535"/>
      <c r="H533" s="530">
        <f t="shared" si="733"/>
        <v>42648</v>
      </c>
      <c r="I533" s="536"/>
      <c r="J533" s="535"/>
      <c r="K533" s="530">
        <f t="shared" si="734"/>
        <v>42648</v>
      </c>
      <c r="L533" s="536"/>
      <c r="M533" s="535"/>
      <c r="N533" s="530">
        <f t="shared" si="735"/>
        <v>42648</v>
      </c>
      <c r="O533" s="536"/>
      <c r="P533" s="535"/>
      <c r="Q533" s="530">
        <f t="shared" si="736"/>
        <v>42648</v>
      </c>
      <c r="R533" s="536"/>
      <c r="S533" s="535"/>
      <c r="T533" s="530">
        <f t="shared" si="737"/>
        <v>42648</v>
      </c>
      <c r="U533" s="536"/>
      <c r="V533" s="535"/>
      <c r="W533" s="530">
        <f t="shared" si="738"/>
        <v>42648</v>
      </c>
      <c r="X533" s="536"/>
      <c r="Y533" s="535"/>
      <c r="Z533" s="530">
        <f t="shared" si="739"/>
        <v>42648</v>
      </c>
      <c r="AA533" s="536"/>
      <c r="AB533" s="535"/>
      <c r="AC533" s="530">
        <f t="shared" si="740"/>
        <v>42648</v>
      </c>
      <c r="AD533" s="536"/>
      <c r="AE533" s="535"/>
      <c r="AF533" s="530">
        <f t="shared" si="741"/>
        <v>43648</v>
      </c>
      <c r="AG533" s="536"/>
      <c r="AH533" s="535"/>
      <c r="AI533" s="530">
        <f t="shared" si="742"/>
        <v>43648</v>
      </c>
      <c r="AJ533" s="536"/>
      <c r="AK533" s="535"/>
      <c r="AL533" s="530">
        <v>34648</v>
      </c>
      <c r="AM533" s="536"/>
      <c r="AN533" s="535"/>
      <c r="AO533" s="530">
        <f t="shared" si="743"/>
        <v>43648</v>
      </c>
      <c r="AQ533" s="537"/>
      <c r="AR533" s="538"/>
      <c r="AS533" s="533">
        <f t="shared" si="744"/>
        <v>341184</v>
      </c>
      <c r="AU533" s="537"/>
      <c r="AV533" s="538"/>
      <c r="AW533" s="533">
        <f t="shared" si="745"/>
        <v>174592</v>
      </c>
      <c r="AY533" s="537"/>
      <c r="AZ533" s="538"/>
      <c r="BA533" s="533">
        <f t="shared" si="746"/>
        <v>341184</v>
      </c>
      <c r="BC533" s="537"/>
      <c r="BD533" s="538"/>
      <c r="BE533" s="534">
        <f t="shared" si="747"/>
        <v>0</v>
      </c>
    </row>
    <row r="534" spans="1:57" ht="15.75">
      <c r="B534" s="547"/>
      <c r="C534" s="536"/>
      <c r="D534" s="535"/>
      <c r="E534" s="548"/>
      <c r="F534" s="536"/>
      <c r="G534" s="535"/>
      <c r="H534" s="548"/>
      <c r="I534" s="536"/>
      <c r="J534" s="535"/>
      <c r="K534" s="548"/>
      <c r="L534" s="536"/>
      <c r="M534" s="535"/>
      <c r="N534" s="548"/>
      <c r="O534" s="536"/>
      <c r="P534" s="535"/>
      <c r="Q534" s="548"/>
      <c r="R534" s="536"/>
      <c r="S534" s="535"/>
      <c r="T534" s="548"/>
      <c r="U534" s="536"/>
      <c r="V534" s="535"/>
      <c r="W534" s="549"/>
      <c r="X534" s="536"/>
      <c r="Y534" s="535"/>
      <c r="Z534" s="549"/>
      <c r="AA534" s="536"/>
      <c r="AB534" s="535"/>
      <c r="AC534" s="549"/>
      <c r="AD534" s="536"/>
      <c r="AE534" s="535"/>
      <c r="AF534" s="548"/>
      <c r="AG534" s="536"/>
      <c r="AH534" s="535"/>
      <c r="AI534" s="548"/>
      <c r="AJ534" s="536"/>
      <c r="AK534" s="535"/>
      <c r="AL534" s="548"/>
      <c r="AM534" s="536"/>
      <c r="AN534" s="535"/>
      <c r="AO534" s="548"/>
      <c r="AQ534" s="537"/>
      <c r="AR534" s="538"/>
      <c r="AS534" s="550"/>
      <c r="AU534" s="537"/>
      <c r="AV534" s="538"/>
      <c r="AW534" s="550"/>
      <c r="AY534" s="537"/>
      <c r="AZ534" s="538"/>
      <c r="BA534" s="550"/>
      <c r="BC534" s="537"/>
      <c r="BD534" s="538"/>
      <c r="BE534" s="551"/>
    </row>
    <row r="535" spans="1:57" ht="18">
      <c r="A535" s="552"/>
      <c r="B535" s="547" t="s">
        <v>190</v>
      </c>
      <c r="C535" s="536"/>
      <c r="D535" s="535"/>
      <c r="E535" s="544">
        <f>+SUM(E536:E541)</f>
        <v>287959.5703555916</v>
      </c>
      <c r="F535" s="536"/>
      <c r="G535" s="535"/>
      <c r="H535" s="544">
        <f>+SUM(H536:H541)</f>
        <v>29528.35</v>
      </c>
      <c r="I535" s="536"/>
      <c r="J535" s="535"/>
      <c r="K535" s="544">
        <f>+SUM(K536:K541)</f>
        <v>-9194.7100000000009</v>
      </c>
      <c r="L535" s="536"/>
      <c r="M535" s="535"/>
      <c r="N535" s="544">
        <f>+SUM(N536:N541)</f>
        <v>26082.329999999998</v>
      </c>
      <c r="O535" s="536"/>
      <c r="P535" s="535"/>
      <c r="Q535" s="544">
        <f>+SUM(Q536:Q541)</f>
        <v>-2001.2399999999998</v>
      </c>
      <c r="R535" s="536"/>
      <c r="S535" s="535"/>
      <c r="T535" s="544">
        <f>+SUM(T536:T541)</f>
        <v>17032.379999999997</v>
      </c>
      <c r="U535" s="536"/>
      <c r="V535" s="535"/>
      <c r="W535" s="544">
        <f>+SUM(W536:W541)</f>
        <v>18183.760000000002</v>
      </c>
      <c r="X535" s="536"/>
      <c r="Y535" s="535"/>
      <c r="Z535" s="544">
        <f>+SUM(Z536:Z541)</f>
        <v>26209.15</v>
      </c>
      <c r="AA535" s="536"/>
      <c r="AB535" s="535"/>
      <c r="AC535" s="544">
        <f>+SUM(AC536:AC541)</f>
        <v>3626.3999999999996</v>
      </c>
      <c r="AD535" s="536"/>
      <c r="AE535" s="535"/>
      <c r="AF535" s="544">
        <f>+SUM(AF536:AF541)</f>
        <v>46800.067070655386</v>
      </c>
      <c r="AG535" s="536"/>
      <c r="AH535" s="535"/>
      <c r="AI535" s="544">
        <f>+SUM(AI536:AI541)</f>
        <v>48647.254556702515</v>
      </c>
      <c r="AJ535" s="536"/>
      <c r="AK535" s="535"/>
      <c r="AL535" s="544">
        <v>-34841</v>
      </c>
      <c r="AM535" s="536"/>
      <c r="AN535" s="535"/>
      <c r="AO535" s="544">
        <f>+SUM(AO536:AO541)</f>
        <v>40941.906559876836</v>
      </c>
      <c r="AQ535" s="537"/>
      <c r="AR535" s="538"/>
      <c r="AS535" s="545">
        <f>+SUM(AS536:AS541)</f>
        <v>109466.41999999998</v>
      </c>
      <c r="AU535" s="537"/>
      <c r="AV535" s="538"/>
      <c r="AW535" s="545">
        <f>+SUM(AW536:AW541)</f>
        <v>178493.15035559161</v>
      </c>
      <c r="AY535" s="537"/>
      <c r="AZ535" s="538"/>
      <c r="BA535" s="545">
        <f>+SUM(BA536:BA541)</f>
        <v>109466.42</v>
      </c>
      <c r="BC535" s="537"/>
      <c r="BD535" s="538"/>
      <c r="BE535" s="546">
        <f>+SUM(BE536:BE541)</f>
        <v>0</v>
      </c>
    </row>
    <row r="536" spans="1:57" ht="18.75">
      <c r="B536" s="553" t="s">
        <v>178</v>
      </c>
      <c r="C536" s="536"/>
      <c r="D536" s="535"/>
      <c r="E536" s="530">
        <f t="shared" ref="E536:E541" si="748">+SUMIF($A$412:$A$498,$B536,E$412:E$498)</f>
        <v>0</v>
      </c>
      <c r="F536" s="536"/>
      <c r="G536" s="535"/>
      <c r="H536" s="530">
        <f t="shared" ref="H536:H541" si="749">+SUMIF($A$412:$A$498,$B536,H$412:H$498)</f>
        <v>0</v>
      </c>
      <c r="I536" s="536"/>
      <c r="J536" s="535"/>
      <c r="K536" s="530">
        <f t="shared" ref="K536:K541" si="750">+SUMIF($A$412:$A$498,$B536,K$412:K$498)</f>
        <v>0</v>
      </c>
      <c r="L536" s="536"/>
      <c r="M536" s="535"/>
      <c r="N536" s="530">
        <f t="shared" ref="N536:N541" si="751">+SUMIF($A$412:$A$498,$B536,N$412:N$498)</f>
        <v>0</v>
      </c>
      <c r="O536" s="536"/>
      <c r="P536" s="535"/>
      <c r="Q536" s="530">
        <f t="shared" ref="Q536:Q541" si="752">+SUMIF($A$412:$A$498,$B536,Q$412:Q$498)</f>
        <v>0</v>
      </c>
      <c r="R536" s="536"/>
      <c r="S536" s="535"/>
      <c r="T536" s="530">
        <f t="shared" ref="T536:T541" si="753">+SUMIF($A$412:$A$498,$B536,T$412:T$498)</f>
        <v>0</v>
      </c>
      <c r="U536" s="536"/>
      <c r="V536" s="535"/>
      <c r="W536" s="530">
        <f t="shared" ref="W536:W541" si="754">+SUMIF($A$412:$A$498,$B536,W$412:W$498)</f>
        <v>0</v>
      </c>
      <c r="X536" s="536"/>
      <c r="Y536" s="535"/>
      <c r="Z536" s="530">
        <f t="shared" ref="Z536:Z541" si="755">+SUMIF($A$412:$A$498,$B536,Z$412:Z$498)</f>
        <v>0</v>
      </c>
      <c r="AA536" s="536"/>
      <c r="AB536" s="535"/>
      <c r="AC536" s="530">
        <f t="shared" ref="AC536:AC541" si="756">+SUMIF($A$412:$A$498,$B536,AC$412:AC$498)</f>
        <v>0</v>
      </c>
      <c r="AD536" s="536"/>
      <c r="AE536" s="535"/>
      <c r="AF536" s="530">
        <f t="shared" ref="AF536:AF541" si="757">+SUMIF($A$412:$A$498,$B536,AF$412:AF$498)</f>
        <v>0</v>
      </c>
      <c r="AG536" s="536"/>
      <c r="AH536" s="535"/>
      <c r="AI536" s="530">
        <f t="shared" ref="AI536:AI541" si="758">+SUMIF($A$412:$A$498,$B536,AI$412:AI$498)</f>
        <v>0</v>
      </c>
      <c r="AJ536" s="536"/>
      <c r="AK536" s="535"/>
      <c r="AL536" s="530">
        <v>0</v>
      </c>
      <c r="AM536" s="536"/>
      <c r="AN536" s="535"/>
      <c r="AO536" s="530">
        <f t="shared" ref="AO536:AO541" si="759">+SUMIF($A$412:$A$498,$B536,AO$412:AO$498)</f>
        <v>0</v>
      </c>
      <c r="AQ536" s="537"/>
      <c r="AR536" s="538"/>
      <c r="AS536" s="533">
        <f t="shared" ref="AS536:AS541" si="760">+SUMIF($A$412:$A$498,$B536,AS$412:AS$498)</f>
        <v>0</v>
      </c>
      <c r="AU536" s="537"/>
      <c r="AV536" s="538"/>
      <c r="AW536" s="533">
        <f t="shared" ref="AW536:AW541" si="761">+SUMIF($A$412:$A$498,$B536,AW$412:AW$498)</f>
        <v>0</v>
      </c>
      <c r="AY536" s="537"/>
      <c r="AZ536" s="538"/>
      <c r="BA536" s="533">
        <f t="shared" ref="BA536:BA541" si="762">+SUMIF($A$412:$A$498,$B536,BA$412:BA$498)</f>
        <v>0</v>
      </c>
      <c r="BC536" s="537"/>
      <c r="BD536" s="538"/>
      <c r="BE536" s="534">
        <f t="shared" ref="BE536:BE541" si="763">+SUMIF($A$412:$A$498,$B536,BE$412:BE$498)</f>
        <v>0</v>
      </c>
    </row>
    <row r="537" spans="1:57" ht="18.75">
      <c r="B537" s="553" t="s">
        <v>180</v>
      </c>
      <c r="C537" s="536"/>
      <c r="D537" s="535"/>
      <c r="E537" s="530">
        <f t="shared" si="748"/>
        <v>0</v>
      </c>
      <c r="F537" s="536"/>
      <c r="G537" s="535"/>
      <c r="H537" s="530">
        <f t="shared" si="749"/>
        <v>0</v>
      </c>
      <c r="I537" s="536"/>
      <c r="J537" s="535"/>
      <c r="K537" s="530">
        <f t="shared" si="750"/>
        <v>0</v>
      </c>
      <c r="L537" s="536"/>
      <c r="M537" s="535"/>
      <c r="N537" s="530">
        <f t="shared" si="751"/>
        <v>0</v>
      </c>
      <c r="O537" s="536"/>
      <c r="P537" s="535"/>
      <c r="Q537" s="530">
        <f t="shared" si="752"/>
        <v>0</v>
      </c>
      <c r="R537" s="536"/>
      <c r="S537" s="535"/>
      <c r="T537" s="530">
        <f t="shared" si="753"/>
        <v>0</v>
      </c>
      <c r="U537" s="536"/>
      <c r="V537" s="535"/>
      <c r="W537" s="530">
        <f t="shared" si="754"/>
        <v>0</v>
      </c>
      <c r="X537" s="536"/>
      <c r="Y537" s="535"/>
      <c r="Z537" s="530">
        <f t="shared" si="755"/>
        <v>0</v>
      </c>
      <c r="AA537" s="536"/>
      <c r="AB537" s="535"/>
      <c r="AC537" s="530">
        <f t="shared" si="756"/>
        <v>0</v>
      </c>
      <c r="AD537" s="536"/>
      <c r="AE537" s="535"/>
      <c r="AF537" s="530">
        <f t="shared" si="757"/>
        <v>0</v>
      </c>
      <c r="AG537" s="536"/>
      <c r="AH537" s="535"/>
      <c r="AI537" s="530">
        <f t="shared" si="758"/>
        <v>0</v>
      </c>
      <c r="AJ537" s="536"/>
      <c r="AK537" s="535"/>
      <c r="AL537" s="530">
        <v>0</v>
      </c>
      <c r="AM537" s="536"/>
      <c r="AN537" s="535"/>
      <c r="AO537" s="530">
        <f t="shared" si="759"/>
        <v>0</v>
      </c>
      <c r="AQ537" s="537"/>
      <c r="AR537" s="538"/>
      <c r="AS537" s="533">
        <f t="shared" si="760"/>
        <v>0</v>
      </c>
      <c r="AU537" s="537"/>
      <c r="AV537" s="538"/>
      <c r="AW537" s="533">
        <f t="shared" si="761"/>
        <v>0</v>
      </c>
      <c r="AY537" s="537"/>
      <c r="AZ537" s="538"/>
      <c r="BA537" s="533">
        <f t="shared" si="762"/>
        <v>0</v>
      </c>
      <c r="BC537" s="537"/>
      <c r="BD537" s="538"/>
      <c r="BE537" s="534">
        <f t="shared" si="763"/>
        <v>0</v>
      </c>
    </row>
    <row r="538" spans="1:57" ht="18.75">
      <c r="B538" s="553" t="s">
        <v>191</v>
      </c>
      <c r="C538" s="536"/>
      <c r="D538" s="535"/>
      <c r="E538" s="530">
        <f t="shared" si="748"/>
        <v>0</v>
      </c>
      <c r="F538" s="536"/>
      <c r="G538" s="535"/>
      <c r="H538" s="530">
        <f t="shared" si="749"/>
        <v>0</v>
      </c>
      <c r="I538" s="536"/>
      <c r="J538" s="535"/>
      <c r="K538" s="530">
        <f t="shared" si="750"/>
        <v>0</v>
      </c>
      <c r="L538" s="536"/>
      <c r="M538" s="535"/>
      <c r="N538" s="530">
        <f t="shared" si="751"/>
        <v>0</v>
      </c>
      <c r="O538" s="536"/>
      <c r="P538" s="535"/>
      <c r="Q538" s="530">
        <f t="shared" si="752"/>
        <v>0</v>
      </c>
      <c r="R538" s="536"/>
      <c r="S538" s="535"/>
      <c r="T538" s="530">
        <f t="shared" si="753"/>
        <v>0</v>
      </c>
      <c r="U538" s="536"/>
      <c r="V538" s="535"/>
      <c r="W538" s="530">
        <f t="shared" si="754"/>
        <v>0</v>
      </c>
      <c r="X538" s="536"/>
      <c r="Y538" s="535"/>
      <c r="Z538" s="530">
        <f t="shared" si="755"/>
        <v>0</v>
      </c>
      <c r="AA538" s="536"/>
      <c r="AB538" s="535"/>
      <c r="AC538" s="530">
        <f t="shared" si="756"/>
        <v>0</v>
      </c>
      <c r="AD538" s="536"/>
      <c r="AE538" s="535"/>
      <c r="AF538" s="530">
        <f t="shared" si="757"/>
        <v>0</v>
      </c>
      <c r="AG538" s="536"/>
      <c r="AH538" s="535"/>
      <c r="AI538" s="530">
        <f t="shared" si="758"/>
        <v>0</v>
      </c>
      <c r="AJ538" s="536"/>
      <c r="AK538" s="535"/>
      <c r="AL538" s="530">
        <v>0</v>
      </c>
      <c r="AM538" s="536"/>
      <c r="AN538" s="535"/>
      <c r="AO538" s="530">
        <f t="shared" si="759"/>
        <v>0</v>
      </c>
      <c r="AQ538" s="537"/>
      <c r="AR538" s="538"/>
      <c r="AS538" s="533">
        <f t="shared" si="760"/>
        <v>0</v>
      </c>
      <c r="AU538" s="537"/>
      <c r="AV538" s="538"/>
      <c r="AW538" s="533">
        <f t="shared" si="761"/>
        <v>0</v>
      </c>
      <c r="AY538" s="537"/>
      <c r="AZ538" s="538"/>
      <c r="BA538" s="533">
        <f t="shared" si="762"/>
        <v>0</v>
      </c>
      <c r="BC538" s="537"/>
      <c r="BD538" s="538"/>
      <c r="BE538" s="534">
        <f t="shared" si="763"/>
        <v>0</v>
      </c>
    </row>
    <row r="539" spans="1:57" ht="18.75">
      <c r="B539" s="553" t="s">
        <v>192</v>
      </c>
      <c r="C539" s="540"/>
      <c r="D539" s="539"/>
      <c r="E539" s="530">
        <f t="shared" si="748"/>
        <v>0</v>
      </c>
      <c r="F539" s="540"/>
      <c r="G539" s="539"/>
      <c r="H539" s="530">
        <f t="shared" si="749"/>
        <v>0</v>
      </c>
      <c r="I539" s="540"/>
      <c r="J539" s="539"/>
      <c r="K539" s="530">
        <f t="shared" si="750"/>
        <v>0</v>
      </c>
      <c r="L539" s="540"/>
      <c r="M539" s="539"/>
      <c r="N539" s="530">
        <f t="shared" si="751"/>
        <v>0</v>
      </c>
      <c r="O539" s="540"/>
      <c r="P539" s="539"/>
      <c r="Q539" s="530">
        <f t="shared" si="752"/>
        <v>0</v>
      </c>
      <c r="R539" s="540"/>
      <c r="S539" s="539"/>
      <c r="T539" s="530">
        <f t="shared" si="753"/>
        <v>0</v>
      </c>
      <c r="U539" s="540"/>
      <c r="V539" s="539"/>
      <c r="W539" s="530">
        <f t="shared" si="754"/>
        <v>0</v>
      </c>
      <c r="X539" s="540"/>
      <c r="Y539" s="539"/>
      <c r="Z539" s="530">
        <f t="shared" si="755"/>
        <v>0</v>
      </c>
      <c r="AA539" s="540"/>
      <c r="AB539" s="539"/>
      <c r="AC539" s="530">
        <f t="shared" si="756"/>
        <v>0</v>
      </c>
      <c r="AD539" s="540"/>
      <c r="AE539" s="539"/>
      <c r="AF539" s="530">
        <f t="shared" si="757"/>
        <v>0</v>
      </c>
      <c r="AG539" s="540"/>
      <c r="AH539" s="539"/>
      <c r="AI539" s="530">
        <f t="shared" si="758"/>
        <v>0</v>
      </c>
      <c r="AJ539" s="540"/>
      <c r="AK539" s="539"/>
      <c r="AL539" s="530">
        <v>0</v>
      </c>
      <c r="AM539" s="540"/>
      <c r="AN539" s="539"/>
      <c r="AO539" s="530">
        <f t="shared" si="759"/>
        <v>0</v>
      </c>
      <c r="AQ539" s="541"/>
      <c r="AR539" s="542"/>
      <c r="AS539" s="533">
        <f t="shared" si="760"/>
        <v>0</v>
      </c>
      <c r="AU539" s="541"/>
      <c r="AV539" s="542"/>
      <c r="AW539" s="533">
        <f t="shared" si="761"/>
        <v>0</v>
      </c>
      <c r="AY539" s="541"/>
      <c r="AZ539" s="542"/>
      <c r="BA539" s="533">
        <f t="shared" si="762"/>
        <v>0</v>
      </c>
      <c r="BC539" s="541"/>
      <c r="BD539" s="542"/>
      <c r="BE539" s="534">
        <f t="shared" si="763"/>
        <v>0</v>
      </c>
    </row>
    <row r="540" spans="1:57" ht="18.75">
      <c r="B540" s="553" t="s">
        <v>54</v>
      </c>
      <c r="C540" s="554"/>
      <c r="D540" s="555"/>
      <c r="E540" s="530">
        <f t="shared" si="748"/>
        <v>287959.5703555916</v>
      </c>
      <c r="F540" s="554"/>
      <c r="G540" s="555"/>
      <c r="H540" s="530">
        <f t="shared" si="749"/>
        <v>29528.35</v>
      </c>
      <c r="I540" s="554"/>
      <c r="J540" s="555"/>
      <c r="K540" s="530">
        <f t="shared" si="750"/>
        <v>-9194.7100000000009</v>
      </c>
      <c r="L540" s="554"/>
      <c r="M540" s="555"/>
      <c r="N540" s="530">
        <f t="shared" si="751"/>
        <v>26082.329999999998</v>
      </c>
      <c r="O540" s="554"/>
      <c r="P540" s="555"/>
      <c r="Q540" s="530">
        <f t="shared" si="752"/>
        <v>-2001.2399999999998</v>
      </c>
      <c r="R540" s="554"/>
      <c r="S540" s="555"/>
      <c r="T540" s="530">
        <f t="shared" si="753"/>
        <v>17032.379999999997</v>
      </c>
      <c r="U540" s="554"/>
      <c r="V540" s="555"/>
      <c r="W540" s="530">
        <f t="shared" si="754"/>
        <v>18183.760000000002</v>
      </c>
      <c r="X540" s="554"/>
      <c r="Y540" s="555"/>
      <c r="Z540" s="530">
        <f t="shared" si="755"/>
        <v>26209.15</v>
      </c>
      <c r="AA540" s="554"/>
      <c r="AB540" s="555"/>
      <c r="AC540" s="530">
        <f t="shared" si="756"/>
        <v>3626.3999999999996</v>
      </c>
      <c r="AD540" s="554"/>
      <c r="AE540" s="555"/>
      <c r="AF540" s="530">
        <f t="shared" si="757"/>
        <v>46800.067070655386</v>
      </c>
      <c r="AG540" s="554"/>
      <c r="AH540" s="555"/>
      <c r="AI540" s="530">
        <f t="shared" si="758"/>
        <v>48647.254556702515</v>
      </c>
      <c r="AJ540" s="554"/>
      <c r="AK540" s="555"/>
      <c r="AL540" s="530">
        <v>-34841</v>
      </c>
      <c r="AM540" s="554"/>
      <c r="AN540" s="555"/>
      <c r="AO540" s="530">
        <f t="shared" si="759"/>
        <v>40941.906559876836</v>
      </c>
      <c r="AQ540" s="556"/>
      <c r="AR540" s="557"/>
      <c r="AS540" s="533">
        <f t="shared" si="760"/>
        <v>109466.41999999998</v>
      </c>
      <c r="AU540" s="556"/>
      <c r="AV540" s="557"/>
      <c r="AW540" s="533">
        <f t="shared" si="761"/>
        <v>178493.15035559161</v>
      </c>
      <c r="AY540" s="556"/>
      <c r="AZ540" s="557"/>
      <c r="BA540" s="533">
        <f t="shared" si="762"/>
        <v>109466.42</v>
      </c>
      <c r="BC540" s="556"/>
      <c r="BD540" s="557"/>
      <c r="BE540" s="534">
        <f t="shared" si="763"/>
        <v>0</v>
      </c>
    </row>
    <row r="541" spans="1:57" ht="19.5" thickBot="1">
      <c r="B541" s="553" t="s">
        <v>182</v>
      </c>
      <c r="C541" s="558"/>
      <c r="D541" s="559"/>
      <c r="E541" s="560">
        <f t="shared" si="748"/>
        <v>0</v>
      </c>
      <c r="F541" s="561"/>
      <c r="G541" s="562"/>
      <c r="H541" s="530">
        <f t="shared" si="749"/>
        <v>0</v>
      </c>
      <c r="I541" s="558"/>
      <c r="J541" s="559"/>
      <c r="K541" s="560">
        <f t="shared" si="750"/>
        <v>0</v>
      </c>
      <c r="L541" s="558"/>
      <c r="M541" s="559"/>
      <c r="N541" s="560">
        <f t="shared" si="751"/>
        <v>0</v>
      </c>
      <c r="O541" s="558"/>
      <c r="P541" s="559"/>
      <c r="Q541" s="560">
        <f t="shared" si="752"/>
        <v>0</v>
      </c>
      <c r="R541" s="558"/>
      <c r="S541" s="559"/>
      <c r="T541" s="560">
        <f t="shared" si="753"/>
        <v>0</v>
      </c>
      <c r="U541" s="558"/>
      <c r="V541" s="559"/>
      <c r="W541" s="560">
        <f t="shared" si="754"/>
        <v>0</v>
      </c>
      <c r="X541" s="558"/>
      <c r="Y541" s="559"/>
      <c r="Z541" s="560">
        <f t="shared" si="755"/>
        <v>0</v>
      </c>
      <c r="AA541" s="558"/>
      <c r="AB541" s="559"/>
      <c r="AC541" s="560">
        <f t="shared" si="756"/>
        <v>0</v>
      </c>
      <c r="AD541" s="558"/>
      <c r="AE541" s="559"/>
      <c r="AF541" s="560">
        <f t="shared" si="757"/>
        <v>0</v>
      </c>
      <c r="AG541" s="558"/>
      <c r="AH541" s="559"/>
      <c r="AI541" s="560">
        <f t="shared" si="758"/>
        <v>0</v>
      </c>
      <c r="AJ541" s="558"/>
      <c r="AK541" s="559"/>
      <c r="AL541" s="560">
        <v>0</v>
      </c>
      <c r="AM541" s="558"/>
      <c r="AN541" s="559"/>
      <c r="AO541" s="560">
        <f t="shared" si="759"/>
        <v>0</v>
      </c>
      <c r="AQ541" s="563"/>
      <c r="AR541" s="564"/>
      <c r="AS541" s="565">
        <f t="shared" si="760"/>
        <v>0</v>
      </c>
      <c r="AU541" s="563"/>
      <c r="AV541" s="564"/>
      <c r="AW541" s="565">
        <f t="shared" si="761"/>
        <v>0</v>
      </c>
      <c r="AY541" s="563"/>
      <c r="AZ541" s="564"/>
      <c r="BA541" s="565">
        <f t="shared" si="762"/>
        <v>0</v>
      </c>
      <c r="BC541" s="563"/>
      <c r="BD541" s="564"/>
      <c r="BE541" s="566">
        <f t="shared" si="763"/>
        <v>0</v>
      </c>
    </row>
    <row r="542" spans="1:57" ht="15.75">
      <c r="B542" s="567" t="s">
        <v>193</v>
      </c>
      <c r="C542" s="519"/>
      <c r="D542" s="568"/>
      <c r="E542" s="569">
        <f>+E511+E519+E535+E533</f>
        <v>8653002.3116596863</v>
      </c>
      <c r="F542" s="519"/>
      <c r="G542" s="568"/>
      <c r="H542" s="569">
        <f>+H511+H519+H535+H533</f>
        <v>702090.24999999965</v>
      </c>
      <c r="I542" s="519"/>
      <c r="J542" s="568"/>
      <c r="K542" s="569">
        <f>+K511+K519+K535+K533</f>
        <v>581073.65999999992</v>
      </c>
      <c r="L542" s="519"/>
      <c r="M542" s="568"/>
      <c r="N542" s="569">
        <f>+N511+N519+N535+N533</f>
        <v>678685.80999999959</v>
      </c>
      <c r="O542" s="519"/>
      <c r="P542" s="568"/>
      <c r="Q542" s="569">
        <f>+Q511+Q519+Q535+Q533</f>
        <v>700279.78999999992</v>
      </c>
      <c r="R542" s="519"/>
      <c r="S542" s="568"/>
      <c r="T542" s="569">
        <f>+T511+T519+T535+T533</f>
        <v>766424.24999999965</v>
      </c>
      <c r="U542" s="519"/>
      <c r="V542" s="568"/>
      <c r="W542" s="569">
        <f>+W511+W519+W535+W533</f>
        <v>643405.30999999994</v>
      </c>
      <c r="X542" s="519"/>
      <c r="Y542" s="568"/>
      <c r="Z542" s="569">
        <f>+Z511+Z519+Z535+Z533</f>
        <v>688019.01999999979</v>
      </c>
      <c r="AA542" s="519"/>
      <c r="AB542" s="568"/>
      <c r="AC542" s="569">
        <f>+AC511+AC519+AC535+AC533</f>
        <v>770721.33999999973</v>
      </c>
      <c r="AD542" s="519"/>
      <c r="AE542" s="568"/>
      <c r="AF542" s="569">
        <f>+AF511+AF519+AF535+AF533</f>
        <v>725966.25379478035</v>
      </c>
      <c r="AG542" s="519"/>
      <c r="AH542" s="568"/>
      <c r="AI542" s="569">
        <f>+AI511+AI519+AI535+AI533</f>
        <v>858549.80887840653</v>
      </c>
      <c r="AJ542" s="519"/>
      <c r="AK542" s="568"/>
      <c r="AL542" s="569">
        <v>674741.77999999945</v>
      </c>
      <c r="AM542" s="519"/>
      <c r="AN542" s="568"/>
      <c r="AO542" s="569">
        <f>+AO511+AO519+AO535+AO533</f>
        <v>700803.29741166043</v>
      </c>
      <c r="AQ542" s="519"/>
      <c r="AR542" s="568"/>
      <c r="AS542" s="569">
        <f>+AS511+AS519+AS535+AS533</f>
        <v>5530699.4299999978</v>
      </c>
      <c r="AU542" s="519"/>
      <c r="AV542" s="568"/>
      <c r="AW542" s="569">
        <f>+AW511+AW519+AW535+AW533</f>
        <v>3122302.8816596856</v>
      </c>
      <c r="AY542" s="519"/>
      <c r="AZ542" s="568"/>
      <c r="BA542" s="569">
        <f>+BA511+BA519+BA535+BA533</f>
        <v>5530699.4299999988</v>
      </c>
      <c r="BC542" s="519"/>
      <c r="BD542" s="568"/>
      <c r="BE542" s="569">
        <f>+BE511+BE519+BE535+BE533</f>
        <v>-7.9580786405131221E-10</v>
      </c>
    </row>
    <row r="543" spans="1:57" ht="16.5" thickBot="1">
      <c r="B543" s="570" t="s">
        <v>194</v>
      </c>
      <c r="C543" s="571"/>
      <c r="D543" s="572"/>
      <c r="E543" s="573">
        <f>+E542-E422-E436-E455-E469-E494-E495-E496-E497-E498</f>
        <v>1.6298145055770874E-9</v>
      </c>
      <c r="F543" s="571"/>
      <c r="G543" s="572"/>
      <c r="H543" s="573">
        <f>+H542-H422-H436-H455-H469-H494-H495-H496-H497-H498</f>
        <v>-2.9103830456733704E-10</v>
      </c>
      <c r="I543" s="571"/>
      <c r="J543" s="572"/>
      <c r="K543" s="573">
        <f>+K542-K422-K436-K455-K469-K494-K495-K496-K497-K498</f>
        <v>-1.1641532182693481E-10</v>
      </c>
      <c r="L543" s="571"/>
      <c r="M543" s="572"/>
      <c r="N543" s="573">
        <f>+N542-N422-N436-N455-N469-N494-N495-N496-N497-N498</f>
        <v>6.6938810050487518E-10</v>
      </c>
      <c r="O543" s="571"/>
      <c r="P543" s="572"/>
      <c r="Q543" s="573">
        <f>+Q542-Q422-Q436-Q455-Q469-Q494-Q495-Q496-Q497-Q498</f>
        <v>9.7497832030057907E-10</v>
      </c>
      <c r="R543" s="571"/>
      <c r="S543" s="572"/>
      <c r="T543" s="573">
        <f>+T542-T422-T436-T455-T469-T494-T495-T496-T497-T498</f>
        <v>6.6938810050487518E-10</v>
      </c>
      <c r="U543" s="571"/>
      <c r="V543" s="572"/>
      <c r="W543" s="573">
        <f>+W542-W422-W436-W455-W469-W494-W495-W496-W497-W498</f>
        <v>-2.1827872842550278E-11</v>
      </c>
      <c r="X543" s="571"/>
      <c r="Y543" s="572"/>
      <c r="Z543" s="573">
        <f>+Z542-Z422-Z436-Z455-Z469-Z494-Z495-Z496-Z497-Z498</f>
        <v>7.5669959187507629E-10</v>
      </c>
      <c r="AA543" s="571"/>
      <c r="AB543" s="572"/>
      <c r="AC543" s="573">
        <f>+AC542-AC422-AC436-AC455-AC469-AC494-AC495-AC496-AC497-AC498</f>
        <v>7.5669959187507629E-10</v>
      </c>
      <c r="AD543" s="571"/>
      <c r="AE543" s="572"/>
      <c r="AF543" s="573">
        <f>+AF542-AF422-AF436-AF455-AF469-AF494-AF495-AF496-AF497-AF498</f>
        <v>-7.2759576141834259E-11</v>
      </c>
      <c r="AG543" s="571"/>
      <c r="AH543" s="572"/>
      <c r="AI543" s="573">
        <f>+AI542-AI422-AI436-AI455-AI469-AI494-AI495-AI496-AI497-AI498</f>
        <v>1.4551915228366852E-11</v>
      </c>
      <c r="AJ543" s="571"/>
      <c r="AK543" s="572"/>
      <c r="AL543" s="573">
        <v>4.9476511776447296E-10</v>
      </c>
      <c r="AM543" s="571"/>
      <c r="AN543" s="572"/>
      <c r="AO543" s="573">
        <f>+AO542-AO422-AO436-AO455-AO469-AO494-AO495-AO496-AO497-AO498</f>
        <v>1.4551915228366852E-11</v>
      </c>
      <c r="AP543" s="574"/>
      <c r="AQ543" s="571"/>
      <c r="AR543" s="572"/>
      <c r="AS543" s="573">
        <f>+AS542-AS422-AS436-AS455-AS469-AS494-AS495-AS496-AS497-AS498</f>
        <v>-2.3283064365386963E-10</v>
      </c>
      <c r="AT543" s="574"/>
      <c r="AU543" s="571"/>
      <c r="AV543" s="572"/>
      <c r="AW543" s="573">
        <f>+AW542-AW422-AW436-AW455-AW469-AW494-AW495-AW496-AW497-AW498</f>
        <v>-5.8207660913467407E-11</v>
      </c>
      <c r="AX543" s="574"/>
      <c r="AY543" s="571"/>
      <c r="AZ543" s="572"/>
      <c r="BA543" s="573">
        <f>+BA542-BA422-BA436-BA455-BA469-BA494-BA495-BA496-BA497-BA498</f>
        <v>8.4983184933662415E-9</v>
      </c>
      <c r="BB543" s="574"/>
      <c r="BC543" s="571"/>
      <c r="BD543" s="572"/>
      <c r="BE543" s="573">
        <f>+BE542-BE422-BE436-BE455-BE469-BE494-BE495-BE496-BE497-BE498</f>
        <v>0</v>
      </c>
    </row>
  </sheetData>
  <mergeCells count="16">
    <mergeCell ref="U4:W4"/>
    <mergeCell ref="F4:H4"/>
    <mergeCell ref="I4:K4"/>
    <mergeCell ref="L4:N4"/>
    <mergeCell ref="O4:Q4"/>
    <mergeCell ref="R4:T4"/>
    <mergeCell ref="AQ4:AS4"/>
    <mergeCell ref="AU4:AW4"/>
    <mergeCell ref="AY4:BA4"/>
    <mergeCell ref="BC4:BE4"/>
    <mergeCell ref="X4:Z4"/>
    <mergeCell ref="AA4:AC4"/>
    <mergeCell ref="AD4:AF4"/>
    <mergeCell ref="AG4:AI4"/>
    <mergeCell ref="AJ4:AL4"/>
    <mergeCell ref="AM4:AO4"/>
  </mergeCells>
  <conditionalFormatting sqref="C6 F6 I6 L6 O6 R6 U6 X6 AA6 C9 C11:C17 C19:C27 C97:AO121 AQ97:AS121 BC97:BE121 D122:E124 C168:D170 C213:D213 C232:D232 C236:D238 E253:E254 C269:D269 C292:D293 C297:E332 F298:K319 F320:G331 I320:J331 H321:H331 K321:K331 F332:K332 C333:D333 C356:D358 C403:D403">
    <cfRule type="expression" priority="290" stopIfTrue="1">
      <formula>"esterreur(reference)"</formula>
    </cfRule>
  </conditionalFormatting>
  <conditionalFormatting sqref="C94">
    <cfRule type="expression" priority="284" stopIfTrue="1">
      <formula>"esterreur(reference)"</formula>
    </cfRule>
  </conditionalFormatting>
  <conditionalFormatting sqref="C173">
    <cfRule type="expression" priority="283" stopIfTrue="1">
      <formula>"esterreur(reference)"</formula>
    </cfRule>
  </conditionalFormatting>
  <conditionalFormatting sqref="C241">
    <cfRule type="expression" priority="282" stopIfTrue="1">
      <formula>"esterreur(reference)"</formula>
    </cfRule>
  </conditionalFormatting>
  <conditionalFormatting sqref="C296">
    <cfRule type="expression" priority="281" stopIfTrue="1">
      <formula>"esterreur(reference)"</formula>
    </cfRule>
  </conditionalFormatting>
  <conditionalFormatting sqref="C361">
    <cfRule type="expression" priority="280" stopIfTrue="1">
      <formula>"esterreur(reference)"</formula>
    </cfRule>
  </conditionalFormatting>
  <conditionalFormatting sqref="C407">
    <cfRule type="expression" priority="279" stopIfTrue="1">
      <formula>"esterreur(reference)"</formula>
    </cfRule>
  </conditionalFormatting>
  <conditionalFormatting sqref="C253:D257">
    <cfRule type="expression" priority="286" stopIfTrue="1">
      <formula>"esterreur(reference)"</formula>
    </cfRule>
  </conditionalFormatting>
  <conditionalFormatting sqref="C28:AO75">
    <cfRule type="expression" priority="11" stopIfTrue="1">
      <formula>"esterreur(reference)"</formula>
    </cfRule>
  </conditionalFormatting>
  <conditionalFormatting sqref="C86:AO91">
    <cfRule type="expression" priority="114" stopIfTrue="1">
      <formula>"esterreur(reference)"</formula>
    </cfRule>
  </conditionalFormatting>
  <conditionalFormatting sqref="C93:AO93 E169:AO170 C172:AO172 E237:AO238 C240:AO240 E293:AO293 C295:AO295 F356:G358 I356:J358 F403:G403 I403:J403">
    <cfRule type="expression" priority="180" stopIfTrue="1">
      <formula>"esterreur(reference)"</formula>
    </cfRule>
  </conditionalFormatting>
  <conditionalFormatting sqref="C138:AO156">
    <cfRule type="expression" priority="12" stopIfTrue="1">
      <formula>"esterreur(reference)"</formula>
    </cfRule>
  </conditionalFormatting>
  <conditionalFormatting sqref="AA253:AB257 C174:AO212">
    <cfRule type="expression" priority="13" stopIfTrue="1">
      <formula>"esterreur(reference)"</formula>
    </cfRule>
  </conditionalFormatting>
  <conditionalFormatting sqref="C246:AO246 AD252:AO254">
    <cfRule type="expression" priority="54" stopIfTrue="1">
      <formula>"esterreur(reference)"</formula>
    </cfRule>
  </conditionalFormatting>
  <conditionalFormatting sqref="C270:AO288 AE291:AF291 AH291:AI291 AK291:AL291 AN291:AO291 AE292 AH292 AK292 AN292">
    <cfRule type="expression" priority="51" stopIfTrue="1">
      <formula>"esterreur(reference)"</formula>
    </cfRule>
  </conditionalFormatting>
  <conditionalFormatting sqref="C334:AO352">
    <cfRule type="expression" priority="40" stopIfTrue="1">
      <formula>"esterreur(reference)"</formula>
    </cfRule>
  </conditionalFormatting>
  <conditionalFormatting sqref="C360:AO360">
    <cfRule type="expression" priority="179" stopIfTrue="1">
      <formula>"esterreur(reference)"</formula>
    </cfRule>
  </conditionalFormatting>
  <conditionalFormatting sqref="C362:AO397">
    <cfRule type="expression" priority="38" stopIfTrue="1">
      <formula>"esterreur(reference)"</formula>
    </cfRule>
  </conditionalFormatting>
  <conditionalFormatting sqref="C399:AO402">
    <cfRule type="expression" priority="36" stopIfTrue="1">
      <formula>"esterreur(reference)"</formula>
    </cfRule>
  </conditionalFormatting>
  <conditionalFormatting sqref="D398">
    <cfRule type="expression" priority="289" stopIfTrue="1">
      <formula>"esterreur(reference)"</formula>
    </cfRule>
  </conditionalFormatting>
  <conditionalFormatting sqref="E9:F9 H9:I9 K9:K17 E11:F17 H11:I17 E19:F27 H19:I27 K19:L27 G122:H124 J122:K124 C125:Q137 C159:AO160 C167:AC167 F168:G168 I168:J168 F213:G213 I213:J213 C214:AO231 F232:G232 I232:J232 F236:G236 I236:J236 C242:AO243 C252:AC252 H253:H254 K253:K254 C255:AO268 F269:G269 I269:J269 C291:AC291 F292:G292 I292:J292 F333:G333 I333:J333 C235:AO235 C355:AO355">
    <cfRule type="expression" priority="181" stopIfTrue="1">
      <formula>"esterreur(reference)"</formula>
    </cfRule>
  </conditionalFormatting>
  <conditionalFormatting sqref="F94">
    <cfRule type="expression" priority="173" stopIfTrue="1">
      <formula>"esterreur(reference)"</formula>
    </cfRule>
  </conditionalFormatting>
  <conditionalFormatting sqref="F173">
    <cfRule type="expression" priority="172" stopIfTrue="1">
      <formula>"esterreur(reference)"</formula>
    </cfRule>
  </conditionalFormatting>
  <conditionalFormatting sqref="F241">
    <cfRule type="expression" priority="171" stopIfTrue="1">
      <formula>"esterreur(reference)"</formula>
    </cfRule>
  </conditionalFormatting>
  <conditionalFormatting sqref="F296:F297">
    <cfRule type="expression" priority="170" stopIfTrue="1">
      <formula>"esterreur(reference)"</formula>
    </cfRule>
  </conditionalFormatting>
  <conditionalFormatting sqref="F361">
    <cfRule type="expression" priority="169" stopIfTrue="1">
      <formula>"esterreur(reference)"</formula>
    </cfRule>
  </conditionalFormatting>
  <conditionalFormatting sqref="F407">
    <cfRule type="expression" priority="168" stopIfTrue="1">
      <formula>"esterreur(reference)"</formula>
    </cfRule>
  </conditionalFormatting>
  <conditionalFormatting sqref="F253:G257 I253:J257">
    <cfRule type="expression" priority="175" stopIfTrue="1">
      <formula>"esterreur(reference)"</formula>
    </cfRule>
  </conditionalFormatting>
  <conditionalFormatting sqref="G398 J398">
    <cfRule type="expression" priority="178" stopIfTrue="1">
      <formula>"esterreur(reference)"</formula>
    </cfRule>
  </conditionalFormatting>
  <conditionalFormatting sqref="G297:K297">
    <cfRule type="expression" priority="140" stopIfTrue="1">
      <formula>"esterreur(reference)"</formula>
    </cfRule>
  </conditionalFormatting>
  <conditionalFormatting sqref="I94 L94 O94 R94">
    <cfRule type="expression" priority="28" stopIfTrue="1">
      <formula>"esterreur(reference)"</formula>
    </cfRule>
  </conditionalFormatting>
  <conditionalFormatting sqref="I173 L173 O173 R173">
    <cfRule type="expression" priority="27" stopIfTrue="1">
      <formula>"esterreur(reference)"</formula>
    </cfRule>
  </conditionalFormatting>
  <conditionalFormatting sqref="I241 L241 O241 R241">
    <cfRule type="expression" priority="26" stopIfTrue="1">
      <formula>"esterreur(reference)"</formula>
    </cfRule>
  </conditionalFormatting>
  <conditionalFormatting sqref="I296 L296 O296 R296">
    <cfRule type="expression" priority="25" stopIfTrue="1">
      <formula>"esterreur(reference)"</formula>
    </cfRule>
  </conditionalFormatting>
  <conditionalFormatting sqref="I361 L361 O361 R361">
    <cfRule type="expression" priority="24" stopIfTrue="1">
      <formula>"esterreur(reference)"</formula>
    </cfRule>
  </conditionalFormatting>
  <conditionalFormatting sqref="I407 L407 O407 R407">
    <cfRule type="expression" priority="23" stopIfTrue="1">
      <formula>"esterreur(reference)"</formula>
    </cfRule>
  </conditionalFormatting>
  <conditionalFormatting sqref="L9 N9:O9 Q9:R9 T9:U9 W9:X9 Z9:AA9 L11:L17 N11:O17 Q11:R17 T11:U17 W11:X17 Z11:AA17 N19:O27 Q19:R27 T19:U27 W19:X27 Z19:AA27 M122:N124 P122:Q124 S122:T125 V122:W125 Y122:Z125 AB122:AC125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Z253:Z254 AC253:AC254 L269:M269 O269:P269 R269:S269 U269:V269 X269:Y269 AA269:AB269 L292:M292 O292:P292 R292:S292 U292:V292 X292:Y292 AA292:AB292 L333:M333 O333:P333 R333:S333 U333:V333 X333:Y333 AA333:AB333">
    <cfRule type="expression" priority="266" stopIfTrue="1">
      <formula>"esterreur(reference)"</formula>
    </cfRule>
  </conditionalFormatting>
  <conditionalFormatting sqref="L253:M257 O253:P257 R253:S257 U253:V257 X253:Y257">
    <cfRule type="expression" priority="262" stopIfTrue="1">
      <formula>"esterreur(reference)"</formula>
    </cfRule>
  </conditionalFormatting>
  <conditionalFormatting sqref="L356:M358 O356:P358 R356:S358 U356:V358 X356:Y358 AA356:AB358 L403:M403 O403:P403 R403:S403 U403:V403 X403:Y403 AA403:AB403">
    <cfRule type="expression" priority="261" stopIfTrue="1">
      <formula>"esterreur(reference)"</formula>
    </cfRule>
  </conditionalFormatting>
  <conditionalFormatting sqref="L297:AO332">
    <cfRule type="expression" priority="45" stopIfTrue="1">
      <formula>"esterreur(reference)"</formula>
    </cfRule>
  </conditionalFormatting>
  <conditionalFormatting sqref="M398 P398 S398 V398">
    <cfRule type="expression" priority="265" stopIfTrue="1">
      <formula>"esterreur(reference)"</formula>
    </cfRule>
  </conditionalFormatting>
  <conditionalFormatting sqref="U94">
    <cfRule type="expression" priority="34" stopIfTrue="1">
      <formula>"esterreur(reference)"</formula>
    </cfRule>
  </conditionalFormatting>
  <conditionalFormatting sqref="U173">
    <cfRule type="expression" priority="33" stopIfTrue="1">
      <formula>"esterreur(reference)"</formula>
    </cfRule>
  </conditionalFormatting>
  <conditionalFormatting sqref="U241">
    <cfRule type="expression" priority="32" stopIfTrue="1">
      <formula>"esterreur(reference)"</formula>
    </cfRule>
  </conditionalFormatting>
  <conditionalFormatting sqref="U296">
    <cfRule type="expression" priority="31" stopIfTrue="1">
      <formula>"esterreur(reference)"</formula>
    </cfRule>
  </conditionalFormatting>
  <conditionalFormatting sqref="U361">
    <cfRule type="expression" priority="30" stopIfTrue="1">
      <formula>"esterreur(reference)"</formula>
    </cfRule>
  </conditionalFormatting>
  <conditionalFormatting sqref="U407">
    <cfRule type="expression" priority="29" stopIfTrue="1">
      <formula>"esterreur(reference)"</formula>
    </cfRule>
  </conditionalFormatting>
  <conditionalFormatting sqref="X94">
    <cfRule type="expression" priority="21" stopIfTrue="1">
      <formula>"esterreur(reference)"</formula>
    </cfRule>
  </conditionalFormatting>
  <conditionalFormatting sqref="X173">
    <cfRule type="expression" priority="20" stopIfTrue="1">
      <formula>"esterreur(reference)"</formula>
    </cfRule>
  </conditionalFormatting>
  <conditionalFormatting sqref="X241">
    <cfRule type="expression" priority="19" stopIfTrue="1">
      <formula>"esterreur(reference)"</formula>
    </cfRule>
  </conditionalFormatting>
  <conditionalFormatting sqref="X296">
    <cfRule type="expression" priority="18" stopIfTrue="1">
      <formula>"esterreur(reference)"</formula>
    </cfRule>
  </conditionalFormatting>
  <conditionalFormatting sqref="X361">
    <cfRule type="expression" priority="17" stopIfTrue="1">
      <formula>"esterreur(reference)"</formula>
    </cfRule>
  </conditionalFormatting>
  <conditionalFormatting sqref="X407">
    <cfRule type="expression" priority="16" stopIfTrue="1">
      <formula>"esterreur(reference)"</formula>
    </cfRule>
  </conditionalFormatting>
  <conditionalFormatting sqref="Y398">
    <cfRule type="expression" priority="22" stopIfTrue="1">
      <formula>"esterreur(reference)"</formula>
    </cfRule>
  </conditionalFormatting>
  <conditionalFormatting sqref="AA94">
    <cfRule type="expression" priority="9" stopIfTrue="1">
      <formula>"esterreur(reference)"</formula>
    </cfRule>
  </conditionalFormatting>
  <conditionalFormatting sqref="AA173">
    <cfRule type="expression" priority="8" stopIfTrue="1">
      <formula>"esterreur(reference)"</formula>
    </cfRule>
  </conditionalFormatting>
  <conditionalFormatting sqref="AA241">
    <cfRule type="expression" priority="7" stopIfTrue="1">
      <formula>"esterreur(reference)"</formula>
    </cfRule>
  </conditionalFormatting>
  <conditionalFormatting sqref="AA296">
    <cfRule type="expression" priority="6" stopIfTrue="1">
      <formula>"esterreur(reference)"</formula>
    </cfRule>
  </conditionalFormatting>
  <conditionalFormatting sqref="AA361">
    <cfRule type="expression" priority="5" stopIfTrue="1">
      <formula>"esterreur(reference)"</formula>
    </cfRule>
  </conditionalFormatting>
  <conditionalFormatting sqref="AA407">
    <cfRule type="expression" priority="4" stopIfTrue="1">
      <formula>"esterreur(reference)"</formula>
    </cfRule>
  </conditionalFormatting>
  <conditionalFormatting sqref="AB398">
    <cfRule type="expression" priority="10" stopIfTrue="1">
      <formula>"esterreur(reference)"</formula>
    </cfRule>
  </conditionalFormatting>
  <conditionalFormatting sqref="AC9:AD9 AF9:AG9 AI9:AJ9 R126:AO137 AD167:AE168 AG167:AH168 AD291:AD292 AG291:AG292">
    <cfRule type="expression" priority="257" stopIfTrue="1">
      <formula>"esterreur(reference)"</formula>
    </cfRule>
  </conditionalFormatting>
  <conditionalFormatting sqref="AC11:AD17">
    <cfRule type="expression" priority="139" stopIfTrue="1">
      <formula>"esterreur(reference)"</formula>
    </cfRule>
  </conditionalFormatting>
  <conditionalFormatting sqref="AC19:AD27">
    <cfRule type="expression" priority="135" stopIfTrue="1">
      <formula>"esterreur(reference)"</formula>
    </cfRule>
  </conditionalFormatting>
  <conditionalFormatting sqref="AD6 AG6 AJ6 AM6 AL9:AM9 AO9 AJ167:AK168 AM167:AN168 AJ291:AJ292 AM291:AM292">
    <cfRule type="expression" priority="278" stopIfTrue="1">
      <formula>"esterreur(reference)"</formula>
    </cfRule>
  </conditionalFormatting>
  <conditionalFormatting sqref="AD94">
    <cfRule type="expression" priority="196" stopIfTrue="1">
      <formula>"esterreur(reference)"</formula>
    </cfRule>
  </conditionalFormatting>
  <conditionalFormatting sqref="AD173">
    <cfRule type="expression" priority="195" stopIfTrue="1">
      <formula>"esterreur(reference)"</formula>
    </cfRule>
  </conditionalFormatting>
  <conditionalFormatting sqref="AD241">
    <cfRule type="expression" priority="194" stopIfTrue="1">
      <formula>"esterreur(reference)"</formula>
    </cfRule>
  </conditionalFormatting>
  <conditionalFormatting sqref="AD296">
    <cfRule type="expression" priority="193" stopIfTrue="1">
      <formula>"esterreur(reference)"</formula>
    </cfRule>
  </conditionalFormatting>
  <conditionalFormatting sqref="AD361">
    <cfRule type="expression" priority="192" stopIfTrue="1">
      <formula>"esterreur(reference)"</formula>
    </cfRule>
  </conditionalFormatting>
  <conditionalFormatting sqref="AD407">
    <cfRule type="expression" priority="191" stopIfTrue="1">
      <formula>"esterreur(reference)"</formula>
    </cfRule>
  </conditionalFormatting>
  <conditionalFormatting sqref="AD255:AE257">
    <cfRule type="expression" priority="197" stopIfTrue="1">
      <formula>"esterreur(reference)"</formula>
    </cfRule>
  </conditionalFormatting>
  <conditionalFormatting sqref="AD269:AE269 AG269:AH269 AJ269:AK269 AM269:AN269">
    <cfRule type="expression" priority="53" stopIfTrue="1">
      <formula>"esterreur(reference)"</formula>
    </cfRule>
  </conditionalFormatting>
  <conditionalFormatting sqref="AD333:AE333">
    <cfRule type="expression" priority="44" stopIfTrue="1">
      <formula>"esterreur(reference)"</formula>
    </cfRule>
  </conditionalFormatting>
  <conditionalFormatting sqref="AD357:AE358 AG357:AH358 AD403:AE403 AG403:AH403">
    <cfRule type="expression" priority="256" stopIfTrue="1">
      <formula>"esterreur(reference)"</formula>
    </cfRule>
  </conditionalFormatting>
  <conditionalFormatting sqref="AE77">
    <cfRule type="expression" priority="124" stopIfTrue="1">
      <formula>"esterreur(reference)"</formula>
    </cfRule>
  </conditionalFormatting>
  <conditionalFormatting sqref="AE122:AE124 AD125:AE125">
    <cfRule type="expression" priority="113" stopIfTrue="1">
      <formula>"esterreur(reference)"</formula>
    </cfRule>
  </conditionalFormatting>
  <conditionalFormatting sqref="AE158">
    <cfRule type="expression" priority="105" stopIfTrue="1">
      <formula>"esterreur(reference)"</formula>
    </cfRule>
  </conditionalFormatting>
  <conditionalFormatting sqref="AE290 AH290 AK290 AN290">
    <cfRule type="expression" priority="52" stopIfTrue="1">
      <formula>"esterreur(reference)"</formula>
    </cfRule>
  </conditionalFormatting>
  <conditionalFormatting sqref="AE398 AH398 AK398 AN398">
    <cfRule type="expression" priority="37" stopIfTrue="1">
      <formula>"esterreur(reference)"</formula>
    </cfRule>
  </conditionalFormatting>
  <conditionalFormatting sqref="AF122:AF125 AI122:AI125 AL122:AL125 AO122:AO125">
    <cfRule type="expression" priority="109" stopIfTrue="1">
      <formula>"esterreur(reference)"</formula>
    </cfRule>
  </conditionalFormatting>
  <conditionalFormatting sqref="AF167">
    <cfRule type="expression" priority="98" stopIfTrue="1">
      <formula>"esterreur(reference)"</formula>
    </cfRule>
  </conditionalFormatting>
  <conditionalFormatting sqref="AF11:AG17">
    <cfRule type="expression" priority="138" stopIfTrue="1">
      <formula>"esterreur(reference)"</formula>
    </cfRule>
  </conditionalFormatting>
  <conditionalFormatting sqref="AF19:AG27">
    <cfRule type="expression" priority="134" stopIfTrue="1">
      <formula>"esterreur(reference)"</formula>
    </cfRule>
  </conditionalFormatting>
  <conditionalFormatting sqref="AG94">
    <cfRule type="expression" priority="187" stopIfTrue="1">
      <formula>"esterreur(reference)"</formula>
    </cfRule>
  </conditionalFormatting>
  <conditionalFormatting sqref="AG173">
    <cfRule type="expression" priority="186" stopIfTrue="1">
      <formula>"esterreur(reference)"</formula>
    </cfRule>
  </conditionalFormatting>
  <conditionalFormatting sqref="AG241">
    <cfRule type="expression" priority="185" stopIfTrue="1">
      <formula>"esterreur(reference)"</formula>
    </cfRule>
  </conditionalFormatting>
  <conditionalFormatting sqref="AG296">
    <cfRule type="expression" priority="184" stopIfTrue="1">
      <formula>"esterreur(reference)"</formula>
    </cfRule>
  </conditionalFormatting>
  <conditionalFormatting sqref="AG361">
    <cfRule type="expression" priority="183" stopIfTrue="1">
      <formula>"esterreur(reference)"</formula>
    </cfRule>
  </conditionalFormatting>
  <conditionalFormatting sqref="AG407">
    <cfRule type="expression" priority="182" stopIfTrue="1">
      <formula>"esterreur(reference)"</formula>
    </cfRule>
  </conditionalFormatting>
  <conditionalFormatting sqref="AG255:AH257">
    <cfRule type="expression" priority="188" stopIfTrue="1">
      <formula>"esterreur(reference)"</formula>
    </cfRule>
  </conditionalFormatting>
  <conditionalFormatting sqref="AG333:AH333">
    <cfRule type="expression" priority="43" stopIfTrue="1">
      <formula>"esterreur(reference)"</formula>
    </cfRule>
  </conditionalFormatting>
  <conditionalFormatting sqref="AH77">
    <cfRule type="expression" priority="122" stopIfTrue="1">
      <formula>"esterreur(reference)"</formula>
    </cfRule>
  </conditionalFormatting>
  <conditionalFormatting sqref="AH122:AH124 AG125:AH125">
    <cfRule type="expression" priority="112" stopIfTrue="1">
      <formula>"esterreur(reference)"</formula>
    </cfRule>
  </conditionalFormatting>
  <conditionalFormatting sqref="AH158">
    <cfRule type="expression" priority="103" stopIfTrue="1">
      <formula>"esterreur(reference)"</formula>
    </cfRule>
  </conditionalFormatting>
  <conditionalFormatting sqref="AI167">
    <cfRule type="expression" priority="97" stopIfTrue="1">
      <formula>"esterreur(reference)"</formula>
    </cfRule>
  </conditionalFormatting>
  <conditionalFormatting sqref="AI11:AJ17">
    <cfRule type="expression" priority="137" stopIfTrue="1">
      <formula>"esterreur(reference)"</formula>
    </cfRule>
  </conditionalFormatting>
  <conditionalFormatting sqref="AI19:AJ27">
    <cfRule type="expression" priority="133" stopIfTrue="1">
      <formula>"esterreur(reference)"</formula>
    </cfRule>
  </conditionalFormatting>
  <conditionalFormatting sqref="AJ94 AM94">
    <cfRule type="expression" priority="272" stopIfTrue="1">
      <formula>"esterreur(reference)"</formula>
    </cfRule>
  </conditionalFormatting>
  <conditionalFormatting sqref="AJ173 AM173">
    <cfRule type="expression" priority="271" stopIfTrue="1">
      <formula>"esterreur(reference)"</formula>
    </cfRule>
  </conditionalFormatting>
  <conditionalFormatting sqref="AJ241 AM241">
    <cfRule type="expression" priority="270" stopIfTrue="1">
      <formula>"esterreur(reference)"</formula>
    </cfRule>
  </conditionalFormatting>
  <conditionalFormatting sqref="AJ296 AM296">
    <cfRule type="expression" priority="269" stopIfTrue="1">
      <formula>"esterreur(reference)"</formula>
    </cfRule>
  </conditionalFormatting>
  <conditionalFormatting sqref="AJ361 AM361">
    <cfRule type="expression" priority="268" stopIfTrue="1">
      <formula>"esterreur(reference)"</formula>
    </cfRule>
  </conditionalFormatting>
  <conditionalFormatting sqref="AJ407 AM407">
    <cfRule type="expression" priority="267" stopIfTrue="1">
      <formula>"esterreur(reference)"</formula>
    </cfRule>
  </conditionalFormatting>
  <conditionalFormatting sqref="AJ255:AK257 AM255:AN257">
    <cfRule type="expression" priority="275" stopIfTrue="1">
      <formula>"esterreur(reference)"</formula>
    </cfRule>
  </conditionalFormatting>
  <conditionalFormatting sqref="AJ333:AK333">
    <cfRule type="expression" priority="42" stopIfTrue="1">
      <formula>"esterreur(reference)"</formula>
    </cfRule>
  </conditionalFormatting>
  <conditionalFormatting sqref="AJ357:AK358 AM357:AN358 AJ403:AK403 AM403:AN403">
    <cfRule type="expression" priority="274" stopIfTrue="1">
      <formula>"esterreur(reference)"</formula>
    </cfRule>
  </conditionalFormatting>
  <conditionalFormatting sqref="AK77">
    <cfRule type="expression" priority="120" stopIfTrue="1">
      <formula>"esterreur(reference)"</formula>
    </cfRule>
  </conditionalFormatting>
  <conditionalFormatting sqref="AK122:AK124 AJ125:AK125">
    <cfRule type="expression" priority="111" stopIfTrue="1">
      <formula>"esterreur(reference)"</formula>
    </cfRule>
  </conditionalFormatting>
  <conditionalFormatting sqref="AK158">
    <cfRule type="expression" priority="101" stopIfTrue="1">
      <formula>"esterreur(reference)"</formula>
    </cfRule>
  </conditionalFormatting>
  <conditionalFormatting sqref="AL167">
    <cfRule type="expression" priority="96" stopIfTrue="1">
      <formula>"esterreur(reference)"</formula>
    </cfRule>
  </conditionalFormatting>
  <conditionalFormatting sqref="AL11:AM17 AO11:AO17">
    <cfRule type="expression" priority="136" stopIfTrue="1">
      <formula>"esterreur(reference)"</formula>
    </cfRule>
  </conditionalFormatting>
  <conditionalFormatting sqref="AL19:AM27 AO19:AO27">
    <cfRule type="expression" priority="132" stopIfTrue="1">
      <formula>"esterreur(reference)"</formula>
    </cfRule>
  </conditionalFormatting>
  <conditionalFormatting sqref="AM333:AN333">
    <cfRule type="expression" priority="41" stopIfTrue="1">
      <formula>"esterreur(reference)"</formula>
    </cfRule>
  </conditionalFormatting>
  <conditionalFormatting sqref="AN77">
    <cfRule type="expression" priority="118" stopIfTrue="1">
      <formula>"esterreur(reference)"</formula>
    </cfRule>
  </conditionalFormatting>
  <conditionalFormatting sqref="AN122:AN124 AM125:AN125">
    <cfRule type="expression" priority="110" stopIfTrue="1">
      <formula>"esterreur(reference)"</formula>
    </cfRule>
  </conditionalFormatting>
  <conditionalFormatting sqref="AN158">
    <cfRule type="expression" priority="99" stopIfTrue="1">
      <formula>"esterreur(reference)"</formula>
    </cfRule>
  </conditionalFormatting>
  <conditionalFormatting sqref="AO167">
    <cfRule type="expression" priority="95" stopIfTrue="1">
      <formula>"esterreur(reference)"</formula>
    </cfRule>
  </conditionalFormatting>
  <conditionalFormatting sqref="AQ6 AQ9:AQ27 AS16:AS17 AS19 AS21 AS23 AS27 AQ28:AS75 AR122:AS124 AQ159:AS160 AQ167:AS167 AQ168:AR168 AQ213:AR213 AQ214:AS231 AQ232:AR232 AQ235:AS235 AQ236:AR236 AQ242:AS243 AQ246:AS246 AQ252:AS252 AS253:AS254 AQ255:AS268 AQ269:AR269 AQ270:AS288 AQ291:AS291 AQ292:AR292 AQ297:AS332 AQ333:AR333 AQ334:AS352 AQ355:AS355 AQ399:AS402">
    <cfRule type="expression" priority="254" stopIfTrue="1">
      <formula>"esterreur(reference)"</formula>
    </cfRule>
  </conditionalFormatting>
  <conditionalFormatting sqref="AQ94">
    <cfRule type="expression" priority="246" stopIfTrue="1">
      <formula>"esterreur(reference)"</formula>
    </cfRule>
  </conditionalFormatting>
  <conditionalFormatting sqref="AQ173">
    <cfRule type="expression" priority="245" stopIfTrue="1">
      <formula>"esterreur(reference)"</formula>
    </cfRule>
  </conditionalFormatting>
  <conditionalFormatting sqref="AQ241">
    <cfRule type="expression" priority="244" stopIfTrue="1">
      <formula>"esterreur(reference)"</formula>
    </cfRule>
  </conditionalFormatting>
  <conditionalFormatting sqref="AQ296">
    <cfRule type="expression" priority="243" stopIfTrue="1">
      <formula>"esterreur(reference)"</formula>
    </cfRule>
  </conditionalFormatting>
  <conditionalFormatting sqref="AQ361">
    <cfRule type="expression" priority="242" stopIfTrue="1">
      <formula>"esterreur(reference)"</formula>
    </cfRule>
  </conditionalFormatting>
  <conditionalFormatting sqref="AQ407">
    <cfRule type="expression" priority="241" stopIfTrue="1">
      <formula>"esterreur(reference)"</formula>
    </cfRule>
  </conditionalFormatting>
  <conditionalFormatting sqref="AQ244:AR244">
    <cfRule type="expression" priority="203" stopIfTrue="1">
      <formula>"esterreur(reference)"</formula>
    </cfRule>
  </conditionalFormatting>
  <conditionalFormatting sqref="AQ253:AR257">
    <cfRule type="expression" priority="250" stopIfTrue="1">
      <formula>"esterreur(reference)"</formula>
    </cfRule>
  </conditionalFormatting>
  <conditionalFormatting sqref="AQ86:AS91 AQ93:AS93 AQ169:AS170 AQ172:AS172 AQ237:AS238 AQ240:AS240 AQ293:AS293 AQ295:AS295 AQ356:AR358 AQ403:AR403">
    <cfRule type="expression" priority="249" stopIfTrue="1">
      <formula>"esterreur(reference)"</formula>
    </cfRule>
  </conditionalFormatting>
  <conditionalFormatting sqref="AQ125:AS156">
    <cfRule type="expression" priority="247" stopIfTrue="1">
      <formula>"esterreur(reference)"</formula>
    </cfRule>
  </conditionalFormatting>
  <conditionalFormatting sqref="AQ174:AS212">
    <cfRule type="expression" priority="200" stopIfTrue="1">
      <formula>"esterreur(reference)"</formula>
    </cfRule>
  </conditionalFormatting>
  <conditionalFormatting sqref="AQ360:AS360">
    <cfRule type="expression" priority="248" stopIfTrue="1">
      <formula>"esterreur(reference)"</formula>
    </cfRule>
  </conditionalFormatting>
  <conditionalFormatting sqref="AQ362:AS397">
    <cfRule type="expression" priority="210" stopIfTrue="1">
      <formula>"esterreur(reference)"</formula>
    </cfRule>
  </conditionalFormatting>
  <conditionalFormatting sqref="AR398">
    <cfRule type="expression" priority="253" stopIfTrue="1">
      <formula>"esterreur(reference)"</formula>
    </cfRule>
  </conditionalFormatting>
  <conditionalFormatting sqref="AU6 AW11:AW17 AU19:AU27 AW19:AW27 AU28:AW75 AV122:AW124 AU159:AW160 AU167:AW167 AU168:AV168 AU213:AV213 AU214:AW231 AU232:AV232 AU235:AW235 AU236:AV236 AU242:AW243 AU246:AW246 AU252:AW252 AW253:AW254 AU255:AW268 AU269:AV269 AU270:AW288 AU291:AW291 AU292:AV292 AU297:AW332 AU333:AV333 AU334:AW352 AU355:AW355 AU399:AW402">
    <cfRule type="expression" priority="240" stopIfTrue="1">
      <formula>"esterreur(reference)"</formula>
    </cfRule>
  </conditionalFormatting>
  <conditionalFormatting sqref="AU9:AU17">
    <cfRule type="expression" priority="202" stopIfTrue="1">
      <formula>"esterreur(reference)"</formula>
    </cfRule>
  </conditionalFormatting>
  <conditionalFormatting sqref="AU94">
    <cfRule type="expression" priority="232" stopIfTrue="1">
      <formula>"esterreur(reference)"</formula>
    </cfRule>
  </conditionalFormatting>
  <conditionalFormatting sqref="AU173">
    <cfRule type="expression" priority="231" stopIfTrue="1">
      <formula>"esterreur(reference)"</formula>
    </cfRule>
  </conditionalFormatting>
  <conditionalFormatting sqref="AU241">
    <cfRule type="expression" priority="230" stopIfTrue="1">
      <formula>"esterreur(reference)"</formula>
    </cfRule>
  </conditionalFormatting>
  <conditionalFormatting sqref="AU296">
    <cfRule type="expression" priority="229" stopIfTrue="1">
      <formula>"esterreur(reference)"</formula>
    </cfRule>
  </conditionalFormatting>
  <conditionalFormatting sqref="AU361">
    <cfRule type="expression" priority="228" stopIfTrue="1">
      <formula>"esterreur(reference)"</formula>
    </cfRule>
  </conditionalFormatting>
  <conditionalFormatting sqref="AU407">
    <cfRule type="expression" priority="227" stopIfTrue="1">
      <formula>"esterreur(reference)"</formula>
    </cfRule>
  </conditionalFormatting>
  <conditionalFormatting sqref="AU86:AW91 AU93:AW93 AU169:AW170 AU172:AW172 AU237:AW238 AU240:AW240 AU293:AW293 AU295:AW295 AU356:AV358 AU362:AW397 AU403:AV403">
    <cfRule type="expression" priority="235" stopIfTrue="1">
      <formula>"esterreur(reference)"</formula>
    </cfRule>
  </conditionalFormatting>
  <conditionalFormatting sqref="AU97:AW121">
    <cfRule type="expression" priority="201" stopIfTrue="1">
      <formula>"esterreur(reference)"</formula>
    </cfRule>
  </conditionalFormatting>
  <conditionalFormatting sqref="AU125:AW156">
    <cfRule type="expression" priority="233" stopIfTrue="1">
      <formula>"esterreur(reference)"</formula>
    </cfRule>
  </conditionalFormatting>
  <conditionalFormatting sqref="AU174:AW212 AU253:AV257">
    <cfRule type="expression" priority="236" stopIfTrue="1">
      <formula>"esterreur(reference)"</formula>
    </cfRule>
  </conditionalFormatting>
  <conditionalFormatting sqref="AU360:AW360">
    <cfRule type="expression" priority="234" stopIfTrue="1">
      <formula>"esterreur(reference)"</formula>
    </cfRule>
  </conditionalFormatting>
  <conditionalFormatting sqref="AV398">
    <cfRule type="expression" priority="239" stopIfTrue="1">
      <formula>"esterreur(reference)"</formula>
    </cfRule>
  </conditionalFormatting>
  <conditionalFormatting sqref="AY6 AY9:AY27 BA16:BA17 BA19 BA21 BA23 BA27 AY28:BA75 AZ122:BA124 AY159:BA160 AY167:BA167 AY168:AZ168 AY213:AZ213 AY214:BA231 AY232:AZ232 AY235:BA235 AY236:AZ236 AY242:BA243 AY246:BA246 AY252:BA252 BA253:BA254 AY255:BA268 AY269:AZ269 AY270:BA288 AY291:BA291 AY292:AZ292 AY297:BA332 AY333:AZ333 AY334:BA352 AY355:BA355 AY399:BA402">
    <cfRule type="expression" priority="166" stopIfTrue="1">
      <formula>"esterreur(reference)"</formula>
    </cfRule>
  </conditionalFormatting>
  <conditionalFormatting sqref="AY94">
    <cfRule type="expression" priority="158" stopIfTrue="1">
      <formula>"esterreur(reference)"</formula>
    </cfRule>
  </conditionalFormatting>
  <conditionalFormatting sqref="AY173">
    <cfRule type="expression" priority="157" stopIfTrue="1">
      <formula>"esterreur(reference)"</formula>
    </cfRule>
  </conditionalFormatting>
  <conditionalFormatting sqref="AY241">
    <cfRule type="expression" priority="156" stopIfTrue="1">
      <formula>"esterreur(reference)"</formula>
    </cfRule>
  </conditionalFormatting>
  <conditionalFormatting sqref="AY296">
    <cfRule type="expression" priority="155" stopIfTrue="1">
      <formula>"esterreur(reference)"</formula>
    </cfRule>
  </conditionalFormatting>
  <conditionalFormatting sqref="AY361">
    <cfRule type="expression" priority="154" stopIfTrue="1">
      <formula>"esterreur(reference)"</formula>
    </cfRule>
  </conditionalFormatting>
  <conditionalFormatting sqref="AY407">
    <cfRule type="expression" priority="153" stopIfTrue="1">
      <formula>"esterreur(reference)"</formula>
    </cfRule>
  </conditionalFormatting>
  <conditionalFormatting sqref="AY244:AZ244">
    <cfRule type="expression" priority="142" stopIfTrue="1">
      <formula>"esterreur(reference)"</formula>
    </cfRule>
  </conditionalFormatting>
  <conditionalFormatting sqref="AY253:AZ257">
    <cfRule type="expression" priority="162" stopIfTrue="1">
      <formula>"esterreur(reference)"</formula>
    </cfRule>
  </conditionalFormatting>
  <conditionalFormatting sqref="AY86:BA91 AY93:BA93 AY169:BA170 AY172:BA172 AY237:BA238 AY240:BA240 AY293:BA293 AY295:BA295 AY356:AZ358 AY403:AZ403">
    <cfRule type="expression" priority="161" stopIfTrue="1">
      <formula>"esterreur(reference)"</formula>
    </cfRule>
  </conditionalFormatting>
  <conditionalFormatting sqref="AY97:BA121">
    <cfRule type="expression" priority="35" stopIfTrue="1">
      <formula>"esterreur(reference)"</formula>
    </cfRule>
  </conditionalFormatting>
  <conditionalFormatting sqref="AY125:BA156">
    <cfRule type="expression" priority="159" stopIfTrue="1">
      <formula>"esterreur(reference)"</formula>
    </cfRule>
  </conditionalFormatting>
  <conditionalFormatting sqref="AY174:BA212">
    <cfRule type="expression" priority="143" stopIfTrue="1">
      <formula>"esterreur(reference)"</formula>
    </cfRule>
  </conditionalFormatting>
  <conditionalFormatting sqref="AY360:BA360">
    <cfRule type="expression" priority="160" stopIfTrue="1">
      <formula>"esterreur(reference)"</formula>
    </cfRule>
  </conditionalFormatting>
  <conditionalFormatting sqref="AY362:BA397">
    <cfRule type="expression" priority="149" stopIfTrue="1">
      <formula>"esterreur(reference)"</formula>
    </cfRule>
  </conditionalFormatting>
  <conditionalFormatting sqref="AZ398">
    <cfRule type="expression" priority="165" stopIfTrue="1">
      <formula>"esterreur(reference)"</formula>
    </cfRule>
  </conditionalFormatting>
  <conditionalFormatting sqref="BC6 BC9:BC17 BE11:BE17 BC19:BC27 BE19:BE27 BC28:BE75 BD122:BE124 BC159:BE160 BC167:BE167 BC168:BD168 BC213:BD213 BC214:BE231 BC232:BD232 BC235:BE235 BC236:BD236 BC242:BE243 BC246:BE246 BC252:BE252 BE253:BE254 BC255:BE268 BC269:BD269 BC270:BE288 BC291:BE291 BC292:BD292 BC297:BE332 BC333:BD333 BC334:BE352 BC355:BE355 BC399:BE402">
    <cfRule type="expression" priority="226" stopIfTrue="1">
      <formula>"esterreur(reference)"</formula>
    </cfRule>
  </conditionalFormatting>
  <conditionalFormatting sqref="BC94">
    <cfRule type="expression" priority="218" stopIfTrue="1">
      <formula>"esterreur(reference)"</formula>
    </cfRule>
  </conditionalFormatting>
  <conditionalFormatting sqref="BC173">
    <cfRule type="expression" priority="217" stopIfTrue="1">
      <formula>"esterreur(reference)"</formula>
    </cfRule>
  </conditionalFormatting>
  <conditionalFormatting sqref="BC241">
    <cfRule type="expression" priority="216" stopIfTrue="1">
      <formula>"esterreur(reference)"</formula>
    </cfRule>
  </conditionalFormatting>
  <conditionalFormatting sqref="BC296">
    <cfRule type="expression" priority="215" stopIfTrue="1">
      <formula>"esterreur(reference)"</formula>
    </cfRule>
  </conditionalFormatting>
  <conditionalFormatting sqref="BC361">
    <cfRule type="expression" priority="214" stopIfTrue="1">
      <formula>"esterreur(reference)"</formula>
    </cfRule>
  </conditionalFormatting>
  <conditionalFormatting sqref="BC407">
    <cfRule type="expression" priority="213" stopIfTrue="1">
      <formula>"esterreur(reference)"</formula>
    </cfRule>
  </conditionalFormatting>
  <conditionalFormatting sqref="BC86:BE91 BC93:BE93 BC169:BE170 BC172:BE172 BC237:BE238 BC240:BE240 BC293:BE293 BC295:BE295 BC356:BD358 BC362:BE397 BC403:BD403">
    <cfRule type="expression" priority="221" stopIfTrue="1">
      <formula>"esterreur(reference)"</formula>
    </cfRule>
  </conditionalFormatting>
  <conditionalFormatting sqref="BC125:BE156">
    <cfRule type="expression" priority="219" stopIfTrue="1">
      <formula>"esterreur(reference)"</formula>
    </cfRule>
  </conditionalFormatting>
  <conditionalFormatting sqref="BC174:BE212 BC253:BD257">
    <cfRule type="expression" priority="222" stopIfTrue="1">
      <formula>"esterreur(reference)"</formula>
    </cfRule>
  </conditionalFormatting>
  <conditionalFormatting sqref="BC360:BE360">
    <cfRule type="expression" priority="220" stopIfTrue="1">
      <formula>"esterreur(reference)"</formula>
    </cfRule>
  </conditionalFormatting>
  <conditionalFormatting sqref="BD398">
    <cfRule type="expression" priority="225" stopIfTrue="1">
      <formula>"esterreur(reference)"</formula>
    </cfRule>
  </conditionalFormatting>
  <conditionalFormatting sqref="AD213:AE213 AG213:AH213 AJ213:AK213 AM213:AN213">
    <cfRule type="expression" priority="3" stopIfTrue="1">
      <formula>"esterreur(reference)"</formula>
    </cfRule>
  </conditionalFormatting>
  <conditionalFormatting sqref="AD232:AE232 AG232:AH232 AJ232:AK232 AM232:AN232 AD236:AE236 AG236:AH236 AJ236:AK236 AM236:AN236">
    <cfRule type="expression" priority="2" stopIfTrue="1">
      <formula>"esterreur(reference)"</formula>
    </cfRule>
  </conditionalFormatting>
  <conditionalFormatting sqref="AD356:AE356 AG356:AH356 AJ356:AK356 AM356:AN356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  <ignoredErrors>
    <ignoredError sqref="AF461:AO46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VOLKS</vt:lpstr>
      <vt:lpstr>VOLKS!Zone_d_impression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Henderson</dc:creator>
  <cp:lastModifiedBy>User</cp:lastModifiedBy>
  <dcterms:created xsi:type="dcterms:W3CDTF">2025-09-17T20:34:14Z</dcterms:created>
  <dcterms:modified xsi:type="dcterms:W3CDTF">2025-09-26T20:14:44Z</dcterms:modified>
</cp:coreProperties>
</file>